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dy4hc\Documents\My Received Files\"/>
    </mc:Choice>
  </mc:AlternateContent>
  <bookViews>
    <workbookView xWindow="0" yWindow="0" windowWidth="28800" windowHeight="12360" activeTab="7"/>
  </bookViews>
  <sheets>
    <sheet name="Sheet1" sheetId="1" r:id="rId1"/>
    <sheet name="Sheet3" sheetId="3" r:id="rId2"/>
    <sheet name="Sheet4" sheetId="6" r:id="rId3"/>
    <sheet name="Temp" sheetId="4" r:id="rId4"/>
    <sheet name="Sheet2" sheetId="2" r:id="rId5"/>
    <sheet name="|--&gt;" sheetId="8" r:id="rId6"/>
    <sheet name="Total" sheetId="7" r:id="rId7"/>
    <sheet name="Sheet7" sheetId="9" r:id="rId8"/>
  </sheets>
  <externalReferences>
    <externalReference r:id="rId9"/>
    <externalReference r:id="rId10"/>
    <externalReference r:id="rId11"/>
  </externalReferences>
  <definedNames>
    <definedName name="_xlnm._FilterDatabase" localSheetId="0" hidden="1">Sheet1!$B$1:$D$516</definedName>
    <definedName name="_xlnm._FilterDatabase" localSheetId="1" hidden="1">Sheet3!$B$1:$D$516</definedName>
    <definedName name="_xlnm._FilterDatabase" localSheetId="2" hidden="1">Sheet4!$A$1:$A$63</definedName>
    <definedName name="_xlnm._FilterDatabase" localSheetId="7" hidden="1">Sheet7!$B$2:$O$554</definedName>
    <definedName name="_xlnm._FilterDatabase" localSheetId="3" hidden="1">Temp!$A$1:$A$63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9" i="9" l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W374" i="7" l="1"/>
  <c r="Y374" i="7" s="1"/>
  <c r="W373" i="7"/>
  <c r="Y373" i="7" s="1"/>
  <c r="Y372" i="7"/>
  <c r="W372" i="7"/>
  <c r="X372" i="7" s="1"/>
  <c r="X371" i="7"/>
  <c r="W371" i="7"/>
  <c r="Y371" i="7" s="1"/>
  <c r="X370" i="7"/>
  <c r="W370" i="7"/>
  <c r="Y370" i="7" s="1"/>
  <c r="Z370" i="7" s="1"/>
  <c r="W369" i="7"/>
  <c r="Y369" i="7" s="1"/>
  <c r="Y368" i="7"/>
  <c r="W368" i="7"/>
  <c r="W367" i="7"/>
  <c r="Y367" i="7" s="1"/>
  <c r="W366" i="7"/>
  <c r="Y366" i="7" s="1"/>
  <c r="W365" i="7"/>
  <c r="Y365" i="7" s="1"/>
  <c r="W364" i="7"/>
  <c r="Y364" i="7" s="1"/>
  <c r="W363" i="7"/>
  <c r="Y363" i="7" s="1"/>
  <c r="W362" i="7"/>
  <c r="Y362" i="7" s="1"/>
  <c r="W361" i="7"/>
  <c r="Y361" i="7" s="1"/>
  <c r="W360" i="7"/>
  <c r="Y360" i="7" s="1"/>
  <c r="W359" i="7"/>
  <c r="Y359" i="7" s="1"/>
  <c r="W358" i="7"/>
  <c r="Y358" i="7" s="1"/>
  <c r="W357" i="7"/>
  <c r="Y357" i="7" s="1"/>
  <c r="Y356" i="7"/>
  <c r="W356" i="7"/>
  <c r="W355" i="7"/>
  <c r="Y355" i="7" s="1"/>
  <c r="Y354" i="7"/>
  <c r="W354" i="7"/>
  <c r="W353" i="7"/>
  <c r="Y353" i="7" s="1"/>
  <c r="Y352" i="7"/>
  <c r="W352" i="7"/>
  <c r="X352" i="7" s="1"/>
  <c r="Y351" i="7"/>
  <c r="X351" i="7"/>
  <c r="W351" i="7"/>
  <c r="X350" i="7"/>
  <c r="W350" i="7"/>
  <c r="Y350" i="7" s="1"/>
  <c r="W349" i="7"/>
  <c r="Y349" i="7" s="1"/>
  <c r="Y348" i="7"/>
  <c r="W348" i="7"/>
  <c r="X348" i="7" s="1"/>
  <c r="Y342" i="7"/>
  <c r="Y332" i="7"/>
  <c r="W332" i="7"/>
  <c r="X332" i="7" s="1"/>
  <c r="Y331" i="7"/>
  <c r="X331" i="7"/>
  <c r="W331" i="7"/>
  <c r="X330" i="7"/>
  <c r="W330" i="7"/>
  <c r="Y330" i="7" s="1"/>
  <c r="W329" i="7"/>
  <c r="Y329" i="7" s="1"/>
  <c r="Y328" i="7"/>
  <c r="X328" i="7"/>
  <c r="W328" i="7"/>
  <c r="Y327" i="7"/>
  <c r="X327" i="7"/>
  <c r="W327" i="7"/>
  <c r="X326" i="7"/>
  <c r="W326" i="7"/>
  <c r="Y326" i="7" s="1"/>
  <c r="W325" i="7"/>
  <c r="Y325" i="7" s="1"/>
  <c r="Y324" i="7"/>
  <c r="W324" i="7"/>
  <c r="X324" i="7" s="1"/>
  <c r="Y323" i="7"/>
  <c r="X323" i="7"/>
  <c r="W323" i="7"/>
  <c r="X322" i="7"/>
  <c r="W322" i="7"/>
  <c r="Y322" i="7" s="1"/>
  <c r="W321" i="7"/>
  <c r="Y321" i="7" s="1"/>
  <c r="Y320" i="7"/>
  <c r="W320" i="7"/>
  <c r="X320" i="7" s="1"/>
  <c r="Y319" i="7"/>
  <c r="X319" i="7"/>
  <c r="W319" i="7"/>
  <c r="X318" i="7"/>
  <c r="W318" i="7"/>
  <c r="Y318" i="7" s="1"/>
  <c r="W317" i="7"/>
  <c r="Y317" i="7" s="1"/>
  <c r="Y316" i="7"/>
  <c r="W316" i="7"/>
  <c r="X316" i="7" s="1"/>
  <c r="Y315" i="7"/>
  <c r="X315" i="7"/>
  <c r="W315" i="7"/>
  <c r="X314" i="7"/>
  <c r="W314" i="7"/>
  <c r="Y314" i="7" s="1"/>
  <c r="W313" i="7"/>
  <c r="Y313" i="7" s="1"/>
  <c r="Y312" i="7"/>
  <c r="W312" i="7"/>
  <c r="X312" i="7" s="1"/>
  <c r="Y311" i="7"/>
  <c r="X311" i="7"/>
  <c r="W311" i="7"/>
  <c r="X310" i="7"/>
  <c r="W310" i="7"/>
  <c r="Y310" i="7" s="1"/>
  <c r="W309" i="7"/>
  <c r="Y309" i="7" s="1"/>
  <c r="Y308" i="7"/>
  <c r="W308" i="7"/>
  <c r="X308" i="7" s="1"/>
  <c r="Y307" i="7"/>
  <c r="X307" i="7"/>
  <c r="W307" i="7"/>
  <c r="X306" i="7"/>
  <c r="W306" i="7"/>
  <c r="Y306" i="7" s="1"/>
  <c r="W305" i="7"/>
  <c r="Y305" i="7" s="1"/>
  <c r="Y304" i="7"/>
  <c r="W304" i="7"/>
  <c r="X304" i="7" s="1"/>
  <c r="Y303" i="7"/>
  <c r="X303" i="7"/>
  <c r="W303" i="7"/>
  <c r="X302" i="7"/>
  <c r="W302" i="7"/>
  <c r="Y302" i="7" s="1"/>
  <c r="W301" i="7"/>
  <c r="Y301" i="7" s="1"/>
  <c r="Y300" i="7"/>
  <c r="W300" i="7"/>
  <c r="X300" i="7" s="1"/>
  <c r="Y299" i="7"/>
  <c r="X299" i="7"/>
  <c r="W299" i="7"/>
  <c r="X298" i="7"/>
  <c r="W298" i="7"/>
  <c r="Y298" i="7" s="1"/>
  <c r="W297" i="7"/>
  <c r="Y297" i="7" s="1"/>
  <c r="Y296" i="7"/>
  <c r="W296" i="7"/>
  <c r="X296" i="7" s="1"/>
  <c r="Y295" i="7"/>
  <c r="X295" i="7"/>
  <c r="W295" i="7"/>
  <c r="X294" i="7"/>
  <c r="W294" i="7"/>
  <c r="Y294" i="7" s="1"/>
  <c r="W293" i="7"/>
  <c r="Y293" i="7" s="1"/>
  <c r="Y292" i="7"/>
  <c r="X292" i="7"/>
  <c r="W292" i="7"/>
  <c r="X291" i="7"/>
  <c r="W291" i="7"/>
  <c r="Y291" i="7" s="1"/>
  <c r="W290" i="7"/>
  <c r="Y290" i="7" s="1"/>
  <c r="Y289" i="7"/>
  <c r="W289" i="7"/>
  <c r="X289" i="7" s="1"/>
  <c r="Y288" i="7"/>
  <c r="X288" i="7"/>
  <c r="W288" i="7"/>
  <c r="X287" i="7"/>
  <c r="W287" i="7"/>
  <c r="Y287" i="7" s="1"/>
  <c r="W286" i="7"/>
  <c r="Y286" i="7" s="1"/>
  <c r="Y285" i="7"/>
  <c r="W285" i="7"/>
  <c r="X285" i="7" s="1"/>
  <c r="Y284" i="7"/>
  <c r="X284" i="7"/>
  <c r="W284" i="7"/>
  <c r="X283" i="7"/>
  <c r="W283" i="7"/>
  <c r="Y283" i="7" s="1"/>
  <c r="W282" i="7"/>
  <c r="Y282" i="7" s="1"/>
  <c r="Y281" i="7"/>
  <c r="W281" i="7"/>
  <c r="X281" i="7" s="1"/>
  <c r="Y280" i="7"/>
  <c r="X280" i="7"/>
  <c r="W280" i="7"/>
  <c r="X279" i="7"/>
  <c r="W279" i="7"/>
  <c r="Y279" i="7" s="1"/>
  <c r="W278" i="7"/>
  <c r="Y278" i="7" s="1"/>
  <c r="Y277" i="7"/>
  <c r="W277" i="7"/>
  <c r="X277" i="7" s="1"/>
  <c r="Y276" i="7"/>
  <c r="X276" i="7"/>
  <c r="W276" i="7"/>
  <c r="X275" i="7"/>
  <c r="W275" i="7"/>
  <c r="Y275" i="7" s="1"/>
  <c r="W274" i="7"/>
  <c r="Y274" i="7" s="1"/>
  <c r="Y273" i="7"/>
  <c r="W273" i="7"/>
  <c r="X273" i="7" s="1"/>
  <c r="Y272" i="7"/>
  <c r="X272" i="7"/>
  <c r="W272" i="7"/>
  <c r="X271" i="7"/>
  <c r="W271" i="7"/>
  <c r="Y271" i="7" s="1"/>
  <c r="W270" i="7"/>
  <c r="Y270" i="7" s="1"/>
  <c r="Z269" i="7"/>
  <c r="W269" i="7"/>
  <c r="Y269" i="7" s="1"/>
  <c r="Y268" i="7"/>
  <c r="W268" i="7"/>
  <c r="X268" i="7" s="1"/>
  <c r="Y267" i="7"/>
  <c r="X267" i="7"/>
  <c r="W267" i="7"/>
  <c r="X266" i="7"/>
  <c r="W266" i="7"/>
  <c r="Y266" i="7" s="1"/>
  <c r="W265" i="7"/>
  <c r="Y265" i="7" s="1"/>
  <c r="Y264" i="7"/>
  <c r="W264" i="7"/>
  <c r="X264" i="7" s="1"/>
  <c r="Y263" i="7"/>
  <c r="X263" i="7"/>
  <c r="W263" i="7"/>
  <c r="X262" i="7"/>
  <c r="W262" i="7"/>
  <c r="Y262" i="7" s="1"/>
  <c r="W261" i="7"/>
  <c r="Y261" i="7" s="1"/>
  <c r="Y260" i="7"/>
  <c r="X260" i="7"/>
  <c r="W260" i="7"/>
  <c r="Y259" i="7"/>
  <c r="X259" i="7"/>
  <c r="W259" i="7"/>
  <c r="X258" i="7"/>
  <c r="W258" i="7"/>
  <c r="Y258" i="7" s="1"/>
  <c r="Y257" i="7"/>
  <c r="W256" i="7"/>
  <c r="Y256" i="7" s="1"/>
  <c r="Y255" i="7"/>
  <c r="X255" i="7"/>
  <c r="W255" i="7"/>
  <c r="Y254" i="7"/>
  <c r="W254" i="7"/>
  <c r="V254" i="7"/>
  <c r="X253" i="7"/>
  <c r="W253" i="7"/>
  <c r="Y253" i="7" s="1"/>
  <c r="W252" i="7"/>
  <c r="Y252" i="7" s="1"/>
  <c r="V252" i="7"/>
  <c r="W251" i="7"/>
  <c r="Y251" i="7" s="1"/>
  <c r="V251" i="7"/>
  <c r="W250" i="7"/>
  <c r="Y250" i="7" s="1"/>
  <c r="V250" i="7"/>
  <c r="W249" i="7"/>
  <c r="Y249" i="7" s="1"/>
  <c r="V249" i="7"/>
  <c r="W248" i="7"/>
  <c r="Y248" i="7" s="1"/>
  <c r="V248" i="7"/>
  <c r="W247" i="7"/>
  <c r="Y247" i="7" s="1"/>
  <c r="Y246" i="7"/>
  <c r="X246" i="7"/>
  <c r="X245" i="7"/>
  <c r="W245" i="7"/>
  <c r="Y245" i="7" s="1"/>
  <c r="W244" i="7"/>
  <c r="Y244" i="7" s="1"/>
  <c r="Y243" i="7"/>
  <c r="X243" i="7"/>
  <c r="W243" i="7"/>
  <c r="Y242" i="7"/>
  <c r="X242" i="7"/>
  <c r="W242" i="7"/>
  <c r="Y241" i="7"/>
  <c r="X241" i="7"/>
  <c r="Y240" i="7"/>
  <c r="W240" i="7"/>
  <c r="X240" i="7" s="1"/>
  <c r="Y239" i="7"/>
  <c r="X239" i="7"/>
  <c r="W239" i="7"/>
  <c r="X238" i="7"/>
  <c r="W238" i="7"/>
  <c r="Y238" i="7" s="1"/>
  <c r="W237" i="7"/>
  <c r="Y237" i="7" s="1"/>
  <c r="Y236" i="7"/>
  <c r="W236" i="7"/>
  <c r="X236" i="7" s="1"/>
  <c r="Y235" i="7"/>
  <c r="X235" i="7"/>
  <c r="W235" i="7"/>
  <c r="X234" i="7"/>
  <c r="W234" i="7"/>
  <c r="Y234" i="7" s="1"/>
  <c r="W233" i="7"/>
  <c r="Y233" i="7" s="1"/>
  <c r="Y232" i="7"/>
  <c r="W232" i="7"/>
  <c r="X232" i="7" s="1"/>
  <c r="Y231" i="7"/>
  <c r="X231" i="7"/>
  <c r="W231" i="7"/>
  <c r="X230" i="7"/>
  <c r="W230" i="7"/>
  <c r="Y230" i="7" s="1"/>
  <c r="X229" i="7"/>
  <c r="W229" i="7"/>
  <c r="Y229" i="7" s="1"/>
  <c r="B229" i="7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X228" i="7"/>
  <c r="W228" i="7"/>
  <c r="Y228" i="7" s="1"/>
  <c r="X237" i="7" l="1"/>
  <c r="X244" i="7"/>
  <c r="X247" i="7"/>
  <c r="X248" i="7"/>
  <c r="X249" i="7"/>
  <c r="X250" i="7"/>
  <c r="X251" i="7"/>
  <c r="X252" i="7"/>
  <c r="X261" i="7"/>
  <c r="X265" i="7"/>
  <c r="X269" i="7"/>
  <c r="X270" i="7"/>
  <c r="X274" i="7"/>
  <c r="X278" i="7"/>
  <c r="X282" i="7"/>
  <c r="X286" i="7"/>
  <c r="X290" i="7"/>
  <c r="X297" i="7"/>
  <c r="X301" i="7"/>
  <c r="X305" i="7"/>
  <c r="X309" i="7"/>
  <c r="X313" i="7"/>
  <c r="X317" i="7"/>
  <c r="X321" i="7"/>
  <c r="X325" i="7"/>
  <c r="X329" i="7"/>
  <c r="X349" i="7"/>
  <c r="X367" i="7"/>
  <c r="X374" i="7"/>
  <c r="X233" i="7"/>
  <c r="X373" i="7"/>
  <c r="F3" i="3"/>
  <c r="G3" i="3"/>
  <c r="H3" i="3"/>
  <c r="I3" i="3"/>
  <c r="J3" i="3"/>
  <c r="K3" i="3"/>
  <c r="L3" i="3"/>
  <c r="M3" i="3"/>
  <c r="N3" i="3"/>
  <c r="O3" i="3"/>
  <c r="F4" i="3"/>
  <c r="G4" i="3"/>
  <c r="H4" i="3"/>
  <c r="I4" i="3"/>
  <c r="J4" i="3"/>
  <c r="K4" i="3"/>
  <c r="L4" i="3"/>
  <c r="M4" i="3"/>
  <c r="N4" i="3"/>
  <c r="O4" i="3"/>
  <c r="F5" i="3"/>
  <c r="G5" i="3"/>
  <c r="H5" i="3"/>
  <c r="I5" i="3"/>
  <c r="J5" i="3"/>
  <c r="K5" i="3"/>
  <c r="L5" i="3"/>
  <c r="M5" i="3"/>
  <c r="N5" i="3"/>
  <c r="O5" i="3"/>
  <c r="F6" i="3"/>
  <c r="G6" i="3"/>
  <c r="H6" i="3"/>
  <c r="I6" i="3"/>
  <c r="J6" i="3"/>
  <c r="K6" i="3"/>
  <c r="L6" i="3"/>
  <c r="M6" i="3"/>
  <c r="N6" i="3"/>
  <c r="O6" i="3"/>
  <c r="F7" i="3"/>
  <c r="G7" i="3"/>
  <c r="H7" i="3"/>
  <c r="I7" i="3"/>
  <c r="J7" i="3"/>
  <c r="K7" i="3"/>
  <c r="L7" i="3"/>
  <c r="M7" i="3"/>
  <c r="N7" i="3"/>
  <c r="O7" i="3"/>
  <c r="F8" i="3"/>
  <c r="G8" i="3"/>
  <c r="H8" i="3"/>
  <c r="I8" i="3"/>
  <c r="J8" i="3"/>
  <c r="K8" i="3"/>
  <c r="L8" i="3"/>
  <c r="M8" i="3"/>
  <c r="N8" i="3"/>
  <c r="O8" i="3"/>
  <c r="F9" i="3"/>
  <c r="G9" i="3"/>
  <c r="H9" i="3"/>
  <c r="I9" i="3"/>
  <c r="J9" i="3"/>
  <c r="K9" i="3"/>
  <c r="L9" i="3"/>
  <c r="M9" i="3"/>
  <c r="N9" i="3"/>
  <c r="O9" i="3"/>
  <c r="F10" i="3"/>
  <c r="G10" i="3"/>
  <c r="H10" i="3"/>
  <c r="I10" i="3"/>
  <c r="J10" i="3"/>
  <c r="K10" i="3"/>
  <c r="L10" i="3"/>
  <c r="M10" i="3"/>
  <c r="N10" i="3"/>
  <c r="O10" i="3"/>
  <c r="F11" i="3"/>
  <c r="G11" i="3"/>
  <c r="H11" i="3"/>
  <c r="I11" i="3"/>
  <c r="J11" i="3"/>
  <c r="K11" i="3"/>
  <c r="L11" i="3"/>
  <c r="M11" i="3"/>
  <c r="N11" i="3"/>
  <c r="O11" i="3"/>
  <c r="F12" i="3"/>
  <c r="G12" i="3"/>
  <c r="H12" i="3"/>
  <c r="I12" i="3"/>
  <c r="J12" i="3"/>
  <c r="K12" i="3"/>
  <c r="L12" i="3"/>
  <c r="M12" i="3"/>
  <c r="N12" i="3"/>
  <c r="O12" i="3"/>
  <c r="F13" i="3"/>
  <c r="G13" i="3"/>
  <c r="H13" i="3"/>
  <c r="I13" i="3"/>
  <c r="J13" i="3"/>
  <c r="K13" i="3"/>
  <c r="L13" i="3"/>
  <c r="M13" i="3"/>
  <c r="N13" i="3"/>
  <c r="O13" i="3"/>
  <c r="F14" i="3"/>
  <c r="G14" i="3"/>
  <c r="H14" i="3"/>
  <c r="I14" i="3"/>
  <c r="J14" i="3"/>
  <c r="K14" i="3"/>
  <c r="L14" i="3"/>
  <c r="M14" i="3"/>
  <c r="N14" i="3"/>
  <c r="O14" i="3"/>
  <c r="F15" i="3"/>
  <c r="G15" i="3"/>
  <c r="H15" i="3"/>
  <c r="I15" i="3"/>
  <c r="J15" i="3"/>
  <c r="K15" i="3"/>
  <c r="L15" i="3"/>
  <c r="M15" i="3"/>
  <c r="N15" i="3"/>
  <c r="O15" i="3"/>
  <c r="F16" i="3"/>
  <c r="G16" i="3"/>
  <c r="H16" i="3"/>
  <c r="I16" i="3"/>
  <c r="J16" i="3"/>
  <c r="K16" i="3"/>
  <c r="L16" i="3"/>
  <c r="M16" i="3"/>
  <c r="N16" i="3"/>
  <c r="O16" i="3"/>
  <c r="F17" i="3"/>
  <c r="G17" i="3"/>
  <c r="H17" i="3"/>
  <c r="I17" i="3"/>
  <c r="J17" i="3"/>
  <c r="K17" i="3"/>
  <c r="L17" i="3"/>
  <c r="M17" i="3"/>
  <c r="N17" i="3"/>
  <c r="O17" i="3"/>
  <c r="F18" i="3"/>
  <c r="G18" i="3"/>
  <c r="H18" i="3"/>
  <c r="I18" i="3"/>
  <c r="J18" i="3"/>
  <c r="K18" i="3"/>
  <c r="L18" i="3"/>
  <c r="M18" i="3"/>
  <c r="N18" i="3"/>
  <c r="O18" i="3"/>
  <c r="F19" i="3"/>
  <c r="G19" i="3"/>
  <c r="H19" i="3"/>
  <c r="I19" i="3"/>
  <c r="J19" i="3"/>
  <c r="K19" i="3"/>
  <c r="L19" i="3"/>
  <c r="M19" i="3"/>
  <c r="N19" i="3"/>
  <c r="O19" i="3"/>
  <c r="F20" i="3"/>
  <c r="G20" i="3"/>
  <c r="H20" i="3"/>
  <c r="I20" i="3"/>
  <c r="J20" i="3"/>
  <c r="K20" i="3"/>
  <c r="L20" i="3"/>
  <c r="M20" i="3"/>
  <c r="N20" i="3"/>
  <c r="O20" i="3"/>
  <c r="F21" i="3"/>
  <c r="G21" i="3"/>
  <c r="H21" i="3"/>
  <c r="I21" i="3"/>
  <c r="J21" i="3"/>
  <c r="K21" i="3"/>
  <c r="L21" i="3"/>
  <c r="M21" i="3"/>
  <c r="N21" i="3"/>
  <c r="O21" i="3"/>
  <c r="F22" i="3"/>
  <c r="G22" i="3"/>
  <c r="H22" i="3"/>
  <c r="I22" i="3"/>
  <c r="J22" i="3"/>
  <c r="K22" i="3"/>
  <c r="L22" i="3"/>
  <c r="M22" i="3"/>
  <c r="N22" i="3"/>
  <c r="O22" i="3"/>
  <c r="F23" i="3"/>
  <c r="G23" i="3"/>
  <c r="H23" i="3"/>
  <c r="I23" i="3"/>
  <c r="J23" i="3"/>
  <c r="K23" i="3"/>
  <c r="L23" i="3"/>
  <c r="M23" i="3"/>
  <c r="N23" i="3"/>
  <c r="O23" i="3"/>
  <c r="F24" i="3"/>
  <c r="G24" i="3"/>
  <c r="H24" i="3"/>
  <c r="I24" i="3"/>
  <c r="J24" i="3"/>
  <c r="K24" i="3"/>
  <c r="L24" i="3"/>
  <c r="M24" i="3"/>
  <c r="N24" i="3"/>
  <c r="O24" i="3"/>
  <c r="F25" i="3"/>
  <c r="G25" i="3"/>
  <c r="H25" i="3"/>
  <c r="I25" i="3"/>
  <c r="J25" i="3"/>
  <c r="K25" i="3"/>
  <c r="L25" i="3"/>
  <c r="M25" i="3"/>
  <c r="N25" i="3"/>
  <c r="O25" i="3"/>
  <c r="F26" i="3"/>
  <c r="G26" i="3"/>
  <c r="H26" i="3"/>
  <c r="I26" i="3"/>
  <c r="J26" i="3"/>
  <c r="K26" i="3"/>
  <c r="L26" i="3"/>
  <c r="M26" i="3"/>
  <c r="N26" i="3"/>
  <c r="O26" i="3"/>
  <c r="F27" i="3"/>
  <c r="G27" i="3"/>
  <c r="H27" i="3"/>
  <c r="I27" i="3"/>
  <c r="J27" i="3"/>
  <c r="K27" i="3"/>
  <c r="L27" i="3"/>
  <c r="M27" i="3"/>
  <c r="N27" i="3"/>
  <c r="O27" i="3"/>
  <c r="F28" i="3"/>
  <c r="G28" i="3"/>
  <c r="H28" i="3"/>
  <c r="I28" i="3"/>
  <c r="J28" i="3"/>
  <c r="K28" i="3"/>
  <c r="L28" i="3"/>
  <c r="M28" i="3"/>
  <c r="N28" i="3"/>
  <c r="O28" i="3"/>
  <c r="F29" i="3"/>
  <c r="G29" i="3"/>
  <c r="H29" i="3"/>
  <c r="I29" i="3"/>
  <c r="J29" i="3"/>
  <c r="K29" i="3"/>
  <c r="L29" i="3"/>
  <c r="M29" i="3"/>
  <c r="N29" i="3"/>
  <c r="O29" i="3"/>
  <c r="F30" i="3"/>
  <c r="G30" i="3"/>
  <c r="H30" i="3"/>
  <c r="I30" i="3"/>
  <c r="J30" i="3"/>
  <c r="K30" i="3"/>
  <c r="L30" i="3"/>
  <c r="M30" i="3"/>
  <c r="N30" i="3"/>
  <c r="O30" i="3"/>
  <c r="F31" i="3"/>
  <c r="G31" i="3"/>
  <c r="H31" i="3"/>
  <c r="I31" i="3"/>
  <c r="J31" i="3"/>
  <c r="K31" i="3"/>
  <c r="L31" i="3"/>
  <c r="M31" i="3"/>
  <c r="N31" i="3"/>
  <c r="O31" i="3"/>
  <c r="F32" i="3"/>
  <c r="G32" i="3"/>
  <c r="H32" i="3"/>
  <c r="I32" i="3"/>
  <c r="J32" i="3"/>
  <c r="K32" i="3"/>
  <c r="L32" i="3"/>
  <c r="M32" i="3"/>
  <c r="N32" i="3"/>
  <c r="O32" i="3"/>
  <c r="F33" i="3"/>
  <c r="G33" i="3"/>
  <c r="H33" i="3"/>
  <c r="I33" i="3"/>
  <c r="J33" i="3"/>
  <c r="K33" i="3"/>
  <c r="L33" i="3"/>
  <c r="M33" i="3"/>
  <c r="N33" i="3"/>
  <c r="O33" i="3"/>
  <c r="F34" i="3"/>
  <c r="G34" i="3"/>
  <c r="H34" i="3"/>
  <c r="I34" i="3"/>
  <c r="J34" i="3"/>
  <c r="K34" i="3"/>
  <c r="L34" i="3"/>
  <c r="M34" i="3"/>
  <c r="N34" i="3"/>
  <c r="O34" i="3"/>
  <c r="F35" i="3"/>
  <c r="G35" i="3"/>
  <c r="H35" i="3"/>
  <c r="I35" i="3"/>
  <c r="J35" i="3"/>
  <c r="K35" i="3"/>
  <c r="L35" i="3"/>
  <c r="M35" i="3"/>
  <c r="N35" i="3"/>
  <c r="O35" i="3"/>
  <c r="F36" i="3"/>
  <c r="G36" i="3"/>
  <c r="H36" i="3"/>
  <c r="I36" i="3"/>
  <c r="J36" i="3"/>
  <c r="K36" i="3"/>
  <c r="L36" i="3"/>
  <c r="M36" i="3"/>
  <c r="N36" i="3"/>
  <c r="O36" i="3"/>
  <c r="F37" i="3"/>
  <c r="G37" i="3"/>
  <c r="H37" i="3"/>
  <c r="I37" i="3"/>
  <c r="J37" i="3"/>
  <c r="K37" i="3"/>
  <c r="L37" i="3"/>
  <c r="M37" i="3"/>
  <c r="N37" i="3"/>
  <c r="O37" i="3"/>
  <c r="F38" i="3"/>
  <c r="G38" i="3"/>
  <c r="H38" i="3"/>
  <c r="I38" i="3"/>
  <c r="J38" i="3"/>
  <c r="K38" i="3"/>
  <c r="L38" i="3"/>
  <c r="M38" i="3"/>
  <c r="N38" i="3"/>
  <c r="O38" i="3"/>
  <c r="F39" i="3"/>
  <c r="G39" i="3"/>
  <c r="H39" i="3"/>
  <c r="I39" i="3"/>
  <c r="J39" i="3"/>
  <c r="K39" i="3"/>
  <c r="L39" i="3"/>
  <c r="M39" i="3"/>
  <c r="N39" i="3"/>
  <c r="O39" i="3"/>
  <c r="F40" i="3"/>
  <c r="G40" i="3"/>
  <c r="H40" i="3"/>
  <c r="I40" i="3"/>
  <c r="J40" i="3"/>
  <c r="K40" i="3"/>
  <c r="L40" i="3"/>
  <c r="M40" i="3"/>
  <c r="N40" i="3"/>
  <c r="O40" i="3"/>
  <c r="F41" i="3"/>
  <c r="G41" i="3"/>
  <c r="H41" i="3"/>
  <c r="I41" i="3"/>
  <c r="J41" i="3"/>
  <c r="K41" i="3"/>
  <c r="L41" i="3"/>
  <c r="M41" i="3"/>
  <c r="N41" i="3"/>
  <c r="O41" i="3"/>
  <c r="F42" i="3"/>
  <c r="G42" i="3"/>
  <c r="H42" i="3"/>
  <c r="I42" i="3"/>
  <c r="J42" i="3"/>
  <c r="K42" i="3"/>
  <c r="L42" i="3"/>
  <c r="M42" i="3"/>
  <c r="N42" i="3"/>
  <c r="O42" i="3"/>
  <c r="F43" i="3"/>
  <c r="G43" i="3"/>
  <c r="H43" i="3"/>
  <c r="I43" i="3"/>
  <c r="J43" i="3"/>
  <c r="K43" i="3"/>
  <c r="L43" i="3"/>
  <c r="M43" i="3"/>
  <c r="N43" i="3"/>
  <c r="O43" i="3"/>
  <c r="F44" i="3"/>
  <c r="G44" i="3"/>
  <c r="H44" i="3"/>
  <c r="I44" i="3"/>
  <c r="J44" i="3"/>
  <c r="K44" i="3"/>
  <c r="L44" i="3"/>
  <c r="M44" i="3"/>
  <c r="N44" i="3"/>
  <c r="O44" i="3"/>
  <c r="F45" i="3"/>
  <c r="G45" i="3"/>
  <c r="H45" i="3"/>
  <c r="I45" i="3"/>
  <c r="J45" i="3"/>
  <c r="K45" i="3"/>
  <c r="L45" i="3"/>
  <c r="M45" i="3"/>
  <c r="N45" i="3"/>
  <c r="O45" i="3"/>
  <c r="F46" i="3"/>
  <c r="G46" i="3"/>
  <c r="H46" i="3"/>
  <c r="I46" i="3"/>
  <c r="J46" i="3"/>
  <c r="K46" i="3"/>
  <c r="L46" i="3"/>
  <c r="M46" i="3"/>
  <c r="N46" i="3"/>
  <c r="O46" i="3"/>
  <c r="F47" i="3"/>
  <c r="G47" i="3"/>
  <c r="H47" i="3"/>
  <c r="I47" i="3"/>
  <c r="J47" i="3"/>
  <c r="K47" i="3"/>
  <c r="L47" i="3"/>
  <c r="M47" i="3"/>
  <c r="N47" i="3"/>
  <c r="O47" i="3"/>
  <c r="F48" i="3"/>
  <c r="G48" i="3"/>
  <c r="H48" i="3"/>
  <c r="I48" i="3"/>
  <c r="J48" i="3"/>
  <c r="K48" i="3"/>
  <c r="L48" i="3"/>
  <c r="M48" i="3"/>
  <c r="N48" i="3"/>
  <c r="O48" i="3"/>
  <c r="F49" i="3"/>
  <c r="G49" i="3"/>
  <c r="H49" i="3"/>
  <c r="I49" i="3"/>
  <c r="J49" i="3"/>
  <c r="K49" i="3"/>
  <c r="L49" i="3"/>
  <c r="M49" i="3"/>
  <c r="N49" i="3"/>
  <c r="O49" i="3"/>
  <c r="F50" i="3"/>
  <c r="G50" i="3"/>
  <c r="H50" i="3"/>
  <c r="I50" i="3"/>
  <c r="J50" i="3"/>
  <c r="K50" i="3"/>
  <c r="L50" i="3"/>
  <c r="M50" i="3"/>
  <c r="N50" i="3"/>
  <c r="O50" i="3"/>
  <c r="F51" i="3"/>
  <c r="G51" i="3"/>
  <c r="H51" i="3"/>
  <c r="I51" i="3"/>
  <c r="J51" i="3"/>
  <c r="K51" i="3"/>
  <c r="L51" i="3"/>
  <c r="M51" i="3"/>
  <c r="N51" i="3"/>
  <c r="O51" i="3"/>
  <c r="F52" i="3"/>
  <c r="G52" i="3"/>
  <c r="H52" i="3"/>
  <c r="I52" i="3"/>
  <c r="J52" i="3"/>
  <c r="K52" i="3"/>
  <c r="L52" i="3"/>
  <c r="M52" i="3"/>
  <c r="N52" i="3"/>
  <c r="O52" i="3"/>
  <c r="F53" i="3"/>
  <c r="G53" i="3"/>
  <c r="H53" i="3"/>
  <c r="I53" i="3"/>
  <c r="J53" i="3"/>
  <c r="K53" i="3"/>
  <c r="L53" i="3"/>
  <c r="M53" i="3"/>
  <c r="N53" i="3"/>
  <c r="O53" i="3"/>
  <c r="F54" i="3"/>
  <c r="G54" i="3"/>
  <c r="H54" i="3"/>
  <c r="I54" i="3"/>
  <c r="J54" i="3"/>
  <c r="K54" i="3"/>
  <c r="L54" i="3"/>
  <c r="M54" i="3"/>
  <c r="N54" i="3"/>
  <c r="O54" i="3"/>
  <c r="F55" i="3"/>
  <c r="G55" i="3"/>
  <c r="H55" i="3"/>
  <c r="I55" i="3"/>
  <c r="J55" i="3"/>
  <c r="K55" i="3"/>
  <c r="L55" i="3"/>
  <c r="M55" i="3"/>
  <c r="N55" i="3"/>
  <c r="O55" i="3"/>
  <c r="F56" i="3"/>
  <c r="G56" i="3"/>
  <c r="H56" i="3"/>
  <c r="I56" i="3"/>
  <c r="J56" i="3"/>
  <c r="K56" i="3"/>
  <c r="L56" i="3"/>
  <c r="M56" i="3"/>
  <c r="N56" i="3"/>
  <c r="O56" i="3"/>
  <c r="F57" i="3"/>
  <c r="G57" i="3"/>
  <c r="H57" i="3"/>
  <c r="I57" i="3"/>
  <c r="J57" i="3"/>
  <c r="K57" i="3"/>
  <c r="L57" i="3"/>
  <c r="M57" i="3"/>
  <c r="N57" i="3"/>
  <c r="O57" i="3"/>
  <c r="F58" i="3"/>
  <c r="G58" i="3"/>
  <c r="H58" i="3"/>
  <c r="I58" i="3"/>
  <c r="J58" i="3"/>
  <c r="K58" i="3"/>
  <c r="L58" i="3"/>
  <c r="M58" i="3"/>
  <c r="N58" i="3"/>
  <c r="O58" i="3"/>
  <c r="F59" i="3"/>
  <c r="G59" i="3"/>
  <c r="H59" i="3"/>
  <c r="I59" i="3"/>
  <c r="J59" i="3"/>
  <c r="K59" i="3"/>
  <c r="L59" i="3"/>
  <c r="M59" i="3"/>
  <c r="N59" i="3"/>
  <c r="O59" i="3"/>
  <c r="F60" i="3"/>
  <c r="G60" i="3"/>
  <c r="H60" i="3"/>
  <c r="I60" i="3"/>
  <c r="J60" i="3"/>
  <c r="K60" i="3"/>
  <c r="L60" i="3"/>
  <c r="M60" i="3"/>
  <c r="N60" i="3"/>
  <c r="O60" i="3"/>
  <c r="F61" i="3"/>
  <c r="G61" i="3"/>
  <c r="H61" i="3"/>
  <c r="I61" i="3"/>
  <c r="J61" i="3"/>
  <c r="K61" i="3"/>
  <c r="L61" i="3"/>
  <c r="M61" i="3"/>
  <c r="N61" i="3"/>
  <c r="O61" i="3"/>
  <c r="F62" i="3"/>
  <c r="G62" i="3"/>
  <c r="H62" i="3"/>
  <c r="I62" i="3"/>
  <c r="J62" i="3"/>
  <c r="K62" i="3"/>
  <c r="L62" i="3"/>
  <c r="M62" i="3"/>
  <c r="N62" i="3"/>
  <c r="O62" i="3"/>
  <c r="F63" i="3"/>
  <c r="G63" i="3"/>
  <c r="H63" i="3"/>
  <c r="I63" i="3"/>
  <c r="J63" i="3"/>
  <c r="K63" i="3"/>
  <c r="L63" i="3"/>
  <c r="M63" i="3"/>
  <c r="N63" i="3"/>
  <c r="O63" i="3"/>
  <c r="F64" i="3"/>
  <c r="G64" i="3"/>
  <c r="H64" i="3"/>
  <c r="I64" i="3"/>
  <c r="J64" i="3"/>
  <c r="K64" i="3"/>
  <c r="L64" i="3"/>
  <c r="M64" i="3"/>
  <c r="N64" i="3"/>
  <c r="O64" i="3"/>
  <c r="F65" i="3"/>
  <c r="G65" i="3"/>
  <c r="H65" i="3"/>
  <c r="I65" i="3"/>
  <c r="J65" i="3"/>
  <c r="K65" i="3"/>
  <c r="L65" i="3"/>
  <c r="M65" i="3"/>
  <c r="N65" i="3"/>
  <c r="O65" i="3"/>
  <c r="F66" i="3"/>
  <c r="G66" i="3"/>
  <c r="H66" i="3"/>
  <c r="I66" i="3"/>
  <c r="J66" i="3"/>
  <c r="K66" i="3"/>
  <c r="L66" i="3"/>
  <c r="M66" i="3"/>
  <c r="N66" i="3"/>
  <c r="O66" i="3"/>
  <c r="F67" i="3"/>
  <c r="G67" i="3"/>
  <c r="H67" i="3"/>
  <c r="I67" i="3"/>
  <c r="J67" i="3"/>
  <c r="K67" i="3"/>
  <c r="L67" i="3"/>
  <c r="M67" i="3"/>
  <c r="N67" i="3"/>
  <c r="O67" i="3"/>
  <c r="F68" i="3"/>
  <c r="G68" i="3"/>
  <c r="H68" i="3"/>
  <c r="I68" i="3"/>
  <c r="J68" i="3"/>
  <c r="K68" i="3"/>
  <c r="L68" i="3"/>
  <c r="M68" i="3"/>
  <c r="N68" i="3"/>
  <c r="O68" i="3"/>
  <c r="F69" i="3"/>
  <c r="G69" i="3"/>
  <c r="H69" i="3"/>
  <c r="I69" i="3"/>
  <c r="J69" i="3"/>
  <c r="K69" i="3"/>
  <c r="L69" i="3"/>
  <c r="M69" i="3"/>
  <c r="N69" i="3"/>
  <c r="O69" i="3"/>
  <c r="F70" i="3"/>
  <c r="G70" i="3"/>
  <c r="H70" i="3"/>
  <c r="I70" i="3"/>
  <c r="J70" i="3"/>
  <c r="K70" i="3"/>
  <c r="L70" i="3"/>
  <c r="M70" i="3"/>
  <c r="N70" i="3"/>
  <c r="O70" i="3"/>
  <c r="F71" i="3"/>
  <c r="G71" i="3"/>
  <c r="H71" i="3"/>
  <c r="I71" i="3"/>
  <c r="J71" i="3"/>
  <c r="K71" i="3"/>
  <c r="L71" i="3"/>
  <c r="M71" i="3"/>
  <c r="N71" i="3"/>
  <c r="O71" i="3"/>
  <c r="F72" i="3"/>
  <c r="G72" i="3"/>
  <c r="H72" i="3"/>
  <c r="I72" i="3"/>
  <c r="J72" i="3"/>
  <c r="K72" i="3"/>
  <c r="L72" i="3"/>
  <c r="M72" i="3"/>
  <c r="N72" i="3"/>
  <c r="O72" i="3"/>
  <c r="F73" i="3"/>
  <c r="G73" i="3"/>
  <c r="H73" i="3"/>
  <c r="I73" i="3"/>
  <c r="J73" i="3"/>
  <c r="K73" i="3"/>
  <c r="L73" i="3"/>
  <c r="M73" i="3"/>
  <c r="N73" i="3"/>
  <c r="O73" i="3"/>
  <c r="F74" i="3"/>
  <c r="G74" i="3"/>
  <c r="H74" i="3"/>
  <c r="I74" i="3"/>
  <c r="J74" i="3"/>
  <c r="K74" i="3"/>
  <c r="L74" i="3"/>
  <c r="M74" i="3"/>
  <c r="N74" i="3"/>
  <c r="O74" i="3"/>
  <c r="F75" i="3"/>
  <c r="G75" i="3"/>
  <c r="H75" i="3"/>
  <c r="I75" i="3"/>
  <c r="J75" i="3"/>
  <c r="K75" i="3"/>
  <c r="L75" i="3"/>
  <c r="M75" i="3"/>
  <c r="N75" i="3"/>
  <c r="O75" i="3"/>
  <c r="F76" i="3"/>
  <c r="G76" i="3"/>
  <c r="H76" i="3"/>
  <c r="I76" i="3"/>
  <c r="J76" i="3"/>
  <c r="K76" i="3"/>
  <c r="L76" i="3"/>
  <c r="M76" i="3"/>
  <c r="N76" i="3"/>
  <c r="O76" i="3"/>
  <c r="F77" i="3"/>
  <c r="G77" i="3"/>
  <c r="H77" i="3"/>
  <c r="I77" i="3"/>
  <c r="J77" i="3"/>
  <c r="K77" i="3"/>
  <c r="L77" i="3"/>
  <c r="M77" i="3"/>
  <c r="N77" i="3"/>
  <c r="O77" i="3"/>
  <c r="F78" i="3"/>
  <c r="G78" i="3"/>
  <c r="H78" i="3"/>
  <c r="I78" i="3"/>
  <c r="J78" i="3"/>
  <c r="K78" i="3"/>
  <c r="L78" i="3"/>
  <c r="M78" i="3"/>
  <c r="N78" i="3"/>
  <c r="O78" i="3"/>
  <c r="F79" i="3"/>
  <c r="G79" i="3"/>
  <c r="H79" i="3"/>
  <c r="I79" i="3"/>
  <c r="J79" i="3"/>
  <c r="K79" i="3"/>
  <c r="L79" i="3"/>
  <c r="M79" i="3"/>
  <c r="N79" i="3"/>
  <c r="O79" i="3"/>
  <c r="F80" i="3"/>
  <c r="G80" i="3"/>
  <c r="H80" i="3"/>
  <c r="I80" i="3"/>
  <c r="J80" i="3"/>
  <c r="K80" i="3"/>
  <c r="L80" i="3"/>
  <c r="M80" i="3"/>
  <c r="N80" i="3"/>
  <c r="O80" i="3"/>
  <c r="F81" i="3"/>
  <c r="G81" i="3"/>
  <c r="H81" i="3"/>
  <c r="I81" i="3"/>
  <c r="J81" i="3"/>
  <c r="K81" i="3"/>
  <c r="L81" i="3"/>
  <c r="M81" i="3"/>
  <c r="N81" i="3"/>
  <c r="O81" i="3"/>
  <c r="F82" i="3"/>
  <c r="G82" i="3"/>
  <c r="H82" i="3"/>
  <c r="I82" i="3"/>
  <c r="J82" i="3"/>
  <c r="K82" i="3"/>
  <c r="L82" i="3"/>
  <c r="M82" i="3"/>
  <c r="N82" i="3"/>
  <c r="O82" i="3"/>
  <c r="F83" i="3"/>
  <c r="G83" i="3"/>
  <c r="H83" i="3"/>
  <c r="I83" i="3"/>
  <c r="J83" i="3"/>
  <c r="K83" i="3"/>
  <c r="L83" i="3"/>
  <c r="M83" i="3"/>
  <c r="N83" i="3"/>
  <c r="O83" i="3"/>
  <c r="F84" i="3"/>
  <c r="G84" i="3"/>
  <c r="H84" i="3"/>
  <c r="I84" i="3"/>
  <c r="J84" i="3"/>
  <c r="K84" i="3"/>
  <c r="L84" i="3"/>
  <c r="M84" i="3"/>
  <c r="N84" i="3"/>
  <c r="O84" i="3"/>
  <c r="F85" i="3"/>
  <c r="G85" i="3"/>
  <c r="H85" i="3"/>
  <c r="I85" i="3"/>
  <c r="J85" i="3"/>
  <c r="K85" i="3"/>
  <c r="L85" i="3"/>
  <c r="M85" i="3"/>
  <c r="N85" i="3"/>
  <c r="O85" i="3"/>
  <c r="F86" i="3"/>
  <c r="G86" i="3"/>
  <c r="H86" i="3"/>
  <c r="I86" i="3"/>
  <c r="J86" i="3"/>
  <c r="K86" i="3"/>
  <c r="L86" i="3"/>
  <c r="M86" i="3"/>
  <c r="N86" i="3"/>
  <c r="O86" i="3"/>
  <c r="F87" i="3"/>
  <c r="G87" i="3"/>
  <c r="H87" i="3"/>
  <c r="I87" i="3"/>
  <c r="J87" i="3"/>
  <c r="K87" i="3"/>
  <c r="L87" i="3"/>
  <c r="M87" i="3"/>
  <c r="N87" i="3"/>
  <c r="O87" i="3"/>
  <c r="F88" i="3"/>
  <c r="G88" i="3"/>
  <c r="H88" i="3"/>
  <c r="I88" i="3"/>
  <c r="J88" i="3"/>
  <c r="K88" i="3"/>
  <c r="L88" i="3"/>
  <c r="M88" i="3"/>
  <c r="N88" i="3"/>
  <c r="O88" i="3"/>
  <c r="F89" i="3"/>
  <c r="G89" i="3"/>
  <c r="H89" i="3"/>
  <c r="I89" i="3"/>
  <c r="J89" i="3"/>
  <c r="K89" i="3"/>
  <c r="L89" i="3"/>
  <c r="M89" i="3"/>
  <c r="N89" i="3"/>
  <c r="O89" i="3"/>
  <c r="F90" i="3"/>
  <c r="G90" i="3"/>
  <c r="H90" i="3"/>
  <c r="I90" i="3"/>
  <c r="J90" i="3"/>
  <c r="K90" i="3"/>
  <c r="L90" i="3"/>
  <c r="M90" i="3"/>
  <c r="N90" i="3"/>
  <c r="O90" i="3"/>
  <c r="F91" i="3"/>
  <c r="G91" i="3"/>
  <c r="H91" i="3"/>
  <c r="I91" i="3"/>
  <c r="J91" i="3"/>
  <c r="K91" i="3"/>
  <c r="L91" i="3"/>
  <c r="M91" i="3"/>
  <c r="N91" i="3"/>
  <c r="O91" i="3"/>
  <c r="F92" i="3"/>
  <c r="G92" i="3"/>
  <c r="H92" i="3"/>
  <c r="I92" i="3"/>
  <c r="J92" i="3"/>
  <c r="K92" i="3"/>
  <c r="L92" i="3"/>
  <c r="M92" i="3"/>
  <c r="N92" i="3"/>
  <c r="O92" i="3"/>
  <c r="F93" i="3"/>
  <c r="G93" i="3"/>
  <c r="H93" i="3"/>
  <c r="I93" i="3"/>
  <c r="J93" i="3"/>
  <c r="K93" i="3"/>
  <c r="L93" i="3"/>
  <c r="M93" i="3"/>
  <c r="N93" i="3"/>
  <c r="O93" i="3"/>
  <c r="F94" i="3"/>
  <c r="G94" i="3"/>
  <c r="H94" i="3"/>
  <c r="I94" i="3"/>
  <c r="J94" i="3"/>
  <c r="K94" i="3"/>
  <c r="L94" i="3"/>
  <c r="M94" i="3"/>
  <c r="N94" i="3"/>
  <c r="O94" i="3"/>
  <c r="F95" i="3"/>
  <c r="G95" i="3"/>
  <c r="H95" i="3"/>
  <c r="I95" i="3"/>
  <c r="J95" i="3"/>
  <c r="K95" i="3"/>
  <c r="L95" i="3"/>
  <c r="M95" i="3"/>
  <c r="N95" i="3"/>
  <c r="O95" i="3"/>
  <c r="F96" i="3"/>
  <c r="G96" i="3"/>
  <c r="H96" i="3"/>
  <c r="I96" i="3"/>
  <c r="J96" i="3"/>
  <c r="K96" i="3"/>
  <c r="L96" i="3"/>
  <c r="M96" i="3"/>
  <c r="N96" i="3"/>
  <c r="O96" i="3"/>
  <c r="F97" i="3"/>
  <c r="G97" i="3"/>
  <c r="H97" i="3"/>
  <c r="I97" i="3"/>
  <c r="J97" i="3"/>
  <c r="K97" i="3"/>
  <c r="L97" i="3"/>
  <c r="M97" i="3"/>
  <c r="N97" i="3"/>
  <c r="O97" i="3"/>
  <c r="F98" i="3"/>
  <c r="G98" i="3"/>
  <c r="H98" i="3"/>
  <c r="I98" i="3"/>
  <c r="J98" i="3"/>
  <c r="K98" i="3"/>
  <c r="L98" i="3"/>
  <c r="M98" i="3"/>
  <c r="N98" i="3"/>
  <c r="O98" i="3"/>
  <c r="F99" i="3"/>
  <c r="G99" i="3"/>
  <c r="H99" i="3"/>
  <c r="I99" i="3"/>
  <c r="J99" i="3"/>
  <c r="K99" i="3"/>
  <c r="L99" i="3"/>
  <c r="M99" i="3"/>
  <c r="N99" i="3"/>
  <c r="O99" i="3"/>
  <c r="F100" i="3"/>
  <c r="G100" i="3"/>
  <c r="H100" i="3"/>
  <c r="I100" i="3"/>
  <c r="J100" i="3"/>
  <c r="K100" i="3"/>
  <c r="L100" i="3"/>
  <c r="M100" i="3"/>
  <c r="N100" i="3"/>
  <c r="O100" i="3"/>
  <c r="F101" i="3"/>
  <c r="G101" i="3"/>
  <c r="H101" i="3"/>
  <c r="I101" i="3"/>
  <c r="J101" i="3"/>
  <c r="K101" i="3"/>
  <c r="L101" i="3"/>
  <c r="M101" i="3"/>
  <c r="N101" i="3"/>
  <c r="O101" i="3"/>
  <c r="F102" i="3"/>
  <c r="G102" i="3"/>
  <c r="H102" i="3"/>
  <c r="I102" i="3"/>
  <c r="J102" i="3"/>
  <c r="K102" i="3"/>
  <c r="L102" i="3"/>
  <c r="M102" i="3"/>
  <c r="N102" i="3"/>
  <c r="O102" i="3"/>
  <c r="F103" i="3"/>
  <c r="G103" i="3"/>
  <c r="H103" i="3"/>
  <c r="I103" i="3"/>
  <c r="J103" i="3"/>
  <c r="K103" i="3"/>
  <c r="L103" i="3"/>
  <c r="M103" i="3"/>
  <c r="N103" i="3"/>
  <c r="O103" i="3"/>
  <c r="F104" i="3"/>
  <c r="G104" i="3"/>
  <c r="H104" i="3"/>
  <c r="I104" i="3"/>
  <c r="J104" i="3"/>
  <c r="K104" i="3"/>
  <c r="L104" i="3"/>
  <c r="M104" i="3"/>
  <c r="N104" i="3"/>
  <c r="O104" i="3"/>
  <c r="F105" i="3"/>
  <c r="G105" i="3"/>
  <c r="H105" i="3"/>
  <c r="I105" i="3"/>
  <c r="J105" i="3"/>
  <c r="K105" i="3"/>
  <c r="L105" i="3"/>
  <c r="M105" i="3"/>
  <c r="N105" i="3"/>
  <c r="O105" i="3"/>
  <c r="F106" i="3"/>
  <c r="G106" i="3"/>
  <c r="H106" i="3"/>
  <c r="I106" i="3"/>
  <c r="J106" i="3"/>
  <c r="K106" i="3"/>
  <c r="L106" i="3"/>
  <c r="M106" i="3"/>
  <c r="N106" i="3"/>
  <c r="O106" i="3"/>
  <c r="F107" i="3"/>
  <c r="G107" i="3"/>
  <c r="H107" i="3"/>
  <c r="I107" i="3"/>
  <c r="J107" i="3"/>
  <c r="K107" i="3"/>
  <c r="L107" i="3"/>
  <c r="M107" i="3"/>
  <c r="N107" i="3"/>
  <c r="O107" i="3"/>
  <c r="F108" i="3"/>
  <c r="G108" i="3"/>
  <c r="H108" i="3"/>
  <c r="I108" i="3"/>
  <c r="J108" i="3"/>
  <c r="K108" i="3"/>
  <c r="L108" i="3"/>
  <c r="M108" i="3"/>
  <c r="N108" i="3"/>
  <c r="O108" i="3"/>
  <c r="F109" i="3"/>
  <c r="G109" i="3"/>
  <c r="H109" i="3"/>
  <c r="I109" i="3"/>
  <c r="J109" i="3"/>
  <c r="K109" i="3"/>
  <c r="L109" i="3"/>
  <c r="M109" i="3"/>
  <c r="N109" i="3"/>
  <c r="O109" i="3"/>
  <c r="F110" i="3"/>
  <c r="G110" i="3"/>
  <c r="H110" i="3"/>
  <c r="I110" i="3"/>
  <c r="J110" i="3"/>
  <c r="K110" i="3"/>
  <c r="L110" i="3"/>
  <c r="M110" i="3"/>
  <c r="N110" i="3"/>
  <c r="O110" i="3"/>
  <c r="F111" i="3"/>
  <c r="G111" i="3"/>
  <c r="H111" i="3"/>
  <c r="I111" i="3"/>
  <c r="J111" i="3"/>
  <c r="K111" i="3"/>
  <c r="L111" i="3"/>
  <c r="M111" i="3"/>
  <c r="N111" i="3"/>
  <c r="O111" i="3"/>
  <c r="F112" i="3"/>
  <c r="G112" i="3"/>
  <c r="H112" i="3"/>
  <c r="I112" i="3"/>
  <c r="J112" i="3"/>
  <c r="K112" i="3"/>
  <c r="L112" i="3"/>
  <c r="M112" i="3"/>
  <c r="N112" i="3"/>
  <c r="O112" i="3"/>
  <c r="F113" i="3"/>
  <c r="G113" i="3"/>
  <c r="H113" i="3"/>
  <c r="I113" i="3"/>
  <c r="J113" i="3"/>
  <c r="K113" i="3"/>
  <c r="L113" i="3"/>
  <c r="M113" i="3"/>
  <c r="N113" i="3"/>
  <c r="O113" i="3"/>
  <c r="F114" i="3"/>
  <c r="G114" i="3"/>
  <c r="H114" i="3"/>
  <c r="I114" i="3"/>
  <c r="J114" i="3"/>
  <c r="K114" i="3"/>
  <c r="L114" i="3"/>
  <c r="M114" i="3"/>
  <c r="N114" i="3"/>
  <c r="O114" i="3"/>
  <c r="F115" i="3"/>
  <c r="G115" i="3"/>
  <c r="H115" i="3"/>
  <c r="I115" i="3"/>
  <c r="J115" i="3"/>
  <c r="K115" i="3"/>
  <c r="L115" i="3"/>
  <c r="M115" i="3"/>
  <c r="N115" i="3"/>
  <c r="O115" i="3"/>
  <c r="F116" i="3"/>
  <c r="G116" i="3"/>
  <c r="H116" i="3"/>
  <c r="I116" i="3"/>
  <c r="J116" i="3"/>
  <c r="K116" i="3"/>
  <c r="L116" i="3"/>
  <c r="M116" i="3"/>
  <c r="N116" i="3"/>
  <c r="O116" i="3"/>
  <c r="F117" i="3"/>
  <c r="G117" i="3"/>
  <c r="H117" i="3"/>
  <c r="I117" i="3"/>
  <c r="J117" i="3"/>
  <c r="K117" i="3"/>
  <c r="L117" i="3"/>
  <c r="M117" i="3"/>
  <c r="N117" i="3"/>
  <c r="O117" i="3"/>
  <c r="F118" i="3"/>
  <c r="G118" i="3"/>
  <c r="H118" i="3"/>
  <c r="I118" i="3"/>
  <c r="J118" i="3"/>
  <c r="K118" i="3"/>
  <c r="L118" i="3"/>
  <c r="M118" i="3"/>
  <c r="N118" i="3"/>
  <c r="O118" i="3"/>
  <c r="F119" i="3"/>
  <c r="G119" i="3"/>
  <c r="H119" i="3"/>
  <c r="I119" i="3"/>
  <c r="J119" i="3"/>
  <c r="K119" i="3"/>
  <c r="L119" i="3"/>
  <c r="M119" i="3"/>
  <c r="N119" i="3"/>
  <c r="O119" i="3"/>
  <c r="F120" i="3"/>
  <c r="G120" i="3"/>
  <c r="H120" i="3"/>
  <c r="I120" i="3"/>
  <c r="J120" i="3"/>
  <c r="K120" i="3"/>
  <c r="L120" i="3"/>
  <c r="M120" i="3"/>
  <c r="N120" i="3"/>
  <c r="O120" i="3"/>
  <c r="F121" i="3"/>
  <c r="G121" i="3"/>
  <c r="H121" i="3"/>
  <c r="I121" i="3"/>
  <c r="J121" i="3"/>
  <c r="K121" i="3"/>
  <c r="L121" i="3"/>
  <c r="M121" i="3"/>
  <c r="N121" i="3"/>
  <c r="O121" i="3"/>
  <c r="F122" i="3"/>
  <c r="G122" i="3"/>
  <c r="H122" i="3"/>
  <c r="I122" i="3"/>
  <c r="J122" i="3"/>
  <c r="K122" i="3"/>
  <c r="L122" i="3"/>
  <c r="M122" i="3"/>
  <c r="N122" i="3"/>
  <c r="O122" i="3"/>
  <c r="F123" i="3"/>
  <c r="G123" i="3"/>
  <c r="H123" i="3"/>
  <c r="I123" i="3"/>
  <c r="J123" i="3"/>
  <c r="K123" i="3"/>
  <c r="L123" i="3"/>
  <c r="M123" i="3"/>
  <c r="N123" i="3"/>
  <c r="O123" i="3"/>
  <c r="F124" i="3"/>
  <c r="G124" i="3"/>
  <c r="H124" i="3"/>
  <c r="I124" i="3"/>
  <c r="J124" i="3"/>
  <c r="K124" i="3"/>
  <c r="L124" i="3"/>
  <c r="M124" i="3"/>
  <c r="N124" i="3"/>
  <c r="O124" i="3"/>
  <c r="F125" i="3"/>
  <c r="G125" i="3"/>
  <c r="H125" i="3"/>
  <c r="I125" i="3"/>
  <c r="J125" i="3"/>
  <c r="K125" i="3"/>
  <c r="L125" i="3"/>
  <c r="M125" i="3"/>
  <c r="N125" i="3"/>
  <c r="O125" i="3"/>
  <c r="F126" i="3"/>
  <c r="G126" i="3"/>
  <c r="H126" i="3"/>
  <c r="I126" i="3"/>
  <c r="J126" i="3"/>
  <c r="K126" i="3"/>
  <c r="L126" i="3"/>
  <c r="M126" i="3"/>
  <c r="N126" i="3"/>
  <c r="O126" i="3"/>
  <c r="F127" i="3"/>
  <c r="G127" i="3"/>
  <c r="H127" i="3"/>
  <c r="I127" i="3"/>
  <c r="J127" i="3"/>
  <c r="K127" i="3"/>
  <c r="L127" i="3"/>
  <c r="M127" i="3"/>
  <c r="N127" i="3"/>
  <c r="O127" i="3"/>
  <c r="F128" i="3"/>
  <c r="G128" i="3"/>
  <c r="H128" i="3"/>
  <c r="I128" i="3"/>
  <c r="J128" i="3"/>
  <c r="K128" i="3"/>
  <c r="L128" i="3"/>
  <c r="M128" i="3"/>
  <c r="N128" i="3"/>
  <c r="O128" i="3"/>
  <c r="F129" i="3"/>
  <c r="G129" i="3"/>
  <c r="H129" i="3"/>
  <c r="I129" i="3"/>
  <c r="J129" i="3"/>
  <c r="K129" i="3"/>
  <c r="L129" i="3"/>
  <c r="M129" i="3"/>
  <c r="N129" i="3"/>
  <c r="O129" i="3"/>
  <c r="F130" i="3"/>
  <c r="G130" i="3"/>
  <c r="H130" i="3"/>
  <c r="I130" i="3"/>
  <c r="J130" i="3"/>
  <c r="K130" i="3"/>
  <c r="L130" i="3"/>
  <c r="M130" i="3"/>
  <c r="N130" i="3"/>
  <c r="O130" i="3"/>
  <c r="F131" i="3"/>
  <c r="G131" i="3"/>
  <c r="H131" i="3"/>
  <c r="I131" i="3"/>
  <c r="J131" i="3"/>
  <c r="K131" i="3"/>
  <c r="L131" i="3"/>
  <c r="M131" i="3"/>
  <c r="N131" i="3"/>
  <c r="O131" i="3"/>
  <c r="F132" i="3"/>
  <c r="G132" i="3"/>
  <c r="H132" i="3"/>
  <c r="I132" i="3"/>
  <c r="J132" i="3"/>
  <c r="K132" i="3"/>
  <c r="L132" i="3"/>
  <c r="M132" i="3"/>
  <c r="N132" i="3"/>
  <c r="O132" i="3"/>
  <c r="F133" i="3"/>
  <c r="G133" i="3"/>
  <c r="H133" i="3"/>
  <c r="I133" i="3"/>
  <c r="J133" i="3"/>
  <c r="K133" i="3"/>
  <c r="L133" i="3"/>
  <c r="M133" i="3"/>
  <c r="N133" i="3"/>
  <c r="O133" i="3"/>
  <c r="F134" i="3"/>
  <c r="G134" i="3"/>
  <c r="H134" i="3"/>
  <c r="I134" i="3"/>
  <c r="J134" i="3"/>
  <c r="K134" i="3"/>
  <c r="L134" i="3"/>
  <c r="M134" i="3"/>
  <c r="N134" i="3"/>
  <c r="O134" i="3"/>
  <c r="F135" i="3"/>
  <c r="G135" i="3"/>
  <c r="H135" i="3"/>
  <c r="I135" i="3"/>
  <c r="J135" i="3"/>
  <c r="K135" i="3"/>
  <c r="L135" i="3"/>
  <c r="M135" i="3"/>
  <c r="N135" i="3"/>
  <c r="O135" i="3"/>
  <c r="F136" i="3"/>
  <c r="G136" i="3"/>
  <c r="H136" i="3"/>
  <c r="I136" i="3"/>
  <c r="J136" i="3"/>
  <c r="K136" i="3"/>
  <c r="L136" i="3"/>
  <c r="M136" i="3"/>
  <c r="N136" i="3"/>
  <c r="O136" i="3"/>
  <c r="F137" i="3"/>
  <c r="G137" i="3"/>
  <c r="H137" i="3"/>
  <c r="I137" i="3"/>
  <c r="J137" i="3"/>
  <c r="K137" i="3"/>
  <c r="L137" i="3"/>
  <c r="M137" i="3"/>
  <c r="N137" i="3"/>
  <c r="O137" i="3"/>
  <c r="F138" i="3"/>
  <c r="G138" i="3"/>
  <c r="H138" i="3"/>
  <c r="I138" i="3"/>
  <c r="J138" i="3"/>
  <c r="K138" i="3"/>
  <c r="L138" i="3"/>
  <c r="M138" i="3"/>
  <c r="N138" i="3"/>
  <c r="O138" i="3"/>
  <c r="F139" i="3"/>
  <c r="G139" i="3"/>
  <c r="H139" i="3"/>
  <c r="I139" i="3"/>
  <c r="J139" i="3"/>
  <c r="K139" i="3"/>
  <c r="L139" i="3"/>
  <c r="M139" i="3"/>
  <c r="N139" i="3"/>
  <c r="O139" i="3"/>
  <c r="F140" i="3"/>
  <c r="G140" i="3"/>
  <c r="H140" i="3"/>
  <c r="I140" i="3"/>
  <c r="J140" i="3"/>
  <c r="K140" i="3"/>
  <c r="L140" i="3"/>
  <c r="M140" i="3"/>
  <c r="N140" i="3"/>
  <c r="O140" i="3"/>
  <c r="F141" i="3"/>
  <c r="G141" i="3"/>
  <c r="H141" i="3"/>
  <c r="I141" i="3"/>
  <c r="J141" i="3"/>
  <c r="K141" i="3"/>
  <c r="L141" i="3"/>
  <c r="M141" i="3"/>
  <c r="N141" i="3"/>
  <c r="O141" i="3"/>
  <c r="F142" i="3"/>
  <c r="G142" i="3"/>
  <c r="H142" i="3"/>
  <c r="I142" i="3"/>
  <c r="J142" i="3"/>
  <c r="K142" i="3"/>
  <c r="L142" i="3"/>
  <c r="M142" i="3"/>
  <c r="N142" i="3"/>
  <c r="O142" i="3"/>
  <c r="F143" i="3"/>
  <c r="G143" i="3"/>
  <c r="H143" i="3"/>
  <c r="I143" i="3"/>
  <c r="J143" i="3"/>
  <c r="K143" i="3"/>
  <c r="L143" i="3"/>
  <c r="M143" i="3"/>
  <c r="N143" i="3"/>
  <c r="O143" i="3"/>
  <c r="F144" i="3"/>
  <c r="G144" i="3"/>
  <c r="H144" i="3"/>
  <c r="I144" i="3"/>
  <c r="J144" i="3"/>
  <c r="K144" i="3"/>
  <c r="L144" i="3"/>
  <c r="M144" i="3"/>
  <c r="N144" i="3"/>
  <c r="O144" i="3"/>
  <c r="F145" i="3"/>
  <c r="G145" i="3"/>
  <c r="H145" i="3"/>
  <c r="I145" i="3"/>
  <c r="J145" i="3"/>
  <c r="K145" i="3"/>
  <c r="L145" i="3"/>
  <c r="M145" i="3"/>
  <c r="N145" i="3"/>
  <c r="O145" i="3"/>
  <c r="F146" i="3"/>
  <c r="G146" i="3"/>
  <c r="H146" i="3"/>
  <c r="I146" i="3"/>
  <c r="J146" i="3"/>
  <c r="K146" i="3"/>
  <c r="L146" i="3"/>
  <c r="M146" i="3"/>
  <c r="N146" i="3"/>
  <c r="O146" i="3"/>
  <c r="F147" i="3"/>
  <c r="G147" i="3"/>
  <c r="H147" i="3"/>
  <c r="I147" i="3"/>
  <c r="J147" i="3"/>
  <c r="K147" i="3"/>
  <c r="L147" i="3"/>
  <c r="M147" i="3"/>
  <c r="N147" i="3"/>
  <c r="O147" i="3"/>
  <c r="F148" i="3"/>
  <c r="G148" i="3"/>
  <c r="H148" i="3"/>
  <c r="I148" i="3"/>
  <c r="J148" i="3"/>
  <c r="K148" i="3"/>
  <c r="L148" i="3"/>
  <c r="M148" i="3"/>
  <c r="N148" i="3"/>
  <c r="O148" i="3"/>
  <c r="F149" i="3"/>
  <c r="G149" i="3"/>
  <c r="H149" i="3"/>
  <c r="I149" i="3"/>
  <c r="J149" i="3"/>
  <c r="K149" i="3"/>
  <c r="L149" i="3"/>
  <c r="M149" i="3"/>
  <c r="N149" i="3"/>
  <c r="O149" i="3"/>
  <c r="F150" i="3"/>
  <c r="G150" i="3"/>
  <c r="H150" i="3"/>
  <c r="I150" i="3"/>
  <c r="J150" i="3"/>
  <c r="K150" i="3"/>
  <c r="L150" i="3"/>
  <c r="M150" i="3"/>
  <c r="N150" i="3"/>
  <c r="O150" i="3"/>
  <c r="F151" i="3"/>
  <c r="G151" i="3"/>
  <c r="H151" i="3"/>
  <c r="I151" i="3"/>
  <c r="J151" i="3"/>
  <c r="K151" i="3"/>
  <c r="L151" i="3"/>
  <c r="M151" i="3"/>
  <c r="N151" i="3"/>
  <c r="O151" i="3"/>
  <c r="F152" i="3"/>
  <c r="G152" i="3"/>
  <c r="H152" i="3"/>
  <c r="I152" i="3"/>
  <c r="J152" i="3"/>
  <c r="K152" i="3"/>
  <c r="L152" i="3"/>
  <c r="M152" i="3"/>
  <c r="N152" i="3"/>
  <c r="O152" i="3"/>
  <c r="F153" i="3"/>
  <c r="G153" i="3"/>
  <c r="H153" i="3"/>
  <c r="I153" i="3"/>
  <c r="J153" i="3"/>
  <c r="K153" i="3"/>
  <c r="L153" i="3"/>
  <c r="M153" i="3"/>
  <c r="N153" i="3"/>
  <c r="O153" i="3"/>
  <c r="F154" i="3"/>
  <c r="G154" i="3"/>
  <c r="H154" i="3"/>
  <c r="I154" i="3"/>
  <c r="J154" i="3"/>
  <c r="K154" i="3"/>
  <c r="L154" i="3"/>
  <c r="M154" i="3"/>
  <c r="N154" i="3"/>
  <c r="O154" i="3"/>
  <c r="F155" i="3"/>
  <c r="G155" i="3"/>
  <c r="H155" i="3"/>
  <c r="I155" i="3"/>
  <c r="J155" i="3"/>
  <c r="K155" i="3"/>
  <c r="L155" i="3"/>
  <c r="M155" i="3"/>
  <c r="N155" i="3"/>
  <c r="O155" i="3"/>
  <c r="F156" i="3"/>
  <c r="G156" i="3"/>
  <c r="H156" i="3"/>
  <c r="I156" i="3"/>
  <c r="J156" i="3"/>
  <c r="K156" i="3"/>
  <c r="L156" i="3"/>
  <c r="M156" i="3"/>
  <c r="N156" i="3"/>
  <c r="O156" i="3"/>
  <c r="F157" i="3"/>
  <c r="G157" i="3"/>
  <c r="H157" i="3"/>
  <c r="I157" i="3"/>
  <c r="J157" i="3"/>
  <c r="K157" i="3"/>
  <c r="L157" i="3"/>
  <c r="M157" i="3"/>
  <c r="N157" i="3"/>
  <c r="O157" i="3"/>
  <c r="F158" i="3"/>
  <c r="G158" i="3"/>
  <c r="H158" i="3"/>
  <c r="I158" i="3"/>
  <c r="J158" i="3"/>
  <c r="K158" i="3"/>
  <c r="L158" i="3"/>
  <c r="M158" i="3"/>
  <c r="N158" i="3"/>
  <c r="O158" i="3"/>
  <c r="F159" i="3"/>
  <c r="G159" i="3"/>
  <c r="H159" i="3"/>
  <c r="I159" i="3"/>
  <c r="J159" i="3"/>
  <c r="K159" i="3"/>
  <c r="L159" i="3"/>
  <c r="M159" i="3"/>
  <c r="N159" i="3"/>
  <c r="O159" i="3"/>
  <c r="F160" i="3"/>
  <c r="G160" i="3"/>
  <c r="H160" i="3"/>
  <c r="I160" i="3"/>
  <c r="J160" i="3"/>
  <c r="K160" i="3"/>
  <c r="L160" i="3"/>
  <c r="M160" i="3"/>
  <c r="N160" i="3"/>
  <c r="O160" i="3"/>
  <c r="F161" i="3"/>
  <c r="G161" i="3"/>
  <c r="H161" i="3"/>
  <c r="I161" i="3"/>
  <c r="J161" i="3"/>
  <c r="K161" i="3"/>
  <c r="L161" i="3"/>
  <c r="M161" i="3"/>
  <c r="N161" i="3"/>
  <c r="O161" i="3"/>
  <c r="F162" i="3"/>
  <c r="G162" i="3"/>
  <c r="H162" i="3"/>
  <c r="I162" i="3"/>
  <c r="J162" i="3"/>
  <c r="K162" i="3"/>
  <c r="L162" i="3"/>
  <c r="M162" i="3"/>
  <c r="N162" i="3"/>
  <c r="O162" i="3"/>
  <c r="F163" i="3"/>
  <c r="G163" i="3"/>
  <c r="H163" i="3"/>
  <c r="I163" i="3"/>
  <c r="J163" i="3"/>
  <c r="K163" i="3"/>
  <c r="L163" i="3"/>
  <c r="M163" i="3"/>
  <c r="N163" i="3"/>
  <c r="O163" i="3"/>
  <c r="F164" i="3"/>
  <c r="G164" i="3"/>
  <c r="H164" i="3"/>
  <c r="I164" i="3"/>
  <c r="J164" i="3"/>
  <c r="K164" i="3"/>
  <c r="L164" i="3"/>
  <c r="M164" i="3"/>
  <c r="N164" i="3"/>
  <c r="O164" i="3"/>
  <c r="F165" i="3"/>
  <c r="G165" i="3"/>
  <c r="H165" i="3"/>
  <c r="I165" i="3"/>
  <c r="J165" i="3"/>
  <c r="K165" i="3"/>
  <c r="L165" i="3"/>
  <c r="M165" i="3"/>
  <c r="N165" i="3"/>
  <c r="O165" i="3"/>
  <c r="F166" i="3"/>
  <c r="G166" i="3"/>
  <c r="H166" i="3"/>
  <c r="I166" i="3"/>
  <c r="J166" i="3"/>
  <c r="K166" i="3"/>
  <c r="L166" i="3"/>
  <c r="M166" i="3"/>
  <c r="N166" i="3"/>
  <c r="O166" i="3"/>
  <c r="F167" i="3"/>
  <c r="G167" i="3"/>
  <c r="H167" i="3"/>
  <c r="I167" i="3"/>
  <c r="J167" i="3"/>
  <c r="K167" i="3"/>
  <c r="L167" i="3"/>
  <c r="M167" i="3"/>
  <c r="N167" i="3"/>
  <c r="O167" i="3"/>
  <c r="F168" i="3"/>
  <c r="G168" i="3"/>
  <c r="H168" i="3"/>
  <c r="I168" i="3"/>
  <c r="J168" i="3"/>
  <c r="K168" i="3"/>
  <c r="L168" i="3"/>
  <c r="M168" i="3"/>
  <c r="N168" i="3"/>
  <c r="O168" i="3"/>
  <c r="F169" i="3"/>
  <c r="G169" i="3"/>
  <c r="H169" i="3"/>
  <c r="I169" i="3"/>
  <c r="J169" i="3"/>
  <c r="K169" i="3"/>
  <c r="L169" i="3"/>
  <c r="M169" i="3"/>
  <c r="N169" i="3"/>
  <c r="O169" i="3"/>
  <c r="F170" i="3"/>
  <c r="G170" i="3"/>
  <c r="H170" i="3"/>
  <c r="I170" i="3"/>
  <c r="J170" i="3"/>
  <c r="K170" i="3"/>
  <c r="L170" i="3"/>
  <c r="M170" i="3"/>
  <c r="N170" i="3"/>
  <c r="O170" i="3"/>
  <c r="F171" i="3"/>
  <c r="G171" i="3"/>
  <c r="H171" i="3"/>
  <c r="I171" i="3"/>
  <c r="J171" i="3"/>
  <c r="K171" i="3"/>
  <c r="L171" i="3"/>
  <c r="M171" i="3"/>
  <c r="N171" i="3"/>
  <c r="O171" i="3"/>
  <c r="F172" i="3"/>
  <c r="G172" i="3"/>
  <c r="H172" i="3"/>
  <c r="I172" i="3"/>
  <c r="J172" i="3"/>
  <c r="K172" i="3"/>
  <c r="L172" i="3"/>
  <c r="M172" i="3"/>
  <c r="N172" i="3"/>
  <c r="O172" i="3"/>
  <c r="F173" i="3"/>
  <c r="G173" i="3"/>
  <c r="H173" i="3"/>
  <c r="I173" i="3"/>
  <c r="J173" i="3"/>
  <c r="K173" i="3"/>
  <c r="L173" i="3"/>
  <c r="M173" i="3"/>
  <c r="N173" i="3"/>
  <c r="O173" i="3"/>
  <c r="F174" i="3"/>
  <c r="G174" i="3"/>
  <c r="H174" i="3"/>
  <c r="I174" i="3"/>
  <c r="J174" i="3"/>
  <c r="K174" i="3"/>
  <c r="L174" i="3"/>
  <c r="M174" i="3"/>
  <c r="N174" i="3"/>
  <c r="O174" i="3"/>
  <c r="F175" i="3"/>
  <c r="G175" i="3"/>
  <c r="H175" i="3"/>
  <c r="I175" i="3"/>
  <c r="J175" i="3"/>
  <c r="K175" i="3"/>
  <c r="L175" i="3"/>
  <c r="M175" i="3"/>
  <c r="N175" i="3"/>
  <c r="O175" i="3"/>
  <c r="F176" i="3"/>
  <c r="G176" i="3"/>
  <c r="H176" i="3"/>
  <c r="I176" i="3"/>
  <c r="J176" i="3"/>
  <c r="K176" i="3"/>
  <c r="L176" i="3"/>
  <c r="M176" i="3"/>
  <c r="N176" i="3"/>
  <c r="O176" i="3"/>
  <c r="F177" i="3"/>
  <c r="G177" i="3"/>
  <c r="H177" i="3"/>
  <c r="I177" i="3"/>
  <c r="J177" i="3"/>
  <c r="K177" i="3"/>
  <c r="L177" i="3"/>
  <c r="M177" i="3"/>
  <c r="N177" i="3"/>
  <c r="O177" i="3"/>
  <c r="F178" i="3"/>
  <c r="G178" i="3"/>
  <c r="H178" i="3"/>
  <c r="I178" i="3"/>
  <c r="J178" i="3"/>
  <c r="K178" i="3"/>
  <c r="L178" i="3"/>
  <c r="M178" i="3"/>
  <c r="N178" i="3"/>
  <c r="O178" i="3"/>
  <c r="F179" i="3"/>
  <c r="G179" i="3"/>
  <c r="H179" i="3"/>
  <c r="I179" i="3"/>
  <c r="J179" i="3"/>
  <c r="K179" i="3"/>
  <c r="L179" i="3"/>
  <c r="M179" i="3"/>
  <c r="N179" i="3"/>
  <c r="O179" i="3"/>
  <c r="F180" i="3"/>
  <c r="G180" i="3"/>
  <c r="H180" i="3"/>
  <c r="I180" i="3"/>
  <c r="J180" i="3"/>
  <c r="K180" i="3"/>
  <c r="L180" i="3"/>
  <c r="M180" i="3"/>
  <c r="N180" i="3"/>
  <c r="O180" i="3"/>
  <c r="F181" i="3"/>
  <c r="G181" i="3"/>
  <c r="H181" i="3"/>
  <c r="I181" i="3"/>
  <c r="J181" i="3"/>
  <c r="K181" i="3"/>
  <c r="L181" i="3"/>
  <c r="M181" i="3"/>
  <c r="N181" i="3"/>
  <c r="O181" i="3"/>
  <c r="F182" i="3"/>
  <c r="G182" i="3"/>
  <c r="H182" i="3"/>
  <c r="I182" i="3"/>
  <c r="J182" i="3"/>
  <c r="K182" i="3"/>
  <c r="L182" i="3"/>
  <c r="M182" i="3"/>
  <c r="N182" i="3"/>
  <c r="O182" i="3"/>
  <c r="F183" i="3"/>
  <c r="G183" i="3"/>
  <c r="H183" i="3"/>
  <c r="I183" i="3"/>
  <c r="J183" i="3"/>
  <c r="K183" i="3"/>
  <c r="L183" i="3"/>
  <c r="M183" i="3"/>
  <c r="N183" i="3"/>
  <c r="O183" i="3"/>
  <c r="F184" i="3"/>
  <c r="G184" i="3"/>
  <c r="H184" i="3"/>
  <c r="I184" i="3"/>
  <c r="J184" i="3"/>
  <c r="K184" i="3"/>
  <c r="L184" i="3"/>
  <c r="M184" i="3"/>
  <c r="N184" i="3"/>
  <c r="O184" i="3"/>
  <c r="F185" i="3"/>
  <c r="G185" i="3"/>
  <c r="H185" i="3"/>
  <c r="I185" i="3"/>
  <c r="J185" i="3"/>
  <c r="K185" i="3"/>
  <c r="L185" i="3"/>
  <c r="M185" i="3"/>
  <c r="N185" i="3"/>
  <c r="O185" i="3"/>
  <c r="F186" i="3"/>
  <c r="G186" i="3"/>
  <c r="H186" i="3"/>
  <c r="I186" i="3"/>
  <c r="J186" i="3"/>
  <c r="K186" i="3"/>
  <c r="L186" i="3"/>
  <c r="M186" i="3"/>
  <c r="N186" i="3"/>
  <c r="O186" i="3"/>
  <c r="F187" i="3"/>
  <c r="G187" i="3"/>
  <c r="H187" i="3"/>
  <c r="I187" i="3"/>
  <c r="J187" i="3"/>
  <c r="K187" i="3"/>
  <c r="L187" i="3"/>
  <c r="M187" i="3"/>
  <c r="N187" i="3"/>
  <c r="O187" i="3"/>
  <c r="F188" i="3"/>
  <c r="G188" i="3"/>
  <c r="H188" i="3"/>
  <c r="I188" i="3"/>
  <c r="J188" i="3"/>
  <c r="K188" i="3"/>
  <c r="L188" i="3"/>
  <c r="M188" i="3"/>
  <c r="N188" i="3"/>
  <c r="O188" i="3"/>
  <c r="F189" i="3"/>
  <c r="G189" i="3"/>
  <c r="H189" i="3"/>
  <c r="I189" i="3"/>
  <c r="J189" i="3"/>
  <c r="K189" i="3"/>
  <c r="L189" i="3"/>
  <c r="M189" i="3"/>
  <c r="N189" i="3"/>
  <c r="O189" i="3"/>
  <c r="F190" i="3"/>
  <c r="G190" i="3"/>
  <c r="H190" i="3"/>
  <c r="I190" i="3"/>
  <c r="J190" i="3"/>
  <c r="K190" i="3"/>
  <c r="L190" i="3"/>
  <c r="M190" i="3"/>
  <c r="N190" i="3"/>
  <c r="O190" i="3"/>
  <c r="F191" i="3"/>
  <c r="G191" i="3"/>
  <c r="H191" i="3"/>
  <c r="I191" i="3"/>
  <c r="J191" i="3"/>
  <c r="K191" i="3"/>
  <c r="L191" i="3"/>
  <c r="M191" i="3"/>
  <c r="N191" i="3"/>
  <c r="O191" i="3"/>
  <c r="F192" i="3"/>
  <c r="G192" i="3"/>
  <c r="H192" i="3"/>
  <c r="I192" i="3"/>
  <c r="J192" i="3"/>
  <c r="K192" i="3"/>
  <c r="L192" i="3"/>
  <c r="M192" i="3"/>
  <c r="N192" i="3"/>
  <c r="O192" i="3"/>
  <c r="F193" i="3"/>
  <c r="G193" i="3"/>
  <c r="H193" i="3"/>
  <c r="I193" i="3"/>
  <c r="J193" i="3"/>
  <c r="K193" i="3"/>
  <c r="L193" i="3"/>
  <c r="M193" i="3"/>
  <c r="N193" i="3"/>
  <c r="O193" i="3"/>
  <c r="F194" i="3"/>
  <c r="G194" i="3"/>
  <c r="H194" i="3"/>
  <c r="I194" i="3"/>
  <c r="J194" i="3"/>
  <c r="K194" i="3"/>
  <c r="L194" i="3"/>
  <c r="M194" i="3"/>
  <c r="N194" i="3"/>
  <c r="O194" i="3"/>
  <c r="F195" i="3"/>
  <c r="G195" i="3"/>
  <c r="H195" i="3"/>
  <c r="I195" i="3"/>
  <c r="J195" i="3"/>
  <c r="K195" i="3"/>
  <c r="L195" i="3"/>
  <c r="M195" i="3"/>
  <c r="N195" i="3"/>
  <c r="O195" i="3"/>
  <c r="F196" i="3"/>
  <c r="G196" i="3"/>
  <c r="H196" i="3"/>
  <c r="I196" i="3"/>
  <c r="J196" i="3"/>
  <c r="K196" i="3"/>
  <c r="L196" i="3"/>
  <c r="M196" i="3"/>
  <c r="N196" i="3"/>
  <c r="O196" i="3"/>
  <c r="F197" i="3"/>
  <c r="G197" i="3"/>
  <c r="H197" i="3"/>
  <c r="I197" i="3"/>
  <c r="J197" i="3"/>
  <c r="K197" i="3"/>
  <c r="L197" i="3"/>
  <c r="M197" i="3"/>
  <c r="N197" i="3"/>
  <c r="O197" i="3"/>
  <c r="F198" i="3"/>
  <c r="G198" i="3"/>
  <c r="H198" i="3"/>
  <c r="I198" i="3"/>
  <c r="J198" i="3"/>
  <c r="K198" i="3"/>
  <c r="L198" i="3"/>
  <c r="M198" i="3"/>
  <c r="N198" i="3"/>
  <c r="O198" i="3"/>
  <c r="F199" i="3"/>
  <c r="G199" i="3"/>
  <c r="H199" i="3"/>
  <c r="I199" i="3"/>
  <c r="J199" i="3"/>
  <c r="K199" i="3"/>
  <c r="L199" i="3"/>
  <c r="M199" i="3"/>
  <c r="N199" i="3"/>
  <c r="O199" i="3"/>
  <c r="F200" i="3"/>
  <c r="G200" i="3"/>
  <c r="H200" i="3"/>
  <c r="I200" i="3"/>
  <c r="J200" i="3"/>
  <c r="K200" i="3"/>
  <c r="L200" i="3"/>
  <c r="M200" i="3"/>
  <c r="N200" i="3"/>
  <c r="O200" i="3"/>
  <c r="F201" i="3"/>
  <c r="G201" i="3"/>
  <c r="H201" i="3"/>
  <c r="I201" i="3"/>
  <c r="J201" i="3"/>
  <c r="K201" i="3"/>
  <c r="L201" i="3"/>
  <c r="M201" i="3"/>
  <c r="N201" i="3"/>
  <c r="O201" i="3"/>
  <c r="F202" i="3"/>
  <c r="G202" i="3"/>
  <c r="H202" i="3"/>
  <c r="I202" i="3"/>
  <c r="J202" i="3"/>
  <c r="K202" i="3"/>
  <c r="L202" i="3"/>
  <c r="M202" i="3"/>
  <c r="N202" i="3"/>
  <c r="O202" i="3"/>
  <c r="F203" i="3"/>
  <c r="G203" i="3"/>
  <c r="H203" i="3"/>
  <c r="I203" i="3"/>
  <c r="J203" i="3"/>
  <c r="K203" i="3"/>
  <c r="L203" i="3"/>
  <c r="M203" i="3"/>
  <c r="N203" i="3"/>
  <c r="O203" i="3"/>
  <c r="F204" i="3"/>
  <c r="G204" i="3"/>
  <c r="H204" i="3"/>
  <c r="I204" i="3"/>
  <c r="J204" i="3"/>
  <c r="K204" i="3"/>
  <c r="L204" i="3"/>
  <c r="M204" i="3"/>
  <c r="N204" i="3"/>
  <c r="O204" i="3"/>
  <c r="F205" i="3"/>
  <c r="G205" i="3"/>
  <c r="H205" i="3"/>
  <c r="I205" i="3"/>
  <c r="J205" i="3"/>
  <c r="K205" i="3"/>
  <c r="L205" i="3"/>
  <c r="M205" i="3"/>
  <c r="N205" i="3"/>
  <c r="O205" i="3"/>
  <c r="F206" i="3"/>
  <c r="G206" i="3"/>
  <c r="H206" i="3"/>
  <c r="I206" i="3"/>
  <c r="J206" i="3"/>
  <c r="K206" i="3"/>
  <c r="L206" i="3"/>
  <c r="M206" i="3"/>
  <c r="N206" i="3"/>
  <c r="O206" i="3"/>
  <c r="F207" i="3"/>
  <c r="G207" i="3"/>
  <c r="H207" i="3"/>
  <c r="I207" i="3"/>
  <c r="J207" i="3"/>
  <c r="K207" i="3"/>
  <c r="L207" i="3"/>
  <c r="M207" i="3"/>
  <c r="N207" i="3"/>
  <c r="O207" i="3"/>
  <c r="F208" i="3"/>
  <c r="G208" i="3"/>
  <c r="H208" i="3"/>
  <c r="I208" i="3"/>
  <c r="J208" i="3"/>
  <c r="K208" i="3"/>
  <c r="L208" i="3"/>
  <c r="M208" i="3"/>
  <c r="N208" i="3"/>
  <c r="O208" i="3"/>
  <c r="F209" i="3"/>
  <c r="G209" i="3"/>
  <c r="H209" i="3"/>
  <c r="I209" i="3"/>
  <c r="J209" i="3"/>
  <c r="K209" i="3"/>
  <c r="L209" i="3"/>
  <c r="M209" i="3"/>
  <c r="N209" i="3"/>
  <c r="O209" i="3"/>
  <c r="F210" i="3"/>
  <c r="G210" i="3"/>
  <c r="H210" i="3"/>
  <c r="I210" i="3"/>
  <c r="J210" i="3"/>
  <c r="K210" i="3"/>
  <c r="L210" i="3"/>
  <c r="M210" i="3"/>
  <c r="N210" i="3"/>
  <c r="O210" i="3"/>
  <c r="F211" i="3"/>
  <c r="G211" i="3"/>
  <c r="H211" i="3"/>
  <c r="I211" i="3"/>
  <c r="J211" i="3"/>
  <c r="K211" i="3"/>
  <c r="L211" i="3"/>
  <c r="M211" i="3"/>
  <c r="N211" i="3"/>
  <c r="O211" i="3"/>
  <c r="F212" i="3"/>
  <c r="G212" i="3"/>
  <c r="H212" i="3"/>
  <c r="I212" i="3"/>
  <c r="J212" i="3"/>
  <c r="K212" i="3"/>
  <c r="L212" i="3"/>
  <c r="M212" i="3"/>
  <c r="N212" i="3"/>
  <c r="O212" i="3"/>
  <c r="F213" i="3"/>
  <c r="G213" i="3"/>
  <c r="H213" i="3"/>
  <c r="I213" i="3"/>
  <c r="J213" i="3"/>
  <c r="K213" i="3"/>
  <c r="L213" i="3"/>
  <c r="M213" i="3"/>
  <c r="N213" i="3"/>
  <c r="O213" i="3"/>
  <c r="F214" i="3"/>
  <c r="G214" i="3"/>
  <c r="H214" i="3"/>
  <c r="I214" i="3"/>
  <c r="J214" i="3"/>
  <c r="K214" i="3"/>
  <c r="L214" i="3"/>
  <c r="M214" i="3"/>
  <c r="N214" i="3"/>
  <c r="O214" i="3"/>
  <c r="F215" i="3"/>
  <c r="G215" i="3"/>
  <c r="H215" i="3"/>
  <c r="I215" i="3"/>
  <c r="J215" i="3"/>
  <c r="K215" i="3"/>
  <c r="L215" i="3"/>
  <c r="M215" i="3"/>
  <c r="N215" i="3"/>
  <c r="O215" i="3"/>
  <c r="F216" i="3"/>
  <c r="G216" i="3"/>
  <c r="H216" i="3"/>
  <c r="I216" i="3"/>
  <c r="J216" i="3"/>
  <c r="K216" i="3"/>
  <c r="L216" i="3"/>
  <c r="M216" i="3"/>
  <c r="N216" i="3"/>
  <c r="O216" i="3"/>
  <c r="F217" i="3"/>
  <c r="G217" i="3"/>
  <c r="H217" i="3"/>
  <c r="I217" i="3"/>
  <c r="J217" i="3"/>
  <c r="K217" i="3"/>
  <c r="L217" i="3"/>
  <c r="M217" i="3"/>
  <c r="N217" i="3"/>
  <c r="O217" i="3"/>
  <c r="F218" i="3"/>
  <c r="G218" i="3"/>
  <c r="H218" i="3"/>
  <c r="I218" i="3"/>
  <c r="J218" i="3"/>
  <c r="K218" i="3"/>
  <c r="L218" i="3"/>
  <c r="M218" i="3"/>
  <c r="N218" i="3"/>
  <c r="O218" i="3"/>
  <c r="F219" i="3"/>
  <c r="G219" i="3"/>
  <c r="H219" i="3"/>
  <c r="I219" i="3"/>
  <c r="J219" i="3"/>
  <c r="K219" i="3"/>
  <c r="L219" i="3"/>
  <c r="M219" i="3"/>
  <c r="N219" i="3"/>
  <c r="O219" i="3"/>
  <c r="F220" i="3"/>
  <c r="G220" i="3"/>
  <c r="H220" i="3"/>
  <c r="I220" i="3"/>
  <c r="J220" i="3"/>
  <c r="K220" i="3"/>
  <c r="L220" i="3"/>
  <c r="M220" i="3"/>
  <c r="N220" i="3"/>
  <c r="O220" i="3"/>
  <c r="F221" i="3"/>
  <c r="G221" i="3"/>
  <c r="H221" i="3"/>
  <c r="I221" i="3"/>
  <c r="J221" i="3"/>
  <c r="K221" i="3"/>
  <c r="L221" i="3"/>
  <c r="M221" i="3"/>
  <c r="N221" i="3"/>
  <c r="O221" i="3"/>
  <c r="F222" i="3"/>
  <c r="G222" i="3"/>
  <c r="H222" i="3"/>
  <c r="I222" i="3"/>
  <c r="J222" i="3"/>
  <c r="K222" i="3"/>
  <c r="L222" i="3"/>
  <c r="M222" i="3"/>
  <c r="N222" i="3"/>
  <c r="O222" i="3"/>
  <c r="F223" i="3"/>
  <c r="G223" i="3"/>
  <c r="H223" i="3"/>
  <c r="I223" i="3"/>
  <c r="J223" i="3"/>
  <c r="K223" i="3"/>
  <c r="L223" i="3"/>
  <c r="M223" i="3"/>
  <c r="N223" i="3"/>
  <c r="O223" i="3"/>
  <c r="F224" i="3"/>
  <c r="G224" i="3"/>
  <c r="H224" i="3"/>
  <c r="I224" i="3"/>
  <c r="J224" i="3"/>
  <c r="K224" i="3"/>
  <c r="L224" i="3"/>
  <c r="M224" i="3"/>
  <c r="N224" i="3"/>
  <c r="O224" i="3"/>
  <c r="F225" i="3"/>
  <c r="G225" i="3"/>
  <c r="H225" i="3"/>
  <c r="I225" i="3"/>
  <c r="J225" i="3"/>
  <c r="K225" i="3"/>
  <c r="L225" i="3"/>
  <c r="M225" i="3"/>
  <c r="N225" i="3"/>
  <c r="O225" i="3"/>
  <c r="F226" i="3"/>
  <c r="G226" i="3"/>
  <c r="H226" i="3"/>
  <c r="I226" i="3"/>
  <c r="J226" i="3"/>
  <c r="K226" i="3"/>
  <c r="L226" i="3"/>
  <c r="M226" i="3"/>
  <c r="N226" i="3"/>
  <c r="O226" i="3"/>
  <c r="F227" i="3"/>
  <c r="G227" i="3"/>
  <c r="H227" i="3"/>
  <c r="I227" i="3"/>
  <c r="J227" i="3"/>
  <c r="K227" i="3"/>
  <c r="L227" i="3"/>
  <c r="M227" i="3"/>
  <c r="N227" i="3"/>
  <c r="O227" i="3"/>
  <c r="F228" i="3"/>
  <c r="G228" i="3"/>
  <c r="H228" i="3"/>
  <c r="I228" i="3"/>
  <c r="J228" i="3"/>
  <c r="K228" i="3"/>
  <c r="L228" i="3"/>
  <c r="M228" i="3"/>
  <c r="N228" i="3"/>
  <c r="O228" i="3"/>
  <c r="F229" i="3"/>
  <c r="G229" i="3"/>
  <c r="H229" i="3"/>
  <c r="I229" i="3"/>
  <c r="J229" i="3"/>
  <c r="K229" i="3"/>
  <c r="L229" i="3"/>
  <c r="M229" i="3"/>
  <c r="N229" i="3"/>
  <c r="O229" i="3"/>
  <c r="F230" i="3"/>
  <c r="G230" i="3"/>
  <c r="H230" i="3"/>
  <c r="I230" i="3"/>
  <c r="J230" i="3"/>
  <c r="K230" i="3"/>
  <c r="L230" i="3"/>
  <c r="M230" i="3"/>
  <c r="N230" i="3"/>
  <c r="O230" i="3"/>
  <c r="F231" i="3"/>
  <c r="G231" i="3"/>
  <c r="H231" i="3"/>
  <c r="I231" i="3"/>
  <c r="J231" i="3"/>
  <c r="K231" i="3"/>
  <c r="L231" i="3"/>
  <c r="M231" i="3"/>
  <c r="N231" i="3"/>
  <c r="O231" i="3"/>
  <c r="F232" i="3"/>
  <c r="G232" i="3"/>
  <c r="H232" i="3"/>
  <c r="I232" i="3"/>
  <c r="J232" i="3"/>
  <c r="K232" i="3"/>
  <c r="L232" i="3"/>
  <c r="M232" i="3"/>
  <c r="N232" i="3"/>
  <c r="O232" i="3"/>
  <c r="F233" i="3"/>
  <c r="G233" i="3"/>
  <c r="H233" i="3"/>
  <c r="I233" i="3"/>
  <c r="J233" i="3"/>
  <c r="K233" i="3"/>
  <c r="L233" i="3"/>
  <c r="M233" i="3"/>
  <c r="N233" i="3"/>
  <c r="O233" i="3"/>
  <c r="F234" i="3"/>
  <c r="G234" i="3"/>
  <c r="H234" i="3"/>
  <c r="I234" i="3"/>
  <c r="J234" i="3"/>
  <c r="K234" i="3"/>
  <c r="L234" i="3"/>
  <c r="M234" i="3"/>
  <c r="N234" i="3"/>
  <c r="O234" i="3"/>
  <c r="F235" i="3"/>
  <c r="G235" i="3"/>
  <c r="H235" i="3"/>
  <c r="I235" i="3"/>
  <c r="J235" i="3"/>
  <c r="K235" i="3"/>
  <c r="L235" i="3"/>
  <c r="M235" i="3"/>
  <c r="N235" i="3"/>
  <c r="O235" i="3"/>
  <c r="F236" i="3"/>
  <c r="G236" i="3"/>
  <c r="H236" i="3"/>
  <c r="I236" i="3"/>
  <c r="J236" i="3"/>
  <c r="K236" i="3"/>
  <c r="L236" i="3"/>
  <c r="M236" i="3"/>
  <c r="N236" i="3"/>
  <c r="O236" i="3"/>
  <c r="F237" i="3"/>
  <c r="G237" i="3"/>
  <c r="H237" i="3"/>
  <c r="I237" i="3"/>
  <c r="J237" i="3"/>
  <c r="K237" i="3"/>
  <c r="L237" i="3"/>
  <c r="M237" i="3"/>
  <c r="N237" i="3"/>
  <c r="O237" i="3"/>
  <c r="F238" i="3"/>
  <c r="G238" i="3"/>
  <c r="H238" i="3"/>
  <c r="I238" i="3"/>
  <c r="J238" i="3"/>
  <c r="K238" i="3"/>
  <c r="L238" i="3"/>
  <c r="M238" i="3"/>
  <c r="N238" i="3"/>
  <c r="O238" i="3"/>
  <c r="F239" i="3"/>
  <c r="G239" i="3"/>
  <c r="H239" i="3"/>
  <c r="I239" i="3"/>
  <c r="J239" i="3"/>
  <c r="K239" i="3"/>
  <c r="L239" i="3"/>
  <c r="M239" i="3"/>
  <c r="N239" i="3"/>
  <c r="O239" i="3"/>
  <c r="F240" i="3"/>
  <c r="G240" i="3"/>
  <c r="H240" i="3"/>
  <c r="I240" i="3"/>
  <c r="J240" i="3"/>
  <c r="K240" i="3"/>
  <c r="L240" i="3"/>
  <c r="M240" i="3"/>
  <c r="N240" i="3"/>
  <c r="O240" i="3"/>
  <c r="F241" i="3"/>
  <c r="G241" i="3"/>
  <c r="H241" i="3"/>
  <c r="I241" i="3"/>
  <c r="J241" i="3"/>
  <c r="K241" i="3"/>
  <c r="L241" i="3"/>
  <c r="M241" i="3"/>
  <c r="N241" i="3"/>
  <c r="O241" i="3"/>
  <c r="F242" i="3"/>
  <c r="G242" i="3"/>
  <c r="H242" i="3"/>
  <c r="I242" i="3"/>
  <c r="J242" i="3"/>
  <c r="K242" i="3"/>
  <c r="L242" i="3"/>
  <c r="M242" i="3"/>
  <c r="N242" i="3"/>
  <c r="O242" i="3"/>
  <c r="F243" i="3"/>
  <c r="G243" i="3"/>
  <c r="H243" i="3"/>
  <c r="I243" i="3"/>
  <c r="J243" i="3"/>
  <c r="K243" i="3"/>
  <c r="L243" i="3"/>
  <c r="M243" i="3"/>
  <c r="N243" i="3"/>
  <c r="O243" i="3"/>
  <c r="F244" i="3"/>
  <c r="G244" i="3"/>
  <c r="H244" i="3"/>
  <c r="I244" i="3"/>
  <c r="J244" i="3"/>
  <c r="K244" i="3"/>
  <c r="L244" i="3"/>
  <c r="M244" i="3"/>
  <c r="N244" i="3"/>
  <c r="O244" i="3"/>
  <c r="F245" i="3"/>
  <c r="G245" i="3"/>
  <c r="H245" i="3"/>
  <c r="I245" i="3"/>
  <c r="J245" i="3"/>
  <c r="K245" i="3"/>
  <c r="L245" i="3"/>
  <c r="M245" i="3"/>
  <c r="N245" i="3"/>
  <c r="O245" i="3"/>
  <c r="F246" i="3"/>
  <c r="G246" i="3"/>
  <c r="H246" i="3"/>
  <c r="I246" i="3"/>
  <c r="J246" i="3"/>
  <c r="K246" i="3"/>
  <c r="L246" i="3"/>
  <c r="M246" i="3"/>
  <c r="N246" i="3"/>
  <c r="O246" i="3"/>
  <c r="F247" i="3"/>
  <c r="G247" i="3"/>
  <c r="H247" i="3"/>
  <c r="I247" i="3"/>
  <c r="J247" i="3"/>
  <c r="K247" i="3"/>
  <c r="L247" i="3"/>
  <c r="M247" i="3"/>
  <c r="N247" i="3"/>
  <c r="O247" i="3"/>
  <c r="F248" i="3"/>
  <c r="G248" i="3"/>
  <c r="H248" i="3"/>
  <c r="I248" i="3"/>
  <c r="J248" i="3"/>
  <c r="K248" i="3"/>
  <c r="L248" i="3"/>
  <c r="M248" i="3"/>
  <c r="N248" i="3"/>
  <c r="O248" i="3"/>
  <c r="F249" i="3"/>
  <c r="G249" i="3"/>
  <c r="H249" i="3"/>
  <c r="I249" i="3"/>
  <c r="J249" i="3"/>
  <c r="K249" i="3"/>
  <c r="L249" i="3"/>
  <c r="M249" i="3"/>
  <c r="N249" i="3"/>
  <c r="O249" i="3"/>
  <c r="F250" i="3"/>
  <c r="G250" i="3"/>
  <c r="H250" i="3"/>
  <c r="I250" i="3"/>
  <c r="J250" i="3"/>
  <c r="K250" i="3"/>
  <c r="L250" i="3"/>
  <c r="M250" i="3"/>
  <c r="N250" i="3"/>
  <c r="O250" i="3"/>
  <c r="F251" i="3"/>
  <c r="G251" i="3"/>
  <c r="H251" i="3"/>
  <c r="I251" i="3"/>
  <c r="J251" i="3"/>
  <c r="K251" i="3"/>
  <c r="L251" i="3"/>
  <c r="M251" i="3"/>
  <c r="N251" i="3"/>
  <c r="O251" i="3"/>
  <c r="F252" i="3"/>
  <c r="G252" i="3"/>
  <c r="H252" i="3"/>
  <c r="I252" i="3"/>
  <c r="J252" i="3"/>
  <c r="K252" i="3"/>
  <c r="L252" i="3"/>
  <c r="M252" i="3"/>
  <c r="N252" i="3"/>
  <c r="O252" i="3"/>
  <c r="F253" i="3"/>
  <c r="G253" i="3"/>
  <c r="H253" i="3"/>
  <c r="I253" i="3"/>
  <c r="J253" i="3"/>
  <c r="K253" i="3"/>
  <c r="L253" i="3"/>
  <c r="M253" i="3"/>
  <c r="N253" i="3"/>
  <c r="O253" i="3"/>
  <c r="F254" i="3"/>
  <c r="G254" i="3"/>
  <c r="H254" i="3"/>
  <c r="I254" i="3"/>
  <c r="J254" i="3"/>
  <c r="K254" i="3"/>
  <c r="L254" i="3"/>
  <c r="M254" i="3"/>
  <c r="N254" i="3"/>
  <c r="O254" i="3"/>
  <c r="F255" i="3"/>
  <c r="G255" i="3"/>
  <c r="H255" i="3"/>
  <c r="I255" i="3"/>
  <c r="J255" i="3"/>
  <c r="K255" i="3"/>
  <c r="L255" i="3"/>
  <c r="M255" i="3"/>
  <c r="N255" i="3"/>
  <c r="O255" i="3"/>
  <c r="F256" i="3"/>
  <c r="G256" i="3"/>
  <c r="H256" i="3"/>
  <c r="I256" i="3"/>
  <c r="J256" i="3"/>
  <c r="K256" i="3"/>
  <c r="L256" i="3"/>
  <c r="M256" i="3"/>
  <c r="N256" i="3"/>
  <c r="O256" i="3"/>
  <c r="F257" i="3"/>
  <c r="G257" i="3"/>
  <c r="H257" i="3"/>
  <c r="I257" i="3"/>
  <c r="J257" i="3"/>
  <c r="K257" i="3"/>
  <c r="L257" i="3"/>
  <c r="M257" i="3"/>
  <c r="N257" i="3"/>
  <c r="O257" i="3"/>
  <c r="F258" i="3"/>
  <c r="G258" i="3"/>
  <c r="H258" i="3"/>
  <c r="I258" i="3"/>
  <c r="J258" i="3"/>
  <c r="K258" i="3"/>
  <c r="L258" i="3"/>
  <c r="M258" i="3"/>
  <c r="N258" i="3"/>
  <c r="O258" i="3"/>
  <c r="F259" i="3"/>
  <c r="G259" i="3"/>
  <c r="H259" i="3"/>
  <c r="I259" i="3"/>
  <c r="J259" i="3"/>
  <c r="K259" i="3"/>
  <c r="L259" i="3"/>
  <c r="M259" i="3"/>
  <c r="N259" i="3"/>
  <c r="O259" i="3"/>
  <c r="F260" i="3"/>
  <c r="G260" i="3"/>
  <c r="H260" i="3"/>
  <c r="I260" i="3"/>
  <c r="J260" i="3"/>
  <c r="K260" i="3"/>
  <c r="L260" i="3"/>
  <c r="M260" i="3"/>
  <c r="N260" i="3"/>
  <c r="O260" i="3"/>
  <c r="F261" i="3"/>
  <c r="G261" i="3"/>
  <c r="H261" i="3"/>
  <c r="I261" i="3"/>
  <c r="J261" i="3"/>
  <c r="K261" i="3"/>
  <c r="L261" i="3"/>
  <c r="M261" i="3"/>
  <c r="N261" i="3"/>
  <c r="O261" i="3"/>
  <c r="F262" i="3"/>
  <c r="G262" i="3"/>
  <c r="H262" i="3"/>
  <c r="I262" i="3"/>
  <c r="J262" i="3"/>
  <c r="K262" i="3"/>
  <c r="L262" i="3"/>
  <c r="M262" i="3"/>
  <c r="N262" i="3"/>
  <c r="O262" i="3"/>
  <c r="F263" i="3"/>
  <c r="G263" i="3"/>
  <c r="H263" i="3"/>
  <c r="I263" i="3"/>
  <c r="J263" i="3"/>
  <c r="K263" i="3"/>
  <c r="L263" i="3"/>
  <c r="M263" i="3"/>
  <c r="N263" i="3"/>
  <c r="O263" i="3"/>
  <c r="F264" i="3"/>
  <c r="G264" i="3"/>
  <c r="H264" i="3"/>
  <c r="I264" i="3"/>
  <c r="J264" i="3"/>
  <c r="K264" i="3"/>
  <c r="L264" i="3"/>
  <c r="M264" i="3"/>
  <c r="N264" i="3"/>
  <c r="O264" i="3"/>
  <c r="F265" i="3"/>
  <c r="G265" i="3"/>
  <c r="H265" i="3"/>
  <c r="I265" i="3"/>
  <c r="J265" i="3"/>
  <c r="K265" i="3"/>
  <c r="L265" i="3"/>
  <c r="M265" i="3"/>
  <c r="N265" i="3"/>
  <c r="O265" i="3"/>
  <c r="F266" i="3"/>
  <c r="G266" i="3"/>
  <c r="H266" i="3"/>
  <c r="I266" i="3"/>
  <c r="J266" i="3"/>
  <c r="K266" i="3"/>
  <c r="L266" i="3"/>
  <c r="M266" i="3"/>
  <c r="N266" i="3"/>
  <c r="O266" i="3"/>
  <c r="F267" i="3"/>
  <c r="G267" i="3"/>
  <c r="H267" i="3"/>
  <c r="I267" i="3"/>
  <c r="J267" i="3"/>
  <c r="K267" i="3"/>
  <c r="L267" i="3"/>
  <c r="M267" i="3"/>
  <c r="N267" i="3"/>
  <c r="O267" i="3"/>
  <c r="F268" i="3"/>
  <c r="G268" i="3"/>
  <c r="H268" i="3"/>
  <c r="I268" i="3"/>
  <c r="J268" i="3"/>
  <c r="K268" i="3"/>
  <c r="L268" i="3"/>
  <c r="M268" i="3"/>
  <c r="N268" i="3"/>
  <c r="O268" i="3"/>
  <c r="F269" i="3"/>
  <c r="G269" i="3"/>
  <c r="H269" i="3"/>
  <c r="I269" i="3"/>
  <c r="J269" i="3"/>
  <c r="K269" i="3"/>
  <c r="L269" i="3"/>
  <c r="M269" i="3"/>
  <c r="N269" i="3"/>
  <c r="O269" i="3"/>
  <c r="F270" i="3"/>
  <c r="G270" i="3"/>
  <c r="H270" i="3"/>
  <c r="I270" i="3"/>
  <c r="J270" i="3"/>
  <c r="K270" i="3"/>
  <c r="L270" i="3"/>
  <c r="M270" i="3"/>
  <c r="N270" i="3"/>
  <c r="O270" i="3"/>
  <c r="F271" i="3"/>
  <c r="G271" i="3"/>
  <c r="H271" i="3"/>
  <c r="I271" i="3"/>
  <c r="J271" i="3"/>
  <c r="K271" i="3"/>
  <c r="L271" i="3"/>
  <c r="M271" i="3"/>
  <c r="N271" i="3"/>
  <c r="O271" i="3"/>
  <c r="F272" i="3"/>
  <c r="G272" i="3"/>
  <c r="H272" i="3"/>
  <c r="I272" i="3"/>
  <c r="J272" i="3"/>
  <c r="K272" i="3"/>
  <c r="L272" i="3"/>
  <c r="M272" i="3"/>
  <c r="N272" i="3"/>
  <c r="O272" i="3"/>
  <c r="F273" i="3"/>
  <c r="G273" i="3"/>
  <c r="H273" i="3"/>
  <c r="I273" i="3"/>
  <c r="J273" i="3"/>
  <c r="K273" i="3"/>
  <c r="L273" i="3"/>
  <c r="M273" i="3"/>
  <c r="N273" i="3"/>
  <c r="O273" i="3"/>
  <c r="F274" i="3"/>
  <c r="G274" i="3"/>
  <c r="H274" i="3"/>
  <c r="I274" i="3"/>
  <c r="J274" i="3"/>
  <c r="K274" i="3"/>
  <c r="L274" i="3"/>
  <c r="M274" i="3"/>
  <c r="N274" i="3"/>
  <c r="O274" i="3"/>
  <c r="F275" i="3"/>
  <c r="G275" i="3"/>
  <c r="H275" i="3"/>
  <c r="I275" i="3"/>
  <c r="J275" i="3"/>
  <c r="K275" i="3"/>
  <c r="L275" i="3"/>
  <c r="M275" i="3"/>
  <c r="N275" i="3"/>
  <c r="O275" i="3"/>
  <c r="F276" i="3"/>
  <c r="G276" i="3"/>
  <c r="H276" i="3"/>
  <c r="I276" i="3"/>
  <c r="J276" i="3"/>
  <c r="K276" i="3"/>
  <c r="L276" i="3"/>
  <c r="M276" i="3"/>
  <c r="N276" i="3"/>
  <c r="O276" i="3"/>
  <c r="F277" i="3"/>
  <c r="G277" i="3"/>
  <c r="H277" i="3"/>
  <c r="I277" i="3"/>
  <c r="J277" i="3"/>
  <c r="K277" i="3"/>
  <c r="L277" i="3"/>
  <c r="M277" i="3"/>
  <c r="N277" i="3"/>
  <c r="O277" i="3"/>
  <c r="F278" i="3"/>
  <c r="G278" i="3"/>
  <c r="H278" i="3"/>
  <c r="I278" i="3"/>
  <c r="J278" i="3"/>
  <c r="K278" i="3"/>
  <c r="L278" i="3"/>
  <c r="M278" i="3"/>
  <c r="N278" i="3"/>
  <c r="O278" i="3"/>
  <c r="F279" i="3"/>
  <c r="G279" i="3"/>
  <c r="H279" i="3"/>
  <c r="I279" i="3"/>
  <c r="J279" i="3"/>
  <c r="K279" i="3"/>
  <c r="L279" i="3"/>
  <c r="M279" i="3"/>
  <c r="N279" i="3"/>
  <c r="O279" i="3"/>
  <c r="F280" i="3"/>
  <c r="G280" i="3"/>
  <c r="H280" i="3"/>
  <c r="I280" i="3"/>
  <c r="J280" i="3"/>
  <c r="K280" i="3"/>
  <c r="L280" i="3"/>
  <c r="M280" i="3"/>
  <c r="N280" i="3"/>
  <c r="O280" i="3"/>
  <c r="F281" i="3"/>
  <c r="G281" i="3"/>
  <c r="H281" i="3"/>
  <c r="I281" i="3"/>
  <c r="J281" i="3"/>
  <c r="K281" i="3"/>
  <c r="L281" i="3"/>
  <c r="M281" i="3"/>
  <c r="N281" i="3"/>
  <c r="O281" i="3"/>
  <c r="F282" i="3"/>
  <c r="G282" i="3"/>
  <c r="H282" i="3"/>
  <c r="I282" i="3"/>
  <c r="J282" i="3"/>
  <c r="K282" i="3"/>
  <c r="L282" i="3"/>
  <c r="M282" i="3"/>
  <c r="N282" i="3"/>
  <c r="O282" i="3"/>
  <c r="F283" i="3"/>
  <c r="G283" i="3"/>
  <c r="H283" i="3"/>
  <c r="I283" i="3"/>
  <c r="J283" i="3"/>
  <c r="K283" i="3"/>
  <c r="L283" i="3"/>
  <c r="M283" i="3"/>
  <c r="N283" i="3"/>
  <c r="O283" i="3"/>
  <c r="F284" i="3"/>
  <c r="G284" i="3"/>
  <c r="H284" i="3"/>
  <c r="I284" i="3"/>
  <c r="J284" i="3"/>
  <c r="K284" i="3"/>
  <c r="L284" i="3"/>
  <c r="M284" i="3"/>
  <c r="N284" i="3"/>
  <c r="O284" i="3"/>
  <c r="F285" i="3"/>
  <c r="G285" i="3"/>
  <c r="H285" i="3"/>
  <c r="I285" i="3"/>
  <c r="J285" i="3"/>
  <c r="K285" i="3"/>
  <c r="L285" i="3"/>
  <c r="M285" i="3"/>
  <c r="N285" i="3"/>
  <c r="O285" i="3"/>
  <c r="F286" i="3"/>
  <c r="G286" i="3"/>
  <c r="H286" i="3"/>
  <c r="I286" i="3"/>
  <c r="J286" i="3"/>
  <c r="K286" i="3"/>
  <c r="L286" i="3"/>
  <c r="M286" i="3"/>
  <c r="N286" i="3"/>
  <c r="O286" i="3"/>
  <c r="F287" i="3"/>
  <c r="G287" i="3"/>
  <c r="H287" i="3"/>
  <c r="I287" i="3"/>
  <c r="J287" i="3"/>
  <c r="K287" i="3"/>
  <c r="L287" i="3"/>
  <c r="M287" i="3"/>
  <c r="N287" i="3"/>
  <c r="O287" i="3"/>
  <c r="F288" i="3"/>
  <c r="G288" i="3"/>
  <c r="H288" i="3"/>
  <c r="I288" i="3"/>
  <c r="J288" i="3"/>
  <c r="K288" i="3"/>
  <c r="L288" i="3"/>
  <c r="M288" i="3"/>
  <c r="N288" i="3"/>
  <c r="O288" i="3"/>
  <c r="F289" i="3"/>
  <c r="G289" i="3"/>
  <c r="H289" i="3"/>
  <c r="I289" i="3"/>
  <c r="J289" i="3"/>
  <c r="K289" i="3"/>
  <c r="L289" i="3"/>
  <c r="M289" i="3"/>
  <c r="N289" i="3"/>
  <c r="O289" i="3"/>
  <c r="F290" i="3"/>
  <c r="G290" i="3"/>
  <c r="H290" i="3"/>
  <c r="I290" i="3"/>
  <c r="J290" i="3"/>
  <c r="K290" i="3"/>
  <c r="L290" i="3"/>
  <c r="M290" i="3"/>
  <c r="N290" i="3"/>
  <c r="O290" i="3"/>
  <c r="F291" i="3"/>
  <c r="G291" i="3"/>
  <c r="H291" i="3"/>
  <c r="I291" i="3"/>
  <c r="J291" i="3"/>
  <c r="K291" i="3"/>
  <c r="L291" i="3"/>
  <c r="M291" i="3"/>
  <c r="N291" i="3"/>
  <c r="O291" i="3"/>
  <c r="F292" i="3"/>
  <c r="G292" i="3"/>
  <c r="H292" i="3"/>
  <c r="I292" i="3"/>
  <c r="J292" i="3"/>
  <c r="K292" i="3"/>
  <c r="L292" i="3"/>
  <c r="M292" i="3"/>
  <c r="N292" i="3"/>
  <c r="O292" i="3"/>
  <c r="F293" i="3"/>
  <c r="G293" i="3"/>
  <c r="H293" i="3"/>
  <c r="I293" i="3"/>
  <c r="J293" i="3"/>
  <c r="K293" i="3"/>
  <c r="L293" i="3"/>
  <c r="M293" i="3"/>
  <c r="N293" i="3"/>
  <c r="O293" i="3"/>
  <c r="F294" i="3"/>
  <c r="G294" i="3"/>
  <c r="H294" i="3"/>
  <c r="I294" i="3"/>
  <c r="J294" i="3"/>
  <c r="K294" i="3"/>
  <c r="L294" i="3"/>
  <c r="M294" i="3"/>
  <c r="N294" i="3"/>
  <c r="O294" i="3"/>
  <c r="F295" i="3"/>
  <c r="G295" i="3"/>
  <c r="H295" i="3"/>
  <c r="I295" i="3"/>
  <c r="J295" i="3"/>
  <c r="K295" i="3"/>
  <c r="L295" i="3"/>
  <c r="M295" i="3"/>
  <c r="N295" i="3"/>
  <c r="O295" i="3"/>
  <c r="F296" i="3"/>
  <c r="G296" i="3"/>
  <c r="H296" i="3"/>
  <c r="I296" i="3"/>
  <c r="J296" i="3"/>
  <c r="K296" i="3"/>
  <c r="L296" i="3"/>
  <c r="M296" i="3"/>
  <c r="N296" i="3"/>
  <c r="O296" i="3"/>
  <c r="F297" i="3"/>
  <c r="G297" i="3"/>
  <c r="H297" i="3"/>
  <c r="I297" i="3"/>
  <c r="J297" i="3"/>
  <c r="K297" i="3"/>
  <c r="L297" i="3"/>
  <c r="M297" i="3"/>
  <c r="N297" i="3"/>
  <c r="O297" i="3"/>
  <c r="F298" i="3"/>
  <c r="G298" i="3"/>
  <c r="H298" i="3"/>
  <c r="I298" i="3"/>
  <c r="J298" i="3"/>
  <c r="K298" i="3"/>
  <c r="L298" i="3"/>
  <c r="M298" i="3"/>
  <c r="N298" i="3"/>
  <c r="O298" i="3"/>
  <c r="F299" i="3"/>
  <c r="G299" i="3"/>
  <c r="H299" i="3"/>
  <c r="I299" i="3"/>
  <c r="J299" i="3"/>
  <c r="K299" i="3"/>
  <c r="L299" i="3"/>
  <c r="M299" i="3"/>
  <c r="N299" i="3"/>
  <c r="O299" i="3"/>
  <c r="F300" i="3"/>
  <c r="G300" i="3"/>
  <c r="H300" i="3"/>
  <c r="I300" i="3"/>
  <c r="J300" i="3"/>
  <c r="K300" i="3"/>
  <c r="L300" i="3"/>
  <c r="M300" i="3"/>
  <c r="N300" i="3"/>
  <c r="O300" i="3"/>
  <c r="F301" i="3"/>
  <c r="G301" i="3"/>
  <c r="H301" i="3"/>
  <c r="I301" i="3"/>
  <c r="J301" i="3"/>
  <c r="K301" i="3"/>
  <c r="L301" i="3"/>
  <c r="M301" i="3"/>
  <c r="N301" i="3"/>
  <c r="O301" i="3"/>
  <c r="F302" i="3"/>
  <c r="G302" i="3"/>
  <c r="H302" i="3"/>
  <c r="I302" i="3"/>
  <c r="J302" i="3"/>
  <c r="K302" i="3"/>
  <c r="L302" i="3"/>
  <c r="M302" i="3"/>
  <c r="N302" i="3"/>
  <c r="O302" i="3"/>
  <c r="F303" i="3"/>
  <c r="G303" i="3"/>
  <c r="H303" i="3"/>
  <c r="I303" i="3"/>
  <c r="J303" i="3"/>
  <c r="K303" i="3"/>
  <c r="L303" i="3"/>
  <c r="M303" i="3"/>
  <c r="N303" i="3"/>
  <c r="O303" i="3"/>
  <c r="F304" i="3"/>
  <c r="G304" i="3"/>
  <c r="H304" i="3"/>
  <c r="I304" i="3"/>
  <c r="J304" i="3"/>
  <c r="K304" i="3"/>
  <c r="L304" i="3"/>
  <c r="M304" i="3"/>
  <c r="N304" i="3"/>
  <c r="O304" i="3"/>
  <c r="F305" i="3"/>
  <c r="G305" i="3"/>
  <c r="H305" i="3"/>
  <c r="I305" i="3"/>
  <c r="J305" i="3"/>
  <c r="K305" i="3"/>
  <c r="L305" i="3"/>
  <c r="M305" i="3"/>
  <c r="N305" i="3"/>
  <c r="O305" i="3"/>
  <c r="F306" i="3"/>
  <c r="G306" i="3"/>
  <c r="H306" i="3"/>
  <c r="I306" i="3"/>
  <c r="J306" i="3"/>
  <c r="K306" i="3"/>
  <c r="L306" i="3"/>
  <c r="M306" i="3"/>
  <c r="N306" i="3"/>
  <c r="O306" i="3"/>
  <c r="F307" i="3"/>
  <c r="G307" i="3"/>
  <c r="H307" i="3"/>
  <c r="I307" i="3"/>
  <c r="J307" i="3"/>
  <c r="K307" i="3"/>
  <c r="L307" i="3"/>
  <c r="M307" i="3"/>
  <c r="N307" i="3"/>
  <c r="O307" i="3"/>
  <c r="F308" i="3"/>
  <c r="G308" i="3"/>
  <c r="H308" i="3"/>
  <c r="I308" i="3"/>
  <c r="J308" i="3"/>
  <c r="K308" i="3"/>
  <c r="L308" i="3"/>
  <c r="M308" i="3"/>
  <c r="N308" i="3"/>
  <c r="O308" i="3"/>
  <c r="F309" i="3"/>
  <c r="G309" i="3"/>
  <c r="H309" i="3"/>
  <c r="I309" i="3"/>
  <c r="J309" i="3"/>
  <c r="K309" i="3"/>
  <c r="L309" i="3"/>
  <c r="M309" i="3"/>
  <c r="N309" i="3"/>
  <c r="O309" i="3"/>
  <c r="F310" i="3"/>
  <c r="G310" i="3"/>
  <c r="H310" i="3"/>
  <c r="I310" i="3"/>
  <c r="J310" i="3"/>
  <c r="K310" i="3"/>
  <c r="L310" i="3"/>
  <c r="M310" i="3"/>
  <c r="N310" i="3"/>
  <c r="O310" i="3"/>
  <c r="F311" i="3"/>
  <c r="G311" i="3"/>
  <c r="H311" i="3"/>
  <c r="I311" i="3"/>
  <c r="J311" i="3"/>
  <c r="K311" i="3"/>
  <c r="L311" i="3"/>
  <c r="M311" i="3"/>
  <c r="N311" i="3"/>
  <c r="O311" i="3"/>
  <c r="F312" i="3"/>
  <c r="G312" i="3"/>
  <c r="H312" i="3"/>
  <c r="I312" i="3"/>
  <c r="J312" i="3"/>
  <c r="K312" i="3"/>
  <c r="L312" i="3"/>
  <c r="M312" i="3"/>
  <c r="N312" i="3"/>
  <c r="O312" i="3"/>
  <c r="F313" i="3"/>
  <c r="G313" i="3"/>
  <c r="H313" i="3"/>
  <c r="I313" i="3"/>
  <c r="J313" i="3"/>
  <c r="K313" i="3"/>
  <c r="L313" i="3"/>
  <c r="M313" i="3"/>
  <c r="N313" i="3"/>
  <c r="O313" i="3"/>
  <c r="F314" i="3"/>
  <c r="G314" i="3"/>
  <c r="H314" i="3"/>
  <c r="I314" i="3"/>
  <c r="J314" i="3"/>
  <c r="K314" i="3"/>
  <c r="L314" i="3"/>
  <c r="M314" i="3"/>
  <c r="N314" i="3"/>
  <c r="O314" i="3"/>
  <c r="F315" i="3"/>
  <c r="G315" i="3"/>
  <c r="H315" i="3"/>
  <c r="I315" i="3"/>
  <c r="J315" i="3"/>
  <c r="K315" i="3"/>
  <c r="L315" i="3"/>
  <c r="M315" i="3"/>
  <c r="N315" i="3"/>
  <c r="O315" i="3"/>
  <c r="F316" i="3"/>
  <c r="G316" i="3"/>
  <c r="H316" i="3"/>
  <c r="I316" i="3"/>
  <c r="J316" i="3"/>
  <c r="K316" i="3"/>
  <c r="L316" i="3"/>
  <c r="M316" i="3"/>
  <c r="N316" i="3"/>
  <c r="O316" i="3"/>
  <c r="F317" i="3"/>
  <c r="G317" i="3"/>
  <c r="H317" i="3"/>
  <c r="I317" i="3"/>
  <c r="J317" i="3"/>
  <c r="K317" i="3"/>
  <c r="L317" i="3"/>
  <c r="M317" i="3"/>
  <c r="N317" i="3"/>
  <c r="O317" i="3"/>
  <c r="F318" i="3"/>
  <c r="G318" i="3"/>
  <c r="H318" i="3"/>
  <c r="I318" i="3"/>
  <c r="J318" i="3"/>
  <c r="K318" i="3"/>
  <c r="L318" i="3"/>
  <c r="M318" i="3"/>
  <c r="N318" i="3"/>
  <c r="O318" i="3"/>
  <c r="F319" i="3"/>
  <c r="G319" i="3"/>
  <c r="H319" i="3"/>
  <c r="I319" i="3"/>
  <c r="J319" i="3"/>
  <c r="K319" i="3"/>
  <c r="L319" i="3"/>
  <c r="M319" i="3"/>
  <c r="N319" i="3"/>
  <c r="O319" i="3"/>
  <c r="F320" i="3"/>
  <c r="G320" i="3"/>
  <c r="H320" i="3"/>
  <c r="I320" i="3"/>
  <c r="J320" i="3"/>
  <c r="K320" i="3"/>
  <c r="L320" i="3"/>
  <c r="M320" i="3"/>
  <c r="N320" i="3"/>
  <c r="O320" i="3"/>
  <c r="F321" i="3"/>
  <c r="G321" i="3"/>
  <c r="H321" i="3"/>
  <c r="I321" i="3"/>
  <c r="J321" i="3"/>
  <c r="K321" i="3"/>
  <c r="L321" i="3"/>
  <c r="M321" i="3"/>
  <c r="N321" i="3"/>
  <c r="O321" i="3"/>
  <c r="F322" i="3"/>
  <c r="G322" i="3"/>
  <c r="H322" i="3"/>
  <c r="I322" i="3"/>
  <c r="J322" i="3"/>
  <c r="K322" i="3"/>
  <c r="L322" i="3"/>
  <c r="M322" i="3"/>
  <c r="N322" i="3"/>
  <c r="O322" i="3"/>
  <c r="F323" i="3"/>
  <c r="G323" i="3"/>
  <c r="H323" i="3"/>
  <c r="I323" i="3"/>
  <c r="J323" i="3"/>
  <c r="K323" i="3"/>
  <c r="L323" i="3"/>
  <c r="M323" i="3"/>
  <c r="N323" i="3"/>
  <c r="O323" i="3"/>
  <c r="F324" i="3"/>
  <c r="G324" i="3"/>
  <c r="H324" i="3"/>
  <c r="I324" i="3"/>
  <c r="J324" i="3"/>
  <c r="K324" i="3"/>
  <c r="L324" i="3"/>
  <c r="M324" i="3"/>
  <c r="N324" i="3"/>
  <c r="O324" i="3"/>
  <c r="F325" i="3"/>
  <c r="G325" i="3"/>
  <c r="H325" i="3"/>
  <c r="I325" i="3"/>
  <c r="J325" i="3"/>
  <c r="K325" i="3"/>
  <c r="L325" i="3"/>
  <c r="M325" i="3"/>
  <c r="N325" i="3"/>
  <c r="O325" i="3"/>
  <c r="F326" i="3"/>
  <c r="G326" i="3"/>
  <c r="H326" i="3"/>
  <c r="I326" i="3"/>
  <c r="J326" i="3"/>
  <c r="K326" i="3"/>
  <c r="L326" i="3"/>
  <c r="M326" i="3"/>
  <c r="N326" i="3"/>
  <c r="O326" i="3"/>
  <c r="F327" i="3"/>
  <c r="G327" i="3"/>
  <c r="H327" i="3"/>
  <c r="I327" i="3"/>
  <c r="J327" i="3"/>
  <c r="K327" i="3"/>
  <c r="L327" i="3"/>
  <c r="M327" i="3"/>
  <c r="N327" i="3"/>
  <c r="O327" i="3"/>
  <c r="F328" i="3"/>
  <c r="G328" i="3"/>
  <c r="H328" i="3"/>
  <c r="I328" i="3"/>
  <c r="J328" i="3"/>
  <c r="K328" i="3"/>
  <c r="L328" i="3"/>
  <c r="M328" i="3"/>
  <c r="N328" i="3"/>
  <c r="O328" i="3"/>
  <c r="F329" i="3"/>
  <c r="G329" i="3"/>
  <c r="H329" i="3"/>
  <c r="I329" i="3"/>
  <c r="J329" i="3"/>
  <c r="K329" i="3"/>
  <c r="L329" i="3"/>
  <c r="M329" i="3"/>
  <c r="N329" i="3"/>
  <c r="O329" i="3"/>
  <c r="F330" i="3"/>
  <c r="G330" i="3"/>
  <c r="H330" i="3"/>
  <c r="I330" i="3"/>
  <c r="J330" i="3"/>
  <c r="K330" i="3"/>
  <c r="L330" i="3"/>
  <c r="M330" i="3"/>
  <c r="N330" i="3"/>
  <c r="O330" i="3"/>
  <c r="F331" i="3"/>
  <c r="G331" i="3"/>
  <c r="H331" i="3"/>
  <c r="I331" i="3"/>
  <c r="J331" i="3"/>
  <c r="K331" i="3"/>
  <c r="L331" i="3"/>
  <c r="M331" i="3"/>
  <c r="N331" i="3"/>
  <c r="O331" i="3"/>
  <c r="F332" i="3"/>
  <c r="G332" i="3"/>
  <c r="H332" i="3"/>
  <c r="I332" i="3"/>
  <c r="J332" i="3"/>
  <c r="K332" i="3"/>
  <c r="L332" i="3"/>
  <c r="M332" i="3"/>
  <c r="N332" i="3"/>
  <c r="O332" i="3"/>
  <c r="F333" i="3"/>
  <c r="G333" i="3"/>
  <c r="H333" i="3"/>
  <c r="I333" i="3"/>
  <c r="J333" i="3"/>
  <c r="K333" i="3"/>
  <c r="L333" i="3"/>
  <c r="M333" i="3"/>
  <c r="N333" i="3"/>
  <c r="O333" i="3"/>
  <c r="F334" i="3"/>
  <c r="G334" i="3"/>
  <c r="H334" i="3"/>
  <c r="I334" i="3"/>
  <c r="J334" i="3"/>
  <c r="K334" i="3"/>
  <c r="L334" i="3"/>
  <c r="M334" i="3"/>
  <c r="N334" i="3"/>
  <c r="O334" i="3"/>
  <c r="F335" i="3"/>
  <c r="G335" i="3"/>
  <c r="H335" i="3"/>
  <c r="I335" i="3"/>
  <c r="J335" i="3"/>
  <c r="K335" i="3"/>
  <c r="L335" i="3"/>
  <c r="M335" i="3"/>
  <c r="N335" i="3"/>
  <c r="O335" i="3"/>
  <c r="F336" i="3"/>
  <c r="G336" i="3"/>
  <c r="H336" i="3"/>
  <c r="I336" i="3"/>
  <c r="J336" i="3"/>
  <c r="K336" i="3"/>
  <c r="L336" i="3"/>
  <c r="M336" i="3"/>
  <c r="N336" i="3"/>
  <c r="O336" i="3"/>
  <c r="F337" i="3"/>
  <c r="G337" i="3"/>
  <c r="H337" i="3"/>
  <c r="I337" i="3"/>
  <c r="J337" i="3"/>
  <c r="K337" i="3"/>
  <c r="L337" i="3"/>
  <c r="M337" i="3"/>
  <c r="N337" i="3"/>
  <c r="O337" i="3"/>
  <c r="F338" i="3"/>
  <c r="G338" i="3"/>
  <c r="H338" i="3"/>
  <c r="I338" i="3"/>
  <c r="J338" i="3"/>
  <c r="K338" i="3"/>
  <c r="L338" i="3"/>
  <c r="M338" i="3"/>
  <c r="N338" i="3"/>
  <c r="O338" i="3"/>
  <c r="F339" i="3"/>
  <c r="G339" i="3"/>
  <c r="H339" i="3"/>
  <c r="I339" i="3"/>
  <c r="J339" i="3"/>
  <c r="K339" i="3"/>
  <c r="L339" i="3"/>
  <c r="M339" i="3"/>
  <c r="N339" i="3"/>
  <c r="O339" i="3"/>
  <c r="F340" i="3"/>
  <c r="G340" i="3"/>
  <c r="H340" i="3"/>
  <c r="I340" i="3"/>
  <c r="J340" i="3"/>
  <c r="K340" i="3"/>
  <c r="L340" i="3"/>
  <c r="M340" i="3"/>
  <c r="N340" i="3"/>
  <c r="O340" i="3"/>
  <c r="F341" i="3"/>
  <c r="G341" i="3"/>
  <c r="H341" i="3"/>
  <c r="I341" i="3"/>
  <c r="J341" i="3"/>
  <c r="K341" i="3"/>
  <c r="L341" i="3"/>
  <c r="M341" i="3"/>
  <c r="N341" i="3"/>
  <c r="O341" i="3"/>
  <c r="F342" i="3"/>
  <c r="G342" i="3"/>
  <c r="H342" i="3"/>
  <c r="I342" i="3"/>
  <c r="J342" i="3"/>
  <c r="K342" i="3"/>
  <c r="L342" i="3"/>
  <c r="M342" i="3"/>
  <c r="N342" i="3"/>
  <c r="O342" i="3"/>
  <c r="F343" i="3"/>
  <c r="G343" i="3"/>
  <c r="H343" i="3"/>
  <c r="I343" i="3"/>
  <c r="J343" i="3"/>
  <c r="K343" i="3"/>
  <c r="L343" i="3"/>
  <c r="M343" i="3"/>
  <c r="N343" i="3"/>
  <c r="O343" i="3"/>
  <c r="F344" i="3"/>
  <c r="G344" i="3"/>
  <c r="H344" i="3"/>
  <c r="I344" i="3"/>
  <c r="J344" i="3"/>
  <c r="K344" i="3"/>
  <c r="L344" i="3"/>
  <c r="M344" i="3"/>
  <c r="N344" i="3"/>
  <c r="O344" i="3"/>
  <c r="F345" i="3"/>
  <c r="G345" i="3"/>
  <c r="H345" i="3"/>
  <c r="I345" i="3"/>
  <c r="J345" i="3"/>
  <c r="K345" i="3"/>
  <c r="L345" i="3"/>
  <c r="M345" i="3"/>
  <c r="N345" i="3"/>
  <c r="O345" i="3"/>
  <c r="F346" i="3"/>
  <c r="G346" i="3"/>
  <c r="H346" i="3"/>
  <c r="I346" i="3"/>
  <c r="J346" i="3"/>
  <c r="K346" i="3"/>
  <c r="L346" i="3"/>
  <c r="M346" i="3"/>
  <c r="N346" i="3"/>
  <c r="O346" i="3"/>
  <c r="F347" i="3"/>
  <c r="G347" i="3"/>
  <c r="H347" i="3"/>
  <c r="I347" i="3"/>
  <c r="J347" i="3"/>
  <c r="K347" i="3"/>
  <c r="L347" i="3"/>
  <c r="M347" i="3"/>
  <c r="N347" i="3"/>
  <c r="O347" i="3"/>
  <c r="F348" i="3"/>
  <c r="G348" i="3"/>
  <c r="H348" i="3"/>
  <c r="I348" i="3"/>
  <c r="J348" i="3"/>
  <c r="K348" i="3"/>
  <c r="L348" i="3"/>
  <c r="M348" i="3"/>
  <c r="N348" i="3"/>
  <c r="O348" i="3"/>
  <c r="F349" i="3"/>
  <c r="G349" i="3"/>
  <c r="H349" i="3"/>
  <c r="I349" i="3"/>
  <c r="J349" i="3"/>
  <c r="K349" i="3"/>
  <c r="L349" i="3"/>
  <c r="M349" i="3"/>
  <c r="N349" i="3"/>
  <c r="O349" i="3"/>
  <c r="F350" i="3"/>
  <c r="G350" i="3"/>
  <c r="H350" i="3"/>
  <c r="I350" i="3"/>
  <c r="J350" i="3"/>
  <c r="K350" i="3"/>
  <c r="L350" i="3"/>
  <c r="M350" i="3"/>
  <c r="N350" i="3"/>
  <c r="O350" i="3"/>
  <c r="F351" i="3"/>
  <c r="G351" i="3"/>
  <c r="H351" i="3"/>
  <c r="I351" i="3"/>
  <c r="J351" i="3"/>
  <c r="K351" i="3"/>
  <c r="L351" i="3"/>
  <c r="M351" i="3"/>
  <c r="N351" i="3"/>
  <c r="O351" i="3"/>
  <c r="F352" i="3"/>
  <c r="G352" i="3"/>
  <c r="H352" i="3"/>
  <c r="I352" i="3"/>
  <c r="J352" i="3"/>
  <c r="K352" i="3"/>
  <c r="L352" i="3"/>
  <c r="M352" i="3"/>
  <c r="N352" i="3"/>
  <c r="O352" i="3"/>
  <c r="F353" i="3"/>
  <c r="G353" i="3"/>
  <c r="H353" i="3"/>
  <c r="I353" i="3"/>
  <c r="J353" i="3"/>
  <c r="K353" i="3"/>
  <c r="L353" i="3"/>
  <c r="M353" i="3"/>
  <c r="N353" i="3"/>
  <c r="O353" i="3"/>
  <c r="F354" i="3"/>
  <c r="G354" i="3"/>
  <c r="H354" i="3"/>
  <c r="I354" i="3"/>
  <c r="J354" i="3"/>
  <c r="K354" i="3"/>
  <c r="L354" i="3"/>
  <c r="M354" i="3"/>
  <c r="N354" i="3"/>
  <c r="O354" i="3"/>
  <c r="F355" i="3"/>
  <c r="G355" i="3"/>
  <c r="H355" i="3"/>
  <c r="I355" i="3"/>
  <c r="J355" i="3"/>
  <c r="K355" i="3"/>
  <c r="L355" i="3"/>
  <c r="M355" i="3"/>
  <c r="N355" i="3"/>
  <c r="O355" i="3"/>
  <c r="F356" i="3"/>
  <c r="G356" i="3"/>
  <c r="H356" i="3"/>
  <c r="I356" i="3"/>
  <c r="J356" i="3"/>
  <c r="K356" i="3"/>
  <c r="L356" i="3"/>
  <c r="M356" i="3"/>
  <c r="N356" i="3"/>
  <c r="O356" i="3"/>
  <c r="F357" i="3"/>
  <c r="G357" i="3"/>
  <c r="H357" i="3"/>
  <c r="I357" i="3"/>
  <c r="J357" i="3"/>
  <c r="K357" i="3"/>
  <c r="L357" i="3"/>
  <c r="M357" i="3"/>
  <c r="N357" i="3"/>
  <c r="O357" i="3"/>
  <c r="F358" i="3"/>
  <c r="G358" i="3"/>
  <c r="H358" i="3"/>
  <c r="I358" i="3"/>
  <c r="J358" i="3"/>
  <c r="K358" i="3"/>
  <c r="L358" i="3"/>
  <c r="M358" i="3"/>
  <c r="N358" i="3"/>
  <c r="O358" i="3"/>
  <c r="F359" i="3"/>
  <c r="G359" i="3"/>
  <c r="H359" i="3"/>
  <c r="I359" i="3"/>
  <c r="J359" i="3"/>
  <c r="K359" i="3"/>
  <c r="L359" i="3"/>
  <c r="M359" i="3"/>
  <c r="N359" i="3"/>
  <c r="O359" i="3"/>
  <c r="F360" i="3"/>
  <c r="G360" i="3"/>
  <c r="H360" i="3"/>
  <c r="I360" i="3"/>
  <c r="J360" i="3"/>
  <c r="K360" i="3"/>
  <c r="L360" i="3"/>
  <c r="M360" i="3"/>
  <c r="N360" i="3"/>
  <c r="O360" i="3"/>
  <c r="F361" i="3"/>
  <c r="G361" i="3"/>
  <c r="H361" i="3"/>
  <c r="I361" i="3"/>
  <c r="J361" i="3"/>
  <c r="K361" i="3"/>
  <c r="L361" i="3"/>
  <c r="M361" i="3"/>
  <c r="N361" i="3"/>
  <c r="O361" i="3"/>
  <c r="F362" i="3"/>
  <c r="G362" i="3"/>
  <c r="H362" i="3"/>
  <c r="I362" i="3"/>
  <c r="J362" i="3"/>
  <c r="K362" i="3"/>
  <c r="L362" i="3"/>
  <c r="M362" i="3"/>
  <c r="N362" i="3"/>
  <c r="O362" i="3"/>
  <c r="F363" i="3"/>
  <c r="G363" i="3"/>
  <c r="H363" i="3"/>
  <c r="I363" i="3"/>
  <c r="J363" i="3"/>
  <c r="K363" i="3"/>
  <c r="L363" i="3"/>
  <c r="M363" i="3"/>
  <c r="N363" i="3"/>
  <c r="O363" i="3"/>
  <c r="F364" i="3"/>
  <c r="G364" i="3"/>
  <c r="H364" i="3"/>
  <c r="I364" i="3"/>
  <c r="J364" i="3"/>
  <c r="K364" i="3"/>
  <c r="L364" i="3"/>
  <c r="M364" i="3"/>
  <c r="N364" i="3"/>
  <c r="O364" i="3"/>
  <c r="F365" i="3"/>
  <c r="G365" i="3"/>
  <c r="H365" i="3"/>
  <c r="I365" i="3"/>
  <c r="J365" i="3"/>
  <c r="K365" i="3"/>
  <c r="L365" i="3"/>
  <c r="M365" i="3"/>
  <c r="N365" i="3"/>
  <c r="O365" i="3"/>
  <c r="F366" i="3"/>
  <c r="G366" i="3"/>
  <c r="H366" i="3"/>
  <c r="I366" i="3"/>
  <c r="J366" i="3"/>
  <c r="K366" i="3"/>
  <c r="L366" i="3"/>
  <c r="M366" i="3"/>
  <c r="N366" i="3"/>
  <c r="O366" i="3"/>
  <c r="F367" i="3"/>
  <c r="G367" i="3"/>
  <c r="H367" i="3"/>
  <c r="I367" i="3"/>
  <c r="J367" i="3"/>
  <c r="K367" i="3"/>
  <c r="L367" i="3"/>
  <c r="M367" i="3"/>
  <c r="N367" i="3"/>
  <c r="O367" i="3"/>
  <c r="F368" i="3"/>
  <c r="G368" i="3"/>
  <c r="H368" i="3"/>
  <c r="I368" i="3"/>
  <c r="J368" i="3"/>
  <c r="K368" i="3"/>
  <c r="L368" i="3"/>
  <c r="M368" i="3"/>
  <c r="N368" i="3"/>
  <c r="O368" i="3"/>
  <c r="F369" i="3"/>
  <c r="G369" i="3"/>
  <c r="H369" i="3"/>
  <c r="I369" i="3"/>
  <c r="J369" i="3"/>
  <c r="K369" i="3"/>
  <c r="L369" i="3"/>
  <c r="M369" i="3"/>
  <c r="N369" i="3"/>
  <c r="O369" i="3"/>
  <c r="F370" i="3"/>
  <c r="G370" i="3"/>
  <c r="H370" i="3"/>
  <c r="I370" i="3"/>
  <c r="J370" i="3"/>
  <c r="K370" i="3"/>
  <c r="L370" i="3"/>
  <c r="M370" i="3"/>
  <c r="N370" i="3"/>
  <c r="O370" i="3"/>
  <c r="F371" i="3"/>
  <c r="G371" i="3"/>
  <c r="H371" i="3"/>
  <c r="I371" i="3"/>
  <c r="J371" i="3"/>
  <c r="K371" i="3"/>
  <c r="L371" i="3"/>
  <c r="M371" i="3"/>
  <c r="N371" i="3"/>
  <c r="O371" i="3"/>
  <c r="F372" i="3"/>
  <c r="G372" i="3"/>
  <c r="H372" i="3"/>
  <c r="I372" i="3"/>
  <c r="J372" i="3"/>
  <c r="K372" i="3"/>
  <c r="L372" i="3"/>
  <c r="M372" i="3"/>
  <c r="N372" i="3"/>
  <c r="O372" i="3"/>
  <c r="F373" i="3"/>
  <c r="G373" i="3"/>
  <c r="H373" i="3"/>
  <c r="I373" i="3"/>
  <c r="J373" i="3"/>
  <c r="K373" i="3"/>
  <c r="L373" i="3"/>
  <c r="M373" i="3"/>
  <c r="N373" i="3"/>
  <c r="O373" i="3"/>
  <c r="F374" i="3"/>
  <c r="G374" i="3"/>
  <c r="H374" i="3"/>
  <c r="I374" i="3"/>
  <c r="J374" i="3"/>
  <c r="K374" i="3"/>
  <c r="L374" i="3"/>
  <c r="M374" i="3"/>
  <c r="N374" i="3"/>
  <c r="O374" i="3"/>
  <c r="F375" i="3"/>
  <c r="G375" i="3"/>
  <c r="H375" i="3"/>
  <c r="I375" i="3"/>
  <c r="J375" i="3"/>
  <c r="K375" i="3"/>
  <c r="L375" i="3"/>
  <c r="M375" i="3"/>
  <c r="N375" i="3"/>
  <c r="O375" i="3"/>
  <c r="F376" i="3"/>
  <c r="G376" i="3"/>
  <c r="H376" i="3"/>
  <c r="I376" i="3"/>
  <c r="J376" i="3"/>
  <c r="K376" i="3"/>
  <c r="L376" i="3"/>
  <c r="M376" i="3"/>
  <c r="N376" i="3"/>
  <c r="O376" i="3"/>
  <c r="F377" i="3"/>
  <c r="G377" i="3"/>
  <c r="H377" i="3"/>
  <c r="I377" i="3"/>
  <c r="J377" i="3"/>
  <c r="K377" i="3"/>
  <c r="L377" i="3"/>
  <c r="M377" i="3"/>
  <c r="N377" i="3"/>
  <c r="O377" i="3"/>
  <c r="F378" i="3"/>
  <c r="G378" i="3"/>
  <c r="H378" i="3"/>
  <c r="I378" i="3"/>
  <c r="J378" i="3"/>
  <c r="K378" i="3"/>
  <c r="L378" i="3"/>
  <c r="M378" i="3"/>
  <c r="N378" i="3"/>
  <c r="O378" i="3"/>
  <c r="F379" i="3"/>
  <c r="G379" i="3"/>
  <c r="H379" i="3"/>
  <c r="I379" i="3"/>
  <c r="J379" i="3"/>
  <c r="K379" i="3"/>
  <c r="L379" i="3"/>
  <c r="M379" i="3"/>
  <c r="N379" i="3"/>
  <c r="O379" i="3"/>
  <c r="F380" i="3"/>
  <c r="G380" i="3"/>
  <c r="H380" i="3"/>
  <c r="I380" i="3"/>
  <c r="J380" i="3"/>
  <c r="K380" i="3"/>
  <c r="L380" i="3"/>
  <c r="M380" i="3"/>
  <c r="N380" i="3"/>
  <c r="O380" i="3"/>
  <c r="F381" i="3"/>
  <c r="G381" i="3"/>
  <c r="H381" i="3"/>
  <c r="I381" i="3"/>
  <c r="J381" i="3"/>
  <c r="K381" i="3"/>
  <c r="L381" i="3"/>
  <c r="M381" i="3"/>
  <c r="N381" i="3"/>
  <c r="O381" i="3"/>
  <c r="F382" i="3"/>
  <c r="G382" i="3"/>
  <c r="H382" i="3"/>
  <c r="I382" i="3"/>
  <c r="J382" i="3"/>
  <c r="K382" i="3"/>
  <c r="L382" i="3"/>
  <c r="M382" i="3"/>
  <c r="N382" i="3"/>
  <c r="O382" i="3"/>
  <c r="F383" i="3"/>
  <c r="G383" i="3"/>
  <c r="H383" i="3"/>
  <c r="I383" i="3"/>
  <c r="J383" i="3"/>
  <c r="K383" i="3"/>
  <c r="L383" i="3"/>
  <c r="M383" i="3"/>
  <c r="N383" i="3"/>
  <c r="O383" i="3"/>
  <c r="F384" i="3"/>
  <c r="G384" i="3"/>
  <c r="H384" i="3"/>
  <c r="I384" i="3"/>
  <c r="J384" i="3"/>
  <c r="K384" i="3"/>
  <c r="L384" i="3"/>
  <c r="M384" i="3"/>
  <c r="N384" i="3"/>
  <c r="O384" i="3"/>
  <c r="F385" i="3"/>
  <c r="G385" i="3"/>
  <c r="H385" i="3"/>
  <c r="I385" i="3"/>
  <c r="J385" i="3"/>
  <c r="K385" i="3"/>
  <c r="L385" i="3"/>
  <c r="M385" i="3"/>
  <c r="N385" i="3"/>
  <c r="O385" i="3"/>
  <c r="F386" i="3"/>
  <c r="G386" i="3"/>
  <c r="H386" i="3"/>
  <c r="I386" i="3"/>
  <c r="J386" i="3"/>
  <c r="K386" i="3"/>
  <c r="L386" i="3"/>
  <c r="M386" i="3"/>
  <c r="N386" i="3"/>
  <c r="O386" i="3"/>
  <c r="F387" i="3"/>
  <c r="G387" i="3"/>
  <c r="H387" i="3"/>
  <c r="I387" i="3"/>
  <c r="J387" i="3"/>
  <c r="K387" i="3"/>
  <c r="L387" i="3"/>
  <c r="M387" i="3"/>
  <c r="N387" i="3"/>
  <c r="O387" i="3"/>
  <c r="F388" i="3"/>
  <c r="G388" i="3"/>
  <c r="H388" i="3"/>
  <c r="I388" i="3"/>
  <c r="J388" i="3"/>
  <c r="K388" i="3"/>
  <c r="L388" i="3"/>
  <c r="M388" i="3"/>
  <c r="N388" i="3"/>
  <c r="O388" i="3"/>
  <c r="F389" i="3"/>
  <c r="G389" i="3"/>
  <c r="H389" i="3"/>
  <c r="I389" i="3"/>
  <c r="J389" i="3"/>
  <c r="K389" i="3"/>
  <c r="L389" i="3"/>
  <c r="M389" i="3"/>
  <c r="N389" i="3"/>
  <c r="O389" i="3"/>
  <c r="F390" i="3"/>
  <c r="G390" i="3"/>
  <c r="H390" i="3"/>
  <c r="I390" i="3"/>
  <c r="J390" i="3"/>
  <c r="K390" i="3"/>
  <c r="L390" i="3"/>
  <c r="M390" i="3"/>
  <c r="N390" i="3"/>
  <c r="O390" i="3"/>
  <c r="F391" i="3"/>
  <c r="G391" i="3"/>
  <c r="H391" i="3"/>
  <c r="I391" i="3"/>
  <c r="J391" i="3"/>
  <c r="K391" i="3"/>
  <c r="L391" i="3"/>
  <c r="M391" i="3"/>
  <c r="N391" i="3"/>
  <c r="O391" i="3"/>
  <c r="F392" i="3"/>
  <c r="G392" i="3"/>
  <c r="H392" i="3"/>
  <c r="I392" i="3"/>
  <c r="J392" i="3"/>
  <c r="K392" i="3"/>
  <c r="L392" i="3"/>
  <c r="M392" i="3"/>
  <c r="N392" i="3"/>
  <c r="O392" i="3"/>
  <c r="F393" i="3"/>
  <c r="G393" i="3"/>
  <c r="H393" i="3"/>
  <c r="I393" i="3"/>
  <c r="J393" i="3"/>
  <c r="K393" i="3"/>
  <c r="L393" i="3"/>
  <c r="M393" i="3"/>
  <c r="N393" i="3"/>
  <c r="O393" i="3"/>
  <c r="F394" i="3"/>
  <c r="G394" i="3"/>
  <c r="H394" i="3"/>
  <c r="I394" i="3"/>
  <c r="J394" i="3"/>
  <c r="K394" i="3"/>
  <c r="L394" i="3"/>
  <c r="M394" i="3"/>
  <c r="N394" i="3"/>
  <c r="O394" i="3"/>
  <c r="F395" i="3"/>
  <c r="G395" i="3"/>
  <c r="H395" i="3"/>
  <c r="I395" i="3"/>
  <c r="J395" i="3"/>
  <c r="K395" i="3"/>
  <c r="L395" i="3"/>
  <c r="M395" i="3"/>
  <c r="N395" i="3"/>
  <c r="O395" i="3"/>
  <c r="F396" i="3"/>
  <c r="G396" i="3"/>
  <c r="H396" i="3"/>
  <c r="I396" i="3"/>
  <c r="J396" i="3"/>
  <c r="K396" i="3"/>
  <c r="L396" i="3"/>
  <c r="M396" i="3"/>
  <c r="N396" i="3"/>
  <c r="O396" i="3"/>
  <c r="F397" i="3"/>
  <c r="G397" i="3"/>
  <c r="H397" i="3"/>
  <c r="I397" i="3"/>
  <c r="J397" i="3"/>
  <c r="K397" i="3"/>
  <c r="L397" i="3"/>
  <c r="M397" i="3"/>
  <c r="N397" i="3"/>
  <c r="O397" i="3"/>
  <c r="F398" i="3"/>
  <c r="G398" i="3"/>
  <c r="H398" i="3"/>
  <c r="I398" i="3"/>
  <c r="J398" i="3"/>
  <c r="K398" i="3"/>
  <c r="L398" i="3"/>
  <c r="M398" i="3"/>
  <c r="N398" i="3"/>
  <c r="O398" i="3"/>
  <c r="F399" i="3"/>
  <c r="G399" i="3"/>
  <c r="H399" i="3"/>
  <c r="I399" i="3"/>
  <c r="J399" i="3"/>
  <c r="K399" i="3"/>
  <c r="L399" i="3"/>
  <c r="M399" i="3"/>
  <c r="N399" i="3"/>
  <c r="O399" i="3"/>
  <c r="F400" i="3"/>
  <c r="G400" i="3"/>
  <c r="H400" i="3"/>
  <c r="I400" i="3"/>
  <c r="J400" i="3"/>
  <c r="K400" i="3"/>
  <c r="L400" i="3"/>
  <c r="M400" i="3"/>
  <c r="N400" i="3"/>
  <c r="O400" i="3"/>
  <c r="F401" i="3"/>
  <c r="G401" i="3"/>
  <c r="H401" i="3"/>
  <c r="I401" i="3"/>
  <c r="J401" i="3"/>
  <c r="K401" i="3"/>
  <c r="L401" i="3"/>
  <c r="M401" i="3"/>
  <c r="N401" i="3"/>
  <c r="O401" i="3"/>
  <c r="F402" i="3"/>
  <c r="G402" i="3"/>
  <c r="H402" i="3"/>
  <c r="I402" i="3"/>
  <c r="J402" i="3"/>
  <c r="K402" i="3"/>
  <c r="L402" i="3"/>
  <c r="M402" i="3"/>
  <c r="N402" i="3"/>
  <c r="O402" i="3"/>
  <c r="F403" i="3"/>
  <c r="G403" i="3"/>
  <c r="H403" i="3"/>
  <c r="I403" i="3"/>
  <c r="J403" i="3"/>
  <c r="K403" i="3"/>
  <c r="L403" i="3"/>
  <c r="M403" i="3"/>
  <c r="N403" i="3"/>
  <c r="O403" i="3"/>
  <c r="F404" i="3"/>
  <c r="G404" i="3"/>
  <c r="H404" i="3"/>
  <c r="I404" i="3"/>
  <c r="J404" i="3"/>
  <c r="K404" i="3"/>
  <c r="L404" i="3"/>
  <c r="M404" i="3"/>
  <c r="N404" i="3"/>
  <c r="O404" i="3"/>
  <c r="F405" i="3"/>
  <c r="G405" i="3"/>
  <c r="H405" i="3"/>
  <c r="I405" i="3"/>
  <c r="J405" i="3"/>
  <c r="K405" i="3"/>
  <c r="L405" i="3"/>
  <c r="M405" i="3"/>
  <c r="N405" i="3"/>
  <c r="O405" i="3"/>
  <c r="F406" i="3"/>
  <c r="G406" i="3"/>
  <c r="H406" i="3"/>
  <c r="I406" i="3"/>
  <c r="J406" i="3"/>
  <c r="K406" i="3"/>
  <c r="L406" i="3"/>
  <c r="M406" i="3"/>
  <c r="N406" i="3"/>
  <c r="O406" i="3"/>
  <c r="F407" i="3"/>
  <c r="G407" i="3"/>
  <c r="H407" i="3"/>
  <c r="I407" i="3"/>
  <c r="J407" i="3"/>
  <c r="K407" i="3"/>
  <c r="L407" i="3"/>
  <c r="M407" i="3"/>
  <c r="N407" i="3"/>
  <c r="O407" i="3"/>
  <c r="F408" i="3"/>
  <c r="G408" i="3"/>
  <c r="H408" i="3"/>
  <c r="I408" i="3"/>
  <c r="J408" i="3"/>
  <c r="K408" i="3"/>
  <c r="L408" i="3"/>
  <c r="M408" i="3"/>
  <c r="N408" i="3"/>
  <c r="O408" i="3"/>
  <c r="F409" i="3"/>
  <c r="G409" i="3"/>
  <c r="H409" i="3"/>
  <c r="I409" i="3"/>
  <c r="J409" i="3"/>
  <c r="K409" i="3"/>
  <c r="L409" i="3"/>
  <c r="M409" i="3"/>
  <c r="N409" i="3"/>
  <c r="O409" i="3"/>
  <c r="F410" i="3"/>
  <c r="G410" i="3"/>
  <c r="H410" i="3"/>
  <c r="I410" i="3"/>
  <c r="J410" i="3"/>
  <c r="K410" i="3"/>
  <c r="L410" i="3"/>
  <c r="M410" i="3"/>
  <c r="N410" i="3"/>
  <c r="O410" i="3"/>
  <c r="F411" i="3"/>
  <c r="G411" i="3"/>
  <c r="H411" i="3"/>
  <c r="I411" i="3"/>
  <c r="J411" i="3"/>
  <c r="K411" i="3"/>
  <c r="L411" i="3"/>
  <c r="M411" i="3"/>
  <c r="N411" i="3"/>
  <c r="O411" i="3"/>
  <c r="F412" i="3"/>
  <c r="G412" i="3"/>
  <c r="H412" i="3"/>
  <c r="I412" i="3"/>
  <c r="J412" i="3"/>
  <c r="K412" i="3"/>
  <c r="L412" i="3"/>
  <c r="M412" i="3"/>
  <c r="N412" i="3"/>
  <c r="O412" i="3"/>
  <c r="F413" i="3"/>
  <c r="G413" i="3"/>
  <c r="H413" i="3"/>
  <c r="I413" i="3"/>
  <c r="J413" i="3"/>
  <c r="K413" i="3"/>
  <c r="L413" i="3"/>
  <c r="M413" i="3"/>
  <c r="N413" i="3"/>
  <c r="O413" i="3"/>
  <c r="F414" i="3"/>
  <c r="G414" i="3"/>
  <c r="H414" i="3"/>
  <c r="I414" i="3"/>
  <c r="J414" i="3"/>
  <c r="K414" i="3"/>
  <c r="L414" i="3"/>
  <c r="M414" i="3"/>
  <c r="N414" i="3"/>
  <c r="O414" i="3"/>
  <c r="F415" i="3"/>
  <c r="G415" i="3"/>
  <c r="H415" i="3"/>
  <c r="I415" i="3"/>
  <c r="J415" i="3"/>
  <c r="K415" i="3"/>
  <c r="L415" i="3"/>
  <c r="M415" i="3"/>
  <c r="N415" i="3"/>
  <c r="O415" i="3"/>
  <c r="F416" i="3"/>
  <c r="G416" i="3"/>
  <c r="H416" i="3"/>
  <c r="I416" i="3"/>
  <c r="J416" i="3"/>
  <c r="K416" i="3"/>
  <c r="L416" i="3"/>
  <c r="M416" i="3"/>
  <c r="N416" i="3"/>
  <c r="O416" i="3"/>
  <c r="F417" i="3"/>
  <c r="G417" i="3"/>
  <c r="H417" i="3"/>
  <c r="I417" i="3"/>
  <c r="J417" i="3"/>
  <c r="K417" i="3"/>
  <c r="L417" i="3"/>
  <c r="M417" i="3"/>
  <c r="N417" i="3"/>
  <c r="O417" i="3"/>
  <c r="F418" i="3"/>
  <c r="G418" i="3"/>
  <c r="H418" i="3"/>
  <c r="I418" i="3"/>
  <c r="J418" i="3"/>
  <c r="K418" i="3"/>
  <c r="L418" i="3"/>
  <c r="M418" i="3"/>
  <c r="N418" i="3"/>
  <c r="O418" i="3"/>
  <c r="F419" i="3"/>
  <c r="G419" i="3"/>
  <c r="H419" i="3"/>
  <c r="I419" i="3"/>
  <c r="J419" i="3"/>
  <c r="K419" i="3"/>
  <c r="L419" i="3"/>
  <c r="M419" i="3"/>
  <c r="N419" i="3"/>
  <c r="O419" i="3"/>
  <c r="F420" i="3"/>
  <c r="G420" i="3"/>
  <c r="H420" i="3"/>
  <c r="I420" i="3"/>
  <c r="J420" i="3"/>
  <c r="K420" i="3"/>
  <c r="L420" i="3"/>
  <c r="M420" i="3"/>
  <c r="N420" i="3"/>
  <c r="O420" i="3"/>
  <c r="F421" i="3"/>
  <c r="G421" i="3"/>
  <c r="H421" i="3"/>
  <c r="I421" i="3"/>
  <c r="J421" i="3"/>
  <c r="K421" i="3"/>
  <c r="L421" i="3"/>
  <c r="M421" i="3"/>
  <c r="N421" i="3"/>
  <c r="O421" i="3"/>
  <c r="F422" i="3"/>
  <c r="G422" i="3"/>
  <c r="H422" i="3"/>
  <c r="I422" i="3"/>
  <c r="J422" i="3"/>
  <c r="K422" i="3"/>
  <c r="L422" i="3"/>
  <c r="M422" i="3"/>
  <c r="N422" i="3"/>
  <c r="O422" i="3"/>
  <c r="F423" i="3"/>
  <c r="G423" i="3"/>
  <c r="H423" i="3"/>
  <c r="I423" i="3"/>
  <c r="J423" i="3"/>
  <c r="K423" i="3"/>
  <c r="L423" i="3"/>
  <c r="M423" i="3"/>
  <c r="N423" i="3"/>
  <c r="O423" i="3"/>
  <c r="F424" i="3"/>
  <c r="G424" i="3"/>
  <c r="H424" i="3"/>
  <c r="I424" i="3"/>
  <c r="J424" i="3"/>
  <c r="K424" i="3"/>
  <c r="L424" i="3"/>
  <c r="M424" i="3"/>
  <c r="N424" i="3"/>
  <c r="O424" i="3"/>
  <c r="F425" i="3"/>
  <c r="G425" i="3"/>
  <c r="H425" i="3"/>
  <c r="I425" i="3"/>
  <c r="J425" i="3"/>
  <c r="K425" i="3"/>
  <c r="L425" i="3"/>
  <c r="M425" i="3"/>
  <c r="N425" i="3"/>
  <c r="O425" i="3"/>
  <c r="F426" i="3"/>
  <c r="G426" i="3"/>
  <c r="H426" i="3"/>
  <c r="I426" i="3"/>
  <c r="J426" i="3"/>
  <c r="K426" i="3"/>
  <c r="L426" i="3"/>
  <c r="M426" i="3"/>
  <c r="N426" i="3"/>
  <c r="O426" i="3"/>
  <c r="F427" i="3"/>
  <c r="G427" i="3"/>
  <c r="H427" i="3"/>
  <c r="I427" i="3"/>
  <c r="J427" i="3"/>
  <c r="K427" i="3"/>
  <c r="L427" i="3"/>
  <c r="M427" i="3"/>
  <c r="N427" i="3"/>
  <c r="O427" i="3"/>
  <c r="F428" i="3"/>
  <c r="G428" i="3"/>
  <c r="H428" i="3"/>
  <c r="I428" i="3"/>
  <c r="J428" i="3"/>
  <c r="K428" i="3"/>
  <c r="L428" i="3"/>
  <c r="M428" i="3"/>
  <c r="N428" i="3"/>
  <c r="O428" i="3"/>
  <c r="F429" i="3"/>
  <c r="G429" i="3"/>
  <c r="H429" i="3"/>
  <c r="I429" i="3"/>
  <c r="J429" i="3"/>
  <c r="K429" i="3"/>
  <c r="L429" i="3"/>
  <c r="M429" i="3"/>
  <c r="N429" i="3"/>
  <c r="O429" i="3"/>
  <c r="F430" i="3"/>
  <c r="G430" i="3"/>
  <c r="H430" i="3"/>
  <c r="I430" i="3"/>
  <c r="J430" i="3"/>
  <c r="K430" i="3"/>
  <c r="L430" i="3"/>
  <c r="M430" i="3"/>
  <c r="N430" i="3"/>
  <c r="O430" i="3"/>
  <c r="F431" i="3"/>
  <c r="G431" i="3"/>
  <c r="H431" i="3"/>
  <c r="I431" i="3"/>
  <c r="J431" i="3"/>
  <c r="K431" i="3"/>
  <c r="L431" i="3"/>
  <c r="M431" i="3"/>
  <c r="N431" i="3"/>
  <c r="O431" i="3"/>
  <c r="F432" i="3"/>
  <c r="G432" i="3"/>
  <c r="H432" i="3"/>
  <c r="I432" i="3"/>
  <c r="J432" i="3"/>
  <c r="K432" i="3"/>
  <c r="L432" i="3"/>
  <c r="M432" i="3"/>
  <c r="N432" i="3"/>
  <c r="O432" i="3"/>
  <c r="F433" i="3"/>
  <c r="G433" i="3"/>
  <c r="H433" i="3"/>
  <c r="I433" i="3"/>
  <c r="J433" i="3"/>
  <c r="K433" i="3"/>
  <c r="L433" i="3"/>
  <c r="M433" i="3"/>
  <c r="N433" i="3"/>
  <c r="O433" i="3"/>
  <c r="F434" i="3"/>
  <c r="G434" i="3"/>
  <c r="H434" i="3"/>
  <c r="I434" i="3"/>
  <c r="J434" i="3"/>
  <c r="K434" i="3"/>
  <c r="L434" i="3"/>
  <c r="M434" i="3"/>
  <c r="N434" i="3"/>
  <c r="O434" i="3"/>
  <c r="F435" i="3"/>
  <c r="G435" i="3"/>
  <c r="H435" i="3"/>
  <c r="I435" i="3"/>
  <c r="J435" i="3"/>
  <c r="K435" i="3"/>
  <c r="L435" i="3"/>
  <c r="M435" i="3"/>
  <c r="N435" i="3"/>
  <c r="O435" i="3"/>
  <c r="F436" i="3"/>
  <c r="G436" i="3"/>
  <c r="H436" i="3"/>
  <c r="I436" i="3"/>
  <c r="J436" i="3"/>
  <c r="K436" i="3"/>
  <c r="L436" i="3"/>
  <c r="M436" i="3"/>
  <c r="N436" i="3"/>
  <c r="O436" i="3"/>
  <c r="F437" i="3"/>
  <c r="G437" i="3"/>
  <c r="H437" i="3"/>
  <c r="I437" i="3"/>
  <c r="J437" i="3"/>
  <c r="K437" i="3"/>
  <c r="L437" i="3"/>
  <c r="M437" i="3"/>
  <c r="N437" i="3"/>
  <c r="O437" i="3"/>
  <c r="F438" i="3"/>
  <c r="G438" i="3"/>
  <c r="H438" i="3"/>
  <c r="I438" i="3"/>
  <c r="J438" i="3"/>
  <c r="K438" i="3"/>
  <c r="L438" i="3"/>
  <c r="M438" i="3"/>
  <c r="N438" i="3"/>
  <c r="O438" i="3"/>
  <c r="F439" i="3"/>
  <c r="G439" i="3"/>
  <c r="H439" i="3"/>
  <c r="I439" i="3"/>
  <c r="J439" i="3"/>
  <c r="K439" i="3"/>
  <c r="L439" i="3"/>
  <c r="M439" i="3"/>
  <c r="N439" i="3"/>
  <c r="O439" i="3"/>
  <c r="F440" i="3"/>
  <c r="G440" i="3"/>
  <c r="H440" i="3"/>
  <c r="I440" i="3"/>
  <c r="J440" i="3"/>
  <c r="K440" i="3"/>
  <c r="L440" i="3"/>
  <c r="M440" i="3"/>
  <c r="N440" i="3"/>
  <c r="O440" i="3"/>
  <c r="F441" i="3"/>
  <c r="G441" i="3"/>
  <c r="H441" i="3"/>
  <c r="I441" i="3"/>
  <c r="J441" i="3"/>
  <c r="K441" i="3"/>
  <c r="L441" i="3"/>
  <c r="M441" i="3"/>
  <c r="N441" i="3"/>
  <c r="O441" i="3"/>
  <c r="F442" i="3"/>
  <c r="G442" i="3"/>
  <c r="H442" i="3"/>
  <c r="I442" i="3"/>
  <c r="J442" i="3"/>
  <c r="K442" i="3"/>
  <c r="L442" i="3"/>
  <c r="M442" i="3"/>
  <c r="N442" i="3"/>
  <c r="O442" i="3"/>
  <c r="F443" i="3"/>
  <c r="G443" i="3"/>
  <c r="H443" i="3"/>
  <c r="I443" i="3"/>
  <c r="J443" i="3"/>
  <c r="K443" i="3"/>
  <c r="L443" i="3"/>
  <c r="M443" i="3"/>
  <c r="N443" i="3"/>
  <c r="O443" i="3"/>
  <c r="F444" i="3"/>
  <c r="G444" i="3"/>
  <c r="H444" i="3"/>
  <c r="I444" i="3"/>
  <c r="J444" i="3"/>
  <c r="K444" i="3"/>
  <c r="L444" i="3"/>
  <c r="M444" i="3"/>
  <c r="N444" i="3"/>
  <c r="O444" i="3"/>
  <c r="F445" i="3"/>
  <c r="G445" i="3"/>
  <c r="H445" i="3"/>
  <c r="I445" i="3"/>
  <c r="J445" i="3"/>
  <c r="K445" i="3"/>
  <c r="L445" i="3"/>
  <c r="M445" i="3"/>
  <c r="N445" i="3"/>
  <c r="O445" i="3"/>
  <c r="F446" i="3"/>
  <c r="G446" i="3"/>
  <c r="H446" i="3"/>
  <c r="I446" i="3"/>
  <c r="J446" i="3"/>
  <c r="K446" i="3"/>
  <c r="L446" i="3"/>
  <c r="M446" i="3"/>
  <c r="N446" i="3"/>
  <c r="O446" i="3"/>
  <c r="F447" i="3"/>
  <c r="G447" i="3"/>
  <c r="H447" i="3"/>
  <c r="I447" i="3"/>
  <c r="J447" i="3"/>
  <c r="K447" i="3"/>
  <c r="L447" i="3"/>
  <c r="M447" i="3"/>
  <c r="N447" i="3"/>
  <c r="O447" i="3"/>
  <c r="F448" i="3"/>
  <c r="G448" i="3"/>
  <c r="H448" i="3"/>
  <c r="I448" i="3"/>
  <c r="J448" i="3"/>
  <c r="K448" i="3"/>
  <c r="L448" i="3"/>
  <c r="M448" i="3"/>
  <c r="N448" i="3"/>
  <c r="O448" i="3"/>
  <c r="F449" i="3"/>
  <c r="G449" i="3"/>
  <c r="H449" i="3"/>
  <c r="I449" i="3"/>
  <c r="J449" i="3"/>
  <c r="K449" i="3"/>
  <c r="L449" i="3"/>
  <c r="M449" i="3"/>
  <c r="N449" i="3"/>
  <c r="O449" i="3"/>
  <c r="F450" i="3"/>
  <c r="G450" i="3"/>
  <c r="H450" i="3"/>
  <c r="I450" i="3"/>
  <c r="J450" i="3"/>
  <c r="K450" i="3"/>
  <c r="L450" i="3"/>
  <c r="M450" i="3"/>
  <c r="N450" i="3"/>
  <c r="O450" i="3"/>
  <c r="F451" i="3"/>
  <c r="G451" i="3"/>
  <c r="H451" i="3"/>
  <c r="I451" i="3"/>
  <c r="J451" i="3"/>
  <c r="K451" i="3"/>
  <c r="L451" i="3"/>
  <c r="M451" i="3"/>
  <c r="N451" i="3"/>
  <c r="O451" i="3"/>
  <c r="F452" i="3"/>
  <c r="G452" i="3"/>
  <c r="H452" i="3"/>
  <c r="I452" i="3"/>
  <c r="J452" i="3"/>
  <c r="K452" i="3"/>
  <c r="L452" i="3"/>
  <c r="M452" i="3"/>
  <c r="N452" i="3"/>
  <c r="O452" i="3"/>
  <c r="F453" i="3"/>
  <c r="G453" i="3"/>
  <c r="H453" i="3"/>
  <c r="I453" i="3"/>
  <c r="J453" i="3"/>
  <c r="K453" i="3"/>
  <c r="L453" i="3"/>
  <c r="M453" i="3"/>
  <c r="N453" i="3"/>
  <c r="O453" i="3"/>
  <c r="F454" i="3"/>
  <c r="G454" i="3"/>
  <c r="H454" i="3"/>
  <c r="I454" i="3"/>
  <c r="J454" i="3"/>
  <c r="K454" i="3"/>
  <c r="L454" i="3"/>
  <c r="M454" i="3"/>
  <c r="N454" i="3"/>
  <c r="O454" i="3"/>
  <c r="F455" i="3"/>
  <c r="G455" i="3"/>
  <c r="H455" i="3"/>
  <c r="I455" i="3"/>
  <c r="J455" i="3"/>
  <c r="K455" i="3"/>
  <c r="L455" i="3"/>
  <c r="M455" i="3"/>
  <c r="N455" i="3"/>
  <c r="O455" i="3"/>
  <c r="F456" i="3"/>
  <c r="G456" i="3"/>
  <c r="H456" i="3"/>
  <c r="I456" i="3"/>
  <c r="J456" i="3"/>
  <c r="K456" i="3"/>
  <c r="L456" i="3"/>
  <c r="M456" i="3"/>
  <c r="N456" i="3"/>
  <c r="O456" i="3"/>
  <c r="F457" i="3"/>
  <c r="G457" i="3"/>
  <c r="H457" i="3"/>
  <c r="I457" i="3"/>
  <c r="J457" i="3"/>
  <c r="K457" i="3"/>
  <c r="L457" i="3"/>
  <c r="M457" i="3"/>
  <c r="N457" i="3"/>
  <c r="O457" i="3"/>
  <c r="F458" i="3"/>
  <c r="G458" i="3"/>
  <c r="H458" i="3"/>
  <c r="I458" i="3"/>
  <c r="J458" i="3"/>
  <c r="K458" i="3"/>
  <c r="L458" i="3"/>
  <c r="M458" i="3"/>
  <c r="N458" i="3"/>
  <c r="O458" i="3"/>
  <c r="F459" i="3"/>
  <c r="G459" i="3"/>
  <c r="H459" i="3"/>
  <c r="I459" i="3"/>
  <c r="J459" i="3"/>
  <c r="K459" i="3"/>
  <c r="L459" i="3"/>
  <c r="M459" i="3"/>
  <c r="N459" i="3"/>
  <c r="O459" i="3"/>
  <c r="F460" i="3"/>
  <c r="G460" i="3"/>
  <c r="H460" i="3"/>
  <c r="I460" i="3"/>
  <c r="J460" i="3"/>
  <c r="K460" i="3"/>
  <c r="L460" i="3"/>
  <c r="M460" i="3"/>
  <c r="N460" i="3"/>
  <c r="O460" i="3"/>
  <c r="F461" i="3"/>
  <c r="G461" i="3"/>
  <c r="H461" i="3"/>
  <c r="I461" i="3"/>
  <c r="J461" i="3"/>
  <c r="K461" i="3"/>
  <c r="L461" i="3"/>
  <c r="M461" i="3"/>
  <c r="N461" i="3"/>
  <c r="O461" i="3"/>
  <c r="F462" i="3"/>
  <c r="G462" i="3"/>
  <c r="H462" i="3"/>
  <c r="I462" i="3"/>
  <c r="J462" i="3"/>
  <c r="K462" i="3"/>
  <c r="L462" i="3"/>
  <c r="M462" i="3"/>
  <c r="N462" i="3"/>
  <c r="O462" i="3"/>
  <c r="F463" i="3"/>
  <c r="G463" i="3"/>
  <c r="H463" i="3"/>
  <c r="I463" i="3"/>
  <c r="J463" i="3"/>
  <c r="K463" i="3"/>
  <c r="L463" i="3"/>
  <c r="M463" i="3"/>
  <c r="N463" i="3"/>
  <c r="O463" i="3"/>
  <c r="F464" i="3"/>
  <c r="G464" i="3"/>
  <c r="H464" i="3"/>
  <c r="I464" i="3"/>
  <c r="J464" i="3"/>
  <c r="K464" i="3"/>
  <c r="L464" i="3"/>
  <c r="M464" i="3"/>
  <c r="N464" i="3"/>
  <c r="O464" i="3"/>
  <c r="F465" i="3"/>
  <c r="G465" i="3"/>
  <c r="H465" i="3"/>
  <c r="I465" i="3"/>
  <c r="J465" i="3"/>
  <c r="K465" i="3"/>
  <c r="L465" i="3"/>
  <c r="M465" i="3"/>
  <c r="N465" i="3"/>
  <c r="O465" i="3"/>
  <c r="F466" i="3"/>
  <c r="G466" i="3"/>
  <c r="H466" i="3"/>
  <c r="I466" i="3"/>
  <c r="J466" i="3"/>
  <c r="K466" i="3"/>
  <c r="L466" i="3"/>
  <c r="M466" i="3"/>
  <c r="N466" i="3"/>
  <c r="O466" i="3"/>
  <c r="F467" i="3"/>
  <c r="G467" i="3"/>
  <c r="H467" i="3"/>
  <c r="I467" i="3"/>
  <c r="J467" i="3"/>
  <c r="K467" i="3"/>
  <c r="L467" i="3"/>
  <c r="M467" i="3"/>
  <c r="N467" i="3"/>
  <c r="O467" i="3"/>
  <c r="F468" i="3"/>
  <c r="G468" i="3"/>
  <c r="H468" i="3"/>
  <c r="I468" i="3"/>
  <c r="J468" i="3"/>
  <c r="K468" i="3"/>
  <c r="L468" i="3"/>
  <c r="M468" i="3"/>
  <c r="N468" i="3"/>
  <c r="O468" i="3"/>
  <c r="F469" i="3"/>
  <c r="G469" i="3"/>
  <c r="H469" i="3"/>
  <c r="I469" i="3"/>
  <c r="J469" i="3"/>
  <c r="K469" i="3"/>
  <c r="L469" i="3"/>
  <c r="M469" i="3"/>
  <c r="N469" i="3"/>
  <c r="O469" i="3"/>
  <c r="F470" i="3"/>
  <c r="G470" i="3"/>
  <c r="H470" i="3"/>
  <c r="I470" i="3"/>
  <c r="J470" i="3"/>
  <c r="K470" i="3"/>
  <c r="L470" i="3"/>
  <c r="M470" i="3"/>
  <c r="N470" i="3"/>
  <c r="O470" i="3"/>
  <c r="F471" i="3"/>
  <c r="G471" i="3"/>
  <c r="H471" i="3"/>
  <c r="I471" i="3"/>
  <c r="J471" i="3"/>
  <c r="K471" i="3"/>
  <c r="L471" i="3"/>
  <c r="M471" i="3"/>
  <c r="N471" i="3"/>
  <c r="O471" i="3"/>
  <c r="F472" i="3"/>
  <c r="G472" i="3"/>
  <c r="H472" i="3"/>
  <c r="I472" i="3"/>
  <c r="J472" i="3"/>
  <c r="K472" i="3"/>
  <c r="L472" i="3"/>
  <c r="M472" i="3"/>
  <c r="N472" i="3"/>
  <c r="O472" i="3"/>
  <c r="F473" i="3"/>
  <c r="G473" i="3"/>
  <c r="H473" i="3"/>
  <c r="I473" i="3"/>
  <c r="J473" i="3"/>
  <c r="K473" i="3"/>
  <c r="L473" i="3"/>
  <c r="M473" i="3"/>
  <c r="N473" i="3"/>
  <c r="O473" i="3"/>
  <c r="F474" i="3"/>
  <c r="G474" i="3"/>
  <c r="H474" i="3"/>
  <c r="I474" i="3"/>
  <c r="J474" i="3"/>
  <c r="K474" i="3"/>
  <c r="L474" i="3"/>
  <c r="M474" i="3"/>
  <c r="N474" i="3"/>
  <c r="O474" i="3"/>
  <c r="F475" i="3"/>
  <c r="G475" i="3"/>
  <c r="H475" i="3"/>
  <c r="I475" i="3"/>
  <c r="J475" i="3"/>
  <c r="K475" i="3"/>
  <c r="L475" i="3"/>
  <c r="M475" i="3"/>
  <c r="N475" i="3"/>
  <c r="O475" i="3"/>
  <c r="F476" i="3"/>
  <c r="G476" i="3"/>
  <c r="H476" i="3"/>
  <c r="I476" i="3"/>
  <c r="J476" i="3"/>
  <c r="K476" i="3"/>
  <c r="L476" i="3"/>
  <c r="M476" i="3"/>
  <c r="N476" i="3"/>
  <c r="O476" i="3"/>
  <c r="F477" i="3"/>
  <c r="G477" i="3"/>
  <c r="H477" i="3"/>
  <c r="I477" i="3"/>
  <c r="J477" i="3"/>
  <c r="K477" i="3"/>
  <c r="L477" i="3"/>
  <c r="M477" i="3"/>
  <c r="N477" i="3"/>
  <c r="O477" i="3"/>
  <c r="F478" i="3"/>
  <c r="G478" i="3"/>
  <c r="H478" i="3"/>
  <c r="I478" i="3"/>
  <c r="J478" i="3"/>
  <c r="K478" i="3"/>
  <c r="L478" i="3"/>
  <c r="M478" i="3"/>
  <c r="N478" i="3"/>
  <c r="O478" i="3"/>
  <c r="F479" i="3"/>
  <c r="G479" i="3"/>
  <c r="H479" i="3"/>
  <c r="I479" i="3"/>
  <c r="J479" i="3"/>
  <c r="K479" i="3"/>
  <c r="L479" i="3"/>
  <c r="M479" i="3"/>
  <c r="N479" i="3"/>
  <c r="O479" i="3"/>
  <c r="F480" i="3"/>
  <c r="G480" i="3"/>
  <c r="H480" i="3"/>
  <c r="I480" i="3"/>
  <c r="J480" i="3"/>
  <c r="K480" i="3"/>
  <c r="L480" i="3"/>
  <c r="M480" i="3"/>
  <c r="N480" i="3"/>
  <c r="O480" i="3"/>
  <c r="F481" i="3"/>
  <c r="G481" i="3"/>
  <c r="H481" i="3"/>
  <c r="I481" i="3"/>
  <c r="J481" i="3"/>
  <c r="K481" i="3"/>
  <c r="L481" i="3"/>
  <c r="M481" i="3"/>
  <c r="N481" i="3"/>
  <c r="O481" i="3"/>
  <c r="F482" i="3"/>
  <c r="G482" i="3"/>
  <c r="H482" i="3"/>
  <c r="I482" i="3"/>
  <c r="J482" i="3"/>
  <c r="K482" i="3"/>
  <c r="L482" i="3"/>
  <c r="M482" i="3"/>
  <c r="N482" i="3"/>
  <c r="O482" i="3"/>
  <c r="F483" i="3"/>
  <c r="G483" i="3"/>
  <c r="H483" i="3"/>
  <c r="I483" i="3"/>
  <c r="J483" i="3"/>
  <c r="K483" i="3"/>
  <c r="L483" i="3"/>
  <c r="M483" i="3"/>
  <c r="N483" i="3"/>
  <c r="O483" i="3"/>
  <c r="F484" i="3"/>
  <c r="G484" i="3"/>
  <c r="H484" i="3"/>
  <c r="I484" i="3"/>
  <c r="J484" i="3"/>
  <c r="K484" i="3"/>
  <c r="L484" i="3"/>
  <c r="M484" i="3"/>
  <c r="N484" i="3"/>
  <c r="O484" i="3"/>
  <c r="F485" i="3"/>
  <c r="G485" i="3"/>
  <c r="H485" i="3"/>
  <c r="I485" i="3"/>
  <c r="J485" i="3"/>
  <c r="K485" i="3"/>
  <c r="L485" i="3"/>
  <c r="M485" i="3"/>
  <c r="N485" i="3"/>
  <c r="O485" i="3"/>
  <c r="F486" i="3"/>
  <c r="G486" i="3"/>
  <c r="H486" i="3"/>
  <c r="I486" i="3"/>
  <c r="J486" i="3"/>
  <c r="K486" i="3"/>
  <c r="L486" i="3"/>
  <c r="M486" i="3"/>
  <c r="N486" i="3"/>
  <c r="O486" i="3"/>
  <c r="F487" i="3"/>
  <c r="G487" i="3"/>
  <c r="H487" i="3"/>
  <c r="I487" i="3"/>
  <c r="J487" i="3"/>
  <c r="K487" i="3"/>
  <c r="L487" i="3"/>
  <c r="M487" i="3"/>
  <c r="N487" i="3"/>
  <c r="O487" i="3"/>
  <c r="F488" i="3"/>
  <c r="G488" i="3"/>
  <c r="H488" i="3"/>
  <c r="I488" i="3"/>
  <c r="J488" i="3"/>
  <c r="K488" i="3"/>
  <c r="L488" i="3"/>
  <c r="M488" i="3"/>
  <c r="N488" i="3"/>
  <c r="O488" i="3"/>
  <c r="F489" i="3"/>
  <c r="G489" i="3"/>
  <c r="H489" i="3"/>
  <c r="I489" i="3"/>
  <c r="J489" i="3"/>
  <c r="K489" i="3"/>
  <c r="L489" i="3"/>
  <c r="M489" i="3"/>
  <c r="N489" i="3"/>
  <c r="O489" i="3"/>
  <c r="F490" i="3"/>
  <c r="G490" i="3"/>
  <c r="H490" i="3"/>
  <c r="I490" i="3"/>
  <c r="J490" i="3"/>
  <c r="K490" i="3"/>
  <c r="L490" i="3"/>
  <c r="M490" i="3"/>
  <c r="N490" i="3"/>
  <c r="O490" i="3"/>
  <c r="F491" i="3"/>
  <c r="G491" i="3"/>
  <c r="H491" i="3"/>
  <c r="I491" i="3"/>
  <c r="J491" i="3"/>
  <c r="K491" i="3"/>
  <c r="L491" i="3"/>
  <c r="M491" i="3"/>
  <c r="N491" i="3"/>
  <c r="O491" i="3"/>
  <c r="F492" i="3"/>
  <c r="G492" i="3"/>
  <c r="H492" i="3"/>
  <c r="I492" i="3"/>
  <c r="J492" i="3"/>
  <c r="K492" i="3"/>
  <c r="L492" i="3"/>
  <c r="M492" i="3"/>
  <c r="N492" i="3"/>
  <c r="O492" i="3"/>
  <c r="F493" i="3"/>
  <c r="G493" i="3"/>
  <c r="H493" i="3"/>
  <c r="I493" i="3"/>
  <c r="J493" i="3"/>
  <c r="K493" i="3"/>
  <c r="L493" i="3"/>
  <c r="M493" i="3"/>
  <c r="N493" i="3"/>
  <c r="O493" i="3"/>
  <c r="F494" i="3"/>
  <c r="G494" i="3"/>
  <c r="H494" i="3"/>
  <c r="I494" i="3"/>
  <c r="J494" i="3"/>
  <c r="K494" i="3"/>
  <c r="L494" i="3"/>
  <c r="M494" i="3"/>
  <c r="N494" i="3"/>
  <c r="O494" i="3"/>
  <c r="F495" i="3"/>
  <c r="G495" i="3"/>
  <c r="H495" i="3"/>
  <c r="I495" i="3"/>
  <c r="J495" i="3"/>
  <c r="K495" i="3"/>
  <c r="L495" i="3"/>
  <c r="M495" i="3"/>
  <c r="N495" i="3"/>
  <c r="O495" i="3"/>
  <c r="F496" i="3"/>
  <c r="G496" i="3"/>
  <c r="H496" i="3"/>
  <c r="I496" i="3"/>
  <c r="J496" i="3"/>
  <c r="K496" i="3"/>
  <c r="L496" i="3"/>
  <c r="M496" i="3"/>
  <c r="N496" i="3"/>
  <c r="O496" i="3"/>
  <c r="F497" i="3"/>
  <c r="G497" i="3"/>
  <c r="H497" i="3"/>
  <c r="I497" i="3"/>
  <c r="J497" i="3"/>
  <c r="K497" i="3"/>
  <c r="L497" i="3"/>
  <c r="M497" i="3"/>
  <c r="N497" i="3"/>
  <c r="O497" i="3"/>
  <c r="F498" i="3"/>
  <c r="G498" i="3"/>
  <c r="H498" i="3"/>
  <c r="I498" i="3"/>
  <c r="J498" i="3"/>
  <c r="K498" i="3"/>
  <c r="L498" i="3"/>
  <c r="M498" i="3"/>
  <c r="N498" i="3"/>
  <c r="O498" i="3"/>
  <c r="F499" i="3"/>
  <c r="G499" i="3"/>
  <c r="H499" i="3"/>
  <c r="I499" i="3"/>
  <c r="J499" i="3"/>
  <c r="K499" i="3"/>
  <c r="L499" i="3"/>
  <c r="M499" i="3"/>
  <c r="N499" i="3"/>
  <c r="O499" i="3"/>
  <c r="F500" i="3"/>
  <c r="G500" i="3"/>
  <c r="H500" i="3"/>
  <c r="I500" i="3"/>
  <c r="J500" i="3"/>
  <c r="K500" i="3"/>
  <c r="L500" i="3"/>
  <c r="M500" i="3"/>
  <c r="N500" i="3"/>
  <c r="O500" i="3"/>
  <c r="F501" i="3"/>
  <c r="G501" i="3"/>
  <c r="H501" i="3"/>
  <c r="I501" i="3"/>
  <c r="J501" i="3"/>
  <c r="K501" i="3"/>
  <c r="L501" i="3"/>
  <c r="M501" i="3"/>
  <c r="N501" i="3"/>
  <c r="O501" i="3"/>
  <c r="F502" i="3"/>
  <c r="G502" i="3"/>
  <c r="H502" i="3"/>
  <c r="I502" i="3"/>
  <c r="J502" i="3"/>
  <c r="K502" i="3"/>
  <c r="L502" i="3"/>
  <c r="M502" i="3"/>
  <c r="N502" i="3"/>
  <c r="O502" i="3"/>
  <c r="F503" i="3"/>
  <c r="G503" i="3"/>
  <c r="H503" i="3"/>
  <c r="I503" i="3"/>
  <c r="J503" i="3"/>
  <c r="K503" i="3"/>
  <c r="L503" i="3"/>
  <c r="M503" i="3"/>
  <c r="N503" i="3"/>
  <c r="O503" i="3"/>
  <c r="F504" i="3"/>
  <c r="G504" i="3"/>
  <c r="H504" i="3"/>
  <c r="I504" i="3"/>
  <c r="J504" i="3"/>
  <c r="K504" i="3"/>
  <c r="L504" i="3"/>
  <c r="M504" i="3"/>
  <c r="N504" i="3"/>
  <c r="O504" i="3"/>
  <c r="F505" i="3"/>
  <c r="G505" i="3"/>
  <c r="H505" i="3"/>
  <c r="I505" i="3"/>
  <c r="J505" i="3"/>
  <c r="K505" i="3"/>
  <c r="L505" i="3"/>
  <c r="M505" i="3"/>
  <c r="N505" i="3"/>
  <c r="O505" i="3"/>
  <c r="F506" i="3"/>
  <c r="G506" i="3"/>
  <c r="H506" i="3"/>
  <c r="I506" i="3"/>
  <c r="J506" i="3"/>
  <c r="K506" i="3"/>
  <c r="L506" i="3"/>
  <c r="M506" i="3"/>
  <c r="N506" i="3"/>
  <c r="O506" i="3"/>
  <c r="F507" i="3"/>
  <c r="G507" i="3"/>
  <c r="H507" i="3"/>
  <c r="I507" i="3"/>
  <c r="J507" i="3"/>
  <c r="K507" i="3"/>
  <c r="L507" i="3"/>
  <c r="M507" i="3"/>
  <c r="N507" i="3"/>
  <c r="O507" i="3"/>
  <c r="F508" i="3"/>
  <c r="G508" i="3"/>
  <c r="H508" i="3"/>
  <c r="I508" i="3"/>
  <c r="J508" i="3"/>
  <c r="K508" i="3"/>
  <c r="L508" i="3"/>
  <c r="M508" i="3"/>
  <c r="N508" i="3"/>
  <c r="O508" i="3"/>
  <c r="F509" i="3"/>
  <c r="G509" i="3"/>
  <c r="H509" i="3"/>
  <c r="I509" i="3"/>
  <c r="J509" i="3"/>
  <c r="K509" i="3"/>
  <c r="L509" i="3"/>
  <c r="M509" i="3"/>
  <c r="N509" i="3"/>
  <c r="O509" i="3"/>
  <c r="F510" i="3"/>
  <c r="G510" i="3"/>
  <c r="H510" i="3"/>
  <c r="I510" i="3"/>
  <c r="J510" i="3"/>
  <c r="K510" i="3"/>
  <c r="L510" i="3"/>
  <c r="M510" i="3"/>
  <c r="N510" i="3"/>
  <c r="O510" i="3"/>
  <c r="F511" i="3"/>
  <c r="G511" i="3"/>
  <c r="H511" i="3"/>
  <c r="I511" i="3"/>
  <c r="J511" i="3"/>
  <c r="K511" i="3"/>
  <c r="L511" i="3"/>
  <c r="M511" i="3"/>
  <c r="N511" i="3"/>
  <c r="O511" i="3"/>
  <c r="F512" i="3"/>
  <c r="G512" i="3"/>
  <c r="H512" i="3"/>
  <c r="I512" i="3"/>
  <c r="J512" i="3"/>
  <c r="K512" i="3"/>
  <c r="L512" i="3"/>
  <c r="M512" i="3"/>
  <c r="N512" i="3"/>
  <c r="O512" i="3"/>
  <c r="F513" i="3"/>
  <c r="G513" i="3"/>
  <c r="H513" i="3"/>
  <c r="I513" i="3"/>
  <c r="J513" i="3"/>
  <c r="K513" i="3"/>
  <c r="L513" i="3"/>
  <c r="M513" i="3"/>
  <c r="N513" i="3"/>
  <c r="O513" i="3"/>
  <c r="F514" i="3"/>
  <c r="G514" i="3"/>
  <c r="H514" i="3"/>
  <c r="I514" i="3"/>
  <c r="J514" i="3"/>
  <c r="K514" i="3"/>
  <c r="L514" i="3"/>
  <c r="M514" i="3"/>
  <c r="N514" i="3"/>
  <c r="O514" i="3"/>
  <c r="F515" i="3"/>
  <c r="G515" i="3"/>
  <c r="H515" i="3"/>
  <c r="I515" i="3"/>
  <c r="J515" i="3"/>
  <c r="K515" i="3"/>
  <c r="L515" i="3"/>
  <c r="M515" i="3"/>
  <c r="N515" i="3"/>
  <c r="O515" i="3"/>
  <c r="F516" i="3"/>
  <c r="G516" i="3"/>
  <c r="H516" i="3"/>
  <c r="I516" i="3"/>
  <c r="J516" i="3"/>
  <c r="K516" i="3"/>
  <c r="L516" i="3"/>
  <c r="M516" i="3"/>
  <c r="N516" i="3"/>
  <c r="O516" i="3"/>
  <c r="O2" i="3"/>
  <c r="N2" i="3"/>
  <c r="M2" i="3"/>
  <c r="L2" i="3"/>
  <c r="K2" i="3"/>
  <c r="J2" i="3"/>
  <c r="I2" i="3"/>
  <c r="H2" i="3"/>
  <c r="G2" i="3"/>
  <c r="F2" i="3"/>
  <c r="C520" i="3"/>
  <c r="C521" i="3"/>
  <c r="C522" i="3"/>
  <c r="C523" i="3"/>
  <c r="C524" i="3"/>
  <c r="C525" i="3"/>
  <c r="C526" i="3"/>
  <c r="C527" i="3"/>
  <c r="C528" i="3"/>
  <c r="C529" i="3"/>
  <c r="H523" i="3" l="1"/>
  <c r="J523" i="3"/>
  <c r="F523" i="3"/>
  <c r="D494" i="3"/>
  <c r="N523" i="3" l="1"/>
  <c r="L523" i="3"/>
  <c r="O523" i="3"/>
  <c r="K523" i="3"/>
  <c r="M523" i="3"/>
  <c r="I523" i="3"/>
  <c r="G523" i="3"/>
  <c r="G451" i="2"/>
  <c r="D447" i="1"/>
</calcChain>
</file>

<file path=xl/comments1.xml><?xml version="1.0" encoding="utf-8"?>
<comments xmlns="http://schemas.openxmlformats.org/spreadsheetml/2006/main">
  <authors>
    <author>EXTERNAL Nguyen Trung Hieu (Ban Vien, RBVH/EPS45)</author>
    <author>EXTERNAL Do Anh Huy (Ban Vien Company, RBVH/EPS45)</author>
    <author>EXTERNAL Nguyen Tuan Duong (Ban Vien, RBVH/EPS45)</author>
  </authors>
  <commentList>
    <comment ref="G99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//10.184.143.103/d/vivi/BV/DB/urgent/SGMW_ESP93_Carbon_Int.zip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0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\\10.184.143.103\d\vivi\BV\DB\16Apr\Geely_ESP93_Carbon_Int
</t>
        </r>
      </text>
    </comment>
    <comment ref="G104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\\10.184.143.103\d\vivi\BV\DB\16Apr\FAW_Beryllium_D090HighG6_&amp;__D090LowG6_RC_INT
</t>
        </r>
      </text>
    </comment>
    <comment ref="G108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\\10.184.143.103\d\vivi\BV\DB\16Apr\SAIC_A_ARCH_CMP_ESP93_Carbon_Int
</t>
        </r>
      </text>
    </comment>
    <comment ref="C113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Count for 21Apr
</t>
        </r>
      </text>
    </comment>
    <comment ref="G113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\\10.184.143.103\d\vivi\BV\DB\16Apr
</t>
        </r>
      </text>
    </comment>
    <comment ref="N117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CEVT_GEEA_SMART_Deuterium_Int is changed to GEEA2.0
</t>
        </r>
      </text>
    </comment>
    <comment ref="N118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RE: [JOEM] [COEM_UT][TASK ASSIGNMENT][16_APR]: BYD_IPB_SR_HC is the same with BYD_IPB_BL05_Int
</t>
        </r>
      </text>
    </comment>
    <comment ref="F121" authorId="1" shapeId="0">
      <text>
        <r>
          <rPr>
            <b/>
            <sz val="9"/>
            <color indexed="81"/>
            <rFont val="Tahoma"/>
            <family val="2"/>
          </rPr>
          <t>EXTERNAL Do Anh Huy (Ban Vien Company, RBVH/EPS45):</t>
        </r>
        <r>
          <rPr>
            <sz val="9"/>
            <color indexed="81"/>
            <rFont val="Tahoma"/>
            <family val="2"/>
          </rPr>
          <t xml:space="preserve">
Confirm by  Pham Quoc Bao
</t>
        </r>
      </text>
    </comment>
    <comment ref="C186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\\10.184.143.103\d\vivi\BV\DB\18Apr
</t>
        </r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Wrong name: Int is correct
Geely_Beryllium2_In
Geely_Beryllium2_OBD_China6_In
</t>
        </r>
      </text>
    </comment>
    <comment ref="V249" authorId="2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Prj China mainstream -&gt; double effort
</t>
        </r>
      </text>
    </comment>
    <comment ref="I298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Support for Mr Hai 20200511
</t>
        </r>
      </text>
    </comment>
    <comment ref="I370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Please get high priory for CNMS_UT task because it need to release on 12.May.2020
</t>
        </r>
      </text>
    </comment>
  </commentList>
</comments>
</file>

<file path=xl/comments2.xml><?xml version="1.0" encoding="utf-8"?>
<comments xmlns="http://schemas.openxmlformats.org/spreadsheetml/2006/main">
  <authors>
    <author>EXTERNAL Nguyen Trung Hieu (Ban Vien, RBVH/EPS45)</author>
  </authors>
  <commentList>
    <comment ref="C113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Count for 21Apr
</t>
        </r>
      </text>
    </comment>
    <comment ref="C186" authorId="0" shapeId="0">
      <text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\\10.184.143.103\d\vivi\BV\DB\18Apr
</t>
        </r>
        <r>
          <rPr>
            <b/>
            <sz val="9"/>
            <color indexed="81"/>
            <rFont val="Tahoma"/>
            <family val="2"/>
          </rPr>
          <t>EXTERNAL Nguyen Trung Hieu (Ban Vien, RBVH/EPS45):</t>
        </r>
        <r>
          <rPr>
            <sz val="9"/>
            <color indexed="81"/>
            <rFont val="Tahoma"/>
            <family val="2"/>
          </rPr>
          <t xml:space="preserve">
Wrong name: Int is correct
Geely_Beryllium2_In
Geely_Beryllium2_OBD_China6_In
</t>
        </r>
      </text>
    </comment>
  </commentList>
</comments>
</file>

<file path=xl/sharedStrings.xml><?xml version="1.0" encoding="utf-8"?>
<sst xmlns="http://schemas.openxmlformats.org/spreadsheetml/2006/main" count="16294" uniqueCount="1336">
  <si>
    <t>GWM_B30_CP</t>
  </si>
  <si>
    <t>-</t>
  </si>
  <si>
    <t>PbcWrapper.c</t>
  </si>
  <si>
    <t>BSSL07</t>
  </si>
  <si>
    <t>hieu.nguyen-trung</t>
  </si>
  <si>
    <t>DcmAppl_DcmCommControlConditionCheck.c</t>
  </si>
  <si>
    <t>DcmAppl_DcmNotification.c</t>
  </si>
  <si>
    <t>RBAPLCUST_CNMSCORE_CallbackFun.c</t>
  </si>
  <si>
    <t>RBAPLCUST_InputOutputControl_GeneralFunctions.c</t>
  </si>
  <si>
    <t>RBAPLCUST_ProjectSpecific_Routines.c</t>
  </si>
  <si>
    <t>RBAPLCUST_RDBI_StatusInformation.c</t>
  </si>
  <si>
    <t>RBAPLCUST_RDBI_SystemSensor.c</t>
  </si>
  <si>
    <t>RBAPLCUST_RoutineControl.c</t>
  </si>
  <si>
    <t>RBAPLCUST_RoutineControl_ActuatorTest.c</t>
  </si>
  <si>
    <t>RBAPLCUST_RoutineControl_DynamicTest.c</t>
  </si>
  <si>
    <t>hau.nguyen-tai</t>
  </si>
  <si>
    <t>RBAPLCUST_RoutineControl_EvacAndFill.c</t>
  </si>
  <si>
    <t>RBAPLCUST_RoutineControl_RepairBleeding.c</t>
  </si>
  <si>
    <t>RBAPLCUST_RoutineControl_WheelSpeedSensorTest.c</t>
  </si>
  <si>
    <t>RBAPLCUST_ValvesToggling.c</t>
  </si>
  <si>
    <t>ApbHostData_Project.c</t>
  </si>
  <si>
    <t>Dem_PrjSpecificIndiHandling.c</t>
  </si>
  <si>
    <t>Obd_CalId.c</t>
  </si>
  <si>
    <t>CNMS_Var_DcmRead.c</t>
  </si>
  <si>
    <t>dac.luu-cong</t>
  </si>
  <si>
    <t>CNMS_Var_Global.c</t>
  </si>
  <si>
    <t>EcuM_stub.c</t>
  </si>
  <si>
    <t>HHT_VX1_ESPHevX_BL2_Sprint4</t>
  </si>
  <si>
    <t>ComScl_UserDefinedProcessing.c</t>
  </si>
  <si>
    <t>BL2_Sprint4</t>
  </si>
  <si>
    <t>HHT_VX1_ESPHevX_BL2</t>
  </si>
  <si>
    <t>RBAPLCUST_ActualServiceLife_ReadData.c</t>
  </si>
  <si>
    <t>BL2</t>
  </si>
  <si>
    <t>RBAPLCUST_DateTime_ReadData.c</t>
  </si>
  <si>
    <t>RBAPLCUST_InputDataBattery_Snapshot_ReadData.c</t>
  </si>
  <si>
    <t>RBAPLCUST_VSOInformation_Snapshot_ReadData.c</t>
  </si>
  <si>
    <t>RBAPLCUST_HHT_RBDI_NVM.c</t>
  </si>
  <si>
    <t>RBAPLCUST_HHT_WBDI_NVM.c</t>
  </si>
  <si>
    <t>RBFSWBootInterface_HHT.c</t>
  </si>
  <si>
    <t>HHT_VX1_IBooster_Gen2_BL2</t>
  </si>
  <si>
    <t>phuong.nguyen-thanh</t>
  </si>
  <si>
    <t>bang.nguyen-duy</t>
  </si>
  <si>
    <t>ComScl_Scl_ADCM_BU_2_Rx.c</t>
  </si>
  <si>
    <t>ComScl_Scl_ADCM_FD_1_Rx.c</t>
  </si>
  <si>
    <t>ComScl_Scl_IFV300_1_Rx.c</t>
  </si>
  <si>
    <t>EC_245950_NIO_ESX_ESPHevX_DTC_BSS01_SP01</t>
  </si>
  <si>
    <t>rba_BldrCmp_10DiagnosticSessionControl.c</t>
  </si>
  <si>
    <t>BSS01_SP01</t>
  </si>
  <si>
    <t>rba_BldrCmp_11EcuReset.c</t>
  </si>
  <si>
    <t>rba_BldrCmp_22ReadDataByIdentifier.c</t>
  </si>
  <si>
    <t>rba_BldrCmp_28CommunicationControl.c</t>
  </si>
  <si>
    <t>rba_BldrCmp_2EWriteDataByIdentifier.c</t>
  </si>
  <si>
    <t>rba_BldrCmp_31RoutineControl_Chkpd.c</t>
  </si>
  <si>
    <t>rba_BldrCmp_31RoutineControl_Er.c</t>
  </si>
  <si>
    <t>rba_BldrCmp_31RoutineControl.c</t>
  </si>
  <si>
    <t>rba_BldrCmp_34RequestDownload.c</t>
  </si>
  <si>
    <t>rba_BldrCmp_37RequestTransferExit.c</t>
  </si>
  <si>
    <t>rba_BldrCmp_DataHdl.c</t>
  </si>
  <si>
    <t>rba_BldrCmp_LogBlkHdl.c</t>
  </si>
  <si>
    <t>rba_BldrCmp_ServiceCondCheck.c</t>
  </si>
  <si>
    <t>GWM_AB30_CP</t>
  </si>
  <si>
    <t>DcmAppl_DcmSwitchCommunicationControl.c</t>
  </si>
  <si>
    <t>BSS07</t>
  </si>
  <si>
    <t>RBAPLCUST_RDBI_ActuationState.c</t>
  </si>
  <si>
    <t>RBAPLCUST_DiagnosticSessionControl.c</t>
  </si>
  <si>
    <t>RBAPLCUST_RBDI_NVMData_Prj.c</t>
  </si>
  <si>
    <t>RBAPLCUST_RDBI_AnalogData.c</t>
  </si>
  <si>
    <t>RBAPLCUST_RDBI_InputData.c</t>
  </si>
  <si>
    <t>RBAPLCUST_RDBI_IOCtrlState.c</t>
  </si>
  <si>
    <t>RBAPLCUST_RoutineControl_APBMi.c</t>
  </si>
  <si>
    <t>RBAPLCUST_RoutineControl_ConditionCheck.c</t>
  </si>
  <si>
    <t>RBAPLCUST_RoutineControl_iBoosterActuatorTest.c</t>
  </si>
  <si>
    <t>RBAPLCUST_VariandCode.c</t>
  </si>
  <si>
    <t>RBAPLOBD_Data.c</t>
  </si>
  <si>
    <t>RBAPLOBD_Global.c</t>
  </si>
  <si>
    <t>BYD_Carbon_Mainstream_BL02spr02</t>
  </si>
  <si>
    <t>rba_SimDcm_Cfg_MergeProcTarget.c</t>
  </si>
  <si>
    <t>huy.do-anh</t>
  </si>
  <si>
    <t>ASWIF_CommonConfig.c</t>
  </si>
  <si>
    <t>RBIRS_IRSCalc.c</t>
  </si>
  <si>
    <t>DemCSMosar_StoreEvtImm_Cfg.c</t>
  </si>
  <si>
    <t>Det.c</t>
  </si>
  <si>
    <t>Net_Stubs.c</t>
  </si>
  <si>
    <t>PduR_UpTp.c</t>
  </si>
  <si>
    <t>Dem_Cfg_FWClass.c</t>
  </si>
  <si>
    <t>Dem_Cfg_HWShutdown.c</t>
  </si>
  <si>
    <t>Dem_EventFHandling.c</t>
  </si>
  <si>
    <t>rba_STM_Component_Cfg.c</t>
  </si>
  <si>
    <t>RBBUTSWI_BLS_Ana.c</t>
  </si>
  <si>
    <t>RBDSM_EraseAllNvMBlock.c</t>
  </si>
  <si>
    <t>RBEnvData_OBD.c</t>
  </si>
  <si>
    <t>RBHMI_ImmediateAccess.c</t>
  </si>
  <si>
    <t>RBSUPPLYVLV_UBVRVoltage.c</t>
  </si>
  <si>
    <t>RBTSI_RbDiagInit.c</t>
  </si>
  <si>
    <t>RBVLV_UVRActuation.c</t>
  </si>
  <si>
    <t>NvM_GetErrorStatus.c</t>
  </si>
  <si>
    <t>NvM_ReadBlock.c</t>
  </si>
  <si>
    <t>NvM_WriteBlock.c</t>
  </si>
  <si>
    <t>Obd_Cvn_CalId.c</t>
  </si>
  <si>
    <t>PbcInterface.c</t>
  </si>
  <si>
    <t>stubPara.c</t>
  </si>
  <si>
    <t>rba_STM_Component.c</t>
  </si>
  <si>
    <t>rba_STM_ComponentStructure.c</t>
  </si>
  <si>
    <t>rba_STM_Processing.c</t>
  </si>
  <si>
    <t>rba_STM_SSC_ComponentGoodcheck.c</t>
  </si>
  <si>
    <t>rba_STM_SystemStateCalculator.c</t>
  </si>
  <si>
    <t>rba_STM_VirtualNode.c</t>
  </si>
  <si>
    <t>MC_245411_SGMW_CN202C_ESPCP_BSS01_SP01</t>
  </si>
  <si>
    <t>RBAPLCUST_RBDI_NVMData_SGMW_ESP.c</t>
  </si>
  <si>
    <t>GEELY_SS11ESP9.3CP_BL02_SP02</t>
  </si>
  <si>
    <t>RBAPLCUST_RDBI_AccelerationPedal.c</t>
  </si>
  <si>
    <t>BL02_SP02</t>
  </si>
  <si>
    <t>RBAPLCUST_RDBI_GearPosition.c</t>
  </si>
  <si>
    <t>RBAPLCUST_RDBI_HandBrake.c</t>
  </si>
  <si>
    <t>RBAPLCUST_RDBI_PTState.c</t>
  </si>
  <si>
    <t>FAW D090 High/Low G6 ECR</t>
  </si>
  <si>
    <t>RBCAN_CanSMBusOffRecovery.c</t>
  </si>
  <si>
    <t>BSS01_SP02</t>
  </si>
  <si>
    <t>UnderVoltage.c</t>
  </si>
  <si>
    <t>GAC_Common_Task_Record_Sprint07</t>
  </si>
  <si>
    <t>RBAPLCUST_RoutineControl_SteeringAngleSensorCalibration.c</t>
  </si>
  <si>
    <t>RBAPLCUST_RoutineControl_INSCalibration.c</t>
  </si>
  <si>
    <t>SAIC_ZS11E_MCE_withDA_ESP9.3_241859_BSS01</t>
  </si>
  <si>
    <t>RBVAR_VarCode_PROJECT.c</t>
  </si>
  <si>
    <t>BSS01</t>
  </si>
  <si>
    <t>RBVAR_SystemStateManagement_COMMON.c</t>
  </si>
  <si>
    <t>BAIC_C62XP_IB2</t>
  </si>
  <si>
    <t>BL50</t>
  </si>
  <si>
    <t>Adapt_236246_SMART_BBM_Ibooster_E2_SP3</t>
  </si>
  <si>
    <t>DcmAppl_22_rdbi.c</t>
  </si>
  <si>
    <t>RBAPLCUST_RDBI_WheelSpeedInformation.c</t>
  </si>
  <si>
    <t>DcmAppl_DcmGetRxPermission.c</t>
  </si>
  <si>
    <t>DcmAppl_Switch_DcmExecuteReset.c</t>
  </si>
  <si>
    <t>Adapt_236234_SMART_VDDM_ESPHevX_BSS02_E2_SP3</t>
  </si>
  <si>
    <t>BSS02</t>
  </si>
  <si>
    <t>BYD_IPB_SW_Mainstream_BL05_SP10</t>
  </si>
  <si>
    <t>NET_SCL_Tx_TPMS.c</t>
  </si>
  <si>
    <t>BL05_SP10</t>
  </si>
  <si>
    <t>NET_SCL_Rx_TPMS.c</t>
  </si>
  <si>
    <t>206370_BYD_ESP9.3_New_Hybrid_MS15.1_BSS18</t>
  </si>
  <si>
    <t>RBAPLCUST_BYD_RDBI_NVMData.c</t>
  </si>
  <si>
    <t>BSS18</t>
  </si>
  <si>
    <t>RBFSWBootInterface_BYD.c</t>
  </si>
  <si>
    <t>AB30IB2</t>
  </si>
  <si>
    <t>BSS06</t>
  </si>
  <si>
    <t>DCOMIF.c</t>
  </si>
  <si>
    <t>RBAPLCUST_RBDI_NVM.c</t>
  </si>
  <si>
    <t>RBAPLCUST_ReadDTCInformation.c</t>
  </si>
  <si>
    <t>GWM_B30_HP</t>
  </si>
  <si>
    <t>HAIMA_238525_VF00_ESP_RC2_BSS01.1_BSS02_Workitems_closure</t>
  </si>
  <si>
    <t>RBVAR_VarCode_COMMON.c</t>
  </si>
  <si>
    <t>SAS_LWS_Standard.c</t>
  </si>
  <si>
    <t>RBA_NDS_Engine_Callout.c</t>
  </si>
  <si>
    <t>RBA_NDS_SystemInfo.c</t>
  </si>
  <si>
    <t>RBA_NDS_TCUAvaliable_Callout.c</t>
  </si>
  <si>
    <t>NET_CheckSumLib_CNMS.c</t>
  </si>
  <si>
    <t>GAC_Carbon_Stream_ESPCP_BL05</t>
  </si>
  <si>
    <t>NET_SCL_EngineIntervention_Torq_GAC.c</t>
  </si>
  <si>
    <t>BL05</t>
  </si>
  <si>
    <t>NET_SCL_Rx_GearBox.c</t>
  </si>
  <si>
    <t>RBAPLCUST_RoutineControl_TPMSReset.c</t>
  </si>
  <si>
    <t>RBAPLCUST_ClearDiagnosticInformation.c</t>
  </si>
  <si>
    <t>RBAPLCUST_EOLDelayCtrlOrAPBMi.c</t>
  </si>
  <si>
    <t>GAC_219651_Carbon_A18_iB2_FPA/RPA_BL04</t>
  </si>
  <si>
    <t>BL04</t>
  </si>
  <si>
    <t>GAC_212111_Carbon_A12_iB2_FPA/RPA_BL02</t>
  </si>
  <si>
    <t>RBRIS_MainHandler.c</t>
  </si>
  <si>
    <t>BL02</t>
  </si>
  <si>
    <t>RB_SCL_GAC_RX.c</t>
  </si>
  <si>
    <t>BYD_IPB_SW_Mainstream_BL05_Defect</t>
  </si>
  <si>
    <t>RBA_NDS_Complex_Callout.c</t>
  </si>
  <si>
    <t>NET_SCL_Rx_VAF_Complex.c</t>
  </si>
  <si>
    <t>BYD_IPB_SW_Mainstream_BL05_SP11</t>
  </si>
  <si>
    <t>rba_SCL_Settings.c</t>
  </si>
  <si>
    <t>BL05_SP11</t>
  </si>
  <si>
    <t>NET_SCL_Tx_VAF_Complex.c</t>
  </si>
  <si>
    <t>RBPduHandler_Callouts.c</t>
  </si>
  <si>
    <t>BYD_Carbon_Mainstream_BL02spr04</t>
  </si>
  <si>
    <t>RBNetSAS_Rx_Lws_Standard.c</t>
  </si>
  <si>
    <t>BL02spr04</t>
  </si>
  <si>
    <t>GAC_220680_Carbon_A18_ESPHevx_FPA/RPA_BL04_TestExecution</t>
  </si>
  <si>
    <t>KX63_FL_ACC_232961_BSS03</t>
  </si>
  <si>
    <t>RBDHP_HighSystemPressureProtection.c</t>
  </si>
  <si>
    <t>BSS03</t>
  </si>
  <si>
    <t>RBDHP_PumpMotorActuationTimeLimitation.c</t>
  </si>
  <si>
    <t>RBDHP_StateMachine.c</t>
  </si>
  <si>
    <t>RBDHP_ValveActuationTimeLimitation.c</t>
  </si>
  <si>
    <t>Dem_VarCode_PRJ.c</t>
  </si>
  <si>
    <t>Dem_VarCodeHandling.c</t>
  </si>
  <si>
    <t>BYD_IPB_SW_Mainstream_BL05</t>
  </si>
  <si>
    <t>rba_BldrCmp_Cfg_FlashIf.c</t>
  </si>
  <si>
    <t>rba_BldrCmp_Cfg_Functions.c</t>
  </si>
  <si>
    <t>rba_BldrCmp_Cfg_SecA.c</t>
  </si>
  <si>
    <t>231839_DearCC_IC321_ESP9.3_BSS02_CAN_MATRIX_VARTABLE</t>
  </si>
  <si>
    <t>MC_223517_Geely_KC2A_ESP9.3CP_BB80335_BL04SP03</t>
  </si>
  <si>
    <t>RBAPLEOL_ActuatorDynamicTest.c</t>
  </si>
  <si>
    <t>BL04SP03</t>
  </si>
  <si>
    <t>RBAPLEOL_ExtendedDynamicTest.c</t>
  </si>
  <si>
    <t>RBAPLEOL_PumpMotorErrorState.c</t>
  </si>
  <si>
    <t>RBAPLEOL_PumpSDTimeTest.c</t>
  </si>
  <si>
    <t>RBAPLEOL_ValvesToggling.c</t>
  </si>
  <si>
    <t>MC_225750_Geely_KC2A_ESP9.3HB_BB80336_BL04SP03</t>
  </si>
  <si>
    <t>218053_CA_CD569_ESP9.3CP_BL6_SP2</t>
  </si>
  <si>
    <t>RBAPLCUST_CA_RDBI_WDBI_VAFFncSwitch.c</t>
  </si>
  <si>
    <t>BL6_SP2</t>
  </si>
  <si>
    <t>233324_JAC_P843_ESP9.3_BSS05</t>
  </si>
  <si>
    <t>rba_BldrCmp_Cfg_CheckMem.c</t>
  </si>
  <si>
    <t>BSS05</t>
  </si>
  <si>
    <t>rba_BldrCmp_Cfg_Com.c</t>
  </si>
  <si>
    <t>rba_BldrCMP_Cfg_CRC.c</t>
  </si>
  <si>
    <t>rba_BldrCmp_Cfg_DebugSupport.c</t>
  </si>
  <si>
    <t>rba_BldrCmp_Cfg_NvmIf.c</t>
  </si>
  <si>
    <t>rba_BldrCmp_Cfg_PrjFunctions.c</t>
  </si>
  <si>
    <t>rba_BldrCmp_Cfg_TestServices.c</t>
  </si>
  <si>
    <t>rba_BldrCmp_Cfg_TestServices_TaskMon.c</t>
  </si>
  <si>
    <t>rba_BldrCmp_Cfg_TestStackEval.c</t>
  </si>
  <si>
    <t>FAW_E115_ESPhev</t>
  </si>
  <si>
    <t>RBHMI_ConfigOutputDriver_PRJ.c</t>
  </si>
  <si>
    <t>BSL60</t>
  </si>
  <si>
    <t>loc.do-phu</t>
  </si>
  <si>
    <t>RBHMI_ExtStateCalculation_PRJ.c</t>
  </si>
  <si>
    <t>RBVAR_OutputDriver_PROJECT.c</t>
  </si>
  <si>
    <t>242899_GAC_A39_ESP9.3CPHD_RC4_BL011</t>
  </si>
  <si>
    <t>RBVAR_IDDefinitionTable_PROJECT.c</t>
  </si>
  <si>
    <t>BL011</t>
  </si>
  <si>
    <t>RBVAR_SystemStateManagement_PROJECT.c</t>
  </si>
  <si>
    <t>BYD_IPB_SW_Mainstream_BL05_SP12</t>
  </si>
  <si>
    <t>RBScl_CBS_prjCalculation.c</t>
  </si>
  <si>
    <t>BL05_SP12</t>
  </si>
  <si>
    <t>RBScl_CBDS_prjDataPool.c</t>
  </si>
  <si>
    <t>RBScl_CBS_DemInterface.c</t>
  </si>
  <si>
    <t>FAW_E111_ESPhev</t>
  </si>
  <si>
    <t>ComScl_Scl_ComlexSignal_Callout.c</t>
  </si>
  <si>
    <t>BSL31</t>
  </si>
  <si>
    <t>NET_Monitoring.c</t>
  </si>
  <si>
    <t>NET_PostrunHMIStrategy_FAW.c</t>
  </si>
  <si>
    <t>RBAPLCUST_RBDI_NVMData_FAW.c</t>
  </si>
  <si>
    <t>RBAPLCUST_WDBI_NVMData.c</t>
  </si>
  <si>
    <t>RBHMI_LDMLamp_FAW.C</t>
  </si>
  <si>
    <t>Project</t>
  </si>
  <si>
    <t>TaskID</t>
  </si>
  <si>
    <t>ItemName</t>
  </si>
  <si>
    <t>Baseline</t>
  </si>
  <si>
    <t>Database</t>
  </si>
  <si>
    <t>ItemRevision</t>
  </si>
  <si>
    <t>Owner Contact</t>
  </si>
  <si>
    <t>Task Jira</t>
  </si>
  <si>
    <t>TaskGroup</t>
  </si>
  <si>
    <t>Tester</t>
  </si>
  <si>
    <t>PeerReviewer</t>
  </si>
  <si>
    <t>Status Review</t>
  </si>
  <si>
    <t>ELOC Assigned</t>
  </si>
  <si>
    <t>ELOC Recheck With Tool</t>
  </si>
  <si>
    <t>LOC Complete</t>
  </si>
  <si>
    <t>Estimation base TOOL</t>
  </si>
  <si>
    <t>Actual hour</t>
  </si>
  <si>
    <t>241595_GAC_A27_ESP9.3CP</t>
  </si>
  <si>
    <t>NET_SCL_Rx_RBC.c</t>
  </si>
  <si>
    <t>235149_FAW_HS7_RC_BL02</t>
  </si>
  <si>
    <t>RBAPLCUST_SecurityAccess.c</t>
  </si>
  <si>
    <t>chung.ly</t>
  </si>
  <si>
    <t>duong.nguyen</t>
  </si>
  <si>
    <t>GWM_B30HP ESP</t>
  </si>
  <si>
    <t>RBHMI_StatesDefinitionTable_PRJ.c</t>
  </si>
  <si>
    <t>ComScl_CalcCRC8.c</t>
  </si>
  <si>
    <t>ComScl_Scl_Complex_proc.c</t>
  </si>
  <si>
    <t>GWM_DNCIF_EngineTorque.c</t>
  </si>
  <si>
    <t>GWM_NET_Gear_Callout.c</t>
  </si>
  <si>
    <t>GWM_NET_HMIStrategy.c</t>
  </si>
  <si>
    <t>GWM_NET_LowVoltageStrategy.c</t>
  </si>
  <si>
    <t>GWM_NET_NodeSuppressStrategy.c</t>
  </si>
  <si>
    <t>GWM_NET_PBCDevelopMessage_Callout.c</t>
  </si>
  <si>
    <t>GWM_NET_PBCMessageStrategy.c</t>
  </si>
  <si>
    <t>GWM_NET_SAS_Callout.c</t>
  </si>
  <si>
    <t>GWM_NET_SpecialStrategy.c</t>
  </si>
  <si>
    <t>GWM_NET_SystemInfo_Callout.c</t>
  </si>
  <si>
    <t>GWM_NET_Torque_Callout.c</t>
  </si>
  <si>
    <t>GWM_NET_Yrs_Callout.c</t>
  </si>
  <si>
    <t>NET_SCL_InitPrc_CNMS.c</t>
  </si>
  <si>
    <t>thanh.nguyen-kim</t>
  </si>
  <si>
    <t>Suzuki_XE431RC ABS10.3ME</t>
  </si>
  <si>
    <t>FFD_EEPROMHandling_SMC.c</t>
  </si>
  <si>
    <t>FFD_Update_SMC.c</t>
  </si>
  <si>
    <t>FreezeFrameDataDelete_SMC.c</t>
  </si>
  <si>
    <t>FreezeFrameDataStore_SMC.c</t>
  </si>
  <si>
    <t>RBAPLCUST_ControlIDTCSetting.c</t>
  </si>
  <si>
    <t>RBAPLCUST_DCOMGenericNvMWriteFunctions.c</t>
  </si>
  <si>
    <t>RBAPLCUST_GeneralFunctions.c</t>
  </si>
  <si>
    <t>RBAPLCUST_MC_DiagnosticSessionControl.c</t>
  </si>
  <si>
    <t>RBAPLCUST_MC_EcuReset.c</t>
  </si>
  <si>
    <t>RBAPLCUST_MC_PDM_INTERFACES.c</t>
  </si>
  <si>
    <t>RBAPLCUST_MC_ReadDataByIdentifier.c</t>
  </si>
  <si>
    <t>RBAPLCUST_MC_RoutineControl.c</t>
  </si>
  <si>
    <t>RBAPLCUST_MC_SecurityAccess.c</t>
  </si>
  <si>
    <t>RBAPLCUST_MC_WriteDataByIdentifier.c</t>
  </si>
  <si>
    <t>RBAPLCUST_RDBI_BatteryVoltage.c</t>
  </si>
  <si>
    <t>RBAPLCUST_RDBI_VehicleSpeed.c</t>
  </si>
  <si>
    <t>RBAPLCUST_RoutineControl_EOLTable.c</t>
  </si>
  <si>
    <t>RBAPLCUST_RoutineControl_MC_ABSSilaTest.c</t>
  </si>
  <si>
    <t>RBAPLCUST_RoutineControl_MC_ActuatorTest.c</t>
  </si>
  <si>
    <t>RBAPLCUST_RoutineControl_MC_EvacAndFill.c</t>
  </si>
  <si>
    <t>RBAPLCUST_RoutineControl_MC_RepairBleeding.c</t>
  </si>
  <si>
    <t>RBAPLCUST_RoutineControl_MC_SensorMountingTest.c</t>
  </si>
  <si>
    <t>RBAPLCUST_RoutineControl_MC_WheelSpeedSensorTest.c</t>
  </si>
  <si>
    <t>RBAPLCUST_XE431_ActuationConditionCheck.c</t>
  </si>
  <si>
    <t>RBAPLCUST_XE431_ActuationFunctions.c</t>
  </si>
  <si>
    <t>RBAPLCUST_XE431_ActuationSettings.c</t>
  </si>
  <si>
    <t>RBAPLCUST_XE431_ClearDiagnosticInformation.c</t>
  </si>
  <si>
    <t>RBAPLCUST_XE431_DTCFunctions.c</t>
  </si>
  <si>
    <t>RBAPLCUST_XE431_EcuReset.c</t>
  </si>
  <si>
    <t>RBAPLCUST_XE431_EOLFunction.c</t>
  </si>
  <si>
    <t>RBAPLCUST_XE431_InputOutputControlByIdentifier.c</t>
  </si>
  <si>
    <t>RBAPLCUST_XE431_ReadDataByLocalIdentifier.c</t>
  </si>
  <si>
    <t>RBAPLCUST_XE431_ReadDTCByStatus.c</t>
  </si>
  <si>
    <t>RBAPLCUST_XE431_ReadEcuIdentification.c</t>
  </si>
  <si>
    <t>RBAPLCUST_XE431_RequestDownload.c</t>
  </si>
  <si>
    <t>RBAPLCUST_XE431_RequestTransferExit.c</t>
  </si>
  <si>
    <t>RBAPLCUST_XE431_SecurityAccess.c</t>
  </si>
  <si>
    <t>RBAPLCUST_XE431_ServiceStateHandler.c</t>
  </si>
  <si>
    <t>RBAPLCUST_XE431_StartDiagnosticSession.c</t>
  </si>
  <si>
    <t>RBAPLCUST_XE431_StopDiagnosticSession.c</t>
  </si>
  <si>
    <t>RBAPLCUST_XE431_TesterPresent.c</t>
  </si>
  <si>
    <t>RBAPLCUST_XE431_TransferData.c</t>
  </si>
  <si>
    <t>RBAPLCUST_XE431_UtilityFunctions.c</t>
  </si>
  <si>
    <t>RBAPLCUST_XE431_WriteDataByIdentifier.c</t>
  </si>
  <si>
    <t>CUS_HHCOff.c</t>
  </si>
  <si>
    <t>CUS_ModesSwitching.c</t>
  </si>
  <si>
    <t>Variant_MC_Platform.c</t>
  </si>
  <si>
    <t>RBAPLCUST_BYD_RBDI_AnalogData.c</t>
  </si>
  <si>
    <t>RBAPLCUST_BYD_RBDI_BootSoftwareVersion.c</t>
  </si>
  <si>
    <t>RBAPLCUST_BYD_RBDI_DigitalData.c</t>
  </si>
  <si>
    <t>RBAPLCUST_BYD_RBDI_SpeedLimitMonitoring.c</t>
  </si>
  <si>
    <t>RBAPLCUST_BYD_RDBI_SpeedInfo.c</t>
  </si>
  <si>
    <t>RBAPLCUST_BYD_RDBI_TPMS.c</t>
  </si>
  <si>
    <t>RBAPLCUST_BYD_WDBI_NVMData.c</t>
  </si>
  <si>
    <t>RBAPLCUST_BYD_WDBI_TPMS.c</t>
  </si>
  <si>
    <t>RBAPLCUST_ClearDiagnosticInformation_CheckFnc.c</t>
  </si>
  <si>
    <t>RBAPLCUST_RBDI_NVMData.c</t>
  </si>
  <si>
    <t>RBAPLCUST_RBDI_VariandCode.c</t>
  </si>
  <si>
    <t>RBAPLCUST_RoutineControl_PedalTravelSensorCalibration.c</t>
  </si>
  <si>
    <t>RBAPLCUST_InputOutputControl.c</t>
  </si>
  <si>
    <t>RBAPLCUST_RDBI_PBC.c</t>
  </si>
  <si>
    <t>RBAPLCUST_RoutineControl_DelayControl.c</t>
  </si>
  <si>
    <t>RBAPLCUST_ConversionSignalParam.c</t>
  </si>
  <si>
    <t>RBAPLCUST_EcuReset.c</t>
  </si>
  <si>
    <t>RBAPLCUST_NVMGeneric.c</t>
  </si>
  <si>
    <t>RBAPLCUST_RBDI_NVMData_Common.c</t>
  </si>
  <si>
    <t>RBAPLCUST_RBDI_SWVersionNumber.c</t>
  </si>
  <si>
    <t>RBAPLCUST_RDBI_SpeedInfo.c</t>
  </si>
  <si>
    <t>RBAPLCUST_RBDI_NVMData_ESP.c</t>
  </si>
  <si>
    <t>RBAPLCUST_RoutineControl_LTCResetProcessYRS.c</t>
  </si>
  <si>
    <t>RBAPLCUST_RoutineControl_SpeedLimit.c</t>
  </si>
  <si>
    <t>RBAPLCUST_RoutineControl_VRShutdown.c</t>
  </si>
  <si>
    <t>GWM_ABS9.3_EC01</t>
  </si>
  <si>
    <t>RBAPLCUST_EngineSpeed.c</t>
  </si>
  <si>
    <t>RBAPLCUST_RDBI_Odometer.c</t>
  </si>
  <si>
    <t>NET_CheckSumLib_GWM.c</t>
  </si>
  <si>
    <t>NET_MonitoringClasses_F30.c</t>
  </si>
  <si>
    <t>rba_ComScl_Scl_Init.c</t>
  </si>
  <si>
    <t>HHT_CampingMode_ChargingSt_VDCMAutoLock</t>
  </si>
  <si>
    <t>HHT_WarmMessage_Pbc</t>
  </si>
  <si>
    <t>rba_BldrCmp_36TransferData.c</t>
  </si>
  <si>
    <t>224752_GAC_A18_CarbonESP9.3CP_BL06</t>
  </si>
  <si>
    <t>AcmVs_VelocityCheck</t>
  </si>
  <si>
    <t xml:space="preserve">CRB_EndRamp_PreShaping_IPB </t>
  </si>
  <si>
    <t>GEELY_BX11_ESP9.3HD_BL06_SP02</t>
  </si>
  <si>
    <t>HDC_InvalidThrPos</t>
  </si>
  <si>
    <t>NET_SCL_Rx_MMI_Status_Info.c</t>
  </si>
  <si>
    <t>NET_SCL_Rx_DCOM.c</t>
  </si>
  <si>
    <t>HAIMA_238525_VF00_ESP_RC2_BSS01_BSS01.x_Workitems_closure</t>
  </si>
  <si>
    <t>HMI_ApbFunctionLamp</t>
  </si>
  <si>
    <t xml:space="preserve">APA_FailureMode </t>
  </si>
  <si>
    <t>RBAPLCUST_RBDI_FBL.c</t>
  </si>
  <si>
    <t>AB30IB3</t>
  </si>
  <si>
    <t>RBAPLCUST_RoutineControl_FBL.c</t>
  </si>
  <si>
    <t>AB30IB4</t>
  </si>
  <si>
    <t>AB30IB5</t>
  </si>
  <si>
    <t>RBAPLCUST_WDBI_NVM.c</t>
  </si>
  <si>
    <t>RBAPLCUST_RDBI_PBCData.c</t>
  </si>
  <si>
    <t>RBAPLCUST_WDBI_NVMData_Prj.c</t>
  </si>
  <si>
    <t>GAC_Carbon_RPA_iBooster_Mainpath_BL04</t>
  </si>
  <si>
    <t>PFA_ISC_SituationSupport</t>
  </si>
  <si>
    <t xml:space="preserve">RMI_CON_front_inside </t>
  </si>
  <si>
    <t>CNMS_226528_IB2_RPA_BL03SP06</t>
  </si>
  <si>
    <t>EBR_Request_Active</t>
  </si>
  <si>
    <t>CNMS_226528_IB2_RPA_BL03SP07</t>
  </si>
  <si>
    <t>EBR_EnableEBR</t>
  </si>
  <si>
    <t xml:space="preserve">APBTextMesg_GAC </t>
  </si>
  <si>
    <t xml:space="preserve">APBFunctionLamp_GAC </t>
  </si>
  <si>
    <t>GEELY_FE-3AH_CB_CSIS241976_BSS03</t>
  </si>
  <si>
    <t>228771_SAIC EP22 X1 &amp; IP31E w/o_DA ESPHevX BSS04_SP01</t>
  </si>
  <si>
    <t>GAC_220680_Carbon_A18_ESPHevx_FPA/RPA_BL04</t>
  </si>
  <si>
    <t>MC_239507_SGMW_CN210S_PHEV_ESP9.3CPi_BSS03_SP1</t>
  </si>
  <si>
    <t>216916_FAW_E115_L3_ESPhev_APB(CBi)_BL60</t>
  </si>
  <si>
    <t>Carbon RPA</t>
  </si>
  <si>
    <t>CNMS_226315_HevX_RPA_BL03SP03</t>
  </si>
  <si>
    <t>XE431RC ABS10.3ME</t>
  </si>
  <si>
    <t>GWM CHB027 RC3 ESP9.3</t>
  </si>
  <si>
    <t>DFN_ESP_Gen9.3_534_238307_BS03SP03</t>
  </si>
  <si>
    <t>SAIC ZS12MCE withDA ESP9.3 BSS03SP01</t>
  </si>
  <si>
    <t>MC_239446_Geely_FE6AB_ESP9.3HD_BB81527_BL04</t>
  </si>
  <si>
    <t>217437_FAW_C229_BL43</t>
  </si>
  <si>
    <t>BAIC_C62X_RC_APA_BL01</t>
  </si>
  <si>
    <t>GAC_Carbon_RPA_ESPHevx_Mainpath_BL05</t>
  </si>
  <si>
    <t>GAC_Carbon_RPA_ESPHevx_Mainpath_BL04</t>
  </si>
  <si>
    <t>EC_245950_NIO_ESX_ESPHevX_DTC_</t>
  </si>
  <si>
    <t>EC_245950_NIO_ESX_ESPHevX_DTC</t>
  </si>
  <si>
    <t>RC_242264_SOKON_S513EVR_ESP9.3</t>
  </si>
  <si>
    <t>MC_237270_GAC_A55CP_Carbon_ESP_BL02</t>
  </si>
  <si>
    <t>GAC_220680_Carbon_A18_ESPHevx_FPA/RPA_BL05</t>
  </si>
  <si>
    <t>Actual effort</t>
  </si>
  <si>
    <t>BS</t>
  </si>
  <si>
    <t>BSS</t>
  </si>
  <si>
    <t>BSL</t>
  </si>
  <si>
    <t>BL</t>
  </si>
  <si>
    <t>HHT_VX1_ESPHevX</t>
  </si>
  <si>
    <t>HHT_VX1_IBooster_Gen2</t>
  </si>
  <si>
    <t>BYD_Carbon_Mainstream</t>
  </si>
  <si>
    <t>MC_245411_SGMW_CN202C_ESPCP</t>
  </si>
  <si>
    <t>GEELY_SS11ESP9.3CP</t>
  </si>
  <si>
    <t>SAIC_ZS11E_MCE_withDA_ESP9.3_241859</t>
  </si>
  <si>
    <t>Adapt_236234_SMART_VDDM_ESPHevX</t>
  </si>
  <si>
    <t>BYD_IPB_SW_Mainstream</t>
  </si>
  <si>
    <t>206370_BYD_ESP9.3_New_Hybrid_MS15.1</t>
  </si>
  <si>
    <t>HAIMA_238525_VF00_ESP_RC2</t>
  </si>
  <si>
    <t>GAC_Carbon_Stream_ESPCP</t>
  </si>
  <si>
    <t>GAC_219651_Carbon_A18_iB2_FPA/RPA</t>
  </si>
  <si>
    <t>GAC_212111_Carbon_A12_iB2_FPA/RPA</t>
  </si>
  <si>
    <t>GAC_220680_Carbon_A18_ESPHevx_FPA/RPA</t>
  </si>
  <si>
    <t>KX63_FL_ACC_232961</t>
  </si>
  <si>
    <t>231839_DearCC_IC321_ESP9.3</t>
  </si>
  <si>
    <t>MC_223517_Geely_KC2A_ESP9.3CP_BB80335</t>
  </si>
  <si>
    <t>MC_225750_Geely_KC2A_ESP9.3HB_BB80336</t>
  </si>
  <si>
    <t>218053_CA_CD569_ESP9.3CP</t>
  </si>
  <si>
    <t>233324_JAC_P843_ESP9.3</t>
  </si>
  <si>
    <t>242899_GAC_A39_ESP9.3CPHD_RC4</t>
  </si>
  <si>
    <t>235149_FAW_HS7_RC</t>
  </si>
  <si>
    <t>224752_GAC_A18_CarbonESP9.3CP</t>
  </si>
  <si>
    <t>GEELY_BX11_ESP9.3HD</t>
  </si>
  <si>
    <t>GAC_Carbon_RPA_iBooster_Mainpath</t>
  </si>
  <si>
    <t>CNMS_226528_IB2_RPA</t>
  </si>
  <si>
    <t>GEELY_FE-3AH_CB_CSIS241976</t>
  </si>
  <si>
    <t>MC_239507_SGMW_CN210S_PHEV_ESP9.3CPi</t>
  </si>
  <si>
    <t>216916_FAW_E115_L3_ESPhev_APB(CBi)</t>
  </si>
  <si>
    <t>CNMS_226315_HevX_RPA</t>
  </si>
  <si>
    <t>DFN_ESP_Gen9.3_534_238307</t>
  </si>
  <si>
    <t>MC_239446_Geely_FE6AB_ESP9.3HD_BB81527</t>
  </si>
  <si>
    <t>217437_FAW_C229</t>
  </si>
  <si>
    <t>BAIC_C62X_RC_APA</t>
  </si>
  <si>
    <t>GAC_Carbon_RPA_ESPHevx_Mainpath</t>
  </si>
  <si>
    <t>GAC_Carbon_RPA_ESPHevx_Mainpath04</t>
  </si>
  <si>
    <t>MC_237270_GAC_A55CP_Carbon_ESP</t>
  </si>
  <si>
    <t>Project / Tester</t>
  </si>
  <si>
    <t>Estimate effort</t>
  </si>
  <si>
    <t>No</t>
  </si>
  <si>
    <t>Package</t>
  </si>
  <si>
    <t>Type</t>
  </si>
  <si>
    <t>ComponentName</t>
  </si>
  <si>
    <t>MT_Number</t>
  </si>
  <si>
    <t>MT_Needed</t>
  </si>
  <si>
    <t>Type of Comment</t>
  </si>
  <si>
    <t>BB</t>
  </si>
  <si>
    <t>Status</t>
  </si>
  <si>
    <t>Release Date</t>
  </si>
  <si>
    <t>Planned Start</t>
  </si>
  <si>
    <t>Planned End</t>
  </si>
  <si>
    <t>Start</t>
  </si>
  <si>
    <t>End</t>
  </si>
  <si>
    <t>Status Result</t>
  </si>
  <si>
    <t>C0</t>
  </si>
  <si>
    <t>C1</t>
  </si>
  <si>
    <t>MCDC</t>
  </si>
  <si>
    <t>OPL/Defect</t>
  </si>
  <si>
    <t>Reason For code coverage</t>
  </si>
  <si>
    <t>Reason for Fail Testcase</t>
  </si>
  <si>
    <t>Remark</t>
  </si>
  <si>
    <t>PSW</t>
  </si>
  <si>
    <t>rb\as\core\app\asw\apbmi\host\PBC\SRC</t>
  </si>
  <si>
    <t>Auto</t>
  </si>
  <si>
    <t>GWM_AB30_CP_Int</t>
  </si>
  <si>
    <t>ZHANG Wenjia (CC-AS/EVA-SW33-CN)</t>
  </si>
  <si>
    <t>Complete &amp; Closed</t>
  </si>
  <si>
    <t>OK</t>
  </si>
  <si>
    <t>None</t>
  </si>
  <si>
    <t>rb\as\gwm\core\app\dcom\Cubas\src\Dcm_CNMS</t>
  </si>
  <si>
    <t>rb\as\gwm\core\app\dcom\Cubas\src\Dcm</t>
  </si>
  <si>
    <t>rb\as\gwm\core\app\dcom\RBAPLCust\src\common</t>
  </si>
  <si>
    <t>rb\as\gwm\core\app\dcom\RBAPLCust\src\ESP</t>
  </si>
  <si>
    <t>rb\as\gwm\core\app\dcom\RBAPLCust\src\iBooster</t>
  </si>
  <si>
    <t>NG</t>
  </si>
  <si>
    <t>OPL</t>
  </si>
  <si>
    <t>Can't cover case default for switch at line #116. Because of the conditon "if ((RBAPLCUST_PHASESEQUENCE_MINIMUM &gt; dataIn1) || (RBAPLCUST_PHASESEQUENCE_MAXIMUM &lt; dataIn1))" at line #87 false when range vaule of dataIn1 to 1 from 4.</t>
  </si>
  <si>
    <t>Owner said it's OK "no impact"</t>
  </si>
  <si>
    <t>rb\as\gwm\cp\app\asw\apbmi\host\PDM\APBHostData_Project_C\SRC</t>
  </si>
  <si>
    <t>rb\as\gwm\cp\app\dsm\RBWarningIndicator\src</t>
  </si>
  <si>
    <t>rb\as\gwm\cp\app\obd\ObdCvnCalId\src</t>
  </si>
  <si>
    <t>No function to test</t>
  </si>
  <si>
    <t>rb\as\gwm\cp\varcode</t>
  </si>
  <si>
    <t>rb\as\gwm\cp\dsmpr\src\Cubas\ESM\EcuM\src</t>
  </si>
  <si>
    <t>rb\as\hht\core\app\net\RBScl\src</t>
  </si>
  <si>
    <t>HHT_VX1_ESPHevX_Carbon_Int</t>
  </si>
  <si>
    <t>YAN Jiebing (BEG/ESW-CN)</t>
  </si>
  <si>
    <t>rb\as\hht\core\app\dcom\RBAPLCust\src\ESP</t>
  </si>
  <si>
    <t>LI Jianming (BEG/ESW-CN)</t>
  </si>
  <si>
    <t>rb\as\hht\vx1\dcompr\esp\src</t>
  </si>
  <si>
    <t>rb\as\hht\core\app\dcom\RBAPLCust\src\iBooster</t>
  </si>
  <si>
    <t>HHT_VX1_IB2_Carbon_Int</t>
  </si>
  <si>
    <t>rb\as\hht\vx1\dcompr\ib2\src</t>
  </si>
  <si>
    <t>iBoosterGen2\rb\as\hht\vx1\netpr\src</t>
  </si>
  <si>
    <t>YUAN Jessica(BEG/ESW-CN)</t>
  </si>
  <si>
    <t>iBoosterGen2\rb\as\hht\vx1\netpr\gen\Cubas\CAN_OBD_Off</t>
  </si>
  <si>
    <t>rba\BldrCmp\src</t>
  </si>
  <si>
    <t>NextEV_IB2_Int</t>
  </si>
  <si>
    <t>Nguyen Van Tam (RBVH/EJV42)</t>
  </si>
  <si>
    <t xml:space="preserve">Line 374: RBA_BLDRSRVSTHDL_SERVICE_DCM_END(): Missing ";" at the end of line
Line 84: RBA_BLDRSRVSTHDL_SERVICE_DCM_BEGIN(pMsgContext,&amp;rba_BldrCmp_ReadDataByIdentifier,NULL_PTR): Missing ";" at the end of line
Line 349: Can’t cover case default because the value of rba_BldrCmp_RDBI_StateMachine_tst has only 3 elements 
Line 273, 274: Cannot false for line 273 and line 274 because rba_BldrCmp_RDBI_ListIdx_u8 is always set with value “0xFF” at line 208 
Line 290: Can not cover line 290 because rba_BldrCmp_RDBI_DidByFuncList_pst is constant variable and is set to define “RBA_BLDRCMP_RDBI_Read_DidByFuncList”;
+ static const rba_BldrCmp_RDBI_DidByFuncList_tst rba_BldrCmp_RDBI_DidByFuncList_pst[RBA_BLDRCMP_RDBI_NoReadDidByFuncList_Arraylen] = RBA_BLDRCMP_RDBI_Read_DidByFuncList;
</t>
  </si>
  <si>
    <t>[No1]: cannot cover false case at line 228 because rba_BldrCmp_WDBI_DidByFuncList_pst[rba_BldrCmp_WDBI_ListIdx_u8].rba_BldrCmp_Write_pfct always be assigned address pointer at line 51
[No2]:  cannot cover case false at line 128 because never reach it case
[No3]: cannot cover true case (rba_BldrCmp_WDBI_DidByFuncList_pst[rba_BldrCmp_WDBI_ListIdx_u8].Length_u16 != 0) at line 182 because it is constant 
[No4]: cannot cover MCDC at line 178 because it is depended on condition at line 128</t>
  </si>
  <si>
    <r>
      <t xml:space="preserve">Can’t cover at line #164 and #188 because cannot happen case </t>
    </r>
    <r>
      <rPr>
        <b/>
        <sz val="10"/>
        <color theme="1"/>
        <rFont val="Arial"/>
        <family val="2"/>
      </rPr>
      <t xml:space="preserve">T </t>
    </r>
    <r>
      <rPr>
        <b/>
        <sz val="10"/>
        <color rgb="FF548235"/>
        <rFont val="Arial"/>
        <family val="2"/>
      </rPr>
      <t>&amp;&amp;</t>
    </r>
    <r>
      <rPr>
        <b/>
        <sz val="10"/>
        <color theme="1"/>
        <rFont val="Arial"/>
        <family val="2"/>
      </rPr>
      <t xml:space="preserve"> F</t>
    </r>
    <r>
      <rPr>
        <sz val="10"/>
        <color theme="1"/>
        <rFont val="Arial"/>
        <family val="2"/>
      </rPr>
      <t xml:space="preserve"> (NRC_u8 = 0x00 </t>
    </r>
    <r>
      <rPr>
        <b/>
        <sz val="10"/>
        <color rgb="FF548235"/>
        <rFont val="Arial"/>
        <family val="2"/>
      </rPr>
      <t>&amp;&amp;</t>
    </r>
    <r>
      <rPr>
        <sz val="10"/>
        <color theme="1"/>
        <rFont val="Arial"/>
        <family val="2"/>
      </rPr>
      <t xml:space="preserve"> blockIndex = RBA_BLDRCMP_LOGICALBLOCK_NOT_FOUND).
When entering branch at line #131 
If NRC_u8 = 0x00 then blockIndex != RBA_BLDRCMP_LOGICALBLOCK_NOT_FOUND
If not entering line #131, go on line #158 then NRC_u8 = DCM_E_REQUESTOUTOFRANGE
</t>
    </r>
  </si>
  <si>
    <t>rb\as\gwm\core\app\dcom</t>
  </si>
  <si>
    <t>XU Zhuofan (CC-AS/EVA-SW33-CN)</t>
  </si>
  <si>
    <t>Can't cover full MCDC ((F &amp;&amp; ?) || (F &amp;&amp; ?)) at line #134. Because of can't create case "RBAPLCUST_RollerBenchSessionState = RBAPLCUST_RollerBenchSessionState_NOT_ACTIVE" and "RBAPLCUST_RollerBenchSessionState != RBAPLCUST_RollerBenchSessionState_NOT_ACTIVE".
Can't cover full MCDC (T &amp;&amp; F) at line #140. Because of when create case "(RBAPLCUST_RollerBenchSessionState == RBAPLCUST_RollerBenchSessionState_NOT_ACTIVE) &amp;&amp; (l_Active == FALSE)" =&gt; condition at line #134 is true.</t>
  </si>
  <si>
    <t>Lack of round brackets for if at line #116.</t>
  </si>
  <si>
    <t>rb\as\byd\Bydcarbon\dcompr\tst\rba_SimDcmCfg\src</t>
  </si>
  <si>
    <t>BYD_Carbon_ESP93_Int</t>
  </si>
  <si>
    <t>MA Python (CC-AS/EVA-SW31-CN)</t>
  </si>
  <si>
    <t>rb\as\byd\Bydcarbon\dcompr\tst\rba_SimDcmCfg\Stubs\ASW\src</t>
  </si>
  <si>
    <t>rb\as\byd\Bydcarbon\dcompr\tst\rba_SimDcmCfg\Stubs\CUBAS\src</t>
  </si>
  <si>
    <t>rb\as\byd\Bydcarbon\dcompr\tst\rba_SimDcmCfg\Stubs\DEM\src</t>
  </si>
  <si>
    <t>Can’t cover false case if(Dem_ErrorQueueControl.isQueueEnabled) at line #518 and the true case if (callSetEventStatus) at line #532</t>
  </si>
  <si>
    <t>rb\as\byd\Bydcarbon\dcompr\tst\rba_SimDcmCfg\Stubs\HSW\src</t>
  </si>
  <si>
    <t>rb\as\byd\Bydcarbon\dcompr\tst\rba_SimDcmCfg\Stubs\NVM\src</t>
  </si>
  <si>
    <t>rb\as\byd\Bydcarbon\dcompr\tst\rba_SimDcmCfg\Stubs\OBD\src</t>
  </si>
  <si>
    <t>rb\as\byd\Bydcarbon\dcompr\tst\rba_SimDcmCfg\Stubs\OTHERS\src</t>
  </si>
  <si>
    <t>Can't cover False case of if (ret == E_OK ) at line #26. Because of that it's always TRUE</t>
  </si>
  <si>
    <t>Owner said it's OK "no impact" ("So This code for CT test Change Status ret code")
Walkthrough updated</t>
  </si>
  <si>
    <t>rb\as\byd\Bydcarbon\dcompr\tst\rba_SimDcmCfg\Stubs\rba_STM\src</t>
  </si>
  <si>
    <t>Can't cover False case of if (newDR != DegradationReason_Available) at line #59. Because of that variable newDR can't reach value of DegradationReason_Available.</t>
  </si>
  <si>
    <t>Owner said it's OK (this is Diamantpro tools online build Generate code)
Walkthrough updated</t>
  </si>
  <si>
    <t>rb\as\sgmw\core\app\dcom\RBAPLCust\src\ESP</t>
  </si>
  <si>
    <t>99885; 82188</t>
  </si>
  <si>
    <t>SGWM_ESP93_Carbon_Int</t>
  </si>
  <si>
    <t>SUN Yun (CC-AS/EVA-SW31-CN)</t>
  </si>
  <si>
    <t>rb\as\geely\core\app\dcom\RBAPLCust\src\ESP\RBAPLCUST_RDBI_AccelerationPedal.c</t>
  </si>
  <si>
    <t>Geely_ESP93_Carbon_Int</t>
  </si>
  <si>
    <t>KASIVASAKAM Murugananth (CC-AS/EVA-SW32-CN)</t>
  </si>
  <si>
    <t>rb\as\geely\core\app\dcom\RBAPLCust\src\ESP\RBAPLCUST_RDBI_GearPosition.c</t>
  </si>
  <si>
    <t>rb\as\geely\core\app\dcom\RBAPLCust\src\ESP\RBAPLCUST_RDBI_HandBrake.c</t>
  </si>
  <si>
    <t>rb\as\geely\core\app\dcom\RBAPLCust\src\ESP\RBAPLCUST_RDBI_PTState.c</t>
  </si>
  <si>
    <t>rb\as\core\app\net</t>
  </si>
  <si>
    <t>Manual</t>
  </si>
  <si>
    <t>FAW_Beryllium_D090HighG6_&amp;__D090LowG6_RC_INT</t>
  </si>
  <si>
    <t>JIN Li (CC-AS/EVA-SW33-CN)</t>
  </si>
  <si>
    <t>rb\as\cnms_core\app\net\scl</t>
  </si>
  <si>
    <t>CNMSESPHevX\rb\as\gaig\core\app\dcom\RBAPLCust\src\ESP\RBAPLCUST_RoutineControl_SteeringAngleSensorCalibration.c</t>
  </si>
  <si>
    <t>GAC_ESPHevX_Carbon_Int</t>
  </si>
  <si>
    <t>PAN Qi (CC-AS/EVA-SW31-CN)</t>
  </si>
  <si>
    <t>CNMSESPHevX\rb\as\gaig\core\app\dcom\RBAPLCust\src\ESP\RBAPLCUST_RoutineControl_INSCalibration.c</t>
  </si>
  <si>
    <t>rb\as\saic\CpiwAPB\app\dsm\RBVAR\src</t>
  </si>
  <si>
    <t>SAIC_A_ARCH_CMP_ESP93_Carbon_Int</t>
  </si>
  <si>
    <t>FANG Amanda (CC-AS/EVA-SW31-CN)</t>
  </si>
  <si>
    <t>Actual LOC is 394</t>
  </si>
  <si>
    <t>rb\as\cnms_core\app\dsm\RBVAR\src\</t>
  </si>
  <si>
    <t>rb\as\ib2_baic\core\app\dcom</t>
  </si>
  <si>
    <t>BAIC_C62XP_IBooster_Int</t>
  </si>
  <si>
    <t>LIANG Xin (CC-AS/EVA-SW33-CN)</t>
  </si>
  <si>
    <t>20200416_1</t>
  </si>
  <si>
    <t>GEEA2_0_IB2_SMART_Deuterium_Int\iBoosterGen2\rb\as\ms\core\app\dcom\RBAPLCust\src\DcmAppl_22_rdbi.c</t>
  </si>
  <si>
    <t>GEEA2_0_IB2_SMART_Deuterium_Int</t>
  </si>
  <si>
    <r>
      <t xml:space="preserve">I cannot cover case FASLE for branch this because </t>
    </r>
    <r>
      <rPr>
        <b/>
        <i/>
        <sz val="10"/>
        <color theme="1"/>
        <rFont val="Arial"/>
        <family val="2"/>
      </rPr>
      <t xml:space="preserve">syntax if—else </t>
    </r>
    <r>
      <rPr>
        <sz val="10"/>
        <color theme="1"/>
        <rFont val="Arial"/>
        <family val="2"/>
      </rPr>
      <t xml:space="preserve">.
I cannot cover case FASLE for MCDC this because l_Read_Counter is local variable &amp; uint8 l_Read_Counter = 0;
Before entering this branch it is always equal to 0.
</t>
    </r>
  </si>
  <si>
    <t>GEEA2_0_IB2_SMART_Deuterium_Int\iBoosterGen2\rb\as\ms\core\app\dcom\RBAPLCust\src\RBAPLCUST_RDBI_WheelSpeedInformation.c</t>
  </si>
  <si>
    <t>GEEA2_0_IB2_SMART_Deuterium_Int\iBoosterGen2\rb\as\ms\core\app\dcom\Cubas\src\Dcm\DcmAppl_DcmGetRxPermission.c</t>
  </si>
  <si>
    <t>GEEA2_0_IB2_SMART_Deuterium_Int\iBoosterGen2\rb\as\ms\core\app\dcom\Cubas\src\Dcm\DcmAppl_Switch_DcmExecuteReset.c</t>
  </si>
  <si>
    <t>GEEA2.0\rb\as\cevt\core\app\dcom\Cubas\src\Dcm\DcmAppl_Switch_DcmExecuteReset.c</t>
  </si>
  <si>
    <t>GEEA2.0</t>
  </si>
  <si>
    <t>Actual LOC is 60</t>
  </si>
  <si>
    <t>BYD_IPB_BL05_Int\BYDIPB\rb\as\BYD\ipb\app\net\RBScl_TPMS\src\NET_SCL_Tx_TPMS.c</t>
  </si>
  <si>
    <t>BYD_IPB_BL05_Int</t>
  </si>
  <si>
    <t>GUO Sasa (CC-AS/EVA-SW3-CN)</t>
  </si>
  <si>
    <t>BYD_IPB_BL05_Int\BYDIPB\rb\as\BYD\ipb\app\net\RBScl_TPMS\src\NET_SCL_Rx_TPMS.c</t>
  </si>
  <si>
    <t>Line 1023: MCDC can not cover false case “ls_SCL_TotalOdometer_UL &gt;= 0” because ls_SCL_TotalOdometer_UL is static ULONG</t>
  </si>
  <si>
    <t>BYD_ESP93_Int\MainstreamF30\rb\as\BYD\core\app\dcom\RBAPLCust\src\RBAPLCUST_BYD_RDBI_NVMData.c</t>
  </si>
  <si>
    <t>BYD_ESP93_INT</t>
  </si>
  <si>
    <t>TAO Frank (CC-AS/EVA-SW31-CN)</t>
  </si>
  <si>
    <t>ComponentName confirm by Pham Quoc Bao</t>
  </si>
  <si>
    <t xml:space="preserve">BYD_ESP93_Int\MainstreamF30\rb\as\BYD\Mainstream151\dcompr\src\RBFSWBootInterface_BYD.c </t>
  </si>
  <si>
    <t>GWM_B30_IB2_Int\iBoosterGen2\rb\as\gwm\core\app\dcom\Cubas\src\Dcm_CNMS\DcmAppl_DcmSwitchCommunicationControl.c</t>
  </si>
  <si>
    <t>B30_9DCT_IB2: 80722; A30_DHT_IB2: 81556</t>
  </si>
  <si>
    <t>GWM_B30_IB2_Int</t>
  </si>
  <si>
    <t>GWM_B30_IB2_Int\iBoosterGen2\rb\as\gwm\core\app\dcom\RBAPLCust\src\common\DCOMIF.c</t>
  </si>
  <si>
    <t>No fuction to test</t>
  </si>
  <si>
    <t>GWM_B30_IB2_Int\iBoosterGen2\rb\as\gwm\core\app\dcom\RBAPLCust\src\common\RBAPLCUST_DiagnosticSessionControl.c</t>
  </si>
  <si>
    <t xml:space="preserve">Can’t cover MCDC at line #134 and #140 </t>
  </si>
  <si>
    <t>GWM_B30_IB2_Int\iBoosterGen2\rb\as\gwm\core\app\dcom\RBAPLCust\src\common\RBAPLCUST_RBDI_NVM.c</t>
  </si>
  <si>
    <t>GWM_B30_IB2_Int\iBoosterGen2\rb\as\gwm\core\app\dcom\RBAPLCust\src\ESP\RBAPLCUST_RDBI_ActuationState.c</t>
  </si>
  <si>
    <t>GWM_B30_IB2_Int\iBoosterGen2\rb\as\gwm\core\app\dcom\RBAPLCust\src\iBooster\RBAPLCUST_RDBI_AnalogData.c</t>
  </si>
  <si>
    <t>GWM_B30_IB2_Int\iBoosterGen2\rb\as\gwm\core\app\dcom\RBAPLCust\src\common\RBAPLCUST_RDBI_InputData.c</t>
  </si>
  <si>
    <t>GWM_B30_IB2_Int\iBoosterGen2\rb\as\gwm\core\app\dcom\RBAPLCust\src\ESP\RBAPLCUST_RDBI_IOCtrlState.c</t>
  </si>
  <si>
    <t>GWM_B30_IB2_Int\iBoosterGen2\rb\as\gwm\core\app\dcom\RBAPLCust\src\common\RBAPLCUST_ReadDTCInformation.c</t>
  </si>
  <si>
    <t>GWM_B30_IB2_Int\iBoosterGen2\rb\as\gwm\core\app\dcom\RBAPLCust\src\ESP\RBAPLCUST_RoutineControl_APBMi.c</t>
  </si>
  <si>
    <t>GWM_B30_IB2_Int\iBoosterGen2\rb\as\gwm\core\app\dcom\RBAPLCust\src\iBooster\RBAPLCUST_RoutineControl_iBoosterActuatorTest.c</t>
  </si>
  <si>
    <t>GWM_B30_IB2_Int\iBoosterGen2\rb\as\gwm\core\app\dcom\RBAPLCust\src\common\RBAPLCUST_VariandCode.c</t>
  </si>
  <si>
    <t>GWM_B30_IB2_Int\iBoosterGen2\rb\as\gwm\core\app\dcom\RBAPLOBD\src\RBAPLOBD_Data.c</t>
  </si>
  <si>
    <t>GWM_B30_IB2_Int\iBoosterGen2\rb\as\gwm\core\app\dcom\RBAPLOBD\src\RBAPLOBD_Global.c</t>
  </si>
  <si>
    <t>GWM_B30_HP_Int\CNMSESPHevX\rb\as\gwm\core\app\dcom\Cubas\src\Dcm_CNMS\DcmAppl_DcmSwitchCommunicationControl.c</t>
  </si>
  <si>
    <t>B30_8DCT_HP: 80432; A30_DHT_HP: 81558</t>
  </si>
  <si>
    <t>GWM_B30_HP_Int</t>
  </si>
  <si>
    <t>GWM_B30_HP_Int\CNMSESPHevX\rb\as\gwm\core\app\dcom\RBAPLCust\src\common\DCOMIF.c</t>
  </si>
  <si>
    <t>GWM_B30_HP_Int\CNMSESPHevX\rb\as\gwm\core\app\dcom\RBAPLCust\src\common\RBAPLCUST_DiagnosticSessionControl.c</t>
  </si>
  <si>
    <t>At function “static boolean RBAPLCUST_RequestRollerBenchSession(boolean l_Active)”
Cannot cover MCDC.</t>
  </si>
  <si>
    <t>GWM_B30_HP_Int\CNMSESPHevX\rb\as\gwm\core\app\dcom\RBAPLCust\src\common\RBAPLCUST_RBDI_NVMData_Prj.c</t>
  </si>
  <si>
    <t>GWM_B30_HP_Int\CNMSESPHevX\rb\as\gwm\core\app\dcom\RBAPLCust\src\iBooster\RBAPLCUST_RDBI_AnalogData.c</t>
  </si>
  <si>
    <t>GWM_B30_HP_Int\CNMSESPHevX\rb\as\gwm\core\app\dcom\RBAPLCust\src\ESP\RBAPLCUST_RDBI_IOCtrlState.c</t>
  </si>
  <si>
    <t>GWM_B30_HP_Int\CNMSESPHevX\rb\as\gwm\core\app\dcom\RBAPLCust\src\common\RBAPLCUST_ReadDTCInformation.c</t>
  </si>
  <si>
    <t>GWM_B30_HP_Int\CNMSESPHevX\rb\as\gwm\core\app\dcom\RBAPLCust\src\ESP\RBAPLCUST_RoutineControl_APBMi.c</t>
  </si>
  <si>
    <t>GWM_B30_HP_Int\CNMSESPHevX\rb\as\gwm\core\app\dcom\RBAPLCust\src\iBooster\RBAPLCUST_RoutineControl_iBoosterActuatorTest.c</t>
  </si>
  <si>
    <t>GWM_B30_HP_Int\CNMSESPHevX\rb\as\gwm\core\app\dcom\RBAPLCust\src\common\RBAPLCUST_VariandCode.c</t>
  </si>
  <si>
    <t>GWM_B30_HP_Int\CNMSESPHevX\rb\as\gwm\core\app\dcom\RBAPLOBD\src\RBAPLOBD_Data.c</t>
  </si>
  <si>
    <t>GWM_B30_HP_Int\CNMSESPHevX\rb\as\gwm\core\app\dcom\RBAPLOBD\src\RBAPLOBD_Global.c</t>
  </si>
  <si>
    <t>HAIMA_VF00_ESP93_Int\MainstreamF30\rb\as\cnms_core\app\dsm\RBVAR\src\RBVAR_VarCode_COMMON.c</t>
  </si>
  <si>
    <t>HAIMA_VF00_ESP93_Int</t>
  </si>
  <si>
    <t>Revathi Sundaram (RBEI/ESC1)</t>
  </si>
  <si>
    <t>HAIMA_VF00_ESP93_Int\MainstreamF30\rb\as\cnms_core\app\net\scl\Sensors\Steering\src\SAS_LWS_Standard.c</t>
  </si>
  <si>
    <t>HAIMA_VF00_ESP93_Int\MainstreamF30\rb\as\cnms_core\app\net\scl_callout\src\RBA_NDS_Engine_Callout.c</t>
  </si>
  <si>
    <t>HAIMA_VF00_ESP93_Int\MainstreamF30\rb\as\cnms_core\app\net\scl_callout\src\RBA_NDS_SystemInfo.c</t>
  </si>
  <si>
    <t>HAIMA_VF00_ESP93_Int\MainstreamF30\rb\as\cnms_core\app\net\scl_callout\src\RBA_NDS_TCUAvaliable_Callout.c</t>
  </si>
  <si>
    <t>HAIMA_VF00_ESP93_Int\MainstreamF30\rb\as\haimabmp\CpiwAPB\app\dsm\RBVAR\src\RBVAR_VarCode_PROJECT.c</t>
  </si>
  <si>
    <t>Actual LOC is 30</t>
  </si>
  <si>
    <t>HAIMA_VF00_ESP93_Int\MainstreamF30\rb\as\haimabmp\CpiwAPB\app\net\RbNetPrj\RBNet_Can\src\NET_CheckSumLib_CNMS.c</t>
  </si>
  <si>
    <t>GAC_ESP93CP_Carbon_Int\MainstreamF30\rb\as\gaig\A12ESP\app\net\RBScl\RBScl_GAC\src\NET_SCL_EngineIntervention_Torq_GAC.c</t>
  </si>
  <si>
    <t>81116; 81175</t>
  </si>
  <si>
    <t>GAC_ESP93CP_Carbon_Int</t>
  </si>
  <si>
    <t>ZHANG Yu (CC-AS/EVA-SW31-CN)</t>
  </si>
  <si>
    <t>GAC_ESP93CP_Carbon_Int\MainstreamF30\rb\as\gaig\A12ESP\app\net\RBScl\RBScl_GAC\src\NET_SCL_Rx_GearBox.c</t>
  </si>
  <si>
    <t>Actual LOC is 636</t>
  </si>
  <si>
    <t>GAC_ESP93CP_Carbon_Int\MainstreamF30\rb\as\gaig\core\app\dcom\RBAPLCust\src\ESP\RBAPLCUST_RoutineControl_INSCalibration.c</t>
  </si>
  <si>
    <t>GAC_ESP93CP_Carbon_Int\MainstreamF30\rb\as\gaig\core\app\dcom\RBAPLCust\src\ESP\RBAPLCUST_RoutineControl_SteeringAngleSensorCalibration.c</t>
  </si>
  <si>
    <t>GAC_ESP93CP_Carbon_Int\MainstreamF30\rb\as\gaig\core\app\dcom\RBAPLCust\src\ESP\RBAPLCUST_RoutineControl_TPMSReset.c</t>
  </si>
  <si>
    <t>Actual LOC is 489</t>
  </si>
  <si>
    <t>GAC_ESP93CP_Carbon_Int\MainstreamF30\rb\as\cnms_core\app\dcom\RBAPLCust\src\common\RBAPLCUST_ClearDiagnosticInformation.c</t>
  </si>
  <si>
    <t>GAC_ESP93CP_Carbon_Int\MainstreamF30\rb\as\cnms_core\app\dcom\RBAPLCust\src\ESP\RBAPLCUST_EOLDelayCtrlOrAPBMi.c</t>
  </si>
  <si>
    <t>GAC_IB2_HADHAP_Int\iBoosterGen2\rb\as\gaig\core\app\dsm\RBVAR\A12FPA\src\RBVAR_VarCode_PROJECT.c</t>
  </si>
  <si>
    <t>81614; 99300</t>
  </si>
  <si>
    <t>GAC_IB2_HADHAP_Int</t>
  </si>
  <si>
    <t>RUBAGAN Varunidhan (CC-AS/EVA-SW2-CN)</t>
  </si>
  <si>
    <t>GAC_IB2_HADHAP_Int\iBoosterGen2\rb\as\gaig\core\app\dsm\RBVAR\A18FPA\src\RBVAR_VarCode_PROJECT.c</t>
  </si>
  <si>
    <t>GAC_IB2_HADHAP_Int\iBoosterGen2\rb\as\gaig\core\app\dsm\RBVAR\A20FPA\src\RBVAR_VarCode_PROJECT.c</t>
  </si>
  <si>
    <t>GAC_IB2_HADHAP_Int\iBoosterGen2\rb\as\gaig\core\app\net\net_OBD_Off\RBScl\src\RBRIS_MainHandler.c</t>
  </si>
  <si>
    <t>CAI Tantan (CC-AS/EVA-SW31-CN)</t>
  </si>
  <si>
    <t>GAC_IB2_HADHAP_Int\iBoosterGen2\rb\as\gaig\core\app\net\net_OBD_Off\RBScl\src\RB_SCL_GAC_RX.c</t>
  </si>
  <si>
    <t xml:space="preserve">At line #508 &amp; line #512 cannot cover MCDC because variable l_DriverPresent_B.  
At line 479 BOOL l_DriverPresent_B = true;
</t>
  </si>
  <si>
    <t>Duplicate 1 source C with same path. Developer confirm: it is mistake, please remove duplicate function at task id 1405296</t>
  </si>
  <si>
    <t>Defect</t>
  </si>
  <si>
    <t xml:space="preserve">1. The first “else if” condition has the  variant [22, 23] condition.
The second “else if” condition has the  variant [24, 31] condition.
These are the customer variant requirement.
2. This is a bug, need to be fix. You can create one defect to me. thanks
</t>
  </si>
  <si>
    <t>Ownwer confirm it's "Defect"</t>
  </si>
  <si>
    <t>Duplicate 1 source C with same path</t>
  </si>
  <si>
    <t>BYD_Carbon_ESP93_Int\MainstreamF30\rb\as\core\app\net\RBNetSAS\src\RBNetSAS_Rx_Lws_Standard.c</t>
  </si>
  <si>
    <t>LI Zhiyuan (CC-AS/EVA-SW31-CN)</t>
  </si>
  <si>
    <t>GAC_ESPHevX_HADHAP_Int\CNMSHevXHADHAP\rb\as\gaig\core\app\dcom\RBAPLCust\src\ESP\RBAPLCUST_RoutineControl_SteeringAngleSensorCalibration.c</t>
  </si>
  <si>
    <t>GAC_ESPHevX_HADHAP_Int</t>
  </si>
  <si>
    <t>GAC_ESPHevX_HADHAP_Int\CNMSHevXHADHAP\rb\as\gaig\core\app\dcom\RBAPLCust\src\ESP\RBAPLCUST_RoutineControl_INSCalibration.c</t>
  </si>
  <si>
    <t>CHERY_ESP93_CMP_RBEI_INTEGRATION\MainstreamF30\rb\as\core\app\dhp\src\RBDHP_HighSystemPressureProtection.c</t>
  </si>
  <si>
    <t>CHERY_ESP93_CMP_RBEI_INTEGRATION</t>
  </si>
  <si>
    <t>Resmi George (RBEI/ESC1)</t>
  </si>
  <si>
    <t>CHERY_ESP93_CMP_RBEI_INTEGRATION\MainstreamF30\rb\as\core\app\dhp\src\RBDHP_PumpMotorActuationTimeLimitation.c</t>
  </si>
  <si>
    <t>[No1]: cannot cover false case MCDC at line 124 
[No2]: cannot cover false case at line 155 because limited at condition line 135
[No3]: Cannot cover false case at line 188 because limited at condition line 168</t>
  </si>
  <si>
    <t>CHERY_ESP93_CMP_RBEI_INTEGRATION\MainstreamF30\rb\as\core\app\dhp\src\RBDHP_StateMachine.c</t>
  </si>
  <si>
    <r>
      <t xml:space="preserve">[No1]: cannot cover condition at line 178 because cannot control local variable </t>
    </r>
    <r>
      <rPr>
        <sz val="10"/>
        <color rgb="FFFF0000"/>
        <rFont val="Arial"/>
        <family val="2"/>
      </rPr>
      <t>TimeOutForinitialPlungerPosition</t>
    </r>
    <r>
      <rPr>
        <sz val="10"/>
        <color theme="1"/>
        <rFont val="Arial"/>
        <family val="2"/>
      </rPr>
      <t xml:space="preserve">, </t>
    </r>
    <r>
      <rPr>
        <sz val="10"/>
        <color rgb="FFFF0000"/>
        <rFont val="Arial"/>
        <family val="2"/>
      </rPr>
      <t xml:space="preserve">TimeOutForinitialPlungerPosition </t>
    </r>
    <r>
      <rPr>
        <sz val="10"/>
        <color theme="1"/>
        <rFont val="Arial"/>
        <family val="2"/>
      </rPr>
      <t>always equal to 1</t>
    </r>
  </si>
  <si>
    <t>CHERY_ESP93_CMP_RBEI_INTEGRATION\MainstreamF30\rb\as\core\app\dhp\src\RBDHP_ValveActuationTimeLimitation.c</t>
  </si>
  <si>
    <t>[No1]: cannot cover false case at line 684 because limited by condition at line 675
[No2]: cannot cover false case MCDC at line 449 because limited with condition at line 440</t>
  </si>
  <si>
    <t>CHERY_ESP93_CMP_RBEI_INTEGRATION\MainstreamF30\rb\as\cnms_core\app\dsm\DemVar\src\Dem_VarCode_PRJ.c</t>
  </si>
  <si>
    <t>CHERY_ESP93_CMP_RBEI_INTEGRATION\MainstreamF30\rb\as\cnms_core\app\dsm\DemVar\src\Dem_VarCodeHandling.c</t>
  </si>
  <si>
    <t>CHERY_ESP93_CMP_RBEI_INTEGRATION\MainstreamF30\rb\as\cherycmp\core\app\dcom\RBAPLCust\src\ESP\RBAPLCUST_RoutineControl_ConditionCheck.c</t>
  </si>
  <si>
    <t>BYD_IPB_BL05_Int\BYDIPB\rba\Bldr\config\ApplicationLayer\rba_BldrCmp\src\rba_BldrCmp_Cfg_FlashIf.c</t>
  </si>
  <si>
    <t>Priyanka Perumal (RBEI/EBB7)</t>
  </si>
  <si>
    <t>At line 57 cannot cover MCDC case False because absoluteAddress_u32 always is greater than rba_BldrCmp_Logical…….segment_begin.</t>
  </si>
  <si>
    <t>BYD_IPB_BL05_Int\BYDIPB\rba\Bldr\config\ApplicationLayer\rba_BldrCmp\src\rba_BldrCmp_Cfg_Functions.c</t>
  </si>
  <si>
    <t xml:space="preserve">[No1] at line 308 cannot cover false case because retValue always is set equal to E_OK
[No2] at line 98 can not cover case true because switch case always jump to default case and *length_pu16 always is set equal to Zero =&gt; Line 98 always false
</t>
  </si>
  <si>
    <t>BYD_IPB_BL05_Int\BYDIPB\rba\Bldr\config\ApplicationLayer\rba_BldrCmp\src\rba_BldrCmp_Cfg_SecA.c</t>
  </si>
  <si>
    <t xml:space="preserve">[No1] at line 34 switch case always jump to default case, please recheck </t>
  </si>
  <si>
    <t>DearCC_RBEI_ESP93CP_Carbon_Int\MainstreamF30\rb\as\cnms_core\app\dsm\RBVAR\src\RBVAR_SystemStateManagement_COMMON.c</t>
  </si>
  <si>
    <t>DearCC_RBEI_ESP93CP_Carbon_Int</t>
  </si>
  <si>
    <t>Geely_Beryllium2_Int\MainstreamF30\rb\as\core\app\dcom\RBAPLEOL\src\RBAPLEOL_ActuatorDynamicTest.c</t>
  </si>
  <si>
    <t>Geely_Beryllium2_Int</t>
  </si>
  <si>
    <t>Geely_Beryllium2_Int\MainstreamF30\rb\as\core\app\dcom\RBAPLEOL\src\RBAPLEOL_ExtendedDynamicTest.c</t>
  </si>
  <si>
    <t>Can't cover full MCDC (((F &amp;&amp; ?) &amp;&amp; ?) || (T &amp;&amp; T)) at line #427. Because of condition "(l_LoopCnt &lt; g_EOLParamBuffer_PUB[4])" at line #427 and condition "(l_LoopCnt &lt; g_EOLParamBuffer_PUB[4])" at line #431 can’t be concurrent with false or true</t>
  </si>
  <si>
    <t>Geely_Beryllium2_Int\MainstreamF30\rb\as\core\app\dcom\RBAPLEOL\src\RBAPLEOL_PumpMotorErrorState.c</t>
  </si>
  <si>
    <t>Geely_Beryllium2_Int\MainstreamF30\rb\as\core\app\dcom\RBAPLEOL\src\RBAPLEOL_PumpSDTimeTest.c</t>
  </si>
  <si>
    <t>Geely_Beryllium2_Int\MainstreamF30\rb\as\core\app\dcom\RBAPLEOL\src\RBAPLEOL_ValvesToggling.c</t>
  </si>
  <si>
    <t>Geely_Beryllium2_OBD_China6_Int\MainstreamF30\rb\as\core\app\dcom\RBAPLEOL\src\RBAPLEOL_ActuatorDynamicTest.c</t>
  </si>
  <si>
    <t>Geely_Beryllium2_OBD_China6_Int</t>
  </si>
  <si>
    <t>Geely_Beryllium2_OBD_China6_Int\MainstreamF30\rb\as\core\app\dcom\RBAPLEOL\src\RBAPLEOL_ExtendedDynamicTest.c</t>
  </si>
  <si>
    <t>Can't cover full MCDC at line #314 because RBAPLHELP_isExtSessionActive_B() is not show to be effective.
Can't cover full MCDC at line #426 because Operand l_LoopCnt &lt; (g_EOLParamBuffer_PUB)[4] was not shown to be effective in expression.</t>
  </si>
  <si>
    <t>Owner said it's OK (This is not an issue)
Walkthrough updated</t>
  </si>
  <si>
    <t>Geely_Beryllium2_OBD_China6_Int\MainstreamF30\rb\as\core\app\dcom\RBAPLEOL\src\RBAPLEOL_PumpMotorErrorState.c</t>
  </si>
  <si>
    <t>Geely_Beryllium2_OBD_China6_Int\MainstreamF30\rb\as\core\app\dcom\RBAPLEOL\src\RBAPLEOL_PumpSDTimeTest.c</t>
  </si>
  <si>
    <t>Geely_Beryllium2_OBD_China6_Int\MainstreamF30\rb\as\core\app\dcom\RBAPLEOL\src\RBAPLEOL_ValvesToggling.c</t>
  </si>
  <si>
    <t>ChangAn_ESP_Carbon_Int\MainstreamF30\rb\as\ca\core\app\dcom\RBAPLCust\src\ESP\RBAPLCUST_CA_RDBI_WDBI_VAFFncSwitch.c</t>
  </si>
  <si>
    <t>ChangAn_ESP_Carbon_Int</t>
  </si>
  <si>
    <t>ZHANG Chao (CC-AS/EVA-SW32-CN)</t>
  </si>
  <si>
    <t>JAC_ESP93_Carbon_Int\MainstreamF30\rba\Bldr\config\ApplicationLayer\rba_BldrCmp\src\rba_BldrCmp_Cfg_CheckMem.c</t>
  </si>
  <si>
    <t>JAC_ESP93_Carbon_Int</t>
  </si>
  <si>
    <t>Devi Priya Premkumar (RBEI/EBB7)</t>
  </si>
  <si>
    <t>JAC_ESP93_Carbon_Int\MainstreamF30\rba\Bldr\config\ApplicationLayer\rba_BldrCmp\src\rba_BldrCmp_Cfg_Com.c</t>
  </si>
  <si>
    <t>JAC_ESP93_Carbon_Int\MainstreamF30\rba\Bldr\config\ApplicationLayer\rba_BldrCmp\src\rba_BldrCMP_Cfg_CRC.c</t>
  </si>
  <si>
    <t>JAC_ESP93_Carbon_Int\MainstreamF30\rba\Bldr\config\Infrastruct\TestEnv\src\rba_BldrCmp_Cfg_DebugSupport.c</t>
  </si>
  <si>
    <t>JAC_ESP93_Carbon_Int\MainstreamF30\rba\Bldr\config\ApplicationLayer\rba_BldrCmp\src\rba_BldrCmp_Cfg_FlashIf.c</t>
  </si>
  <si>
    <t>Can’t cover full MCDCs at line #46 Because absoluteAddress_u32 &gt;= rba_BldrCmp_LogicalBlockTable_pst[rba_BldrCmp_BootCtrl_st.LogicalBlockIdx].BlockSegTable[rba_BldrCmp_BootCtrl_st.LogBlkCurSegment_u8].segment_begin is always TRUE</t>
  </si>
  <si>
    <t>JAC_ESP93_Carbon_Int\MainstreamF30\rba\Bldr\config\ApplicationLayer\rba_BldrCmp\src\rba_BldrCmp_Cfg_Functions.c</t>
  </si>
  <si>
    <t>Can’t cover TRUE case of MCDCs at line #46 Because it’s always FALSE.
Can’t cover full MCDCs at line #275 Because it’s always TRUE.</t>
  </si>
  <si>
    <t>JAC_ESP93_Carbon_Int\MainstreamF30\rba\Bldr\config\ApplicationLayer\rba_BldrCmp\src\rba_BldrCmp_Cfg_NvmIf.c</t>
  </si>
  <si>
    <t>JAC_ESP93_Carbon_Int\MainstreamF30\rba\Bldr\config\ApplicationLayer\rba_BldrCmp\src\rba_BldrCmp_Cfg_PrjFunctions.c</t>
  </si>
  <si>
    <t>JAC_ESP93_Carbon_Int\MainstreamF30\rba\Bldr\config\ApplicationLayer\rba_BldrCmp\src\rba_BldrCmp_Cfg_SecA.c</t>
  </si>
  <si>
    <t>JAC_ESP93_Carbon_Int\MainstreamF30\rba\Bldr\config\Infrastruct\TestEnv\src\rba_BldrCmp_Cfg_TestServices.c</t>
  </si>
  <si>
    <t>JAC_ESP93_Carbon_Int\MainstreamF30\rba\Bldr\config\Infrastruct\TestEnv\src\rba_BldrCmp_Cfg_TestServices_TaskMon.c</t>
  </si>
  <si>
    <t>JAC_ESP93_Carbon_Int\MainstreamF30\rba\Bldr\config\Infrastruct\TestEnv\src\rba_BldrCmp_Cfg_TestStackEval.c</t>
  </si>
  <si>
    <t>[No1]: can not cover false case at line 96 and line 108 because limited at line 93 and line 105
[No2]: cannot cover false case at line 173 because limited at line 167
[No3]: Cannot cover false case at line 179 because cannot control value at line 150 and 155</t>
  </si>
  <si>
    <t>FAW_L3_MainPath_HevX_Int\CNMSESPHevX\rb\as\fawesphevx\fawcore\app\dsm\RBHMI\src\RBHMI_ConfigOutputDriver_PRJ.c</t>
  </si>
  <si>
    <t>FAW_L3_MainPath_HevX_Int</t>
  </si>
  <si>
    <t>YANG Zhongjian (CC-AS/EVA-SW2-CN)</t>
  </si>
  <si>
    <t>FAW_L3_MainPath_HevX_Int\CNMSESPHevX\rb\as\fawesphevx\fawcore\app\dsm\RBHMI\src\RBHMI_ExtStateCalculation_PRJ.c</t>
  </si>
  <si>
    <t>GAC_ESP93CP_Carbon_Int\MainstreamF30\rb\as\gaig\A12ESP\app\dsm\RBVAR\BB_81262A20CP\src\RBVAR_OutputDriver_PROJECT.c</t>
  </si>
  <si>
    <t>99503; 81262; 81565; 81708</t>
  </si>
  <si>
    <t>WANG Shuaishuai (CC-AS/EVA-SW31-CN)</t>
  </si>
  <si>
    <t>GAC_ESP93CP_Carbon_Int\MainstreamF30\rb\as\gaig\A12ESP\app\dsm\RBVAR\BB_81708A20HD\src\RBVAR_OutputDriver_PROJECT.c</t>
  </si>
  <si>
    <t>GAC_ESP93CP_Carbon_Int\MainstreamF30\rb\as\gaig\A12ESP\app\dsm\RBVAR\BB_81565XR5\src\RBVAR_OutputDriver_PROJECT.c</t>
  </si>
  <si>
    <t>GAC_ESP93CP_Carbon_Int\MainstreamF30\rb\as\gaig\A12ESP\app\dsm\RBVAR\BB_99503A18CP\src\RBVAR_OutputDriver_PROJECT.c</t>
  </si>
  <si>
    <t>GAC_ESP93CP_Int\MainstreamF30\rb\as\gaig\A10\app\dsm\RBVAR\src\RBVAR_IDDefinitionTable_PROJECT.c</t>
  </si>
  <si>
    <t>GAC_ESP93CP_Int</t>
  </si>
  <si>
    <t>MIAO Huafeng (CC-AS/EVA-SW32-CN)</t>
  </si>
  <si>
    <t>GAC_ESP93CP_Int\MainstreamF30\rb\as\gaig\A10\app\dsm\RBVAR\src\RBVAR_SystemStateManagement_PROJECT.c</t>
  </si>
  <si>
    <t>BYD_IPB_BL05_Int\BYDIPB\rb\as\BYD\ipb\app\net\RBScl_CBS\src\RBScl_CBS_prjCalculation.c</t>
  </si>
  <si>
    <t>BYD_IPB_BL05_Int\BYDIPB\rb\as\BYD\ipb\app\net\RBScl_CBS\src\RBScl_CBDS_prjDataPool.c</t>
  </si>
  <si>
    <t>BYD_IPB_BL05_Int\BYDIPB\rb\as\BYD\ipb\app\net\RBScl_CBS\src\RBScl_CBS_DemInterface.c</t>
  </si>
  <si>
    <t xml:space="preserve">- Cannot cover case 1 1 1 0 1 0 1 of MCDC at line 94. Because this case requires HSH_TTI is different with 6 and equal to 6 at the same time
</t>
  </si>
  <si>
    <t>FAW_E111_ESPHevX_Int\CNMSESPHevX\rb\as\faw\core\app\net\RBScl\src\ComScl_Scl_ComlexSignal_Callout.c</t>
  </si>
  <si>
    <t>FAW_E111_ESPHevX_Int</t>
  </si>
  <si>
    <t xml:space="preserve">WANG Yicheng (CC-AS/EVA-SW33-CN) </t>
  </si>
  <si>
    <t>Lacking ComponentName</t>
  </si>
  <si>
    <t>FAW_E111_ESPHevX_Int\CNMSESPHevX\rb\as\faw\core\app\net\RBScl\src\NET_Monitoring.c</t>
  </si>
  <si>
    <t>Actual LOC is 303; Lacking ComponentName</t>
  </si>
  <si>
    <t>FAW_E111_ESPHevX_Int\CNMSESPHevX\rb\as\faw\core\app\net\RBScl\src\NET_PostrunHMIStrategy_FAW.c</t>
  </si>
  <si>
    <t>FAW_E111_ESPHevX_Int\CNMSESPHevX\rb\as\cnms_core\app\dcom\RBAPLCust\src\common\RBAPLCUST_RBDI_NVMData_FAW.c</t>
  </si>
  <si>
    <t>ZHENG Fangfang (CC-AS/EVA-SW33-CN)</t>
  </si>
  <si>
    <t>FAW_E111_ESPHevX_Int\CNMSESPHevX\rb\as\cnms_core\app\dcom\RBAPLCust\src\common\RBAPLCUST_WDBI_NVMData.c</t>
  </si>
  <si>
    <t>FAW_E111_ESPHevX_Int\CNMSESPHevX\rb\as\faw\core\app\dsm\RBHMI\src\RBHMI_ConfigOutputDriver_PRJ.c</t>
  </si>
  <si>
    <t>LIU Felix (CC-AS/EVA-SW33-CN)</t>
  </si>
  <si>
    <t>FAW_E111_ESPHevX_Int\CNMSESPHevX\rb\as\faw\prj\dsmpr\src\RBHMI\src\RBHMI_LDMLamp_FAW.C</t>
  </si>
  <si>
    <t>Geely_FE3AH_CB_Carbon_Int\MainstreamF30\rba\Bldr\config\ApplicationLayer\rba_BldrCmp\src\rba_BldrCmp_Cfg_CheckMem.c</t>
  </si>
  <si>
    <t>BB81720</t>
  </si>
  <si>
    <t>Geely_FE3AH_CB_Carbon_Int</t>
  </si>
  <si>
    <t>Deepika Rangarajan (RBEI/EBB7)</t>
  </si>
  <si>
    <t>Ready for PLC</t>
  </si>
  <si>
    <t>Geely_FE3AH_CB_Carbon_Int\MainstreamF30\rba\Bldr\config\ApplicationLayer\rba_BldrCmp\src\rba_BldrCmp_Cfg_FlashIf.c</t>
  </si>
  <si>
    <t>Geely_FE3AH_CB_Carbon_Int\MainstreamF30\rba\Bldr\config\ApplicationLayer\rba_BldrCmp\src\rba_BldrCmp_Cfg_Functions.c</t>
  </si>
  <si>
    <t>Can’t cover C0, C1 for case TRUE of condition at line#112, because it always FALSE</t>
  </si>
  <si>
    <t>Owner confirm it's OK (There is no impact for project functionality)</t>
  </si>
  <si>
    <t>Geely_FE3AH_CB_Carbon_Int\MainstreamF30\rba\Bldr\config\ApplicationLayer\rba_BldrCmp\src\rba_BldrCmp_Cfg_NvmIf.c</t>
  </si>
  <si>
    <t>Can’t cover C0, C1 for case FALSE of condition at line#357, because it always TRUE when variable Direction_u8 pass through if statement at line #272</t>
  </si>
  <si>
    <t>Owner confirm it's no impact</t>
  </si>
  <si>
    <t>Geely_FE3AH_CB_Carbon_Int\MainstreamF30\rba\Bldr\config\ApplicationLayer\rba_BldrCmp\src\rba_BldrCmp_Cfg_PrjFunctions.c</t>
  </si>
  <si>
    <t>Geely_FE3AH_CB_Carbon_Int\MainstreamF30\rba\Bldr\config\ApplicationLayer\rba_BldrCmp\src\rba_BldrCmp_Cfg_SecA.c</t>
  </si>
  <si>
    <t>Owner confirm this file will be remove in the task</t>
  </si>
  <si>
    <t>Geely_FE3AH_CB_Carbon_Int\MainstreamF30\rba\Bldr\sbl\src\rba_sbl_main.c</t>
  </si>
  <si>
    <t>rba_sbl_main.c</t>
  </si>
  <si>
    <t>can’t cover function Chec_reprog_req() at line #75. Because it have a forever loop at line #99.</t>
  </si>
  <si>
    <t>BYD_ESP93_Int\MainstreamF30\rb\as\BYD\Mainstream151\app\dsm\RBVAR\src\RBVAR_IDDefinitionTable_PROJECT.c</t>
  </si>
  <si>
    <t>BB80912</t>
  </si>
  <si>
    <t>BYD_ESP93_Int</t>
  </si>
  <si>
    <t>BYD_ESP93_Int\MainstreamF30\rb\as\BYD\Mainstream151\app\dsm\RBVAR\src\RBVAR_OutputDriver_PROJECT.c</t>
  </si>
  <si>
    <t>BYD_ESP93_Int\MainstreamF30\rb\as\BYD\Mainstream151\app\dsm\RBVAR\src\RBVAR_SystemStateManagement_PROJECT.c</t>
  </si>
  <si>
    <t>BYD_ESP93_Int\MainstreamF30\rb\as\BYD\Mainstream151\app\dsm\RBVAR\src\RBVAR_VarCode_PROJECT.c</t>
  </si>
  <si>
    <t>SAIC_EP_CMP_ESPHevX_Int\ESPhevXSAICEP\rb\as\ESPhevX\saicep\app\dsm\RBVAR\src\RBVAR_IDDefinitionTable_PROJECT.c</t>
  </si>
  <si>
    <t>BB81182</t>
  </si>
  <si>
    <t>BSS04_SP01</t>
  </si>
  <si>
    <t>SAIC_EP_CMP_ESPHevX_Int</t>
  </si>
  <si>
    <t>SONG Yaping (CC-AS/EVA-SW3-CN)</t>
  </si>
  <si>
    <t>SAIC_EP_CMP_ESPHevX_Int\ESPhevXSAICEP\rb\as\ESPhevX\saicep\app\dsm\RBVAR\src\RBVAR_SystemStateManagement_PROJECT.c</t>
  </si>
  <si>
    <t>SAIC_EP_CMP_ESPHevX_Int\ESPhevXSAICEP\rb\as\ESPhevX\saicep\app\dsm\RBVAR\src\RBVAR_VarCode_PROJECT.c</t>
  </si>
  <si>
    <t>Actual LOC is 278, not 34</t>
  </si>
  <si>
    <t>GAC_ESPHevX_HADHAP_Int\CNMSHevXHADHAP\rb\as\gaig\core\app\dsm\RBVAR\BB99308A18FPA\src\RBVAR_OutputDriver_PROJECT.c</t>
  </si>
  <si>
    <t>CHEN Xiaomin (CC-AS/EVA-SW31-CN)</t>
  </si>
  <si>
    <t>GAC_ESPHevX_HADHAP_Int\CNMSHevXHADHAP\rb\as\gaig\core\app\dsm\RBVAR\BB99308A18FPA\src\RBVAR_VarCode_PROJECT.c</t>
  </si>
  <si>
    <t>SGMW_ESP93_Carbon_Int\MainstreamF30\rb\as\sgmw\CN210S\app\net\RBScl\RBScl_SGMW\src\SGMW_RBA_NDS_SystemInfo_Callout.c</t>
  </si>
  <si>
    <t>SGMW_RBA_NDS_SystemInfo_Callout.c</t>
  </si>
  <si>
    <t>BB81377</t>
  </si>
  <si>
    <t>BSS03_SP1</t>
  </si>
  <si>
    <t>SGMW_ESP93_Carbon_Int</t>
  </si>
  <si>
    <t>BAO Eric (CC-AS/EVA-SW32-CN)</t>
  </si>
  <si>
    <t>SGMW_ESP93_Carbon_Int\MainstreamF30\rb\as\sgmw\CN210S\app\net\RBScl\RBScl_SGMW\src\NET_SCL_Rx_SGMW_RemoteControl.c</t>
  </si>
  <si>
    <t>NET_SCL_Rx_SGMW_RemoteControl.c</t>
  </si>
  <si>
    <t>BB81116 / BB81175</t>
  </si>
  <si>
    <t>Actual LOC is 636, not 332</t>
  </si>
  <si>
    <t>GAC_ESPHevX_HADHAP_Int\CNMSHevXHADHAP\rb\as\core\app\espibooster_interface\net\src\RBNET_ESPiB_Monitoring.c</t>
  </si>
  <si>
    <t>RBNET_ESPiB_Monitoring.c</t>
  </si>
  <si>
    <t>ZHOU Xiaoxi (CC-AS/EVA-SW31-CN)</t>
  </si>
  <si>
    <t>Pending for OPL</t>
  </si>
  <si>
    <t>Can't cover full MCDCs at line #102, line #112 and #133 because all of them are macros, thus if statements are always TRUE</t>
  </si>
  <si>
    <t>Owner confirm it isn't need to do UT
It’s OK, this part is followed CNMS
WT was updated</t>
  </si>
  <si>
    <t>ASW</t>
  </si>
  <si>
    <t>FAW_RBF_usedBrakeChannel</t>
  </si>
  <si>
    <t>RBF_Main_ECU_CSW_BB00001.axl</t>
  </si>
  <si>
    <t>1.0</t>
  </si>
  <si>
    <t>JI Xin (CC-AS/EYB1-CN)</t>
  </si>
  <si>
    <t>- Tool issue.</t>
  </si>
  <si>
    <t>CNMS_ESP_Carbon_Int\MainstreamF30\rb\as\rbcn\core\app\dcom\RBAPLCust\src\ESP\</t>
  </si>
  <si>
    <t>CNMS_ESP_Carbon_Int</t>
  </si>
  <si>
    <t>LU Martin (CC-AS/ESW2-CN)</t>
  </si>
  <si>
    <t>e</t>
  </si>
  <si>
    <t xml:space="preserve">VlcLsm_InitialMnvrStartIndcn_ReleasePLock </t>
  </si>
  <si>
    <t>YU Yichi (CC/PJ-AD-EYM-CN)</t>
  </si>
  <si>
    <t>Can’t cover MCDC for case T-F-X of condition at line#12, because it conflict with condition at line#4.</t>
  </si>
  <si>
    <t>Owner confirm it not affect.
- dSD not update.</t>
  </si>
  <si>
    <t xml:space="preserve">VlcLsm_DrvDirChangeSftyEval </t>
  </si>
  <si>
    <t>1.2.147.1</t>
  </si>
  <si>
    <t>- dSD not update.</t>
  </si>
  <si>
    <t xml:space="preserve">VlcLsm_InitialMnvrStartIndcn </t>
  </si>
  <si>
    <t>1.0.147.1</t>
  </si>
  <si>
    <t xml:space="preserve">1. Condition (VlcLsmMainReq == ReqMainState_Standstill) at line #14 cant show its influence due to it conflicts with decision at line #6.
2. Condition (VlcLsmMainReq == ReqMainState_Standstill) at line #29 cant show its influence due to it conflicts with decision at line #25.
</t>
  </si>
  <si>
    <t>VlcLsm_ParkLockSafetyEval</t>
  </si>
  <si>
    <t>1.5.147.0</t>
  </si>
  <si>
    <t>2WP_ABS10.3ME_SUZUKI_XE431_Carbon_Migration_Stream\ABS_103_ME_SMC\rba\Bldr\config\Infrastruct\CubasAdapter\src\</t>
  </si>
  <si>
    <t>CubasAdapter.c</t>
  </si>
  <si>
    <t>2WP_ABS10.3ME_SUZUKI_XE431_Carbon_Migration_Stream</t>
  </si>
  <si>
    <t>Nguyen Minh Khoi (RBVH/EJV42)</t>
  </si>
  <si>
    <t>Ready for review</t>
  </si>
  <si>
    <t>2WP_ABS10.3ME_SUZUKI_XE431_Carbon_Migration_Stream\ABS_103_ME_SMC\rba\Bldr\config\MemStack\Fls\src\</t>
  </si>
  <si>
    <t>Fls_Cfg.c</t>
  </si>
  <si>
    <t>2WP_ABS10.3ME_SUZUKI_XE431_Carbon_Migration_Stream\ABS_103_ME_SMC\rba\Bldr\config\Infrastruct\Stubs\src\</t>
  </si>
  <si>
    <t>HWPStubs.c</t>
  </si>
  <si>
    <t>2WP_ABS10.3ME_SUZUKI_XE431_Carbon_Migration_Stream\ABS_103_ME_SMC\rba\Bldr\bldr\src\</t>
  </si>
  <si>
    <t>rba_Bldr_main.c</t>
  </si>
  <si>
    <t>Can’t cover for true case of condition at line#88, because it have a forever loop at line#167.</t>
  </si>
  <si>
    <t>2WP_ABS10.3ME_SUZUKI_XE431_Carbon_Migration_Stream\ABS_103_ME_SMC\rba\Bldr\comps\ApplicationLayer\rba_BldrCmp\src\</t>
  </si>
  <si>
    <t>rba_BldrCmp_18ReadDTCByStatus.c</t>
  </si>
  <si>
    <t>rba_BldrCmp_1AReadECUIdentification.c</t>
  </si>
  <si>
    <t>-Duplicate Condition</t>
  </si>
  <si>
    <t>rba_BldrCmp_20StopDiagnosticSessionControl.c</t>
  </si>
  <si>
    <t>rba_BldrCMP_27SecurityAccess.c</t>
  </si>
  <si>
    <t>- Condition always true</t>
  </si>
  <si>
    <t>Cannot cover branch "else" at line #155</t>
  </si>
  <si>
    <t>rba_BldrCmp_3BWriteDataByLocalIdentifier.c</t>
  </si>
  <si>
    <t xml:space="preserve">Can’t cover MCDC for case T-F of condition line#132 because func_b is always equa tol FALSE (line#102).
Can’t cover MCDC for case F- X of condition at line#142 because func_b is always equal to FALSE, so when nvmif_b is equal  to FALSE , condition at line#132 is true , NRC_u8 is equal to DCM_E_SUBFUNCTIONNOTSUPPORTED (0x12).
Condition at line#138 is false , we can’t reach to condition at line#142.
Similar to MCDC case T-F of condition at line#142. nvmif_b is equal  to TRUE when condition at line#87 is true .  rba_BldrCmp_WDBI_ListIdx_u8 equal i and i is less than RBA_BLDRCMP_WDBI_NoWriteDidByNvmidListEntries (0x02).
</t>
  </si>
  <si>
    <t>rba_BldrCmp_3ETesterPresent.c</t>
  </si>
  <si>
    <t>rba_BldrCmp_4D4NMHandler.c</t>
  </si>
  <si>
    <t>rba_BldrCmp.c</t>
  </si>
  <si>
    <t>- Can't cover for function Std_ReturnType rba_BldrCmp_Cfg_CheckMem_Init(rba_BldrCmp_Check_tst* rba_BldrCmp_Check_pst).
- Owner confirms that we can ignore it.</t>
  </si>
  <si>
    <t>Cannot cover branch if (*length_pu16 &gt; maxLength_u16) at line #93, 
Cannot cover branch if (retValue == E_OK) at line #229</t>
  </si>
  <si>
    <t>rba_BldrCmp_Cfg_SyncEaWrapper.c</t>
  </si>
  <si>
    <t>rba_BldrCmp_Cfg_SyncFEEWrapper.c</t>
  </si>
  <si>
    <t>2WP_ABS10.3ME_SUZUKI_XE431_Carbon_Migration_Stream\ABS_103_ME_SMC\rba\Bldr\config\Infrastruct\TestEnv\src\</t>
  </si>
  <si>
    <t>rba_BldrCmp_Cfg_TestServices_SVM.c</t>
  </si>
  <si>
    <t>rba_BldrCmp_CheckMemTask.c</t>
  </si>
  <si>
    <t>rba_BldrCmp_Task_SADelayTimer.c</t>
  </si>
  <si>
    <t>2WP_ABS10.3ME_SUZUKI_XE431_Carbon_Migration_Stream\ABS_103_ME_SMC\rba\Bldr\config\ComplexDeviceDriver\rba_BldrFlsDrv\src\</t>
  </si>
  <si>
    <t>rba_BldrFlsDrv_Cfg.c</t>
  </si>
  <si>
    <t>- Can't cover for function Std_ReturnType rba_BldrFlsDrv_Cfg_Write (void) because address of canCore_pvst and  txbufflocal_pvst are fixed.</t>
  </si>
  <si>
    <t>2WP_ABS10.3ME_SUZUKI_XE431_Carbon_Migration_Stream\ABS_103_ME_SMC\rba\Bldr\comps\ApplicationLayer\rba_BldrMemCpy\src\</t>
  </si>
  <si>
    <t>rba_BldrMemCpy.c</t>
  </si>
  <si>
    <t>2WP_ABS10.3ME_SUZUKI_XE431_Carbon_Migration_Stream\ABS_103_ME_SMC\rba\Bldr\comps\ComplexDeviceDriver\rba_BldrSVM\src\</t>
  </si>
  <si>
    <t>rba_BldrSVM.c</t>
  </si>
  <si>
    <t>- Can't cover for function rba_BldrSVM_state_tst rba_BldrSVM_GetValidity(void) because address of (uint8 *)RBA_BLDRSVM_CFG_BLOCKADDRESS is fixed.</t>
  </si>
  <si>
    <t>2WP_ABS10.3ME_SUZUKI_XE431_Carbon_Migration_Stream\ABS_103_ME_SMC\rba\Bldr\bmgr\src\</t>
  </si>
  <si>
    <t>rba_Bmgr_main.c</t>
  </si>
  <si>
    <t>- Can’t cover endless loop at line #64.</t>
  </si>
  <si>
    <t>GWM_CP_RBVH_Stream_Int\rb\as\gwm\core\app\net\scl\LDMFunctions\SCM\src\</t>
  </si>
  <si>
    <t>GWM_NET_SCL_Rx_SCM.c</t>
  </si>
  <si>
    <t>BSS04SP4</t>
  </si>
  <si>
    <t>GWM_CP_RBVH_Stream_Int</t>
  </si>
  <si>
    <t>Ngo Nhat Tan (RBVH/EAS12)</t>
  </si>
  <si>
    <t>AEB_DriverAccelerates</t>
  </si>
  <si>
    <t>BB81615</t>
  </si>
  <si>
    <t>BL03</t>
  </si>
  <si>
    <t>AEB_ECU_CSW_BB00001</t>
  </si>
  <si>
    <t>4.2.1.0</t>
  </si>
  <si>
    <t>LI Ranran (CC-AS/EVA-SW2-CN)</t>
  </si>
  <si>
    <t>SAIC_A_ARCH_CMP_ESP93_RBVH_Carbon_Int\MainstreamF30\rba\Bldr\config\ApplicationLayer\rba_BldrCmp\src\rba_BldrCmp_Cfg_FlashIf.c</t>
  </si>
  <si>
    <t>BB81403</t>
  </si>
  <si>
    <t>BSS03SP01</t>
  </si>
  <si>
    <t>SAIC_A_ARCH_CMP_ESP93_RBVH_Carbon_Int</t>
  </si>
  <si>
    <t>Thangamani Shanmugam (RBEI/EBB7)</t>
  </si>
  <si>
    <t>SAIC_A_ARCH_CMP_ESP93_RBVH_Carbon_Int\MainstreamF30\rba\Bldr\config\Infrastruct\rba_AS_HWProt\src\rba_AS_HWProt.c</t>
  </si>
  <si>
    <t>rba_AS_HWProt.c</t>
  </si>
  <si>
    <t>Geely_Beryllium2_Int\MainstreamF30\rb\as\geely\project\app\dsm\RBHMI\src\RBHMI_Synchronisation_F30.C</t>
  </si>
  <si>
    <t>RBHMI_Synchronisation_F30.c</t>
  </si>
  <si>
    <t>ZHANG Guorong (CC-AS/EVA-SW32-CN)</t>
  </si>
  <si>
    <t>FAW_MainPath_Int\MainstreamFAW\rba\Bldr\config\ApplicationLayer\rba_BldrCmp\src\rba_BldrCmp_Cfg_CheckMem.c</t>
  </si>
  <si>
    <t>BB99860</t>
  </si>
  <si>
    <t>BL43</t>
  </si>
  <si>
    <t>FAW_MainPath_Int</t>
  </si>
  <si>
    <t>NGUYEN LY THINH QUANG (RBVH/EAS12)</t>
  </si>
  <si>
    <t>Can’t cover FALSE case at line #246. Because of when the condition at line #200 is FALSE, the condition at line #246 cannot be the FALSE case.</t>
  </si>
  <si>
    <t>FAW_MainPath_Int\MainstreamFAW\rb\as\fawMP\fawcore\app\dcom\RBAPLCust\src\RBAPLCUST_RBDI_NVMData.c</t>
  </si>
  <si>
    <t>Support testing on 20200511</t>
  </si>
  <si>
    <t>BAIC_ESP93CPi_RC_Init\MainstreamF30\rb\as\baic\core\app\dcom\RBAPLCust\src\RBAPLCUST_RBDI_NVMData.c</t>
  </si>
  <si>
    <t>BB82308</t>
  </si>
  <si>
    <t>BL01</t>
  </si>
  <si>
    <t>BAIC_ESP93CPi_RC_Init</t>
  </si>
  <si>
    <t>Nguyen Minh Phi (RBVH/EAS12)</t>
  </si>
  <si>
    <t>BAIC_ESP93CPi_RC_Init\MainstreamF30\rb\as\baic\core\app\dcom\RBAPLCust\src\RBAPLCUST_WDBI_NVMData.c</t>
  </si>
  <si>
    <t>BAIC_ESP93CPi_RC_Init\MainstreamF30\rb\as\baic\CpiwAPB\app\dsm\RBVAR\src\RBVAR_OutputDriver_PROJECT.c</t>
  </si>
  <si>
    <t>BAIC_ESP93CPi_RC_Init\MainstreamF30\rb\as\baic\CpiwAPB\app\net\RbNetPrj\RBNet_Can\src\NET_AliveCounterLib_CNMS.c</t>
  </si>
  <si>
    <t>NET_AliveCounterLib_CNMS.c</t>
  </si>
  <si>
    <t>BAIC_ESP93CPi_RC_Init\MainstreamF30\rb\as\baic\CpiwAPB\app\net\RbNetPrj\RBNet_Can\src\NET_CheckSumLib_CNMS.c</t>
  </si>
  <si>
    <t>BAIC_ESP93CPi_RC_Init\MainstreamF30\rb\as\baic\CpiwAPB\app\net\RbNetPrj\RBNet_Can\src\NET_MonitoringClasses_F30.c</t>
  </si>
  <si>
    <t>BAIC_ESP93CPi_RC_Init\MainstreamF30\rb\as\baic\CpiwAPB\app\net\RBScl\src\NET_SCL_Rx.c</t>
  </si>
  <si>
    <t>NET_SCL_Rx.c</t>
  </si>
  <si>
    <t>BAIC_ESP93CPi_RC_Init\MainstreamF30\rb\as\baic\CpiwAPB\app\net\RBScl\src\NET_SCL_Tx_APA.c</t>
  </si>
  <si>
    <t>NET_SCL_Tx_APA.c</t>
  </si>
  <si>
    <t>BAIC_ESP93CPi_RC_Init\MainstreamF30\rb\as\baic\CpiwAPB\app\net\RBScl\src\NET_SCL_Tx_APBMi_PRJ.c</t>
  </si>
  <si>
    <t>NET_SCL_Tx_APBMi_PRJ.c</t>
  </si>
  <si>
    <t>BAIC_ESP93CPi_RC_Init\MainstreamF30\rb\as\baic\CpiwAPB\app\net\RBScl\src\NET_SCL_Tx_WheelPulse_APA.c</t>
  </si>
  <si>
    <t>NET_SCL_Tx_WheelPulse_APA.c</t>
  </si>
  <si>
    <t>BAIC_ESP93CPi_RC_Init\MainstreamF30\rb\as\baic\CpiwAPB\dsmpr\src\RBPduHandler_Callouts.c</t>
  </si>
  <si>
    <t>GAC_ESPHevX_HADHAP_Int\CNMSHevXHADHAP\rb\as\gaig\core\app\net\RBScl\src\</t>
  </si>
  <si>
    <t>NET_SCL_GAC_Complex_function.c</t>
  </si>
  <si>
    <t>Cannot cover branch if at line #1290 and line #1339</t>
  </si>
  <si>
    <t xml:space="preserve">Owner confirm it's could be ignore </t>
  </si>
  <si>
    <t>GAC_ESPHevX_HADHAP_Int\CNMSHevXHADHAP\rb\as\cnms_core\app\net\scl_callout\src\</t>
  </si>
  <si>
    <t>-I can’t coverage the false case of l_MMotRedFast_SW &lt; 0   and l_MMotRedSlow_SW &lt; 0   because NETBOUND always make l_MMotRedFast_SW and l_MMotRedSlow_SW     into 0x00 and 0xff</t>
  </si>
  <si>
    <t>GAC_ESPHevX_HADHAP_Int\rb\as\gaig\core\app\net\RBScl\src</t>
  </si>
  <si>
    <t>BB99308</t>
  </si>
  <si>
    <t>GAC_ESP93CP_Carbon_Int\MainstreamF30\rb\as\gaig\A12ESP\app\net\RBScl\RBScl_GAC\src\</t>
  </si>
  <si>
    <t>BB81262 / BB81708</t>
  </si>
  <si>
    <t>NET_SCL_GAC_OBD.c</t>
  </si>
  <si>
    <t>BB81262 / BB81709</t>
  </si>
  <si>
    <t>RB_DNC_SCL_RX_TPMF.c</t>
  </si>
  <si>
    <t>BB81262 / BB81710</t>
  </si>
  <si>
    <t>BB81262 / BB81711</t>
  </si>
  <si>
    <t>GAC_ESP93CP_Carbon_Int\MainstreamF30\rb\as\cnms_core\app\net\scl_callout\src\</t>
  </si>
  <si>
    <t>BB81262 / BB81712</t>
  </si>
  <si>
    <t>GAC_ESP93CP_Carbon_Int\MainstreamF30\rb\as\cnms_core\app\net\scl\Sensors\Steering\src\</t>
  </si>
  <si>
    <t>BB81262 / BB81713</t>
  </si>
  <si>
    <t>GAC_ESP93CP_Carbon_Int\MainstreamF30\rb\as\gaig\core\app\itpms\TPMS_Common_CN\SRC\</t>
  </si>
  <si>
    <t>TPMS_PSW_Interface_COMMON_CN.c</t>
  </si>
  <si>
    <t>BB81262 / BB81714</t>
  </si>
  <si>
    <t>TPMS_Handler_COMMON_CN.c</t>
  </si>
  <si>
    <t>BB81262 / BB81715</t>
  </si>
  <si>
    <t>-Tool issue at line #4015, #4031, #4063, #3632 and #3633</t>
  </si>
  <si>
    <t>GAC_ESP93CP_Carbon_Int\MainstreamF30\rb\as\gaig\core\app\itpms\TPMS_Common_CN\SIM\SRC\</t>
  </si>
  <si>
    <t>WSSALLTIMESTMPS_SIM_CN.c</t>
  </si>
  <si>
    <t>BB81262 / BB81716</t>
  </si>
  <si>
    <t>NextEV_ESPHevX_Int\CNMSESPHevX\rb\as\nio\prj\dsmpr\tst\Sim\STMComponents\src\RBDSM_SWT_DTC.c</t>
  </si>
  <si>
    <t>RBDSM_SWT_DTC.c</t>
  </si>
  <si>
    <t>BB82090</t>
  </si>
  <si>
    <t>BSS04_SP02</t>
  </si>
  <si>
    <t>NextEV_ESPHevX_Int</t>
  </si>
  <si>
    <t>LI Joe (CC-AS/EVA-SW32-CN)</t>
  </si>
  <si>
    <t>Missing "src" at Component Name</t>
  </si>
  <si>
    <t>NextEV_ESPHevX_Int\CNMSESPHevX\rb\as\nio\core\app\net\RBScl\src\NET_SCL_Rx_PEUF_VCU_84_NextEV.c</t>
  </si>
  <si>
    <t>NET_SCL_Rx_PEUF_VCU_84_NextEV.c</t>
  </si>
  <si>
    <t>LI Jiaxing (CC-AS/EVA-SW32-CN)</t>
  </si>
  <si>
    <t>NextEV_ESPHevX_Int\CNMSESPHevX\rb\as\nio\core\app\net\RBScl\src\NET_SCL_Rx_PEUR_VCU_8C_NextEV.c</t>
  </si>
  <si>
    <t>NET_SCL_Rx_PEUR_VCU_8C_NextEV.c</t>
  </si>
  <si>
    <t>DFN_Venucia_ESP93_Carbon_Int\MainstreamF30\rb\as\core\app\dcom\RBAPLEOL\src\RBAPLEOL_ActuatorTest.c</t>
  </si>
  <si>
    <t>RBAPLEOL_ActuatorTest.c</t>
  </si>
  <si>
    <t>BS03SP03</t>
  </si>
  <si>
    <t>DFN_Venucia_ESP93_Carbon_Int</t>
  </si>
  <si>
    <t>VENKATESAN Azhaku Sathya Narayanan (CC-AS/EVA-SW32-CN)</t>
  </si>
  <si>
    <t>DFN_Venucia_ESP93_Carbon_Int\MainstreamF30\rb\as\core\app\dcom\RBAPLEOL\src\RBAPLEOL_ESPDynamicTest.c</t>
  </si>
  <si>
    <t>RBAPLEOL_ESPDynamicTest.c</t>
  </si>
  <si>
    <t>DFN_Venucia_ESP93_Carbon_Int\MainstreamF30\rb\as\core\app\dcom\RBAPLEOL\src\RBAPLEOL_ExtendedDynamicTest.c</t>
  </si>
  <si>
    <t xml:space="preserve">At line #485 cannot cover MCDC because l_LoopCnt &lt; g_EOLParamBuffer_PUB[4] at line 485 &amp; line 489 have been conflict.
At line #486cannot cover MCDC because l_LoopCnt &lt; 10] at line 486 &amp; line 490 have been conflict.
</t>
  </si>
  <si>
    <t>DFN_Venucia_ESP93_Carbon_Int\MainstreamF30\rb\as\core\app\dcom\RBAPLEOL\src\RBAPLEOL_PumpMotorErrorState.c</t>
  </si>
  <si>
    <t>DFN_Venucia_ESP93_Carbon_Int\MainstreamF30\rb\as\core\app\dcom\RBAPLEOL\src\RBAPLEOL_PumpSDTimeTest.c</t>
  </si>
  <si>
    <t>DFN_Venucia_ESP93_Carbon_Int\MainstreamF30\rb\as\core\app\dcom\RBAPLEOL\src\RBAPLEOL_ValvesToggling.c</t>
  </si>
  <si>
    <t>BYD_ESP93_Int\MainstreamF30\rb\as\BYD\Mainstream151\app\net\RbNetPrj\RBNet_Can\src\rba_SCL_Settings.c</t>
  </si>
  <si>
    <t>DFSK_ESP93_EV_Mainstream_Int\MainstreamF30\rb\as\dfsk\core\app\dcom\RBAPLCust\src\RBAPLCUST_DFSK_RoutineControl_CheckProgrammingPrecondition.c</t>
  </si>
  <si>
    <t>RBAPLCUST_DFSK_RoutineControl_CheckProgrammingPrecondition.c</t>
  </si>
  <si>
    <t>DFSK_ESP93_EV_Mainstream_Int</t>
  </si>
  <si>
    <t>Nguyen Hiep Thanh (RBVH/EAS11)</t>
  </si>
  <si>
    <t>Remove. Cancel UT</t>
  </si>
  <si>
    <t>DFSK_ESP93_EV_Mainstream_Int\MainstreamF30\rb\as\dfsk\core\app\dcom\RBAPLCust\src\RBAPLCUST_RBDI_CustomerHardwareVersion.c</t>
  </si>
  <si>
    <t>RBAPLCUST_RBDI_CustomerHardwareVersion.c</t>
  </si>
  <si>
    <t>DFSK_ESP93_EV_Mainstream_Int\MainstreamF30\rb\as\dfsk\core\app\dcom\RBAPLCust\src\RBAPLCUST_RBDI_CustomerSoftwareVersion.c</t>
  </si>
  <si>
    <t>RBAPLCUST_RBDI_CustomerSoftwareVersion.c</t>
  </si>
  <si>
    <t>DFSK_ESP93_EV_Mainstream_Int\MainstreamF30\rb\as\dfsk\core\app\dcom\RBAPLCust\src\RBAPLCUST_RBDI_NVMData.c</t>
  </si>
  <si>
    <t>DFSK_ESP93_EV_Mainstream_Int\MainstreamF30\rb\as\dfsk\core\app\dcom\RBAPLCust\src\RBAPLCUST_RBDI_VariandCode.c</t>
  </si>
  <si>
    <t>DFSK_ESP93_EV_Mainstream_Int\MainstreamF30\rb\as\dfsk\core\app\dcom\RBAPLCust\src\RBAPLCUST_SecurityAccess.c</t>
  </si>
  <si>
    <r>
      <t xml:space="preserve">Can’t cover FALSE case at line #301. Because of the macro </t>
    </r>
    <r>
      <rPr>
        <sz val="10"/>
        <color rgb="FF000000"/>
        <rFont val="Courier New"/>
        <family val="3"/>
      </rPr>
      <t xml:space="preserve">DCM_CFG_DSP_NUMSECURITY </t>
    </r>
    <r>
      <rPr>
        <sz val="10"/>
        <color rgb="FF000000"/>
        <rFont val="Arial"/>
        <family val="2"/>
      </rPr>
      <t>is defined as 1.</t>
    </r>
  </si>
  <si>
    <t>DFSK_ESP93_EV_Mainstream_Int\MainstreamF30\rb\as\dfsk\core\app\dcom\RBAPLCust\src\RBAPLCUST_WDBI_NVMData.c</t>
  </si>
  <si>
    <t>DFSK_ESP93_EV_Mainstream_Int\MainstreamF30\rb\as\dfsk\CpiwAPB\app\net\RbNetPrj\RBNet_Can\src\NET_MonitoringClasses_F30.c</t>
  </si>
  <si>
    <t>DFSK_ESP93_EV_Mainstream_Int\MainstreamF30\rb\as\dfsk\CpiwAPB\app\net\RbNetPrj\RBNet_Can\src\NET_SCL_InitPrc_CNMS.c</t>
  </si>
  <si>
    <t>DFSK_ESP93_EV_Mainstream_Int\MainstreamF30\rb\as\dfsk\CpiwAPB\app\net\RBScl_BB99581\src\NET_SCL_Rx_VAM_SOKON.c</t>
  </si>
  <si>
    <t>NET_SCL_Rx_VAM_SOKON.c</t>
  </si>
  <si>
    <t>DFSK_ESP93_EV_Mainstream_Int\MainstreamF30\rb\as\dfsk\CpiwAPB\app\net\RBSTSP_Crank\RBCN\SRC\rba_StartStopAndCranking.c</t>
  </si>
  <si>
    <t>rba_StartStopAndCranking.c</t>
  </si>
  <si>
    <t>DFSK_ESP93_EV_Mainstream_Int\MainstreamF30\rb\as\dfsk\CpiwAPB\hswpr\tst\hswsim\src\TestEnvironment_Fee_S513.c</t>
  </si>
  <si>
    <t>TestEnvironment_Fee_S513.c</t>
  </si>
  <si>
    <t xml:space="preserve">rba\Bldr_dfsk\config\ApplicationLayer\rba_BldrCmp\src\ </t>
  </si>
  <si>
    <t>rba\Bldr_dfsk\config\ApplicationLayer\rba_BldrCmp\src\</t>
  </si>
  <si>
    <t>GAC_ESPHevX_HADHAP_Int\CNMSHevXHADHAP\rb\as\gaig\core\app\net\RBScl\src\NET_SCL_GAC_Complex_function.c</t>
  </si>
  <si>
    <t>[No1]: Line 236, 281, 423, 435, 456 can not cover false condition if(ls_PreSig_Value_UB == ls_CurSig_Value_UB) because: ls_PreSig_Value_UB is static variable, and it is always set at line 420 by “case 1”.
[No2] Missing key word break at line 589 case C_State_Init_UB
[No3]: Condition line 1291 can not cover true case because the limit assignment from line 1284 with C_MMotRedMin_UW = 0x00. There for the value of l_MMotRedFastFA_SW is never lower than “0”.</t>
  </si>
  <si>
    <t>Lack component. Owner confirm it's no impact</t>
  </si>
  <si>
    <t>GAC_ESPHevX_HADHAP_Int\CNMSHevXHADHAP\rb\as\cnms_core\app\net\scl_callout\src\RBA_NDS_YAWRATE_Callout.c</t>
  </si>
  <si>
    <t>RBA_NDS_YAWRATE_Callout.c</t>
  </si>
  <si>
    <t>Lack component.</t>
  </si>
  <si>
    <t>GAC_ESP93CP_Carbon_Int\MainstreamF30\rb\as\core\app\net\RBNetSAS\src\RBNetSAS_Functions.c</t>
  </si>
  <si>
    <t>RBNetSAS_Functions.c</t>
  </si>
  <si>
    <t>BB81449</t>
  </si>
  <si>
    <t>GAC_ESP93CP_Carbon_Int\MainstreamF30\rb\as\cnms_core\app\net\scl\Sensors\Steering\src\SAS_LWS_Standard.c</t>
  </si>
  <si>
    <t>GAC_ESPHevX_HADHAP_Int\CNMSHevXHADHAP\rb\as\gaig\prj\dsmpr\src\RBHMI\src\RBHMI_ESPiB_WarningLamp_GAC.c</t>
  </si>
  <si>
    <t>RBHMI_ESPiB_WarningLamp_GAC.c</t>
  </si>
  <si>
    <t>FAW_E115_ESPhev_BSL60</t>
  </si>
  <si>
    <t xml:space="preserve">AD_ShutDown </t>
  </si>
  <si>
    <t>ESPiBVmcESPDeploymentInputStubs_ECU_CSW_BB95473.axl</t>
  </si>
  <si>
    <t>V 1.0</t>
  </si>
  <si>
    <t>LI Jiaojiao (CC/PJ-AD-EYM-CN)</t>
  </si>
  <si>
    <t>ACC_ShutDown</t>
  </si>
  <si>
    <t>`</t>
  </si>
  <si>
    <t xml:space="preserve">VLC_ADSignalsChoice </t>
  </si>
  <si>
    <t>(0.1.146314.4)</t>
  </si>
  <si>
    <t>BJEV_N60_2WD_4WD</t>
  </si>
  <si>
    <t>BAIC_MainPath_HevX_Int\BAICHevX\rba\Bldr\comps\ComplexDeviceDriver\rba_BldrBCLSigChk\src\rba_BldrBCLSigChk.c</t>
  </si>
  <si>
    <t>rba_BldrBCLSigChk.c</t>
  </si>
  <si>
    <t>BL73_SP02</t>
  </si>
  <si>
    <t>BAIC_MainPath_HevX_Int</t>
  </si>
  <si>
    <t>Nageswara Reddy Tindi (RBEI/EBB7)</t>
  </si>
  <si>
    <t>BAIC_MainPath_HevX_Int\BAICHevX\rba\Bldr\comps\ComplexDeviceDriver\rba_BldrFlsDrv\src\rba_BldrFlsDrv.c</t>
  </si>
  <si>
    <t>rba_BldrFlsDrv.c</t>
  </si>
  <si>
    <t>BAIC_MainPath_HevX_Int\BAICHevX\rba\Bldr\config\ApplicationLayer\rba_BldrCmp\src\rba_BldrCmp_Cfg_CheckMem.c</t>
  </si>
  <si>
    <t>BAIC_MainPath_HevX_Int\BAICHevX\rba\Bldr\config\ApplicationLayer\rba_BldrCmp\src\rba_BldrCmp_Cfg_FlashIf.c</t>
  </si>
  <si>
    <t>BAIC_MainPath_HevX_Int\BAICHevX\rba\Bldr\config\ApplicationLayer\rba_BldrCmp\src\rba_BldrCmp_Cfg_Functions.c</t>
  </si>
  <si>
    <t>BAIC_MainPath_HevX_Int\BAICHevX\rba\Bldr\config\ApplicationLayer\rba_BldrCmp\src\rba_BldrCmp_Cfg_SecA.c</t>
  </si>
  <si>
    <t>BAIC_MainPath_HevX_Int\BAICHevX\rba\Bldr\config\ComplexDeviceDriver\rba_BldrFlsDrv\src\rba_BldrFlsDrv_Cfg.c</t>
  </si>
  <si>
    <t>BAIC_MainPath_HevX_Int\BAICHevX\rba\Bldr\config\Infrastruct\CubasAdapter\src\CubasAdapter.c</t>
  </si>
  <si>
    <t>BAIC_MainPath_HevX_Int\BAICHevX\rba\Bldr\bldr\src\rba_Bldr_main.c</t>
  </si>
  <si>
    <t>BAIC_MainPath_HevX_Int\BAICHevX\rba\Bldr\sbl\src\rba_sbl_main.c</t>
  </si>
  <si>
    <t>BAIC_MainPath_HevX_Int\BAICHevX\rba\BldrCmp\src\rba_BldrCMP_27SecurityAccess.c</t>
  </si>
  <si>
    <t>BAIC_MainPath_HevX_Int\BAICHevX\rb\as\baic\prj\cswpr\src\RBLCF_Customized_Hexblocks_Allocation_Signature.c</t>
  </si>
  <si>
    <t>RBLCF_Customized_Hexblocks_Allocation_Signature.c</t>
  </si>
  <si>
    <t>BAIC_MainPath_HevX_Int\BAICHevX\rba\FBL\AS\SW\rba_Bmgr\src\rba_Bmgr_main.c</t>
  </si>
  <si>
    <t xml:space="preserve">RTN_MOTO][RT750-J] </t>
  </si>
  <si>
    <t>ABS9.1MB_Corona_Projects_COEM_DiagCAN__1_6\Psw\DNC\DNC09_BB91153\HMI09_BB91153\SRC\HMI09_ConfigOutputDriver_BB91102.C</t>
  </si>
  <si>
    <t>HMI09_ConfigOutputDriver_BB91102.C</t>
  </si>
  <si>
    <t>ABS9.1MB_Corona_Projects_COEM_DiagCAN__1_6</t>
  </si>
  <si>
    <t>1.4.1.1.0.1</t>
  </si>
  <si>
    <t>Nguyen Nhat, Canh</t>
  </si>
  <si>
    <t>APBSysState_Mockup</t>
  </si>
  <si>
    <t>BL03SP05</t>
  </si>
  <si>
    <t>1404916.axl</t>
  </si>
  <si>
    <t>SUN Kai (CC/PJ-AD-EYM-CN)</t>
  </si>
  <si>
    <t>NA</t>
  </si>
  <si>
    <t>CMNS Standard</t>
  </si>
  <si>
    <t>MC_239507_SGMW_CN210S_PHEV_ESP9.3CPi_BSS02_SP2</t>
  </si>
  <si>
    <t>SGMW_ESP93_Carbon_Int\MainstreamF30\rb\as\sgmw\core\app\dcom\RBAPLCust\src\common\RBAPLCUST_VariandCode.c</t>
  </si>
  <si>
    <t>BSS02_SP2</t>
  </si>
  <si>
    <t>237281_GAC_A76_CarbonESP9.3CP_BL04</t>
  </si>
  <si>
    <t>GAC_ESP93CP_Carbon_Int\MainstreamF30\rb\as\gaig\A12ESP\app\dsm\RBVAR\BB_81116A76CP\src\RBVAR_VarCode_PROJECT.c</t>
  </si>
  <si>
    <t>FENG Yinfei (CC-AS/EVA-SW31-CN)</t>
  </si>
  <si>
    <t>238493_GAC_A36_CarbonESP9.3CP_BL04</t>
  </si>
  <si>
    <t>GAC_ESP93CP_Carbon_Int\MainstreamF30\rb\as\gaig\A12ESP\app\dsm\RBVAR\BB_81175A36CP\src\RBVAR_OutputDriver_PROJECT.c</t>
  </si>
  <si>
    <t>PT_ModelTransAxletoBody_C</t>
  </si>
  <si>
    <t>1435036.zip</t>
  </si>
  <si>
    <t>1.5.147308.0</t>
  </si>
  <si>
    <t>YANG Qingliu (CC-AS/EVA-SW1-CN)</t>
  </si>
  <si>
    <t>rb\as\cnms_core\app\net\scl\Controllers\RBC\src\</t>
  </si>
  <si>
    <t>BB81650/BB81651</t>
  </si>
  <si>
    <t>rb\as\faw\fawcore\app\dcom\RBAPLCust\src\</t>
  </si>
  <si>
    <t>T_C-309</t>
  </si>
  <si>
    <t>Nguyen Duc Huong Quynh (RBVH/EAS12)</t>
  </si>
  <si>
    <t>T_C-310</t>
  </si>
  <si>
    <t>T_C-311</t>
  </si>
  <si>
    <t>N/A</t>
  </si>
  <si>
    <r>
      <t xml:space="preserve">Can’t cover false case of </t>
    </r>
    <r>
      <rPr>
        <sz val="10"/>
        <color rgb="FFFFBB00"/>
        <rFont val="Consolas"/>
        <family val="3"/>
      </rPr>
      <t>if</t>
    </r>
    <r>
      <rPr>
        <sz val="10"/>
        <color rgb="FF009A00"/>
        <rFont val="Consolas"/>
        <family val="3"/>
      </rPr>
      <t>(1 == DCM_CFG_DSP_NUMSECURITY) because DCM_CFG_DSP_NUMSECURITY is defined by 1.</t>
    </r>
  </si>
  <si>
    <t>- Owner said its OK like usual</t>
  </si>
  <si>
    <t>rb\as\gwm\core\app\dsm\RBVAR\BB80432\src\</t>
  </si>
  <si>
    <t>80432, 81558</t>
  </si>
  <si>
    <t xml:space="preserve">rb\as\gwm\core\app\dsm\RBVAR\BB80432\src\ </t>
  </si>
  <si>
    <t>rb\as\gwm\core\app\dsm\RBVAR\BB81558\src\</t>
  </si>
  <si>
    <t xml:space="preserve">rb\as\gwm\core\app\dsm\RBHMI\src\        </t>
  </si>
  <si>
    <t xml:space="preserve">rb\as\gwm\core\app\dsm\RBHMI\src\     </t>
  </si>
  <si>
    <t>rb\as\gwm\hp\dsmpr\src</t>
  </si>
  <si>
    <t>rb\as\gwm\core\app\net\RbNetPrj\RBNet_Can\src</t>
  </si>
  <si>
    <t>80432</t>
  </si>
  <si>
    <t>rb\as\gwm\core\app\net\RBScl\src</t>
  </si>
  <si>
    <t>rb\as\gwm\core\app\net</t>
  </si>
  <si>
    <t>rb\as\gwm\core\app\net\SclCallout\src</t>
  </si>
  <si>
    <t>rb\as\gwm\core\app\net\SpecialStrategy\src</t>
  </si>
  <si>
    <t>\rb\as\gwm\core\app\net\SclCallout\src</t>
  </si>
  <si>
    <t>CHEN Steve (CC-AS/EVA-SW33-CN)</t>
  </si>
  <si>
    <t>T_C-317</t>
  </si>
  <si>
    <t>T_C-318</t>
  </si>
  <si>
    <t>T_C-319</t>
  </si>
  <si>
    <t>T_C-320</t>
  </si>
  <si>
    <t>T_C-321</t>
  </si>
  <si>
    <t>T_C-322</t>
  </si>
  <si>
    <t>T_C-323</t>
  </si>
  <si>
    <t>ZHANG Jun (CC-AS/EVA-SW33-CN)</t>
  </si>
  <si>
    <t>T_C-324</t>
  </si>
  <si>
    <t>T_C-325</t>
  </si>
  <si>
    <t>T_C-326</t>
  </si>
  <si>
    <t>T_C-327</t>
  </si>
  <si>
    <t>T_C-328</t>
  </si>
  <si>
    <t>T_C-329</t>
  </si>
  <si>
    <t>T_C-330</t>
  </si>
  <si>
    <t>T_C-331</t>
  </si>
  <si>
    <t>T_C-332</t>
  </si>
  <si>
    <t>T_C-333</t>
  </si>
  <si>
    <t>T_C-334</t>
  </si>
  <si>
    <t>T_C-335</t>
  </si>
  <si>
    <t>T_C-336</t>
  </si>
  <si>
    <t>T_C-337</t>
  </si>
  <si>
    <t>T_C-338</t>
  </si>
  <si>
    <t>-No have function for test</t>
  </si>
  <si>
    <t>rb\as\twp\core\app\dcom\rbaplcust</t>
  </si>
  <si>
    <t>ABS_103_ME_SMC\rb\as\twp\core\app\dcom\RBAPLCust\src\SMC_MC</t>
  </si>
  <si>
    <t>\rb\as\twp\global\cus\hhcoff\src</t>
  </si>
  <si>
    <t>rb\as\twp\global\cus\modes\src</t>
  </si>
  <si>
    <t>\rb\as\twp\global\cus\variant\src</t>
  </si>
  <si>
    <t>rb\as\byd\core\app\dcom\RBAPLCust\src\common</t>
  </si>
  <si>
    <t>rb\as\byd\core\app\dcom\RBAPLCust\src\ESP</t>
  </si>
  <si>
    <t>rb\as\byd\core\app\dcom\RBAPLCust\src\iBooster</t>
  </si>
  <si>
    <t>rb\as\cnms_core\app\dcom\RBAPLCust\src\common</t>
  </si>
  <si>
    <t>rb\as\cnms_core\app\dcom\RBAPLCust\src\ESP</t>
  </si>
  <si>
    <t>GWM_EC01_ABS9.3_Stream_Int\GWM_EC01\rb\as\gwm\core\app\dcom\RBAPLCust\src\RBAPLCUST_DiagnosticSessionControl.c</t>
  </si>
  <si>
    <t>GWM_EC01_ABS9.3_Stream_Int\GWM_EC01\rb\as\gwm\core\app\dcom\RBAPLCust\src\RBAPLCUST_EngineSpeed.c</t>
  </si>
  <si>
    <t>GWM_EC01_ABS9.3_Stream_Int\GWM_EC01\rb\as\gwm\core\app\dcom\RBAPLCust\src\RBAPLCUST_InputOutputControl_GeneralFunctions.c</t>
  </si>
  <si>
    <t>GWM_EC01_ABS9.3_Stream_Int\GWM_EC01\rb\as\gwm\core\app\dcom\RBAPLCust\src\RBAPLCUST_RBDI_NVMData.c</t>
  </si>
  <si>
    <t>GWM_EC01_ABS9.3_Stream_Int\GWM_EC01\rb\as\gwm\core\app\dcom\RBAPLCust\src\RBAPLCUST_RDBI_ActuationState.c</t>
  </si>
  <si>
    <t>GWM_EC01_ABS9.3_Stream_Int\GWM_EC01\rb\as\gwm\core\app\dcom\RBAPLCust\src\RBAPLCUST_RDBI_BatteryVoltage.c</t>
  </si>
  <si>
    <t>GWM_EC01_ABS9.3_Stream_Int\GWM_EC01\rb\as\gwm\core\app\dcom\RBAPLCust\src\RBAPLCUST_RDBI_IOCtrlState.c</t>
  </si>
  <si>
    <t>GWM_EC01_ABS9.3_Stream_Int\GWM_EC01\rb\as\gwm\core\app\dcom\RBAPLCust\src\RBAPLCUST_RDBI_Odometer.c</t>
  </si>
  <si>
    <t>GWM_EC01_ABS9.3_Stream_Int\GWM_EC01\rb\as\gwm\core\app\dcom\RBAPLCust\src\RBAPLCUST_RoutineControl.c</t>
  </si>
  <si>
    <t>GWM_EC01_ABS9.3_Stream_Int\GWM_EC01\rb\as\gwm\core\app\dcom\RBAPLCust\src\RBAPLCUST_RoutineControl_WheelSpeedSensorTest.c</t>
  </si>
  <si>
    <t>GWM_EC01_ABS9.3_Stream_Int\GWM_EC01\rb\as\gwm\core\app\dcom\RBAPLCust\src\RBAPLCUST_SecurityAccess.c</t>
  </si>
  <si>
    <t>GWM_EC01_ABS9.3_Stream_Int\GWM_EC01\rb\as\gwm\core\app\dcom\RBAPLCust\src\RBAPLCUST_WDBI_NVMData.c</t>
  </si>
  <si>
    <t>GWM_EC01_ABS9.3_Stream_Int\GWM_EC01\rb\as\gwm\ec01\app\net\RBNetPrj\RBNet_Can\src\NET_CheckSumLib_GWM.c</t>
  </si>
  <si>
    <t>GWM_EC01_ABS9.3_Stream_Int\GWM_EC01\rb\as\gwm\ec01\app\net\RBNetPrj\RBNet_Can\src\NET_MonitoringClasses_F30.c</t>
  </si>
  <si>
    <t>GWM_EC01_ABS9.3_Stream_Int\GWM_EC01\rb\as\gwm\ec01\app\net\RBScl\src\rba_ComScl_Scl_Init.c</t>
  </si>
  <si>
    <t>GWM_EC01_ABS9.3_Stream_Int\GWM_EC01\rb\as\gwm\ec01\app\dsm\RBWarningIndicator\src\Dem_PrjSpecificIndiHandling.c</t>
  </si>
  <si>
    <t>GWM_EC01_ABS9.3_Stream_Int\GWM_EC01\rb\as\gwm\ec01\app\dsm\rbhmi\src\RBHMI_ConfigOutputDriver_PRJ.c</t>
  </si>
  <si>
    <t>GWM_EC01_ABS9.3_Stream_Int\GWM_EC01\rb\as\gwm\ec01\dsmpr\src\Cubas\ESM\EcuM\src\EcuM_stub.c</t>
  </si>
  <si>
    <t>rba\Bldr\comps\ApplicationLayer\rba_BldrCmp\src\</t>
  </si>
  <si>
    <t>rb\as\geely\CpiwAPB\app\net\RBScl\src\Rcv\</t>
  </si>
  <si>
    <t>80722, 81556</t>
  </si>
  <si>
    <t>80432, 81559</t>
  </si>
  <si>
    <t>80432, 81560</t>
  </si>
  <si>
    <t>80432, 81561</t>
  </si>
  <si>
    <t>80432, 81562</t>
  </si>
  <si>
    <t>80432, 81563</t>
  </si>
  <si>
    <t>Dao Tu Giang (RBVH/EAS32)</t>
  </si>
  <si>
    <t>T_C-344</t>
  </si>
  <si>
    <t>T_C-345</t>
  </si>
  <si>
    <t>T_C-346</t>
  </si>
  <si>
    <t>T_C-347</t>
  </si>
  <si>
    <t>T_C-348</t>
  </si>
  <si>
    <t>T_C-349</t>
  </si>
  <si>
    <t>T_C-350</t>
  </si>
  <si>
    <t>T_C-351</t>
  </si>
  <si>
    <t>T_C-352</t>
  </si>
  <si>
    <t>T_C-353</t>
  </si>
  <si>
    <t>T_C-354</t>
  </si>
  <si>
    <t>T_C-355</t>
  </si>
  <si>
    <t>T_C-356</t>
  </si>
  <si>
    <t>T_C-357</t>
  </si>
  <si>
    <t>T_C-358</t>
  </si>
  <si>
    <t>T_C-359</t>
  </si>
  <si>
    <t>T_C-360</t>
  </si>
  <si>
    <t>T_C-361</t>
  </si>
  <si>
    <t>T_C-362</t>
  </si>
  <si>
    <t>T_C-363</t>
  </si>
  <si>
    <t>T_C-364</t>
  </si>
  <si>
    <t>T_C-365</t>
  </si>
  <si>
    <t>T_C-366</t>
  </si>
  <si>
    <t>T_C-367</t>
  </si>
  <si>
    <t>T_C-368</t>
  </si>
  <si>
    <t>T_C-369</t>
  </si>
  <si>
    <t>T_C-370</t>
  </si>
  <si>
    <t>T_C-371</t>
  </si>
  <si>
    <t>T_C-372</t>
  </si>
  <si>
    <t>T_C-373</t>
  </si>
  <si>
    <t>T_C-374</t>
  </si>
  <si>
    <t>T_C-375</t>
  </si>
  <si>
    <t>T_C-376</t>
  </si>
  <si>
    <t>T_C-377</t>
  </si>
  <si>
    <t>T_C-378</t>
  </si>
  <si>
    <t>T_C-379</t>
  </si>
  <si>
    <t>T_C-380</t>
  </si>
  <si>
    <t>T_C-381</t>
  </si>
  <si>
    <t>T_C-382</t>
  </si>
  <si>
    <t>T_C-383</t>
  </si>
  <si>
    <t>T_C-384</t>
  </si>
  <si>
    <t>T_C-385</t>
  </si>
  <si>
    <t>T_C-386</t>
  </si>
  <si>
    <t>T_C-387</t>
  </si>
  <si>
    <t>T_C-388</t>
  </si>
  <si>
    <t>T_C-389</t>
  </si>
  <si>
    <t>T_C-390</t>
  </si>
  <si>
    <t>T_C-391</t>
  </si>
  <si>
    <t>Le Duy Thang (RBVH/EAS32)</t>
  </si>
  <si>
    <t>T_C-392</t>
  </si>
  <si>
    <t>T_C-393</t>
  </si>
  <si>
    <t>T_C-394</t>
  </si>
  <si>
    <t>T_C-395</t>
  </si>
  <si>
    <t>T_C-396</t>
  </si>
  <si>
    <t>T_C-397</t>
  </si>
  <si>
    <t>T_C-398</t>
  </si>
  <si>
    <t>T_C-399</t>
  </si>
  <si>
    <t>T_C-400</t>
  </si>
  <si>
    <t>T_C-401</t>
  </si>
  <si>
    <t>T_C-402</t>
  </si>
  <si>
    <t>T_C-403</t>
  </si>
  <si>
    <t>T_C-404</t>
  </si>
  <si>
    <t>T_C-405</t>
  </si>
  <si>
    <t>T_C-406</t>
  </si>
  <si>
    <t>T_C-407</t>
  </si>
  <si>
    <t>T_C-408</t>
  </si>
  <si>
    <t>T_C-409</t>
  </si>
  <si>
    <t>T_C-410</t>
  </si>
  <si>
    <t>T_C-411</t>
  </si>
  <si>
    <t>T_C-412</t>
  </si>
  <si>
    <t>T_C-413</t>
  </si>
  <si>
    <t>T_C-414</t>
  </si>
  <si>
    <t>T_C-415</t>
  </si>
  <si>
    <t>T_C-416</t>
  </si>
  <si>
    <t>T_C-417</t>
  </si>
  <si>
    <t>T_C-418</t>
  </si>
  <si>
    <t>T_C-419</t>
  </si>
  <si>
    <t>T_C-420</t>
  </si>
  <si>
    <t>T_C-421</t>
  </si>
  <si>
    <t>T_C-422</t>
  </si>
  <si>
    <t>T_C-423</t>
  </si>
  <si>
    <t>T_C-424</t>
  </si>
  <si>
    <t>T_C-425</t>
  </si>
  <si>
    <t>T_C-426</t>
  </si>
  <si>
    <t>T_C-427</t>
  </si>
  <si>
    <t>T_C-428</t>
  </si>
  <si>
    <t>T_C-429</t>
  </si>
  <si>
    <t>T_C-430</t>
  </si>
  <si>
    <t>T_C-431</t>
  </si>
  <si>
    <t>T_C-432</t>
  </si>
  <si>
    <t>T_C-433</t>
  </si>
  <si>
    <t>T_C-434</t>
  </si>
  <si>
    <t>T_C-435</t>
  </si>
  <si>
    <t>T_C-436</t>
  </si>
  <si>
    <t>T_C-437</t>
  </si>
  <si>
    <t>T_C-438</t>
  </si>
  <si>
    <t>T_C-439</t>
  </si>
  <si>
    <t>T_C-440</t>
  </si>
  <si>
    <t>T_C-441</t>
  </si>
  <si>
    <t>T_C-442</t>
  </si>
  <si>
    <t>T_C-443</t>
  </si>
  <si>
    <t>T_C-444</t>
  </si>
  <si>
    <t>T_C-445</t>
  </si>
  <si>
    <t>T_C-446</t>
  </si>
  <si>
    <t>T_C-447</t>
  </si>
  <si>
    <t>T_C-448</t>
  </si>
  <si>
    <t>T_C-449</t>
  </si>
  <si>
    <t>T_C-450</t>
  </si>
  <si>
    <t>T_C-451</t>
  </si>
  <si>
    <t>T_C-452</t>
  </si>
  <si>
    <t>T_C-453</t>
  </si>
  <si>
    <t>T_C-454</t>
  </si>
  <si>
    <t>T_C-455</t>
  </si>
  <si>
    <t>T_C-456</t>
  </si>
  <si>
    <t>T_C-457</t>
  </si>
  <si>
    <t>T_C-458</t>
  </si>
  <si>
    <t>T_C-459</t>
  </si>
  <si>
    <t>T_C-460</t>
  </si>
  <si>
    <t>T_C-461</t>
  </si>
  <si>
    <t>T_C-462</t>
  </si>
  <si>
    <t>T_C-463</t>
  </si>
  <si>
    <t>T_C-464</t>
  </si>
  <si>
    <t>Ha Nguyen Diep (RBVH/EAS12)</t>
  </si>
  <si>
    <t>T_C-465</t>
  </si>
  <si>
    <t>T_C-466</t>
  </si>
  <si>
    <t>T_C-467</t>
  </si>
  <si>
    <t>Nguyen Quang Vinh (RBVH/EAS15)</t>
  </si>
  <si>
    <t>T_C-468</t>
  </si>
  <si>
    <t>T_C-469</t>
  </si>
  <si>
    <t>T_C-470</t>
  </si>
  <si>
    <t>CHEN Xu (BEG/ECA1-CN)</t>
  </si>
  <si>
    <t>T_C-471</t>
  </si>
  <si>
    <t>T_C-472</t>
  </si>
  <si>
    <t>T_C-473</t>
  </si>
  <si>
    <t>T_C-474</t>
  </si>
  <si>
    <t>LIU Qiang (CC-AS/EVA-SW2-CN)</t>
  </si>
  <si>
    <t>T_C-475</t>
  </si>
  <si>
    <t>YANG Caogang (CC-AS/EVA-M-CN)</t>
  </si>
  <si>
    <t>T_C-476</t>
  </si>
  <si>
    <t>ZHANG Lucy (CC-AS/EVA-SW2-CN)</t>
  </si>
  <si>
    <t>T_C-477</t>
  </si>
  <si>
    <t>VELLAISAMY Senthil Kumar (CC-AS/EVA-SW32-CN)</t>
  </si>
  <si>
    <t>T_C-478</t>
  </si>
  <si>
    <t>T_C-479</t>
  </si>
  <si>
    <t>Abinaya Valluvan (RBEI/ESC)</t>
  </si>
  <si>
    <t>T_C-480</t>
  </si>
  <si>
    <t>ZHANG Allen (CC-AS/EVA-SW2-CN)</t>
  </si>
  <si>
    <t>T_C-481</t>
  </si>
  <si>
    <t>T_C-482</t>
  </si>
  <si>
    <t>T_C-483</t>
  </si>
  <si>
    <t>T_C-484</t>
  </si>
  <si>
    <t>T_C-485</t>
  </si>
  <si>
    <t>T_C-486</t>
  </si>
  <si>
    <t>T_C-487</t>
  </si>
  <si>
    <t>T_C-488</t>
  </si>
  <si>
    <t>T_C-489</t>
  </si>
  <si>
    <t>T_C-490</t>
  </si>
  <si>
    <t>T_C-491</t>
  </si>
  <si>
    <t>T_C-492</t>
  </si>
  <si>
    <t>CUI Jin (CC-AS/EVA-SW1-CN)</t>
  </si>
  <si>
    <t>T_C-493</t>
  </si>
  <si>
    <t>HUANG Shuai (CC-AS/EVA-SW1-CN)</t>
  </si>
  <si>
    <t>T_C-494</t>
  </si>
  <si>
    <t>HUANG Chongxi (CC-AS/ESW5-CN)</t>
  </si>
  <si>
    <t>T_C-495</t>
  </si>
  <si>
    <t>T_C-496</t>
  </si>
  <si>
    <t>T_C-497</t>
  </si>
  <si>
    <t>T_C-498</t>
  </si>
  <si>
    <t>-g_FFD_Info_ST[l_RecID_u8].FFD_CrankAxisTorque_u16 is a un-sign object but it’s assigned by a sign object at line #172
Defect ID 1425601</t>
  </si>
  <si>
    <t>-Tool error at line #272: Catata can't discriminate whether we call Dem_EvMemGetEventMemStatus at condition 1 or 2</t>
  </si>
  <si>
    <t>-: Fun_FFDRecIDTobeReplaced is call at line #487 while It’s defined at line #543. Owner said This function is declared in “FD_Config_SMC.h” and header file is included at line #17. Hence there is no issue.</t>
  </si>
  <si>
    <t>-dataRetReadFunc_u8 may be used uninitialized in function FUN_CustomerPartNumberNvMResultCB. Owner said he don’t use that function</t>
  </si>
  <si>
    <t>-just loop do while(l_ZeroCount == Seedlen_u) at #line 151 once , because if l_ZeroCount equal Seedlen_u it will loop forever.
- can’t cover MCDC for conditions at #line605 ,625, 632. Because it have 2 case to test for these conditions : 0  and 0xFFFFFFFFu.</t>
  </si>
  <si>
    <t>-Don't have function for test</t>
  </si>
  <si>
    <t xml:space="preserve">Issue of cantata display not correct MCDC. </t>
  </si>
  <si>
    <t xml:space="preserve">-can’t cover for MCDC of condition at #line123 as bellow picture, because when pumpctrlstate equal 0xFF, pumpflag will change value. So it will affect for MCDC of pumpflag instead of pumpctrlstate.
- 'Issue of cantata display not correct MCDC. </t>
  </si>
  <si>
    <t>-'Issue of cantata display not correct MCDC. 
-can’t cover for case default of swith(dataIn1), because it out of range.</t>
  </si>
  <si>
    <t>-Owner confirm it could be ignore</t>
  </si>
  <si>
    <t>-rb\as\twp\core\app\dcom\RBAPLCust\src\SMC_MC</t>
  </si>
  <si>
    <t>-No have function to test</t>
  </si>
  <si>
    <t>-Defect ID 1430681</t>
  </si>
  <si>
    <t>-Don't have function to test</t>
  </si>
  <si>
    <t>-No effect</t>
  </si>
  <si>
    <t>- condition always false</t>
  </si>
  <si>
    <t>-Waiting owner confirm</t>
  </si>
  <si>
    <t>-Already confirm as previous phase</t>
  </si>
  <si>
    <t>- Cannot cover some point, already have confirm by oiwner as previous phase</t>
  </si>
  <si>
    <t>-Can't cover for false case of if(1 == DCM_CFG_DSP_NUMSECURITY) at line#147 because condition is always true.</t>
  </si>
  <si>
    <t>-Cannot cover false case of decision if (0x00 == NRC_u8) at line #119, because the value of NRC_u8 is set to 0x00 at line 65.</t>
  </si>
  <si>
    <t xml:space="preserve">-ignore </t>
  </si>
  <si>
    <t>228771_SAIC EP22 X1 &amp; IP31E w/o_DA ESPHevX</t>
  </si>
  <si>
    <t>SAIC ZS12MCE withDA ESP9.3</t>
  </si>
  <si>
    <t>RTN_MOTO][RT750-J]</t>
  </si>
  <si>
    <t>237281_GAC_A76_CarbonESP9.3CP</t>
  </si>
  <si>
    <t>238493_GAC_A36_CarbonESP9.3CP</t>
  </si>
  <si>
    <t>Project -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</si>
</sst>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4" x14ac:knownFonts="1"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color rgb="FF548235"/>
      <name val="Arial"/>
      <family val="2"/>
    </font>
    <font>
      <b/>
      <i/>
      <sz val="10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Bosch Office Sans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Segoe UI"/>
    </font>
    <font>
      <b/>
      <sz val="10"/>
      <color rgb="FF9C6500"/>
      <name val="Calibri"/>
      <family val="2"/>
      <scheme val="minor"/>
    </font>
    <font>
      <sz val="10"/>
      <color theme="1"/>
      <name val="Arial"/>
    </font>
    <font>
      <sz val="10"/>
      <color rgb="FF000000"/>
      <name val="Courier New"/>
      <family val="3"/>
    </font>
    <font>
      <sz val="10"/>
      <color rgb="FF000000"/>
      <name val="Arial"/>
      <family val="2"/>
    </font>
    <font>
      <sz val="11"/>
      <color rgb="FFFF0000"/>
      <name val="Calibri"/>
      <scheme val="minor"/>
    </font>
    <font>
      <sz val="11"/>
      <color theme="1"/>
      <name val="Bosch Office Sans"/>
    </font>
    <font>
      <sz val="10"/>
      <color rgb="FFFFBB00"/>
      <name val="Consolas"/>
      <family val="3"/>
    </font>
    <font>
      <sz val="10"/>
      <color rgb="FF009A00"/>
      <name val="Consolas"/>
      <family val="3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5"/>
      </patternFill>
    </fill>
    <fill>
      <patternFill patternType="solid">
        <f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0" fontId="0" fillId="0" borderId="1" xfId="0" applyBorder="1"/>
    <xf numFmtId="0" fontId="0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3" borderId="1" xfId="0" applyFill="1" applyBorder="1"/>
    <xf numFmtId="0" fontId="0" fillId="0" borderId="1" xfId="0" applyFill="1" applyBorder="1"/>
    <xf numFmtId="0" fontId="1" fillId="0" borderId="2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7" fillId="2" borderId="1" xfId="0" applyNumberFormat="1" applyFont="1" applyFill="1" applyBorder="1" applyAlignment="1" applyProtection="1">
      <alignment horizontal="left" vertical="top"/>
    </xf>
    <xf numFmtId="0" fontId="0" fillId="0" borderId="1" xfId="0" quotePrefix="1" applyFont="1" applyBorder="1" applyAlignment="1">
      <alignment horizontal="left" vertical="top"/>
    </xf>
    <xf numFmtId="0" fontId="0" fillId="5" borderId="1" xfId="0" quotePrefix="1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7" fillId="0" borderId="1" xfId="0" applyNumberFormat="1" applyFont="1" applyFill="1" applyBorder="1" applyAlignment="1" applyProtection="1">
      <alignment horizontal="left" vertical="top"/>
    </xf>
    <xf numFmtId="10" fontId="0" fillId="0" borderId="1" xfId="0" applyNumberFormat="1" applyFont="1" applyBorder="1" applyAlignment="1">
      <alignment horizontal="left" vertical="top"/>
    </xf>
    <xf numFmtId="10" fontId="0" fillId="0" borderId="1" xfId="0" quotePrefix="1" applyNumberFormat="1" applyFont="1" applyBorder="1" applyAlignment="1">
      <alignment horizontal="left" vertical="top"/>
    </xf>
    <xf numFmtId="0" fontId="7" fillId="6" borderId="1" xfId="0" applyNumberFormat="1" applyFont="1" applyFill="1" applyBorder="1" applyAlignment="1" applyProtection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7" borderId="1" xfId="0" applyNumberFormat="1" applyFont="1" applyFill="1" applyBorder="1" applyAlignment="1" applyProtection="1">
      <alignment horizontal="left" vertical="top"/>
    </xf>
    <xf numFmtId="0" fontId="7" fillId="3" borderId="1" xfId="0" applyNumberFormat="1" applyFont="1" applyFill="1" applyBorder="1" applyAlignment="1" applyProtection="1">
      <alignment horizontal="left" vertical="top"/>
    </xf>
    <xf numFmtId="0" fontId="4" fillId="0" borderId="0" xfId="0" applyFont="1" applyAlignment="1">
      <alignment horizontal="left" vertical="top"/>
    </xf>
    <xf numFmtId="0" fontId="7" fillId="8" borderId="1" xfId="0" applyNumberFormat="1" applyFont="1" applyFill="1" applyBorder="1" applyAlignment="1" applyProtection="1">
      <alignment horizontal="left" vertical="top"/>
    </xf>
    <xf numFmtId="0" fontId="7" fillId="9" borderId="1" xfId="0" applyNumberFormat="1" applyFont="1" applyFill="1" applyBorder="1" applyAlignment="1" applyProtection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7" fillId="10" borderId="1" xfId="0" applyNumberFormat="1" applyFont="1" applyFill="1" applyBorder="1" applyAlignment="1" applyProtection="1">
      <alignment horizontal="left" vertical="top"/>
    </xf>
    <xf numFmtId="0" fontId="7" fillId="11" borderId="1" xfId="0" applyNumberFormat="1" applyFont="1" applyFill="1" applyBorder="1" applyAlignment="1" applyProtection="1">
      <alignment horizontal="left" vertical="top"/>
    </xf>
    <xf numFmtId="0" fontId="7" fillId="12" borderId="1" xfId="0" applyNumberFormat="1" applyFont="1" applyFill="1" applyBorder="1" applyAlignment="1" applyProtection="1">
      <alignment horizontal="left" vertical="top"/>
    </xf>
    <xf numFmtId="0" fontId="7" fillId="13" borderId="1" xfId="0" applyNumberFormat="1" applyFont="1" applyFill="1" applyBorder="1" applyAlignment="1" applyProtection="1">
      <alignment horizontal="left" vertical="top"/>
    </xf>
    <xf numFmtId="0" fontId="0" fillId="14" borderId="1" xfId="0" applyFont="1" applyFill="1" applyBorder="1" applyAlignment="1">
      <alignment horizontal="left" vertical="top"/>
    </xf>
    <xf numFmtId="0" fontId="7" fillId="15" borderId="1" xfId="0" applyNumberFormat="1" applyFont="1" applyFill="1" applyBorder="1" applyAlignment="1" applyProtection="1">
      <alignment horizontal="left" vertical="top"/>
    </xf>
    <xf numFmtId="0" fontId="0" fillId="2" borderId="1" xfId="0" quotePrefix="1" applyFont="1" applyFill="1" applyBorder="1" applyAlignment="1">
      <alignment horizontal="left" vertical="top"/>
    </xf>
    <xf numFmtId="0" fontId="7" fillId="16" borderId="1" xfId="0" applyNumberFormat="1" applyFont="1" applyFill="1" applyBorder="1" applyAlignment="1" applyProtection="1">
      <alignment horizontal="left" vertical="top"/>
    </xf>
    <xf numFmtId="0" fontId="1" fillId="0" borderId="1" xfId="0" quotePrefix="1" applyFont="1" applyBorder="1" applyAlignment="1">
      <alignment horizontal="left" vertical="top"/>
    </xf>
    <xf numFmtId="164" fontId="0" fillId="2" borderId="1" xfId="0" applyNumberFormat="1" applyFont="1" applyFill="1" applyBorder="1" applyAlignment="1">
      <alignment horizontal="left" vertical="top"/>
    </xf>
    <xf numFmtId="10" fontId="0" fillId="0" borderId="1" xfId="0" applyNumberFormat="1" applyFont="1" applyFill="1" applyBorder="1" applyAlignment="1">
      <alignment horizontal="left" vertical="top"/>
    </xf>
    <xf numFmtId="0" fontId="1" fillId="4" borderId="1" xfId="0" quotePrefix="1" applyFont="1" applyFill="1" applyBorder="1" applyAlignment="1">
      <alignment horizontal="left" vertical="top"/>
    </xf>
    <xf numFmtId="0" fontId="0" fillId="4" borderId="1" xfId="0" quotePrefix="1" applyFont="1" applyFill="1" applyBorder="1" applyAlignment="1">
      <alignment horizontal="left" vertical="top"/>
    </xf>
    <xf numFmtId="164" fontId="0" fillId="4" borderId="1" xfId="0" applyNumberFormat="1" applyFont="1" applyFill="1" applyBorder="1" applyAlignment="1">
      <alignment horizontal="left" vertical="top"/>
    </xf>
    <xf numFmtId="164" fontId="0" fillId="0" borderId="1" xfId="0" applyNumberFormat="1" applyFont="1" applyFill="1" applyBorder="1" applyAlignment="1">
      <alignment horizontal="left" vertical="top"/>
    </xf>
    <xf numFmtId="0" fontId="7" fillId="4" borderId="1" xfId="0" applyNumberFormat="1" applyFont="1" applyFill="1" applyBorder="1" applyAlignment="1" applyProtection="1">
      <alignment horizontal="left" vertical="top"/>
    </xf>
    <xf numFmtId="0" fontId="10" fillId="0" borderId="1" xfId="0" applyFont="1" applyBorder="1" applyAlignment="1">
      <alignment horizontal="left" vertical="top"/>
    </xf>
    <xf numFmtId="0" fontId="0" fillId="0" borderId="1" xfId="0" quotePrefix="1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10" fontId="0" fillId="0" borderId="3" xfId="0" applyNumberForma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7" fillId="5" borderId="1" xfId="0" applyNumberFormat="1" applyFont="1" applyFill="1" applyBorder="1" applyAlignment="1" applyProtection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164" fontId="0" fillId="5" borderId="1" xfId="0" applyNumberFormat="1" applyFont="1" applyFill="1" applyBorder="1" applyAlignment="1">
      <alignment horizontal="left" vertical="top"/>
    </xf>
    <xf numFmtId="10" fontId="0" fillId="5" borderId="1" xfId="0" applyNumberFormat="1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7" fillId="17" borderId="1" xfId="0" applyNumberFormat="1" applyFont="1" applyFill="1" applyBorder="1" applyAlignment="1" applyProtection="1">
      <alignment horizontal="left" vertical="top"/>
    </xf>
    <xf numFmtId="0" fontId="7" fillId="18" borderId="1" xfId="0" applyNumberFormat="1" applyFont="1" applyFill="1" applyBorder="1" applyAlignment="1" applyProtection="1">
      <alignment horizontal="left" vertical="top"/>
    </xf>
    <xf numFmtId="0" fontId="12" fillId="0" borderId="0" xfId="0" applyFont="1" applyAlignment="1">
      <alignment horizontal="left" vertical="top"/>
    </xf>
    <xf numFmtId="0" fontId="7" fillId="20" borderId="1" xfId="0" applyNumberFormat="1" applyFont="1" applyFill="1" applyBorder="1" applyAlignment="1" applyProtection="1">
      <alignment horizontal="left" vertical="top"/>
    </xf>
    <xf numFmtId="0" fontId="3" fillId="0" borderId="1" xfId="0" applyFont="1" applyBorder="1" applyAlignment="1">
      <alignment horizontal="left" vertical="top"/>
    </xf>
    <xf numFmtId="0" fontId="15" fillId="0" borderId="0" xfId="0" applyFont="1" applyAlignment="1">
      <alignment vertical="center"/>
    </xf>
    <xf numFmtId="164" fontId="0" fillId="0" borderId="1" xfId="0" applyNumberFormat="1" applyBorder="1" applyAlignment="1">
      <alignment horizontal="left" vertical="top"/>
    </xf>
    <xf numFmtId="10" fontId="0" fillId="0" borderId="1" xfId="0" applyNumberForma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 wrapText="1"/>
    </xf>
    <xf numFmtId="0" fontId="0" fillId="0" borderId="1" xfId="0" applyNumberFormat="1" applyFont="1" applyFill="1" applyBorder="1" applyAlignment="1" applyProtection="1">
      <alignment horizontal="left"/>
    </xf>
    <xf numFmtId="0" fontId="7" fillId="21" borderId="1" xfId="0" applyNumberFormat="1" applyFont="1" applyFill="1" applyBorder="1" applyAlignment="1" applyProtection="1">
      <alignment horizontal="left" vertical="top"/>
    </xf>
    <xf numFmtId="0" fontId="3" fillId="0" borderId="1" xfId="0" quotePrefix="1" applyFont="1" applyFill="1" applyBorder="1" applyAlignment="1">
      <alignment horizontal="left" vertical="top"/>
    </xf>
    <xf numFmtId="0" fontId="3" fillId="22" borderId="1" xfId="0" quotePrefix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23" borderId="1" xfId="0" applyFont="1" applyFill="1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16" fillId="0" borderId="1" xfId="0" quotePrefix="1" applyFont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/>
    </xf>
    <xf numFmtId="0" fontId="7" fillId="24" borderId="1" xfId="0" applyNumberFormat="1" applyFont="1" applyFill="1" applyBorder="1" applyAlignment="1" applyProtection="1">
      <alignment horizontal="left" vertical="top"/>
    </xf>
    <xf numFmtId="0" fontId="1" fillId="0" borderId="1" xfId="0" quotePrefix="1" applyFont="1" applyFill="1" applyBorder="1" applyAlignment="1">
      <alignment horizontal="left" vertical="top"/>
    </xf>
    <xf numFmtId="0" fontId="7" fillId="25" borderId="1" xfId="0" applyNumberFormat="1" applyFont="1" applyFill="1" applyBorder="1" applyAlignment="1" applyProtection="1">
      <alignment horizontal="left" vertical="top"/>
    </xf>
    <xf numFmtId="0" fontId="1" fillId="10" borderId="1" xfId="0" quotePrefix="1" applyFont="1" applyFill="1" applyBorder="1" applyAlignment="1">
      <alignment horizontal="left" vertical="top"/>
    </xf>
    <xf numFmtId="0" fontId="7" fillId="26" borderId="1" xfId="0" applyNumberFormat="1" applyFont="1" applyFill="1" applyBorder="1" applyAlignment="1" applyProtection="1">
      <alignment horizontal="left" vertical="top"/>
    </xf>
    <xf numFmtId="0" fontId="0" fillId="26" borderId="1" xfId="0" applyFont="1" applyFill="1" applyBorder="1" applyAlignment="1">
      <alignment horizontal="left" vertical="top"/>
    </xf>
    <xf numFmtId="0" fontId="1" fillId="26" borderId="1" xfId="0" quotePrefix="1" applyFont="1" applyFill="1" applyBorder="1" applyAlignment="1">
      <alignment horizontal="left" vertical="top"/>
    </xf>
    <xf numFmtId="0" fontId="0" fillId="26" borderId="1" xfId="0" quotePrefix="1" applyFont="1" applyFill="1" applyBorder="1" applyAlignment="1">
      <alignment horizontal="left" vertical="top"/>
    </xf>
    <xf numFmtId="164" fontId="0" fillId="26" borderId="1" xfId="0" applyNumberFormat="1" applyFont="1" applyFill="1" applyBorder="1" applyAlignment="1">
      <alignment horizontal="left" vertical="top"/>
    </xf>
    <xf numFmtId="10" fontId="0" fillId="26" borderId="1" xfId="0" applyNumberFormat="1" applyFont="1" applyFill="1" applyBorder="1" applyAlignment="1">
      <alignment horizontal="left" vertical="top"/>
    </xf>
    <xf numFmtId="0" fontId="11" fillId="26" borderId="1" xfId="0" applyFont="1" applyFill="1" applyBorder="1" applyAlignment="1">
      <alignment horizontal="left" vertical="top"/>
    </xf>
    <xf numFmtId="0" fontId="0" fillId="26" borderId="1" xfId="0" applyFill="1" applyBorder="1" applyAlignment="1">
      <alignment horizontal="left" vertical="top"/>
    </xf>
    <xf numFmtId="0" fontId="17" fillId="26" borderId="0" xfId="0" applyFont="1" applyFill="1"/>
    <xf numFmtId="0" fontId="20" fillId="26" borderId="1" xfId="0" applyFont="1" applyFill="1" applyBorder="1" applyAlignment="1">
      <alignment horizontal="left" vertical="top"/>
    </xf>
    <xf numFmtId="164" fontId="0" fillId="10" borderId="1" xfId="0" applyNumberFormat="1" applyFont="1" applyFill="1" applyBorder="1" applyAlignment="1">
      <alignment horizontal="left" vertical="top"/>
    </xf>
    <xf numFmtId="0" fontId="7" fillId="27" borderId="1" xfId="0" applyNumberFormat="1" applyFont="1" applyFill="1" applyBorder="1" applyAlignment="1" applyProtection="1">
      <alignment horizontal="left" vertical="top"/>
    </xf>
    <xf numFmtId="0" fontId="0" fillId="0" borderId="1" xfId="0" quotePrefix="1" applyBorder="1" applyAlignment="1">
      <alignment horizontal="left"/>
    </xf>
    <xf numFmtId="14" fontId="0" fillId="0" borderId="1" xfId="0" applyNumberFormat="1" applyFont="1" applyBorder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7" fillId="19" borderId="1" xfId="0" applyNumberFormat="1" applyFont="1" applyFill="1" applyBorder="1" applyAlignment="1" applyProtection="1">
      <alignment horizontal="left" vertical="top"/>
    </xf>
    <xf numFmtId="0" fontId="0" fillId="0" borderId="1" xfId="0" quotePrefix="1" applyBorder="1" applyAlignment="1">
      <alignment horizontal="left" vertical="top" wrapText="1"/>
    </xf>
    <xf numFmtId="0" fontId="0" fillId="14" borderId="1" xfId="0" quotePrefix="1" applyFill="1" applyBorder="1" applyAlignment="1">
      <alignment horizontal="left" vertical="top"/>
    </xf>
    <xf numFmtId="0" fontId="7" fillId="0" borderId="1" xfId="0" applyNumberFormat="1" applyFont="1" applyBorder="1" applyAlignment="1">
      <alignment horizontal="left" vertical="top"/>
    </xf>
    <xf numFmtId="0" fontId="2" fillId="0" borderId="1" xfId="0" quotePrefix="1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quotePrefix="1" applyFont="1" applyFill="1" applyBorder="1" applyAlignment="1">
      <alignment horizontal="left" vertical="top"/>
    </xf>
    <xf numFmtId="0" fontId="2" fillId="0" borderId="1" xfId="0" quotePrefix="1" applyFont="1" applyFill="1" applyBorder="1" applyAlignment="1">
      <alignment horizontal="left"/>
    </xf>
    <xf numFmtId="0" fontId="0" fillId="0" borderId="1" xfId="0" quotePrefix="1" applyFill="1" applyBorder="1" applyAlignment="1">
      <alignment horizontal="left"/>
    </xf>
    <xf numFmtId="0" fontId="0" fillId="14" borderId="1" xfId="0" quotePrefix="1" applyFont="1" applyFill="1" applyBorder="1" applyAlignment="1">
      <alignment horizontal="left" vertical="top"/>
    </xf>
    <xf numFmtId="0" fontId="7" fillId="28" borderId="1" xfId="0" applyNumberFormat="1" applyFont="1" applyFill="1" applyBorder="1" applyAlignment="1" applyProtection="1">
      <alignment horizontal="left" vertical="top"/>
    </xf>
    <xf numFmtId="0" fontId="2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9" borderId="1" xfId="0" applyFont="1" applyFill="1" applyBorder="1" applyAlignment="1">
      <alignment horizontal="left" vertical="top"/>
    </xf>
    <xf numFmtId="0" fontId="2" fillId="29" borderId="1" xfId="0" applyFont="1" applyFill="1" applyBorder="1" applyAlignment="1">
      <alignment horizontal="left" vertical="top"/>
    </xf>
    <xf numFmtId="0" fontId="0" fillId="27" borderId="1" xfId="0" applyFill="1" applyBorder="1" applyAlignment="1">
      <alignment horizontal="left" vertical="top"/>
    </xf>
    <xf numFmtId="0" fontId="0" fillId="29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7" fillId="30" borderId="1" xfId="0" applyNumberFormat="1" applyFont="1" applyFill="1" applyBorder="1" applyAlignment="1" applyProtection="1">
      <alignment horizontal="left" vertical="top"/>
    </xf>
    <xf numFmtId="0" fontId="0" fillId="0" borderId="1" xfId="0" applyNumberFormat="1" applyFont="1" applyFill="1" applyBorder="1" applyAlignment="1" applyProtection="1"/>
    <xf numFmtId="0" fontId="0" fillId="0" borderId="1" xfId="0" quotePrefix="1" applyFont="1" applyBorder="1" applyAlignment="1">
      <alignment horizontal="left" vertical="top" wrapText="1"/>
    </xf>
    <xf numFmtId="14" fontId="0" fillId="0" borderId="1" xfId="0" applyNumberFormat="1" applyFont="1" applyFill="1" applyBorder="1" applyAlignment="1">
      <alignment horizontal="left" vertical="top"/>
    </xf>
    <xf numFmtId="0" fontId="0" fillId="14" borderId="1" xfId="0" applyFill="1" applyBorder="1" applyAlignment="1">
      <alignment horizontal="left" vertical="top"/>
    </xf>
  </cellXfs>
  <cellStyles count="1">
    <cellStyle name="Normal" xfId="0" builtinId="0"/>
  </cellStyles>
  <dxfs count="73">
    <dxf>
      <fill>
        <patternFill>
          <bgColor rgb="FF92D05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-ut40346c\nhi5hc\hieunguyen\0000_Project\001_Prj\02_JOEM\Summary_JOEM_COEM_202005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-ut40346c\nhi5hc\hieunguyen\0000_Project\001_Prj\02_JOEM\Summary_JOEM_202004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-ut40346c\nhi5hc\hieunguyen\0000_Project\001_Prj\01_COEM\Summary_COEM_202004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ged_COEM"/>
      <sheetName val="Merged_JOEM"/>
      <sheetName val="|-&gt;"/>
      <sheetName val="Report_For_Each_Project_COEM"/>
      <sheetName val="Report_For_Each_Project_JOEM"/>
      <sheetName val="Template_Total_Report"/>
      <sheetName val="Table"/>
      <sheetName val="Check_List"/>
      <sheetName val="|--&gt;"/>
      <sheetName val="Monthly_20200520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ASW</v>
          </cell>
          <cell r="D3" t="str">
            <v>PSW</v>
          </cell>
        </row>
        <row r="4">
          <cell r="C4">
            <v>130</v>
          </cell>
          <cell r="D4">
            <v>450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ged"/>
      <sheetName val="|-&gt;"/>
      <sheetName val="Report_For_Each_Project"/>
      <sheetName val="Template_Total_Report"/>
      <sheetName val="Table"/>
      <sheetName val="Check_List"/>
      <sheetName val="|--&gt;"/>
      <sheetName val="Monthly_2020042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ged"/>
      <sheetName val="|--&gt;"/>
      <sheetName val="Template_Total_Report"/>
      <sheetName val="Tabl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G516"/>
  <sheetViews>
    <sheetView topLeftCell="A106" workbookViewId="0">
      <selection activeCell="B516" sqref="B516"/>
    </sheetView>
  </sheetViews>
  <sheetFormatPr defaultRowHeight="12.75" x14ac:dyDescent="0.2"/>
  <cols>
    <col min="2" max="2" width="62.85546875" bestFit="1" customWidth="1"/>
    <col min="3" max="3" width="19" bestFit="1" customWidth="1"/>
    <col min="4" max="4" width="12.140625" bestFit="1" customWidth="1"/>
  </cols>
  <sheetData>
    <row r="1" spans="2:7" ht="15" x14ac:dyDescent="0.2">
      <c r="B1" s="2" t="s">
        <v>239</v>
      </c>
      <c r="C1" s="2" t="s">
        <v>248</v>
      </c>
      <c r="D1" s="2" t="s">
        <v>410</v>
      </c>
      <c r="E1" s="14" t="s">
        <v>453</v>
      </c>
    </row>
    <row r="2" spans="2:7" x14ac:dyDescent="0.2">
      <c r="B2" t="s">
        <v>0</v>
      </c>
      <c r="C2" t="s">
        <v>4</v>
      </c>
      <c r="D2">
        <v>2</v>
      </c>
      <c r="E2">
        <v>1.1000000000000001</v>
      </c>
      <c r="G2" t="s">
        <v>414</v>
      </c>
    </row>
    <row r="3" spans="2:7" x14ac:dyDescent="0.2">
      <c r="B3" t="s">
        <v>0</v>
      </c>
      <c r="C3" t="s">
        <v>4</v>
      </c>
      <c r="D3">
        <v>0.5</v>
      </c>
      <c r="E3">
        <v>0.39</v>
      </c>
      <c r="G3" t="s">
        <v>411</v>
      </c>
    </row>
    <row r="4" spans="2:7" x14ac:dyDescent="0.2">
      <c r="B4" t="s">
        <v>0</v>
      </c>
      <c r="C4" t="s">
        <v>4</v>
      </c>
      <c r="D4">
        <v>0.5</v>
      </c>
      <c r="E4">
        <v>0.46</v>
      </c>
      <c r="G4" t="s">
        <v>412</v>
      </c>
    </row>
    <row r="5" spans="2:7" x14ac:dyDescent="0.2">
      <c r="B5" t="s">
        <v>0</v>
      </c>
      <c r="C5" t="s">
        <v>4</v>
      </c>
      <c r="D5">
        <v>1</v>
      </c>
      <c r="E5">
        <v>0.62</v>
      </c>
      <c r="G5" t="s">
        <v>413</v>
      </c>
    </row>
    <row r="6" spans="2:7" x14ac:dyDescent="0.2">
      <c r="B6" t="s">
        <v>0</v>
      </c>
      <c r="C6" t="s">
        <v>4</v>
      </c>
      <c r="D6">
        <v>1</v>
      </c>
      <c r="E6">
        <v>1.79</v>
      </c>
    </row>
    <row r="7" spans="2:7" x14ac:dyDescent="0.2">
      <c r="B7" t="s">
        <v>0</v>
      </c>
      <c r="C7" t="s">
        <v>4</v>
      </c>
      <c r="D7">
        <v>1</v>
      </c>
      <c r="E7">
        <v>1.19</v>
      </c>
    </row>
    <row r="8" spans="2:7" x14ac:dyDescent="0.2">
      <c r="B8" t="s">
        <v>0</v>
      </c>
      <c r="C8" t="s">
        <v>4</v>
      </c>
      <c r="D8">
        <v>1</v>
      </c>
      <c r="E8">
        <v>2.4300000000000002</v>
      </c>
    </row>
    <row r="9" spans="2:7" x14ac:dyDescent="0.2">
      <c r="B9" t="s">
        <v>0</v>
      </c>
      <c r="C9" t="s">
        <v>4</v>
      </c>
      <c r="D9">
        <v>1</v>
      </c>
      <c r="E9">
        <v>2.84</v>
      </c>
    </row>
    <row r="10" spans="2:7" x14ac:dyDescent="0.2">
      <c r="B10" t="s">
        <v>0</v>
      </c>
      <c r="C10" t="s">
        <v>4</v>
      </c>
      <c r="D10">
        <v>1</v>
      </c>
      <c r="E10">
        <v>2.4500000000000002</v>
      </c>
    </row>
    <row r="11" spans="2:7" x14ac:dyDescent="0.2">
      <c r="B11" t="s">
        <v>0</v>
      </c>
      <c r="C11" t="s">
        <v>4</v>
      </c>
      <c r="D11">
        <v>1</v>
      </c>
      <c r="E11">
        <v>3.34</v>
      </c>
    </row>
    <row r="12" spans="2:7" x14ac:dyDescent="0.2">
      <c r="B12" t="s">
        <v>0</v>
      </c>
      <c r="C12" t="s">
        <v>15</v>
      </c>
      <c r="D12">
        <v>2</v>
      </c>
      <c r="E12">
        <v>3.36</v>
      </c>
    </row>
    <row r="13" spans="2:7" x14ac:dyDescent="0.2">
      <c r="B13" t="s">
        <v>0</v>
      </c>
      <c r="C13" t="s">
        <v>15</v>
      </c>
      <c r="D13">
        <v>2</v>
      </c>
      <c r="E13">
        <v>3.07</v>
      </c>
    </row>
    <row r="14" spans="2:7" x14ac:dyDescent="0.2">
      <c r="B14" t="s">
        <v>0</v>
      </c>
      <c r="C14" t="s">
        <v>15</v>
      </c>
      <c r="D14">
        <v>2</v>
      </c>
      <c r="E14">
        <v>3.12</v>
      </c>
    </row>
    <row r="15" spans="2:7" x14ac:dyDescent="0.2">
      <c r="B15" t="s">
        <v>0</v>
      </c>
      <c r="C15" t="s">
        <v>15</v>
      </c>
      <c r="D15">
        <v>2</v>
      </c>
      <c r="E15">
        <v>4.24</v>
      </c>
    </row>
    <row r="16" spans="2:7" x14ac:dyDescent="0.2">
      <c r="B16" t="s">
        <v>0</v>
      </c>
      <c r="C16" t="s">
        <v>15</v>
      </c>
      <c r="D16">
        <v>1</v>
      </c>
      <c r="E16">
        <v>4.21</v>
      </c>
    </row>
    <row r="17" spans="2:5" x14ac:dyDescent="0.2">
      <c r="B17" t="s">
        <v>0</v>
      </c>
      <c r="C17" t="s">
        <v>15</v>
      </c>
      <c r="D17">
        <v>1</v>
      </c>
      <c r="E17">
        <v>0.14000000000000001</v>
      </c>
    </row>
    <row r="18" spans="2:5" x14ac:dyDescent="0.2">
      <c r="B18" t="s">
        <v>0</v>
      </c>
      <c r="C18" t="s">
        <v>15</v>
      </c>
      <c r="D18">
        <v>1</v>
      </c>
      <c r="E18">
        <v>2.93</v>
      </c>
    </row>
    <row r="19" spans="2:5" x14ac:dyDescent="0.2">
      <c r="B19" t="s">
        <v>0</v>
      </c>
      <c r="C19" t="s">
        <v>15</v>
      </c>
      <c r="D19">
        <v>0</v>
      </c>
      <c r="E19">
        <v>0</v>
      </c>
    </row>
    <row r="20" spans="2:5" x14ac:dyDescent="0.2">
      <c r="B20" t="s">
        <v>0</v>
      </c>
      <c r="C20" t="s">
        <v>24</v>
      </c>
      <c r="D20">
        <v>1</v>
      </c>
      <c r="E20">
        <v>0.21</v>
      </c>
    </row>
    <row r="21" spans="2:5" x14ac:dyDescent="0.2">
      <c r="B21" t="s">
        <v>0</v>
      </c>
      <c r="C21" t="s">
        <v>24</v>
      </c>
      <c r="D21">
        <v>1</v>
      </c>
      <c r="E21">
        <v>0.65</v>
      </c>
    </row>
    <row r="22" spans="2:5" x14ac:dyDescent="0.2">
      <c r="B22" t="s">
        <v>0</v>
      </c>
      <c r="C22" t="s">
        <v>24</v>
      </c>
      <c r="D22">
        <v>0.1</v>
      </c>
      <c r="E22">
        <v>0.05</v>
      </c>
    </row>
    <row r="23" spans="2:5" x14ac:dyDescent="0.2">
      <c r="B23" t="s">
        <v>27</v>
      </c>
      <c r="C23" t="s">
        <v>24</v>
      </c>
      <c r="D23">
        <v>1</v>
      </c>
      <c r="E23">
        <v>5.72</v>
      </c>
    </row>
    <row r="24" spans="2:5" x14ac:dyDescent="0.2">
      <c r="B24" t="s">
        <v>30</v>
      </c>
      <c r="C24" t="s">
        <v>24</v>
      </c>
      <c r="D24">
        <v>0.2</v>
      </c>
      <c r="E24">
        <v>0.44</v>
      </c>
    </row>
    <row r="25" spans="2:5" x14ac:dyDescent="0.2">
      <c r="B25" t="s">
        <v>30</v>
      </c>
      <c r="C25" t="s">
        <v>24</v>
      </c>
      <c r="D25">
        <v>0.2</v>
      </c>
      <c r="E25">
        <v>0.49</v>
      </c>
    </row>
    <row r="26" spans="2:5" x14ac:dyDescent="0.2">
      <c r="B26" t="s">
        <v>30</v>
      </c>
      <c r="C26" t="s">
        <v>24</v>
      </c>
      <c r="D26">
        <v>0.1</v>
      </c>
      <c r="E26">
        <v>0.81</v>
      </c>
    </row>
    <row r="27" spans="2:5" x14ac:dyDescent="0.2">
      <c r="B27" t="s">
        <v>30</v>
      </c>
      <c r="C27" t="s">
        <v>24</v>
      </c>
      <c r="D27">
        <v>0.1</v>
      </c>
      <c r="E27">
        <v>0.55000000000000004</v>
      </c>
    </row>
    <row r="28" spans="2:5" x14ac:dyDescent="0.2">
      <c r="B28" t="s">
        <v>30</v>
      </c>
      <c r="C28" t="s">
        <v>24</v>
      </c>
      <c r="D28">
        <v>1</v>
      </c>
      <c r="E28">
        <v>1.81</v>
      </c>
    </row>
    <row r="29" spans="2:5" x14ac:dyDescent="0.2">
      <c r="B29" t="s">
        <v>30</v>
      </c>
      <c r="C29" t="s">
        <v>24</v>
      </c>
      <c r="D29">
        <v>1</v>
      </c>
      <c r="E29">
        <v>1.17</v>
      </c>
    </row>
    <row r="30" spans="2:5" x14ac:dyDescent="0.2">
      <c r="B30" t="s">
        <v>30</v>
      </c>
      <c r="C30" t="s">
        <v>24</v>
      </c>
      <c r="D30">
        <v>0.1</v>
      </c>
      <c r="E30">
        <v>0.33</v>
      </c>
    </row>
    <row r="31" spans="2:5" x14ac:dyDescent="0.2">
      <c r="B31" t="s">
        <v>39</v>
      </c>
      <c r="C31" t="s">
        <v>40</v>
      </c>
      <c r="D31">
        <v>0.25</v>
      </c>
      <c r="E31">
        <v>0.44</v>
      </c>
    </row>
    <row r="32" spans="2:5" x14ac:dyDescent="0.2">
      <c r="B32" t="s">
        <v>39</v>
      </c>
      <c r="C32" t="s">
        <v>40</v>
      </c>
      <c r="D32">
        <v>0.12</v>
      </c>
      <c r="E32">
        <v>0.49</v>
      </c>
    </row>
    <row r="33" spans="2:5" x14ac:dyDescent="0.2">
      <c r="B33" t="s">
        <v>39</v>
      </c>
      <c r="C33" t="s">
        <v>40</v>
      </c>
      <c r="D33">
        <v>0.12</v>
      </c>
      <c r="E33">
        <v>0.81</v>
      </c>
    </row>
    <row r="34" spans="2:5" x14ac:dyDescent="0.2">
      <c r="B34" t="s">
        <v>39</v>
      </c>
      <c r="C34" t="s">
        <v>40</v>
      </c>
      <c r="D34">
        <v>0.25</v>
      </c>
      <c r="E34">
        <v>0.55000000000000004</v>
      </c>
    </row>
    <row r="35" spans="2:5" x14ac:dyDescent="0.2">
      <c r="B35" t="s">
        <v>39</v>
      </c>
      <c r="C35" t="s">
        <v>24</v>
      </c>
      <c r="D35">
        <v>1</v>
      </c>
      <c r="E35">
        <v>1.81</v>
      </c>
    </row>
    <row r="36" spans="2:5" x14ac:dyDescent="0.2">
      <c r="B36" t="s">
        <v>39</v>
      </c>
      <c r="C36" t="s">
        <v>24</v>
      </c>
      <c r="D36">
        <v>1</v>
      </c>
      <c r="E36">
        <v>1.17</v>
      </c>
    </row>
    <row r="37" spans="2:5" x14ac:dyDescent="0.2">
      <c r="B37" t="s">
        <v>39</v>
      </c>
      <c r="C37" t="s">
        <v>24</v>
      </c>
      <c r="D37">
        <v>0.1</v>
      </c>
      <c r="E37">
        <v>0.33</v>
      </c>
    </row>
    <row r="38" spans="2:5" x14ac:dyDescent="0.2">
      <c r="B38" t="s">
        <v>39</v>
      </c>
      <c r="C38" t="s">
        <v>41</v>
      </c>
      <c r="D38">
        <v>2</v>
      </c>
      <c r="E38">
        <v>5.72</v>
      </c>
    </row>
    <row r="39" spans="2:5" x14ac:dyDescent="0.2">
      <c r="B39" t="s">
        <v>39</v>
      </c>
      <c r="C39" t="s">
        <v>41</v>
      </c>
      <c r="D39">
        <v>2</v>
      </c>
      <c r="E39">
        <v>4.76</v>
      </c>
    </row>
    <row r="40" spans="2:5" x14ac:dyDescent="0.2">
      <c r="B40" t="s">
        <v>39</v>
      </c>
      <c r="C40" t="s">
        <v>41</v>
      </c>
      <c r="D40">
        <v>2</v>
      </c>
      <c r="E40">
        <v>4.88</v>
      </c>
    </row>
    <row r="41" spans="2:5" x14ac:dyDescent="0.2">
      <c r="B41" t="s">
        <v>39</v>
      </c>
      <c r="C41" t="s">
        <v>41</v>
      </c>
      <c r="D41">
        <v>2.5</v>
      </c>
      <c r="E41">
        <v>4.74</v>
      </c>
    </row>
    <row r="42" spans="2:5" x14ac:dyDescent="0.2">
      <c r="B42" t="s">
        <v>45</v>
      </c>
      <c r="C42" t="s">
        <v>24</v>
      </c>
      <c r="D42">
        <v>1</v>
      </c>
      <c r="E42">
        <v>3.55</v>
      </c>
    </row>
    <row r="43" spans="2:5" x14ac:dyDescent="0.2">
      <c r="B43" t="s">
        <v>45</v>
      </c>
      <c r="C43" t="s">
        <v>24</v>
      </c>
      <c r="D43">
        <v>1</v>
      </c>
      <c r="E43">
        <v>2.4300000000000002</v>
      </c>
    </row>
    <row r="44" spans="2:5" x14ac:dyDescent="0.2">
      <c r="B44" t="s">
        <v>45</v>
      </c>
      <c r="C44" t="s">
        <v>4</v>
      </c>
      <c r="D44">
        <v>6</v>
      </c>
      <c r="E44">
        <v>6.09</v>
      </c>
    </row>
    <row r="45" spans="2:5" x14ac:dyDescent="0.2">
      <c r="B45" t="s">
        <v>45</v>
      </c>
      <c r="C45" t="s">
        <v>24</v>
      </c>
      <c r="D45">
        <v>0.1</v>
      </c>
      <c r="E45">
        <v>0.64</v>
      </c>
    </row>
    <row r="46" spans="2:5" x14ac:dyDescent="0.2">
      <c r="B46" t="s">
        <v>45</v>
      </c>
      <c r="C46" t="s">
        <v>24</v>
      </c>
      <c r="D46">
        <v>6</v>
      </c>
      <c r="E46">
        <v>4</v>
      </c>
    </row>
    <row r="47" spans="2:5" x14ac:dyDescent="0.2">
      <c r="B47" t="s">
        <v>45</v>
      </c>
      <c r="C47" t="s">
        <v>41</v>
      </c>
      <c r="D47">
        <v>3</v>
      </c>
      <c r="E47">
        <v>3.44</v>
      </c>
    </row>
    <row r="48" spans="2:5" x14ac:dyDescent="0.2">
      <c r="B48" t="s">
        <v>45</v>
      </c>
      <c r="C48" t="s">
        <v>41</v>
      </c>
      <c r="D48">
        <v>6</v>
      </c>
      <c r="E48">
        <v>5.7</v>
      </c>
    </row>
    <row r="49" spans="2:5" x14ac:dyDescent="0.2">
      <c r="B49" t="s">
        <v>45</v>
      </c>
      <c r="C49" t="s">
        <v>41</v>
      </c>
      <c r="D49">
        <v>1</v>
      </c>
      <c r="E49">
        <v>0.92</v>
      </c>
    </row>
    <row r="50" spans="2:5" x14ac:dyDescent="0.2">
      <c r="B50" t="s">
        <v>45</v>
      </c>
      <c r="C50" t="s">
        <v>41</v>
      </c>
      <c r="D50">
        <v>3</v>
      </c>
      <c r="E50">
        <v>3.71</v>
      </c>
    </row>
    <row r="51" spans="2:5" x14ac:dyDescent="0.2">
      <c r="B51" t="s">
        <v>45</v>
      </c>
      <c r="C51" t="s">
        <v>41</v>
      </c>
      <c r="D51">
        <v>2</v>
      </c>
      <c r="E51">
        <v>1.19</v>
      </c>
    </row>
    <row r="52" spans="2:5" x14ac:dyDescent="0.2">
      <c r="B52" t="s">
        <v>45</v>
      </c>
      <c r="C52" t="s">
        <v>41</v>
      </c>
      <c r="D52">
        <v>3</v>
      </c>
      <c r="E52">
        <v>3.59</v>
      </c>
    </row>
    <row r="53" spans="2:5" x14ac:dyDescent="0.2">
      <c r="B53" t="s">
        <v>45</v>
      </c>
      <c r="C53" t="s">
        <v>15</v>
      </c>
      <c r="D53">
        <v>2</v>
      </c>
      <c r="E53">
        <v>2.36</v>
      </c>
    </row>
    <row r="54" spans="2:5" x14ac:dyDescent="0.2">
      <c r="B54" t="s">
        <v>45</v>
      </c>
      <c r="C54" t="s">
        <v>15</v>
      </c>
      <c r="D54">
        <v>1</v>
      </c>
      <c r="E54">
        <v>2.5</v>
      </c>
    </row>
    <row r="55" spans="2:5" x14ac:dyDescent="0.2">
      <c r="B55" t="s">
        <v>60</v>
      </c>
      <c r="C55" t="s">
        <v>15</v>
      </c>
      <c r="D55">
        <v>0.5</v>
      </c>
      <c r="E55">
        <v>1.49</v>
      </c>
    </row>
    <row r="56" spans="2:5" x14ac:dyDescent="0.2">
      <c r="B56" t="s">
        <v>60</v>
      </c>
      <c r="C56" t="s">
        <v>15</v>
      </c>
      <c r="D56">
        <v>0.5</v>
      </c>
      <c r="E56">
        <v>1.88</v>
      </c>
    </row>
    <row r="57" spans="2:5" x14ac:dyDescent="0.2">
      <c r="B57" t="s">
        <v>60</v>
      </c>
      <c r="C57" t="s">
        <v>15</v>
      </c>
      <c r="D57">
        <v>1</v>
      </c>
      <c r="E57">
        <v>4.5999999999999996</v>
      </c>
    </row>
    <row r="58" spans="2:5" x14ac:dyDescent="0.2">
      <c r="B58" t="s">
        <v>60</v>
      </c>
      <c r="C58" t="s">
        <v>15</v>
      </c>
      <c r="D58">
        <v>1</v>
      </c>
      <c r="E58">
        <v>2.48</v>
      </c>
    </row>
    <row r="59" spans="2:5" x14ac:dyDescent="0.2">
      <c r="B59" t="s">
        <v>60</v>
      </c>
      <c r="C59" t="s">
        <v>15</v>
      </c>
      <c r="D59">
        <v>1</v>
      </c>
      <c r="E59">
        <v>1.36</v>
      </c>
    </row>
    <row r="60" spans="2:5" x14ac:dyDescent="0.2">
      <c r="B60" t="s">
        <v>60</v>
      </c>
      <c r="C60" t="s">
        <v>15</v>
      </c>
      <c r="D60">
        <v>1</v>
      </c>
      <c r="E60">
        <v>0.94</v>
      </c>
    </row>
    <row r="61" spans="2:5" x14ac:dyDescent="0.2">
      <c r="B61" t="s">
        <v>60</v>
      </c>
      <c r="C61" t="s">
        <v>15</v>
      </c>
      <c r="D61">
        <v>1</v>
      </c>
      <c r="E61">
        <v>2.84</v>
      </c>
    </row>
    <row r="62" spans="2:5" x14ac:dyDescent="0.2">
      <c r="B62" t="s">
        <v>60</v>
      </c>
      <c r="C62" t="s">
        <v>4</v>
      </c>
      <c r="D62">
        <v>1</v>
      </c>
      <c r="E62">
        <v>7.75</v>
      </c>
    </row>
    <row r="63" spans="2:5" x14ac:dyDescent="0.2">
      <c r="B63" t="s">
        <v>60</v>
      </c>
      <c r="C63" t="s">
        <v>4</v>
      </c>
      <c r="D63">
        <v>1</v>
      </c>
      <c r="E63">
        <v>0.97</v>
      </c>
    </row>
    <row r="64" spans="2:5" x14ac:dyDescent="0.2">
      <c r="B64" t="s">
        <v>60</v>
      </c>
      <c r="C64" t="s">
        <v>4</v>
      </c>
      <c r="D64">
        <v>1</v>
      </c>
      <c r="E64">
        <v>3.55</v>
      </c>
    </row>
    <row r="65" spans="2:5" x14ac:dyDescent="0.2">
      <c r="B65" t="s">
        <v>60</v>
      </c>
      <c r="C65" t="s">
        <v>4</v>
      </c>
      <c r="D65">
        <v>1</v>
      </c>
      <c r="E65">
        <v>2.31</v>
      </c>
    </row>
    <row r="66" spans="2:5" x14ac:dyDescent="0.2">
      <c r="B66" t="s">
        <v>60</v>
      </c>
      <c r="C66" t="s">
        <v>4</v>
      </c>
      <c r="D66">
        <v>1</v>
      </c>
      <c r="E66">
        <v>3.53</v>
      </c>
    </row>
    <row r="67" spans="2:5" x14ac:dyDescent="0.2">
      <c r="B67" t="s">
        <v>60</v>
      </c>
      <c r="C67" t="s">
        <v>4</v>
      </c>
      <c r="D67">
        <v>0</v>
      </c>
      <c r="E67">
        <v>0.1</v>
      </c>
    </row>
    <row r="68" spans="2:5" x14ac:dyDescent="0.2">
      <c r="B68" t="s">
        <v>75</v>
      </c>
      <c r="C68" t="s">
        <v>77</v>
      </c>
      <c r="D68">
        <v>0.25</v>
      </c>
      <c r="E68">
        <v>1.06</v>
      </c>
    </row>
    <row r="69" spans="2:5" x14ac:dyDescent="0.2">
      <c r="B69" t="s">
        <v>75</v>
      </c>
      <c r="C69" t="s">
        <v>77</v>
      </c>
      <c r="D69">
        <v>0</v>
      </c>
      <c r="E69">
        <v>0</v>
      </c>
    </row>
    <row r="70" spans="2:5" x14ac:dyDescent="0.2">
      <c r="B70" t="s">
        <v>75</v>
      </c>
      <c r="C70" t="s">
        <v>77</v>
      </c>
      <c r="D70">
        <v>0</v>
      </c>
      <c r="E70">
        <v>0</v>
      </c>
    </row>
    <row r="71" spans="2:5" x14ac:dyDescent="0.2">
      <c r="B71" t="s">
        <v>75</v>
      </c>
      <c r="C71" t="s">
        <v>77</v>
      </c>
      <c r="D71">
        <v>0</v>
      </c>
      <c r="E71">
        <v>0</v>
      </c>
    </row>
    <row r="72" spans="2:5" x14ac:dyDescent="0.2">
      <c r="B72" t="s">
        <v>75</v>
      </c>
      <c r="C72" t="s">
        <v>77</v>
      </c>
      <c r="D72">
        <v>0.25</v>
      </c>
      <c r="E72">
        <v>0.08</v>
      </c>
    </row>
    <row r="73" spans="2:5" x14ac:dyDescent="0.2">
      <c r="B73" t="s">
        <v>75</v>
      </c>
      <c r="C73" t="s">
        <v>77</v>
      </c>
      <c r="D73">
        <v>0.25</v>
      </c>
      <c r="E73">
        <v>0.23</v>
      </c>
    </row>
    <row r="74" spans="2:5" x14ac:dyDescent="0.2">
      <c r="B74" t="s">
        <v>75</v>
      </c>
      <c r="C74" t="s">
        <v>77</v>
      </c>
      <c r="D74">
        <v>0.25</v>
      </c>
      <c r="E74">
        <v>7.0000000000000007E-2</v>
      </c>
    </row>
    <row r="75" spans="2:5" x14ac:dyDescent="0.2">
      <c r="B75" t="s">
        <v>75</v>
      </c>
      <c r="C75" t="s">
        <v>77</v>
      </c>
      <c r="D75">
        <v>0.25</v>
      </c>
      <c r="E75">
        <v>5.84</v>
      </c>
    </row>
    <row r="76" spans="2:5" x14ac:dyDescent="0.2">
      <c r="B76" t="s">
        <v>75</v>
      </c>
      <c r="C76" t="s">
        <v>77</v>
      </c>
      <c r="D76">
        <v>0.25</v>
      </c>
      <c r="E76">
        <v>1.7</v>
      </c>
    </row>
    <row r="77" spans="2:5" x14ac:dyDescent="0.2">
      <c r="B77" t="s">
        <v>75</v>
      </c>
      <c r="C77" t="s">
        <v>77</v>
      </c>
      <c r="D77">
        <v>26</v>
      </c>
      <c r="E77">
        <v>9.1999999999999993</v>
      </c>
    </row>
    <row r="78" spans="2:5" x14ac:dyDescent="0.2">
      <c r="B78" t="s">
        <v>75</v>
      </c>
      <c r="C78" t="s">
        <v>77</v>
      </c>
      <c r="D78">
        <v>0.25</v>
      </c>
      <c r="E78">
        <v>0.9</v>
      </c>
    </row>
    <row r="79" spans="2:5" x14ac:dyDescent="0.2">
      <c r="B79" t="s">
        <v>75</v>
      </c>
      <c r="C79" t="s">
        <v>77</v>
      </c>
      <c r="D79">
        <v>0</v>
      </c>
      <c r="E79">
        <v>0</v>
      </c>
    </row>
    <row r="80" spans="2:5" x14ac:dyDescent="0.2">
      <c r="B80" t="s">
        <v>75</v>
      </c>
      <c r="C80" t="s">
        <v>40</v>
      </c>
      <c r="D80">
        <v>0.1</v>
      </c>
      <c r="E80">
        <v>0.12</v>
      </c>
    </row>
    <row r="81" spans="2:5" x14ac:dyDescent="0.2">
      <c r="B81" t="s">
        <v>75</v>
      </c>
      <c r="C81" t="s">
        <v>40</v>
      </c>
      <c r="D81">
        <v>1</v>
      </c>
      <c r="E81">
        <v>1.38</v>
      </c>
    </row>
    <row r="82" spans="2:5" x14ac:dyDescent="0.2">
      <c r="B82" t="s">
        <v>75</v>
      </c>
      <c r="C82" t="s">
        <v>40</v>
      </c>
      <c r="D82">
        <v>0.5</v>
      </c>
      <c r="E82">
        <v>0.42</v>
      </c>
    </row>
    <row r="83" spans="2:5" x14ac:dyDescent="0.2">
      <c r="B83" t="s">
        <v>75</v>
      </c>
      <c r="C83" t="s">
        <v>40</v>
      </c>
      <c r="D83">
        <v>0.25</v>
      </c>
      <c r="E83">
        <v>0.21</v>
      </c>
    </row>
    <row r="84" spans="2:5" x14ac:dyDescent="0.2">
      <c r="B84" t="s">
        <v>75</v>
      </c>
      <c r="C84" t="s">
        <v>40</v>
      </c>
      <c r="D84">
        <v>0</v>
      </c>
      <c r="E84">
        <v>0</v>
      </c>
    </row>
    <row r="85" spans="2:5" x14ac:dyDescent="0.2">
      <c r="B85" t="s">
        <v>75</v>
      </c>
      <c r="C85" t="s">
        <v>40</v>
      </c>
      <c r="D85">
        <v>0.08</v>
      </c>
      <c r="E85">
        <v>0.08</v>
      </c>
    </row>
    <row r="86" spans="2:5" x14ac:dyDescent="0.2">
      <c r="B86" t="s">
        <v>75</v>
      </c>
      <c r="C86" t="s">
        <v>40</v>
      </c>
      <c r="D86">
        <v>0.12</v>
      </c>
      <c r="E86">
        <v>0.14000000000000001</v>
      </c>
    </row>
    <row r="87" spans="2:5" x14ac:dyDescent="0.2">
      <c r="B87" t="s">
        <v>75</v>
      </c>
      <c r="C87" t="s">
        <v>40</v>
      </c>
      <c r="D87">
        <v>0.12</v>
      </c>
      <c r="E87">
        <v>0.08</v>
      </c>
    </row>
    <row r="88" spans="2:5" x14ac:dyDescent="0.2">
      <c r="B88" t="s">
        <v>75</v>
      </c>
      <c r="C88" t="s">
        <v>40</v>
      </c>
      <c r="D88">
        <v>0.12</v>
      </c>
      <c r="E88">
        <v>0.17</v>
      </c>
    </row>
    <row r="89" spans="2:5" x14ac:dyDescent="0.2">
      <c r="B89" t="s">
        <v>75</v>
      </c>
      <c r="C89" t="s">
        <v>40</v>
      </c>
      <c r="D89">
        <v>1</v>
      </c>
      <c r="E89">
        <v>0.92</v>
      </c>
    </row>
    <row r="90" spans="2:5" x14ac:dyDescent="0.2">
      <c r="B90" t="s">
        <v>75</v>
      </c>
      <c r="C90" t="s">
        <v>40</v>
      </c>
      <c r="D90">
        <v>0.25</v>
      </c>
      <c r="E90">
        <v>0.32</v>
      </c>
    </row>
    <row r="91" spans="2:5" x14ac:dyDescent="0.2">
      <c r="B91" t="s">
        <v>75</v>
      </c>
      <c r="C91" t="s">
        <v>40</v>
      </c>
      <c r="D91">
        <v>0</v>
      </c>
      <c r="E91">
        <v>0</v>
      </c>
    </row>
    <row r="92" spans="2:5" x14ac:dyDescent="0.2">
      <c r="B92" t="s">
        <v>75</v>
      </c>
      <c r="C92" t="s">
        <v>40</v>
      </c>
      <c r="D92">
        <v>0.5</v>
      </c>
      <c r="E92">
        <v>0.83</v>
      </c>
    </row>
    <row r="93" spans="2:5" x14ac:dyDescent="0.2">
      <c r="B93" t="s">
        <v>75</v>
      </c>
      <c r="C93" t="s">
        <v>40</v>
      </c>
      <c r="D93">
        <v>2</v>
      </c>
      <c r="E93">
        <v>1.79</v>
      </c>
    </row>
    <row r="94" spans="2:5" x14ac:dyDescent="0.2">
      <c r="B94" t="s">
        <v>75</v>
      </c>
      <c r="C94" t="s">
        <v>40</v>
      </c>
      <c r="D94">
        <v>0.08</v>
      </c>
      <c r="E94">
        <v>0.12</v>
      </c>
    </row>
    <row r="95" spans="2:5" x14ac:dyDescent="0.2">
      <c r="B95" t="s">
        <v>75</v>
      </c>
      <c r="C95" t="s">
        <v>40</v>
      </c>
      <c r="D95">
        <v>0.08</v>
      </c>
      <c r="E95">
        <v>0.08</v>
      </c>
    </row>
    <row r="96" spans="2:5" x14ac:dyDescent="0.2">
      <c r="B96" t="s">
        <v>75</v>
      </c>
      <c r="C96" t="s">
        <v>40</v>
      </c>
      <c r="D96">
        <v>1</v>
      </c>
      <c r="E96">
        <v>1.03</v>
      </c>
    </row>
    <row r="97" spans="2:5" x14ac:dyDescent="0.2">
      <c r="B97" t="s">
        <v>75</v>
      </c>
      <c r="C97" t="s">
        <v>40</v>
      </c>
      <c r="D97">
        <v>0.25</v>
      </c>
      <c r="E97">
        <v>0.23</v>
      </c>
    </row>
    <row r="98" spans="2:5" x14ac:dyDescent="0.2">
      <c r="B98" t="s">
        <v>107</v>
      </c>
      <c r="C98" t="s">
        <v>40</v>
      </c>
      <c r="D98">
        <v>0.75</v>
      </c>
      <c r="E98">
        <v>1.31</v>
      </c>
    </row>
    <row r="99" spans="2:5" x14ac:dyDescent="0.2">
      <c r="B99" t="s">
        <v>109</v>
      </c>
      <c r="C99" t="s">
        <v>40</v>
      </c>
      <c r="D99">
        <v>0.25</v>
      </c>
      <c r="E99">
        <v>0.24</v>
      </c>
    </row>
    <row r="100" spans="2:5" x14ac:dyDescent="0.2">
      <c r="B100" t="s">
        <v>109</v>
      </c>
      <c r="C100" t="s">
        <v>40</v>
      </c>
      <c r="D100">
        <v>0.12</v>
      </c>
      <c r="E100">
        <v>0.24</v>
      </c>
    </row>
    <row r="101" spans="2:5" x14ac:dyDescent="0.2">
      <c r="B101" t="s">
        <v>109</v>
      </c>
      <c r="C101" t="s">
        <v>40</v>
      </c>
      <c r="D101">
        <v>0.12</v>
      </c>
      <c r="E101">
        <v>0.23</v>
      </c>
    </row>
    <row r="102" spans="2:5" x14ac:dyDescent="0.2">
      <c r="B102" t="s">
        <v>109</v>
      </c>
      <c r="C102" t="s">
        <v>40</v>
      </c>
      <c r="D102">
        <v>0.12</v>
      </c>
      <c r="E102">
        <v>0.23</v>
      </c>
    </row>
    <row r="103" spans="2:5" x14ac:dyDescent="0.2">
      <c r="B103" t="s">
        <v>115</v>
      </c>
      <c r="C103" t="s">
        <v>40</v>
      </c>
      <c r="D103">
        <v>0.5</v>
      </c>
      <c r="E103">
        <v>0.49</v>
      </c>
    </row>
    <row r="104" spans="2:5" x14ac:dyDescent="0.2">
      <c r="B104" t="s">
        <v>115</v>
      </c>
      <c r="C104" t="s">
        <v>40</v>
      </c>
      <c r="D104">
        <v>1</v>
      </c>
      <c r="E104">
        <v>0.88</v>
      </c>
    </row>
    <row r="105" spans="2:5" x14ac:dyDescent="0.2">
      <c r="B105" t="s">
        <v>119</v>
      </c>
      <c r="C105" t="s">
        <v>15</v>
      </c>
      <c r="D105">
        <v>2</v>
      </c>
      <c r="E105">
        <v>2.06</v>
      </c>
    </row>
    <row r="106" spans="2:5" x14ac:dyDescent="0.2">
      <c r="B106" t="s">
        <v>119</v>
      </c>
      <c r="C106" t="s">
        <v>15</v>
      </c>
      <c r="D106">
        <v>2</v>
      </c>
      <c r="E106">
        <v>2.11</v>
      </c>
    </row>
    <row r="107" spans="2:5" x14ac:dyDescent="0.2">
      <c r="B107" t="s">
        <v>122</v>
      </c>
      <c r="C107" t="s">
        <v>15</v>
      </c>
      <c r="D107">
        <v>2</v>
      </c>
      <c r="E107">
        <v>7</v>
      </c>
    </row>
    <row r="108" spans="2:5" x14ac:dyDescent="0.2">
      <c r="B108" t="s">
        <v>122</v>
      </c>
      <c r="C108" t="s">
        <v>15</v>
      </c>
      <c r="D108">
        <v>2</v>
      </c>
      <c r="E108">
        <v>0.37</v>
      </c>
    </row>
    <row r="109" spans="2:5" x14ac:dyDescent="0.2">
      <c r="B109" t="s">
        <v>126</v>
      </c>
      <c r="C109" t="s">
        <v>24</v>
      </c>
      <c r="D109">
        <v>3</v>
      </c>
      <c r="E109">
        <v>3.53</v>
      </c>
    </row>
    <row r="110" spans="2:5" x14ac:dyDescent="0.2">
      <c r="B110" t="s">
        <v>126</v>
      </c>
      <c r="C110" t="s">
        <v>24</v>
      </c>
      <c r="D110">
        <v>0.1</v>
      </c>
      <c r="E110">
        <v>0.1</v>
      </c>
    </row>
    <row r="111" spans="2:5" x14ac:dyDescent="0.2">
      <c r="B111" t="s">
        <v>126</v>
      </c>
      <c r="C111" t="s">
        <v>24</v>
      </c>
      <c r="D111">
        <v>1</v>
      </c>
      <c r="E111">
        <v>1.28</v>
      </c>
    </row>
    <row r="112" spans="2:5" x14ac:dyDescent="0.2">
      <c r="B112" t="s">
        <v>128</v>
      </c>
      <c r="C112" t="s">
        <v>41</v>
      </c>
      <c r="D112">
        <v>3</v>
      </c>
      <c r="E112">
        <v>25.49</v>
      </c>
    </row>
    <row r="113" spans="2:5" x14ac:dyDescent="0.2">
      <c r="B113" t="s">
        <v>128</v>
      </c>
      <c r="C113" t="s">
        <v>77</v>
      </c>
      <c r="D113">
        <v>0.5</v>
      </c>
      <c r="E113">
        <v>1.33</v>
      </c>
    </row>
    <row r="114" spans="2:5" x14ac:dyDescent="0.2">
      <c r="B114" t="s">
        <v>128</v>
      </c>
      <c r="C114" t="s">
        <v>77</v>
      </c>
      <c r="D114">
        <v>0.5</v>
      </c>
      <c r="E114">
        <v>2.95</v>
      </c>
    </row>
    <row r="115" spans="2:5" x14ac:dyDescent="0.2">
      <c r="B115" t="s">
        <v>128</v>
      </c>
      <c r="C115" t="s">
        <v>4</v>
      </c>
      <c r="D115">
        <v>2</v>
      </c>
      <c r="E115">
        <v>0.81</v>
      </c>
    </row>
    <row r="116" spans="2:5" x14ac:dyDescent="0.2">
      <c r="B116" t="s">
        <v>133</v>
      </c>
      <c r="C116" t="s">
        <v>77</v>
      </c>
      <c r="D116">
        <v>0.25</v>
      </c>
      <c r="E116">
        <v>1.06</v>
      </c>
    </row>
    <row r="117" spans="2:5" x14ac:dyDescent="0.2">
      <c r="B117" t="s">
        <v>135</v>
      </c>
      <c r="C117" t="s">
        <v>77</v>
      </c>
      <c r="D117">
        <v>2</v>
      </c>
      <c r="E117">
        <v>3.92</v>
      </c>
    </row>
    <row r="118" spans="2:5" x14ac:dyDescent="0.2">
      <c r="B118" t="s">
        <v>135</v>
      </c>
      <c r="C118" t="s">
        <v>4</v>
      </c>
      <c r="D118">
        <v>14</v>
      </c>
      <c r="E118">
        <v>16.329999999999998</v>
      </c>
    </row>
    <row r="119" spans="2:5" x14ac:dyDescent="0.2">
      <c r="B119" t="s">
        <v>139</v>
      </c>
      <c r="C119" t="s">
        <v>77</v>
      </c>
      <c r="D119">
        <v>0.5</v>
      </c>
      <c r="E119">
        <v>1.79</v>
      </c>
    </row>
    <row r="120" spans="2:5" x14ac:dyDescent="0.2">
      <c r="B120" t="s">
        <v>139</v>
      </c>
      <c r="C120" t="s">
        <v>77</v>
      </c>
      <c r="D120">
        <v>0</v>
      </c>
      <c r="E120">
        <v>0.9</v>
      </c>
    </row>
    <row r="121" spans="2:5" x14ac:dyDescent="0.2">
      <c r="B121" t="s">
        <v>143</v>
      </c>
      <c r="C121" t="s">
        <v>77</v>
      </c>
      <c r="D121">
        <v>1</v>
      </c>
      <c r="E121">
        <v>1.49</v>
      </c>
    </row>
    <row r="122" spans="2:5" x14ac:dyDescent="0.2">
      <c r="B122" t="s">
        <v>143</v>
      </c>
      <c r="C122" t="s">
        <v>77</v>
      </c>
      <c r="D122">
        <v>0</v>
      </c>
      <c r="E122">
        <v>0.12</v>
      </c>
    </row>
    <row r="123" spans="2:5" x14ac:dyDescent="0.2">
      <c r="B123" t="s">
        <v>143</v>
      </c>
      <c r="C123" t="s">
        <v>77</v>
      </c>
      <c r="D123">
        <v>2</v>
      </c>
      <c r="E123">
        <v>4.5999999999999996</v>
      </c>
    </row>
    <row r="124" spans="2:5" x14ac:dyDescent="0.2">
      <c r="B124" t="s">
        <v>143</v>
      </c>
      <c r="C124" t="s">
        <v>77</v>
      </c>
      <c r="D124">
        <v>1</v>
      </c>
      <c r="E124">
        <v>2.4</v>
      </c>
    </row>
    <row r="125" spans="2:5" x14ac:dyDescent="0.2">
      <c r="B125" t="s">
        <v>143</v>
      </c>
      <c r="C125" t="s">
        <v>77</v>
      </c>
      <c r="D125">
        <v>1</v>
      </c>
      <c r="E125">
        <v>1.45</v>
      </c>
    </row>
    <row r="126" spans="2:5" x14ac:dyDescent="0.2">
      <c r="B126" t="s">
        <v>143</v>
      </c>
      <c r="C126" t="s">
        <v>77</v>
      </c>
      <c r="D126">
        <v>2</v>
      </c>
      <c r="E126">
        <v>5.56</v>
      </c>
    </row>
    <row r="127" spans="2:5" x14ac:dyDescent="0.2">
      <c r="B127" t="s">
        <v>143</v>
      </c>
      <c r="C127" t="s">
        <v>77</v>
      </c>
      <c r="D127">
        <v>1</v>
      </c>
      <c r="E127">
        <v>0.96</v>
      </c>
    </row>
    <row r="128" spans="2:5" x14ac:dyDescent="0.2">
      <c r="B128" t="s">
        <v>143</v>
      </c>
      <c r="C128" t="s">
        <v>77</v>
      </c>
      <c r="D128">
        <v>1</v>
      </c>
      <c r="E128">
        <v>2.56</v>
      </c>
    </row>
    <row r="129" spans="2:5" x14ac:dyDescent="0.2">
      <c r="B129" t="s">
        <v>143</v>
      </c>
      <c r="C129" t="s">
        <v>77</v>
      </c>
      <c r="D129">
        <v>1</v>
      </c>
      <c r="E129">
        <v>1.04</v>
      </c>
    </row>
    <row r="130" spans="2:5" x14ac:dyDescent="0.2">
      <c r="B130" t="s">
        <v>143</v>
      </c>
      <c r="C130" t="s">
        <v>77</v>
      </c>
      <c r="D130">
        <v>2</v>
      </c>
      <c r="E130">
        <v>6.29</v>
      </c>
    </row>
    <row r="131" spans="2:5" x14ac:dyDescent="0.2">
      <c r="B131" t="s">
        <v>143</v>
      </c>
      <c r="C131" t="s">
        <v>77</v>
      </c>
      <c r="D131">
        <v>1</v>
      </c>
      <c r="E131">
        <v>3.3</v>
      </c>
    </row>
    <row r="132" spans="2:5" x14ac:dyDescent="0.2">
      <c r="B132" t="s">
        <v>143</v>
      </c>
      <c r="C132" t="s">
        <v>77</v>
      </c>
      <c r="D132">
        <v>1</v>
      </c>
      <c r="E132">
        <v>2.82</v>
      </c>
    </row>
    <row r="133" spans="2:5" x14ac:dyDescent="0.2">
      <c r="B133" t="s">
        <v>143</v>
      </c>
      <c r="C133" t="s">
        <v>77</v>
      </c>
      <c r="D133">
        <v>1</v>
      </c>
      <c r="E133">
        <v>3.53</v>
      </c>
    </row>
    <row r="134" spans="2:5" x14ac:dyDescent="0.2">
      <c r="B134" t="s">
        <v>143</v>
      </c>
      <c r="C134" t="s">
        <v>77</v>
      </c>
      <c r="D134">
        <v>0</v>
      </c>
      <c r="E134">
        <v>0.1</v>
      </c>
    </row>
    <row r="135" spans="2:5" x14ac:dyDescent="0.2">
      <c r="B135" t="s">
        <v>148</v>
      </c>
      <c r="C135" t="s">
        <v>41</v>
      </c>
      <c r="D135">
        <v>0.5</v>
      </c>
      <c r="E135">
        <v>1.49</v>
      </c>
    </row>
    <row r="136" spans="2:5" x14ac:dyDescent="0.2">
      <c r="B136" t="s">
        <v>148</v>
      </c>
      <c r="C136" t="s">
        <v>41</v>
      </c>
      <c r="D136">
        <v>0.12</v>
      </c>
      <c r="E136">
        <v>0.12</v>
      </c>
    </row>
    <row r="137" spans="2:5" x14ac:dyDescent="0.2">
      <c r="B137" t="s">
        <v>148</v>
      </c>
      <c r="C137" t="s">
        <v>41</v>
      </c>
      <c r="D137">
        <v>0.5</v>
      </c>
      <c r="E137">
        <v>4.5999999999999996</v>
      </c>
    </row>
    <row r="138" spans="2:5" x14ac:dyDescent="0.2">
      <c r="B138" t="s">
        <v>148</v>
      </c>
      <c r="C138" t="s">
        <v>41</v>
      </c>
      <c r="D138">
        <v>0.5</v>
      </c>
      <c r="E138">
        <v>2.48</v>
      </c>
    </row>
    <row r="139" spans="2:5" x14ac:dyDescent="0.2">
      <c r="B139" t="s">
        <v>148</v>
      </c>
      <c r="C139" t="s">
        <v>41</v>
      </c>
      <c r="D139">
        <v>2</v>
      </c>
      <c r="E139">
        <v>5.56</v>
      </c>
    </row>
    <row r="140" spans="2:5" x14ac:dyDescent="0.2">
      <c r="B140" t="s">
        <v>148</v>
      </c>
      <c r="C140" t="s">
        <v>41</v>
      </c>
      <c r="D140">
        <v>0.5</v>
      </c>
      <c r="E140">
        <v>2.56</v>
      </c>
    </row>
    <row r="141" spans="2:5" x14ac:dyDescent="0.2">
      <c r="B141" t="s">
        <v>148</v>
      </c>
      <c r="C141" t="s">
        <v>41</v>
      </c>
      <c r="D141">
        <v>0.5</v>
      </c>
      <c r="E141">
        <v>1.04</v>
      </c>
    </row>
    <row r="142" spans="2:5" x14ac:dyDescent="0.2">
      <c r="B142" t="s">
        <v>148</v>
      </c>
      <c r="C142" t="s">
        <v>41</v>
      </c>
      <c r="D142">
        <v>2</v>
      </c>
      <c r="E142">
        <v>6.29</v>
      </c>
    </row>
    <row r="143" spans="2:5" x14ac:dyDescent="0.2">
      <c r="B143" t="s">
        <v>148</v>
      </c>
      <c r="C143" t="s">
        <v>41</v>
      </c>
      <c r="D143">
        <v>0.5</v>
      </c>
      <c r="E143">
        <v>3.3</v>
      </c>
    </row>
    <row r="144" spans="2:5" x14ac:dyDescent="0.2">
      <c r="B144" t="s">
        <v>148</v>
      </c>
      <c r="C144" t="s">
        <v>41</v>
      </c>
      <c r="D144">
        <v>0.5</v>
      </c>
      <c r="E144">
        <v>2.82</v>
      </c>
    </row>
    <row r="145" spans="2:5" x14ac:dyDescent="0.2">
      <c r="B145" t="s">
        <v>148</v>
      </c>
      <c r="C145" t="s">
        <v>41</v>
      </c>
      <c r="D145">
        <v>0.5</v>
      </c>
      <c r="E145">
        <v>3.53</v>
      </c>
    </row>
    <row r="146" spans="2:5" x14ac:dyDescent="0.2">
      <c r="B146" t="s">
        <v>148</v>
      </c>
      <c r="C146" t="s">
        <v>41</v>
      </c>
      <c r="D146">
        <v>0.5</v>
      </c>
      <c r="E146">
        <v>0.1</v>
      </c>
    </row>
    <row r="147" spans="2:5" x14ac:dyDescent="0.2">
      <c r="B147" t="s">
        <v>149</v>
      </c>
      <c r="C147" t="s">
        <v>77</v>
      </c>
      <c r="D147">
        <v>2</v>
      </c>
      <c r="E147">
        <v>1.6</v>
      </c>
    </row>
    <row r="148" spans="2:5" x14ac:dyDescent="0.2">
      <c r="B148" t="s">
        <v>149</v>
      </c>
      <c r="C148" t="s">
        <v>77</v>
      </c>
      <c r="D148">
        <v>4</v>
      </c>
      <c r="E148">
        <v>3.76</v>
      </c>
    </row>
    <row r="149" spans="2:5" x14ac:dyDescent="0.2">
      <c r="B149" t="s">
        <v>149</v>
      </c>
      <c r="C149" t="s">
        <v>77</v>
      </c>
      <c r="D149">
        <v>3</v>
      </c>
      <c r="E149">
        <v>6.41</v>
      </c>
    </row>
    <row r="150" spans="2:5" x14ac:dyDescent="0.2">
      <c r="B150" t="s">
        <v>149</v>
      </c>
      <c r="C150" t="s">
        <v>77</v>
      </c>
      <c r="D150">
        <v>4</v>
      </c>
      <c r="E150">
        <v>7.76</v>
      </c>
    </row>
    <row r="151" spans="2:5" x14ac:dyDescent="0.2">
      <c r="B151" t="s">
        <v>149</v>
      </c>
      <c r="C151" t="s">
        <v>77</v>
      </c>
      <c r="D151">
        <v>0.25</v>
      </c>
      <c r="E151">
        <v>0.56000000000000005</v>
      </c>
    </row>
    <row r="152" spans="2:5" x14ac:dyDescent="0.2">
      <c r="B152" t="s">
        <v>149</v>
      </c>
      <c r="C152" t="s">
        <v>15</v>
      </c>
      <c r="D152">
        <v>0.5</v>
      </c>
      <c r="E152">
        <v>0.53</v>
      </c>
    </row>
    <row r="153" spans="2:5" x14ac:dyDescent="0.2">
      <c r="B153" t="s">
        <v>149</v>
      </c>
      <c r="C153" t="s">
        <v>77</v>
      </c>
      <c r="D153">
        <v>0.5</v>
      </c>
      <c r="E153">
        <v>1.76</v>
      </c>
    </row>
    <row r="154" spans="2:5" x14ac:dyDescent="0.2">
      <c r="B154" t="s">
        <v>156</v>
      </c>
      <c r="C154" t="s">
        <v>77</v>
      </c>
      <c r="D154">
        <v>5</v>
      </c>
      <c r="E154">
        <v>6.54</v>
      </c>
    </row>
    <row r="155" spans="2:5" x14ac:dyDescent="0.2">
      <c r="B155" t="s">
        <v>156</v>
      </c>
      <c r="C155" t="s">
        <v>40</v>
      </c>
      <c r="D155">
        <v>3</v>
      </c>
      <c r="E155">
        <v>11.3</v>
      </c>
    </row>
    <row r="156" spans="2:5" x14ac:dyDescent="0.2">
      <c r="B156" t="s">
        <v>156</v>
      </c>
      <c r="C156" t="s">
        <v>40</v>
      </c>
      <c r="D156">
        <v>1</v>
      </c>
      <c r="E156">
        <v>2.2200000000000002</v>
      </c>
    </row>
    <row r="157" spans="2:5" x14ac:dyDescent="0.2">
      <c r="B157" t="s">
        <v>156</v>
      </c>
      <c r="C157" t="s">
        <v>40</v>
      </c>
      <c r="D157">
        <v>0.25</v>
      </c>
      <c r="E157">
        <v>2.29</v>
      </c>
    </row>
    <row r="158" spans="2:5" x14ac:dyDescent="0.2">
      <c r="B158" t="s">
        <v>156</v>
      </c>
      <c r="C158" t="s">
        <v>40</v>
      </c>
      <c r="D158">
        <v>3</v>
      </c>
      <c r="E158">
        <v>8.69</v>
      </c>
    </row>
    <row r="159" spans="2:5" x14ac:dyDescent="0.2">
      <c r="B159" t="s">
        <v>156</v>
      </c>
      <c r="C159" t="s">
        <v>40</v>
      </c>
      <c r="D159">
        <v>0.12</v>
      </c>
      <c r="E159">
        <v>0.65</v>
      </c>
    </row>
    <row r="160" spans="2:5" x14ac:dyDescent="0.2">
      <c r="B160" t="s">
        <v>156</v>
      </c>
      <c r="C160" t="s">
        <v>40</v>
      </c>
      <c r="D160">
        <v>3</v>
      </c>
      <c r="E160">
        <v>8.67</v>
      </c>
    </row>
    <row r="161" spans="2:5" x14ac:dyDescent="0.2">
      <c r="B161" t="s">
        <v>163</v>
      </c>
      <c r="C161" t="s">
        <v>40</v>
      </c>
      <c r="D161">
        <v>0.12</v>
      </c>
      <c r="E161">
        <v>0.97</v>
      </c>
    </row>
    <row r="162" spans="2:5" x14ac:dyDescent="0.2">
      <c r="B162" t="s">
        <v>163</v>
      </c>
      <c r="C162" t="s">
        <v>40</v>
      </c>
      <c r="D162">
        <v>0.12</v>
      </c>
      <c r="E162">
        <v>0.97</v>
      </c>
    </row>
    <row r="163" spans="2:5" x14ac:dyDescent="0.2">
      <c r="B163" t="s">
        <v>163</v>
      </c>
      <c r="C163" t="s">
        <v>40</v>
      </c>
      <c r="D163">
        <v>0.12</v>
      </c>
      <c r="E163">
        <v>0.97</v>
      </c>
    </row>
    <row r="164" spans="2:5" x14ac:dyDescent="0.2">
      <c r="B164" t="s">
        <v>165</v>
      </c>
      <c r="C164" t="s">
        <v>40</v>
      </c>
      <c r="D164">
        <v>0.25</v>
      </c>
      <c r="E164">
        <v>0.33</v>
      </c>
    </row>
    <row r="165" spans="2:5" x14ac:dyDescent="0.2">
      <c r="B165" t="s">
        <v>165</v>
      </c>
      <c r="C165" t="s">
        <v>40</v>
      </c>
      <c r="D165">
        <v>3</v>
      </c>
      <c r="E165">
        <v>4.33</v>
      </c>
    </row>
    <row r="166" spans="2:5" x14ac:dyDescent="0.2">
      <c r="B166" t="s">
        <v>169</v>
      </c>
      <c r="C166" t="s">
        <v>41</v>
      </c>
      <c r="D166">
        <v>5</v>
      </c>
      <c r="E166">
        <v>14.27</v>
      </c>
    </row>
    <row r="167" spans="2:5" x14ac:dyDescent="0.2">
      <c r="B167" t="s">
        <v>172</v>
      </c>
      <c r="C167" t="s">
        <v>24</v>
      </c>
      <c r="D167">
        <v>1</v>
      </c>
      <c r="E167">
        <v>4.5999999999999996</v>
      </c>
    </row>
    <row r="168" spans="2:5" x14ac:dyDescent="0.2">
      <c r="B168" t="s">
        <v>172</v>
      </c>
      <c r="C168" t="s">
        <v>24</v>
      </c>
      <c r="D168">
        <v>1</v>
      </c>
      <c r="E168">
        <v>1.51</v>
      </c>
    </row>
    <row r="169" spans="2:5" x14ac:dyDescent="0.2">
      <c r="B169" t="s">
        <v>172</v>
      </c>
      <c r="C169" t="s">
        <v>24</v>
      </c>
      <c r="D169">
        <v>2</v>
      </c>
      <c r="E169">
        <v>3.69</v>
      </c>
    </row>
    <row r="170" spans="2:5" x14ac:dyDescent="0.2">
      <c r="B170" t="s">
        <v>172</v>
      </c>
      <c r="C170" t="s">
        <v>24</v>
      </c>
      <c r="D170">
        <v>2</v>
      </c>
      <c r="E170">
        <v>5.7</v>
      </c>
    </row>
    <row r="171" spans="2:5" x14ac:dyDescent="0.2">
      <c r="B171" t="s">
        <v>177</v>
      </c>
      <c r="C171" t="s">
        <v>24</v>
      </c>
      <c r="D171">
        <v>1</v>
      </c>
      <c r="E171">
        <v>2.09</v>
      </c>
    </row>
    <row r="172" spans="2:5" x14ac:dyDescent="0.2">
      <c r="B172" t="s">
        <v>180</v>
      </c>
      <c r="C172" t="s">
        <v>24</v>
      </c>
      <c r="D172">
        <v>1</v>
      </c>
      <c r="E172">
        <v>2.06</v>
      </c>
    </row>
    <row r="173" spans="2:5" x14ac:dyDescent="0.2">
      <c r="B173" t="s">
        <v>180</v>
      </c>
      <c r="C173" t="s">
        <v>24</v>
      </c>
      <c r="D173">
        <v>1</v>
      </c>
      <c r="E173">
        <v>2.11</v>
      </c>
    </row>
    <row r="174" spans="2:5" x14ac:dyDescent="0.2">
      <c r="B174" t="s">
        <v>181</v>
      </c>
      <c r="C174" t="s">
        <v>24</v>
      </c>
      <c r="D174">
        <v>1</v>
      </c>
      <c r="E174">
        <v>1.29</v>
      </c>
    </row>
    <row r="175" spans="2:5" x14ac:dyDescent="0.2">
      <c r="B175" t="s">
        <v>181</v>
      </c>
      <c r="C175" t="s">
        <v>24</v>
      </c>
      <c r="D175">
        <v>1</v>
      </c>
      <c r="E175">
        <v>2.3199999999999998</v>
      </c>
    </row>
    <row r="176" spans="2:5" x14ac:dyDescent="0.2">
      <c r="B176" t="s">
        <v>181</v>
      </c>
      <c r="C176" t="s">
        <v>24</v>
      </c>
      <c r="D176">
        <v>1</v>
      </c>
      <c r="E176">
        <v>3.39</v>
      </c>
    </row>
    <row r="177" spans="2:5" x14ac:dyDescent="0.2">
      <c r="B177" t="s">
        <v>181</v>
      </c>
      <c r="C177" t="s">
        <v>24</v>
      </c>
      <c r="D177">
        <v>1</v>
      </c>
      <c r="E177">
        <v>6.11</v>
      </c>
    </row>
    <row r="178" spans="2:5" x14ac:dyDescent="0.2">
      <c r="B178" t="s">
        <v>181</v>
      </c>
      <c r="C178" t="s">
        <v>24</v>
      </c>
      <c r="D178">
        <v>0.1</v>
      </c>
      <c r="E178">
        <v>0.71</v>
      </c>
    </row>
    <row r="179" spans="2:5" x14ac:dyDescent="0.2">
      <c r="B179" t="s">
        <v>181</v>
      </c>
      <c r="C179" t="s">
        <v>24</v>
      </c>
      <c r="D179">
        <v>2</v>
      </c>
      <c r="E179">
        <v>2.59</v>
      </c>
    </row>
    <row r="180" spans="2:5" x14ac:dyDescent="0.2">
      <c r="B180" t="s">
        <v>181</v>
      </c>
      <c r="C180" t="s">
        <v>24</v>
      </c>
      <c r="D180">
        <v>0.1</v>
      </c>
      <c r="E180">
        <v>0.9</v>
      </c>
    </row>
    <row r="181" spans="2:5" x14ac:dyDescent="0.2">
      <c r="B181" t="s">
        <v>189</v>
      </c>
      <c r="C181" t="s">
        <v>24</v>
      </c>
      <c r="D181">
        <v>1</v>
      </c>
      <c r="E181">
        <v>1.79</v>
      </c>
    </row>
    <row r="182" spans="2:5" x14ac:dyDescent="0.2">
      <c r="B182" t="s">
        <v>189</v>
      </c>
      <c r="C182" t="s">
        <v>24</v>
      </c>
      <c r="D182">
        <v>2</v>
      </c>
      <c r="E182">
        <v>2.06</v>
      </c>
    </row>
    <row r="183" spans="2:5" x14ac:dyDescent="0.2">
      <c r="B183" t="s">
        <v>189</v>
      </c>
      <c r="C183" t="s">
        <v>24</v>
      </c>
      <c r="D183">
        <v>0.5</v>
      </c>
      <c r="E183">
        <v>1.06</v>
      </c>
    </row>
    <row r="184" spans="2:5" x14ac:dyDescent="0.2">
      <c r="B184" t="s">
        <v>193</v>
      </c>
      <c r="C184" t="s">
        <v>41</v>
      </c>
      <c r="D184">
        <v>2</v>
      </c>
      <c r="E184">
        <v>3.2</v>
      </c>
    </row>
    <row r="185" spans="2:5" x14ac:dyDescent="0.2">
      <c r="B185" t="s">
        <v>194</v>
      </c>
      <c r="C185" t="s">
        <v>15</v>
      </c>
      <c r="D185">
        <v>2</v>
      </c>
      <c r="E185">
        <v>3.98</v>
      </c>
    </row>
    <row r="186" spans="2:5" x14ac:dyDescent="0.2">
      <c r="B186" t="s">
        <v>194</v>
      </c>
      <c r="C186" t="s">
        <v>15</v>
      </c>
      <c r="D186">
        <v>2</v>
      </c>
      <c r="E186">
        <v>5.49</v>
      </c>
    </row>
    <row r="187" spans="2:5" x14ac:dyDescent="0.2">
      <c r="B187" t="s">
        <v>194</v>
      </c>
      <c r="C187" t="s">
        <v>15</v>
      </c>
      <c r="D187">
        <v>2</v>
      </c>
      <c r="E187">
        <v>0.44</v>
      </c>
    </row>
    <row r="188" spans="2:5" x14ac:dyDescent="0.2">
      <c r="B188" t="s">
        <v>194</v>
      </c>
      <c r="C188" t="s">
        <v>15</v>
      </c>
      <c r="D188">
        <v>2</v>
      </c>
      <c r="E188">
        <v>3.82</v>
      </c>
    </row>
    <row r="189" spans="2:5" x14ac:dyDescent="0.2">
      <c r="B189" t="s">
        <v>194</v>
      </c>
      <c r="C189" t="s">
        <v>15</v>
      </c>
      <c r="D189">
        <v>8</v>
      </c>
      <c r="E189">
        <v>30.27</v>
      </c>
    </row>
    <row r="190" spans="2:5" x14ac:dyDescent="0.2">
      <c r="B190" t="s">
        <v>201</v>
      </c>
      <c r="C190" t="s">
        <v>40</v>
      </c>
      <c r="D190">
        <v>3</v>
      </c>
      <c r="E190">
        <v>3.98</v>
      </c>
    </row>
    <row r="191" spans="2:5" x14ac:dyDescent="0.2">
      <c r="B191" t="s">
        <v>201</v>
      </c>
      <c r="C191" t="s">
        <v>40</v>
      </c>
      <c r="D191">
        <v>4</v>
      </c>
      <c r="E191">
        <v>5.49</v>
      </c>
    </row>
    <row r="192" spans="2:5" x14ac:dyDescent="0.2">
      <c r="B192" t="s">
        <v>201</v>
      </c>
      <c r="C192" t="s">
        <v>40</v>
      </c>
      <c r="D192">
        <v>0.12</v>
      </c>
      <c r="E192">
        <v>0.44</v>
      </c>
    </row>
    <row r="193" spans="2:5" x14ac:dyDescent="0.2">
      <c r="B193" t="s">
        <v>201</v>
      </c>
      <c r="C193" t="s">
        <v>40</v>
      </c>
      <c r="D193">
        <v>2</v>
      </c>
      <c r="E193">
        <v>3.82</v>
      </c>
    </row>
    <row r="194" spans="2:5" x14ac:dyDescent="0.2">
      <c r="B194" t="s">
        <v>201</v>
      </c>
      <c r="C194" t="s">
        <v>4</v>
      </c>
      <c r="D194">
        <v>3</v>
      </c>
      <c r="E194">
        <v>30.27</v>
      </c>
    </row>
    <row r="195" spans="2:5" x14ac:dyDescent="0.2">
      <c r="B195" t="s">
        <v>202</v>
      </c>
      <c r="C195" t="s">
        <v>24</v>
      </c>
      <c r="D195">
        <v>1</v>
      </c>
      <c r="E195">
        <v>2.98</v>
      </c>
    </row>
    <row r="196" spans="2:5" x14ac:dyDescent="0.2">
      <c r="B196" t="s">
        <v>205</v>
      </c>
      <c r="C196" t="s">
        <v>40</v>
      </c>
      <c r="D196">
        <v>2</v>
      </c>
      <c r="E196">
        <v>2.57</v>
      </c>
    </row>
    <row r="197" spans="2:5" x14ac:dyDescent="0.2">
      <c r="B197" t="s">
        <v>205</v>
      </c>
      <c r="C197" t="s">
        <v>40</v>
      </c>
      <c r="D197">
        <v>1</v>
      </c>
      <c r="E197">
        <v>1.58</v>
      </c>
    </row>
    <row r="198" spans="2:5" x14ac:dyDescent="0.2">
      <c r="B198" t="s">
        <v>205</v>
      </c>
      <c r="C198" t="s">
        <v>40</v>
      </c>
      <c r="D198">
        <v>2</v>
      </c>
      <c r="E198">
        <v>3.3</v>
      </c>
    </row>
    <row r="199" spans="2:5" x14ac:dyDescent="0.2">
      <c r="B199" t="s">
        <v>205</v>
      </c>
      <c r="C199" t="s">
        <v>40</v>
      </c>
      <c r="D199">
        <v>0.12</v>
      </c>
      <c r="E199">
        <v>0.32</v>
      </c>
    </row>
    <row r="200" spans="2:5" x14ac:dyDescent="0.2">
      <c r="B200" t="s">
        <v>205</v>
      </c>
      <c r="C200" t="s">
        <v>40</v>
      </c>
      <c r="D200">
        <v>1</v>
      </c>
      <c r="E200">
        <v>2.2000000000000002</v>
      </c>
    </row>
    <row r="201" spans="2:5" x14ac:dyDescent="0.2">
      <c r="B201" t="s">
        <v>205</v>
      </c>
      <c r="C201" t="s">
        <v>40</v>
      </c>
      <c r="D201">
        <v>1</v>
      </c>
      <c r="E201">
        <v>2.73</v>
      </c>
    </row>
    <row r="202" spans="2:5" x14ac:dyDescent="0.2">
      <c r="B202" t="s">
        <v>205</v>
      </c>
      <c r="C202" t="s">
        <v>40</v>
      </c>
      <c r="D202">
        <v>1</v>
      </c>
      <c r="E202">
        <v>2.4</v>
      </c>
    </row>
    <row r="203" spans="2:5" x14ac:dyDescent="0.2">
      <c r="B203" t="s">
        <v>205</v>
      </c>
      <c r="C203" t="s">
        <v>24</v>
      </c>
      <c r="D203">
        <v>1</v>
      </c>
      <c r="E203">
        <v>3.16</v>
      </c>
    </row>
    <row r="204" spans="2:5" x14ac:dyDescent="0.2">
      <c r="B204" t="s">
        <v>205</v>
      </c>
      <c r="C204" t="s">
        <v>24</v>
      </c>
      <c r="D204">
        <v>1</v>
      </c>
      <c r="E204">
        <v>1.26</v>
      </c>
    </row>
    <row r="205" spans="2:5" x14ac:dyDescent="0.2">
      <c r="B205" t="s">
        <v>205</v>
      </c>
      <c r="C205" t="s">
        <v>24</v>
      </c>
      <c r="D205">
        <v>1</v>
      </c>
      <c r="E205">
        <v>5.79</v>
      </c>
    </row>
    <row r="206" spans="2:5" x14ac:dyDescent="0.2">
      <c r="B206" t="s">
        <v>205</v>
      </c>
      <c r="C206" t="s">
        <v>24</v>
      </c>
      <c r="D206">
        <v>1</v>
      </c>
      <c r="E206">
        <v>1.99</v>
      </c>
    </row>
    <row r="207" spans="2:5" x14ac:dyDescent="0.2">
      <c r="B207" t="s">
        <v>205</v>
      </c>
      <c r="C207" t="s">
        <v>24</v>
      </c>
      <c r="D207">
        <v>1</v>
      </c>
      <c r="E207">
        <v>2.4</v>
      </c>
    </row>
    <row r="208" spans="2:5" x14ac:dyDescent="0.2">
      <c r="B208" t="s">
        <v>216</v>
      </c>
      <c r="C208" t="s">
        <v>219</v>
      </c>
      <c r="D208">
        <v>2</v>
      </c>
      <c r="E208">
        <v>4.62</v>
      </c>
    </row>
    <row r="209" spans="2:5" x14ac:dyDescent="0.2">
      <c r="B209" t="s">
        <v>216</v>
      </c>
      <c r="C209" t="s">
        <v>219</v>
      </c>
      <c r="D209">
        <v>1</v>
      </c>
      <c r="E209">
        <v>5.86</v>
      </c>
    </row>
    <row r="210" spans="2:5" x14ac:dyDescent="0.2">
      <c r="B210" t="s">
        <v>156</v>
      </c>
      <c r="C210" t="s">
        <v>219</v>
      </c>
      <c r="D210">
        <v>1</v>
      </c>
      <c r="E210">
        <v>1.47</v>
      </c>
    </row>
    <row r="211" spans="2:5" x14ac:dyDescent="0.2">
      <c r="B211" t="s">
        <v>156</v>
      </c>
      <c r="C211" t="s">
        <v>219</v>
      </c>
      <c r="D211">
        <v>1</v>
      </c>
      <c r="E211">
        <v>1.42</v>
      </c>
    </row>
    <row r="212" spans="2:5" x14ac:dyDescent="0.2">
      <c r="B212" t="s">
        <v>156</v>
      </c>
      <c r="C212" t="s">
        <v>219</v>
      </c>
      <c r="D212">
        <v>1</v>
      </c>
      <c r="E212">
        <v>1.04</v>
      </c>
    </row>
    <row r="213" spans="2:5" x14ac:dyDescent="0.2">
      <c r="B213" t="s">
        <v>156</v>
      </c>
      <c r="C213" t="s">
        <v>219</v>
      </c>
      <c r="D213">
        <v>1</v>
      </c>
      <c r="E213">
        <v>1.49</v>
      </c>
    </row>
    <row r="214" spans="2:5" x14ac:dyDescent="0.2">
      <c r="B214" t="s">
        <v>222</v>
      </c>
      <c r="C214" t="s">
        <v>219</v>
      </c>
      <c r="D214">
        <v>0.5</v>
      </c>
      <c r="E214">
        <v>3.34</v>
      </c>
    </row>
    <row r="215" spans="2:5" x14ac:dyDescent="0.2">
      <c r="B215" t="s">
        <v>222</v>
      </c>
      <c r="C215" t="s">
        <v>219</v>
      </c>
      <c r="D215">
        <v>3</v>
      </c>
      <c r="E215">
        <v>20.28</v>
      </c>
    </row>
    <row r="216" spans="2:5" x14ac:dyDescent="0.2">
      <c r="B216" t="s">
        <v>226</v>
      </c>
      <c r="C216" t="s">
        <v>219</v>
      </c>
      <c r="D216">
        <v>8</v>
      </c>
      <c r="E216">
        <v>10.199999999999999</v>
      </c>
    </row>
    <row r="217" spans="2:5" x14ac:dyDescent="0.2">
      <c r="B217" t="s">
        <v>226</v>
      </c>
      <c r="C217" t="s">
        <v>219</v>
      </c>
      <c r="D217">
        <v>1</v>
      </c>
      <c r="E217">
        <v>0.57999999999999996</v>
      </c>
    </row>
    <row r="218" spans="2:5" x14ac:dyDescent="0.2">
      <c r="B218" t="s">
        <v>226</v>
      </c>
      <c r="C218" t="s">
        <v>219</v>
      </c>
      <c r="D218">
        <v>1</v>
      </c>
      <c r="E218">
        <v>1.22</v>
      </c>
    </row>
    <row r="219" spans="2:5" x14ac:dyDescent="0.2">
      <c r="B219" t="s">
        <v>231</v>
      </c>
      <c r="C219" t="s">
        <v>219</v>
      </c>
      <c r="D219">
        <v>3</v>
      </c>
      <c r="E219">
        <v>6.86</v>
      </c>
    </row>
    <row r="220" spans="2:5" x14ac:dyDescent="0.2">
      <c r="B220" t="s">
        <v>231</v>
      </c>
      <c r="C220" t="s">
        <v>219</v>
      </c>
      <c r="D220">
        <v>3</v>
      </c>
      <c r="E220">
        <v>5.38</v>
      </c>
    </row>
    <row r="221" spans="2:5" x14ac:dyDescent="0.2">
      <c r="B221" t="s">
        <v>231</v>
      </c>
      <c r="C221" t="s">
        <v>219</v>
      </c>
      <c r="D221">
        <v>0.5</v>
      </c>
      <c r="E221">
        <v>1.01</v>
      </c>
    </row>
    <row r="222" spans="2:5" x14ac:dyDescent="0.2">
      <c r="B222" t="s">
        <v>231</v>
      </c>
      <c r="C222" t="s">
        <v>219</v>
      </c>
      <c r="D222">
        <v>0.5</v>
      </c>
      <c r="E222">
        <v>1.6</v>
      </c>
    </row>
    <row r="223" spans="2:5" x14ac:dyDescent="0.2">
      <c r="B223" t="s">
        <v>231</v>
      </c>
      <c r="C223" t="s">
        <v>219</v>
      </c>
      <c r="D223">
        <v>0.5</v>
      </c>
      <c r="E223">
        <v>2.04</v>
      </c>
    </row>
    <row r="224" spans="2:5" x14ac:dyDescent="0.2">
      <c r="B224" t="s">
        <v>231</v>
      </c>
      <c r="C224" t="s">
        <v>219</v>
      </c>
      <c r="D224">
        <v>0.5</v>
      </c>
      <c r="E224">
        <v>4.97</v>
      </c>
    </row>
    <row r="225" spans="2:5" x14ac:dyDescent="0.2">
      <c r="B225" t="s">
        <v>231</v>
      </c>
      <c r="C225" t="s">
        <v>219</v>
      </c>
      <c r="D225">
        <v>0.5</v>
      </c>
      <c r="E225">
        <v>1.76</v>
      </c>
    </row>
    <row r="226" spans="2:5" x14ac:dyDescent="0.2">
      <c r="B226" t="s">
        <v>256</v>
      </c>
      <c r="C226" t="s">
        <v>260</v>
      </c>
      <c r="D226">
        <v>2.5</v>
      </c>
    </row>
    <row r="227" spans="2:5" x14ac:dyDescent="0.2">
      <c r="B227" t="s">
        <v>258</v>
      </c>
      <c r="C227" t="s">
        <v>219</v>
      </c>
      <c r="D227">
        <v>4.5</v>
      </c>
    </row>
    <row r="228" spans="2:5" x14ac:dyDescent="0.2">
      <c r="B228" t="s">
        <v>258</v>
      </c>
      <c r="C228" t="s">
        <v>261</v>
      </c>
      <c r="D228">
        <v>2</v>
      </c>
    </row>
    <row r="229" spans="2:5" x14ac:dyDescent="0.2">
      <c r="B229" t="s">
        <v>262</v>
      </c>
      <c r="C229" t="s">
        <v>219</v>
      </c>
      <c r="D229">
        <v>2</v>
      </c>
    </row>
    <row r="230" spans="2:5" x14ac:dyDescent="0.2">
      <c r="B230" t="s">
        <v>262</v>
      </c>
      <c r="C230" t="s">
        <v>261</v>
      </c>
      <c r="D230">
        <v>1</v>
      </c>
    </row>
    <row r="231" spans="2:5" x14ac:dyDescent="0.2">
      <c r="B231" t="s">
        <v>262</v>
      </c>
      <c r="C231" t="s">
        <v>219</v>
      </c>
      <c r="D231">
        <v>2</v>
      </c>
    </row>
    <row r="232" spans="2:5" x14ac:dyDescent="0.2">
      <c r="B232" t="s">
        <v>262</v>
      </c>
      <c r="C232" t="s">
        <v>261</v>
      </c>
      <c r="D232">
        <v>1</v>
      </c>
    </row>
    <row r="233" spans="2:5" x14ac:dyDescent="0.2">
      <c r="B233" t="s">
        <v>262</v>
      </c>
      <c r="C233" t="s">
        <v>260</v>
      </c>
      <c r="D233">
        <v>0.5</v>
      </c>
    </row>
    <row r="234" spans="2:5" x14ac:dyDescent="0.2">
      <c r="B234" t="s">
        <v>262</v>
      </c>
      <c r="C234" t="s">
        <v>261</v>
      </c>
      <c r="D234">
        <v>4</v>
      </c>
    </row>
    <row r="235" spans="2:5" x14ac:dyDescent="0.2">
      <c r="B235" t="s">
        <v>262</v>
      </c>
      <c r="C235" t="s">
        <v>261</v>
      </c>
      <c r="D235">
        <v>3</v>
      </c>
    </row>
    <row r="236" spans="2:5" x14ac:dyDescent="0.2">
      <c r="B236" t="s">
        <v>262</v>
      </c>
      <c r="C236" t="s">
        <v>279</v>
      </c>
      <c r="D236">
        <v>0.4</v>
      </c>
    </row>
    <row r="237" spans="2:5" x14ac:dyDescent="0.2">
      <c r="B237" t="s">
        <v>262</v>
      </c>
      <c r="C237" t="s">
        <v>279</v>
      </c>
      <c r="D237">
        <v>1.5</v>
      </c>
    </row>
    <row r="238" spans="2:5" x14ac:dyDescent="0.2">
      <c r="B238" t="s">
        <v>262</v>
      </c>
      <c r="C238" t="s">
        <v>279</v>
      </c>
      <c r="D238">
        <v>0</v>
      </c>
    </row>
    <row r="239" spans="2:5" x14ac:dyDescent="0.2">
      <c r="B239" t="s">
        <v>262</v>
      </c>
      <c r="C239" t="s">
        <v>279</v>
      </c>
      <c r="D239">
        <v>0.5</v>
      </c>
    </row>
    <row r="240" spans="2:5" x14ac:dyDescent="0.2">
      <c r="B240" t="s">
        <v>262</v>
      </c>
      <c r="C240" t="s">
        <v>279</v>
      </c>
      <c r="D240">
        <v>3.5</v>
      </c>
    </row>
    <row r="241" spans="2:4" x14ac:dyDescent="0.2">
      <c r="B241" t="s">
        <v>262</v>
      </c>
      <c r="C241" t="s">
        <v>279</v>
      </c>
      <c r="D241">
        <v>1</v>
      </c>
    </row>
    <row r="242" spans="2:4" x14ac:dyDescent="0.2">
      <c r="B242" t="s">
        <v>262</v>
      </c>
      <c r="C242" t="s">
        <v>279</v>
      </c>
      <c r="D242">
        <v>0.2</v>
      </c>
    </row>
    <row r="243" spans="2:4" x14ac:dyDescent="0.2">
      <c r="B243" t="s">
        <v>262</v>
      </c>
      <c r="C243" t="s">
        <v>279</v>
      </c>
      <c r="D243">
        <v>0.3</v>
      </c>
    </row>
    <row r="244" spans="2:4" x14ac:dyDescent="0.2">
      <c r="B244" t="s">
        <v>262</v>
      </c>
      <c r="C244" t="s">
        <v>279</v>
      </c>
      <c r="D244">
        <v>0.2</v>
      </c>
    </row>
    <row r="245" spans="2:4" x14ac:dyDescent="0.2">
      <c r="B245" t="s">
        <v>262</v>
      </c>
      <c r="C245" t="s">
        <v>279</v>
      </c>
      <c r="D245">
        <v>0.2</v>
      </c>
    </row>
    <row r="246" spans="2:4" x14ac:dyDescent="0.2">
      <c r="B246" t="s">
        <v>262</v>
      </c>
      <c r="C246" t="s">
        <v>279</v>
      </c>
      <c r="D246">
        <v>0.1</v>
      </c>
    </row>
    <row r="247" spans="2:4" x14ac:dyDescent="0.2">
      <c r="B247" t="s">
        <v>262</v>
      </c>
      <c r="C247" t="s">
        <v>279</v>
      </c>
      <c r="D247">
        <v>5</v>
      </c>
    </row>
    <row r="248" spans="2:4" x14ac:dyDescent="0.2">
      <c r="B248" t="s">
        <v>262</v>
      </c>
      <c r="C248" t="s">
        <v>261</v>
      </c>
      <c r="D248">
        <v>6</v>
      </c>
    </row>
    <row r="249" spans="2:4" x14ac:dyDescent="0.2">
      <c r="B249" t="s">
        <v>262</v>
      </c>
      <c r="C249" t="s">
        <v>260</v>
      </c>
      <c r="D249">
        <v>1</v>
      </c>
    </row>
    <row r="250" spans="2:4" x14ac:dyDescent="0.2">
      <c r="B250" t="s">
        <v>262</v>
      </c>
      <c r="C250" t="s">
        <v>279</v>
      </c>
      <c r="D250">
        <v>0.1</v>
      </c>
    </row>
    <row r="251" spans="2:4" x14ac:dyDescent="0.2">
      <c r="B251" t="s">
        <v>280</v>
      </c>
      <c r="C251" t="s">
        <v>279</v>
      </c>
      <c r="D251">
        <v>3</v>
      </c>
    </row>
    <row r="252" spans="2:4" x14ac:dyDescent="0.2">
      <c r="B252" t="s">
        <v>280</v>
      </c>
      <c r="C252" t="s">
        <v>219</v>
      </c>
      <c r="D252">
        <v>2</v>
      </c>
    </row>
    <row r="253" spans="2:4" x14ac:dyDescent="0.2">
      <c r="B253" t="s">
        <v>280</v>
      </c>
      <c r="C253" t="s">
        <v>219</v>
      </c>
      <c r="D253">
        <v>2</v>
      </c>
    </row>
    <row r="254" spans="2:4" x14ac:dyDescent="0.2">
      <c r="B254" t="s">
        <v>280</v>
      </c>
      <c r="C254" t="s">
        <v>219</v>
      </c>
      <c r="D254">
        <v>1</v>
      </c>
    </row>
    <row r="255" spans="2:4" x14ac:dyDescent="0.2">
      <c r="B255" t="s">
        <v>280</v>
      </c>
      <c r="C255" t="s">
        <v>219</v>
      </c>
      <c r="D255">
        <v>1</v>
      </c>
    </row>
    <row r="256" spans="2:4" x14ac:dyDescent="0.2">
      <c r="B256" t="s">
        <v>280</v>
      </c>
      <c r="C256" t="s">
        <v>219</v>
      </c>
      <c r="D256">
        <v>1</v>
      </c>
    </row>
    <row r="257" spans="2:4" x14ac:dyDescent="0.2">
      <c r="B257" t="s">
        <v>280</v>
      </c>
      <c r="C257" t="s">
        <v>219</v>
      </c>
      <c r="D257">
        <v>1</v>
      </c>
    </row>
    <row r="258" spans="2:4" x14ac:dyDescent="0.2">
      <c r="B258" t="s">
        <v>280</v>
      </c>
      <c r="C258" t="s">
        <v>219</v>
      </c>
      <c r="D258">
        <v>2</v>
      </c>
    </row>
    <row r="259" spans="2:4" x14ac:dyDescent="0.2">
      <c r="B259" t="s">
        <v>280</v>
      </c>
      <c r="C259" t="s">
        <v>219</v>
      </c>
      <c r="D259">
        <v>2</v>
      </c>
    </row>
    <row r="260" spans="2:4" x14ac:dyDescent="0.2">
      <c r="B260" t="s">
        <v>280</v>
      </c>
      <c r="C260" t="s">
        <v>219</v>
      </c>
      <c r="D260">
        <v>2</v>
      </c>
    </row>
    <row r="261" spans="2:4" x14ac:dyDescent="0.2">
      <c r="B261" t="s">
        <v>280</v>
      </c>
      <c r="C261" t="s">
        <v>219</v>
      </c>
      <c r="D261">
        <v>2</v>
      </c>
    </row>
    <row r="262" spans="2:4" x14ac:dyDescent="0.2">
      <c r="B262" t="s">
        <v>280</v>
      </c>
      <c r="C262" t="s">
        <v>219</v>
      </c>
      <c r="D262">
        <v>4</v>
      </c>
    </row>
    <row r="263" spans="2:4" x14ac:dyDescent="0.2">
      <c r="B263" t="s">
        <v>280</v>
      </c>
      <c r="C263" t="s">
        <v>219</v>
      </c>
      <c r="D263">
        <v>4</v>
      </c>
    </row>
    <row r="264" spans="2:4" x14ac:dyDescent="0.2">
      <c r="B264" t="s">
        <v>280</v>
      </c>
      <c r="C264" t="s">
        <v>279</v>
      </c>
      <c r="D264">
        <v>1</v>
      </c>
    </row>
    <row r="265" spans="2:4" x14ac:dyDescent="0.2">
      <c r="B265" t="s">
        <v>280</v>
      </c>
      <c r="C265" t="s">
        <v>279</v>
      </c>
      <c r="D265">
        <v>6</v>
      </c>
    </row>
    <row r="266" spans="2:4" x14ac:dyDescent="0.2">
      <c r="B266" t="s">
        <v>280</v>
      </c>
      <c r="C266" t="s">
        <v>279</v>
      </c>
      <c r="D266">
        <v>1</v>
      </c>
    </row>
    <row r="267" spans="2:4" x14ac:dyDescent="0.2">
      <c r="B267" t="s">
        <v>280</v>
      </c>
      <c r="C267" t="s">
        <v>279</v>
      </c>
      <c r="D267">
        <v>1</v>
      </c>
    </row>
    <row r="268" spans="2:4" x14ac:dyDescent="0.2">
      <c r="B268" t="s">
        <v>280</v>
      </c>
      <c r="C268" t="s">
        <v>279</v>
      </c>
      <c r="D268">
        <v>0.5</v>
      </c>
    </row>
    <row r="269" spans="2:4" x14ac:dyDescent="0.2">
      <c r="B269" t="s">
        <v>280</v>
      </c>
      <c r="C269" t="s">
        <v>279</v>
      </c>
      <c r="D269">
        <v>0.2</v>
      </c>
    </row>
    <row r="270" spans="2:4" x14ac:dyDescent="0.2">
      <c r="B270" t="s">
        <v>280</v>
      </c>
      <c r="C270" t="s">
        <v>279</v>
      </c>
      <c r="D270">
        <v>0.5</v>
      </c>
    </row>
    <row r="271" spans="2:4" x14ac:dyDescent="0.2">
      <c r="B271" t="s">
        <v>280</v>
      </c>
      <c r="C271" t="s">
        <v>279</v>
      </c>
      <c r="D271">
        <v>2</v>
      </c>
    </row>
    <row r="272" spans="2:4" x14ac:dyDescent="0.2">
      <c r="B272" t="s">
        <v>280</v>
      </c>
      <c r="C272" t="s">
        <v>279</v>
      </c>
      <c r="D272">
        <v>4</v>
      </c>
    </row>
    <row r="273" spans="2:4" x14ac:dyDescent="0.2">
      <c r="B273" t="s">
        <v>280</v>
      </c>
      <c r="C273" t="s">
        <v>279</v>
      </c>
      <c r="D273">
        <v>3</v>
      </c>
    </row>
    <row r="274" spans="2:4" x14ac:dyDescent="0.2">
      <c r="B274" t="s">
        <v>280</v>
      </c>
      <c r="C274" t="s">
        <v>279</v>
      </c>
      <c r="D274">
        <v>2</v>
      </c>
    </row>
    <row r="275" spans="2:4" x14ac:dyDescent="0.2">
      <c r="B275" t="s">
        <v>280</v>
      </c>
      <c r="C275" t="s">
        <v>279</v>
      </c>
      <c r="D275">
        <v>5</v>
      </c>
    </row>
    <row r="276" spans="2:4" x14ac:dyDescent="0.2">
      <c r="B276" t="s">
        <v>280</v>
      </c>
      <c r="C276" t="s">
        <v>279</v>
      </c>
      <c r="D276">
        <v>1</v>
      </c>
    </row>
    <row r="277" spans="2:4" x14ac:dyDescent="0.2">
      <c r="B277" t="s">
        <v>280</v>
      </c>
      <c r="C277" t="s">
        <v>279</v>
      </c>
      <c r="D277">
        <v>2</v>
      </c>
    </row>
    <row r="278" spans="2:4" x14ac:dyDescent="0.2">
      <c r="B278" t="s">
        <v>280</v>
      </c>
      <c r="C278" t="s">
        <v>260</v>
      </c>
      <c r="D278">
        <v>2</v>
      </c>
    </row>
    <row r="279" spans="2:4" x14ac:dyDescent="0.2">
      <c r="B279" t="s">
        <v>280</v>
      </c>
      <c r="C279" t="s">
        <v>261</v>
      </c>
      <c r="D279">
        <v>3</v>
      </c>
    </row>
    <row r="280" spans="2:4" x14ac:dyDescent="0.2">
      <c r="B280" t="s">
        <v>280</v>
      </c>
      <c r="C280" t="s">
        <v>261</v>
      </c>
      <c r="D280">
        <v>0.5</v>
      </c>
    </row>
    <row r="281" spans="2:4" x14ac:dyDescent="0.2">
      <c r="B281" t="s">
        <v>280</v>
      </c>
      <c r="C281" t="s">
        <v>261</v>
      </c>
      <c r="D281">
        <v>1.5</v>
      </c>
    </row>
    <row r="282" spans="2:4" x14ac:dyDescent="0.2">
      <c r="B282" t="s">
        <v>280</v>
      </c>
      <c r="C282" t="s">
        <v>261</v>
      </c>
      <c r="D282">
        <v>2.5</v>
      </c>
    </row>
    <row r="283" spans="2:4" x14ac:dyDescent="0.2">
      <c r="B283" t="s">
        <v>280</v>
      </c>
      <c r="C283" t="s">
        <v>261</v>
      </c>
      <c r="D283">
        <v>3</v>
      </c>
    </row>
    <row r="284" spans="2:4" x14ac:dyDescent="0.2">
      <c r="B284" t="s">
        <v>280</v>
      </c>
      <c r="C284" t="s">
        <v>261</v>
      </c>
      <c r="D284">
        <v>4</v>
      </c>
    </row>
    <row r="285" spans="2:4" x14ac:dyDescent="0.2">
      <c r="B285" t="s">
        <v>280</v>
      </c>
      <c r="C285" t="s">
        <v>261</v>
      </c>
      <c r="D285">
        <v>4</v>
      </c>
    </row>
    <row r="286" spans="2:4" x14ac:dyDescent="0.2">
      <c r="B286" t="s">
        <v>280</v>
      </c>
      <c r="C286" t="s">
        <v>261</v>
      </c>
      <c r="D286">
        <v>7</v>
      </c>
    </row>
    <row r="287" spans="2:4" x14ac:dyDescent="0.2">
      <c r="B287" t="s">
        <v>280</v>
      </c>
      <c r="C287" t="s">
        <v>260</v>
      </c>
      <c r="D287">
        <v>4</v>
      </c>
    </row>
    <row r="288" spans="2:4" x14ac:dyDescent="0.2">
      <c r="B288" t="s">
        <v>280</v>
      </c>
      <c r="C288" t="s">
        <v>260</v>
      </c>
      <c r="D288">
        <v>4.5</v>
      </c>
    </row>
    <row r="289" spans="2:4" x14ac:dyDescent="0.2">
      <c r="B289" t="s">
        <v>280</v>
      </c>
      <c r="C289" t="s">
        <v>260</v>
      </c>
      <c r="D289">
        <v>2.5</v>
      </c>
    </row>
    <row r="290" spans="2:4" x14ac:dyDescent="0.2">
      <c r="B290" t="s">
        <v>280</v>
      </c>
      <c r="C290" t="s">
        <v>261</v>
      </c>
      <c r="D290">
        <v>0.1</v>
      </c>
    </row>
    <row r="291" spans="2:4" x14ac:dyDescent="0.2">
      <c r="B291" t="s">
        <v>280</v>
      </c>
      <c r="C291" t="s">
        <v>260</v>
      </c>
      <c r="D291">
        <v>3</v>
      </c>
    </row>
    <row r="292" spans="2:4" x14ac:dyDescent="0.2">
      <c r="B292" t="s">
        <v>280</v>
      </c>
      <c r="C292" t="s">
        <v>260</v>
      </c>
      <c r="D292">
        <v>1</v>
      </c>
    </row>
    <row r="293" spans="2:4" x14ac:dyDescent="0.2">
      <c r="B293" t="s">
        <v>280</v>
      </c>
      <c r="C293" t="s">
        <v>260</v>
      </c>
      <c r="D293">
        <v>1.4</v>
      </c>
    </row>
    <row r="294" spans="2:4" x14ac:dyDescent="0.2">
      <c r="B294" t="s">
        <v>280</v>
      </c>
      <c r="C294" t="s">
        <v>261</v>
      </c>
      <c r="D294">
        <v>0.5</v>
      </c>
    </row>
    <row r="295" spans="2:4" x14ac:dyDescent="0.2">
      <c r="B295" t="s">
        <v>280</v>
      </c>
      <c r="C295" t="s">
        <v>261</v>
      </c>
      <c r="D295">
        <v>0.2</v>
      </c>
    </row>
    <row r="296" spans="2:4" x14ac:dyDescent="0.2">
      <c r="B296" t="s">
        <v>280</v>
      </c>
      <c r="C296" t="s">
        <v>261</v>
      </c>
      <c r="D296">
        <v>0.1</v>
      </c>
    </row>
    <row r="297" spans="2:4" x14ac:dyDescent="0.2">
      <c r="B297" t="s">
        <v>280</v>
      </c>
      <c r="C297" t="s">
        <v>260</v>
      </c>
      <c r="D297">
        <v>1</v>
      </c>
    </row>
    <row r="298" spans="2:4" x14ac:dyDescent="0.2">
      <c r="B298" t="s">
        <v>280</v>
      </c>
      <c r="C298" t="s">
        <v>260</v>
      </c>
      <c r="D298">
        <v>6</v>
      </c>
    </row>
    <row r="299" spans="2:4" x14ac:dyDescent="0.2">
      <c r="B299" t="s">
        <v>280</v>
      </c>
      <c r="C299" t="s">
        <v>260</v>
      </c>
      <c r="D299">
        <v>3</v>
      </c>
    </row>
    <row r="300" spans="2:4" x14ac:dyDescent="0.2">
      <c r="B300" t="s">
        <v>280</v>
      </c>
      <c r="C300" t="s">
        <v>260</v>
      </c>
      <c r="D300">
        <v>2</v>
      </c>
    </row>
    <row r="301" spans="2:4" x14ac:dyDescent="0.2">
      <c r="B301" t="s">
        <v>280</v>
      </c>
      <c r="C301" t="s">
        <v>260</v>
      </c>
      <c r="D301">
        <v>1</v>
      </c>
    </row>
    <row r="302" spans="2:4" x14ac:dyDescent="0.2">
      <c r="B302" t="s">
        <v>75</v>
      </c>
      <c r="C302" t="s">
        <v>219</v>
      </c>
      <c r="D302">
        <v>1</v>
      </c>
    </row>
    <row r="303" spans="2:4" x14ac:dyDescent="0.2">
      <c r="B303" t="s">
        <v>75</v>
      </c>
      <c r="C303" t="s">
        <v>219</v>
      </c>
      <c r="D303">
        <v>1</v>
      </c>
    </row>
    <row r="304" spans="2:4" x14ac:dyDescent="0.2">
      <c r="B304" t="s">
        <v>75</v>
      </c>
      <c r="C304" t="s">
        <v>219</v>
      </c>
      <c r="D304">
        <v>1</v>
      </c>
    </row>
    <row r="305" spans="2:4" x14ac:dyDescent="0.2">
      <c r="B305" t="s">
        <v>75</v>
      </c>
      <c r="C305" t="s">
        <v>219</v>
      </c>
      <c r="D305">
        <v>1</v>
      </c>
    </row>
    <row r="306" spans="2:4" x14ac:dyDescent="0.2">
      <c r="B306" t="s">
        <v>75</v>
      </c>
      <c r="C306" t="s">
        <v>219</v>
      </c>
      <c r="D306">
        <v>1</v>
      </c>
    </row>
    <row r="307" spans="2:4" x14ac:dyDescent="0.2">
      <c r="B307" t="s">
        <v>75</v>
      </c>
      <c r="C307" t="s">
        <v>279</v>
      </c>
      <c r="D307">
        <v>1</v>
      </c>
    </row>
    <row r="308" spans="2:4" x14ac:dyDescent="0.2">
      <c r="B308" t="s">
        <v>75</v>
      </c>
      <c r="C308" t="s">
        <v>279</v>
      </c>
      <c r="D308">
        <v>1</v>
      </c>
    </row>
    <row r="309" spans="2:4" x14ac:dyDescent="0.2">
      <c r="B309" t="s">
        <v>75</v>
      </c>
      <c r="C309" t="s">
        <v>279</v>
      </c>
      <c r="D309">
        <v>0.5</v>
      </c>
    </row>
    <row r="310" spans="2:4" x14ac:dyDescent="0.2">
      <c r="B310" t="s">
        <v>75</v>
      </c>
      <c r="C310" t="s">
        <v>279</v>
      </c>
      <c r="D310">
        <v>0.5</v>
      </c>
    </row>
    <row r="311" spans="2:4" x14ac:dyDescent="0.2">
      <c r="B311" t="s">
        <v>75</v>
      </c>
      <c r="C311" t="s">
        <v>261</v>
      </c>
      <c r="D311">
        <v>0.5</v>
      </c>
    </row>
    <row r="312" spans="2:4" x14ac:dyDescent="0.2">
      <c r="B312" t="s">
        <v>75</v>
      </c>
      <c r="C312" t="s">
        <v>261</v>
      </c>
      <c r="D312">
        <v>0.5</v>
      </c>
    </row>
    <row r="313" spans="2:4" x14ac:dyDescent="0.2">
      <c r="B313" t="s">
        <v>75</v>
      </c>
      <c r="C313" t="s">
        <v>261</v>
      </c>
      <c r="D313">
        <v>2</v>
      </c>
    </row>
    <row r="314" spans="2:4" x14ac:dyDescent="0.2">
      <c r="B314" t="s">
        <v>75</v>
      </c>
      <c r="C314" t="s">
        <v>261</v>
      </c>
      <c r="D314">
        <v>1</v>
      </c>
    </row>
    <row r="315" spans="2:4" x14ac:dyDescent="0.2">
      <c r="B315" t="s">
        <v>75</v>
      </c>
      <c r="C315" t="s">
        <v>260</v>
      </c>
      <c r="D315">
        <v>0.2</v>
      </c>
    </row>
    <row r="316" spans="2:4" x14ac:dyDescent="0.2">
      <c r="B316" t="s">
        <v>75</v>
      </c>
      <c r="C316" t="s">
        <v>260</v>
      </c>
      <c r="D316">
        <v>1</v>
      </c>
    </row>
    <row r="317" spans="2:4" x14ac:dyDescent="0.2">
      <c r="B317" t="s">
        <v>75</v>
      </c>
      <c r="C317" t="s">
        <v>260</v>
      </c>
      <c r="D317">
        <v>0.5</v>
      </c>
    </row>
    <row r="318" spans="2:4" x14ac:dyDescent="0.2">
      <c r="B318" t="s">
        <v>75</v>
      </c>
      <c r="C318" t="s">
        <v>260</v>
      </c>
      <c r="D318">
        <v>1</v>
      </c>
    </row>
    <row r="319" spans="2:4" x14ac:dyDescent="0.2">
      <c r="B319" t="s">
        <v>75</v>
      </c>
      <c r="C319" t="s">
        <v>219</v>
      </c>
      <c r="D319">
        <v>1</v>
      </c>
    </row>
    <row r="320" spans="2:4" x14ac:dyDescent="0.2">
      <c r="B320" t="s">
        <v>75</v>
      </c>
      <c r="C320" t="s">
        <v>219</v>
      </c>
      <c r="D320">
        <v>1</v>
      </c>
    </row>
    <row r="321" spans="2:4" x14ac:dyDescent="0.2">
      <c r="B321" t="s">
        <v>75</v>
      </c>
      <c r="C321" t="s">
        <v>219</v>
      </c>
      <c r="D321">
        <v>1</v>
      </c>
    </row>
    <row r="322" spans="2:4" x14ac:dyDescent="0.2">
      <c r="B322" t="s">
        <v>75</v>
      </c>
      <c r="C322" t="s">
        <v>219</v>
      </c>
      <c r="D322">
        <v>1</v>
      </c>
    </row>
    <row r="323" spans="2:4" x14ac:dyDescent="0.2">
      <c r="B323" t="s">
        <v>75</v>
      </c>
      <c r="C323" t="s">
        <v>219</v>
      </c>
      <c r="D323">
        <v>1</v>
      </c>
    </row>
    <row r="324" spans="2:4" x14ac:dyDescent="0.2">
      <c r="B324" t="s">
        <v>75</v>
      </c>
      <c r="C324" t="s">
        <v>279</v>
      </c>
      <c r="D324">
        <v>5</v>
      </c>
    </row>
    <row r="325" spans="2:4" x14ac:dyDescent="0.2">
      <c r="B325" t="s">
        <v>75</v>
      </c>
      <c r="C325" t="s">
        <v>279</v>
      </c>
      <c r="D325">
        <v>1</v>
      </c>
    </row>
    <row r="326" spans="2:4" x14ac:dyDescent="0.2">
      <c r="B326" t="s">
        <v>75</v>
      </c>
      <c r="C326" t="s">
        <v>279</v>
      </c>
      <c r="D326">
        <v>1</v>
      </c>
    </row>
    <row r="327" spans="2:4" x14ac:dyDescent="0.2">
      <c r="B327" t="s">
        <v>75</v>
      </c>
      <c r="C327" t="s">
        <v>279</v>
      </c>
      <c r="D327">
        <v>2</v>
      </c>
    </row>
    <row r="328" spans="2:4" x14ac:dyDescent="0.2">
      <c r="B328" t="s">
        <v>75</v>
      </c>
      <c r="C328" t="s">
        <v>261</v>
      </c>
      <c r="D328">
        <v>0.2</v>
      </c>
    </row>
    <row r="329" spans="2:4" x14ac:dyDescent="0.2">
      <c r="B329" t="s">
        <v>75</v>
      </c>
      <c r="C329" t="s">
        <v>219</v>
      </c>
      <c r="D329">
        <v>1</v>
      </c>
    </row>
    <row r="330" spans="2:4" x14ac:dyDescent="0.2">
      <c r="B330" t="s">
        <v>75</v>
      </c>
      <c r="C330" t="s">
        <v>261</v>
      </c>
      <c r="D330">
        <v>3</v>
      </c>
    </row>
    <row r="331" spans="2:4" x14ac:dyDescent="0.2">
      <c r="B331" t="s">
        <v>75</v>
      </c>
      <c r="C331" t="s">
        <v>261</v>
      </c>
      <c r="D331">
        <v>4</v>
      </c>
    </row>
    <row r="332" spans="2:4" x14ac:dyDescent="0.2">
      <c r="B332" t="s">
        <v>75</v>
      </c>
      <c r="C332" t="s">
        <v>261</v>
      </c>
      <c r="D332">
        <v>1</v>
      </c>
    </row>
    <row r="333" spans="2:4" x14ac:dyDescent="0.2">
      <c r="B333" t="s">
        <v>75</v>
      </c>
      <c r="C333" t="s">
        <v>261</v>
      </c>
      <c r="D333">
        <v>1</v>
      </c>
    </row>
    <row r="334" spans="2:4" x14ac:dyDescent="0.2">
      <c r="B334" t="s">
        <v>75</v>
      </c>
      <c r="C334" t="s">
        <v>260</v>
      </c>
      <c r="D334">
        <v>1</v>
      </c>
    </row>
    <row r="335" spans="2:4" x14ac:dyDescent="0.2">
      <c r="B335" t="s">
        <v>75</v>
      </c>
      <c r="C335" t="s">
        <v>260</v>
      </c>
      <c r="D335">
        <v>1</v>
      </c>
    </row>
    <row r="336" spans="2:4" x14ac:dyDescent="0.2">
      <c r="B336" t="s">
        <v>75</v>
      </c>
      <c r="C336" t="s">
        <v>261</v>
      </c>
      <c r="D336">
        <v>2</v>
      </c>
    </row>
    <row r="337" spans="2:4" x14ac:dyDescent="0.2">
      <c r="B337" t="s">
        <v>75</v>
      </c>
      <c r="C337" t="s">
        <v>261</v>
      </c>
      <c r="D337">
        <v>2</v>
      </c>
    </row>
    <row r="338" spans="2:4" x14ac:dyDescent="0.2">
      <c r="B338" t="s">
        <v>75</v>
      </c>
      <c r="C338" t="s">
        <v>260</v>
      </c>
      <c r="D338">
        <v>1</v>
      </c>
    </row>
    <row r="339" spans="2:4" x14ac:dyDescent="0.2">
      <c r="B339" t="s">
        <v>75</v>
      </c>
      <c r="C339" t="s">
        <v>260</v>
      </c>
      <c r="D339">
        <v>0.5</v>
      </c>
    </row>
    <row r="340" spans="2:4" x14ac:dyDescent="0.2">
      <c r="B340" t="s">
        <v>75</v>
      </c>
      <c r="C340" t="s">
        <v>260</v>
      </c>
      <c r="D340">
        <v>0.5</v>
      </c>
    </row>
    <row r="341" spans="2:4" x14ac:dyDescent="0.2">
      <c r="B341" t="s">
        <v>75</v>
      </c>
      <c r="C341" t="s">
        <v>260</v>
      </c>
      <c r="D341">
        <v>0.5</v>
      </c>
    </row>
    <row r="342" spans="2:4" x14ac:dyDescent="0.2">
      <c r="B342" t="s">
        <v>75</v>
      </c>
      <c r="C342" t="s">
        <v>260</v>
      </c>
      <c r="D342">
        <v>0.5</v>
      </c>
    </row>
    <row r="343" spans="2:4" x14ac:dyDescent="0.2">
      <c r="B343" t="s">
        <v>75</v>
      </c>
      <c r="C343" t="s">
        <v>260</v>
      </c>
      <c r="D343">
        <v>0.5</v>
      </c>
    </row>
    <row r="344" spans="2:4" x14ac:dyDescent="0.2">
      <c r="B344" t="s">
        <v>75</v>
      </c>
      <c r="C344" t="s">
        <v>219</v>
      </c>
      <c r="D344">
        <v>1</v>
      </c>
    </row>
    <row r="345" spans="2:4" x14ac:dyDescent="0.2">
      <c r="B345" t="s">
        <v>75</v>
      </c>
      <c r="C345" t="s">
        <v>279</v>
      </c>
      <c r="D345">
        <v>0.5</v>
      </c>
    </row>
    <row r="346" spans="2:4" x14ac:dyDescent="0.2">
      <c r="B346" t="s">
        <v>75</v>
      </c>
      <c r="C346" t="s">
        <v>261</v>
      </c>
      <c r="D346">
        <v>0.5</v>
      </c>
    </row>
    <row r="347" spans="2:4" x14ac:dyDescent="0.2">
      <c r="B347" t="s">
        <v>75</v>
      </c>
      <c r="C347" t="s">
        <v>279</v>
      </c>
      <c r="D347">
        <v>0.5</v>
      </c>
    </row>
    <row r="348" spans="2:4" x14ac:dyDescent="0.2">
      <c r="B348" t="s">
        <v>75</v>
      </c>
      <c r="C348" t="s">
        <v>260</v>
      </c>
      <c r="D348">
        <v>0.5</v>
      </c>
    </row>
    <row r="349" spans="2:4" x14ac:dyDescent="0.2">
      <c r="B349" t="s">
        <v>75</v>
      </c>
      <c r="C349" t="s">
        <v>260</v>
      </c>
      <c r="D349">
        <v>0.7</v>
      </c>
    </row>
    <row r="350" spans="2:4" x14ac:dyDescent="0.2">
      <c r="B350" t="s">
        <v>75</v>
      </c>
      <c r="C350" t="s">
        <v>260</v>
      </c>
      <c r="D350">
        <v>0.7</v>
      </c>
    </row>
    <row r="351" spans="2:4" x14ac:dyDescent="0.2">
      <c r="B351" t="s">
        <v>75</v>
      </c>
      <c r="C351" t="s">
        <v>261</v>
      </c>
      <c r="D351">
        <v>0.5</v>
      </c>
    </row>
    <row r="352" spans="2:4" x14ac:dyDescent="0.2">
      <c r="B352" t="s">
        <v>75</v>
      </c>
      <c r="C352" t="s">
        <v>219</v>
      </c>
      <c r="D352">
        <v>1</v>
      </c>
    </row>
    <row r="353" spans="2:4" x14ac:dyDescent="0.2">
      <c r="B353" t="s">
        <v>75</v>
      </c>
      <c r="C353" t="s">
        <v>279</v>
      </c>
      <c r="D353">
        <v>0.5</v>
      </c>
    </row>
    <row r="354" spans="2:4" x14ac:dyDescent="0.2">
      <c r="B354" t="s">
        <v>75</v>
      </c>
      <c r="C354" t="s">
        <v>279</v>
      </c>
      <c r="D354">
        <v>2</v>
      </c>
    </row>
    <row r="355" spans="2:4" x14ac:dyDescent="0.2">
      <c r="B355" t="s">
        <v>75</v>
      </c>
      <c r="C355" t="s">
        <v>260</v>
      </c>
      <c r="D355">
        <v>0.5</v>
      </c>
    </row>
    <row r="356" spans="2:4" x14ac:dyDescent="0.2">
      <c r="B356" t="s">
        <v>75</v>
      </c>
      <c r="C356" t="s">
        <v>219</v>
      </c>
      <c r="D356">
        <v>1</v>
      </c>
    </row>
    <row r="357" spans="2:4" x14ac:dyDescent="0.2">
      <c r="B357" t="s">
        <v>75</v>
      </c>
      <c r="C357" t="s">
        <v>261</v>
      </c>
      <c r="D357">
        <v>1</v>
      </c>
    </row>
    <row r="358" spans="2:4" x14ac:dyDescent="0.2">
      <c r="B358" t="s">
        <v>75</v>
      </c>
      <c r="C358" t="s">
        <v>279</v>
      </c>
      <c r="D358">
        <v>0.5</v>
      </c>
    </row>
    <row r="359" spans="2:4" x14ac:dyDescent="0.2">
      <c r="B359" t="s">
        <v>75</v>
      </c>
      <c r="C359" t="s">
        <v>279</v>
      </c>
      <c r="D359">
        <v>0.5</v>
      </c>
    </row>
    <row r="360" spans="2:4" x14ac:dyDescent="0.2">
      <c r="B360" t="s">
        <v>353</v>
      </c>
      <c r="C360" t="s">
        <v>261</v>
      </c>
      <c r="D360">
        <v>1</v>
      </c>
    </row>
    <row r="361" spans="2:4" x14ac:dyDescent="0.2">
      <c r="B361" t="s">
        <v>353</v>
      </c>
      <c r="C361" t="s">
        <v>261</v>
      </c>
      <c r="D361">
        <v>0.2</v>
      </c>
    </row>
    <row r="362" spans="2:4" x14ac:dyDescent="0.2">
      <c r="B362" t="s">
        <v>353</v>
      </c>
      <c r="C362" t="s">
        <v>261</v>
      </c>
      <c r="D362">
        <v>0.2</v>
      </c>
    </row>
    <row r="363" spans="2:4" x14ac:dyDescent="0.2">
      <c r="B363" t="s">
        <v>353</v>
      </c>
      <c r="C363" t="s">
        <v>261</v>
      </c>
      <c r="D363">
        <v>1</v>
      </c>
    </row>
    <row r="364" spans="2:4" x14ac:dyDescent="0.2">
      <c r="B364" t="s">
        <v>353</v>
      </c>
      <c r="C364" t="s">
        <v>279</v>
      </c>
      <c r="D364">
        <v>1</v>
      </c>
    </row>
    <row r="365" spans="2:4" x14ac:dyDescent="0.2">
      <c r="B365" t="s">
        <v>353</v>
      </c>
      <c r="C365" t="s">
        <v>279</v>
      </c>
      <c r="D365">
        <v>0.5</v>
      </c>
    </row>
    <row r="366" spans="2:4" x14ac:dyDescent="0.2">
      <c r="B366" t="s">
        <v>353</v>
      </c>
      <c r="C366" t="s">
        <v>279</v>
      </c>
      <c r="D366">
        <v>2</v>
      </c>
    </row>
    <row r="367" spans="2:4" x14ac:dyDescent="0.2">
      <c r="B367" t="s">
        <v>353</v>
      </c>
      <c r="C367" t="s">
        <v>279</v>
      </c>
      <c r="D367">
        <v>0.5</v>
      </c>
    </row>
    <row r="368" spans="2:4" x14ac:dyDescent="0.2">
      <c r="B368" t="s">
        <v>353</v>
      </c>
      <c r="C368" t="s">
        <v>279</v>
      </c>
      <c r="D368">
        <v>1</v>
      </c>
    </row>
    <row r="369" spans="2:4" x14ac:dyDescent="0.2">
      <c r="B369" t="s">
        <v>353</v>
      </c>
      <c r="C369" t="s">
        <v>260</v>
      </c>
      <c r="D369">
        <v>0.5</v>
      </c>
    </row>
    <row r="370" spans="2:4" x14ac:dyDescent="0.2">
      <c r="B370" t="s">
        <v>353</v>
      </c>
      <c r="C370" t="s">
        <v>279</v>
      </c>
      <c r="D370">
        <v>2</v>
      </c>
    </row>
    <row r="371" spans="2:4" x14ac:dyDescent="0.2">
      <c r="B371" t="s">
        <v>353</v>
      </c>
      <c r="C371" t="s">
        <v>261</v>
      </c>
      <c r="D371">
        <v>0.5</v>
      </c>
    </row>
    <row r="372" spans="2:4" x14ac:dyDescent="0.2">
      <c r="B372" t="s">
        <v>353</v>
      </c>
      <c r="C372" t="s">
        <v>261</v>
      </c>
      <c r="D372">
        <v>0.1</v>
      </c>
    </row>
    <row r="373" spans="2:4" x14ac:dyDescent="0.2">
      <c r="B373" t="s">
        <v>353</v>
      </c>
      <c r="C373" t="s">
        <v>260</v>
      </c>
      <c r="D373">
        <v>0.5</v>
      </c>
    </row>
    <row r="374" spans="2:4" x14ac:dyDescent="0.2">
      <c r="B374" t="s">
        <v>353</v>
      </c>
      <c r="C374" t="s">
        <v>260</v>
      </c>
      <c r="D374">
        <v>0.5</v>
      </c>
    </row>
    <row r="375" spans="2:4" x14ac:dyDescent="0.2">
      <c r="B375" t="s">
        <v>353</v>
      </c>
      <c r="C375" t="s">
        <v>260</v>
      </c>
      <c r="D375">
        <v>0.5</v>
      </c>
    </row>
    <row r="376" spans="2:4" x14ac:dyDescent="0.2">
      <c r="B376" t="s">
        <v>353</v>
      </c>
      <c r="C376" t="s">
        <v>260</v>
      </c>
      <c r="D376">
        <v>0.5</v>
      </c>
    </row>
    <row r="377" spans="2:4" x14ac:dyDescent="0.2">
      <c r="B377" t="s">
        <v>353</v>
      </c>
      <c r="C377" t="s">
        <v>261</v>
      </c>
      <c r="D377">
        <v>0.05</v>
      </c>
    </row>
    <row r="378" spans="2:4" x14ac:dyDescent="0.2">
      <c r="B378" t="s">
        <v>30</v>
      </c>
      <c r="C378" t="s">
        <v>260</v>
      </c>
      <c r="D378">
        <v>3</v>
      </c>
    </row>
    <row r="379" spans="2:4" x14ac:dyDescent="0.2">
      <c r="B379" t="s">
        <v>30</v>
      </c>
      <c r="C379" t="s">
        <v>219</v>
      </c>
      <c r="D379">
        <v>2</v>
      </c>
    </row>
    <row r="380" spans="2:4" x14ac:dyDescent="0.2">
      <c r="B380" t="s">
        <v>201</v>
      </c>
      <c r="C380" t="s">
        <v>219</v>
      </c>
      <c r="D380">
        <v>3</v>
      </c>
    </row>
    <row r="381" spans="2:4" x14ac:dyDescent="0.2">
      <c r="B381" t="s">
        <v>201</v>
      </c>
      <c r="C381" t="s">
        <v>219</v>
      </c>
      <c r="D381">
        <v>3</v>
      </c>
    </row>
    <row r="382" spans="2:4" x14ac:dyDescent="0.2">
      <c r="B382" t="s">
        <v>362</v>
      </c>
      <c r="C382" t="s">
        <v>260</v>
      </c>
      <c r="D382">
        <v>1</v>
      </c>
    </row>
    <row r="383" spans="2:4" x14ac:dyDescent="0.2">
      <c r="B383" t="s">
        <v>172</v>
      </c>
      <c r="C383" t="s">
        <v>279</v>
      </c>
      <c r="D383">
        <v>10</v>
      </c>
    </row>
    <row r="384" spans="2:4" x14ac:dyDescent="0.2">
      <c r="B384" t="s">
        <v>365</v>
      </c>
      <c r="C384" t="s">
        <v>261</v>
      </c>
      <c r="D384">
        <v>2</v>
      </c>
    </row>
    <row r="385" spans="2:4" x14ac:dyDescent="0.2">
      <c r="B385" t="s">
        <v>365</v>
      </c>
      <c r="C385" t="s">
        <v>260</v>
      </c>
      <c r="D385">
        <v>1</v>
      </c>
    </row>
    <row r="386" spans="2:4" x14ac:dyDescent="0.2">
      <c r="B386" t="s">
        <v>365</v>
      </c>
      <c r="C386" t="s">
        <v>260</v>
      </c>
      <c r="D386">
        <v>0.5</v>
      </c>
    </row>
    <row r="387" spans="2:4" x14ac:dyDescent="0.2">
      <c r="B387" t="s">
        <v>369</v>
      </c>
      <c r="C387" t="s">
        <v>260</v>
      </c>
      <c r="D387">
        <v>1</v>
      </c>
    </row>
    <row r="388" spans="2:4" x14ac:dyDescent="0.2">
      <c r="B388" t="s">
        <v>226</v>
      </c>
      <c r="C388" t="s">
        <v>219</v>
      </c>
      <c r="D388">
        <v>2</v>
      </c>
    </row>
    <row r="389" spans="2:4" x14ac:dyDescent="0.2">
      <c r="B389" t="s">
        <v>143</v>
      </c>
      <c r="C389" t="s">
        <v>261</v>
      </c>
      <c r="D389">
        <v>0.5</v>
      </c>
    </row>
    <row r="390" spans="2:4" x14ac:dyDescent="0.2">
      <c r="B390" t="s">
        <v>373</v>
      </c>
      <c r="C390" t="s">
        <v>261</v>
      </c>
      <c r="D390">
        <v>0.5</v>
      </c>
    </row>
    <row r="391" spans="2:4" x14ac:dyDescent="0.2">
      <c r="B391" t="s">
        <v>375</v>
      </c>
      <c r="C391" t="s">
        <v>219</v>
      </c>
      <c r="D391">
        <v>1</v>
      </c>
    </row>
    <row r="392" spans="2:4" x14ac:dyDescent="0.2">
      <c r="B392" t="s">
        <v>376</v>
      </c>
      <c r="C392" t="s">
        <v>261</v>
      </c>
      <c r="D392">
        <v>0.2</v>
      </c>
    </row>
    <row r="393" spans="2:4" x14ac:dyDescent="0.2">
      <c r="B393" t="s">
        <v>376</v>
      </c>
      <c r="C393" t="s">
        <v>219</v>
      </c>
      <c r="D393">
        <v>1</v>
      </c>
    </row>
    <row r="394" spans="2:4" x14ac:dyDescent="0.2">
      <c r="B394" t="s">
        <v>148</v>
      </c>
      <c r="C394" t="s">
        <v>261</v>
      </c>
      <c r="D394">
        <v>0.5</v>
      </c>
    </row>
    <row r="395" spans="2:4" x14ac:dyDescent="0.2">
      <c r="B395" t="s">
        <v>148</v>
      </c>
      <c r="C395" t="s">
        <v>261</v>
      </c>
      <c r="D395">
        <v>2</v>
      </c>
    </row>
    <row r="396" spans="2:4" x14ac:dyDescent="0.2">
      <c r="B396" t="s">
        <v>148</v>
      </c>
      <c r="C396" t="s">
        <v>261</v>
      </c>
      <c r="D396">
        <v>2</v>
      </c>
    </row>
    <row r="397" spans="2:4" x14ac:dyDescent="0.2">
      <c r="B397" t="s">
        <v>148</v>
      </c>
      <c r="C397" t="s">
        <v>260</v>
      </c>
      <c r="D397">
        <v>0.3</v>
      </c>
    </row>
    <row r="398" spans="2:4" x14ac:dyDescent="0.2">
      <c r="B398" t="s">
        <v>148</v>
      </c>
      <c r="C398" t="s">
        <v>219</v>
      </c>
      <c r="D398">
        <v>1</v>
      </c>
    </row>
    <row r="399" spans="2:4" x14ac:dyDescent="0.2">
      <c r="B399" t="s">
        <v>148</v>
      </c>
      <c r="C399" t="s">
        <v>219</v>
      </c>
      <c r="D399">
        <v>1</v>
      </c>
    </row>
    <row r="400" spans="2:4" x14ac:dyDescent="0.2">
      <c r="B400" t="s">
        <v>380</v>
      </c>
      <c r="C400" t="s">
        <v>261</v>
      </c>
      <c r="D400">
        <v>7</v>
      </c>
    </row>
    <row r="401" spans="2:4" x14ac:dyDescent="0.2">
      <c r="B401" t="s">
        <v>156</v>
      </c>
      <c r="C401" t="s">
        <v>260</v>
      </c>
      <c r="D401">
        <v>3</v>
      </c>
    </row>
    <row r="402" spans="2:4" x14ac:dyDescent="0.2">
      <c r="B402" t="s">
        <v>383</v>
      </c>
      <c r="C402" t="s">
        <v>279</v>
      </c>
      <c r="D402">
        <v>4</v>
      </c>
    </row>
    <row r="403" spans="2:4" x14ac:dyDescent="0.2">
      <c r="B403" t="s">
        <v>385</v>
      </c>
      <c r="C403" t="s">
        <v>219</v>
      </c>
      <c r="D403">
        <v>4</v>
      </c>
    </row>
    <row r="404" spans="2:4" x14ac:dyDescent="0.2">
      <c r="B404" t="s">
        <v>156</v>
      </c>
      <c r="C404" t="s">
        <v>261</v>
      </c>
      <c r="D404">
        <v>6</v>
      </c>
    </row>
    <row r="405" spans="2:4" x14ac:dyDescent="0.2">
      <c r="B405" t="s">
        <v>156</v>
      </c>
      <c r="C405" t="s">
        <v>261</v>
      </c>
      <c r="D405">
        <v>4</v>
      </c>
    </row>
    <row r="406" spans="2:4" x14ac:dyDescent="0.2">
      <c r="B406" t="s">
        <v>389</v>
      </c>
      <c r="C406" s="4" t="s">
        <v>40</v>
      </c>
      <c r="D406" s="7">
        <v>2</v>
      </c>
    </row>
    <row r="407" spans="2:4" x14ac:dyDescent="0.2">
      <c r="B407" t="s">
        <v>389</v>
      </c>
      <c r="C407" s="4" t="s">
        <v>40</v>
      </c>
      <c r="D407" s="7">
        <v>1</v>
      </c>
    </row>
    <row r="408" spans="2:4" x14ac:dyDescent="0.2">
      <c r="B408" t="s">
        <v>389</v>
      </c>
      <c r="C408" s="4" t="s">
        <v>40</v>
      </c>
      <c r="D408" s="7">
        <v>2</v>
      </c>
    </row>
    <row r="409" spans="2:4" x14ac:dyDescent="0.2">
      <c r="B409" t="s">
        <v>389</v>
      </c>
      <c r="C409" s="4" t="s">
        <v>40</v>
      </c>
      <c r="D409" s="7">
        <v>2</v>
      </c>
    </row>
    <row r="410" spans="2:4" x14ac:dyDescent="0.2">
      <c r="B410" t="s">
        <v>389</v>
      </c>
      <c r="C410" s="4" t="s">
        <v>15</v>
      </c>
      <c r="D410" s="7">
        <v>1</v>
      </c>
    </row>
    <row r="411" spans="2:4" x14ac:dyDescent="0.2">
      <c r="B411" t="s">
        <v>389</v>
      </c>
      <c r="C411" s="4" t="s">
        <v>15</v>
      </c>
      <c r="D411" s="7">
        <v>2</v>
      </c>
    </row>
    <row r="412" spans="2:4" x14ac:dyDescent="0.2">
      <c r="B412" t="s">
        <v>389</v>
      </c>
      <c r="C412" s="4" t="s">
        <v>15</v>
      </c>
      <c r="D412" s="7">
        <v>2</v>
      </c>
    </row>
    <row r="413" spans="2:4" x14ac:dyDescent="0.2">
      <c r="B413" t="s">
        <v>139</v>
      </c>
      <c r="C413" s="4" t="s">
        <v>15</v>
      </c>
      <c r="D413" s="7">
        <v>1</v>
      </c>
    </row>
    <row r="414" spans="2:4" x14ac:dyDescent="0.2">
      <c r="B414" t="s">
        <v>139</v>
      </c>
      <c r="C414" s="4" t="s">
        <v>15</v>
      </c>
      <c r="D414" s="7">
        <v>2</v>
      </c>
    </row>
    <row r="415" spans="2:4" x14ac:dyDescent="0.2">
      <c r="B415" t="s">
        <v>139</v>
      </c>
      <c r="C415" s="4" t="s">
        <v>15</v>
      </c>
      <c r="D415" s="7">
        <v>4</v>
      </c>
    </row>
    <row r="416" spans="2:4" x14ac:dyDescent="0.2">
      <c r="B416" t="s">
        <v>139</v>
      </c>
      <c r="C416" s="4" t="s">
        <v>41</v>
      </c>
      <c r="D416" s="7">
        <v>2</v>
      </c>
    </row>
    <row r="417" spans="2:4" x14ac:dyDescent="0.2">
      <c r="B417" t="s">
        <v>390</v>
      </c>
      <c r="C417" s="4" t="s">
        <v>40</v>
      </c>
      <c r="D417" s="7">
        <v>0.1</v>
      </c>
    </row>
    <row r="418" spans="2:4" x14ac:dyDescent="0.2">
      <c r="B418" t="s">
        <v>390</v>
      </c>
      <c r="C418" s="4" t="s">
        <v>40</v>
      </c>
      <c r="D418" s="7">
        <v>0.15</v>
      </c>
    </row>
    <row r="419" spans="2:4" x14ac:dyDescent="0.2">
      <c r="B419" t="s">
        <v>390</v>
      </c>
      <c r="C419" s="4" t="s">
        <v>40</v>
      </c>
      <c r="D419" s="7">
        <v>1</v>
      </c>
    </row>
    <row r="420" spans="2:4" x14ac:dyDescent="0.2">
      <c r="B420" t="s">
        <v>391</v>
      </c>
      <c r="C420" s="4" t="s">
        <v>40</v>
      </c>
      <c r="D420" s="7">
        <v>1</v>
      </c>
    </row>
    <row r="421" spans="2:4" x14ac:dyDescent="0.2">
      <c r="B421" t="s">
        <v>391</v>
      </c>
      <c r="C421" s="4" t="s">
        <v>40</v>
      </c>
      <c r="D421" s="7">
        <v>0.5</v>
      </c>
    </row>
    <row r="422" spans="2:4" x14ac:dyDescent="0.2">
      <c r="B422" t="s">
        <v>392</v>
      </c>
      <c r="C422" s="4" t="s">
        <v>41</v>
      </c>
      <c r="D422" s="7">
        <v>1</v>
      </c>
    </row>
    <row r="423" spans="2:4" x14ac:dyDescent="0.2">
      <c r="B423" t="s">
        <v>392</v>
      </c>
      <c r="C423" s="4" t="s">
        <v>41</v>
      </c>
      <c r="D423" s="7">
        <v>1</v>
      </c>
    </row>
    <row r="424" spans="2:4" ht="15" x14ac:dyDescent="0.2">
      <c r="B424" t="s">
        <v>156</v>
      </c>
      <c r="C424" s="4" t="s">
        <v>40</v>
      </c>
      <c r="D424" s="8">
        <v>2</v>
      </c>
    </row>
    <row r="425" spans="2:4" x14ac:dyDescent="0.2">
      <c r="B425" t="s">
        <v>391</v>
      </c>
      <c r="C425" s="4" t="s">
        <v>40</v>
      </c>
      <c r="D425" s="7">
        <v>2</v>
      </c>
    </row>
    <row r="426" spans="2:4" x14ac:dyDescent="0.2">
      <c r="B426" t="s">
        <v>393</v>
      </c>
      <c r="C426" s="4" t="s">
        <v>219</v>
      </c>
      <c r="D426" s="7">
        <v>4</v>
      </c>
    </row>
    <row r="427" spans="2:4" x14ac:dyDescent="0.2">
      <c r="B427" t="s">
        <v>394</v>
      </c>
      <c r="C427" s="4" t="s">
        <v>261</v>
      </c>
      <c r="D427" s="7">
        <v>8</v>
      </c>
    </row>
    <row r="428" spans="2:4" x14ac:dyDescent="0.2">
      <c r="B428" t="s">
        <v>394</v>
      </c>
      <c r="C428" s="4" t="s">
        <v>260</v>
      </c>
      <c r="D428" s="7">
        <v>3</v>
      </c>
    </row>
    <row r="429" spans="2:4" x14ac:dyDescent="0.2">
      <c r="B429" t="s">
        <v>395</v>
      </c>
      <c r="C429" s="4" t="s">
        <v>279</v>
      </c>
      <c r="D429" s="7">
        <v>1</v>
      </c>
    </row>
    <row r="430" spans="2:4" x14ac:dyDescent="0.2">
      <c r="B430" t="s">
        <v>395</v>
      </c>
      <c r="C430" s="4" t="s">
        <v>279</v>
      </c>
      <c r="D430" s="7">
        <v>8</v>
      </c>
    </row>
    <row r="431" spans="2:4" x14ac:dyDescent="0.2">
      <c r="B431" t="s">
        <v>395</v>
      </c>
      <c r="C431" s="4" t="s">
        <v>219</v>
      </c>
      <c r="D431" s="7">
        <v>4</v>
      </c>
    </row>
    <row r="432" spans="2:4" x14ac:dyDescent="0.2">
      <c r="B432" t="s">
        <v>395</v>
      </c>
      <c r="C432" s="4" t="s">
        <v>261</v>
      </c>
      <c r="D432" s="7">
        <v>0.5</v>
      </c>
    </row>
    <row r="433" spans="2:4" ht="15" x14ac:dyDescent="0.2">
      <c r="B433" t="s">
        <v>396</v>
      </c>
      <c r="C433" s="6" t="s">
        <v>219</v>
      </c>
      <c r="D433" s="7">
        <v>1</v>
      </c>
    </row>
    <row r="434" spans="2:4" x14ac:dyDescent="0.2">
      <c r="B434" t="s">
        <v>396</v>
      </c>
      <c r="C434" s="4" t="s">
        <v>261</v>
      </c>
      <c r="D434" s="7">
        <v>0.5</v>
      </c>
    </row>
    <row r="435" spans="2:4" x14ac:dyDescent="0.2">
      <c r="B435" t="s">
        <v>396</v>
      </c>
      <c r="C435" s="4" t="s">
        <v>261</v>
      </c>
      <c r="D435" s="7">
        <v>0.2</v>
      </c>
    </row>
    <row r="436" spans="2:4" x14ac:dyDescent="0.2">
      <c r="B436" t="s">
        <v>396</v>
      </c>
      <c r="C436" s="4" t="s">
        <v>279</v>
      </c>
      <c r="D436" s="7">
        <v>1</v>
      </c>
    </row>
    <row r="437" spans="2:4" x14ac:dyDescent="0.2">
      <c r="B437" t="s">
        <v>396</v>
      </c>
      <c r="C437" s="4" t="s">
        <v>260</v>
      </c>
      <c r="D437" s="7">
        <v>1</v>
      </c>
    </row>
    <row r="438" spans="2:4" ht="15" x14ac:dyDescent="0.2">
      <c r="B438" t="s">
        <v>396</v>
      </c>
      <c r="C438" s="6" t="s">
        <v>219</v>
      </c>
      <c r="D438" s="7">
        <v>1</v>
      </c>
    </row>
    <row r="439" spans="2:4" x14ac:dyDescent="0.2">
      <c r="B439" t="s">
        <v>396</v>
      </c>
      <c r="C439" s="4" t="s">
        <v>260</v>
      </c>
      <c r="D439" s="7">
        <v>1</v>
      </c>
    </row>
    <row r="440" spans="2:4" x14ac:dyDescent="0.2">
      <c r="B440" t="s">
        <v>396</v>
      </c>
      <c r="C440" s="4" t="s">
        <v>260</v>
      </c>
      <c r="D440" s="7">
        <v>2</v>
      </c>
    </row>
    <row r="441" spans="2:4" x14ac:dyDescent="0.2">
      <c r="B441" t="s">
        <v>396</v>
      </c>
      <c r="C441" s="4" t="s">
        <v>279</v>
      </c>
      <c r="D441" s="7">
        <v>1</v>
      </c>
    </row>
    <row r="442" spans="2:4" x14ac:dyDescent="0.2">
      <c r="B442" t="s">
        <v>396</v>
      </c>
      <c r="C442" s="4" t="s">
        <v>260</v>
      </c>
      <c r="D442" s="7">
        <v>3</v>
      </c>
    </row>
    <row r="443" spans="2:4" x14ac:dyDescent="0.2">
      <c r="B443" t="s">
        <v>396</v>
      </c>
      <c r="C443" s="4" t="s">
        <v>260</v>
      </c>
      <c r="D443" s="7">
        <v>6</v>
      </c>
    </row>
    <row r="444" spans="2:4" x14ac:dyDescent="0.2">
      <c r="B444" t="s">
        <v>396</v>
      </c>
      <c r="C444" s="4" t="s">
        <v>261</v>
      </c>
      <c r="D444" s="7">
        <v>5</v>
      </c>
    </row>
    <row r="445" spans="2:4" x14ac:dyDescent="0.2">
      <c r="B445" t="s">
        <v>396</v>
      </c>
      <c r="C445" s="4" t="s">
        <v>219</v>
      </c>
      <c r="D445" s="7">
        <v>6</v>
      </c>
    </row>
    <row r="446" spans="2:4" x14ac:dyDescent="0.2">
      <c r="B446" t="s">
        <v>396</v>
      </c>
      <c r="C446" s="4" t="s">
        <v>279</v>
      </c>
      <c r="D446" s="7">
        <v>2</v>
      </c>
    </row>
    <row r="447" spans="2:4" x14ac:dyDescent="0.2">
      <c r="B447" t="s">
        <v>396</v>
      </c>
      <c r="C447" s="4" t="s">
        <v>279</v>
      </c>
      <c r="D447" s="7">
        <f>0.4</f>
        <v>0.4</v>
      </c>
    </row>
    <row r="448" spans="2:4" x14ac:dyDescent="0.2">
      <c r="B448" t="s">
        <v>396</v>
      </c>
      <c r="C448" s="4" t="s">
        <v>279</v>
      </c>
      <c r="D448" s="7">
        <v>2</v>
      </c>
    </row>
    <row r="449" spans="2:4" x14ac:dyDescent="0.2">
      <c r="B449" t="s">
        <v>396</v>
      </c>
      <c r="C449" s="4" t="s">
        <v>279</v>
      </c>
      <c r="D449" s="7">
        <v>1.5</v>
      </c>
    </row>
    <row r="450" spans="2:4" x14ac:dyDescent="0.2">
      <c r="B450" t="s">
        <v>396</v>
      </c>
      <c r="C450" s="4" t="s">
        <v>279</v>
      </c>
      <c r="D450" s="7">
        <v>3</v>
      </c>
    </row>
    <row r="451" spans="2:4" x14ac:dyDescent="0.2">
      <c r="B451" t="s">
        <v>396</v>
      </c>
      <c r="C451" s="4" t="s">
        <v>279</v>
      </c>
      <c r="D451" s="7">
        <v>0.5</v>
      </c>
    </row>
    <row r="452" spans="2:4" x14ac:dyDescent="0.2">
      <c r="B452" t="s">
        <v>396</v>
      </c>
      <c r="C452" s="4" t="s">
        <v>261</v>
      </c>
      <c r="D452" s="7">
        <v>1.8</v>
      </c>
    </row>
    <row r="453" spans="2:4" x14ac:dyDescent="0.2">
      <c r="B453" t="s">
        <v>396</v>
      </c>
      <c r="C453" s="4" t="s">
        <v>261</v>
      </c>
      <c r="D453" s="7">
        <v>2</v>
      </c>
    </row>
    <row r="454" spans="2:4" x14ac:dyDescent="0.2">
      <c r="B454" t="s">
        <v>396</v>
      </c>
      <c r="C454" s="4" t="s">
        <v>261</v>
      </c>
      <c r="D454" s="7">
        <v>3</v>
      </c>
    </row>
    <row r="455" spans="2:4" x14ac:dyDescent="0.2">
      <c r="B455" t="s">
        <v>396</v>
      </c>
      <c r="C455" s="4" t="s">
        <v>219</v>
      </c>
      <c r="D455" s="7">
        <v>2</v>
      </c>
    </row>
    <row r="456" spans="2:4" x14ac:dyDescent="0.2">
      <c r="B456" t="s">
        <v>396</v>
      </c>
      <c r="C456" s="4" t="s">
        <v>219</v>
      </c>
      <c r="D456" s="7">
        <v>4</v>
      </c>
    </row>
    <row r="457" spans="2:4" x14ac:dyDescent="0.2">
      <c r="B457" t="s">
        <v>396</v>
      </c>
      <c r="C457" s="4" t="s">
        <v>219</v>
      </c>
      <c r="D457" s="7">
        <v>2</v>
      </c>
    </row>
    <row r="458" spans="2:4" x14ac:dyDescent="0.2">
      <c r="B458" t="s">
        <v>396</v>
      </c>
      <c r="C458" s="4" t="s">
        <v>260</v>
      </c>
      <c r="D458" s="7">
        <v>1</v>
      </c>
    </row>
    <row r="459" spans="2:4" x14ac:dyDescent="0.2">
      <c r="B459" t="s">
        <v>396</v>
      </c>
      <c r="C459" s="4" t="s">
        <v>219</v>
      </c>
      <c r="D459" s="7">
        <v>1</v>
      </c>
    </row>
    <row r="460" spans="2:4" x14ac:dyDescent="0.2">
      <c r="B460" t="s">
        <v>396</v>
      </c>
      <c r="C460" s="4" t="s">
        <v>279</v>
      </c>
      <c r="D460" s="7">
        <v>1</v>
      </c>
    </row>
    <row r="461" spans="2:4" x14ac:dyDescent="0.2">
      <c r="B461" t="s">
        <v>396</v>
      </c>
      <c r="C461" s="4" t="s">
        <v>279</v>
      </c>
      <c r="D461" s="7">
        <v>0.5</v>
      </c>
    </row>
    <row r="462" spans="2:4" x14ac:dyDescent="0.2">
      <c r="B462" t="s">
        <v>396</v>
      </c>
      <c r="C462" s="4" t="s">
        <v>219</v>
      </c>
      <c r="D462" s="7">
        <v>1</v>
      </c>
    </row>
    <row r="463" spans="2:4" x14ac:dyDescent="0.2">
      <c r="B463" t="s">
        <v>396</v>
      </c>
      <c r="C463" s="4" t="s">
        <v>219</v>
      </c>
      <c r="D463" s="7">
        <v>1</v>
      </c>
    </row>
    <row r="464" spans="2:4" ht="15" x14ac:dyDescent="0.2">
      <c r="B464" t="s">
        <v>396</v>
      </c>
      <c r="C464" s="6" t="s">
        <v>219</v>
      </c>
      <c r="D464" s="7">
        <v>1</v>
      </c>
    </row>
    <row r="465" spans="2:4" x14ac:dyDescent="0.2">
      <c r="B465" t="s">
        <v>396</v>
      </c>
      <c r="C465" s="4" t="s">
        <v>219</v>
      </c>
      <c r="D465" s="7">
        <v>1</v>
      </c>
    </row>
    <row r="466" spans="2:4" x14ac:dyDescent="0.2">
      <c r="B466" t="s">
        <v>396</v>
      </c>
      <c r="C466" s="4" t="s">
        <v>279</v>
      </c>
      <c r="D466" s="7">
        <v>0.5</v>
      </c>
    </row>
    <row r="467" spans="2:4" x14ac:dyDescent="0.2">
      <c r="B467" t="s">
        <v>396</v>
      </c>
      <c r="C467" s="4" t="s">
        <v>279</v>
      </c>
      <c r="D467" s="7">
        <v>1</v>
      </c>
    </row>
    <row r="468" spans="2:4" x14ac:dyDescent="0.2">
      <c r="B468" t="s">
        <v>396</v>
      </c>
      <c r="C468" s="4" t="s">
        <v>279</v>
      </c>
      <c r="D468" s="7">
        <v>1</v>
      </c>
    </row>
    <row r="469" spans="2:4" x14ac:dyDescent="0.2">
      <c r="B469" t="s">
        <v>396</v>
      </c>
      <c r="C469" s="4" t="s">
        <v>219</v>
      </c>
      <c r="D469" s="7">
        <v>1</v>
      </c>
    </row>
    <row r="470" spans="2:4" x14ac:dyDescent="0.2">
      <c r="B470" t="s">
        <v>397</v>
      </c>
      <c r="C470" s="4" t="s">
        <v>279</v>
      </c>
      <c r="D470" s="7">
        <v>1</v>
      </c>
    </row>
    <row r="471" spans="2:4" x14ac:dyDescent="0.2">
      <c r="B471" t="s">
        <v>398</v>
      </c>
      <c r="C471" s="4" t="s">
        <v>261</v>
      </c>
      <c r="D471" s="7">
        <v>3</v>
      </c>
    </row>
    <row r="472" spans="2:4" x14ac:dyDescent="0.2">
      <c r="B472" t="s">
        <v>399</v>
      </c>
      <c r="C472" s="4" t="s">
        <v>15</v>
      </c>
      <c r="D472" s="7">
        <v>2</v>
      </c>
    </row>
    <row r="473" spans="2:4" x14ac:dyDescent="0.2">
      <c r="B473" t="s">
        <v>399</v>
      </c>
      <c r="C473" s="4" t="s">
        <v>15</v>
      </c>
      <c r="D473" s="7">
        <v>1</v>
      </c>
    </row>
    <row r="474" spans="2:4" x14ac:dyDescent="0.2">
      <c r="B474" t="s">
        <v>400</v>
      </c>
      <c r="C474" s="4" t="s">
        <v>15</v>
      </c>
      <c r="D474" s="7">
        <v>4</v>
      </c>
    </row>
    <row r="475" spans="2:4" x14ac:dyDescent="0.2">
      <c r="B475" t="s">
        <v>401</v>
      </c>
      <c r="C475" s="4" t="s">
        <v>15</v>
      </c>
      <c r="D475" s="7">
        <v>4</v>
      </c>
    </row>
    <row r="476" spans="2:4" x14ac:dyDescent="0.2">
      <c r="B476" t="s">
        <v>401</v>
      </c>
      <c r="C476" s="4" t="s">
        <v>15</v>
      </c>
      <c r="D476" s="7">
        <v>4</v>
      </c>
    </row>
    <row r="477" spans="2:4" x14ac:dyDescent="0.2">
      <c r="B477" t="s">
        <v>402</v>
      </c>
      <c r="C477" s="4" t="s">
        <v>4</v>
      </c>
      <c r="D477" s="7">
        <v>2</v>
      </c>
    </row>
    <row r="478" spans="2:4" x14ac:dyDescent="0.2">
      <c r="B478" t="s">
        <v>402</v>
      </c>
      <c r="C478" s="4" t="s">
        <v>41</v>
      </c>
      <c r="D478" s="7">
        <v>0.5</v>
      </c>
    </row>
    <row r="479" spans="2:4" x14ac:dyDescent="0.2">
      <c r="B479" t="s">
        <v>402</v>
      </c>
      <c r="C479" s="4" t="s">
        <v>41</v>
      </c>
      <c r="D479" s="7">
        <v>0.5</v>
      </c>
    </row>
    <row r="480" spans="2:4" x14ac:dyDescent="0.2">
      <c r="B480" t="s">
        <v>402</v>
      </c>
      <c r="C480" s="4" t="s">
        <v>41</v>
      </c>
      <c r="D480" s="7">
        <v>0.5</v>
      </c>
    </row>
    <row r="481" spans="2:4" x14ac:dyDescent="0.2">
      <c r="B481" t="s">
        <v>402</v>
      </c>
      <c r="C481" s="4" t="s">
        <v>4</v>
      </c>
      <c r="D481" s="7">
        <v>1</v>
      </c>
    </row>
    <row r="482" spans="2:4" x14ac:dyDescent="0.2">
      <c r="B482" t="s">
        <v>402</v>
      </c>
      <c r="C482" s="4" t="s">
        <v>40</v>
      </c>
      <c r="D482" s="7">
        <v>0.5</v>
      </c>
    </row>
    <row r="483" spans="2:4" x14ac:dyDescent="0.2">
      <c r="B483" t="s">
        <v>402</v>
      </c>
      <c r="C483" s="4" t="s">
        <v>40</v>
      </c>
      <c r="D483" s="7">
        <v>0.5</v>
      </c>
    </row>
    <row r="484" spans="2:4" x14ac:dyDescent="0.2">
      <c r="B484" t="s">
        <v>402</v>
      </c>
      <c r="C484" s="4" t="s">
        <v>40</v>
      </c>
      <c r="D484" s="7">
        <v>2</v>
      </c>
    </row>
    <row r="485" spans="2:4" x14ac:dyDescent="0.2">
      <c r="B485" t="s">
        <v>402</v>
      </c>
      <c r="C485" s="4" t="s">
        <v>40</v>
      </c>
      <c r="D485" s="7">
        <v>1</v>
      </c>
    </row>
    <row r="486" spans="2:4" x14ac:dyDescent="0.2">
      <c r="B486" t="s">
        <v>402</v>
      </c>
      <c r="C486" s="4" t="s">
        <v>4</v>
      </c>
      <c r="D486" s="7">
        <v>1</v>
      </c>
    </row>
    <row r="487" spans="2:4" x14ac:dyDescent="0.2">
      <c r="B487" t="s">
        <v>402</v>
      </c>
      <c r="C487" s="4" t="s">
        <v>4</v>
      </c>
      <c r="D487" s="7">
        <v>2</v>
      </c>
    </row>
    <row r="488" spans="2:4" x14ac:dyDescent="0.2">
      <c r="B488" t="s">
        <v>391</v>
      </c>
      <c r="C488" s="4" t="s">
        <v>261</v>
      </c>
      <c r="D488" s="7">
        <v>16</v>
      </c>
    </row>
    <row r="489" spans="2:4" x14ac:dyDescent="0.2">
      <c r="B489" t="s">
        <v>403</v>
      </c>
      <c r="C489" s="4" t="s">
        <v>279</v>
      </c>
      <c r="D489" s="7">
        <v>3</v>
      </c>
    </row>
    <row r="490" spans="2:4" x14ac:dyDescent="0.2">
      <c r="B490" t="s">
        <v>403</v>
      </c>
      <c r="C490" s="4" t="s">
        <v>260</v>
      </c>
      <c r="D490" s="7">
        <v>4</v>
      </c>
    </row>
    <row r="491" spans="2:4" x14ac:dyDescent="0.2">
      <c r="B491" t="s">
        <v>404</v>
      </c>
      <c r="C491" s="4" t="s">
        <v>260</v>
      </c>
      <c r="D491" s="7">
        <v>0.5</v>
      </c>
    </row>
    <row r="492" spans="2:4" x14ac:dyDescent="0.2">
      <c r="B492" t="s">
        <v>156</v>
      </c>
      <c r="C492" s="4" t="s">
        <v>260</v>
      </c>
      <c r="D492" s="7">
        <v>0.5</v>
      </c>
    </row>
    <row r="493" spans="2:4" x14ac:dyDescent="0.2">
      <c r="B493" t="s">
        <v>156</v>
      </c>
      <c r="C493" s="4" t="s">
        <v>279</v>
      </c>
      <c r="D493" s="7">
        <v>1</v>
      </c>
    </row>
    <row r="494" spans="2:4" x14ac:dyDescent="0.2">
      <c r="B494" t="s">
        <v>156</v>
      </c>
      <c r="C494" s="4" t="s">
        <v>279</v>
      </c>
      <c r="D494" s="7">
        <v>8</v>
      </c>
    </row>
    <row r="495" spans="2:4" x14ac:dyDescent="0.2">
      <c r="B495" t="s">
        <v>156</v>
      </c>
      <c r="C495" s="4" t="s">
        <v>261</v>
      </c>
      <c r="D495" s="7">
        <v>8</v>
      </c>
    </row>
    <row r="496" spans="2:4" x14ac:dyDescent="0.2">
      <c r="B496" t="s">
        <v>156</v>
      </c>
      <c r="C496" s="4" t="s">
        <v>279</v>
      </c>
      <c r="D496" s="7">
        <v>1</v>
      </c>
    </row>
    <row r="497" spans="2:4" x14ac:dyDescent="0.2">
      <c r="B497" t="s">
        <v>156</v>
      </c>
      <c r="C497" s="4" t="s">
        <v>279</v>
      </c>
      <c r="D497" s="7">
        <v>2</v>
      </c>
    </row>
    <row r="498" spans="2:4" x14ac:dyDescent="0.2">
      <c r="B498" t="s">
        <v>156</v>
      </c>
      <c r="C498" s="4" t="s">
        <v>260</v>
      </c>
      <c r="D498" s="7">
        <v>1</v>
      </c>
    </row>
    <row r="499" spans="2:4" x14ac:dyDescent="0.2">
      <c r="B499" t="s">
        <v>156</v>
      </c>
      <c r="C499" s="4" t="s">
        <v>219</v>
      </c>
      <c r="D499" s="7">
        <v>16</v>
      </c>
    </row>
    <row r="500" spans="2:4" x14ac:dyDescent="0.2">
      <c r="B500" t="s">
        <v>156</v>
      </c>
      <c r="C500" s="4" t="s">
        <v>279</v>
      </c>
      <c r="D500" s="7">
        <v>1</v>
      </c>
    </row>
    <row r="501" spans="2:4" x14ac:dyDescent="0.2">
      <c r="B501" t="s">
        <v>405</v>
      </c>
      <c r="C501" s="4" t="s">
        <v>40</v>
      </c>
      <c r="D501" s="7">
        <v>0.12</v>
      </c>
    </row>
    <row r="502" spans="2:4" x14ac:dyDescent="0.2">
      <c r="B502" t="s">
        <v>406</v>
      </c>
      <c r="C502" s="4" t="s">
        <v>40</v>
      </c>
      <c r="D502" s="7">
        <v>1</v>
      </c>
    </row>
    <row r="503" spans="2:4" x14ac:dyDescent="0.2">
      <c r="B503" t="s">
        <v>406</v>
      </c>
      <c r="C503" s="4" t="s">
        <v>40</v>
      </c>
      <c r="D503" s="7">
        <v>1</v>
      </c>
    </row>
    <row r="504" spans="2:4" x14ac:dyDescent="0.2">
      <c r="B504" t="s">
        <v>398</v>
      </c>
      <c r="C504" s="4" t="s">
        <v>40</v>
      </c>
      <c r="D504" s="7">
        <v>2</v>
      </c>
    </row>
    <row r="505" spans="2:4" x14ac:dyDescent="0.2">
      <c r="B505" t="s">
        <v>398</v>
      </c>
      <c r="C505" s="4" t="s">
        <v>40</v>
      </c>
      <c r="D505" s="7">
        <v>1.5</v>
      </c>
    </row>
    <row r="506" spans="2:4" x14ac:dyDescent="0.2">
      <c r="B506" t="s">
        <v>398</v>
      </c>
      <c r="C506" s="4" t="s">
        <v>41</v>
      </c>
      <c r="D506" s="7">
        <v>4</v>
      </c>
    </row>
    <row r="507" spans="2:4" x14ac:dyDescent="0.2">
      <c r="B507" t="s">
        <v>398</v>
      </c>
      <c r="C507" s="4" t="s">
        <v>41</v>
      </c>
      <c r="D507" s="7">
        <v>1</v>
      </c>
    </row>
    <row r="508" spans="2:4" x14ac:dyDescent="0.2">
      <c r="B508" t="s">
        <v>398</v>
      </c>
      <c r="C508" s="4" t="s">
        <v>41</v>
      </c>
      <c r="D508" s="7">
        <v>2</v>
      </c>
    </row>
    <row r="509" spans="2:4" x14ac:dyDescent="0.2">
      <c r="B509" t="s">
        <v>398</v>
      </c>
      <c r="C509" s="4" t="s">
        <v>4</v>
      </c>
      <c r="D509" s="7">
        <v>8</v>
      </c>
    </row>
    <row r="510" spans="2:4" x14ac:dyDescent="0.2">
      <c r="B510" t="s">
        <v>139</v>
      </c>
      <c r="C510" s="4" t="s">
        <v>15</v>
      </c>
      <c r="D510" s="7">
        <v>4</v>
      </c>
    </row>
    <row r="511" spans="2:4" x14ac:dyDescent="0.2">
      <c r="B511" t="s">
        <v>407</v>
      </c>
      <c r="C511" s="4" t="s">
        <v>41</v>
      </c>
      <c r="D511" s="7">
        <v>0.5</v>
      </c>
    </row>
    <row r="512" spans="2:4" x14ac:dyDescent="0.2">
      <c r="B512" t="s">
        <v>404</v>
      </c>
      <c r="C512" s="4" t="s">
        <v>4</v>
      </c>
      <c r="D512" s="7">
        <v>5</v>
      </c>
    </row>
    <row r="513" spans="2:4" x14ac:dyDescent="0.2">
      <c r="B513" t="s">
        <v>404</v>
      </c>
      <c r="C513" s="4" t="s">
        <v>40</v>
      </c>
      <c r="D513" s="7">
        <v>0.15</v>
      </c>
    </row>
    <row r="514" spans="2:4" x14ac:dyDescent="0.2">
      <c r="B514" t="s">
        <v>408</v>
      </c>
      <c r="C514" s="4" t="s">
        <v>40</v>
      </c>
      <c r="D514" s="7">
        <v>0.12</v>
      </c>
    </row>
    <row r="515" spans="2:4" x14ac:dyDescent="0.2">
      <c r="B515" t="s">
        <v>408</v>
      </c>
      <c r="C515" s="4" t="s">
        <v>41</v>
      </c>
      <c r="D515" s="7">
        <v>0.5</v>
      </c>
    </row>
    <row r="516" spans="2:4" x14ac:dyDescent="0.2">
      <c r="B516" t="s">
        <v>409</v>
      </c>
      <c r="C516" s="4" t="s">
        <v>40</v>
      </c>
      <c r="D516" s="7">
        <v>0.12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C406:C516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O529"/>
  <sheetViews>
    <sheetView workbookViewId="0">
      <selection activeCell="E537" sqref="E537"/>
    </sheetView>
  </sheetViews>
  <sheetFormatPr defaultRowHeight="12.75" x14ac:dyDescent="0.2"/>
  <cols>
    <col min="2" max="2" width="56.42578125" bestFit="1" customWidth="1"/>
    <col min="3" max="3" width="19" bestFit="1" customWidth="1"/>
    <col min="4" max="4" width="12.140625" bestFit="1" customWidth="1"/>
    <col min="5" max="5" width="12.140625" customWidth="1"/>
  </cols>
  <sheetData>
    <row r="1" spans="2:15" ht="15" x14ac:dyDescent="0.2">
      <c r="B1" s="2" t="s">
        <v>239</v>
      </c>
      <c r="C1" s="2" t="s">
        <v>248</v>
      </c>
      <c r="D1" s="2" t="s">
        <v>410</v>
      </c>
      <c r="E1" s="11"/>
    </row>
    <row r="2" spans="2:15" x14ac:dyDescent="0.2">
      <c r="B2" t="s">
        <v>423</v>
      </c>
      <c r="C2" t="s">
        <v>77</v>
      </c>
      <c r="D2">
        <v>0.5</v>
      </c>
      <c r="F2">
        <f>IF(AND($C2 = Temp!$B$1, $B2 = Temp!$A$16),$D2,0)</f>
        <v>0</v>
      </c>
      <c r="G2">
        <f>IF(AND($C2 = Temp!$C$1, $B2 = Temp!$A$16),$D2,0)</f>
        <v>0</v>
      </c>
      <c r="H2">
        <f>IF(AND($C2 = Temp!$D$1, $B2 = Temp!$A$16),$D2,0)</f>
        <v>0</v>
      </c>
      <c r="I2">
        <f>IF(AND($C2 = Temp!$E$1, $B2 = Temp!$A$16),$D2,0)</f>
        <v>0</v>
      </c>
      <c r="J2">
        <f>IF(AND($C2 = Temp!$F$1, $B2 = Temp!$A$16),$D2,0)</f>
        <v>0</v>
      </c>
      <c r="K2">
        <f>IF(AND($C2 = Temp!$G$1, $B2 = Temp!$A$16),$D2,0)</f>
        <v>0</v>
      </c>
      <c r="L2">
        <f>IF(AND($C2 = Temp!$H$1, $B2 = Temp!$A$16),$D2,0)</f>
        <v>0</v>
      </c>
      <c r="M2">
        <f>IF(AND($C2 = Temp!$I$1, $B2 = Temp!$A$16),$D2,0)</f>
        <v>0</v>
      </c>
      <c r="N2">
        <f>IF(AND($C2 = Temp!$J$1, $B2 = Temp!$A$16),$D2,0)</f>
        <v>0</v>
      </c>
      <c r="O2">
        <f>IF(AND($C2 = Temp!$K$1, $B2 = Temp!$A$16),$D2,0)</f>
        <v>0</v>
      </c>
    </row>
    <row r="3" spans="2:15" hidden="1" x14ac:dyDescent="0.2">
      <c r="B3" t="s">
        <v>423</v>
      </c>
      <c r="C3" t="s">
        <v>77</v>
      </c>
      <c r="D3">
        <v>0</v>
      </c>
      <c r="F3">
        <f>IF(AND($C3 = Temp!$B$1, $B3 = Temp!$A$16),$D3,0)</f>
        <v>0</v>
      </c>
      <c r="G3">
        <f>IF(AND($C3 = Temp!$C$1, $B3 = Temp!$A$16),$D3,0)</f>
        <v>0</v>
      </c>
      <c r="H3">
        <f>IF(AND($C3 = Temp!$D$1, $B3 = Temp!$A$16),$D3,0)</f>
        <v>0</v>
      </c>
      <c r="I3">
        <f>IF(AND($C3 = Temp!$E$1, $B3 = Temp!$A$16),$D3,0)</f>
        <v>0</v>
      </c>
      <c r="J3">
        <f>IF(AND($C3 = Temp!$F$1, $B3 = Temp!$A$16),$D3,0)</f>
        <v>0</v>
      </c>
      <c r="K3">
        <f>IF(AND($C3 = Temp!$G$1, $B3 = Temp!$A$16),$D3,0)</f>
        <v>0</v>
      </c>
      <c r="L3">
        <f>IF(AND($C3 = Temp!$H$1, $B3 = Temp!$A$16),$D3,0)</f>
        <v>0</v>
      </c>
      <c r="M3">
        <f>IF(AND($C3 = Temp!$I$1, $B3 = Temp!$A$16),$D3,0)</f>
        <v>0</v>
      </c>
      <c r="N3">
        <f>IF(AND($C3 = Temp!$J$1, $B3 = Temp!$A$16),$D3,0)</f>
        <v>0</v>
      </c>
      <c r="O3">
        <f>IF(AND($C3 = Temp!$K$1, $B3 = Temp!$A$16),$D3,0)</f>
        <v>0</v>
      </c>
    </row>
    <row r="4" spans="2:15" hidden="1" x14ac:dyDescent="0.2">
      <c r="B4" t="s">
        <v>423</v>
      </c>
      <c r="C4" s="4" t="s">
        <v>15</v>
      </c>
      <c r="D4" s="7">
        <v>1</v>
      </c>
      <c r="E4" s="7"/>
      <c r="F4">
        <f>IF(AND($C4 = Temp!$B$1, $B4 = Temp!$A$16),$D4,0)</f>
        <v>0</v>
      </c>
      <c r="G4">
        <f>IF(AND($C4 = Temp!$C$1, $B4 = Temp!$A$16),$D4,0)</f>
        <v>0</v>
      </c>
      <c r="H4">
        <f>IF(AND($C4 = Temp!$D$1, $B4 = Temp!$A$16),$D4,0)</f>
        <v>0</v>
      </c>
      <c r="I4">
        <f>IF(AND($C4 = Temp!$E$1, $B4 = Temp!$A$16),$D4,0)</f>
        <v>0</v>
      </c>
      <c r="J4">
        <f>IF(AND($C4 = Temp!$F$1, $B4 = Temp!$A$16),$D4,0)</f>
        <v>0</v>
      </c>
      <c r="K4">
        <f>IF(AND($C4 = Temp!$G$1, $B4 = Temp!$A$16),$D4,0)</f>
        <v>0</v>
      </c>
      <c r="L4">
        <f>IF(AND($C4 = Temp!$H$1, $B4 = Temp!$A$16),$D4,0)</f>
        <v>0</v>
      </c>
      <c r="M4">
        <f>IF(AND($C4 = Temp!$I$1, $B4 = Temp!$A$16),$D4,0)</f>
        <v>0</v>
      </c>
      <c r="N4">
        <f>IF(AND($C4 = Temp!$J$1, $B4 = Temp!$A$16),$D4,0)</f>
        <v>0</v>
      </c>
      <c r="O4">
        <f>IF(AND($C4 = Temp!$K$1, $B4 = Temp!$A$16),$D4,0)</f>
        <v>0</v>
      </c>
    </row>
    <row r="5" spans="2:15" hidden="1" x14ac:dyDescent="0.2">
      <c r="B5" t="s">
        <v>423</v>
      </c>
      <c r="C5" s="4" t="s">
        <v>15</v>
      </c>
      <c r="D5" s="7">
        <v>2</v>
      </c>
      <c r="E5" s="7"/>
      <c r="F5">
        <f>IF(AND($C5 = Temp!$B$1, $B5 = Temp!$A$16),$D5,0)</f>
        <v>0</v>
      </c>
      <c r="G5">
        <f>IF(AND($C5 = Temp!$C$1, $B5 = Temp!$A$16),$D5,0)</f>
        <v>0</v>
      </c>
      <c r="H5">
        <f>IF(AND($C5 = Temp!$D$1, $B5 = Temp!$A$16),$D5,0)</f>
        <v>0</v>
      </c>
      <c r="I5">
        <f>IF(AND($C5 = Temp!$E$1, $B5 = Temp!$A$16),$D5,0)</f>
        <v>0</v>
      </c>
      <c r="J5">
        <f>IF(AND($C5 = Temp!$F$1, $B5 = Temp!$A$16),$D5,0)</f>
        <v>0</v>
      </c>
      <c r="K5">
        <f>IF(AND($C5 = Temp!$G$1, $B5 = Temp!$A$16),$D5,0)</f>
        <v>0</v>
      </c>
      <c r="L5">
        <f>IF(AND($C5 = Temp!$H$1, $B5 = Temp!$A$16),$D5,0)</f>
        <v>0</v>
      </c>
      <c r="M5">
        <f>IF(AND($C5 = Temp!$I$1, $B5 = Temp!$A$16),$D5,0)</f>
        <v>0</v>
      </c>
      <c r="N5">
        <f>IF(AND($C5 = Temp!$J$1, $B5 = Temp!$A$16),$D5,0)</f>
        <v>0</v>
      </c>
      <c r="O5">
        <f>IF(AND($C5 = Temp!$K$1, $B5 = Temp!$A$16),$D5,0)</f>
        <v>0</v>
      </c>
    </row>
    <row r="6" spans="2:15" hidden="1" x14ac:dyDescent="0.2">
      <c r="B6" t="s">
        <v>423</v>
      </c>
      <c r="C6" s="4" t="s">
        <v>15</v>
      </c>
      <c r="D6" s="7">
        <v>4</v>
      </c>
      <c r="E6" s="7"/>
      <c r="F6">
        <f>IF(AND($C6 = Temp!$B$1, $B6 = Temp!$A$16),$D6,0)</f>
        <v>0</v>
      </c>
      <c r="G6">
        <f>IF(AND($C6 = Temp!$C$1, $B6 = Temp!$A$16),$D6,0)</f>
        <v>0</v>
      </c>
      <c r="H6">
        <f>IF(AND($C6 = Temp!$D$1, $B6 = Temp!$A$16),$D6,0)</f>
        <v>0</v>
      </c>
      <c r="I6">
        <f>IF(AND($C6 = Temp!$E$1, $B6 = Temp!$A$16),$D6,0)</f>
        <v>0</v>
      </c>
      <c r="J6">
        <f>IF(AND($C6 = Temp!$F$1, $B6 = Temp!$A$16),$D6,0)</f>
        <v>0</v>
      </c>
      <c r="K6">
        <f>IF(AND($C6 = Temp!$G$1, $B6 = Temp!$A$16),$D6,0)</f>
        <v>0</v>
      </c>
      <c r="L6">
        <f>IF(AND($C6 = Temp!$H$1, $B6 = Temp!$A$16),$D6,0)</f>
        <v>0</v>
      </c>
      <c r="M6">
        <f>IF(AND($C6 = Temp!$I$1, $B6 = Temp!$A$16),$D6,0)</f>
        <v>0</v>
      </c>
      <c r="N6">
        <f>IF(AND($C6 = Temp!$J$1, $B6 = Temp!$A$16),$D6,0)</f>
        <v>0</v>
      </c>
      <c r="O6">
        <f>IF(AND($C6 = Temp!$K$1, $B6 = Temp!$A$16),$D6,0)</f>
        <v>0</v>
      </c>
    </row>
    <row r="7" spans="2:15" hidden="1" x14ac:dyDescent="0.2">
      <c r="B7" t="s">
        <v>423</v>
      </c>
      <c r="C7" s="4" t="s">
        <v>41</v>
      </c>
      <c r="D7" s="7">
        <v>2</v>
      </c>
      <c r="E7" s="7"/>
      <c r="F7">
        <f>IF(AND($C7 = Temp!$B$1, $B7 = Temp!$A$16),$D7,0)</f>
        <v>0</v>
      </c>
      <c r="G7">
        <f>IF(AND($C7 = Temp!$C$1, $B7 = Temp!$A$16),$D7,0)</f>
        <v>0</v>
      </c>
      <c r="H7">
        <f>IF(AND($C7 = Temp!$D$1, $B7 = Temp!$A$16),$D7,0)</f>
        <v>0</v>
      </c>
      <c r="I7">
        <f>IF(AND($C7 = Temp!$E$1, $B7 = Temp!$A$16),$D7,0)</f>
        <v>0</v>
      </c>
      <c r="J7">
        <f>IF(AND($C7 = Temp!$F$1, $B7 = Temp!$A$16),$D7,0)</f>
        <v>0</v>
      </c>
      <c r="K7">
        <f>IF(AND($C7 = Temp!$G$1, $B7 = Temp!$A$16),$D7,0)</f>
        <v>0</v>
      </c>
      <c r="L7">
        <f>IF(AND($C7 = Temp!$H$1, $B7 = Temp!$A$16),$D7,0)</f>
        <v>0</v>
      </c>
      <c r="M7">
        <f>IF(AND($C7 = Temp!$I$1, $B7 = Temp!$A$16),$D7,0)</f>
        <v>0</v>
      </c>
      <c r="N7">
        <f>IF(AND($C7 = Temp!$J$1, $B7 = Temp!$A$16),$D7,0)</f>
        <v>0</v>
      </c>
      <c r="O7">
        <f>IF(AND($C7 = Temp!$K$1, $B7 = Temp!$A$16),$D7,0)</f>
        <v>0</v>
      </c>
    </row>
    <row r="8" spans="2:15" hidden="1" x14ac:dyDescent="0.2">
      <c r="B8" t="s">
        <v>423</v>
      </c>
      <c r="C8" s="4" t="s">
        <v>15</v>
      </c>
      <c r="D8" s="7">
        <v>4</v>
      </c>
      <c r="E8" s="7"/>
      <c r="F8">
        <f>IF(AND($C8 = Temp!$B$1, $B8 = Temp!$A$16),$D8,0)</f>
        <v>0</v>
      </c>
      <c r="G8">
        <f>IF(AND($C8 = Temp!$C$1, $B8 = Temp!$A$16),$D8,0)</f>
        <v>0</v>
      </c>
      <c r="H8">
        <f>IF(AND($C8 = Temp!$D$1, $B8 = Temp!$A$16),$D8,0)</f>
        <v>0</v>
      </c>
      <c r="I8">
        <f>IF(AND($C8 = Temp!$E$1, $B8 = Temp!$A$16),$D8,0)</f>
        <v>0</v>
      </c>
      <c r="J8">
        <f>IF(AND($C8 = Temp!$F$1, $B8 = Temp!$A$16),$D8,0)</f>
        <v>0</v>
      </c>
      <c r="K8">
        <f>IF(AND($C8 = Temp!$G$1, $B8 = Temp!$A$16),$D8,0)</f>
        <v>0</v>
      </c>
      <c r="L8">
        <f>IF(AND($C8 = Temp!$H$1, $B8 = Temp!$A$16),$D8,0)</f>
        <v>0</v>
      </c>
      <c r="M8">
        <f>IF(AND($C8 = Temp!$I$1, $B8 = Temp!$A$16),$D8,0)</f>
        <v>0</v>
      </c>
      <c r="N8">
        <f>IF(AND($C8 = Temp!$J$1, $B8 = Temp!$A$16),$D8,0)</f>
        <v>0</v>
      </c>
      <c r="O8">
        <f>IF(AND($C8 = Temp!$K$1, $B8 = Temp!$A$16),$D8,0)</f>
        <v>0</v>
      </c>
    </row>
    <row r="9" spans="2:15" hidden="1" x14ac:dyDescent="0.2">
      <c r="B9" t="s">
        <v>443</v>
      </c>
      <c r="C9" s="4" t="s">
        <v>219</v>
      </c>
      <c r="D9" s="7">
        <v>4</v>
      </c>
      <c r="E9" s="7"/>
      <c r="F9">
        <f>IF(AND($C9 = Temp!$B$1, $B9 = Temp!$A$16),$D9,0)</f>
        <v>0</v>
      </c>
      <c r="G9">
        <f>IF(AND($C9 = Temp!$C$1, $B9 = Temp!$A$16),$D9,0)</f>
        <v>0</v>
      </c>
      <c r="H9">
        <f>IF(AND($C9 = Temp!$D$1, $B9 = Temp!$A$16),$D9,0)</f>
        <v>0</v>
      </c>
      <c r="I9">
        <f>IF(AND($C9 = Temp!$E$1, $B9 = Temp!$A$16),$D9,0)</f>
        <v>0</v>
      </c>
      <c r="J9">
        <f>IF(AND($C9 = Temp!$F$1, $B9 = Temp!$A$16),$D9,0)</f>
        <v>0</v>
      </c>
      <c r="K9">
        <f>IF(AND($C9 = Temp!$G$1, $B9 = Temp!$A$16),$D9,0)</f>
        <v>0</v>
      </c>
      <c r="L9">
        <f>IF(AND($C9 = Temp!$H$1, $B9 = Temp!$A$16),$D9,0)</f>
        <v>0</v>
      </c>
      <c r="M9">
        <f>IF(AND($C9 = Temp!$I$1, $B9 = Temp!$A$16),$D9,0)</f>
        <v>0</v>
      </c>
      <c r="N9">
        <f>IF(AND($C9 = Temp!$J$1, $B9 = Temp!$A$16),$D9,0)</f>
        <v>0</v>
      </c>
      <c r="O9">
        <f>IF(AND($C9 = Temp!$K$1, $B9 = Temp!$A$16),$D9,0)</f>
        <v>0</v>
      </c>
    </row>
    <row r="10" spans="2:15" hidden="1" x14ac:dyDescent="0.2">
      <c r="B10" t="s">
        <v>447</v>
      </c>
      <c r="C10" s="4" t="s">
        <v>15</v>
      </c>
      <c r="D10" s="7">
        <v>4</v>
      </c>
      <c r="E10" s="7"/>
      <c r="F10">
        <f>IF(AND($C10 = Temp!$B$1, $B10 = Temp!$A$16),$D10,0)</f>
        <v>0</v>
      </c>
      <c r="G10">
        <f>IF(AND($C10 = Temp!$C$1, $B10 = Temp!$A$16),$D10,0)</f>
        <v>0</v>
      </c>
      <c r="H10">
        <f>IF(AND($C10 = Temp!$D$1, $B10 = Temp!$A$16),$D10,0)</f>
        <v>0</v>
      </c>
      <c r="I10">
        <f>IF(AND($C10 = Temp!$E$1, $B10 = Temp!$A$16),$D10,0)</f>
        <v>0</v>
      </c>
      <c r="J10">
        <f>IF(AND($C10 = Temp!$F$1, $B10 = Temp!$A$16),$D10,0)</f>
        <v>0</v>
      </c>
      <c r="K10">
        <f>IF(AND($C10 = Temp!$G$1, $B10 = Temp!$A$16),$D10,0)</f>
        <v>0</v>
      </c>
      <c r="L10">
        <f>IF(AND($C10 = Temp!$H$1, $B10 = Temp!$A$16),$D10,0)</f>
        <v>0</v>
      </c>
      <c r="M10">
        <f>IF(AND($C10 = Temp!$I$1, $B10 = Temp!$A$16),$D10,0)</f>
        <v>0</v>
      </c>
      <c r="N10">
        <f>IF(AND($C10 = Temp!$J$1, $B10 = Temp!$A$16),$D10,0)</f>
        <v>0</v>
      </c>
      <c r="O10">
        <f>IF(AND($C10 = Temp!$K$1, $B10 = Temp!$A$16),$D10,0)</f>
        <v>0</v>
      </c>
    </row>
    <row r="11" spans="2:15" hidden="1" x14ac:dyDescent="0.2">
      <c r="B11" t="s">
        <v>447</v>
      </c>
      <c r="C11" s="4" t="s">
        <v>15</v>
      </c>
      <c r="D11" s="7">
        <v>4</v>
      </c>
      <c r="E11" s="7"/>
      <c r="F11">
        <f>IF(AND($C11 = Temp!$B$1, $B11 = Temp!$A$16),$D11,0)</f>
        <v>0</v>
      </c>
      <c r="G11">
        <f>IF(AND($C11 = Temp!$C$1, $B11 = Temp!$A$16),$D11,0)</f>
        <v>0</v>
      </c>
      <c r="H11">
        <f>IF(AND($C11 = Temp!$D$1, $B11 = Temp!$A$16),$D11,0)</f>
        <v>0</v>
      </c>
      <c r="I11">
        <f>IF(AND($C11 = Temp!$E$1, $B11 = Temp!$A$16),$D11,0)</f>
        <v>0</v>
      </c>
      <c r="J11">
        <f>IF(AND($C11 = Temp!$F$1, $B11 = Temp!$A$16),$D11,0)</f>
        <v>0</v>
      </c>
      <c r="K11">
        <f>IF(AND($C11 = Temp!$G$1, $B11 = Temp!$A$16),$D11,0)</f>
        <v>0</v>
      </c>
      <c r="L11">
        <f>IF(AND($C11 = Temp!$H$1, $B11 = Temp!$A$16),$D11,0)</f>
        <v>0</v>
      </c>
      <c r="M11">
        <f>IF(AND($C11 = Temp!$I$1, $B11 = Temp!$A$16),$D11,0)</f>
        <v>0</v>
      </c>
      <c r="N11">
        <f>IF(AND($C11 = Temp!$J$1, $B11 = Temp!$A$16),$D11,0)</f>
        <v>0</v>
      </c>
      <c r="O11">
        <f>IF(AND($C11 = Temp!$K$1, $B11 = Temp!$A$16),$D11,0)</f>
        <v>0</v>
      </c>
    </row>
    <row r="12" spans="2:15" hidden="1" x14ac:dyDescent="0.2">
      <c r="B12" t="s">
        <v>433</v>
      </c>
      <c r="C12" t="s">
        <v>24</v>
      </c>
      <c r="D12">
        <v>1</v>
      </c>
      <c r="F12">
        <f>IF(AND($C12 = Temp!$B$1, $B12 = Temp!$A$16),$D12,0)</f>
        <v>0</v>
      </c>
      <c r="G12">
        <f>IF(AND($C12 = Temp!$C$1, $B12 = Temp!$A$16),$D12,0)</f>
        <v>0</v>
      </c>
      <c r="H12">
        <f>IF(AND($C12 = Temp!$D$1, $B12 = Temp!$A$16),$D12,0)</f>
        <v>0</v>
      </c>
      <c r="I12">
        <f>IF(AND($C12 = Temp!$E$1, $B12 = Temp!$A$16),$D12,0)</f>
        <v>0</v>
      </c>
      <c r="J12">
        <f>IF(AND($C12 = Temp!$F$1, $B12 = Temp!$A$16),$D12,0)</f>
        <v>0</v>
      </c>
      <c r="K12">
        <f>IF(AND($C12 = Temp!$G$1, $B12 = Temp!$A$16),$D12,0)</f>
        <v>0</v>
      </c>
      <c r="L12">
        <f>IF(AND($C12 = Temp!$H$1, $B12 = Temp!$A$16),$D12,0)</f>
        <v>0</v>
      </c>
      <c r="M12">
        <f>IF(AND($C12 = Temp!$I$1, $B12 = Temp!$A$16),$D12,0)</f>
        <v>0</v>
      </c>
      <c r="N12">
        <f>IF(AND($C12 = Temp!$J$1, $B12 = Temp!$A$16),$D12,0)</f>
        <v>0</v>
      </c>
      <c r="O12">
        <f>IF(AND($C12 = Temp!$K$1, $B12 = Temp!$A$16),$D12,0)</f>
        <v>0</v>
      </c>
    </row>
    <row r="13" spans="2:15" hidden="1" x14ac:dyDescent="0.2">
      <c r="B13" t="s">
        <v>437</v>
      </c>
      <c r="C13" t="s">
        <v>260</v>
      </c>
      <c r="D13">
        <v>1</v>
      </c>
      <c r="F13">
        <f>IF(AND($C13 = Temp!$B$1, $B13 = Temp!$A$16),$D13,0)</f>
        <v>0</v>
      </c>
      <c r="G13">
        <f>IF(AND($C13 = Temp!$C$1, $B13 = Temp!$A$16),$D13,0)</f>
        <v>0</v>
      </c>
      <c r="H13">
        <f>IF(AND($C13 = Temp!$D$1, $B13 = Temp!$A$16),$D13,0)</f>
        <v>0</v>
      </c>
      <c r="I13">
        <f>IF(AND($C13 = Temp!$E$1, $B13 = Temp!$A$16),$D13,0)</f>
        <v>0</v>
      </c>
      <c r="J13">
        <f>IF(AND($C13 = Temp!$F$1, $B13 = Temp!$A$16),$D13,0)</f>
        <v>0</v>
      </c>
      <c r="K13">
        <f>IF(AND($C13 = Temp!$G$1, $B13 = Temp!$A$16),$D13,0)</f>
        <v>0</v>
      </c>
      <c r="L13">
        <f>IF(AND($C13 = Temp!$H$1, $B13 = Temp!$A$16),$D13,0)</f>
        <v>0</v>
      </c>
      <c r="M13">
        <f>IF(AND($C13 = Temp!$I$1, $B13 = Temp!$A$16),$D13,0)</f>
        <v>0</v>
      </c>
      <c r="N13">
        <f>IF(AND($C13 = Temp!$J$1, $B13 = Temp!$A$16),$D13,0)</f>
        <v>0</v>
      </c>
      <c r="O13">
        <f>IF(AND($C13 = Temp!$K$1, $B13 = Temp!$A$16),$D13,0)</f>
        <v>0</v>
      </c>
    </row>
    <row r="14" spans="2:15" hidden="1" x14ac:dyDescent="0.2">
      <c r="B14" t="s">
        <v>390</v>
      </c>
      <c r="C14" s="4" t="s">
        <v>40</v>
      </c>
      <c r="D14" s="7">
        <v>0.1</v>
      </c>
      <c r="E14" s="7"/>
      <c r="F14">
        <f>IF(AND($C14 = Temp!$B$1, $B14 = Temp!$A$16),$D14,0)</f>
        <v>0</v>
      </c>
      <c r="G14">
        <f>IF(AND($C14 = Temp!$C$1, $B14 = Temp!$A$16),$D14,0)</f>
        <v>0</v>
      </c>
      <c r="H14">
        <f>IF(AND($C14 = Temp!$D$1, $B14 = Temp!$A$16),$D14,0)</f>
        <v>0</v>
      </c>
      <c r="I14">
        <f>IF(AND($C14 = Temp!$E$1, $B14 = Temp!$A$16),$D14,0)</f>
        <v>0</v>
      </c>
      <c r="J14">
        <f>IF(AND($C14 = Temp!$F$1, $B14 = Temp!$A$16),$D14,0)</f>
        <v>0</v>
      </c>
      <c r="K14">
        <f>IF(AND($C14 = Temp!$G$1, $B14 = Temp!$A$16),$D14,0)</f>
        <v>0</v>
      </c>
      <c r="L14">
        <f>IF(AND($C14 = Temp!$H$1, $B14 = Temp!$A$16),$D14,0)</f>
        <v>0</v>
      </c>
      <c r="M14">
        <f>IF(AND($C14 = Temp!$I$1, $B14 = Temp!$A$16),$D14,0)</f>
        <v>0</v>
      </c>
      <c r="N14">
        <f>IF(AND($C14 = Temp!$J$1, $B14 = Temp!$A$16),$D14,0)</f>
        <v>0</v>
      </c>
      <c r="O14">
        <f>IF(AND($C14 = Temp!$K$1, $B14 = Temp!$A$16),$D14,0)</f>
        <v>0</v>
      </c>
    </row>
    <row r="15" spans="2:15" hidden="1" x14ac:dyDescent="0.2">
      <c r="B15" t="s">
        <v>390</v>
      </c>
      <c r="C15" s="4" t="s">
        <v>40</v>
      </c>
      <c r="D15" s="7">
        <v>0.15</v>
      </c>
      <c r="E15" s="7"/>
      <c r="F15">
        <f>IF(AND($C15 = Temp!$B$1, $B15 = Temp!$A$16),$D15,0)</f>
        <v>0</v>
      </c>
      <c r="G15">
        <f>IF(AND($C15 = Temp!$C$1, $B15 = Temp!$A$16),$D15,0)</f>
        <v>0</v>
      </c>
      <c r="H15">
        <f>IF(AND($C15 = Temp!$D$1, $B15 = Temp!$A$16),$D15,0)</f>
        <v>0</v>
      </c>
      <c r="I15">
        <f>IF(AND($C15 = Temp!$E$1, $B15 = Temp!$A$16),$D15,0)</f>
        <v>0</v>
      </c>
      <c r="J15">
        <f>IF(AND($C15 = Temp!$F$1, $B15 = Temp!$A$16),$D15,0)</f>
        <v>0</v>
      </c>
      <c r="K15">
        <f>IF(AND($C15 = Temp!$G$1, $B15 = Temp!$A$16),$D15,0)</f>
        <v>0</v>
      </c>
      <c r="L15">
        <f>IF(AND($C15 = Temp!$H$1, $B15 = Temp!$A$16),$D15,0)</f>
        <v>0</v>
      </c>
      <c r="M15">
        <f>IF(AND($C15 = Temp!$I$1, $B15 = Temp!$A$16),$D15,0)</f>
        <v>0</v>
      </c>
      <c r="N15">
        <f>IF(AND($C15 = Temp!$J$1, $B15 = Temp!$A$16),$D15,0)</f>
        <v>0</v>
      </c>
      <c r="O15">
        <f>IF(AND($C15 = Temp!$K$1, $B15 = Temp!$A$16),$D15,0)</f>
        <v>0</v>
      </c>
    </row>
    <row r="16" spans="2:15" hidden="1" x14ac:dyDescent="0.2">
      <c r="B16" t="s">
        <v>390</v>
      </c>
      <c r="C16" s="4" t="s">
        <v>40</v>
      </c>
      <c r="D16" s="7">
        <v>1</v>
      </c>
      <c r="E16" s="7"/>
      <c r="F16">
        <f>IF(AND($C16 = Temp!$B$1, $B16 = Temp!$A$16),$D16,0)</f>
        <v>0</v>
      </c>
      <c r="G16">
        <f>IF(AND($C16 = Temp!$C$1, $B16 = Temp!$A$16),$D16,0)</f>
        <v>0</v>
      </c>
      <c r="H16">
        <f>IF(AND($C16 = Temp!$D$1, $B16 = Temp!$A$16),$D16,0)</f>
        <v>0</v>
      </c>
      <c r="I16">
        <f>IF(AND($C16 = Temp!$E$1, $B16 = Temp!$A$16),$D16,0)</f>
        <v>0</v>
      </c>
      <c r="J16">
        <f>IF(AND($C16 = Temp!$F$1, $B16 = Temp!$A$16),$D16,0)</f>
        <v>0</v>
      </c>
      <c r="K16">
        <f>IF(AND($C16 = Temp!$G$1, $B16 = Temp!$A$16),$D16,0)</f>
        <v>0</v>
      </c>
      <c r="L16">
        <f>IF(AND($C16 = Temp!$H$1, $B16 = Temp!$A$16),$D16,0)</f>
        <v>0</v>
      </c>
      <c r="M16">
        <f>IF(AND($C16 = Temp!$I$1, $B16 = Temp!$A$16),$D16,0)</f>
        <v>0</v>
      </c>
      <c r="N16">
        <f>IF(AND($C16 = Temp!$J$1, $B16 = Temp!$A$16),$D16,0)</f>
        <v>0</v>
      </c>
      <c r="O16">
        <f>IF(AND($C16 = Temp!$K$1, $B16 = Temp!$A$16),$D16,0)</f>
        <v>0</v>
      </c>
    </row>
    <row r="17" spans="2:15" hidden="1" x14ac:dyDescent="0.2">
      <c r="B17" t="s">
        <v>430</v>
      </c>
      <c r="C17" t="s">
        <v>41</v>
      </c>
      <c r="D17">
        <v>2</v>
      </c>
      <c r="F17">
        <f>IF(AND($C17 = Temp!$B$1, $B17 = Temp!$A$16),$D17,0)</f>
        <v>0</v>
      </c>
      <c r="G17">
        <f>IF(AND($C17 = Temp!$C$1, $B17 = Temp!$A$16),$D17,0)</f>
        <v>0</v>
      </c>
      <c r="H17">
        <f>IF(AND($C17 = Temp!$D$1, $B17 = Temp!$A$16),$D17,0)</f>
        <v>0</v>
      </c>
      <c r="I17">
        <f>IF(AND($C17 = Temp!$E$1, $B17 = Temp!$A$16),$D17,0)</f>
        <v>0</v>
      </c>
      <c r="J17">
        <f>IF(AND($C17 = Temp!$F$1, $B17 = Temp!$A$16),$D17,0)</f>
        <v>0</v>
      </c>
      <c r="K17">
        <f>IF(AND($C17 = Temp!$G$1, $B17 = Temp!$A$16),$D17,0)</f>
        <v>0</v>
      </c>
      <c r="L17">
        <f>IF(AND($C17 = Temp!$H$1, $B17 = Temp!$A$16),$D17,0)</f>
        <v>0</v>
      </c>
      <c r="M17">
        <f>IF(AND($C17 = Temp!$I$1, $B17 = Temp!$A$16),$D17,0)</f>
        <v>0</v>
      </c>
      <c r="N17">
        <f>IF(AND($C17 = Temp!$J$1, $B17 = Temp!$A$16),$D17,0)</f>
        <v>0</v>
      </c>
      <c r="O17">
        <f>IF(AND($C17 = Temp!$K$1, $B17 = Temp!$A$16),$D17,0)</f>
        <v>0</v>
      </c>
    </row>
    <row r="18" spans="2:15" hidden="1" x14ac:dyDescent="0.2">
      <c r="B18" t="s">
        <v>434</v>
      </c>
      <c r="C18" t="s">
        <v>40</v>
      </c>
      <c r="D18">
        <v>2</v>
      </c>
      <c r="F18">
        <f>IF(AND($C18 = Temp!$B$1, $B18 = Temp!$A$16),$D18,0)</f>
        <v>0</v>
      </c>
      <c r="G18">
        <f>IF(AND($C18 = Temp!$C$1, $B18 = Temp!$A$16),$D18,0)</f>
        <v>0</v>
      </c>
      <c r="H18">
        <f>IF(AND($C18 = Temp!$D$1, $B18 = Temp!$A$16),$D18,0)</f>
        <v>0</v>
      </c>
      <c r="I18">
        <f>IF(AND($C18 = Temp!$E$1, $B18 = Temp!$A$16),$D18,0)</f>
        <v>0</v>
      </c>
      <c r="J18">
        <f>IF(AND($C18 = Temp!$F$1, $B18 = Temp!$A$16),$D18,0)</f>
        <v>0</v>
      </c>
      <c r="K18">
        <f>IF(AND($C18 = Temp!$G$1, $B18 = Temp!$A$16),$D18,0)</f>
        <v>0</v>
      </c>
      <c r="L18">
        <f>IF(AND($C18 = Temp!$H$1, $B18 = Temp!$A$16),$D18,0)</f>
        <v>0</v>
      </c>
      <c r="M18">
        <f>IF(AND($C18 = Temp!$I$1, $B18 = Temp!$A$16),$D18,0)</f>
        <v>0</v>
      </c>
      <c r="N18">
        <f>IF(AND($C18 = Temp!$J$1, $B18 = Temp!$A$16),$D18,0)</f>
        <v>0</v>
      </c>
      <c r="O18">
        <f>IF(AND($C18 = Temp!$K$1, $B18 = Temp!$A$16),$D18,0)</f>
        <v>0</v>
      </c>
    </row>
    <row r="19" spans="2:15" hidden="1" x14ac:dyDescent="0.2">
      <c r="B19" t="s">
        <v>434</v>
      </c>
      <c r="C19" t="s">
        <v>40</v>
      </c>
      <c r="D19">
        <v>1</v>
      </c>
      <c r="F19">
        <f>IF(AND($C19 = Temp!$B$1, $B19 = Temp!$A$16),$D19,0)</f>
        <v>0</v>
      </c>
      <c r="G19">
        <f>IF(AND($C19 = Temp!$C$1, $B19 = Temp!$A$16),$D19,0)</f>
        <v>0</v>
      </c>
      <c r="H19">
        <f>IF(AND($C19 = Temp!$D$1, $B19 = Temp!$A$16),$D19,0)</f>
        <v>0</v>
      </c>
      <c r="I19">
        <f>IF(AND($C19 = Temp!$E$1, $B19 = Temp!$A$16),$D19,0)</f>
        <v>0</v>
      </c>
      <c r="J19">
        <f>IF(AND($C19 = Temp!$F$1, $B19 = Temp!$A$16),$D19,0)</f>
        <v>0</v>
      </c>
      <c r="K19">
        <f>IF(AND($C19 = Temp!$G$1, $B19 = Temp!$A$16),$D19,0)</f>
        <v>0</v>
      </c>
      <c r="L19">
        <f>IF(AND($C19 = Temp!$H$1, $B19 = Temp!$A$16),$D19,0)</f>
        <v>0</v>
      </c>
      <c r="M19">
        <f>IF(AND($C19 = Temp!$I$1, $B19 = Temp!$A$16),$D19,0)</f>
        <v>0</v>
      </c>
      <c r="N19">
        <f>IF(AND($C19 = Temp!$J$1, $B19 = Temp!$A$16),$D19,0)</f>
        <v>0</v>
      </c>
      <c r="O19">
        <f>IF(AND($C19 = Temp!$K$1, $B19 = Temp!$A$16),$D19,0)</f>
        <v>0</v>
      </c>
    </row>
    <row r="20" spans="2:15" hidden="1" x14ac:dyDescent="0.2">
      <c r="B20" t="s">
        <v>434</v>
      </c>
      <c r="C20" t="s">
        <v>40</v>
      </c>
      <c r="D20">
        <v>2</v>
      </c>
      <c r="F20">
        <f>IF(AND($C20 = Temp!$B$1, $B20 = Temp!$A$16),$D20,0)</f>
        <v>0</v>
      </c>
      <c r="G20">
        <f>IF(AND($C20 = Temp!$C$1, $B20 = Temp!$A$16),$D20,0)</f>
        <v>0</v>
      </c>
      <c r="H20">
        <f>IF(AND($C20 = Temp!$D$1, $B20 = Temp!$A$16),$D20,0)</f>
        <v>0</v>
      </c>
      <c r="I20">
        <f>IF(AND($C20 = Temp!$E$1, $B20 = Temp!$A$16),$D20,0)</f>
        <v>0</v>
      </c>
      <c r="J20">
        <f>IF(AND($C20 = Temp!$F$1, $B20 = Temp!$A$16),$D20,0)</f>
        <v>0</v>
      </c>
      <c r="K20">
        <f>IF(AND($C20 = Temp!$G$1, $B20 = Temp!$A$16),$D20,0)</f>
        <v>0</v>
      </c>
      <c r="L20">
        <f>IF(AND($C20 = Temp!$H$1, $B20 = Temp!$A$16),$D20,0)</f>
        <v>0</v>
      </c>
      <c r="M20">
        <f>IF(AND($C20 = Temp!$I$1, $B20 = Temp!$A$16),$D20,0)</f>
        <v>0</v>
      </c>
      <c r="N20">
        <f>IF(AND($C20 = Temp!$J$1, $B20 = Temp!$A$16),$D20,0)</f>
        <v>0</v>
      </c>
      <c r="O20">
        <f>IF(AND($C20 = Temp!$K$1, $B20 = Temp!$A$16),$D20,0)</f>
        <v>0</v>
      </c>
    </row>
    <row r="21" spans="2:15" hidden="1" x14ac:dyDescent="0.2">
      <c r="B21" t="s">
        <v>434</v>
      </c>
      <c r="C21" t="s">
        <v>40</v>
      </c>
      <c r="D21">
        <v>0.12</v>
      </c>
      <c r="F21">
        <f>IF(AND($C21 = Temp!$B$1, $B21 = Temp!$A$16),$D21,0)</f>
        <v>0</v>
      </c>
      <c r="G21">
        <f>IF(AND($C21 = Temp!$C$1, $B21 = Temp!$A$16),$D21,0)</f>
        <v>0</v>
      </c>
      <c r="H21">
        <f>IF(AND($C21 = Temp!$D$1, $B21 = Temp!$A$16),$D21,0)</f>
        <v>0</v>
      </c>
      <c r="I21">
        <f>IF(AND($C21 = Temp!$E$1, $B21 = Temp!$A$16),$D21,0)</f>
        <v>0</v>
      </c>
      <c r="J21">
        <f>IF(AND($C21 = Temp!$F$1, $B21 = Temp!$A$16),$D21,0)</f>
        <v>0</v>
      </c>
      <c r="K21">
        <f>IF(AND($C21 = Temp!$G$1, $B21 = Temp!$A$16),$D21,0)</f>
        <v>0</v>
      </c>
      <c r="L21">
        <f>IF(AND($C21 = Temp!$H$1, $B21 = Temp!$A$16),$D21,0)</f>
        <v>0</v>
      </c>
      <c r="M21">
        <f>IF(AND($C21 = Temp!$I$1, $B21 = Temp!$A$16),$D21,0)</f>
        <v>0</v>
      </c>
      <c r="N21">
        <f>IF(AND($C21 = Temp!$J$1, $B21 = Temp!$A$16),$D21,0)</f>
        <v>0</v>
      </c>
      <c r="O21">
        <f>IF(AND($C21 = Temp!$K$1, $B21 = Temp!$A$16),$D21,0)</f>
        <v>0</v>
      </c>
    </row>
    <row r="22" spans="2:15" hidden="1" x14ac:dyDescent="0.2">
      <c r="B22" t="s">
        <v>434</v>
      </c>
      <c r="C22" t="s">
        <v>40</v>
      </c>
      <c r="D22">
        <v>1</v>
      </c>
      <c r="F22">
        <f>IF(AND($C22 = Temp!$B$1, $B22 = Temp!$A$16),$D22,0)</f>
        <v>0</v>
      </c>
      <c r="G22">
        <f>IF(AND($C22 = Temp!$C$1, $B22 = Temp!$A$16),$D22,0)</f>
        <v>0</v>
      </c>
      <c r="H22">
        <f>IF(AND($C22 = Temp!$D$1, $B22 = Temp!$A$16),$D22,0)</f>
        <v>0</v>
      </c>
      <c r="I22">
        <f>IF(AND($C22 = Temp!$E$1, $B22 = Temp!$A$16),$D22,0)</f>
        <v>0</v>
      </c>
      <c r="J22">
        <f>IF(AND($C22 = Temp!$F$1, $B22 = Temp!$A$16),$D22,0)</f>
        <v>0</v>
      </c>
      <c r="K22">
        <f>IF(AND($C22 = Temp!$G$1, $B22 = Temp!$A$16),$D22,0)</f>
        <v>0</v>
      </c>
      <c r="L22">
        <f>IF(AND($C22 = Temp!$H$1, $B22 = Temp!$A$16),$D22,0)</f>
        <v>0</v>
      </c>
      <c r="M22">
        <f>IF(AND($C22 = Temp!$I$1, $B22 = Temp!$A$16),$D22,0)</f>
        <v>0</v>
      </c>
      <c r="N22">
        <f>IF(AND($C22 = Temp!$J$1, $B22 = Temp!$A$16),$D22,0)</f>
        <v>0</v>
      </c>
      <c r="O22">
        <f>IF(AND($C22 = Temp!$K$1, $B22 = Temp!$A$16),$D22,0)</f>
        <v>0</v>
      </c>
    </row>
    <row r="23" spans="2:15" hidden="1" x14ac:dyDescent="0.2">
      <c r="B23" t="s">
        <v>434</v>
      </c>
      <c r="C23" t="s">
        <v>40</v>
      </c>
      <c r="D23">
        <v>1</v>
      </c>
      <c r="F23">
        <f>IF(AND($C23 = Temp!$B$1, $B23 = Temp!$A$16),$D23,0)</f>
        <v>0</v>
      </c>
      <c r="G23">
        <f>IF(AND($C23 = Temp!$C$1, $B23 = Temp!$A$16),$D23,0)</f>
        <v>0</v>
      </c>
      <c r="H23">
        <f>IF(AND($C23 = Temp!$D$1, $B23 = Temp!$A$16),$D23,0)</f>
        <v>0</v>
      </c>
      <c r="I23">
        <f>IF(AND($C23 = Temp!$E$1, $B23 = Temp!$A$16),$D23,0)</f>
        <v>0</v>
      </c>
      <c r="J23">
        <f>IF(AND($C23 = Temp!$F$1, $B23 = Temp!$A$16),$D23,0)</f>
        <v>0</v>
      </c>
      <c r="K23">
        <f>IF(AND($C23 = Temp!$G$1, $B23 = Temp!$A$16),$D23,0)</f>
        <v>0</v>
      </c>
      <c r="L23">
        <f>IF(AND($C23 = Temp!$H$1, $B23 = Temp!$A$16),$D23,0)</f>
        <v>0</v>
      </c>
      <c r="M23">
        <f>IF(AND($C23 = Temp!$I$1, $B23 = Temp!$A$16),$D23,0)</f>
        <v>0</v>
      </c>
      <c r="N23">
        <f>IF(AND($C23 = Temp!$J$1, $B23 = Temp!$A$16),$D23,0)</f>
        <v>0</v>
      </c>
      <c r="O23">
        <f>IF(AND($C23 = Temp!$K$1, $B23 = Temp!$A$16),$D23,0)</f>
        <v>0</v>
      </c>
    </row>
    <row r="24" spans="2:15" hidden="1" x14ac:dyDescent="0.2">
      <c r="B24" t="s">
        <v>434</v>
      </c>
      <c r="C24" t="s">
        <v>40</v>
      </c>
      <c r="D24">
        <v>1</v>
      </c>
      <c r="F24">
        <f>IF(AND($C24 = Temp!$B$1, $B24 = Temp!$A$16),$D24,0)</f>
        <v>0</v>
      </c>
      <c r="G24">
        <f>IF(AND($C24 = Temp!$C$1, $B24 = Temp!$A$16),$D24,0)</f>
        <v>0</v>
      </c>
      <c r="H24">
        <f>IF(AND($C24 = Temp!$D$1, $B24 = Temp!$A$16),$D24,0)</f>
        <v>0</v>
      </c>
      <c r="I24">
        <f>IF(AND($C24 = Temp!$E$1, $B24 = Temp!$A$16),$D24,0)</f>
        <v>0</v>
      </c>
      <c r="J24">
        <f>IF(AND($C24 = Temp!$F$1, $B24 = Temp!$A$16),$D24,0)</f>
        <v>0</v>
      </c>
      <c r="K24">
        <f>IF(AND($C24 = Temp!$G$1, $B24 = Temp!$A$16),$D24,0)</f>
        <v>0</v>
      </c>
      <c r="L24">
        <f>IF(AND($C24 = Temp!$H$1, $B24 = Temp!$A$16),$D24,0)</f>
        <v>0</v>
      </c>
      <c r="M24">
        <f>IF(AND($C24 = Temp!$I$1, $B24 = Temp!$A$16),$D24,0)</f>
        <v>0</v>
      </c>
      <c r="N24">
        <f>IF(AND($C24 = Temp!$J$1, $B24 = Temp!$A$16),$D24,0)</f>
        <v>0</v>
      </c>
      <c r="O24">
        <f>IF(AND($C24 = Temp!$K$1, $B24 = Temp!$A$16),$D24,0)</f>
        <v>0</v>
      </c>
    </row>
    <row r="25" spans="2:15" hidden="1" x14ac:dyDescent="0.2">
      <c r="B25" t="s">
        <v>434</v>
      </c>
      <c r="C25" t="s">
        <v>24</v>
      </c>
      <c r="D25">
        <v>1</v>
      </c>
      <c r="F25">
        <f>IF(AND($C25 = Temp!$B$1, $B25 = Temp!$A$16),$D25,0)</f>
        <v>0</v>
      </c>
      <c r="G25">
        <f>IF(AND($C25 = Temp!$C$1, $B25 = Temp!$A$16),$D25,0)</f>
        <v>0</v>
      </c>
      <c r="H25">
        <f>IF(AND($C25 = Temp!$D$1, $B25 = Temp!$A$16),$D25,0)</f>
        <v>0</v>
      </c>
      <c r="I25">
        <f>IF(AND($C25 = Temp!$E$1, $B25 = Temp!$A$16),$D25,0)</f>
        <v>0</v>
      </c>
      <c r="J25">
        <f>IF(AND($C25 = Temp!$F$1, $B25 = Temp!$A$16),$D25,0)</f>
        <v>0</v>
      </c>
      <c r="K25">
        <f>IF(AND($C25 = Temp!$G$1, $B25 = Temp!$A$16),$D25,0)</f>
        <v>0</v>
      </c>
      <c r="L25">
        <f>IF(AND($C25 = Temp!$H$1, $B25 = Temp!$A$16),$D25,0)</f>
        <v>0</v>
      </c>
      <c r="M25">
        <f>IF(AND($C25 = Temp!$I$1, $B25 = Temp!$A$16),$D25,0)</f>
        <v>0</v>
      </c>
      <c r="N25">
        <f>IF(AND($C25 = Temp!$J$1, $B25 = Temp!$A$16),$D25,0)</f>
        <v>0</v>
      </c>
      <c r="O25">
        <f>IF(AND($C25 = Temp!$K$1, $B25 = Temp!$A$16),$D25,0)</f>
        <v>0</v>
      </c>
    </row>
    <row r="26" spans="2:15" hidden="1" x14ac:dyDescent="0.2">
      <c r="B26" t="s">
        <v>434</v>
      </c>
      <c r="C26" t="s">
        <v>24</v>
      </c>
      <c r="D26">
        <v>1</v>
      </c>
      <c r="F26">
        <f>IF(AND($C26 = Temp!$B$1, $B26 = Temp!$A$16),$D26,0)</f>
        <v>0</v>
      </c>
      <c r="G26">
        <f>IF(AND($C26 = Temp!$C$1, $B26 = Temp!$A$16),$D26,0)</f>
        <v>0</v>
      </c>
      <c r="H26">
        <f>IF(AND($C26 = Temp!$D$1, $B26 = Temp!$A$16),$D26,0)</f>
        <v>0</v>
      </c>
      <c r="I26">
        <f>IF(AND($C26 = Temp!$E$1, $B26 = Temp!$A$16),$D26,0)</f>
        <v>0</v>
      </c>
      <c r="J26">
        <f>IF(AND($C26 = Temp!$F$1, $B26 = Temp!$A$16),$D26,0)</f>
        <v>0</v>
      </c>
      <c r="K26">
        <f>IF(AND($C26 = Temp!$G$1, $B26 = Temp!$A$16),$D26,0)</f>
        <v>0</v>
      </c>
      <c r="L26">
        <f>IF(AND($C26 = Temp!$H$1, $B26 = Temp!$A$16),$D26,0)</f>
        <v>0</v>
      </c>
      <c r="M26">
        <f>IF(AND($C26 = Temp!$I$1, $B26 = Temp!$A$16),$D26,0)</f>
        <v>0</v>
      </c>
      <c r="N26">
        <f>IF(AND($C26 = Temp!$J$1, $B26 = Temp!$A$16),$D26,0)</f>
        <v>0</v>
      </c>
      <c r="O26">
        <f>IF(AND($C26 = Temp!$K$1, $B26 = Temp!$A$16),$D26,0)</f>
        <v>0</v>
      </c>
    </row>
    <row r="27" spans="2:15" hidden="1" x14ac:dyDescent="0.2">
      <c r="B27" t="s">
        <v>434</v>
      </c>
      <c r="C27" t="s">
        <v>24</v>
      </c>
      <c r="D27">
        <v>1</v>
      </c>
      <c r="F27">
        <f>IF(AND($C27 = Temp!$B$1, $B27 = Temp!$A$16),$D27,0)</f>
        <v>0</v>
      </c>
      <c r="G27">
        <f>IF(AND($C27 = Temp!$C$1, $B27 = Temp!$A$16),$D27,0)</f>
        <v>0</v>
      </c>
      <c r="H27">
        <f>IF(AND($C27 = Temp!$D$1, $B27 = Temp!$A$16),$D27,0)</f>
        <v>0</v>
      </c>
      <c r="I27">
        <f>IF(AND($C27 = Temp!$E$1, $B27 = Temp!$A$16),$D27,0)</f>
        <v>0</v>
      </c>
      <c r="J27">
        <f>IF(AND($C27 = Temp!$F$1, $B27 = Temp!$A$16),$D27,0)</f>
        <v>0</v>
      </c>
      <c r="K27">
        <f>IF(AND($C27 = Temp!$G$1, $B27 = Temp!$A$16),$D27,0)</f>
        <v>0</v>
      </c>
      <c r="L27">
        <f>IF(AND($C27 = Temp!$H$1, $B27 = Temp!$A$16),$D27,0)</f>
        <v>0</v>
      </c>
      <c r="M27">
        <f>IF(AND($C27 = Temp!$I$1, $B27 = Temp!$A$16),$D27,0)</f>
        <v>0</v>
      </c>
      <c r="N27">
        <f>IF(AND($C27 = Temp!$J$1, $B27 = Temp!$A$16),$D27,0)</f>
        <v>0</v>
      </c>
      <c r="O27">
        <f>IF(AND($C27 = Temp!$K$1, $B27 = Temp!$A$16),$D27,0)</f>
        <v>0</v>
      </c>
    </row>
    <row r="28" spans="2:15" hidden="1" x14ac:dyDescent="0.2">
      <c r="B28" t="s">
        <v>434</v>
      </c>
      <c r="C28" t="s">
        <v>24</v>
      </c>
      <c r="D28">
        <v>1</v>
      </c>
      <c r="F28">
        <f>IF(AND($C28 = Temp!$B$1, $B28 = Temp!$A$16),$D28,0)</f>
        <v>0</v>
      </c>
      <c r="G28">
        <f>IF(AND($C28 = Temp!$C$1, $B28 = Temp!$A$16),$D28,0)</f>
        <v>0</v>
      </c>
      <c r="H28">
        <f>IF(AND($C28 = Temp!$D$1, $B28 = Temp!$A$16),$D28,0)</f>
        <v>0</v>
      </c>
      <c r="I28">
        <f>IF(AND($C28 = Temp!$E$1, $B28 = Temp!$A$16),$D28,0)</f>
        <v>0</v>
      </c>
      <c r="J28">
        <f>IF(AND($C28 = Temp!$F$1, $B28 = Temp!$A$16),$D28,0)</f>
        <v>0</v>
      </c>
      <c r="K28">
        <f>IF(AND($C28 = Temp!$G$1, $B28 = Temp!$A$16),$D28,0)</f>
        <v>0</v>
      </c>
      <c r="L28">
        <f>IF(AND($C28 = Temp!$H$1, $B28 = Temp!$A$16),$D28,0)</f>
        <v>0</v>
      </c>
      <c r="M28">
        <f>IF(AND($C28 = Temp!$I$1, $B28 = Temp!$A$16),$D28,0)</f>
        <v>0</v>
      </c>
      <c r="N28">
        <f>IF(AND($C28 = Temp!$J$1, $B28 = Temp!$A$16),$D28,0)</f>
        <v>0</v>
      </c>
      <c r="O28">
        <f>IF(AND($C28 = Temp!$K$1, $B28 = Temp!$A$16),$D28,0)</f>
        <v>0</v>
      </c>
    </row>
    <row r="29" spans="2:15" hidden="1" x14ac:dyDescent="0.2">
      <c r="B29" t="s">
        <v>434</v>
      </c>
      <c r="C29" t="s">
        <v>24</v>
      </c>
      <c r="D29">
        <v>1</v>
      </c>
      <c r="F29">
        <f>IF(AND($C29 = Temp!$B$1, $B29 = Temp!$A$16),$D29,0)</f>
        <v>0</v>
      </c>
      <c r="G29">
        <f>IF(AND($C29 = Temp!$C$1, $B29 = Temp!$A$16),$D29,0)</f>
        <v>0</v>
      </c>
      <c r="H29">
        <f>IF(AND($C29 = Temp!$D$1, $B29 = Temp!$A$16),$D29,0)</f>
        <v>0</v>
      </c>
      <c r="I29">
        <f>IF(AND($C29 = Temp!$E$1, $B29 = Temp!$A$16),$D29,0)</f>
        <v>0</v>
      </c>
      <c r="J29">
        <f>IF(AND($C29 = Temp!$F$1, $B29 = Temp!$A$16),$D29,0)</f>
        <v>0</v>
      </c>
      <c r="K29">
        <f>IF(AND($C29 = Temp!$G$1, $B29 = Temp!$A$16),$D29,0)</f>
        <v>0</v>
      </c>
      <c r="L29">
        <f>IF(AND($C29 = Temp!$H$1, $B29 = Temp!$A$16),$D29,0)</f>
        <v>0</v>
      </c>
      <c r="M29">
        <f>IF(AND($C29 = Temp!$I$1, $B29 = Temp!$A$16),$D29,0)</f>
        <v>0</v>
      </c>
      <c r="N29">
        <f>IF(AND($C29 = Temp!$J$1, $B29 = Temp!$A$16),$D29,0)</f>
        <v>0</v>
      </c>
      <c r="O29">
        <f>IF(AND($C29 = Temp!$K$1, $B29 = Temp!$A$16),$D29,0)</f>
        <v>0</v>
      </c>
    </row>
    <row r="30" spans="2:15" hidden="1" x14ac:dyDescent="0.2">
      <c r="B30" t="s">
        <v>436</v>
      </c>
      <c r="C30" t="s">
        <v>219</v>
      </c>
      <c r="D30">
        <v>4.5</v>
      </c>
      <c r="F30">
        <f>IF(AND($C30 = Temp!$B$1, $B30 = Temp!$A$16),$D30,0)</f>
        <v>0</v>
      </c>
      <c r="G30">
        <f>IF(AND($C30 = Temp!$C$1, $B30 = Temp!$A$16),$D30,0)</f>
        <v>0</v>
      </c>
      <c r="H30">
        <f>IF(AND($C30 = Temp!$D$1, $B30 = Temp!$A$16),$D30,0)</f>
        <v>0</v>
      </c>
      <c r="I30">
        <f>IF(AND($C30 = Temp!$E$1, $B30 = Temp!$A$16),$D30,0)</f>
        <v>0</v>
      </c>
      <c r="J30">
        <f>IF(AND($C30 = Temp!$F$1, $B30 = Temp!$A$16),$D30,0)</f>
        <v>0</v>
      </c>
      <c r="K30">
        <f>IF(AND($C30 = Temp!$G$1, $B30 = Temp!$A$16),$D30,0)</f>
        <v>0</v>
      </c>
      <c r="L30">
        <f>IF(AND($C30 = Temp!$H$1, $B30 = Temp!$A$16),$D30,0)</f>
        <v>0</v>
      </c>
      <c r="M30">
        <f>IF(AND($C30 = Temp!$I$1, $B30 = Temp!$A$16),$D30,0)</f>
        <v>0</v>
      </c>
      <c r="N30">
        <f>IF(AND($C30 = Temp!$J$1, $B30 = Temp!$A$16),$D30,0)</f>
        <v>0</v>
      </c>
      <c r="O30">
        <f>IF(AND($C30 = Temp!$K$1, $B30 = Temp!$A$16),$D30,0)</f>
        <v>0</v>
      </c>
    </row>
    <row r="31" spans="2:15" hidden="1" x14ac:dyDescent="0.2">
      <c r="B31" t="s">
        <v>436</v>
      </c>
      <c r="C31" t="s">
        <v>261</v>
      </c>
      <c r="D31">
        <v>2</v>
      </c>
      <c r="F31">
        <f>IF(AND($C31 = Temp!$B$1, $B31 = Temp!$A$16),$D31,0)</f>
        <v>0</v>
      </c>
      <c r="G31">
        <f>IF(AND($C31 = Temp!$C$1, $B31 = Temp!$A$16),$D31,0)</f>
        <v>0</v>
      </c>
      <c r="H31">
        <f>IF(AND($C31 = Temp!$D$1, $B31 = Temp!$A$16),$D31,0)</f>
        <v>0</v>
      </c>
      <c r="I31">
        <f>IF(AND($C31 = Temp!$E$1, $B31 = Temp!$A$16),$D31,0)</f>
        <v>0</v>
      </c>
      <c r="J31">
        <f>IF(AND($C31 = Temp!$F$1, $B31 = Temp!$A$16),$D31,0)</f>
        <v>0</v>
      </c>
      <c r="K31">
        <f>IF(AND($C31 = Temp!$G$1, $B31 = Temp!$A$16),$D31,0)</f>
        <v>0</v>
      </c>
      <c r="L31">
        <f>IF(AND($C31 = Temp!$H$1, $B31 = Temp!$A$16),$D31,0)</f>
        <v>0</v>
      </c>
      <c r="M31">
        <f>IF(AND($C31 = Temp!$I$1, $B31 = Temp!$A$16),$D31,0)</f>
        <v>0</v>
      </c>
      <c r="N31">
        <f>IF(AND($C31 = Temp!$J$1, $B31 = Temp!$A$16),$D31,0)</f>
        <v>0</v>
      </c>
      <c r="O31">
        <f>IF(AND($C31 = Temp!$K$1, $B31 = Temp!$A$16),$D31,0)</f>
        <v>0</v>
      </c>
    </row>
    <row r="32" spans="2:15" hidden="1" x14ac:dyDescent="0.2">
      <c r="B32" t="s">
        <v>256</v>
      </c>
      <c r="C32" t="s">
        <v>260</v>
      </c>
      <c r="D32">
        <v>2.5</v>
      </c>
      <c r="F32">
        <f>IF(AND($C32 = Temp!$B$1, $B32 = Temp!$A$16),$D32,0)</f>
        <v>0</v>
      </c>
      <c r="G32">
        <f>IF(AND($C32 = Temp!$C$1, $B32 = Temp!$A$16),$D32,0)</f>
        <v>0</v>
      </c>
      <c r="H32">
        <f>IF(AND($C32 = Temp!$D$1, $B32 = Temp!$A$16),$D32,0)</f>
        <v>0</v>
      </c>
      <c r="I32">
        <f>IF(AND($C32 = Temp!$E$1, $B32 = Temp!$A$16),$D32,0)</f>
        <v>0</v>
      </c>
      <c r="J32">
        <f>IF(AND($C32 = Temp!$F$1, $B32 = Temp!$A$16),$D32,0)</f>
        <v>0</v>
      </c>
      <c r="K32">
        <f>IF(AND($C32 = Temp!$G$1, $B32 = Temp!$A$16),$D32,0)</f>
        <v>0</v>
      </c>
      <c r="L32">
        <f>IF(AND($C32 = Temp!$H$1, $B32 = Temp!$A$16),$D32,0)</f>
        <v>0</v>
      </c>
      <c r="M32">
        <f>IF(AND($C32 = Temp!$I$1, $B32 = Temp!$A$16),$D32,0)</f>
        <v>0</v>
      </c>
      <c r="N32">
        <f>IF(AND($C32 = Temp!$J$1, $B32 = Temp!$A$16),$D32,0)</f>
        <v>0</v>
      </c>
      <c r="O32">
        <f>IF(AND($C32 = Temp!$K$1, $B32 = Temp!$A$16),$D32,0)</f>
        <v>0</v>
      </c>
    </row>
    <row r="33" spans="2:15" hidden="1" x14ac:dyDescent="0.2">
      <c r="B33" t="s">
        <v>435</v>
      </c>
      <c r="C33" t="s">
        <v>219</v>
      </c>
      <c r="D33">
        <v>0.5</v>
      </c>
      <c r="F33">
        <f>IF(AND($C33 = Temp!$B$1, $B33 = Temp!$A$16),$D33,0)</f>
        <v>0</v>
      </c>
      <c r="G33">
        <f>IF(AND($C33 = Temp!$C$1, $B33 = Temp!$A$16),$D33,0)</f>
        <v>0</v>
      </c>
      <c r="H33">
        <f>IF(AND($C33 = Temp!$D$1, $B33 = Temp!$A$16),$D33,0)</f>
        <v>0</v>
      </c>
      <c r="I33">
        <f>IF(AND($C33 = Temp!$E$1, $B33 = Temp!$A$16),$D33,0)</f>
        <v>0</v>
      </c>
      <c r="J33">
        <f>IF(AND($C33 = Temp!$F$1, $B33 = Temp!$A$16),$D33,0)</f>
        <v>0</v>
      </c>
      <c r="K33">
        <f>IF(AND($C33 = Temp!$G$1, $B33 = Temp!$A$16),$D33,0)</f>
        <v>0</v>
      </c>
      <c r="L33">
        <f>IF(AND($C33 = Temp!$H$1, $B33 = Temp!$A$16),$D33,0)</f>
        <v>0</v>
      </c>
      <c r="M33">
        <f>IF(AND($C33 = Temp!$I$1, $B33 = Temp!$A$16),$D33,0)</f>
        <v>0</v>
      </c>
      <c r="N33">
        <f>IF(AND($C33 = Temp!$J$1, $B33 = Temp!$A$16),$D33,0)</f>
        <v>0</v>
      </c>
      <c r="O33">
        <f>IF(AND($C33 = Temp!$K$1, $B33 = Temp!$A$16),$D33,0)</f>
        <v>0</v>
      </c>
    </row>
    <row r="34" spans="2:15" hidden="1" x14ac:dyDescent="0.2">
      <c r="B34" t="s">
        <v>435</v>
      </c>
      <c r="C34" t="s">
        <v>219</v>
      </c>
      <c r="D34">
        <v>3</v>
      </c>
      <c r="F34">
        <f>IF(AND($C34 = Temp!$B$1, $B34 = Temp!$A$16),$D34,0)</f>
        <v>0</v>
      </c>
      <c r="G34">
        <f>IF(AND($C34 = Temp!$C$1, $B34 = Temp!$A$16),$D34,0)</f>
        <v>0</v>
      </c>
      <c r="H34">
        <f>IF(AND($C34 = Temp!$D$1, $B34 = Temp!$A$16),$D34,0)</f>
        <v>0</v>
      </c>
      <c r="I34">
        <f>IF(AND($C34 = Temp!$E$1, $B34 = Temp!$A$16),$D34,0)</f>
        <v>0</v>
      </c>
      <c r="J34">
        <f>IF(AND($C34 = Temp!$F$1, $B34 = Temp!$A$16),$D34,0)</f>
        <v>0</v>
      </c>
      <c r="K34">
        <f>IF(AND($C34 = Temp!$G$1, $B34 = Temp!$A$16),$D34,0)</f>
        <v>0</v>
      </c>
      <c r="L34">
        <f>IF(AND($C34 = Temp!$H$1, $B34 = Temp!$A$16),$D34,0)</f>
        <v>0</v>
      </c>
      <c r="M34">
        <f>IF(AND($C34 = Temp!$I$1, $B34 = Temp!$A$16),$D34,0)</f>
        <v>0</v>
      </c>
      <c r="N34">
        <f>IF(AND($C34 = Temp!$J$1, $B34 = Temp!$A$16),$D34,0)</f>
        <v>0</v>
      </c>
      <c r="O34">
        <f>IF(AND($C34 = Temp!$K$1, $B34 = Temp!$A$16),$D34,0)</f>
        <v>0</v>
      </c>
    </row>
    <row r="35" spans="2:15" hidden="1" x14ac:dyDescent="0.2">
      <c r="B35" t="s">
        <v>143</v>
      </c>
      <c r="C35" t="s">
        <v>77</v>
      </c>
      <c r="D35">
        <v>1</v>
      </c>
      <c r="F35">
        <f>IF(AND($C35 = Temp!$B$1, $B35 = Temp!$A$16),$D35,0)</f>
        <v>0</v>
      </c>
      <c r="G35">
        <f>IF(AND($C35 = Temp!$C$1, $B35 = Temp!$A$16),$D35,0)</f>
        <v>0</v>
      </c>
      <c r="H35">
        <f>IF(AND($C35 = Temp!$D$1, $B35 = Temp!$A$16),$D35,0)</f>
        <v>0</v>
      </c>
      <c r="I35">
        <f>IF(AND($C35 = Temp!$E$1, $B35 = Temp!$A$16),$D35,0)</f>
        <v>0</v>
      </c>
      <c r="J35">
        <f>IF(AND($C35 = Temp!$F$1, $B35 = Temp!$A$16),$D35,0)</f>
        <v>0</v>
      </c>
      <c r="K35">
        <f>IF(AND($C35 = Temp!$G$1, $B35 = Temp!$A$16),$D35,0)</f>
        <v>0</v>
      </c>
      <c r="L35">
        <f>IF(AND($C35 = Temp!$H$1, $B35 = Temp!$A$16),$D35,0)</f>
        <v>0</v>
      </c>
      <c r="M35">
        <f>IF(AND($C35 = Temp!$I$1, $B35 = Temp!$A$16),$D35,0)</f>
        <v>0</v>
      </c>
      <c r="N35">
        <f>IF(AND($C35 = Temp!$J$1, $B35 = Temp!$A$16),$D35,0)</f>
        <v>0</v>
      </c>
      <c r="O35">
        <f>IF(AND($C35 = Temp!$K$1, $B35 = Temp!$A$16),$D35,0)</f>
        <v>0</v>
      </c>
    </row>
    <row r="36" spans="2:15" hidden="1" x14ac:dyDescent="0.2">
      <c r="B36" t="s">
        <v>143</v>
      </c>
      <c r="C36" t="s">
        <v>77</v>
      </c>
      <c r="D36">
        <v>0</v>
      </c>
      <c r="F36">
        <f>IF(AND($C36 = Temp!$B$1, $B36 = Temp!$A$16),$D36,0)</f>
        <v>0</v>
      </c>
      <c r="G36">
        <f>IF(AND($C36 = Temp!$C$1, $B36 = Temp!$A$16),$D36,0)</f>
        <v>0</v>
      </c>
      <c r="H36">
        <f>IF(AND($C36 = Temp!$D$1, $B36 = Temp!$A$16),$D36,0)</f>
        <v>0</v>
      </c>
      <c r="I36">
        <f>IF(AND($C36 = Temp!$E$1, $B36 = Temp!$A$16),$D36,0)</f>
        <v>0</v>
      </c>
      <c r="J36">
        <f>IF(AND($C36 = Temp!$F$1, $B36 = Temp!$A$16),$D36,0)</f>
        <v>0</v>
      </c>
      <c r="K36">
        <f>IF(AND($C36 = Temp!$G$1, $B36 = Temp!$A$16),$D36,0)</f>
        <v>0</v>
      </c>
      <c r="L36">
        <f>IF(AND($C36 = Temp!$H$1, $B36 = Temp!$A$16),$D36,0)</f>
        <v>0</v>
      </c>
      <c r="M36">
        <f>IF(AND($C36 = Temp!$I$1, $B36 = Temp!$A$16),$D36,0)</f>
        <v>0</v>
      </c>
      <c r="N36">
        <f>IF(AND($C36 = Temp!$J$1, $B36 = Temp!$A$16),$D36,0)</f>
        <v>0</v>
      </c>
      <c r="O36">
        <f>IF(AND($C36 = Temp!$K$1, $B36 = Temp!$A$16),$D36,0)</f>
        <v>0</v>
      </c>
    </row>
    <row r="37" spans="2:15" hidden="1" x14ac:dyDescent="0.2">
      <c r="B37" t="s">
        <v>143</v>
      </c>
      <c r="C37" t="s">
        <v>77</v>
      </c>
      <c r="D37">
        <v>2</v>
      </c>
      <c r="F37">
        <f>IF(AND($C37 = Temp!$B$1, $B37 = Temp!$A$16),$D37,0)</f>
        <v>0</v>
      </c>
      <c r="G37">
        <f>IF(AND($C37 = Temp!$C$1, $B37 = Temp!$A$16),$D37,0)</f>
        <v>0</v>
      </c>
      <c r="H37">
        <f>IF(AND($C37 = Temp!$D$1, $B37 = Temp!$A$16),$D37,0)</f>
        <v>0</v>
      </c>
      <c r="I37">
        <f>IF(AND($C37 = Temp!$E$1, $B37 = Temp!$A$16),$D37,0)</f>
        <v>0</v>
      </c>
      <c r="J37">
        <f>IF(AND($C37 = Temp!$F$1, $B37 = Temp!$A$16),$D37,0)</f>
        <v>0</v>
      </c>
      <c r="K37">
        <f>IF(AND($C37 = Temp!$G$1, $B37 = Temp!$A$16),$D37,0)</f>
        <v>0</v>
      </c>
      <c r="L37">
        <f>IF(AND($C37 = Temp!$H$1, $B37 = Temp!$A$16),$D37,0)</f>
        <v>0</v>
      </c>
      <c r="M37">
        <f>IF(AND($C37 = Temp!$I$1, $B37 = Temp!$A$16),$D37,0)</f>
        <v>0</v>
      </c>
      <c r="N37">
        <f>IF(AND($C37 = Temp!$J$1, $B37 = Temp!$A$16),$D37,0)</f>
        <v>0</v>
      </c>
      <c r="O37">
        <f>IF(AND($C37 = Temp!$K$1, $B37 = Temp!$A$16),$D37,0)</f>
        <v>0</v>
      </c>
    </row>
    <row r="38" spans="2:15" hidden="1" x14ac:dyDescent="0.2">
      <c r="B38" t="s">
        <v>143</v>
      </c>
      <c r="C38" t="s">
        <v>77</v>
      </c>
      <c r="D38">
        <v>1</v>
      </c>
      <c r="F38">
        <f>IF(AND($C38 = Temp!$B$1, $B38 = Temp!$A$16),$D38,0)</f>
        <v>0</v>
      </c>
      <c r="G38">
        <f>IF(AND($C38 = Temp!$C$1, $B38 = Temp!$A$16),$D38,0)</f>
        <v>0</v>
      </c>
      <c r="H38">
        <f>IF(AND($C38 = Temp!$D$1, $B38 = Temp!$A$16),$D38,0)</f>
        <v>0</v>
      </c>
      <c r="I38">
        <f>IF(AND($C38 = Temp!$E$1, $B38 = Temp!$A$16),$D38,0)</f>
        <v>0</v>
      </c>
      <c r="J38">
        <f>IF(AND($C38 = Temp!$F$1, $B38 = Temp!$A$16),$D38,0)</f>
        <v>0</v>
      </c>
      <c r="K38">
        <f>IF(AND($C38 = Temp!$G$1, $B38 = Temp!$A$16),$D38,0)</f>
        <v>0</v>
      </c>
      <c r="L38">
        <f>IF(AND($C38 = Temp!$H$1, $B38 = Temp!$A$16),$D38,0)</f>
        <v>0</v>
      </c>
      <c r="M38">
        <f>IF(AND($C38 = Temp!$I$1, $B38 = Temp!$A$16),$D38,0)</f>
        <v>0</v>
      </c>
      <c r="N38">
        <f>IF(AND($C38 = Temp!$J$1, $B38 = Temp!$A$16),$D38,0)</f>
        <v>0</v>
      </c>
      <c r="O38">
        <f>IF(AND($C38 = Temp!$K$1, $B38 = Temp!$A$16),$D38,0)</f>
        <v>0</v>
      </c>
    </row>
    <row r="39" spans="2:15" hidden="1" x14ac:dyDescent="0.2">
      <c r="B39" t="s">
        <v>143</v>
      </c>
      <c r="C39" t="s">
        <v>77</v>
      </c>
      <c r="D39">
        <v>1</v>
      </c>
      <c r="F39">
        <f>IF(AND($C39 = Temp!$B$1, $B39 = Temp!$A$16),$D39,0)</f>
        <v>0</v>
      </c>
      <c r="G39">
        <f>IF(AND($C39 = Temp!$C$1, $B39 = Temp!$A$16),$D39,0)</f>
        <v>0</v>
      </c>
      <c r="H39">
        <f>IF(AND($C39 = Temp!$D$1, $B39 = Temp!$A$16),$D39,0)</f>
        <v>0</v>
      </c>
      <c r="I39">
        <f>IF(AND($C39 = Temp!$E$1, $B39 = Temp!$A$16),$D39,0)</f>
        <v>0</v>
      </c>
      <c r="J39">
        <f>IF(AND($C39 = Temp!$F$1, $B39 = Temp!$A$16),$D39,0)</f>
        <v>0</v>
      </c>
      <c r="K39">
        <f>IF(AND($C39 = Temp!$G$1, $B39 = Temp!$A$16),$D39,0)</f>
        <v>0</v>
      </c>
      <c r="L39">
        <f>IF(AND($C39 = Temp!$H$1, $B39 = Temp!$A$16),$D39,0)</f>
        <v>0</v>
      </c>
      <c r="M39">
        <f>IF(AND($C39 = Temp!$I$1, $B39 = Temp!$A$16),$D39,0)</f>
        <v>0</v>
      </c>
      <c r="N39">
        <f>IF(AND($C39 = Temp!$J$1, $B39 = Temp!$A$16),$D39,0)</f>
        <v>0</v>
      </c>
      <c r="O39">
        <f>IF(AND($C39 = Temp!$K$1, $B39 = Temp!$A$16),$D39,0)</f>
        <v>0</v>
      </c>
    </row>
    <row r="40" spans="2:15" hidden="1" x14ac:dyDescent="0.2">
      <c r="B40" t="s">
        <v>143</v>
      </c>
      <c r="C40" t="s">
        <v>77</v>
      </c>
      <c r="D40">
        <v>2</v>
      </c>
      <c r="F40">
        <f>IF(AND($C40 = Temp!$B$1, $B40 = Temp!$A$16),$D40,0)</f>
        <v>0</v>
      </c>
      <c r="G40">
        <f>IF(AND($C40 = Temp!$C$1, $B40 = Temp!$A$16),$D40,0)</f>
        <v>0</v>
      </c>
      <c r="H40">
        <f>IF(AND($C40 = Temp!$D$1, $B40 = Temp!$A$16),$D40,0)</f>
        <v>0</v>
      </c>
      <c r="I40">
        <f>IF(AND($C40 = Temp!$E$1, $B40 = Temp!$A$16),$D40,0)</f>
        <v>0</v>
      </c>
      <c r="J40">
        <f>IF(AND($C40 = Temp!$F$1, $B40 = Temp!$A$16),$D40,0)</f>
        <v>0</v>
      </c>
      <c r="K40">
        <f>IF(AND($C40 = Temp!$G$1, $B40 = Temp!$A$16),$D40,0)</f>
        <v>0</v>
      </c>
      <c r="L40">
        <f>IF(AND($C40 = Temp!$H$1, $B40 = Temp!$A$16),$D40,0)</f>
        <v>0</v>
      </c>
      <c r="M40">
        <f>IF(AND($C40 = Temp!$I$1, $B40 = Temp!$A$16),$D40,0)</f>
        <v>0</v>
      </c>
      <c r="N40">
        <f>IF(AND($C40 = Temp!$J$1, $B40 = Temp!$A$16),$D40,0)</f>
        <v>0</v>
      </c>
      <c r="O40">
        <f>IF(AND($C40 = Temp!$K$1, $B40 = Temp!$A$16),$D40,0)</f>
        <v>0</v>
      </c>
    </row>
    <row r="41" spans="2:15" hidden="1" x14ac:dyDescent="0.2">
      <c r="B41" t="s">
        <v>143</v>
      </c>
      <c r="C41" t="s">
        <v>77</v>
      </c>
      <c r="D41">
        <v>1</v>
      </c>
      <c r="F41">
        <f>IF(AND($C41 = Temp!$B$1, $B41 = Temp!$A$16),$D41,0)</f>
        <v>0</v>
      </c>
      <c r="G41">
        <f>IF(AND($C41 = Temp!$C$1, $B41 = Temp!$A$16),$D41,0)</f>
        <v>0</v>
      </c>
      <c r="H41">
        <f>IF(AND($C41 = Temp!$D$1, $B41 = Temp!$A$16),$D41,0)</f>
        <v>0</v>
      </c>
      <c r="I41">
        <f>IF(AND($C41 = Temp!$E$1, $B41 = Temp!$A$16),$D41,0)</f>
        <v>0</v>
      </c>
      <c r="J41">
        <f>IF(AND($C41 = Temp!$F$1, $B41 = Temp!$A$16),$D41,0)</f>
        <v>0</v>
      </c>
      <c r="K41">
        <f>IF(AND($C41 = Temp!$G$1, $B41 = Temp!$A$16),$D41,0)</f>
        <v>0</v>
      </c>
      <c r="L41">
        <f>IF(AND($C41 = Temp!$H$1, $B41 = Temp!$A$16),$D41,0)</f>
        <v>0</v>
      </c>
      <c r="M41">
        <f>IF(AND($C41 = Temp!$I$1, $B41 = Temp!$A$16),$D41,0)</f>
        <v>0</v>
      </c>
      <c r="N41">
        <f>IF(AND($C41 = Temp!$J$1, $B41 = Temp!$A$16),$D41,0)</f>
        <v>0</v>
      </c>
      <c r="O41">
        <f>IF(AND($C41 = Temp!$K$1, $B41 = Temp!$A$16),$D41,0)</f>
        <v>0</v>
      </c>
    </row>
    <row r="42" spans="2:15" hidden="1" x14ac:dyDescent="0.2">
      <c r="B42" t="s">
        <v>143</v>
      </c>
      <c r="C42" t="s">
        <v>77</v>
      </c>
      <c r="D42">
        <v>1</v>
      </c>
      <c r="F42">
        <f>IF(AND($C42 = Temp!$B$1, $B42 = Temp!$A$16),$D42,0)</f>
        <v>0</v>
      </c>
      <c r="G42">
        <f>IF(AND($C42 = Temp!$C$1, $B42 = Temp!$A$16),$D42,0)</f>
        <v>0</v>
      </c>
      <c r="H42">
        <f>IF(AND($C42 = Temp!$D$1, $B42 = Temp!$A$16),$D42,0)</f>
        <v>0</v>
      </c>
      <c r="I42">
        <f>IF(AND($C42 = Temp!$E$1, $B42 = Temp!$A$16),$D42,0)</f>
        <v>0</v>
      </c>
      <c r="J42">
        <f>IF(AND($C42 = Temp!$F$1, $B42 = Temp!$A$16),$D42,0)</f>
        <v>0</v>
      </c>
      <c r="K42">
        <f>IF(AND($C42 = Temp!$G$1, $B42 = Temp!$A$16),$D42,0)</f>
        <v>0</v>
      </c>
      <c r="L42">
        <f>IF(AND($C42 = Temp!$H$1, $B42 = Temp!$A$16),$D42,0)</f>
        <v>0</v>
      </c>
      <c r="M42">
        <f>IF(AND($C42 = Temp!$I$1, $B42 = Temp!$A$16),$D42,0)</f>
        <v>0</v>
      </c>
      <c r="N42">
        <f>IF(AND($C42 = Temp!$J$1, $B42 = Temp!$A$16),$D42,0)</f>
        <v>0</v>
      </c>
      <c r="O42">
        <f>IF(AND($C42 = Temp!$K$1, $B42 = Temp!$A$16),$D42,0)</f>
        <v>0</v>
      </c>
    </row>
    <row r="43" spans="2:15" hidden="1" x14ac:dyDescent="0.2">
      <c r="B43" t="s">
        <v>143</v>
      </c>
      <c r="C43" t="s">
        <v>77</v>
      </c>
      <c r="D43">
        <v>1</v>
      </c>
      <c r="F43">
        <f>IF(AND($C43 = Temp!$B$1, $B43 = Temp!$A$16),$D43,0)</f>
        <v>0</v>
      </c>
      <c r="G43">
        <f>IF(AND($C43 = Temp!$C$1, $B43 = Temp!$A$16),$D43,0)</f>
        <v>0</v>
      </c>
      <c r="H43">
        <f>IF(AND($C43 = Temp!$D$1, $B43 = Temp!$A$16),$D43,0)</f>
        <v>0</v>
      </c>
      <c r="I43">
        <f>IF(AND($C43 = Temp!$E$1, $B43 = Temp!$A$16),$D43,0)</f>
        <v>0</v>
      </c>
      <c r="J43">
        <f>IF(AND($C43 = Temp!$F$1, $B43 = Temp!$A$16),$D43,0)</f>
        <v>0</v>
      </c>
      <c r="K43">
        <f>IF(AND($C43 = Temp!$G$1, $B43 = Temp!$A$16),$D43,0)</f>
        <v>0</v>
      </c>
      <c r="L43">
        <f>IF(AND($C43 = Temp!$H$1, $B43 = Temp!$A$16),$D43,0)</f>
        <v>0</v>
      </c>
      <c r="M43">
        <f>IF(AND($C43 = Temp!$I$1, $B43 = Temp!$A$16),$D43,0)</f>
        <v>0</v>
      </c>
      <c r="N43">
        <f>IF(AND($C43 = Temp!$J$1, $B43 = Temp!$A$16),$D43,0)</f>
        <v>0</v>
      </c>
      <c r="O43">
        <f>IF(AND($C43 = Temp!$K$1, $B43 = Temp!$A$16),$D43,0)</f>
        <v>0</v>
      </c>
    </row>
    <row r="44" spans="2:15" hidden="1" x14ac:dyDescent="0.2">
      <c r="B44" t="s">
        <v>143</v>
      </c>
      <c r="C44" t="s">
        <v>77</v>
      </c>
      <c r="D44">
        <v>2</v>
      </c>
      <c r="F44">
        <f>IF(AND($C44 = Temp!$B$1, $B44 = Temp!$A$16),$D44,0)</f>
        <v>0</v>
      </c>
      <c r="G44">
        <f>IF(AND($C44 = Temp!$C$1, $B44 = Temp!$A$16),$D44,0)</f>
        <v>0</v>
      </c>
      <c r="H44">
        <f>IF(AND($C44 = Temp!$D$1, $B44 = Temp!$A$16),$D44,0)</f>
        <v>0</v>
      </c>
      <c r="I44">
        <f>IF(AND($C44 = Temp!$E$1, $B44 = Temp!$A$16),$D44,0)</f>
        <v>0</v>
      </c>
      <c r="J44">
        <f>IF(AND($C44 = Temp!$F$1, $B44 = Temp!$A$16),$D44,0)</f>
        <v>0</v>
      </c>
      <c r="K44">
        <f>IF(AND($C44 = Temp!$G$1, $B44 = Temp!$A$16),$D44,0)</f>
        <v>0</v>
      </c>
      <c r="L44">
        <f>IF(AND($C44 = Temp!$H$1, $B44 = Temp!$A$16),$D44,0)</f>
        <v>0</v>
      </c>
      <c r="M44">
        <f>IF(AND($C44 = Temp!$I$1, $B44 = Temp!$A$16),$D44,0)</f>
        <v>0</v>
      </c>
      <c r="N44">
        <f>IF(AND($C44 = Temp!$J$1, $B44 = Temp!$A$16),$D44,0)</f>
        <v>0</v>
      </c>
      <c r="O44">
        <f>IF(AND($C44 = Temp!$K$1, $B44 = Temp!$A$16),$D44,0)</f>
        <v>0</v>
      </c>
    </row>
    <row r="45" spans="2:15" hidden="1" x14ac:dyDescent="0.2">
      <c r="B45" t="s">
        <v>143</v>
      </c>
      <c r="C45" t="s">
        <v>77</v>
      </c>
      <c r="D45">
        <v>1</v>
      </c>
      <c r="F45">
        <f>IF(AND($C45 = Temp!$B$1, $B45 = Temp!$A$16),$D45,0)</f>
        <v>0</v>
      </c>
      <c r="G45">
        <f>IF(AND($C45 = Temp!$C$1, $B45 = Temp!$A$16),$D45,0)</f>
        <v>0</v>
      </c>
      <c r="H45">
        <f>IF(AND($C45 = Temp!$D$1, $B45 = Temp!$A$16),$D45,0)</f>
        <v>0</v>
      </c>
      <c r="I45">
        <f>IF(AND($C45 = Temp!$E$1, $B45 = Temp!$A$16),$D45,0)</f>
        <v>0</v>
      </c>
      <c r="J45">
        <f>IF(AND($C45 = Temp!$F$1, $B45 = Temp!$A$16),$D45,0)</f>
        <v>0</v>
      </c>
      <c r="K45">
        <f>IF(AND($C45 = Temp!$G$1, $B45 = Temp!$A$16),$D45,0)</f>
        <v>0</v>
      </c>
      <c r="L45">
        <f>IF(AND($C45 = Temp!$H$1, $B45 = Temp!$A$16),$D45,0)</f>
        <v>0</v>
      </c>
      <c r="M45">
        <f>IF(AND($C45 = Temp!$I$1, $B45 = Temp!$A$16),$D45,0)</f>
        <v>0</v>
      </c>
      <c r="N45">
        <f>IF(AND($C45 = Temp!$J$1, $B45 = Temp!$A$16),$D45,0)</f>
        <v>0</v>
      </c>
      <c r="O45">
        <f>IF(AND($C45 = Temp!$K$1, $B45 = Temp!$A$16),$D45,0)</f>
        <v>0</v>
      </c>
    </row>
    <row r="46" spans="2:15" hidden="1" x14ac:dyDescent="0.2">
      <c r="B46" t="s">
        <v>143</v>
      </c>
      <c r="C46" t="s">
        <v>77</v>
      </c>
      <c r="D46">
        <v>1</v>
      </c>
      <c r="F46">
        <f>IF(AND($C46 = Temp!$B$1, $B46 = Temp!$A$16),$D46,0)</f>
        <v>0</v>
      </c>
      <c r="G46">
        <f>IF(AND($C46 = Temp!$C$1, $B46 = Temp!$A$16),$D46,0)</f>
        <v>0</v>
      </c>
      <c r="H46">
        <f>IF(AND($C46 = Temp!$D$1, $B46 = Temp!$A$16),$D46,0)</f>
        <v>0</v>
      </c>
      <c r="I46">
        <f>IF(AND($C46 = Temp!$E$1, $B46 = Temp!$A$16),$D46,0)</f>
        <v>0</v>
      </c>
      <c r="J46">
        <f>IF(AND($C46 = Temp!$F$1, $B46 = Temp!$A$16),$D46,0)</f>
        <v>0</v>
      </c>
      <c r="K46">
        <f>IF(AND($C46 = Temp!$G$1, $B46 = Temp!$A$16),$D46,0)</f>
        <v>0</v>
      </c>
      <c r="L46">
        <f>IF(AND($C46 = Temp!$H$1, $B46 = Temp!$A$16),$D46,0)</f>
        <v>0</v>
      </c>
      <c r="M46">
        <f>IF(AND($C46 = Temp!$I$1, $B46 = Temp!$A$16),$D46,0)</f>
        <v>0</v>
      </c>
      <c r="N46">
        <f>IF(AND($C46 = Temp!$J$1, $B46 = Temp!$A$16),$D46,0)</f>
        <v>0</v>
      </c>
      <c r="O46">
        <f>IF(AND($C46 = Temp!$K$1, $B46 = Temp!$A$16),$D46,0)</f>
        <v>0</v>
      </c>
    </row>
    <row r="47" spans="2:15" hidden="1" x14ac:dyDescent="0.2">
      <c r="B47" t="s">
        <v>143</v>
      </c>
      <c r="C47" t="s">
        <v>77</v>
      </c>
      <c r="D47">
        <v>1</v>
      </c>
      <c r="F47">
        <f>IF(AND($C47 = Temp!$B$1, $B47 = Temp!$A$16),$D47,0)</f>
        <v>0</v>
      </c>
      <c r="G47">
        <f>IF(AND($C47 = Temp!$C$1, $B47 = Temp!$A$16),$D47,0)</f>
        <v>0</v>
      </c>
      <c r="H47">
        <f>IF(AND($C47 = Temp!$D$1, $B47 = Temp!$A$16),$D47,0)</f>
        <v>0</v>
      </c>
      <c r="I47">
        <f>IF(AND($C47 = Temp!$E$1, $B47 = Temp!$A$16),$D47,0)</f>
        <v>0</v>
      </c>
      <c r="J47">
        <f>IF(AND($C47 = Temp!$F$1, $B47 = Temp!$A$16),$D47,0)</f>
        <v>0</v>
      </c>
      <c r="K47">
        <f>IF(AND($C47 = Temp!$G$1, $B47 = Temp!$A$16),$D47,0)</f>
        <v>0</v>
      </c>
      <c r="L47">
        <f>IF(AND($C47 = Temp!$H$1, $B47 = Temp!$A$16),$D47,0)</f>
        <v>0</v>
      </c>
      <c r="M47">
        <f>IF(AND($C47 = Temp!$I$1, $B47 = Temp!$A$16),$D47,0)</f>
        <v>0</v>
      </c>
      <c r="N47">
        <f>IF(AND($C47 = Temp!$J$1, $B47 = Temp!$A$16),$D47,0)</f>
        <v>0</v>
      </c>
      <c r="O47">
        <f>IF(AND($C47 = Temp!$K$1, $B47 = Temp!$A$16),$D47,0)</f>
        <v>0</v>
      </c>
    </row>
    <row r="48" spans="2:15" hidden="1" x14ac:dyDescent="0.2">
      <c r="B48" t="s">
        <v>143</v>
      </c>
      <c r="C48" t="s">
        <v>77</v>
      </c>
      <c r="D48">
        <v>0</v>
      </c>
      <c r="F48">
        <f>IF(AND($C48 = Temp!$B$1, $B48 = Temp!$A$16),$D48,0)</f>
        <v>0</v>
      </c>
      <c r="G48">
        <f>IF(AND($C48 = Temp!$C$1, $B48 = Temp!$A$16),$D48,0)</f>
        <v>0</v>
      </c>
      <c r="H48">
        <f>IF(AND($C48 = Temp!$D$1, $B48 = Temp!$A$16),$D48,0)</f>
        <v>0</v>
      </c>
      <c r="I48">
        <f>IF(AND($C48 = Temp!$E$1, $B48 = Temp!$A$16),$D48,0)</f>
        <v>0</v>
      </c>
      <c r="J48">
        <f>IF(AND($C48 = Temp!$F$1, $B48 = Temp!$A$16),$D48,0)</f>
        <v>0</v>
      </c>
      <c r="K48">
        <f>IF(AND($C48 = Temp!$G$1, $B48 = Temp!$A$16),$D48,0)</f>
        <v>0</v>
      </c>
      <c r="L48">
        <f>IF(AND($C48 = Temp!$H$1, $B48 = Temp!$A$16),$D48,0)</f>
        <v>0</v>
      </c>
      <c r="M48">
        <f>IF(AND($C48 = Temp!$I$1, $B48 = Temp!$A$16),$D48,0)</f>
        <v>0</v>
      </c>
      <c r="N48">
        <f>IF(AND($C48 = Temp!$J$1, $B48 = Temp!$A$16),$D48,0)</f>
        <v>0</v>
      </c>
      <c r="O48">
        <f>IF(AND($C48 = Temp!$K$1, $B48 = Temp!$A$16),$D48,0)</f>
        <v>0</v>
      </c>
    </row>
    <row r="49" spans="2:15" hidden="1" x14ac:dyDescent="0.2">
      <c r="B49" t="s">
        <v>143</v>
      </c>
      <c r="C49" t="s">
        <v>261</v>
      </c>
      <c r="D49">
        <v>0.5</v>
      </c>
      <c r="F49">
        <f>IF(AND($C49 = Temp!$B$1, $B49 = Temp!$A$16),$D49,0)</f>
        <v>0</v>
      </c>
      <c r="G49">
        <f>IF(AND($C49 = Temp!$C$1, $B49 = Temp!$A$16),$D49,0)</f>
        <v>0</v>
      </c>
      <c r="H49">
        <f>IF(AND($C49 = Temp!$D$1, $B49 = Temp!$A$16),$D49,0)</f>
        <v>0</v>
      </c>
      <c r="I49">
        <f>IF(AND($C49 = Temp!$E$1, $B49 = Temp!$A$16),$D49,0)</f>
        <v>0</v>
      </c>
      <c r="J49">
        <f>IF(AND($C49 = Temp!$F$1, $B49 = Temp!$A$16),$D49,0)</f>
        <v>0</v>
      </c>
      <c r="K49">
        <f>IF(AND($C49 = Temp!$G$1, $B49 = Temp!$A$16),$D49,0)</f>
        <v>0</v>
      </c>
      <c r="L49">
        <f>IF(AND($C49 = Temp!$H$1, $B49 = Temp!$A$16),$D49,0)</f>
        <v>0</v>
      </c>
      <c r="M49">
        <f>IF(AND($C49 = Temp!$I$1, $B49 = Temp!$A$16),$D49,0)</f>
        <v>0</v>
      </c>
      <c r="N49">
        <f>IF(AND($C49 = Temp!$J$1, $B49 = Temp!$A$16),$D49,0)</f>
        <v>0</v>
      </c>
      <c r="O49">
        <f>IF(AND($C49 = Temp!$K$1, $B49 = Temp!$A$16),$D49,0)</f>
        <v>0</v>
      </c>
    </row>
    <row r="50" spans="2:15" hidden="1" x14ac:dyDescent="0.2">
      <c r="B50" t="s">
        <v>373</v>
      </c>
      <c r="C50" t="s">
        <v>261</v>
      </c>
      <c r="D50">
        <v>0.5</v>
      </c>
      <c r="F50">
        <f>IF(AND($C50 = Temp!$B$1, $B50 = Temp!$A$16),$D50,0)</f>
        <v>0</v>
      </c>
      <c r="G50">
        <f>IF(AND($C50 = Temp!$C$1, $B50 = Temp!$A$16),$D50,0)</f>
        <v>0</v>
      </c>
      <c r="H50">
        <f>IF(AND($C50 = Temp!$D$1, $B50 = Temp!$A$16),$D50,0)</f>
        <v>0</v>
      </c>
      <c r="I50">
        <f>IF(AND($C50 = Temp!$E$1, $B50 = Temp!$A$16),$D50,0)</f>
        <v>0</v>
      </c>
      <c r="J50">
        <f>IF(AND($C50 = Temp!$F$1, $B50 = Temp!$A$16),$D50,0)</f>
        <v>0</v>
      </c>
      <c r="K50">
        <f>IF(AND($C50 = Temp!$G$1, $B50 = Temp!$A$16),$D50,0)</f>
        <v>0</v>
      </c>
      <c r="L50">
        <f>IF(AND($C50 = Temp!$H$1, $B50 = Temp!$A$16),$D50,0)</f>
        <v>0</v>
      </c>
      <c r="M50">
        <f>IF(AND($C50 = Temp!$I$1, $B50 = Temp!$A$16),$D50,0)</f>
        <v>0</v>
      </c>
      <c r="N50">
        <f>IF(AND($C50 = Temp!$J$1, $B50 = Temp!$A$16),$D50,0)</f>
        <v>0</v>
      </c>
      <c r="O50">
        <f>IF(AND($C50 = Temp!$K$1, $B50 = Temp!$A$16),$D50,0)</f>
        <v>0</v>
      </c>
    </row>
    <row r="51" spans="2:15" hidden="1" x14ac:dyDescent="0.2">
      <c r="B51" t="s">
        <v>375</v>
      </c>
      <c r="C51" t="s">
        <v>219</v>
      </c>
      <c r="D51">
        <v>1</v>
      </c>
      <c r="F51">
        <f>IF(AND($C51 = Temp!$B$1, $B51 = Temp!$A$16),$D51,0)</f>
        <v>0</v>
      </c>
      <c r="G51">
        <f>IF(AND($C51 = Temp!$C$1, $B51 = Temp!$A$16),$D51,0)</f>
        <v>0</v>
      </c>
      <c r="H51">
        <f>IF(AND($C51 = Temp!$D$1, $B51 = Temp!$A$16),$D51,0)</f>
        <v>0</v>
      </c>
      <c r="I51">
        <f>IF(AND($C51 = Temp!$E$1, $B51 = Temp!$A$16),$D51,0)</f>
        <v>0</v>
      </c>
      <c r="J51">
        <f>IF(AND($C51 = Temp!$F$1, $B51 = Temp!$A$16),$D51,0)</f>
        <v>0</v>
      </c>
      <c r="K51">
        <f>IF(AND($C51 = Temp!$G$1, $B51 = Temp!$A$16),$D51,0)</f>
        <v>0</v>
      </c>
      <c r="L51">
        <f>IF(AND($C51 = Temp!$H$1, $B51 = Temp!$A$16),$D51,0)</f>
        <v>0</v>
      </c>
      <c r="M51">
        <f>IF(AND($C51 = Temp!$I$1, $B51 = Temp!$A$16),$D51,0)</f>
        <v>0</v>
      </c>
      <c r="N51">
        <f>IF(AND($C51 = Temp!$J$1, $B51 = Temp!$A$16),$D51,0)</f>
        <v>0</v>
      </c>
      <c r="O51">
        <f>IF(AND($C51 = Temp!$K$1, $B51 = Temp!$A$16),$D51,0)</f>
        <v>0</v>
      </c>
    </row>
    <row r="52" spans="2:15" hidden="1" x14ac:dyDescent="0.2">
      <c r="B52" t="s">
        <v>376</v>
      </c>
      <c r="C52" t="s">
        <v>261</v>
      </c>
      <c r="D52">
        <v>0.2</v>
      </c>
      <c r="F52">
        <f>IF(AND($C52 = Temp!$B$1, $B52 = Temp!$A$16),$D52,0)</f>
        <v>0</v>
      </c>
      <c r="G52">
        <f>IF(AND($C52 = Temp!$C$1, $B52 = Temp!$A$16),$D52,0)</f>
        <v>0</v>
      </c>
      <c r="H52">
        <f>IF(AND($C52 = Temp!$D$1, $B52 = Temp!$A$16),$D52,0)</f>
        <v>0</v>
      </c>
      <c r="I52">
        <f>IF(AND($C52 = Temp!$E$1, $B52 = Temp!$A$16),$D52,0)</f>
        <v>0</v>
      </c>
      <c r="J52">
        <f>IF(AND($C52 = Temp!$F$1, $B52 = Temp!$A$16),$D52,0)</f>
        <v>0</v>
      </c>
      <c r="K52">
        <f>IF(AND($C52 = Temp!$G$1, $B52 = Temp!$A$16),$D52,0)</f>
        <v>0</v>
      </c>
      <c r="L52">
        <f>IF(AND($C52 = Temp!$H$1, $B52 = Temp!$A$16),$D52,0)</f>
        <v>0</v>
      </c>
      <c r="M52">
        <f>IF(AND($C52 = Temp!$I$1, $B52 = Temp!$A$16),$D52,0)</f>
        <v>0.2</v>
      </c>
      <c r="N52">
        <f>IF(AND($C52 = Temp!$J$1, $B52 = Temp!$A$16),$D52,0)</f>
        <v>0</v>
      </c>
      <c r="O52">
        <f>IF(AND($C52 = Temp!$K$1, $B52 = Temp!$A$16),$D52,0)</f>
        <v>0</v>
      </c>
    </row>
    <row r="53" spans="2:15" hidden="1" x14ac:dyDescent="0.2">
      <c r="B53" t="s">
        <v>376</v>
      </c>
      <c r="C53" t="s">
        <v>219</v>
      </c>
      <c r="D53">
        <v>1</v>
      </c>
      <c r="F53">
        <f>IF(AND($C53 = Temp!$B$1, $B53 = Temp!$A$16),$D53,0)</f>
        <v>0</v>
      </c>
      <c r="G53">
        <f>IF(AND($C53 = Temp!$C$1, $B53 = Temp!$A$16),$D53,0)</f>
        <v>0</v>
      </c>
      <c r="H53">
        <f>IF(AND($C53 = Temp!$D$1, $B53 = Temp!$A$16),$D53,0)</f>
        <v>0</v>
      </c>
      <c r="I53">
        <f>IF(AND($C53 = Temp!$E$1, $B53 = Temp!$A$16),$D53,0)</f>
        <v>1</v>
      </c>
      <c r="J53">
        <f>IF(AND($C53 = Temp!$F$1, $B53 = Temp!$A$16),$D53,0)</f>
        <v>0</v>
      </c>
      <c r="K53">
        <f>IF(AND($C53 = Temp!$G$1, $B53 = Temp!$A$16),$D53,0)</f>
        <v>0</v>
      </c>
      <c r="L53">
        <f>IF(AND($C53 = Temp!$H$1, $B53 = Temp!$A$16),$D53,0)</f>
        <v>0</v>
      </c>
      <c r="M53">
        <f>IF(AND($C53 = Temp!$I$1, $B53 = Temp!$A$16),$D53,0)</f>
        <v>0</v>
      </c>
      <c r="N53">
        <f>IF(AND($C53 = Temp!$J$1, $B53 = Temp!$A$16),$D53,0)</f>
        <v>0</v>
      </c>
      <c r="O53">
        <f>IF(AND($C53 = Temp!$K$1, $B53 = Temp!$A$16),$D53,0)</f>
        <v>0</v>
      </c>
    </row>
    <row r="54" spans="2:15" hidden="1" x14ac:dyDescent="0.2">
      <c r="B54" t="s">
        <v>421</v>
      </c>
      <c r="C54" t="s">
        <v>77</v>
      </c>
      <c r="D54">
        <v>0.25</v>
      </c>
      <c r="F54">
        <f>IF(AND($C54 = Temp!$B$1, $B54 = Temp!$A$16),$D54,0)</f>
        <v>0</v>
      </c>
      <c r="G54">
        <f>IF(AND($C54 = Temp!$C$1, $B54 = Temp!$A$16),$D54,0)</f>
        <v>0</v>
      </c>
      <c r="H54">
        <f>IF(AND($C54 = Temp!$D$1, $B54 = Temp!$A$16),$D54,0)</f>
        <v>0</v>
      </c>
      <c r="I54">
        <f>IF(AND($C54 = Temp!$E$1, $B54 = Temp!$A$16),$D54,0)</f>
        <v>0</v>
      </c>
      <c r="J54">
        <f>IF(AND($C54 = Temp!$F$1, $B54 = Temp!$A$16),$D54,0)</f>
        <v>0</v>
      </c>
      <c r="K54">
        <f>IF(AND($C54 = Temp!$G$1, $B54 = Temp!$A$16),$D54,0)</f>
        <v>0</v>
      </c>
      <c r="L54">
        <f>IF(AND($C54 = Temp!$H$1, $B54 = Temp!$A$16),$D54,0)</f>
        <v>0</v>
      </c>
      <c r="M54">
        <f>IF(AND($C54 = Temp!$I$1, $B54 = Temp!$A$16),$D54,0)</f>
        <v>0</v>
      </c>
      <c r="N54">
        <f>IF(AND($C54 = Temp!$J$1, $B54 = Temp!$A$16),$D54,0)</f>
        <v>0</v>
      </c>
      <c r="O54">
        <f>IF(AND($C54 = Temp!$K$1, $B54 = Temp!$A$16),$D54,0)</f>
        <v>0</v>
      </c>
    </row>
    <row r="55" spans="2:15" hidden="1" x14ac:dyDescent="0.2">
      <c r="B55" t="s">
        <v>128</v>
      </c>
      <c r="C55" t="s">
        <v>41</v>
      </c>
      <c r="D55">
        <v>3</v>
      </c>
      <c r="F55">
        <f>IF(AND($C55 = Temp!$B$1, $B55 = Temp!$A$16),$D55,0)</f>
        <v>0</v>
      </c>
      <c r="G55">
        <f>IF(AND($C55 = Temp!$C$1, $B55 = Temp!$A$16),$D55,0)</f>
        <v>0</v>
      </c>
      <c r="H55">
        <f>IF(AND($C55 = Temp!$D$1, $B55 = Temp!$A$16),$D55,0)</f>
        <v>0</v>
      </c>
      <c r="I55">
        <f>IF(AND($C55 = Temp!$E$1, $B55 = Temp!$A$16),$D55,0)</f>
        <v>0</v>
      </c>
      <c r="J55">
        <f>IF(AND($C55 = Temp!$F$1, $B55 = Temp!$A$16),$D55,0)</f>
        <v>0</v>
      </c>
      <c r="K55">
        <f>IF(AND($C55 = Temp!$G$1, $B55 = Temp!$A$16),$D55,0)</f>
        <v>0</v>
      </c>
      <c r="L55">
        <f>IF(AND($C55 = Temp!$H$1, $B55 = Temp!$A$16),$D55,0)</f>
        <v>0</v>
      </c>
      <c r="M55">
        <f>IF(AND($C55 = Temp!$I$1, $B55 = Temp!$A$16),$D55,0)</f>
        <v>0</v>
      </c>
      <c r="N55">
        <f>IF(AND($C55 = Temp!$J$1, $B55 = Temp!$A$16),$D55,0)</f>
        <v>0</v>
      </c>
      <c r="O55">
        <f>IF(AND($C55 = Temp!$K$1, $B55 = Temp!$A$16),$D55,0)</f>
        <v>0</v>
      </c>
    </row>
    <row r="56" spans="2:15" hidden="1" x14ac:dyDescent="0.2">
      <c r="B56" t="s">
        <v>128</v>
      </c>
      <c r="C56" t="s">
        <v>77</v>
      </c>
      <c r="D56">
        <v>0.5</v>
      </c>
      <c r="F56">
        <f>IF(AND($C56 = Temp!$B$1, $B56 = Temp!$A$16),$D56,0)</f>
        <v>0</v>
      </c>
      <c r="G56">
        <f>IF(AND($C56 = Temp!$C$1, $B56 = Temp!$A$16),$D56,0)</f>
        <v>0</v>
      </c>
      <c r="H56">
        <f>IF(AND($C56 = Temp!$D$1, $B56 = Temp!$A$16),$D56,0)</f>
        <v>0</v>
      </c>
      <c r="I56">
        <f>IF(AND($C56 = Temp!$E$1, $B56 = Temp!$A$16),$D56,0)</f>
        <v>0</v>
      </c>
      <c r="J56">
        <f>IF(AND($C56 = Temp!$F$1, $B56 = Temp!$A$16),$D56,0)</f>
        <v>0</v>
      </c>
      <c r="K56">
        <f>IF(AND($C56 = Temp!$G$1, $B56 = Temp!$A$16),$D56,0)</f>
        <v>0</v>
      </c>
      <c r="L56">
        <f>IF(AND($C56 = Temp!$H$1, $B56 = Temp!$A$16),$D56,0)</f>
        <v>0</v>
      </c>
      <c r="M56">
        <f>IF(AND($C56 = Temp!$I$1, $B56 = Temp!$A$16),$D56,0)</f>
        <v>0</v>
      </c>
      <c r="N56">
        <f>IF(AND($C56 = Temp!$J$1, $B56 = Temp!$A$16),$D56,0)</f>
        <v>0</v>
      </c>
      <c r="O56">
        <f>IF(AND($C56 = Temp!$K$1, $B56 = Temp!$A$16),$D56,0)</f>
        <v>0</v>
      </c>
    </row>
    <row r="57" spans="2:15" hidden="1" x14ac:dyDescent="0.2">
      <c r="B57" t="s">
        <v>128</v>
      </c>
      <c r="C57" t="s">
        <v>77</v>
      </c>
      <c r="D57">
        <v>0.5</v>
      </c>
      <c r="F57">
        <f>IF(AND($C57 = Temp!$B$1, $B57 = Temp!$A$16),$D57,0)</f>
        <v>0</v>
      </c>
      <c r="G57">
        <f>IF(AND($C57 = Temp!$C$1, $B57 = Temp!$A$16),$D57,0)</f>
        <v>0</v>
      </c>
      <c r="H57">
        <f>IF(AND($C57 = Temp!$D$1, $B57 = Temp!$A$16),$D57,0)</f>
        <v>0</v>
      </c>
      <c r="I57">
        <f>IF(AND($C57 = Temp!$E$1, $B57 = Temp!$A$16),$D57,0)</f>
        <v>0</v>
      </c>
      <c r="J57">
        <f>IF(AND($C57 = Temp!$F$1, $B57 = Temp!$A$16),$D57,0)</f>
        <v>0</v>
      </c>
      <c r="K57">
        <f>IF(AND($C57 = Temp!$G$1, $B57 = Temp!$A$16),$D57,0)</f>
        <v>0</v>
      </c>
      <c r="L57">
        <f>IF(AND($C57 = Temp!$H$1, $B57 = Temp!$A$16),$D57,0)</f>
        <v>0</v>
      </c>
      <c r="M57">
        <f>IF(AND($C57 = Temp!$I$1, $B57 = Temp!$A$16),$D57,0)</f>
        <v>0</v>
      </c>
      <c r="N57">
        <f>IF(AND($C57 = Temp!$J$1, $B57 = Temp!$A$16),$D57,0)</f>
        <v>0</v>
      </c>
      <c r="O57">
        <f>IF(AND($C57 = Temp!$K$1, $B57 = Temp!$A$16),$D57,0)</f>
        <v>0</v>
      </c>
    </row>
    <row r="58" spans="2:15" hidden="1" x14ac:dyDescent="0.2">
      <c r="B58" t="s">
        <v>128</v>
      </c>
      <c r="C58" t="s">
        <v>4</v>
      </c>
      <c r="D58">
        <v>2</v>
      </c>
      <c r="F58">
        <f>IF(AND($C58 = Temp!$B$1, $B58 = Temp!$A$16),$D58,0)</f>
        <v>0</v>
      </c>
      <c r="G58">
        <f>IF(AND($C58 = Temp!$C$1, $B58 = Temp!$A$16),$D58,0)</f>
        <v>0</v>
      </c>
      <c r="H58">
        <f>IF(AND($C58 = Temp!$D$1, $B58 = Temp!$A$16),$D58,0)</f>
        <v>0</v>
      </c>
      <c r="I58">
        <f>IF(AND($C58 = Temp!$E$1, $B58 = Temp!$A$16),$D58,0)</f>
        <v>0</v>
      </c>
      <c r="J58">
        <f>IF(AND($C58 = Temp!$F$1, $B58 = Temp!$A$16),$D58,0)</f>
        <v>0</v>
      </c>
      <c r="K58">
        <f>IF(AND($C58 = Temp!$G$1, $B58 = Temp!$A$16),$D58,0)</f>
        <v>0</v>
      </c>
      <c r="L58">
        <f>IF(AND($C58 = Temp!$H$1, $B58 = Temp!$A$16),$D58,0)</f>
        <v>0</v>
      </c>
      <c r="M58">
        <f>IF(AND($C58 = Temp!$I$1, $B58 = Temp!$A$16),$D58,0)</f>
        <v>0</v>
      </c>
      <c r="N58">
        <f>IF(AND($C58 = Temp!$J$1, $B58 = Temp!$A$16),$D58,0)</f>
        <v>0</v>
      </c>
      <c r="O58">
        <f>IF(AND($C58 = Temp!$K$1, $B58 = Temp!$A$16),$D58,0)</f>
        <v>0</v>
      </c>
    </row>
    <row r="59" spans="2:15" hidden="1" x14ac:dyDescent="0.2">
      <c r="B59" t="s">
        <v>448</v>
      </c>
      <c r="C59" s="4" t="s">
        <v>4</v>
      </c>
      <c r="D59" s="7">
        <v>2</v>
      </c>
      <c r="E59" s="7"/>
      <c r="F59">
        <f>IF(AND($C59 = Temp!$B$1, $B59 = Temp!$A$16),$D59,0)</f>
        <v>0</v>
      </c>
      <c r="G59">
        <f>IF(AND($C59 = Temp!$C$1, $B59 = Temp!$A$16),$D59,0)</f>
        <v>0</v>
      </c>
      <c r="H59">
        <f>IF(AND($C59 = Temp!$D$1, $B59 = Temp!$A$16),$D59,0)</f>
        <v>0</v>
      </c>
      <c r="I59">
        <f>IF(AND($C59 = Temp!$E$1, $B59 = Temp!$A$16),$D59,0)</f>
        <v>0</v>
      </c>
      <c r="J59">
        <f>IF(AND($C59 = Temp!$F$1, $B59 = Temp!$A$16),$D59,0)</f>
        <v>0</v>
      </c>
      <c r="K59">
        <f>IF(AND($C59 = Temp!$G$1, $B59 = Temp!$A$16),$D59,0)</f>
        <v>0</v>
      </c>
      <c r="L59">
        <f>IF(AND($C59 = Temp!$H$1, $B59 = Temp!$A$16),$D59,0)</f>
        <v>0</v>
      </c>
      <c r="M59">
        <f>IF(AND($C59 = Temp!$I$1, $B59 = Temp!$A$16),$D59,0)</f>
        <v>0</v>
      </c>
      <c r="N59">
        <f>IF(AND($C59 = Temp!$J$1, $B59 = Temp!$A$16),$D59,0)</f>
        <v>0</v>
      </c>
      <c r="O59">
        <f>IF(AND($C59 = Temp!$K$1, $B59 = Temp!$A$16),$D59,0)</f>
        <v>0</v>
      </c>
    </row>
    <row r="60" spans="2:15" hidden="1" x14ac:dyDescent="0.2">
      <c r="B60" t="s">
        <v>448</v>
      </c>
      <c r="C60" s="4" t="s">
        <v>41</v>
      </c>
      <c r="D60" s="7">
        <v>0.5</v>
      </c>
      <c r="E60" s="7"/>
      <c r="F60">
        <f>IF(AND($C60 = Temp!$B$1, $B60 = Temp!$A$16),$D60,0)</f>
        <v>0</v>
      </c>
      <c r="G60">
        <f>IF(AND($C60 = Temp!$C$1, $B60 = Temp!$A$16),$D60,0)</f>
        <v>0</v>
      </c>
      <c r="H60">
        <f>IF(AND($C60 = Temp!$D$1, $B60 = Temp!$A$16),$D60,0)</f>
        <v>0</v>
      </c>
      <c r="I60">
        <f>IF(AND($C60 = Temp!$E$1, $B60 = Temp!$A$16),$D60,0)</f>
        <v>0</v>
      </c>
      <c r="J60">
        <f>IF(AND($C60 = Temp!$F$1, $B60 = Temp!$A$16),$D60,0)</f>
        <v>0</v>
      </c>
      <c r="K60">
        <f>IF(AND($C60 = Temp!$G$1, $B60 = Temp!$A$16),$D60,0)</f>
        <v>0</v>
      </c>
      <c r="L60">
        <f>IF(AND($C60 = Temp!$H$1, $B60 = Temp!$A$16),$D60,0)</f>
        <v>0</v>
      </c>
      <c r="M60">
        <f>IF(AND($C60 = Temp!$I$1, $B60 = Temp!$A$16),$D60,0)</f>
        <v>0</v>
      </c>
      <c r="N60">
        <f>IF(AND($C60 = Temp!$J$1, $B60 = Temp!$A$16),$D60,0)</f>
        <v>0</v>
      </c>
      <c r="O60">
        <f>IF(AND($C60 = Temp!$K$1, $B60 = Temp!$A$16),$D60,0)</f>
        <v>0</v>
      </c>
    </row>
    <row r="61" spans="2:15" hidden="1" x14ac:dyDescent="0.2">
      <c r="B61" t="s">
        <v>448</v>
      </c>
      <c r="C61" s="4" t="s">
        <v>41</v>
      </c>
      <c r="D61" s="7">
        <v>0.5</v>
      </c>
      <c r="E61" s="7"/>
      <c r="F61">
        <f>IF(AND($C61 = Temp!$B$1, $B61 = Temp!$A$16),$D61,0)</f>
        <v>0</v>
      </c>
      <c r="G61">
        <f>IF(AND($C61 = Temp!$C$1, $B61 = Temp!$A$16),$D61,0)</f>
        <v>0</v>
      </c>
      <c r="H61">
        <f>IF(AND($C61 = Temp!$D$1, $B61 = Temp!$A$16),$D61,0)</f>
        <v>0</v>
      </c>
      <c r="I61">
        <f>IF(AND($C61 = Temp!$E$1, $B61 = Temp!$A$16),$D61,0)</f>
        <v>0</v>
      </c>
      <c r="J61">
        <f>IF(AND($C61 = Temp!$F$1, $B61 = Temp!$A$16),$D61,0)</f>
        <v>0</v>
      </c>
      <c r="K61">
        <f>IF(AND($C61 = Temp!$G$1, $B61 = Temp!$A$16),$D61,0)</f>
        <v>0</v>
      </c>
      <c r="L61">
        <f>IF(AND($C61 = Temp!$H$1, $B61 = Temp!$A$16),$D61,0)</f>
        <v>0</v>
      </c>
      <c r="M61">
        <f>IF(AND($C61 = Temp!$I$1, $B61 = Temp!$A$16),$D61,0)</f>
        <v>0</v>
      </c>
      <c r="N61">
        <f>IF(AND($C61 = Temp!$J$1, $B61 = Temp!$A$16),$D61,0)</f>
        <v>0</v>
      </c>
      <c r="O61">
        <f>IF(AND($C61 = Temp!$K$1, $B61 = Temp!$A$16),$D61,0)</f>
        <v>0</v>
      </c>
    </row>
    <row r="62" spans="2:15" hidden="1" x14ac:dyDescent="0.2">
      <c r="B62" t="s">
        <v>448</v>
      </c>
      <c r="C62" s="4" t="s">
        <v>41</v>
      </c>
      <c r="D62" s="7">
        <v>0.5</v>
      </c>
      <c r="E62" s="7"/>
      <c r="F62">
        <f>IF(AND($C62 = Temp!$B$1, $B62 = Temp!$A$16),$D62,0)</f>
        <v>0</v>
      </c>
      <c r="G62">
        <f>IF(AND($C62 = Temp!$C$1, $B62 = Temp!$A$16),$D62,0)</f>
        <v>0</v>
      </c>
      <c r="H62">
        <f>IF(AND($C62 = Temp!$D$1, $B62 = Temp!$A$16),$D62,0)</f>
        <v>0</v>
      </c>
      <c r="I62">
        <f>IF(AND($C62 = Temp!$E$1, $B62 = Temp!$A$16),$D62,0)</f>
        <v>0</v>
      </c>
      <c r="J62">
        <f>IF(AND($C62 = Temp!$F$1, $B62 = Temp!$A$16),$D62,0)</f>
        <v>0</v>
      </c>
      <c r="K62">
        <f>IF(AND($C62 = Temp!$G$1, $B62 = Temp!$A$16),$D62,0)</f>
        <v>0</v>
      </c>
      <c r="L62">
        <f>IF(AND($C62 = Temp!$H$1, $B62 = Temp!$A$16),$D62,0)</f>
        <v>0</v>
      </c>
      <c r="M62">
        <f>IF(AND($C62 = Temp!$I$1, $B62 = Temp!$A$16),$D62,0)</f>
        <v>0</v>
      </c>
      <c r="N62">
        <f>IF(AND($C62 = Temp!$J$1, $B62 = Temp!$A$16),$D62,0)</f>
        <v>0</v>
      </c>
      <c r="O62">
        <f>IF(AND($C62 = Temp!$K$1, $B62 = Temp!$A$16),$D62,0)</f>
        <v>0</v>
      </c>
    </row>
    <row r="63" spans="2:15" hidden="1" x14ac:dyDescent="0.2">
      <c r="B63" t="s">
        <v>448</v>
      </c>
      <c r="C63" s="4" t="s">
        <v>4</v>
      </c>
      <c r="D63" s="7">
        <v>1</v>
      </c>
      <c r="E63" s="7"/>
      <c r="F63">
        <f>IF(AND($C63 = Temp!$B$1, $B63 = Temp!$A$16),$D63,0)</f>
        <v>0</v>
      </c>
      <c r="G63">
        <f>IF(AND($C63 = Temp!$C$1, $B63 = Temp!$A$16),$D63,0)</f>
        <v>0</v>
      </c>
      <c r="H63">
        <f>IF(AND($C63 = Temp!$D$1, $B63 = Temp!$A$16),$D63,0)</f>
        <v>0</v>
      </c>
      <c r="I63">
        <f>IF(AND($C63 = Temp!$E$1, $B63 = Temp!$A$16),$D63,0)</f>
        <v>0</v>
      </c>
      <c r="J63">
        <f>IF(AND($C63 = Temp!$F$1, $B63 = Temp!$A$16),$D63,0)</f>
        <v>0</v>
      </c>
      <c r="K63">
        <f>IF(AND($C63 = Temp!$G$1, $B63 = Temp!$A$16),$D63,0)</f>
        <v>0</v>
      </c>
      <c r="L63">
        <f>IF(AND($C63 = Temp!$H$1, $B63 = Temp!$A$16),$D63,0)</f>
        <v>0</v>
      </c>
      <c r="M63">
        <f>IF(AND($C63 = Temp!$I$1, $B63 = Temp!$A$16),$D63,0)</f>
        <v>0</v>
      </c>
      <c r="N63">
        <f>IF(AND($C63 = Temp!$J$1, $B63 = Temp!$A$16),$D63,0)</f>
        <v>0</v>
      </c>
      <c r="O63">
        <f>IF(AND($C63 = Temp!$K$1, $B63 = Temp!$A$16),$D63,0)</f>
        <v>0</v>
      </c>
    </row>
    <row r="64" spans="2:15" hidden="1" x14ac:dyDescent="0.2">
      <c r="B64" t="s">
        <v>448</v>
      </c>
      <c r="C64" s="4" t="s">
        <v>40</v>
      </c>
      <c r="D64" s="7">
        <v>0.5</v>
      </c>
      <c r="E64" s="7"/>
      <c r="F64">
        <f>IF(AND($C64 = Temp!$B$1, $B64 = Temp!$A$16),$D64,0)</f>
        <v>0</v>
      </c>
      <c r="G64">
        <f>IF(AND($C64 = Temp!$C$1, $B64 = Temp!$A$16),$D64,0)</f>
        <v>0</v>
      </c>
      <c r="H64">
        <f>IF(AND($C64 = Temp!$D$1, $B64 = Temp!$A$16),$D64,0)</f>
        <v>0</v>
      </c>
      <c r="I64">
        <f>IF(AND($C64 = Temp!$E$1, $B64 = Temp!$A$16),$D64,0)</f>
        <v>0</v>
      </c>
      <c r="J64">
        <f>IF(AND($C64 = Temp!$F$1, $B64 = Temp!$A$16),$D64,0)</f>
        <v>0</v>
      </c>
      <c r="K64">
        <f>IF(AND($C64 = Temp!$G$1, $B64 = Temp!$A$16),$D64,0)</f>
        <v>0</v>
      </c>
      <c r="L64">
        <f>IF(AND($C64 = Temp!$H$1, $B64 = Temp!$A$16),$D64,0)</f>
        <v>0</v>
      </c>
      <c r="M64">
        <f>IF(AND($C64 = Temp!$I$1, $B64 = Temp!$A$16),$D64,0)</f>
        <v>0</v>
      </c>
      <c r="N64">
        <f>IF(AND($C64 = Temp!$J$1, $B64 = Temp!$A$16),$D64,0)</f>
        <v>0</v>
      </c>
      <c r="O64">
        <f>IF(AND($C64 = Temp!$K$1, $B64 = Temp!$A$16),$D64,0)</f>
        <v>0</v>
      </c>
    </row>
    <row r="65" spans="2:15" hidden="1" x14ac:dyDescent="0.2">
      <c r="B65" t="s">
        <v>448</v>
      </c>
      <c r="C65" s="4" t="s">
        <v>40</v>
      </c>
      <c r="D65" s="7">
        <v>0.5</v>
      </c>
      <c r="E65" s="7"/>
      <c r="F65">
        <f>IF(AND($C65 = Temp!$B$1, $B65 = Temp!$A$16),$D65,0)</f>
        <v>0</v>
      </c>
      <c r="G65">
        <f>IF(AND($C65 = Temp!$C$1, $B65 = Temp!$A$16),$D65,0)</f>
        <v>0</v>
      </c>
      <c r="H65">
        <f>IF(AND($C65 = Temp!$D$1, $B65 = Temp!$A$16),$D65,0)</f>
        <v>0</v>
      </c>
      <c r="I65">
        <f>IF(AND($C65 = Temp!$E$1, $B65 = Temp!$A$16),$D65,0)</f>
        <v>0</v>
      </c>
      <c r="J65">
        <f>IF(AND($C65 = Temp!$F$1, $B65 = Temp!$A$16),$D65,0)</f>
        <v>0</v>
      </c>
      <c r="K65">
        <f>IF(AND($C65 = Temp!$G$1, $B65 = Temp!$A$16),$D65,0)</f>
        <v>0</v>
      </c>
      <c r="L65">
        <f>IF(AND($C65 = Temp!$H$1, $B65 = Temp!$A$16),$D65,0)</f>
        <v>0</v>
      </c>
      <c r="M65">
        <f>IF(AND($C65 = Temp!$I$1, $B65 = Temp!$A$16),$D65,0)</f>
        <v>0</v>
      </c>
      <c r="N65">
        <f>IF(AND($C65 = Temp!$J$1, $B65 = Temp!$A$16),$D65,0)</f>
        <v>0</v>
      </c>
      <c r="O65">
        <f>IF(AND($C65 = Temp!$K$1, $B65 = Temp!$A$16),$D65,0)</f>
        <v>0</v>
      </c>
    </row>
    <row r="66" spans="2:15" hidden="1" x14ac:dyDescent="0.2">
      <c r="B66" t="s">
        <v>448</v>
      </c>
      <c r="C66" s="4" t="s">
        <v>40</v>
      </c>
      <c r="D66" s="7">
        <v>2</v>
      </c>
      <c r="E66" s="7"/>
      <c r="F66">
        <f>IF(AND($C66 = Temp!$B$1, $B66 = Temp!$A$16),$D66,0)</f>
        <v>0</v>
      </c>
      <c r="G66">
        <f>IF(AND($C66 = Temp!$C$1, $B66 = Temp!$A$16),$D66,0)</f>
        <v>0</v>
      </c>
      <c r="H66">
        <f>IF(AND($C66 = Temp!$D$1, $B66 = Temp!$A$16),$D66,0)</f>
        <v>0</v>
      </c>
      <c r="I66">
        <f>IF(AND($C66 = Temp!$E$1, $B66 = Temp!$A$16),$D66,0)</f>
        <v>0</v>
      </c>
      <c r="J66">
        <f>IF(AND($C66 = Temp!$F$1, $B66 = Temp!$A$16),$D66,0)</f>
        <v>0</v>
      </c>
      <c r="K66">
        <f>IF(AND($C66 = Temp!$G$1, $B66 = Temp!$A$16),$D66,0)</f>
        <v>0</v>
      </c>
      <c r="L66">
        <f>IF(AND($C66 = Temp!$H$1, $B66 = Temp!$A$16),$D66,0)</f>
        <v>0</v>
      </c>
      <c r="M66">
        <f>IF(AND($C66 = Temp!$I$1, $B66 = Temp!$A$16),$D66,0)</f>
        <v>0</v>
      </c>
      <c r="N66">
        <f>IF(AND($C66 = Temp!$J$1, $B66 = Temp!$A$16),$D66,0)</f>
        <v>0</v>
      </c>
      <c r="O66">
        <f>IF(AND($C66 = Temp!$K$1, $B66 = Temp!$A$16),$D66,0)</f>
        <v>0</v>
      </c>
    </row>
    <row r="67" spans="2:15" hidden="1" x14ac:dyDescent="0.2">
      <c r="B67" t="s">
        <v>448</v>
      </c>
      <c r="C67" s="4" t="s">
        <v>40</v>
      </c>
      <c r="D67" s="7">
        <v>1</v>
      </c>
      <c r="E67" s="7"/>
      <c r="F67">
        <f>IF(AND($C67 = Temp!$B$1, $B67 = Temp!$A$16),$D67,0)</f>
        <v>0</v>
      </c>
      <c r="G67">
        <f>IF(AND($C67 = Temp!$C$1, $B67 = Temp!$A$16),$D67,0)</f>
        <v>0</v>
      </c>
      <c r="H67">
        <f>IF(AND($C67 = Temp!$D$1, $B67 = Temp!$A$16),$D67,0)</f>
        <v>0</v>
      </c>
      <c r="I67">
        <f>IF(AND($C67 = Temp!$E$1, $B67 = Temp!$A$16),$D67,0)</f>
        <v>0</v>
      </c>
      <c r="J67">
        <f>IF(AND($C67 = Temp!$F$1, $B67 = Temp!$A$16),$D67,0)</f>
        <v>0</v>
      </c>
      <c r="K67">
        <f>IF(AND($C67 = Temp!$G$1, $B67 = Temp!$A$16),$D67,0)</f>
        <v>0</v>
      </c>
      <c r="L67">
        <f>IF(AND($C67 = Temp!$H$1, $B67 = Temp!$A$16),$D67,0)</f>
        <v>0</v>
      </c>
      <c r="M67">
        <f>IF(AND($C67 = Temp!$I$1, $B67 = Temp!$A$16),$D67,0)</f>
        <v>0</v>
      </c>
      <c r="N67">
        <f>IF(AND($C67 = Temp!$J$1, $B67 = Temp!$A$16),$D67,0)</f>
        <v>0</v>
      </c>
      <c r="O67">
        <f>IF(AND($C67 = Temp!$K$1, $B67 = Temp!$A$16),$D67,0)</f>
        <v>0</v>
      </c>
    </row>
    <row r="68" spans="2:15" hidden="1" x14ac:dyDescent="0.2">
      <c r="B68" t="s">
        <v>448</v>
      </c>
      <c r="C68" s="4" t="s">
        <v>4</v>
      </c>
      <c r="D68" s="7">
        <v>1</v>
      </c>
      <c r="E68" s="7"/>
      <c r="F68">
        <f>IF(AND($C68 = Temp!$B$1, $B68 = Temp!$A$16),$D68,0)</f>
        <v>0</v>
      </c>
      <c r="G68">
        <f>IF(AND($C68 = Temp!$C$1, $B68 = Temp!$A$16),$D68,0)</f>
        <v>0</v>
      </c>
      <c r="H68">
        <f>IF(AND($C68 = Temp!$D$1, $B68 = Temp!$A$16),$D68,0)</f>
        <v>0</v>
      </c>
      <c r="I68">
        <f>IF(AND($C68 = Temp!$E$1, $B68 = Temp!$A$16),$D68,0)</f>
        <v>0</v>
      </c>
      <c r="J68">
        <f>IF(AND($C68 = Temp!$F$1, $B68 = Temp!$A$16),$D68,0)</f>
        <v>0</v>
      </c>
      <c r="K68">
        <f>IF(AND($C68 = Temp!$G$1, $B68 = Temp!$A$16),$D68,0)</f>
        <v>0</v>
      </c>
      <c r="L68">
        <f>IF(AND($C68 = Temp!$H$1, $B68 = Temp!$A$16),$D68,0)</f>
        <v>0</v>
      </c>
      <c r="M68">
        <f>IF(AND($C68 = Temp!$I$1, $B68 = Temp!$A$16),$D68,0)</f>
        <v>0</v>
      </c>
      <c r="N68">
        <f>IF(AND($C68 = Temp!$J$1, $B68 = Temp!$A$16),$D68,0)</f>
        <v>0</v>
      </c>
      <c r="O68">
        <f>IF(AND($C68 = Temp!$K$1, $B68 = Temp!$A$16),$D68,0)</f>
        <v>0</v>
      </c>
    </row>
    <row r="69" spans="2:15" hidden="1" x14ac:dyDescent="0.2">
      <c r="B69" t="s">
        <v>448</v>
      </c>
      <c r="C69" s="4" t="s">
        <v>4</v>
      </c>
      <c r="D69" s="7">
        <v>2</v>
      </c>
      <c r="E69" s="7"/>
      <c r="F69">
        <f>IF(AND($C69 = Temp!$B$1, $B69 = Temp!$A$16),$D69,0)</f>
        <v>0</v>
      </c>
      <c r="G69">
        <f>IF(AND($C69 = Temp!$C$1, $B69 = Temp!$A$16),$D69,0)</f>
        <v>0</v>
      </c>
      <c r="H69">
        <f>IF(AND($C69 = Temp!$D$1, $B69 = Temp!$A$16),$D69,0)</f>
        <v>0</v>
      </c>
      <c r="I69">
        <f>IF(AND($C69 = Temp!$E$1, $B69 = Temp!$A$16),$D69,0)</f>
        <v>0</v>
      </c>
      <c r="J69">
        <f>IF(AND($C69 = Temp!$F$1, $B69 = Temp!$A$16),$D69,0)</f>
        <v>0</v>
      </c>
      <c r="K69">
        <f>IF(AND($C69 = Temp!$G$1, $B69 = Temp!$A$16),$D69,0)</f>
        <v>0</v>
      </c>
      <c r="L69">
        <f>IF(AND($C69 = Temp!$H$1, $B69 = Temp!$A$16),$D69,0)</f>
        <v>0</v>
      </c>
      <c r="M69">
        <f>IF(AND($C69 = Temp!$I$1, $B69 = Temp!$A$16),$D69,0)</f>
        <v>0</v>
      </c>
      <c r="N69">
        <f>IF(AND($C69 = Temp!$J$1, $B69 = Temp!$A$16),$D69,0)</f>
        <v>0</v>
      </c>
      <c r="O69">
        <f>IF(AND($C69 = Temp!$K$1, $B69 = Temp!$A$16),$D69,0)</f>
        <v>0</v>
      </c>
    </row>
    <row r="70" spans="2:15" hidden="1" x14ac:dyDescent="0.2">
      <c r="B70" t="s">
        <v>126</v>
      </c>
      <c r="C70" t="s">
        <v>24</v>
      </c>
      <c r="D70">
        <v>3</v>
      </c>
      <c r="F70">
        <f>IF(AND($C70 = Temp!$B$1, $B70 = Temp!$A$16),$D70,0)</f>
        <v>0</v>
      </c>
      <c r="G70">
        <f>IF(AND($C70 = Temp!$C$1, $B70 = Temp!$A$16),$D70,0)</f>
        <v>0</v>
      </c>
      <c r="H70">
        <f>IF(AND($C70 = Temp!$D$1, $B70 = Temp!$A$16),$D70,0)</f>
        <v>0</v>
      </c>
      <c r="I70">
        <f>IF(AND($C70 = Temp!$E$1, $B70 = Temp!$A$16),$D70,0)</f>
        <v>0</v>
      </c>
      <c r="J70">
        <f>IF(AND($C70 = Temp!$F$1, $B70 = Temp!$A$16),$D70,0)</f>
        <v>0</v>
      </c>
      <c r="K70">
        <f>IF(AND($C70 = Temp!$G$1, $B70 = Temp!$A$16),$D70,0)</f>
        <v>0</v>
      </c>
      <c r="L70">
        <f>IF(AND($C70 = Temp!$H$1, $B70 = Temp!$A$16),$D70,0)</f>
        <v>0</v>
      </c>
      <c r="M70">
        <f>IF(AND($C70 = Temp!$I$1, $B70 = Temp!$A$16),$D70,0)</f>
        <v>0</v>
      </c>
      <c r="N70">
        <f>IF(AND($C70 = Temp!$J$1, $B70 = Temp!$A$16),$D70,0)</f>
        <v>0</v>
      </c>
      <c r="O70">
        <f>IF(AND($C70 = Temp!$K$1, $B70 = Temp!$A$16),$D70,0)</f>
        <v>0</v>
      </c>
    </row>
    <row r="71" spans="2:15" hidden="1" x14ac:dyDescent="0.2">
      <c r="B71" t="s">
        <v>126</v>
      </c>
      <c r="C71" t="s">
        <v>24</v>
      </c>
      <c r="D71">
        <v>0.1</v>
      </c>
      <c r="F71">
        <f>IF(AND($C71 = Temp!$B$1, $B71 = Temp!$A$16),$D71,0)</f>
        <v>0</v>
      </c>
      <c r="G71">
        <f>IF(AND($C71 = Temp!$C$1, $B71 = Temp!$A$16),$D71,0)</f>
        <v>0</v>
      </c>
      <c r="H71">
        <f>IF(AND($C71 = Temp!$D$1, $B71 = Temp!$A$16),$D71,0)</f>
        <v>0</v>
      </c>
      <c r="I71">
        <f>IF(AND($C71 = Temp!$E$1, $B71 = Temp!$A$16),$D71,0)</f>
        <v>0</v>
      </c>
      <c r="J71">
        <f>IF(AND($C71 = Temp!$F$1, $B71 = Temp!$A$16),$D71,0)</f>
        <v>0</v>
      </c>
      <c r="K71">
        <f>IF(AND($C71 = Temp!$G$1, $B71 = Temp!$A$16),$D71,0)</f>
        <v>0</v>
      </c>
      <c r="L71">
        <f>IF(AND($C71 = Temp!$H$1, $B71 = Temp!$A$16),$D71,0)</f>
        <v>0</v>
      </c>
      <c r="M71">
        <f>IF(AND($C71 = Temp!$I$1, $B71 = Temp!$A$16),$D71,0)</f>
        <v>0</v>
      </c>
      <c r="N71">
        <f>IF(AND($C71 = Temp!$J$1, $B71 = Temp!$A$16),$D71,0)</f>
        <v>0</v>
      </c>
      <c r="O71">
        <f>IF(AND($C71 = Temp!$K$1, $B71 = Temp!$A$16),$D71,0)</f>
        <v>0</v>
      </c>
    </row>
    <row r="72" spans="2:15" hidden="1" x14ac:dyDescent="0.2">
      <c r="B72" t="s">
        <v>126</v>
      </c>
      <c r="C72" t="s">
        <v>24</v>
      </c>
      <c r="D72">
        <v>1</v>
      </c>
      <c r="F72">
        <f>IF(AND($C72 = Temp!$B$1, $B72 = Temp!$A$16),$D72,0)</f>
        <v>0</v>
      </c>
      <c r="G72">
        <f>IF(AND($C72 = Temp!$C$1, $B72 = Temp!$A$16),$D72,0)</f>
        <v>0</v>
      </c>
      <c r="H72">
        <f>IF(AND($C72 = Temp!$D$1, $B72 = Temp!$A$16),$D72,0)</f>
        <v>0</v>
      </c>
      <c r="I72">
        <f>IF(AND($C72 = Temp!$E$1, $B72 = Temp!$A$16),$D72,0)</f>
        <v>0</v>
      </c>
      <c r="J72">
        <f>IF(AND($C72 = Temp!$F$1, $B72 = Temp!$A$16),$D72,0)</f>
        <v>0</v>
      </c>
      <c r="K72">
        <f>IF(AND($C72 = Temp!$G$1, $B72 = Temp!$A$16),$D72,0)</f>
        <v>0</v>
      </c>
      <c r="L72">
        <f>IF(AND($C72 = Temp!$H$1, $B72 = Temp!$A$16),$D72,0)</f>
        <v>0</v>
      </c>
      <c r="M72">
        <f>IF(AND($C72 = Temp!$I$1, $B72 = Temp!$A$16),$D72,0)</f>
        <v>0</v>
      </c>
      <c r="N72">
        <f>IF(AND($C72 = Temp!$J$1, $B72 = Temp!$A$16),$D72,0)</f>
        <v>0</v>
      </c>
      <c r="O72">
        <f>IF(AND($C72 = Temp!$K$1, $B72 = Temp!$A$16),$D72,0)</f>
        <v>0</v>
      </c>
    </row>
    <row r="73" spans="2:15" hidden="1" x14ac:dyDescent="0.2">
      <c r="B73" t="s">
        <v>417</v>
      </c>
      <c r="C73" t="s">
        <v>77</v>
      </c>
      <c r="D73">
        <v>0.25</v>
      </c>
      <c r="F73">
        <f>IF(AND($C73 = Temp!$B$1, $B73 = Temp!$A$16),$D73,0)</f>
        <v>0</v>
      </c>
      <c r="G73">
        <f>IF(AND($C73 = Temp!$C$1, $B73 = Temp!$A$16),$D73,0)</f>
        <v>0</v>
      </c>
      <c r="H73">
        <f>IF(AND($C73 = Temp!$D$1, $B73 = Temp!$A$16),$D73,0)</f>
        <v>0</v>
      </c>
      <c r="I73">
        <f>IF(AND($C73 = Temp!$E$1, $B73 = Temp!$A$16),$D73,0)</f>
        <v>0</v>
      </c>
      <c r="J73">
        <f>IF(AND($C73 = Temp!$F$1, $B73 = Temp!$A$16),$D73,0)</f>
        <v>0</v>
      </c>
      <c r="K73">
        <f>IF(AND($C73 = Temp!$G$1, $B73 = Temp!$A$16),$D73,0)</f>
        <v>0</v>
      </c>
      <c r="L73">
        <f>IF(AND($C73 = Temp!$H$1, $B73 = Temp!$A$16),$D73,0)</f>
        <v>0</v>
      </c>
      <c r="M73">
        <f>IF(AND($C73 = Temp!$I$1, $B73 = Temp!$A$16),$D73,0)</f>
        <v>0</v>
      </c>
      <c r="N73">
        <f>IF(AND($C73 = Temp!$J$1, $B73 = Temp!$A$16),$D73,0)</f>
        <v>0</v>
      </c>
      <c r="O73">
        <f>IF(AND($C73 = Temp!$K$1, $B73 = Temp!$A$16),$D73,0)</f>
        <v>0</v>
      </c>
    </row>
    <row r="74" spans="2:15" hidden="1" x14ac:dyDescent="0.2">
      <c r="B74" t="s">
        <v>417</v>
      </c>
      <c r="C74" t="s">
        <v>77</v>
      </c>
      <c r="D74">
        <v>0</v>
      </c>
      <c r="F74">
        <f>IF(AND($C74 = Temp!$B$1, $B74 = Temp!$A$16),$D74,0)</f>
        <v>0</v>
      </c>
      <c r="G74">
        <f>IF(AND($C74 = Temp!$C$1, $B74 = Temp!$A$16),$D74,0)</f>
        <v>0</v>
      </c>
      <c r="H74">
        <f>IF(AND($C74 = Temp!$D$1, $B74 = Temp!$A$16),$D74,0)</f>
        <v>0</v>
      </c>
      <c r="I74">
        <f>IF(AND($C74 = Temp!$E$1, $B74 = Temp!$A$16),$D74,0)</f>
        <v>0</v>
      </c>
      <c r="J74">
        <f>IF(AND($C74 = Temp!$F$1, $B74 = Temp!$A$16),$D74,0)</f>
        <v>0</v>
      </c>
      <c r="K74">
        <f>IF(AND($C74 = Temp!$G$1, $B74 = Temp!$A$16),$D74,0)</f>
        <v>0</v>
      </c>
      <c r="L74">
        <f>IF(AND($C74 = Temp!$H$1, $B74 = Temp!$A$16),$D74,0)</f>
        <v>0</v>
      </c>
      <c r="M74">
        <f>IF(AND($C74 = Temp!$I$1, $B74 = Temp!$A$16),$D74,0)</f>
        <v>0</v>
      </c>
      <c r="N74">
        <f>IF(AND($C74 = Temp!$J$1, $B74 = Temp!$A$16),$D74,0)</f>
        <v>0</v>
      </c>
      <c r="O74">
        <f>IF(AND($C74 = Temp!$K$1, $B74 = Temp!$A$16),$D74,0)</f>
        <v>0</v>
      </c>
    </row>
    <row r="75" spans="2:15" hidden="1" x14ac:dyDescent="0.2">
      <c r="B75" t="s">
        <v>417</v>
      </c>
      <c r="C75" t="s">
        <v>77</v>
      </c>
      <c r="D75">
        <v>0</v>
      </c>
      <c r="F75">
        <f>IF(AND($C75 = Temp!$B$1, $B75 = Temp!$A$16),$D75,0)</f>
        <v>0</v>
      </c>
      <c r="G75">
        <f>IF(AND($C75 = Temp!$C$1, $B75 = Temp!$A$16),$D75,0)</f>
        <v>0</v>
      </c>
      <c r="H75">
        <f>IF(AND($C75 = Temp!$D$1, $B75 = Temp!$A$16),$D75,0)</f>
        <v>0</v>
      </c>
      <c r="I75">
        <f>IF(AND($C75 = Temp!$E$1, $B75 = Temp!$A$16),$D75,0)</f>
        <v>0</v>
      </c>
      <c r="J75">
        <f>IF(AND($C75 = Temp!$F$1, $B75 = Temp!$A$16),$D75,0)</f>
        <v>0</v>
      </c>
      <c r="K75">
        <f>IF(AND($C75 = Temp!$G$1, $B75 = Temp!$A$16),$D75,0)</f>
        <v>0</v>
      </c>
      <c r="L75">
        <f>IF(AND($C75 = Temp!$H$1, $B75 = Temp!$A$16),$D75,0)</f>
        <v>0</v>
      </c>
      <c r="M75">
        <f>IF(AND($C75 = Temp!$I$1, $B75 = Temp!$A$16),$D75,0)</f>
        <v>0</v>
      </c>
      <c r="N75">
        <f>IF(AND($C75 = Temp!$J$1, $B75 = Temp!$A$16),$D75,0)</f>
        <v>0</v>
      </c>
      <c r="O75">
        <f>IF(AND($C75 = Temp!$K$1, $B75 = Temp!$A$16),$D75,0)</f>
        <v>0</v>
      </c>
    </row>
    <row r="76" spans="2:15" hidden="1" x14ac:dyDescent="0.2">
      <c r="B76" t="s">
        <v>417</v>
      </c>
      <c r="C76" t="s">
        <v>77</v>
      </c>
      <c r="D76">
        <v>0</v>
      </c>
      <c r="F76">
        <f>IF(AND($C76 = Temp!$B$1, $B76 = Temp!$A$16),$D76,0)</f>
        <v>0</v>
      </c>
      <c r="G76">
        <f>IF(AND($C76 = Temp!$C$1, $B76 = Temp!$A$16),$D76,0)</f>
        <v>0</v>
      </c>
      <c r="H76">
        <f>IF(AND($C76 = Temp!$D$1, $B76 = Temp!$A$16),$D76,0)</f>
        <v>0</v>
      </c>
      <c r="I76">
        <f>IF(AND($C76 = Temp!$E$1, $B76 = Temp!$A$16),$D76,0)</f>
        <v>0</v>
      </c>
      <c r="J76">
        <f>IF(AND($C76 = Temp!$F$1, $B76 = Temp!$A$16),$D76,0)</f>
        <v>0</v>
      </c>
      <c r="K76">
        <f>IF(AND($C76 = Temp!$G$1, $B76 = Temp!$A$16),$D76,0)</f>
        <v>0</v>
      </c>
      <c r="L76">
        <f>IF(AND($C76 = Temp!$H$1, $B76 = Temp!$A$16),$D76,0)</f>
        <v>0</v>
      </c>
      <c r="M76">
        <f>IF(AND($C76 = Temp!$I$1, $B76 = Temp!$A$16),$D76,0)</f>
        <v>0</v>
      </c>
      <c r="N76">
        <f>IF(AND($C76 = Temp!$J$1, $B76 = Temp!$A$16),$D76,0)</f>
        <v>0</v>
      </c>
      <c r="O76">
        <f>IF(AND($C76 = Temp!$K$1, $B76 = Temp!$A$16),$D76,0)</f>
        <v>0</v>
      </c>
    </row>
    <row r="77" spans="2:15" hidden="1" x14ac:dyDescent="0.2">
      <c r="B77" t="s">
        <v>417</v>
      </c>
      <c r="C77" t="s">
        <v>77</v>
      </c>
      <c r="D77">
        <v>0.25</v>
      </c>
      <c r="F77">
        <f>IF(AND($C77 = Temp!$B$1, $B77 = Temp!$A$16),$D77,0)</f>
        <v>0</v>
      </c>
      <c r="G77">
        <f>IF(AND($C77 = Temp!$C$1, $B77 = Temp!$A$16),$D77,0)</f>
        <v>0</v>
      </c>
      <c r="H77">
        <f>IF(AND($C77 = Temp!$D$1, $B77 = Temp!$A$16),$D77,0)</f>
        <v>0</v>
      </c>
      <c r="I77">
        <f>IF(AND($C77 = Temp!$E$1, $B77 = Temp!$A$16),$D77,0)</f>
        <v>0</v>
      </c>
      <c r="J77">
        <f>IF(AND($C77 = Temp!$F$1, $B77 = Temp!$A$16),$D77,0)</f>
        <v>0</v>
      </c>
      <c r="K77">
        <f>IF(AND($C77 = Temp!$G$1, $B77 = Temp!$A$16),$D77,0)</f>
        <v>0</v>
      </c>
      <c r="L77">
        <f>IF(AND($C77 = Temp!$H$1, $B77 = Temp!$A$16),$D77,0)</f>
        <v>0</v>
      </c>
      <c r="M77">
        <f>IF(AND($C77 = Temp!$I$1, $B77 = Temp!$A$16),$D77,0)</f>
        <v>0</v>
      </c>
      <c r="N77">
        <f>IF(AND($C77 = Temp!$J$1, $B77 = Temp!$A$16),$D77,0)</f>
        <v>0</v>
      </c>
      <c r="O77">
        <f>IF(AND($C77 = Temp!$K$1, $B77 = Temp!$A$16),$D77,0)</f>
        <v>0</v>
      </c>
    </row>
    <row r="78" spans="2:15" hidden="1" x14ac:dyDescent="0.2">
      <c r="B78" t="s">
        <v>417</v>
      </c>
      <c r="C78" t="s">
        <v>77</v>
      </c>
      <c r="D78">
        <v>0.25</v>
      </c>
      <c r="F78">
        <f>IF(AND($C78 = Temp!$B$1, $B78 = Temp!$A$16),$D78,0)</f>
        <v>0</v>
      </c>
      <c r="G78">
        <f>IF(AND($C78 = Temp!$C$1, $B78 = Temp!$A$16),$D78,0)</f>
        <v>0</v>
      </c>
      <c r="H78">
        <f>IF(AND($C78 = Temp!$D$1, $B78 = Temp!$A$16),$D78,0)</f>
        <v>0</v>
      </c>
      <c r="I78">
        <f>IF(AND($C78 = Temp!$E$1, $B78 = Temp!$A$16),$D78,0)</f>
        <v>0</v>
      </c>
      <c r="J78">
        <f>IF(AND($C78 = Temp!$F$1, $B78 = Temp!$A$16),$D78,0)</f>
        <v>0</v>
      </c>
      <c r="K78">
        <f>IF(AND($C78 = Temp!$G$1, $B78 = Temp!$A$16),$D78,0)</f>
        <v>0</v>
      </c>
      <c r="L78">
        <f>IF(AND($C78 = Temp!$H$1, $B78 = Temp!$A$16),$D78,0)</f>
        <v>0</v>
      </c>
      <c r="M78">
        <f>IF(AND($C78 = Temp!$I$1, $B78 = Temp!$A$16),$D78,0)</f>
        <v>0</v>
      </c>
      <c r="N78">
        <f>IF(AND($C78 = Temp!$J$1, $B78 = Temp!$A$16),$D78,0)</f>
        <v>0</v>
      </c>
      <c r="O78">
        <f>IF(AND($C78 = Temp!$K$1, $B78 = Temp!$A$16),$D78,0)</f>
        <v>0</v>
      </c>
    </row>
    <row r="79" spans="2:15" hidden="1" x14ac:dyDescent="0.2">
      <c r="B79" t="s">
        <v>417</v>
      </c>
      <c r="C79" t="s">
        <v>77</v>
      </c>
      <c r="D79">
        <v>0.25</v>
      </c>
      <c r="F79">
        <f>IF(AND($C79 = Temp!$B$1, $B79 = Temp!$A$16),$D79,0)</f>
        <v>0</v>
      </c>
      <c r="G79">
        <f>IF(AND($C79 = Temp!$C$1, $B79 = Temp!$A$16),$D79,0)</f>
        <v>0</v>
      </c>
      <c r="H79">
        <f>IF(AND($C79 = Temp!$D$1, $B79 = Temp!$A$16),$D79,0)</f>
        <v>0</v>
      </c>
      <c r="I79">
        <f>IF(AND($C79 = Temp!$E$1, $B79 = Temp!$A$16),$D79,0)</f>
        <v>0</v>
      </c>
      <c r="J79">
        <f>IF(AND($C79 = Temp!$F$1, $B79 = Temp!$A$16),$D79,0)</f>
        <v>0</v>
      </c>
      <c r="K79">
        <f>IF(AND($C79 = Temp!$G$1, $B79 = Temp!$A$16),$D79,0)</f>
        <v>0</v>
      </c>
      <c r="L79">
        <f>IF(AND($C79 = Temp!$H$1, $B79 = Temp!$A$16),$D79,0)</f>
        <v>0</v>
      </c>
      <c r="M79">
        <f>IF(AND($C79 = Temp!$I$1, $B79 = Temp!$A$16),$D79,0)</f>
        <v>0</v>
      </c>
      <c r="N79">
        <f>IF(AND($C79 = Temp!$J$1, $B79 = Temp!$A$16),$D79,0)</f>
        <v>0</v>
      </c>
      <c r="O79">
        <f>IF(AND($C79 = Temp!$K$1, $B79 = Temp!$A$16),$D79,0)</f>
        <v>0</v>
      </c>
    </row>
    <row r="80" spans="2:15" hidden="1" x14ac:dyDescent="0.2">
      <c r="B80" t="s">
        <v>417</v>
      </c>
      <c r="C80" t="s">
        <v>77</v>
      </c>
      <c r="D80">
        <v>0.25</v>
      </c>
      <c r="F80">
        <f>IF(AND($C80 = Temp!$B$1, $B80 = Temp!$A$16),$D80,0)</f>
        <v>0</v>
      </c>
      <c r="G80">
        <f>IF(AND($C80 = Temp!$C$1, $B80 = Temp!$A$16),$D80,0)</f>
        <v>0</v>
      </c>
      <c r="H80">
        <f>IF(AND($C80 = Temp!$D$1, $B80 = Temp!$A$16),$D80,0)</f>
        <v>0</v>
      </c>
      <c r="I80">
        <f>IF(AND($C80 = Temp!$E$1, $B80 = Temp!$A$16),$D80,0)</f>
        <v>0</v>
      </c>
      <c r="J80">
        <f>IF(AND($C80 = Temp!$F$1, $B80 = Temp!$A$16),$D80,0)</f>
        <v>0</v>
      </c>
      <c r="K80">
        <f>IF(AND($C80 = Temp!$G$1, $B80 = Temp!$A$16),$D80,0)</f>
        <v>0</v>
      </c>
      <c r="L80">
        <f>IF(AND($C80 = Temp!$H$1, $B80 = Temp!$A$16),$D80,0)</f>
        <v>0</v>
      </c>
      <c r="M80">
        <f>IF(AND($C80 = Temp!$I$1, $B80 = Temp!$A$16),$D80,0)</f>
        <v>0</v>
      </c>
      <c r="N80">
        <f>IF(AND($C80 = Temp!$J$1, $B80 = Temp!$A$16),$D80,0)</f>
        <v>0</v>
      </c>
      <c r="O80">
        <f>IF(AND($C80 = Temp!$K$1, $B80 = Temp!$A$16),$D80,0)</f>
        <v>0</v>
      </c>
    </row>
    <row r="81" spans="2:15" hidden="1" x14ac:dyDescent="0.2">
      <c r="B81" t="s">
        <v>417</v>
      </c>
      <c r="C81" t="s">
        <v>77</v>
      </c>
      <c r="D81">
        <v>0.25</v>
      </c>
      <c r="F81">
        <f>IF(AND($C81 = Temp!$B$1, $B81 = Temp!$A$16),$D81,0)</f>
        <v>0</v>
      </c>
      <c r="G81">
        <f>IF(AND($C81 = Temp!$C$1, $B81 = Temp!$A$16),$D81,0)</f>
        <v>0</v>
      </c>
      <c r="H81">
        <f>IF(AND($C81 = Temp!$D$1, $B81 = Temp!$A$16),$D81,0)</f>
        <v>0</v>
      </c>
      <c r="I81">
        <f>IF(AND($C81 = Temp!$E$1, $B81 = Temp!$A$16),$D81,0)</f>
        <v>0</v>
      </c>
      <c r="J81">
        <f>IF(AND($C81 = Temp!$F$1, $B81 = Temp!$A$16),$D81,0)</f>
        <v>0</v>
      </c>
      <c r="K81">
        <f>IF(AND($C81 = Temp!$G$1, $B81 = Temp!$A$16),$D81,0)</f>
        <v>0</v>
      </c>
      <c r="L81">
        <f>IF(AND($C81 = Temp!$H$1, $B81 = Temp!$A$16),$D81,0)</f>
        <v>0</v>
      </c>
      <c r="M81">
        <f>IF(AND($C81 = Temp!$I$1, $B81 = Temp!$A$16),$D81,0)</f>
        <v>0</v>
      </c>
      <c r="N81">
        <f>IF(AND($C81 = Temp!$J$1, $B81 = Temp!$A$16),$D81,0)</f>
        <v>0</v>
      </c>
      <c r="O81">
        <f>IF(AND($C81 = Temp!$K$1, $B81 = Temp!$A$16),$D81,0)</f>
        <v>0</v>
      </c>
    </row>
    <row r="82" spans="2:15" hidden="1" x14ac:dyDescent="0.2">
      <c r="B82" t="s">
        <v>417</v>
      </c>
      <c r="C82" t="s">
        <v>77</v>
      </c>
      <c r="D82">
        <v>26</v>
      </c>
      <c r="F82">
        <f>IF(AND($C82 = Temp!$B$1, $B82 = Temp!$A$16),$D82,0)</f>
        <v>0</v>
      </c>
      <c r="G82">
        <f>IF(AND($C82 = Temp!$C$1, $B82 = Temp!$A$16),$D82,0)</f>
        <v>0</v>
      </c>
      <c r="H82">
        <f>IF(AND($C82 = Temp!$D$1, $B82 = Temp!$A$16),$D82,0)</f>
        <v>0</v>
      </c>
      <c r="I82">
        <f>IF(AND($C82 = Temp!$E$1, $B82 = Temp!$A$16),$D82,0)</f>
        <v>0</v>
      </c>
      <c r="J82">
        <f>IF(AND($C82 = Temp!$F$1, $B82 = Temp!$A$16),$D82,0)</f>
        <v>0</v>
      </c>
      <c r="K82">
        <f>IF(AND($C82 = Temp!$G$1, $B82 = Temp!$A$16),$D82,0)</f>
        <v>0</v>
      </c>
      <c r="L82">
        <f>IF(AND($C82 = Temp!$H$1, $B82 = Temp!$A$16),$D82,0)</f>
        <v>0</v>
      </c>
      <c r="M82">
        <f>IF(AND($C82 = Temp!$I$1, $B82 = Temp!$A$16),$D82,0)</f>
        <v>0</v>
      </c>
      <c r="N82">
        <f>IF(AND($C82 = Temp!$J$1, $B82 = Temp!$A$16),$D82,0)</f>
        <v>0</v>
      </c>
      <c r="O82">
        <f>IF(AND($C82 = Temp!$K$1, $B82 = Temp!$A$16),$D82,0)</f>
        <v>0</v>
      </c>
    </row>
    <row r="83" spans="2:15" hidden="1" x14ac:dyDescent="0.2">
      <c r="B83" t="s">
        <v>417</v>
      </c>
      <c r="C83" t="s">
        <v>77</v>
      </c>
      <c r="D83">
        <v>0.25</v>
      </c>
      <c r="F83">
        <f>IF(AND($C83 = Temp!$B$1, $B83 = Temp!$A$16),$D83,0)</f>
        <v>0</v>
      </c>
      <c r="G83">
        <f>IF(AND($C83 = Temp!$C$1, $B83 = Temp!$A$16),$D83,0)</f>
        <v>0</v>
      </c>
      <c r="H83">
        <f>IF(AND($C83 = Temp!$D$1, $B83 = Temp!$A$16),$D83,0)</f>
        <v>0</v>
      </c>
      <c r="I83">
        <f>IF(AND($C83 = Temp!$E$1, $B83 = Temp!$A$16),$D83,0)</f>
        <v>0</v>
      </c>
      <c r="J83">
        <f>IF(AND($C83 = Temp!$F$1, $B83 = Temp!$A$16),$D83,0)</f>
        <v>0</v>
      </c>
      <c r="K83">
        <f>IF(AND($C83 = Temp!$G$1, $B83 = Temp!$A$16),$D83,0)</f>
        <v>0</v>
      </c>
      <c r="L83">
        <f>IF(AND($C83 = Temp!$H$1, $B83 = Temp!$A$16),$D83,0)</f>
        <v>0</v>
      </c>
      <c r="M83">
        <f>IF(AND($C83 = Temp!$I$1, $B83 = Temp!$A$16),$D83,0)</f>
        <v>0</v>
      </c>
      <c r="N83">
        <f>IF(AND($C83 = Temp!$J$1, $B83 = Temp!$A$16),$D83,0)</f>
        <v>0</v>
      </c>
      <c r="O83">
        <f>IF(AND($C83 = Temp!$K$1, $B83 = Temp!$A$16),$D83,0)</f>
        <v>0</v>
      </c>
    </row>
    <row r="84" spans="2:15" hidden="1" x14ac:dyDescent="0.2">
      <c r="B84" t="s">
        <v>417</v>
      </c>
      <c r="C84" t="s">
        <v>77</v>
      </c>
      <c r="D84">
        <v>0</v>
      </c>
      <c r="F84">
        <f>IF(AND($C84 = Temp!$B$1, $B84 = Temp!$A$16),$D84,0)</f>
        <v>0</v>
      </c>
      <c r="G84">
        <f>IF(AND($C84 = Temp!$C$1, $B84 = Temp!$A$16),$D84,0)</f>
        <v>0</v>
      </c>
      <c r="H84">
        <f>IF(AND($C84 = Temp!$D$1, $B84 = Temp!$A$16),$D84,0)</f>
        <v>0</v>
      </c>
      <c r="I84">
        <f>IF(AND($C84 = Temp!$E$1, $B84 = Temp!$A$16),$D84,0)</f>
        <v>0</v>
      </c>
      <c r="J84">
        <f>IF(AND($C84 = Temp!$F$1, $B84 = Temp!$A$16),$D84,0)</f>
        <v>0</v>
      </c>
      <c r="K84">
        <f>IF(AND($C84 = Temp!$G$1, $B84 = Temp!$A$16),$D84,0)</f>
        <v>0</v>
      </c>
      <c r="L84">
        <f>IF(AND($C84 = Temp!$H$1, $B84 = Temp!$A$16),$D84,0)</f>
        <v>0</v>
      </c>
      <c r="M84">
        <f>IF(AND($C84 = Temp!$I$1, $B84 = Temp!$A$16),$D84,0)</f>
        <v>0</v>
      </c>
      <c r="N84">
        <f>IF(AND($C84 = Temp!$J$1, $B84 = Temp!$A$16),$D84,0)</f>
        <v>0</v>
      </c>
      <c r="O84">
        <f>IF(AND($C84 = Temp!$K$1, $B84 = Temp!$A$16),$D84,0)</f>
        <v>0</v>
      </c>
    </row>
    <row r="85" spans="2:15" hidden="1" x14ac:dyDescent="0.2">
      <c r="B85" t="s">
        <v>417</v>
      </c>
      <c r="C85" t="s">
        <v>40</v>
      </c>
      <c r="D85">
        <v>0.1</v>
      </c>
      <c r="F85">
        <f>IF(AND($C85 = Temp!$B$1, $B85 = Temp!$A$16),$D85,0)</f>
        <v>0</v>
      </c>
      <c r="G85">
        <f>IF(AND($C85 = Temp!$C$1, $B85 = Temp!$A$16),$D85,0)</f>
        <v>0</v>
      </c>
      <c r="H85">
        <f>IF(AND($C85 = Temp!$D$1, $B85 = Temp!$A$16),$D85,0)</f>
        <v>0</v>
      </c>
      <c r="I85">
        <f>IF(AND($C85 = Temp!$E$1, $B85 = Temp!$A$16),$D85,0)</f>
        <v>0</v>
      </c>
      <c r="J85">
        <f>IF(AND($C85 = Temp!$F$1, $B85 = Temp!$A$16),$D85,0)</f>
        <v>0</v>
      </c>
      <c r="K85">
        <f>IF(AND($C85 = Temp!$G$1, $B85 = Temp!$A$16),$D85,0)</f>
        <v>0</v>
      </c>
      <c r="L85">
        <f>IF(AND($C85 = Temp!$H$1, $B85 = Temp!$A$16),$D85,0)</f>
        <v>0</v>
      </c>
      <c r="M85">
        <f>IF(AND($C85 = Temp!$I$1, $B85 = Temp!$A$16),$D85,0)</f>
        <v>0</v>
      </c>
      <c r="N85">
        <f>IF(AND($C85 = Temp!$J$1, $B85 = Temp!$A$16),$D85,0)</f>
        <v>0</v>
      </c>
      <c r="O85">
        <f>IF(AND($C85 = Temp!$K$1, $B85 = Temp!$A$16),$D85,0)</f>
        <v>0</v>
      </c>
    </row>
    <row r="86" spans="2:15" hidden="1" x14ac:dyDescent="0.2">
      <c r="B86" t="s">
        <v>417</v>
      </c>
      <c r="C86" t="s">
        <v>40</v>
      </c>
      <c r="D86">
        <v>1</v>
      </c>
      <c r="F86">
        <f>IF(AND($C86 = Temp!$B$1, $B86 = Temp!$A$16),$D86,0)</f>
        <v>0</v>
      </c>
      <c r="G86">
        <f>IF(AND($C86 = Temp!$C$1, $B86 = Temp!$A$16),$D86,0)</f>
        <v>0</v>
      </c>
      <c r="H86">
        <f>IF(AND($C86 = Temp!$D$1, $B86 = Temp!$A$16),$D86,0)</f>
        <v>0</v>
      </c>
      <c r="I86">
        <f>IF(AND($C86 = Temp!$E$1, $B86 = Temp!$A$16),$D86,0)</f>
        <v>0</v>
      </c>
      <c r="J86">
        <f>IF(AND($C86 = Temp!$F$1, $B86 = Temp!$A$16),$D86,0)</f>
        <v>0</v>
      </c>
      <c r="K86">
        <f>IF(AND($C86 = Temp!$G$1, $B86 = Temp!$A$16),$D86,0)</f>
        <v>0</v>
      </c>
      <c r="L86">
        <f>IF(AND($C86 = Temp!$H$1, $B86 = Temp!$A$16),$D86,0)</f>
        <v>0</v>
      </c>
      <c r="M86">
        <f>IF(AND($C86 = Temp!$I$1, $B86 = Temp!$A$16),$D86,0)</f>
        <v>0</v>
      </c>
      <c r="N86">
        <f>IF(AND($C86 = Temp!$J$1, $B86 = Temp!$A$16),$D86,0)</f>
        <v>0</v>
      </c>
      <c r="O86">
        <f>IF(AND($C86 = Temp!$K$1, $B86 = Temp!$A$16),$D86,0)</f>
        <v>0</v>
      </c>
    </row>
    <row r="87" spans="2:15" hidden="1" x14ac:dyDescent="0.2">
      <c r="B87" t="s">
        <v>417</v>
      </c>
      <c r="C87" t="s">
        <v>40</v>
      </c>
      <c r="D87">
        <v>0.5</v>
      </c>
      <c r="F87">
        <f>IF(AND($C87 = Temp!$B$1, $B87 = Temp!$A$16),$D87,0)</f>
        <v>0</v>
      </c>
      <c r="G87">
        <f>IF(AND($C87 = Temp!$C$1, $B87 = Temp!$A$16),$D87,0)</f>
        <v>0</v>
      </c>
      <c r="H87">
        <f>IF(AND($C87 = Temp!$D$1, $B87 = Temp!$A$16),$D87,0)</f>
        <v>0</v>
      </c>
      <c r="I87">
        <f>IF(AND($C87 = Temp!$E$1, $B87 = Temp!$A$16),$D87,0)</f>
        <v>0</v>
      </c>
      <c r="J87">
        <f>IF(AND($C87 = Temp!$F$1, $B87 = Temp!$A$16),$D87,0)</f>
        <v>0</v>
      </c>
      <c r="K87">
        <f>IF(AND($C87 = Temp!$G$1, $B87 = Temp!$A$16),$D87,0)</f>
        <v>0</v>
      </c>
      <c r="L87">
        <f>IF(AND($C87 = Temp!$H$1, $B87 = Temp!$A$16),$D87,0)</f>
        <v>0</v>
      </c>
      <c r="M87">
        <f>IF(AND($C87 = Temp!$I$1, $B87 = Temp!$A$16),$D87,0)</f>
        <v>0</v>
      </c>
      <c r="N87">
        <f>IF(AND($C87 = Temp!$J$1, $B87 = Temp!$A$16),$D87,0)</f>
        <v>0</v>
      </c>
      <c r="O87">
        <f>IF(AND($C87 = Temp!$K$1, $B87 = Temp!$A$16),$D87,0)</f>
        <v>0</v>
      </c>
    </row>
    <row r="88" spans="2:15" hidden="1" x14ac:dyDescent="0.2">
      <c r="B88" t="s">
        <v>417</v>
      </c>
      <c r="C88" t="s">
        <v>40</v>
      </c>
      <c r="D88">
        <v>0.25</v>
      </c>
      <c r="F88">
        <f>IF(AND($C88 = Temp!$B$1, $B88 = Temp!$A$16),$D88,0)</f>
        <v>0</v>
      </c>
      <c r="G88">
        <f>IF(AND($C88 = Temp!$C$1, $B88 = Temp!$A$16),$D88,0)</f>
        <v>0</v>
      </c>
      <c r="H88">
        <f>IF(AND($C88 = Temp!$D$1, $B88 = Temp!$A$16),$D88,0)</f>
        <v>0</v>
      </c>
      <c r="I88">
        <f>IF(AND($C88 = Temp!$E$1, $B88 = Temp!$A$16),$D88,0)</f>
        <v>0</v>
      </c>
      <c r="J88">
        <f>IF(AND($C88 = Temp!$F$1, $B88 = Temp!$A$16),$D88,0)</f>
        <v>0</v>
      </c>
      <c r="K88">
        <f>IF(AND($C88 = Temp!$G$1, $B88 = Temp!$A$16),$D88,0)</f>
        <v>0</v>
      </c>
      <c r="L88">
        <f>IF(AND($C88 = Temp!$H$1, $B88 = Temp!$A$16),$D88,0)</f>
        <v>0</v>
      </c>
      <c r="M88">
        <f>IF(AND($C88 = Temp!$I$1, $B88 = Temp!$A$16),$D88,0)</f>
        <v>0</v>
      </c>
      <c r="N88">
        <f>IF(AND($C88 = Temp!$J$1, $B88 = Temp!$A$16),$D88,0)</f>
        <v>0</v>
      </c>
      <c r="O88">
        <f>IF(AND($C88 = Temp!$K$1, $B88 = Temp!$A$16),$D88,0)</f>
        <v>0</v>
      </c>
    </row>
    <row r="89" spans="2:15" hidden="1" x14ac:dyDescent="0.2">
      <c r="B89" t="s">
        <v>417</v>
      </c>
      <c r="C89" t="s">
        <v>40</v>
      </c>
      <c r="D89">
        <v>0</v>
      </c>
      <c r="F89">
        <f>IF(AND($C89 = Temp!$B$1, $B89 = Temp!$A$16),$D89,0)</f>
        <v>0</v>
      </c>
      <c r="G89">
        <f>IF(AND($C89 = Temp!$C$1, $B89 = Temp!$A$16),$D89,0)</f>
        <v>0</v>
      </c>
      <c r="H89">
        <f>IF(AND($C89 = Temp!$D$1, $B89 = Temp!$A$16),$D89,0)</f>
        <v>0</v>
      </c>
      <c r="I89">
        <f>IF(AND($C89 = Temp!$E$1, $B89 = Temp!$A$16),$D89,0)</f>
        <v>0</v>
      </c>
      <c r="J89">
        <f>IF(AND($C89 = Temp!$F$1, $B89 = Temp!$A$16),$D89,0)</f>
        <v>0</v>
      </c>
      <c r="K89">
        <f>IF(AND($C89 = Temp!$G$1, $B89 = Temp!$A$16),$D89,0)</f>
        <v>0</v>
      </c>
      <c r="L89">
        <f>IF(AND($C89 = Temp!$H$1, $B89 = Temp!$A$16),$D89,0)</f>
        <v>0</v>
      </c>
      <c r="M89">
        <f>IF(AND($C89 = Temp!$I$1, $B89 = Temp!$A$16),$D89,0)</f>
        <v>0</v>
      </c>
      <c r="N89">
        <f>IF(AND($C89 = Temp!$J$1, $B89 = Temp!$A$16),$D89,0)</f>
        <v>0</v>
      </c>
      <c r="O89">
        <f>IF(AND($C89 = Temp!$K$1, $B89 = Temp!$A$16),$D89,0)</f>
        <v>0</v>
      </c>
    </row>
    <row r="90" spans="2:15" hidden="1" x14ac:dyDescent="0.2">
      <c r="B90" t="s">
        <v>417</v>
      </c>
      <c r="C90" t="s">
        <v>40</v>
      </c>
      <c r="D90">
        <v>0.08</v>
      </c>
      <c r="F90">
        <f>IF(AND($C90 = Temp!$B$1, $B90 = Temp!$A$16),$D90,0)</f>
        <v>0</v>
      </c>
      <c r="G90">
        <f>IF(AND($C90 = Temp!$C$1, $B90 = Temp!$A$16),$D90,0)</f>
        <v>0</v>
      </c>
      <c r="H90">
        <f>IF(AND($C90 = Temp!$D$1, $B90 = Temp!$A$16),$D90,0)</f>
        <v>0</v>
      </c>
      <c r="I90">
        <f>IF(AND($C90 = Temp!$E$1, $B90 = Temp!$A$16),$D90,0)</f>
        <v>0</v>
      </c>
      <c r="J90">
        <f>IF(AND($C90 = Temp!$F$1, $B90 = Temp!$A$16),$D90,0)</f>
        <v>0</v>
      </c>
      <c r="K90">
        <f>IF(AND($C90 = Temp!$G$1, $B90 = Temp!$A$16),$D90,0)</f>
        <v>0</v>
      </c>
      <c r="L90">
        <f>IF(AND($C90 = Temp!$H$1, $B90 = Temp!$A$16),$D90,0)</f>
        <v>0</v>
      </c>
      <c r="M90">
        <f>IF(AND($C90 = Temp!$I$1, $B90 = Temp!$A$16),$D90,0)</f>
        <v>0</v>
      </c>
      <c r="N90">
        <f>IF(AND($C90 = Temp!$J$1, $B90 = Temp!$A$16),$D90,0)</f>
        <v>0</v>
      </c>
      <c r="O90">
        <f>IF(AND($C90 = Temp!$K$1, $B90 = Temp!$A$16),$D90,0)</f>
        <v>0</v>
      </c>
    </row>
    <row r="91" spans="2:15" hidden="1" x14ac:dyDescent="0.2">
      <c r="B91" t="s">
        <v>417</v>
      </c>
      <c r="C91" t="s">
        <v>40</v>
      </c>
      <c r="D91">
        <v>0.12</v>
      </c>
      <c r="F91">
        <f>IF(AND($C91 = Temp!$B$1, $B91 = Temp!$A$16),$D91,0)</f>
        <v>0</v>
      </c>
      <c r="G91">
        <f>IF(AND($C91 = Temp!$C$1, $B91 = Temp!$A$16),$D91,0)</f>
        <v>0</v>
      </c>
      <c r="H91">
        <f>IF(AND($C91 = Temp!$D$1, $B91 = Temp!$A$16),$D91,0)</f>
        <v>0</v>
      </c>
      <c r="I91">
        <f>IF(AND($C91 = Temp!$E$1, $B91 = Temp!$A$16),$D91,0)</f>
        <v>0</v>
      </c>
      <c r="J91">
        <f>IF(AND($C91 = Temp!$F$1, $B91 = Temp!$A$16),$D91,0)</f>
        <v>0</v>
      </c>
      <c r="K91">
        <f>IF(AND($C91 = Temp!$G$1, $B91 = Temp!$A$16),$D91,0)</f>
        <v>0</v>
      </c>
      <c r="L91">
        <f>IF(AND($C91 = Temp!$H$1, $B91 = Temp!$A$16),$D91,0)</f>
        <v>0</v>
      </c>
      <c r="M91">
        <f>IF(AND($C91 = Temp!$I$1, $B91 = Temp!$A$16),$D91,0)</f>
        <v>0</v>
      </c>
      <c r="N91">
        <f>IF(AND($C91 = Temp!$J$1, $B91 = Temp!$A$16),$D91,0)</f>
        <v>0</v>
      </c>
      <c r="O91">
        <f>IF(AND($C91 = Temp!$K$1, $B91 = Temp!$A$16),$D91,0)</f>
        <v>0</v>
      </c>
    </row>
    <row r="92" spans="2:15" hidden="1" x14ac:dyDescent="0.2">
      <c r="B92" t="s">
        <v>417</v>
      </c>
      <c r="C92" t="s">
        <v>40</v>
      </c>
      <c r="D92">
        <v>0.12</v>
      </c>
      <c r="F92">
        <f>IF(AND($C92 = Temp!$B$1, $B92 = Temp!$A$16),$D92,0)</f>
        <v>0</v>
      </c>
      <c r="G92">
        <f>IF(AND($C92 = Temp!$C$1, $B92 = Temp!$A$16),$D92,0)</f>
        <v>0</v>
      </c>
      <c r="H92">
        <f>IF(AND($C92 = Temp!$D$1, $B92 = Temp!$A$16),$D92,0)</f>
        <v>0</v>
      </c>
      <c r="I92">
        <f>IF(AND($C92 = Temp!$E$1, $B92 = Temp!$A$16),$D92,0)</f>
        <v>0</v>
      </c>
      <c r="J92">
        <f>IF(AND($C92 = Temp!$F$1, $B92 = Temp!$A$16),$D92,0)</f>
        <v>0</v>
      </c>
      <c r="K92">
        <f>IF(AND($C92 = Temp!$G$1, $B92 = Temp!$A$16),$D92,0)</f>
        <v>0</v>
      </c>
      <c r="L92">
        <f>IF(AND($C92 = Temp!$H$1, $B92 = Temp!$A$16),$D92,0)</f>
        <v>0</v>
      </c>
      <c r="M92">
        <f>IF(AND($C92 = Temp!$I$1, $B92 = Temp!$A$16),$D92,0)</f>
        <v>0</v>
      </c>
      <c r="N92">
        <f>IF(AND($C92 = Temp!$J$1, $B92 = Temp!$A$16),$D92,0)</f>
        <v>0</v>
      </c>
      <c r="O92">
        <f>IF(AND($C92 = Temp!$K$1, $B92 = Temp!$A$16),$D92,0)</f>
        <v>0</v>
      </c>
    </row>
    <row r="93" spans="2:15" hidden="1" x14ac:dyDescent="0.2">
      <c r="B93" t="s">
        <v>417</v>
      </c>
      <c r="C93" t="s">
        <v>40</v>
      </c>
      <c r="D93">
        <v>0.12</v>
      </c>
      <c r="F93">
        <f>IF(AND($C93 = Temp!$B$1, $B93 = Temp!$A$16),$D93,0)</f>
        <v>0</v>
      </c>
      <c r="G93">
        <f>IF(AND($C93 = Temp!$C$1, $B93 = Temp!$A$16),$D93,0)</f>
        <v>0</v>
      </c>
      <c r="H93">
        <f>IF(AND($C93 = Temp!$D$1, $B93 = Temp!$A$16),$D93,0)</f>
        <v>0</v>
      </c>
      <c r="I93">
        <f>IF(AND($C93 = Temp!$E$1, $B93 = Temp!$A$16),$D93,0)</f>
        <v>0</v>
      </c>
      <c r="J93">
        <f>IF(AND($C93 = Temp!$F$1, $B93 = Temp!$A$16),$D93,0)</f>
        <v>0</v>
      </c>
      <c r="K93">
        <f>IF(AND($C93 = Temp!$G$1, $B93 = Temp!$A$16),$D93,0)</f>
        <v>0</v>
      </c>
      <c r="L93">
        <f>IF(AND($C93 = Temp!$H$1, $B93 = Temp!$A$16),$D93,0)</f>
        <v>0</v>
      </c>
      <c r="M93">
        <f>IF(AND($C93 = Temp!$I$1, $B93 = Temp!$A$16),$D93,0)</f>
        <v>0</v>
      </c>
      <c r="N93">
        <f>IF(AND($C93 = Temp!$J$1, $B93 = Temp!$A$16),$D93,0)</f>
        <v>0</v>
      </c>
      <c r="O93">
        <f>IF(AND($C93 = Temp!$K$1, $B93 = Temp!$A$16),$D93,0)</f>
        <v>0</v>
      </c>
    </row>
    <row r="94" spans="2:15" hidden="1" x14ac:dyDescent="0.2">
      <c r="B94" t="s">
        <v>417</v>
      </c>
      <c r="C94" t="s">
        <v>40</v>
      </c>
      <c r="D94">
        <v>1</v>
      </c>
      <c r="F94">
        <f>IF(AND($C94 = Temp!$B$1, $B94 = Temp!$A$16),$D94,0)</f>
        <v>0</v>
      </c>
      <c r="G94">
        <f>IF(AND($C94 = Temp!$C$1, $B94 = Temp!$A$16),$D94,0)</f>
        <v>0</v>
      </c>
      <c r="H94">
        <f>IF(AND($C94 = Temp!$D$1, $B94 = Temp!$A$16),$D94,0)</f>
        <v>0</v>
      </c>
      <c r="I94">
        <f>IF(AND($C94 = Temp!$E$1, $B94 = Temp!$A$16),$D94,0)</f>
        <v>0</v>
      </c>
      <c r="J94">
        <f>IF(AND($C94 = Temp!$F$1, $B94 = Temp!$A$16),$D94,0)</f>
        <v>0</v>
      </c>
      <c r="K94">
        <f>IF(AND($C94 = Temp!$G$1, $B94 = Temp!$A$16),$D94,0)</f>
        <v>0</v>
      </c>
      <c r="L94">
        <f>IF(AND($C94 = Temp!$H$1, $B94 = Temp!$A$16),$D94,0)</f>
        <v>0</v>
      </c>
      <c r="M94">
        <f>IF(AND($C94 = Temp!$I$1, $B94 = Temp!$A$16),$D94,0)</f>
        <v>0</v>
      </c>
      <c r="N94">
        <f>IF(AND($C94 = Temp!$J$1, $B94 = Temp!$A$16),$D94,0)</f>
        <v>0</v>
      </c>
      <c r="O94">
        <f>IF(AND($C94 = Temp!$K$1, $B94 = Temp!$A$16),$D94,0)</f>
        <v>0</v>
      </c>
    </row>
    <row r="95" spans="2:15" hidden="1" x14ac:dyDescent="0.2">
      <c r="B95" t="s">
        <v>417</v>
      </c>
      <c r="C95" t="s">
        <v>40</v>
      </c>
      <c r="D95">
        <v>0.25</v>
      </c>
      <c r="F95">
        <f>IF(AND($C95 = Temp!$B$1, $B95 = Temp!$A$16),$D95,0)</f>
        <v>0</v>
      </c>
      <c r="G95">
        <f>IF(AND($C95 = Temp!$C$1, $B95 = Temp!$A$16),$D95,0)</f>
        <v>0</v>
      </c>
      <c r="H95">
        <f>IF(AND($C95 = Temp!$D$1, $B95 = Temp!$A$16),$D95,0)</f>
        <v>0</v>
      </c>
      <c r="I95">
        <f>IF(AND($C95 = Temp!$E$1, $B95 = Temp!$A$16),$D95,0)</f>
        <v>0</v>
      </c>
      <c r="J95">
        <f>IF(AND($C95 = Temp!$F$1, $B95 = Temp!$A$16),$D95,0)</f>
        <v>0</v>
      </c>
      <c r="K95">
        <f>IF(AND($C95 = Temp!$G$1, $B95 = Temp!$A$16),$D95,0)</f>
        <v>0</v>
      </c>
      <c r="L95">
        <f>IF(AND($C95 = Temp!$H$1, $B95 = Temp!$A$16),$D95,0)</f>
        <v>0</v>
      </c>
      <c r="M95">
        <f>IF(AND($C95 = Temp!$I$1, $B95 = Temp!$A$16),$D95,0)</f>
        <v>0</v>
      </c>
      <c r="N95">
        <f>IF(AND($C95 = Temp!$J$1, $B95 = Temp!$A$16),$D95,0)</f>
        <v>0</v>
      </c>
      <c r="O95">
        <f>IF(AND($C95 = Temp!$K$1, $B95 = Temp!$A$16),$D95,0)</f>
        <v>0</v>
      </c>
    </row>
    <row r="96" spans="2:15" hidden="1" x14ac:dyDescent="0.2">
      <c r="B96" t="s">
        <v>417</v>
      </c>
      <c r="C96" t="s">
        <v>40</v>
      </c>
      <c r="D96">
        <v>0</v>
      </c>
      <c r="F96">
        <f>IF(AND($C96 = Temp!$B$1, $B96 = Temp!$A$16),$D96,0)</f>
        <v>0</v>
      </c>
      <c r="G96">
        <f>IF(AND($C96 = Temp!$C$1, $B96 = Temp!$A$16),$D96,0)</f>
        <v>0</v>
      </c>
      <c r="H96">
        <f>IF(AND($C96 = Temp!$D$1, $B96 = Temp!$A$16),$D96,0)</f>
        <v>0</v>
      </c>
      <c r="I96">
        <f>IF(AND($C96 = Temp!$E$1, $B96 = Temp!$A$16),$D96,0)</f>
        <v>0</v>
      </c>
      <c r="J96">
        <f>IF(AND($C96 = Temp!$F$1, $B96 = Temp!$A$16),$D96,0)</f>
        <v>0</v>
      </c>
      <c r="K96">
        <f>IF(AND($C96 = Temp!$G$1, $B96 = Temp!$A$16),$D96,0)</f>
        <v>0</v>
      </c>
      <c r="L96">
        <f>IF(AND($C96 = Temp!$H$1, $B96 = Temp!$A$16),$D96,0)</f>
        <v>0</v>
      </c>
      <c r="M96">
        <f>IF(AND($C96 = Temp!$I$1, $B96 = Temp!$A$16),$D96,0)</f>
        <v>0</v>
      </c>
      <c r="N96">
        <f>IF(AND($C96 = Temp!$J$1, $B96 = Temp!$A$16),$D96,0)</f>
        <v>0</v>
      </c>
      <c r="O96">
        <f>IF(AND($C96 = Temp!$K$1, $B96 = Temp!$A$16),$D96,0)</f>
        <v>0</v>
      </c>
    </row>
    <row r="97" spans="2:15" hidden="1" x14ac:dyDescent="0.2">
      <c r="B97" t="s">
        <v>417</v>
      </c>
      <c r="C97" t="s">
        <v>40</v>
      </c>
      <c r="D97">
        <v>0.5</v>
      </c>
      <c r="F97">
        <f>IF(AND($C97 = Temp!$B$1, $B97 = Temp!$A$16),$D97,0)</f>
        <v>0</v>
      </c>
      <c r="G97">
        <f>IF(AND($C97 = Temp!$C$1, $B97 = Temp!$A$16),$D97,0)</f>
        <v>0</v>
      </c>
      <c r="H97">
        <f>IF(AND($C97 = Temp!$D$1, $B97 = Temp!$A$16),$D97,0)</f>
        <v>0</v>
      </c>
      <c r="I97">
        <f>IF(AND($C97 = Temp!$E$1, $B97 = Temp!$A$16),$D97,0)</f>
        <v>0</v>
      </c>
      <c r="J97">
        <f>IF(AND($C97 = Temp!$F$1, $B97 = Temp!$A$16),$D97,0)</f>
        <v>0</v>
      </c>
      <c r="K97">
        <f>IF(AND($C97 = Temp!$G$1, $B97 = Temp!$A$16),$D97,0)</f>
        <v>0</v>
      </c>
      <c r="L97">
        <f>IF(AND($C97 = Temp!$H$1, $B97 = Temp!$A$16),$D97,0)</f>
        <v>0</v>
      </c>
      <c r="M97">
        <f>IF(AND($C97 = Temp!$I$1, $B97 = Temp!$A$16),$D97,0)</f>
        <v>0</v>
      </c>
      <c r="N97">
        <f>IF(AND($C97 = Temp!$J$1, $B97 = Temp!$A$16),$D97,0)</f>
        <v>0</v>
      </c>
      <c r="O97">
        <f>IF(AND($C97 = Temp!$K$1, $B97 = Temp!$A$16),$D97,0)</f>
        <v>0</v>
      </c>
    </row>
    <row r="98" spans="2:15" hidden="1" x14ac:dyDescent="0.2">
      <c r="B98" t="s">
        <v>417</v>
      </c>
      <c r="C98" t="s">
        <v>40</v>
      </c>
      <c r="D98">
        <v>2</v>
      </c>
      <c r="F98">
        <f>IF(AND($C98 = Temp!$B$1, $B98 = Temp!$A$16),$D98,0)</f>
        <v>0</v>
      </c>
      <c r="G98">
        <f>IF(AND($C98 = Temp!$C$1, $B98 = Temp!$A$16),$D98,0)</f>
        <v>0</v>
      </c>
      <c r="H98">
        <f>IF(AND($C98 = Temp!$D$1, $B98 = Temp!$A$16),$D98,0)</f>
        <v>0</v>
      </c>
      <c r="I98">
        <f>IF(AND($C98 = Temp!$E$1, $B98 = Temp!$A$16),$D98,0)</f>
        <v>0</v>
      </c>
      <c r="J98">
        <f>IF(AND($C98 = Temp!$F$1, $B98 = Temp!$A$16),$D98,0)</f>
        <v>0</v>
      </c>
      <c r="K98">
        <f>IF(AND($C98 = Temp!$G$1, $B98 = Temp!$A$16),$D98,0)</f>
        <v>0</v>
      </c>
      <c r="L98">
        <f>IF(AND($C98 = Temp!$H$1, $B98 = Temp!$A$16),$D98,0)</f>
        <v>0</v>
      </c>
      <c r="M98">
        <f>IF(AND($C98 = Temp!$I$1, $B98 = Temp!$A$16),$D98,0)</f>
        <v>0</v>
      </c>
      <c r="N98">
        <f>IF(AND($C98 = Temp!$J$1, $B98 = Temp!$A$16),$D98,0)</f>
        <v>0</v>
      </c>
      <c r="O98">
        <f>IF(AND($C98 = Temp!$K$1, $B98 = Temp!$A$16),$D98,0)</f>
        <v>0</v>
      </c>
    </row>
    <row r="99" spans="2:15" hidden="1" x14ac:dyDescent="0.2">
      <c r="B99" t="s">
        <v>417</v>
      </c>
      <c r="C99" t="s">
        <v>40</v>
      </c>
      <c r="D99">
        <v>0.08</v>
      </c>
      <c r="F99">
        <f>IF(AND($C99 = Temp!$B$1, $B99 = Temp!$A$16),$D99,0)</f>
        <v>0</v>
      </c>
      <c r="G99">
        <f>IF(AND($C99 = Temp!$C$1, $B99 = Temp!$A$16),$D99,0)</f>
        <v>0</v>
      </c>
      <c r="H99">
        <f>IF(AND($C99 = Temp!$D$1, $B99 = Temp!$A$16),$D99,0)</f>
        <v>0</v>
      </c>
      <c r="I99">
        <f>IF(AND($C99 = Temp!$E$1, $B99 = Temp!$A$16),$D99,0)</f>
        <v>0</v>
      </c>
      <c r="J99">
        <f>IF(AND($C99 = Temp!$F$1, $B99 = Temp!$A$16),$D99,0)</f>
        <v>0</v>
      </c>
      <c r="K99">
        <f>IF(AND($C99 = Temp!$G$1, $B99 = Temp!$A$16),$D99,0)</f>
        <v>0</v>
      </c>
      <c r="L99">
        <f>IF(AND($C99 = Temp!$H$1, $B99 = Temp!$A$16),$D99,0)</f>
        <v>0</v>
      </c>
      <c r="M99">
        <f>IF(AND($C99 = Temp!$I$1, $B99 = Temp!$A$16),$D99,0)</f>
        <v>0</v>
      </c>
      <c r="N99">
        <f>IF(AND($C99 = Temp!$J$1, $B99 = Temp!$A$16),$D99,0)</f>
        <v>0</v>
      </c>
      <c r="O99">
        <f>IF(AND($C99 = Temp!$K$1, $B99 = Temp!$A$16),$D99,0)</f>
        <v>0</v>
      </c>
    </row>
    <row r="100" spans="2:15" hidden="1" x14ac:dyDescent="0.2">
      <c r="B100" t="s">
        <v>417</v>
      </c>
      <c r="C100" t="s">
        <v>40</v>
      </c>
      <c r="D100">
        <v>0.08</v>
      </c>
      <c r="F100">
        <f>IF(AND($C100 = Temp!$B$1, $B100 = Temp!$A$16),$D100,0)</f>
        <v>0</v>
      </c>
      <c r="G100">
        <f>IF(AND($C100 = Temp!$C$1, $B100 = Temp!$A$16),$D100,0)</f>
        <v>0</v>
      </c>
      <c r="H100">
        <f>IF(AND($C100 = Temp!$D$1, $B100 = Temp!$A$16),$D100,0)</f>
        <v>0</v>
      </c>
      <c r="I100">
        <f>IF(AND($C100 = Temp!$E$1, $B100 = Temp!$A$16),$D100,0)</f>
        <v>0</v>
      </c>
      <c r="J100">
        <f>IF(AND($C100 = Temp!$F$1, $B100 = Temp!$A$16),$D100,0)</f>
        <v>0</v>
      </c>
      <c r="K100">
        <f>IF(AND($C100 = Temp!$G$1, $B100 = Temp!$A$16),$D100,0)</f>
        <v>0</v>
      </c>
      <c r="L100">
        <f>IF(AND($C100 = Temp!$H$1, $B100 = Temp!$A$16),$D100,0)</f>
        <v>0</v>
      </c>
      <c r="M100">
        <f>IF(AND($C100 = Temp!$I$1, $B100 = Temp!$A$16),$D100,0)</f>
        <v>0</v>
      </c>
      <c r="N100">
        <f>IF(AND($C100 = Temp!$J$1, $B100 = Temp!$A$16),$D100,0)</f>
        <v>0</v>
      </c>
      <c r="O100">
        <f>IF(AND($C100 = Temp!$K$1, $B100 = Temp!$A$16),$D100,0)</f>
        <v>0</v>
      </c>
    </row>
    <row r="101" spans="2:15" hidden="1" x14ac:dyDescent="0.2">
      <c r="B101" t="s">
        <v>417</v>
      </c>
      <c r="C101" t="s">
        <v>40</v>
      </c>
      <c r="D101">
        <v>1</v>
      </c>
      <c r="F101">
        <f>IF(AND($C101 = Temp!$B$1, $B101 = Temp!$A$16),$D101,0)</f>
        <v>0</v>
      </c>
      <c r="G101">
        <f>IF(AND($C101 = Temp!$C$1, $B101 = Temp!$A$16),$D101,0)</f>
        <v>0</v>
      </c>
      <c r="H101">
        <f>IF(AND($C101 = Temp!$D$1, $B101 = Temp!$A$16),$D101,0)</f>
        <v>0</v>
      </c>
      <c r="I101">
        <f>IF(AND($C101 = Temp!$E$1, $B101 = Temp!$A$16),$D101,0)</f>
        <v>0</v>
      </c>
      <c r="J101">
        <f>IF(AND($C101 = Temp!$F$1, $B101 = Temp!$A$16),$D101,0)</f>
        <v>0</v>
      </c>
      <c r="K101">
        <f>IF(AND($C101 = Temp!$G$1, $B101 = Temp!$A$16),$D101,0)</f>
        <v>0</v>
      </c>
      <c r="L101">
        <f>IF(AND($C101 = Temp!$H$1, $B101 = Temp!$A$16),$D101,0)</f>
        <v>0</v>
      </c>
      <c r="M101">
        <f>IF(AND($C101 = Temp!$I$1, $B101 = Temp!$A$16),$D101,0)</f>
        <v>0</v>
      </c>
      <c r="N101">
        <f>IF(AND($C101 = Temp!$J$1, $B101 = Temp!$A$16),$D101,0)</f>
        <v>0</v>
      </c>
      <c r="O101">
        <f>IF(AND($C101 = Temp!$K$1, $B101 = Temp!$A$16),$D101,0)</f>
        <v>0</v>
      </c>
    </row>
    <row r="102" spans="2:15" hidden="1" x14ac:dyDescent="0.2">
      <c r="B102" t="s">
        <v>417</v>
      </c>
      <c r="C102" t="s">
        <v>40</v>
      </c>
      <c r="D102">
        <v>0.25</v>
      </c>
      <c r="F102">
        <f>IF(AND($C102 = Temp!$B$1, $B102 = Temp!$A$16),$D102,0)</f>
        <v>0</v>
      </c>
      <c r="G102">
        <f>IF(AND($C102 = Temp!$C$1, $B102 = Temp!$A$16),$D102,0)</f>
        <v>0</v>
      </c>
      <c r="H102">
        <f>IF(AND($C102 = Temp!$D$1, $B102 = Temp!$A$16),$D102,0)</f>
        <v>0</v>
      </c>
      <c r="I102">
        <f>IF(AND($C102 = Temp!$E$1, $B102 = Temp!$A$16),$D102,0)</f>
        <v>0</v>
      </c>
      <c r="J102">
        <f>IF(AND($C102 = Temp!$F$1, $B102 = Temp!$A$16),$D102,0)</f>
        <v>0</v>
      </c>
      <c r="K102">
        <f>IF(AND($C102 = Temp!$G$1, $B102 = Temp!$A$16),$D102,0)</f>
        <v>0</v>
      </c>
      <c r="L102">
        <f>IF(AND($C102 = Temp!$H$1, $B102 = Temp!$A$16),$D102,0)</f>
        <v>0</v>
      </c>
      <c r="M102">
        <f>IF(AND($C102 = Temp!$I$1, $B102 = Temp!$A$16),$D102,0)</f>
        <v>0</v>
      </c>
      <c r="N102">
        <f>IF(AND($C102 = Temp!$J$1, $B102 = Temp!$A$16),$D102,0)</f>
        <v>0</v>
      </c>
      <c r="O102">
        <f>IF(AND($C102 = Temp!$K$1, $B102 = Temp!$A$16),$D102,0)</f>
        <v>0</v>
      </c>
    </row>
    <row r="103" spans="2:15" hidden="1" x14ac:dyDescent="0.2">
      <c r="B103" t="s">
        <v>417</v>
      </c>
      <c r="C103" t="s">
        <v>24</v>
      </c>
      <c r="D103">
        <v>1</v>
      </c>
      <c r="F103">
        <f>IF(AND($C103 = Temp!$B$1, $B103 = Temp!$A$16),$D103,0)</f>
        <v>0</v>
      </c>
      <c r="G103">
        <f>IF(AND($C103 = Temp!$C$1, $B103 = Temp!$A$16),$D103,0)</f>
        <v>0</v>
      </c>
      <c r="H103">
        <f>IF(AND($C103 = Temp!$D$1, $B103 = Temp!$A$16),$D103,0)</f>
        <v>0</v>
      </c>
      <c r="I103">
        <f>IF(AND($C103 = Temp!$E$1, $B103 = Temp!$A$16),$D103,0)</f>
        <v>0</v>
      </c>
      <c r="J103">
        <f>IF(AND($C103 = Temp!$F$1, $B103 = Temp!$A$16),$D103,0)</f>
        <v>0</v>
      </c>
      <c r="K103">
        <f>IF(AND($C103 = Temp!$G$1, $B103 = Temp!$A$16),$D103,0)</f>
        <v>0</v>
      </c>
      <c r="L103">
        <f>IF(AND($C103 = Temp!$H$1, $B103 = Temp!$A$16),$D103,0)</f>
        <v>0</v>
      </c>
      <c r="M103">
        <f>IF(AND($C103 = Temp!$I$1, $B103 = Temp!$A$16),$D103,0)</f>
        <v>0</v>
      </c>
      <c r="N103">
        <f>IF(AND($C103 = Temp!$J$1, $B103 = Temp!$A$16),$D103,0)</f>
        <v>0</v>
      </c>
      <c r="O103">
        <f>IF(AND($C103 = Temp!$K$1, $B103 = Temp!$A$16),$D103,0)</f>
        <v>0</v>
      </c>
    </row>
    <row r="104" spans="2:15" hidden="1" x14ac:dyDescent="0.2">
      <c r="B104" t="s">
        <v>417</v>
      </c>
      <c r="C104" t="s">
        <v>219</v>
      </c>
      <c r="D104">
        <v>1</v>
      </c>
      <c r="F104">
        <f>IF(AND($C104 = Temp!$B$1, $B104 = Temp!$A$16),$D104,0)</f>
        <v>0</v>
      </c>
      <c r="G104">
        <f>IF(AND($C104 = Temp!$C$1, $B104 = Temp!$A$16),$D104,0)</f>
        <v>0</v>
      </c>
      <c r="H104">
        <f>IF(AND($C104 = Temp!$D$1, $B104 = Temp!$A$16),$D104,0)</f>
        <v>0</v>
      </c>
      <c r="I104">
        <f>IF(AND($C104 = Temp!$E$1, $B104 = Temp!$A$16),$D104,0)</f>
        <v>0</v>
      </c>
      <c r="J104">
        <f>IF(AND($C104 = Temp!$F$1, $B104 = Temp!$A$16),$D104,0)</f>
        <v>0</v>
      </c>
      <c r="K104">
        <f>IF(AND($C104 = Temp!$G$1, $B104 = Temp!$A$16),$D104,0)</f>
        <v>0</v>
      </c>
      <c r="L104">
        <f>IF(AND($C104 = Temp!$H$1, $B104 = Temp!$A$16),$D104,0)</f>
        <v>0</v>
      </c>
      <c r="M104">
        <f>IF(AND($C104 = Temp!$I$1, $B104 = Temp!$A$16),$D104,0)</f>
        <v>0</v>
      </c>
      <c r="N104">
        <f>IF(AND($C104 = Temp!$J$1, $B104 = Temp!$A$16),$D104,0)</f>
        <v>0</v>
      </c>
      <c r="O104">
        <f>IF(AND($C104 = Temp!$K$1, $B104 = Temp!$A$16),$D104,0)</f>
        <v>0</v>
      </c>
    </row>
    <row r="105" spans="2:15" hidden="1" x14ac:dyDescent="0.2">
      <c r="B105" t="s">
        <v>417</v>
      </c>
      <c r="C105" t="s">
        <v>219</v>
      </c>
      <c r="D105">
        <v>1</v>
      </c>
      <c r="F105">
        <f>IF(AND($C105 = Temp!$B$1, $B105 = Temp!$A$16),$D105,0)</f>
        <v>0</v>
      </c>
      <c r="G105">
        <f>IF(AND($C105 = Temp!$C$1, $B105 = Temp!$A$16),$D105,0)</f>
        <v>0</v>
      </c>
      <c r="H105">
        <f>IF(AND($C105 = Temp!$D$1, $B105 = Temp!$A$16),$D105,0)</f>
        <v>0</v>
      </c>
      <c r="I105">
        <f>IF(AND($C105 = Temp!$E$1, $B105 = Temp!$A$16),$D105,0)</f>
        <v>0</v>
      </c>
      <c r="J105">
        <f>IF(AND($C105 = Temp!$F$1, $B105 = Temp!$A$16),$D105,0)</f>
        <v>0</v>
      </c>
      <c r="K105">
        <f>IF(AND($C105 = Temp!$G$1, $B105 = Temp!$A$16),$D105,0)</f>
        <v>0</v>
      </c>
      <c r="L105">
        <f>IF(AND($C105 = Temp!$H$1, $B105 = Temp!$A$16),$D105,0)</f>
        <v>0</v>
      </c>
      <c r="M105">
        <f>IF(AND($C105 = Temp!$I$1, $B105 = Temp!$A$16),$D105,0)</f>
        <v>0</v>
      </c>
      <c r="N105">
        <f>IF(AND($C105 = Temp!$J$1, $B105 = Temp!$A$16),$D105,0)</f>
        <v>0</v>
      </c>
      <c r="O105">
        <f>IF(AND($C105 = Temp!$K$1, $B105 = Temp!$A$16),$D105,0)</f>
        <v>0</v>
      </c>
    </row>
    <row r="106" spans="2:15" hidden="1" x14ac:dyDescent="0.2">
      <c r="B106" t="s">
        <v>417</v>
      </c>
      <c r="C106" t="s">
        <v>219</v>
      </c>
      <c r="D106">
        <v>1</v>
      </c>
      <c r="F106">
        <f>IF(AND($C106 = Temp!$B$1, $B106 = Temp!$A$16),$D106,0)</f>
        <v>0</v>
      </c>
      <c r="G106">
        <f>IF(AND($C106 = Temp!$C$1, $B106 = Temp!$A$16),$D106,0)</f>
        <v>0</v>
      </c>
      <c r="H106">
        <f>IF(AND($C106 = Temp!$D$1, $B106 = Temp!$A$16),$D106,0)</f>
        <v>0</v>
      </c>
      <c r="I106">
        <f>IF(AND($C106 = Temp!$E$1, $B106 = Temp!$A$16),$D106,0)</f>
        <v>0</v>
      </c>
      <c r="J106">
        <f>IF(AND($C106 = Temp!$F$1, $B106 = Temp!$A$16),$D106,0)</f>
        <v>0</v>
      </c>
      <c r="K106">
        <f>IF(AND($C106 = Temp!$G$1, $B106 = Temp!$A$16),$D106,0)</f>
        <v>0</v>
      </c>
      <c r="L106">
        <f>IF(AND($C106 = Temp!$H$1, $B106 = Temp!$A$16),$D106,0)</f>
        <v>0</v>
      </c>
      <c r="M106">
        <f>IF(AND($C106 = Temp!$I$1, $B106 = Temp!$A$16),$D106,0)</f>
        <v>0</v>
      </c>
      <c r="N106">
        <f>IF(AND($C106 = Temp!$J$1, $B106 = Temp!$A$16),$D106,0)</f>
        <v>0</v>
      </c>
      <c r="O106">
        <f>IF(AND($C106 = Temp!$K$1, $B106 = Temp!$A$16),$D106,0)</f>
        <v>0</v>
      </c>
    </row>
    <row r="107" spans="2:15" hidden="1" x14ac:dyDescent="0.2">
      <c r="B107" t="s">
        <v>417</v>
      </c>
      <c r="C107" t="s">
        <v>219</v>
      </c>
      <c r="D107">
        <v>1</v>
      </c>
      <c r="F107">
        <f>IF(AND($C107 = Temp!$B$1, $B107 = Temp!$A$16),$D107,0)</f>
        <v>0</v>
      </c>
      <c r="G107">
        <f>IF(AND($C107 = Temp!$C$1, $B107 = Temp!$A$16),$D107,0)</f>
        <v>0</v>
      </c>
      <c r="H107">
        <f>IF(AND($C107 = Temp!$D$1, $B107 = Temp!$A$16),$D107,0)</f>
        <v>0</v>
      </c>
      <c r="I107">
        <f>IF(AND($C107 = Temp!$E$1, $B107 = Temp!$A$16),$D107,0)</f>
        <v>0</v>
      </c>
      <c r="J107">
        <f>IF(AND($C107 = Temp!$F$1, $B107 = Temp!$A$16),$D107,0)</f>
        <v>0</v>
      </c>
      <c r="K107">
        <f>IF(AND($C107 = Temp!$G$1, $B107 = Temp!$A$16),$D107,0)</f>
        <v>0</v>
      </c>
      <c r="L107">
        <f>IF(AND($C107 = Temp!$H$1, $B107 = Temp!$A$16),$D107,0)</f>
        <v>0</v>
      </c>
      <c r="M107">
        <f>IF(AND($C107 = Temp!$I$1, $B107 = Temp!$A$16),$D107,0)</f>
        <v>0</v>
      </c>
      <c r="N107">
        <f>IF(AND($C107 = Temp!$J$1, $B107 = Temp!$A$16),$D107,0)</f>
        <v>0</v>
      </c>
      <c r="O107">
        <f>IF(AND($C107 = Temp!$K$1, $B107 = Temp!$A$16),$D107,0)</f>
        <v>0</v>
      </c>
    </row>
    <row r="108" spans="2:15" hidden="1" x14ac:dyDescent="0.2">
      <c r="B108" t="s">
        <v>417</v>
      </c>
      <c r="C108" t="s">
        <v>219</v>
      </c>
      <c r="D108">
        <v>1</v>
      </c>
      <c r="F108">
        <f>IF(AND($C108 = Temp!$B$1, $B108 = Temp!$A$16),$D108,0)</f>
        <v>0</v>
      </c>
      <c r="G108">
        <f>IF(AND($C108 = Temp!$C$1, $B108 = Temp!$A$16),$D108,0)</f>
        <v>0</v>
      </c>
      <c r="H108">
        <f>IF(AND($C108 = Temp!$D$1, $B108 = Temp!$A$16),$D108,0)</f>
        <v>0</v>
      </c>
      <c r="I108">
        <f>IF(AND($C108 = Temp!$E$1, $B108 = Temp!$A$16),$D108,0)</f>
        <v>0</v>
      </c>
      <c r="J108">
        <f>IF(AND($C108 = Temp!$F$1, $B108 = Temp!$A$16),$D108,0)</f>
        <v>0</v>
      </c>
      <c r="K108">
        <f>IF(AND($C108 = Temp!$G$1, $B108 = Temp!$A$16),$D108,0)</f>
        <v>0</v>
      </c>
      <c r="L108">
        <f>IF(AND($C108 = Temp!$H$1, $B108 = Temp!$A$16),$D108,0)</f>
        <v>0</v>
      </c>
      <c r="M108">
        <f>IF(AND($C108 = Temp!$I$1, $B108 = Temp!$A$16),$D108,0)</f>
        <v>0</v>
      </c>
      <c r="N108">
        <f>IF(AND($C108 = Temp!$J$1, $B108 = Temp!$A$16),$D108,0)</f>
        <v>0</v>
      </c>
      <c r="O108">
        <f>IF(AND($C108 = Temp!$K$1, $B108 = Temp!$A$16),$D108,0)</f>
        <v>0</v>
      </c>
    </row>
    <row r="109" spans="2:15" hidden="1" x14ac:dyDescent="0.2">
      <c r="B109" t="s">
        <v>417</v>
      </c>
      <c r="C109" t="s">
        <v>279</v>
      </c>
      <c r="D109">
        <v>1</v>
      </c>
      <c r="F109">
        <f>IF(AND($C109 = Temp!$B$1, $B109 = Temp!$A$16),$D109,0)</f>
        <v>0</v>
      </c>
      <c r="G109">
        <f>IF(AND($C109 = Temp!$C$1, $B109 = Temp!$A$16),$D109,0)</f>
        <v>0</v>
      </c>
      <c r="H109">
        <f>IF(AND($C109 = Temp!$D$1, $B109 = Temp!$A$16),$D109,0)</f>
        <v>0</v>
      </c>
      <c r="I109">
        <f>IF(AND($C109 = Temp!$E$1, $B109 = Temp!$A$16),$D109,0)</f>
        <v>0</v>
      </c>
      <c r="J109">
        <f>IF(AND($C109 = Temp!$F$1, $B109 = Temp!$A$16),$D109,0)</f>
        <v>0</v>
      </c>
      <c r="K109">
        <f>IF(AND($C109 = Temp!$G$1, $B109 = Temp!$A$16),$D109,0)</f>
        <v>0</v>
      </c>
      <c r="L109">
        <f>IF(AND($C109 = Temp!$H$1, $B109 = Temp!$A$16),$D109,0)</f>
        <v>0</v>
      </c>
      <c r="M109">
        <f>IF(AND($C109 = Temp!$I$1, $B109 = Temp!$A$16),$D109,0)</f>
        <v>0</v>
      </c>
      <c r="N109">
        <f>IF(AND($C109 = Temp!$J$1, $B109 = Temp!$A$16),$D109,0)</f>
        <v>0</v>
      </c>
      <c r="O109">
        <f>IF(AND($C109 = Temp!$K$1, $B109 = Temp!$A$16),$D109,0)</f>
        <v>0</v>
      </c>
    </row>
    <row r="110" spans="2:15" hidden="1" x14ac:dyDescent="0.2">
      <c r="B110" t="s">
        <v>417</v>
      </c>
      <c r="C110" t="s">
        <v>279</v>
      </c>
      <c r="D110">
        <v>1</v>
      </c>
      <c r="F110">
        <f>IF(AND($C110 = Temp!$B$1, $B110 = Temp!$A$16),$D110,0)</f>
        <v>0</v>
      </c>
      <c r="G110">
        <f>IF(AND($C110 = Temp!$C$1, $B110 = Temp!$A$16),$D110,0)</f>
        <v>0</v>
      </c>
      <c r="H110">
        <f>IF(AND($C110 = Temp!$D$1, $B110 = Temp!$A$16),$D110,0)</f>
        <v>0</v>
      </c>
      <c r="I110">
        <f>IF(AND($C110 = Temp!$E$1, $B110 = Temp!$A$16),$D110,0)</f>
        <v>0</v>
      </c>
      <c r="J110">
        <f>IF(AND($C110 = Temp!$F$1, $B110 = Temp!$A$16),$D110,0)</f>
        <v>0</v>
      </c>
      <c r="K110">
        <f>IF(AND($C110 = Temp!$G$1, $B110 = Temp!$A$16),$D110,0)</f>
        <v>0</v>
      </c>
      <c r="L110">
        <f>IF(AND($C110 = Temp!$H$1, $B110 = Temp!$A$16),$D110,0)</f>
        <v>0</v>
      </c>
      <c r="M110">
        <f>IF(AND($C110 = Temp!$I$1, $B110 = Temp!$A$16),$D110,0)</f>
        <v>0</v>
      </c>
      <c r="N110">
        <f>IF(AND($C110 = Temp!$J$1, $B110 = Temp!$A$16),$D110,0)</f>
        <v>0</v>
      </c>
      <c r="O110">
        <f>IF(AND($C110 = Temp!$K$1, $B110 = Temp!$A$16),$D110,0)</f>
        <v>0</v>
      </c>
    </row>
    <row r="111" spans="2:15" hidden="1" x14ac:dyDescent="0.2">
      <c r="B111" t="s">
        <v>417</v>
      </c>
      <c r="C111" t="s">
        <v>279</v>
      </c>
      <c r="D111">
        <v>0.5</v>
      </c>
      <c r="F111">
        <f>IF(AND($C111 = Temp!$B$1, $B111 = Temp!$A$16),$D111,0)</f>
        <v>0</v>
      </c>
      <c r="G111">
        <f>IF(AND($C111 = Temp!$C$1, $B111 = Temp!$A$16),$D111,0)</f>
        <v>0</v>
      </c>
      <c r="H111">
        <f>IF(AND($C111 = Temp!$D$1, $B111 = Temp!$A$16),$D111,0)</f>
        <v>0</v>
      </c>
      <c r="I111">
        <f>IF(AND($C111 = Temp!$E$1, $B111 = Temp!$A$16),$D111,0)</f>
        <v>0</v>
      </c>
      <c r="J111">
        <f>IF(AND($C111 = Temp!$F$1, $B111 = Temp!$A$16),$D111,0)</f>
        <v>0</v>
      </c>
      <c r="K111">
        <f>IF(AND($C111 = Temp!$G$1, $B111 = Temp!$A$16),$D111,0)</f>
        <v>0</v>
      </c>
      <c r="L111">
        <f>IF(AND($C111 = Temp!$H$1, $B111 = Temp!$A$16),$D111,0)</f>
        <v>0</v>
      </c>
      <c r="M111">
        <f>IF(AND($C111 = Temp!$I$1, $B111 = Temp!$A$16),$D111,0)</f>
        <v>0</v>
      </c>
      <c r="N111">
        <f>IF(AND($C111 = Temp!$J$1, $B111 = Temp!$A$16),$D111,0)</f>
        <v>0</v>
      </c>
      <c r="O111">
        <f>IF(AND($C111 = Temp!$K$1, $B111 = Temp!$A$16),$D111,0)</f>
        <v>0</v>
      </c>
    </row>
    <row r="112" spans="2:15" hidden="1" x14ac:dyDescent="0.2">
      <c r="B112" t="s">
        <v>417</v>
      </c>
      <c r="C112" t="s">
        <v>279</v>
      </c>
      <c r="D112">
        <v>0.5</v>
      </c>
      <c r="F112">
        <f>IF(AND($C112 = Temp!$B$1, $B112 = Temp!$A$16),$D112,0)</f>
        <v>0</v>
      </c>
      <c r="G112">
        <f>IF(AND($C112 = Temp!$C$1, $B112 = Temp!$A$16),$D112,0)</f>
        <v>0</v>
      </c>
      <c r="H112">
        <f>IF(AND($C112 = Temp!$D$1, $B112 = Temp!$A$16),$D112,0)</f>
        <v>0</v>
      </c>
      <c r="I112">
        <f>IF(AND($C112 = Temp!$E$1, $B112 = Temp!$A$16),$D112,0)</f>
        <v>0</v>
      </c>
      <c r="J112">
        <f>IF(AND($C112 = Temp!$F$1, $B112 = Temp!$A$16),$D112,0)</f>
        <v>0</v>
      </c>
      <c r="K112">
        <f>IF(AND($C112 = Temp!$G$1, $B112 = Temp!$A$16),$D112,0)</f>
        <v>0</v>
      </c>
      <c r="L112">
        <f>IF(AND($C112 = Temp!$H$1, $B112 = Temp!$A$16),$D112,0)</f>
        <v>0</v>
      </c>
      <c r="M112">
        <f>IF(AND($C112 = Temp!$I$1, $B112 = Temp!$A$16),$D112,0)</f>
        <v>0</v>
      </c>
      <c r="N112">
        <f>IF(AND($C112 = Temp!$J$1, $B112 = Temp!$A$16),$D112,0)</f>
        <v>0</v>
      </c>
      <c r="O112">
        <f>IF(AND($C112 = Temp!$K$1, $B112 = Temp!$A$16),$D112,0)</f>
        <v>0</v>
      </c>
    </row>
    <row r="113" spans="2:15" hidden="1" x14ac:dyDescent="0.2">
      <c r="B113" t="s">
        <v>417</v>
      </c>
      <c r="C113" t="s">
        <v>261</v>
      </c>
      <c r="D113">
        <v>0.5</v>
      </c>
      <c r="F113">
        <f>IF(AND($C113 = Temp!$B$1, $B113 = Temp!$A$16),$D113,0)</f>
        <v>0</v>
      </c>
      <c r="G113">
        <f>IF(AND($C113 = Temp!$C$1, $B113 = Temp!$A$16),$D113,0)</f>
        <v>0</v>
      </c>
      <c r="H113">
        <f>IF(AND($C113 = Temp!$D$1, $B113 = Temp!$A$16),$D113,0)</f>
        <v>0</v>
      </c>
      <c r="I113">
        <f>IF(AND($C113 = Temp!$E$1, $B113 = Temp!$A$16),$D113,0)</f>
        <v>0</v>
      </c>
      <c r="J113">
        <f>IF(AND($C113 = Temp!$F$1, $B113 = Temp!$A$16),$D113,0)</f>
        <v>0</v>
      </c>
      <c r="K113">
        <f>IF(AND($C113 = Temp!$G$1, $B113 = Temp!$A$16),$D113,0)</f>
        <v>0</v>
      </c>
      <c r="L113">
        <f>IF(AND($C113 = Temp!$H$1, $B113 = Temp!$A$16),$D113,0)</f>
        <v>0</v>
      </c>
      <c r="M113">
        <f>IF(AND($C113 = Temp!$I$1, $B113 = Temp!$A$16),$D113,0)</f>
        <v>0</v>
      </c>
      <c r="N113">
        <f>IF(AND($C113 = Temp!$J$1, $B113 = Temp!$A$16),$D113,0)</f>
        <v>0</v>
      </c>
      <c r="O113">
        <f>IF(AND($C113 = Temp!$K$1, $B113 = Temp!$A$16),$D113,0)</f>
        <v>0</v>
      </c>
    </row>
    <row r="114" spans="2:15" hidden="1" x14ac:dyDescent="0.2">
      <c r="B114" t="s">
        <v>417</v>
      </c>
      <c r="C114" t="s">
        <v>261</v>
      </c>
      <c r="D114">
        <v>0.5</v>
      </c>
      <c r="F114">
        <f>IF(AND($C114 = Temp!$B$1, $B114 = Temp!$A$16),$D114,0)</f>
        <v>0</v>
      </c>
      <c r="G114">
        <f>IF(AND($C114 = Temp!$C$1, $B114 = Temp!$A$16),$D114,0)</f>
        <v>0</v>
      </c>
      <c r="H114">
        <f>IF(AND($C114 = Temp!$D$1, $B114 = Temp!$A$16),$D114,0)</f>
        <v>0</v>
      </c>
      <c r="I114">
        <f>IF(AND($C114 = Temp!$E$1, $B114 = Temp!$A$16),$D114,0)</f>
        <v>0</v>
      </c>
      <c r="J114">
        <f>IF(AND($C114 = Temp!$F$1, $B114 = Temp!$A$16),$D114,0)</f>
        <v>0</v>
      </c>
      <c r="K114">
        <f>IF(AND($C114 = Temp!$G$1, $B114 = Temp!$A$16),$D114,0)</f>
        <v>0</v>
      </c>
      <c r="L114">
        <f>IF(AND($C114 = Temp!$H$1, $B114 = Temp!$A$16),$D114,0)</f>
        <v>0</v>
      </c>
      <c r="M114">
        <f>IF(AND($C114 = Temp!$I$1, $B114 = Temp!$A$16),$D114,0)</f>
        <v>0</v>
      </c>
      <c r="N114">
        <f>IF(AND($C114 = Temp!$J$1, $B114 = Temp!$A$16),$D114,0)</f>
        <v>0</v>
      </c>
      <c r="O114">
        <f>IF(AND($C114 = Temp!$K$1, $B114 = Temp!$A$16),$D114,0)</f>
        <v>0</v>
      </c>
    </row>
    <row r="115" spans="2:15" hidden="1" x14ac:dyDescent="0.2">
      <c r="B115" t="s">
        <v>417</v>
      </c>
      <c r="C115" t="s">
        <v>261</v>
      </c>
      <c r="D115">
        <v>2</v>
      </c>
      <c r="F115">
        <f>IF(AND($C115 = Temp!$B$1, $B115 = Temp!$A$16),$D115,0)</f>
        <v>0</v>
      </c>
      <c r="G115">
        <f>IF(AND($C115 = Temp!$C$1, $B115 = Temp!$A$16),$D115,0)</f>
        <v>0</v>
      </c>
      <c r="H115">
        <f>IF(AND($C115 = Temp!$D$1, $B115 = Temp!$A$16),$D115,0)</f>
        <v>0</v>
      </c>
      <c r="I115">
        <f>IF(AND($C115 = Temp!$E$1, $B115 = Temp!$A$16),$D115,0)</f>
        <v>0</v>
      </c>
      <c r="J115">
        <f>IF(AND($C115 = Temp!$F$1, $B115 = Temp!$A$16),$D115,0)</f>
        <v>0</v>
      </c>
      <c r="K115">
        <f>IF(AND($C115 = Temp!$G$1, $B115 = Temp!$A$16),$D115,0)</f>
        <v>0</v>
      </c>
      <c r="L115">
        <f>IF(AND($C115 = Temp!$H$1, $B115 = Temp!$A$16),$D115,0)</f>
        <v>0</v>
      </c>
      <c r="M115">
        <f>IF(AND($C115 = Temp!$I$1, $B115 = Temp!$A$16),$D115,0)</f>
        <v>0</v>
      </c>
      <c r="N115">
        <f>IF(AND($C115 = Temp!$J$1, $B115 = Temp!$A$16),$D115,0)</f>
        <v>0</v>
      </c>
      <c r="O115">
        <f>IF(AND($C115 = Temp!$K$1, $B115 = Temp!$A$16),$D115,0)</f>
        <v>0</v>
      </c>
    </row>
    <row r="116" spans="2:15" hidden="1" x14ac:dyDescent="0.2">
      <c r="B116" t="s">
        <v>417</v>
      </c>
      <c r="C116" t="s">
        <v>261</v>
      </c>
      <c r="D116">
        <v>1</v>
      </c>
      <c r="F116">
        <f>IF(AND($C116 = Temp!$B$1, $B116 = Temp!$A$16),$D116,0)</f>
        <v>0</v>
      </c>
      <c r="G116">
        <f>IF(AND($C116 = Temp!$C$1, $B116 = Temp!$A$16),$D116,0)</f>
        <v>0</v>
      </c>
      <c r="H116">
        <f>IF(AND($C116 = Temp!$D$1, $B116 = Temp!$A$16),$D116,0)</f>
        <v>0</v>
      </c>
      <c r="I116">
        <f>IF(AND($C116 = Temp!$E$1, $B116 = Temp!$A$16),$D116,0)</f>
        <v>0</v>
      </c>
      <c r="J116">
        <f>IF(AND($C116 = Temp!$F$1, $B116 = Temp!$A$16),$D116,0)</f>
        <v>0</v>
      </c>
      <c r="K116">
        <f>IF(AND($C116 = Temp!$G$1, $B116 = Temp!$A$16),$D116,0)</f>
        <v>0</v>
      </c>
      <c r="L116">
        <f>IF(AND($C116 = Temp!$H$1, $B116 = Temp!$A$16),$D116,0)</f>
        <v>0</v>
      </c>
      <c r="M116">
        <f>IF(AND($C116 = Temp!$I$1, $B116 = Temp!$A$16),$D116,0)</f>
        <v>0</v>
      </c>
      <c r="N116">
        <f>IF(AND($C116 = Temp!$J$1, $B116 = Temp!$A$16),$D116,0)</f>
        <v>0</v>
      </c>
      <c r="O116">
        <f>IF(AND($C116 = Temp!$K$1, $B116 = Temp!$A$16),$D116,0)</f>
        <v>0</v>
      </c>
    </row>
    <row r="117" spans="2:15" hidden="1" x14ac:dyDescent="0.2">
      <c r="B117" t="s">
        <v>417</v>
      </c>
      <c r="C117" t="s">
        <v>260</v>
      </c>
      <c r="D117">
        <v>0.2</v>
      </c>
      <c r="F117">
        <f>IF(AND($C117 = Temp!$B$1, $B117 = Temp!$A$16),$D117,0)</f>
        <v>0</v>
      </c>
      <c r="G117">
        <f>IF(AND($C117 = Temp!$C$1, $B117 = Temp!$A$16),$D117,0)</f>
        <v>0</v>
      </c>
      <c r="H117">
        <f>IF(AND($C117 = Temp!$D$1, $B117 = Temp!$A$16),$D117,0)</f>
        <v>0</v>
      </c>
      <c r="I117">
        <f>IF(AND($C117 = Temp!$E$1, $B117 = Temp!$A$16),$D117,0)</f>
        <v>0</v>
      </c>
      <c r="J117">
        <f>IF(AND($C117 = Temp!$F$1, $B117 = Temp!$A$16),$D117,0)</f>
        <v>0</v>
      </c>
      <c r="K117">
        <f>IF(AND($C117 = Temp!$G$1, $B117 = Temp!$A$16),$D117,0)</f>
        <v>0</v>
      </c>
      <c r="L117">
        <f>IF(AND($C117 = Temp!$H$1, $B117 = Temp!$A$16),$D117,0)</f>
        <v>0</v>
      </c>
      <c r="M117">
        <f>IF(AND($C117 = Temp!$I$1, $B117 = Temp!$A$16),$D117,0)</f>
        <v>0</v>
      </c>
      <c r="N117">
        <f>IF(AND($C117 = Temp!$J$1, $B117 = Temp!$A$16),$D117,0)</f>
        <v>0</v>
      </c>
      <c r="O117">
        <f>IF(AND($C117 = Temp!$K$1, $B117 = Temp!$A$16),$D117,0)</f>
        <v>0</v>
      </c>
    </row>
    <row r="118" spans="2:15" hidden="1" x14ac:dyDescent="0.2">
      <c r="B118" t="s">
        <v>417</v>
      </c>
      <c r="C118" t="s">
        <v>260</v>
      </c>
      <c r="D118">
        <v>1</v>
      </c>
      <c r="F118">
        <f>IF(AND($C118 = Temp!$B$1, $B118 = Temp!$A$16),$D118,0)</f>
        <v>0</v>
      </c>
      <c r="G118">
        <f>IF(AND($C118 = Temp!$C$1, $B118 = Temp!$A$16),$D118,0)</f>
        <v>0</v>
      </c>
      <c r="H118">
        <f>IF(AND($C118 = Temp!$D$1, $B118 = Temp!$A$16),$D118,0)</f>
        <v>0</v>
      </c>
      <c r="I118">
        <f>IF(AND($C118 = Temp!$E$1, $B118 = Temp!$A$16),$D118,0)</f>
        <v>0</v>
      </c>
      <c r="J118">
        <f>IF(AND($C118 = Temp!$F$1, $B118 = Temp!$A$16),$D118,0)</f>
        <v>0</v>
      </c>
      <c r="K118">
        <f>IF(AND($C118 = Temp!$G$1, $B118 = Temp!$A$16),$D118,0)</f>
        <v>0</v>
      </c>
      <c r="L118">
        <f>IF(AND($C118 = Temp!$H$1, $B118 = Temp!$A$16),$D118,0)</f>
        <v>0</v>
      </c>
      <c r="M118">
        <f>IF(AND($C118 = Temp!$I$1, $B118 = Temp!$A$16),$D118,0)</f>
        <v>0</v>
      </c>
      <c r="N118">
        <f>IF(AND($C118 = Temp!$J$1, $B118 = Temp!$A$16),$D118,0)</f>
        <v>0</v>
      </c>
      <c r="O118">
        <f>IF(AND($C118 = Temp!$K$1, $B118 = Temp!$A$16),$D118,0)</f>
        <v>0</v>
      </c>
    </row>
    <row r="119" spans="2:15" hidden="1" x14ac:dyDescent="0.2">
      <c r="B119" t="s">
        <v>417</v>
      </c>
      <c r="C119" t="s">
        <v>260</v>
      </c>
      <c r="D119">
        <v>0.5</v>
      </c>
      <c r="F119">
        <f>IF(AND($C119 = Temp!$B$1, $B119 = Temp!$A$16),$D119,0)</f>
        <v>0</v>
      </c>
      <c r="G119">
        <f>IF(AND($C119 = Temp!$C$1, $B119 = Temp!$A$16),$D119,0)</f>
        <v>0</v>
      </c>
      <c r="H119">
        <f>IF(AND($C119 = Temp!$D$1, $B119 = Temp!$A$16),$D119,0)</f>
        <v>0</v>
      </c>
      <c r="I119">
        <f>IF(AND($C119 = Temp!$E$1, $B119 = Temp!$A$16),$D119,0)</f>
        <v>0</v>
      </c>
      <c r="J119">
        <f>IF(AND($C119 = Temp!$F$1, $B119 = Temp!$A$16),$D119,0)</f>
        <v>0</v>
      </c>
      <c r="K119">
        <f>IF(AND($C119 = Temp!$G$1, $B119 = Temp!$A$16),$D119,0)</f>
        <v>0</v>
      </c>
      <c r="L119">
        <f>IF(AND($C119 = Temp!$H$1, $B119 = Temp!$A$16),$D119,0)</f>
        <v>0</v>
      </c>
      <c r="M119">
        <f>IF(AND($C119 = Temp!$I$1, $B119 = Temp!$A$16),$D119,0)</f>
        <v>0</v>
      </c>
      <c r="N119">
        <f>IF(AND($C119 = Temp!$J$1, $B119 = Temp!$A$16),$D119,0)</f>
        <v>0</v>
      </c>
      <c r="O119">
        <f>IF(AND($C119 = Temp!$K$1, $B119 = Temp!$A$16),$D119,0)</f>
        <v>0</v>
      </c>
    </row>
    <row r="120" spans="2:15" hidden="1" x14ac:dyDescent="0.2">
      <c r="B120" t="s">
        <v>417</v>
      </c>
      <c r="C120" t="s">
        <v>260</v>
      </c>
      <c r="D120">
        <v>1</v>
      </c>
      <c r="F120">
        <f>IF(AND($C120 = Temp!$B$1, $B120 = Temp!$A$16),$D120,0)</f>
        <v>0</v>
      </c>
      <c r="G120">
        <f>IF(AND($C120 = Temp!$C$1, $B120 = Temp!$A$16),$D120,0)</f>
        <v>0</v>
      </c>
      <c r="H120">
        <f>IF(AND($C120 = Temp!$D$1, $B120 = Temp!$A$16),$D120,0)</f>
        <v>0</v>
      </c>
      <c r="I120">
        <f>IF(AND($C120 = Temp!$E$1, $B120 = Temp!$A$16),$D120,0)</f>
        <v>0</v>
      </c>
      <c r="J120">
        <f>IF(AND($C120 = Temp!$F$1, $B120 = Temp!$A$16),$D120,0)</f>
        <v>0</v>
      </c>
      <c r="K120">
        <f>IF(AND($C120 = Temp!$G$1, $B120 = Temp!$A$16),$D120,0)</f>
        <v>0</v>
      </c>
      <c r="L120">
        <f>IF(AND($C120 = Temp!$H$1, $B120 = Temp!$A$16),$D120,0)</f>
        <v>0</v>
      </c>
      <c r="M120">
        <f>IF(AND($C120 = Temp!$I$1, $B120 = Temp!$A$16),$D120,0)</f>
        <v>0</v>
      </c>
      <c r="N120">
        <f>IF(AND($C120 = Temp!$J$1, $B120 = Temp!$A$16),$D120,0)</f>
        <v>0</v>
      </c>
      <c r="O120">
        <f>IF(AND($C120 = Temp!$K$1, $B120 = Temp!$A$16),$D120,0)</f>
        <v>0</v>
      </c>
    </row>
    <row r="121" spans="2:15" hidden="1" x14ac:dyDescent="0.2">
      <c r="B121" t="s">
        <v>417</v>
      </c>
      <c r="C121" t="s">
        <v>219</v>
      </c>
      <c r="D121">
        <v>1</v>
      </c>
      <c r="F121">
        <f>IF(AND($C121 = Temp!$B$1, $B121 = Temp!$A$16),$D121,0)</f>
        <v>0</v>
      </c>
      <c r="G121">
        <f>IF(AND($C121 = Temp!$C$1, $B121 = Temp!$A$16),$D121,0)</f>
        <v>0</v>
      </c>
      <c r="H121">
        <f>IF(AND($C121 = Temp!$D$1, $B121 = Temp!$A$16),$D121,0)</f>
        <v>0</v>
      </c>
      <c r="I121">
        <f>IF(AND($C121 = Temp!$E$1, $B121 = Temp!$A$16),$D121,0)</f>
        <v>0</v>
      </c>
      <c r="J121">
        <f>IF(AND($C121 = Temp!$F$1, $B121 = Temp!$A$16),$D121,0)</f>
        <v>0</v>
      </c>
      <c r="K121">
        <f>IF(AND($C121 = Temp!$G$1, $B121 = Temp!$A$16),$D121,0)</f>
        <v>0</v>
      </c>
      <c r="L121">
        <f>IF(AND($C121 = Temp!$H$1, $B121 = Temp!$A$16),$D121,0)</f>
        <v>0</v>
      </c>
      <c r="M121">
        <f>IF(AND($C121 = Temp!$I$1, $B121 = Temp!$A$16),$D121,0)</f>
        <v>0</v>
      </c>
      <c r="N121">
        <f>IF(AND($C121 = Temp!$J$1, $B121 = Temp!$A$16),$D121,0)</f>
        <v>0</v>
      </c>
      <c r="O121">
        <f>IF(AND($C121 = Temp!$K$1, $B121 = Temp!$A$16),$D121,0)</f>
        <v>0</v>
      </c>
    </row>
    <row r="122" spans="2:15" hidden="1" x14ac:dyDescent="0.2">
      <c r="B122" t="s">
        <v>417</v>
      </c>
      <c r="C122" t="s">
        <v>219</v>
      </c>
      <c r="D122">
        <v>1</v>
      </c>
      <c r="F122">
        <f>IF(AND($C122 = Temp!$B$1, $B122 = Temp!$A$16),$D122,0)</f>
        <v>0</v>
      </c>
      <c r="G122">
        <f>IF(AND($C122 = Temp!$C$1, $B122 = Temp!$A$16),$D122,0)</f>
        <v>0</v>
      </c>
      <c r="H122">
        <f>IF(AND($C122 = Temp!$D$1, $B122 = Temp!$A$16),$D122,0)</f>
        <v>0</v>
      </c>
      <c r="I122">
        <f>IF(AND($C122 = Temp!$E$1, $B122 = Temp!$A$16),$D122,0)</f>
        <v>0</v>
      </c>
      <c r="J122">
        <f>IF(AND($C122 = Temp!$F$1, $B122 = Temp!$A$16),$D122,0)</f>
        <v>0</v>
      </c>
      <c r="K122">
        <f>IF(AND($C122 = Temp!$G$1, $B122 = Temp!$A$16),$D122,0)</f>
        <v>0</v>
      </c>
      <c r="L122">
        <f>IF(AND($C122 = Temp!$H$1, $B122 = Temp!$A$16),$D122,0)</f>
        <v>0</v>
      </c>
      <c r="M122">
        <f>IF(AND($C122 = Temp!$I$1, $B122 = Temp!$A$16),$D122,0)</f>
        <v>0</v>
      </c>
      <c r="N122">
        <f>IF(AND($C122 = Temp!$J$1, $B122 = Temp!$A$16),$D122,0)</f>
        <v>0</v>
      </c>
      <c r="O122">
        <f>IF(AND($C122 = Temp!$K$1, $B122 = Temp!$A$16),$D122,0)</f>
        <v>0</v>
      </c>
    </row>
    <row r="123" spans="2:15" hidden="1" x14ac:dyDescent="0.2">
      <c r="B123" t="s">
        <v>417</v>
      </c>
      <c r="C123" t="s">
        <v>219</v>
      </c>
      <c r="D123">
        <v>1</v>
      </c>
      <c r="F123">
        <f>IF(AND($C123 = Temp!$B$1, $B123 = Temp!$A$16),$D123,0)</f>
        <v>0</v>
      </c>
      <c r="G123">
        <f>IF(AND($C123 = Temp!$C$1, $B123 = Temp!$A$16),$D123,0)</f>
        <v>0</v>
      </c>
      <c r="H123">
        <f>IF(AND($C123 = Temp!$D$1, $B123 = Temp!$A$16),$D123,0)</f>
        <v>0</v>
      </c>
      <c r="I123">
        <f>IF(AND($C123 = Temp!$E$1, $B123 = Temp!$A$16),$D123,0)</f>
        <v>0</v>
      </c>
      <c r="J123">
        <f>IF(AND($C123 = Temp!$F$1, $B123 = Temp!$A$16),$D123,0)</f>
        <v>0</v>
      </c>
      <c r="K123">
        <f>IF(AND($C123 = Temp!$G$1, $B123 = Temp!$A$16),$D123,0)</f>
        <v>0</v>
      </c>
      <c r="L123">
        <f>IF(AND($C123 = Temp!$H$1, $B123 = Temp!$A$16),$D123,0)</f>
        <v>0</v>
      </c>
      <c r="M123">
        <f>IF(AND($C123 = Temp!$I$1, $B123 = Temp!$A$16),$D123,0)</f>
        <v>0</v>
      </c>
      <c r="N123">
        <f>IF(AND($C123 = Temp!$J$1, $B123 = Temp!$A$16),$D123,0)</f>
        <v>0</v>
      </c>
      <c r="O123">
        <f>IF(AND($C123 = Temp!$K$1, $B123 = Temp!$A$16),$D123,0)</f>
        <v>0</v>
      </c>
    </row>
    <row r="124" spans="2:15" hidden="1" x14ac:dyDescent="0.2">
      <c r="B124" t="s">
        <v>417</v>
      </c>
      <c r="C124" t="s">
        <v>219</v>
      </c>
      <c r="D124">
        <v>1</v>
      </c>
      <c r="F124">
        <f>IF(AND($C124 = Temp!$B$1, $B124 = Temp!$A$16),$D124,0)</f>
        <v>0</v>
      </c>
      <c r="G124">
        <f>IF(AND($C124 = Temp!$C$1, $B124 = Temp!$A$16),$D124,0)</f>
        <v>0</v>
      </c>
      <c r="H124">
        <f>IF(AND($C124 = Temp!$D$1, $B124 = Temp!$A$16),$D124,0)</f>
        <v>0</v>
      </c>
      <c r="I124">
        <f>IF(AND($C124 = Temp!$E$1, $B124 = Temp!$A$16),$D124,0)</f>
        <v>0</v>
      </c>
      <c r="J124">
        <f>IF(AND($C124 = Temp!$F$1, $B124 = Temp!$A$16),$D124,0)</f>
        <v>0</v>
      </c>
      <c r="K124">
        <f>IF(AND($C124 = Temp!$G$1, $B124 = Temp!$A$16),$D124,0)</f>
        <v>0</v>
      </c>
      <c r="L124">
        <f>IF(AND($C124 = Temp!$H$1, $B124 = Temp!$A$16),$D124,0)</f>
        <v>0</v>
      </c>
      <c r="M124">
        <f>IF(AND($C124 = Temp!$I$1, $B124 = Temp!$A$16),$D124,0)</f>
        <v>0</v>
      </c>
      <c r="N124">
        <f>IF(AND($C124 = Temp!$J$1, $B124 = Temp!$A$16),$D124,0)</f>
        <v>0</v>
      </c>
      <c r="O124">
        <f>IF(AND($C124 = Temp!$K$1, $B124 = Temp!$A$16),$D124,0)</f>
        <v>0</v>
      </c>
    </row>
    <row r="125" spans="2:15" hidden="1" x14ac:dyDescent="0.2">
      <c r="B125" t="s">
        <v>417</v>
      </c>
      <c r="C125" t="s">
        <v>219</v>
      </c>
      <c r="D125">
        <v>1</v>
      </c>
      <c r="F125">
        <f>IF(AND($C125 = Temp!$B$1, $B125 = Temp!$A$16),$D125,0)</f>
        <v>0</v>
      </c>
      <c r="G125">
        <f>IF(AND($C125 = Temp!$C$1, $B125 = Temp!$A$16),$D125,0)</f>
        <v>0</v>
      </c>
      <c r="H125">
        <f>IF(AND($C125 = Temp!$D$1, $B125 = Temp!$A$16),$D125,0)</f>
        <v>0</v>
      </c>
      <c r="I125">
        <f>IF(AND($C125 = Temp!$E$1, $B125 = Temp!$A$16),$D125,0)</f>
        <v>0</v>
      </c>
      <c r="J125">
        <f>IF(AND($C125 = Temp!$F$1, $B125 = Temp!$A$16),$D125,0)</f>
        <v>0</v>
      </c>
      <c r="K125">
        <f>IF(AND($C125 = Temp!$G$1, $B125 = Temp!$A$16),$D125,0)</f>
        <v>0</v>
      </c>
      <c r="L125">
        <f>IF(AND($C125 = Temp!$H$1, $B125 = Temp!$A$16),$D125,0)</f>
        <v>0</v>
      </c>
      <c r="M125">
        <f>IF(AND($C125 = Temp!$I$1, $B125 = Temp!$A$16),$D125,0)</f>
        <v>0</v>
      </c>
      <c r="N125">
        <f>IF(AND($C125 = Temp!$J$1, $B125 = Temp!$A$16),$D125,0)</f>
        <v>0</v>
      </c>
      <c r="O125">
        <f>IF(AND($C125 = Temp!$K$1, $B125 = Temp!$A$16),$D125,0)</f>
        <v>0</v>
      </c>
    </row>
    <row r="126" spans="2:15" hidden="1" x14ac:dyDescent="0.2">
      <c r="B126" t="s">
        <v>417</v>
      </c>
      <c r="C126" t="s">
        <v>279</v>
      </c>
      <c r="D126">
        <v>5</v>
      </c>
      <c r="F126">
        <f>IF(AND($C126 = Temp!$B$1, $B126 = Temp!$A$16),$D126,0)</f>
        <v>0</v>
      </c>
      <c r="G126">
        <f>IF(AND($C126 = Temp!$C$1, $B126 = Temp!$A$16),$D126,0)</f>
        <v>0</v>
      </c>
      <c r="H126">
        <f>IF(AND($C126 = Temp!$D$1, $B126 = Temp!$A$16),$D126,0)</f>
        <v>0</v>
      </c>
      <c r="I126">
        <f>IF(AND($C126 = Temp!$E$1, $B126 = Temp!$A$16),$D126,0)</f>
        <v>0</v>
      </c>
      <c r="J126">
        <f>IF(AND($C126 = Temp!$F$1, $B126 = Temp!$A$16),$D126,0)</f>
        <v>0</v>
      </c>
      <c r="K126">
        <f>IF(AND($C126 = Temp!$G$1, $B126 = Temp!$A$16),$D126,0)</f>
        <v>0</v>
      </c>
      <c r="L126">
        <f>IF(AND($C126 = Temp!$H$1, $B126 = Temp!$A$16),$D126,0)</f>
        <v>0</v>
      </c>
      <c r="M126">
        <f>IF(AND($C126 = Temp!$I$1, $B126 = Temp!$A$16),$D126,0)</f>
        <v>0</v>
      </c>
      <c r="N126">
        <f>IF(AND($C126 = Temp!$J$1, $B126 = Temp!$A$16),$D126,0)</f>
        <v>0</v>
      </c>
      <c r="O126">
        <f>IF(AND($C126 = Temp!$K$1, $B126 = Temp!$A$16),$D126,0)</f>
        <v>0</v>
      </c>
    </row>
    <row r="127" spans="2:15" hidden="1" x14ac:dyDescent="0.2">
      <c r="B127" t="s">
        <v>417</v>
      </c>
      <c r="C127" t="s">
        <v>279</v>
      </c>
      <c r="D127">
        <v>1</v>
      </c>
      <c r="F127">
        <f>IF(AND($C127 = Temp!$B$1, $B127 = Temp!$A$16),$D127,0)</f>
        <v>0</v>
      </c>
      <c r="G127">
        <f>IF(AND($C127 = Temp!$C$1, $B127 = Temp!$A$16),$D127,0)</f>
        <v>0</v>
      </c>
      <c r="H127">
        <f>IF(AND($C127 = Temp!$D$1, $B127 = Temp!$A$16),$D127,0)</f>
        <v>0</v>
      </c>
      <c r="I127">
        <f>IF(AND($C127 = Temp!$E$1, $B127 = Temp!$A$16),$D127,0)</f>
        <v>0</v>
      </c>
      <c r="J127">
        <f>IF(AND($C127 = Temp!$F$1, $B127 = Temp!$A$16),$D127,0)</f>
        <v>0</v>
      </c>
      <c r="K127">
        <f>IF(AND($C127 = Temp!$G$1, $B127 = Temp!$A$16),$D127,0)</f>
        <v>0</v>
      </c>
      <c r="L127">
        <f>IF(AND($C127 = Temp!$H$1, $B127 = Temp!$A$16),$D127,0)</f>
        <v>0</v>
      </c>
      <c r="M127">
        <f>IF(AND($C127 = Temp!$I$1, $B127 = Temp!$A$16),$D127,0)</f>
        <v>0</v>
      </c>
      <c r="N127">
        <f>IF(AND($C127 = Temp!$J$1, $B127 = Temp!$A$16),$D127,0)</f>
        <v>0</v>
      </c>
      <c r="O127">
        <f>IF(AND($C127 = Temp!$K$1, $B127 = Temp!$A$16),$D127,0)</f>
        <v>0</v>
      </c>
    </row>
    <row r="128" spans="2:15" hidden="1" x14ac:dyDescent="0.2">
      <c r="B128" t="s">
        <v>417</v>
      </c>
      <c r="C128" t="s">
        <v>279</v>
      </c>
      <c r="D128">
        <v>1</v>
      </c>
      <c r="F128">
        <f>IF(AND($C128 = Temp!$B$1, $B128 = Temp!$A$16),$D128,0)</f>
        <v>0</v>
      </c>
      <c r="G128">
        <f>IF(AND($C128 = Temp!$C$1, $B128 = Temp!$A$16),$D128,0)</f>
        <v>0</v>
      </c>
      <c r="H128">
        <f>IF(AND($C128 = Temp!$D$1, $B128 = Temp!$A$16),$D128,0)</f>
        <v>0</v>
      </c>
      <c r="I128">
        <f>IF(AND($C128 = Temp!$E$1, $B128 = Temp!$A$16),$D128,0)</f>
        <v>0</v>
      </c>
      <c r="J128">
        <f>IF(AND($C128 = Temp!$F$1, $B128 = Temp!$A$16),$D128,0)</f>
        <v>0</v>
      </c>
      <c r="K128">
        <f>IF(AND($C128 = Temp!$G$1, $B128 = Temp!$A$16),$D128,0)</f>
        <v>0</v>
      </c>
      <c r="L128">
        <f>IF(AND($C128 = Temp!$H$1, $B128 = Temp!$A$16),$D128,0)</f>
        <v>0</v>
      </c>
      <c r="M128">
        <f>IF(AND($C128 = Temp!$I$1, $B128 = Temp!$A$16),$D128,0)</f>
        <v>0</v>
      </c>
      <c r="N128">
        <f>IF(AND($C128 = Temp!$J$1, $B128 = Temp!$A$16),$D128,0)</f>
        <v>0</v>
      </c>
      <c r="O128">
        <f>IF(AND($C128 = Temp!$K$1, $B128 = Temp!$A$16),$D128,0)</f>
        <v>0</v>
      </c>
    </row>
    <row r="129" spans="2:15" hidden="1" x14ac:dyDescent="0.2">
      <c r="B129" t="s">
        <v>417</v>
      </c>
      <c r="C129" t="s">
        <v>279</v>
      </c>
      <c r="D129">
        <v>2</v>
      </c>
      <c r="F129">
        <f>IF(AND($C129 = Temp!$B$1, $B129 = Temp!$A$16),$D129,0)</f>
        <v>0</v>
      </c>
      <c r="G129">
        <f>IF(AND($C129 = Temp!$C$1, $B129 = Temp!$A$16),$D129,0)</f>
        <v>0</v>
      </c>
      <c r="H129">
        <f>IF(AND($C129 = Temp!$D$1, $B129 = Temp!$A$16),$D129,0)</f>
        <v>0</v>
      </c>
      <c r="I129">
        <f>IF(AND($C129 = Temp!$E$1, $B129 = Temp!$A$16),$D129,0)</f>
        <v>0</v>
      </c>
      <c r="J129">
        <f>IF(AND($C129 = Temp!$F$1, $B129 = Temp!$A$16),$D129,0)</f>
        <v>0</v>
      </c>
      <c r="K129">
        <f>IF(AND($C129 = Temp!$G$1, $B129 = Temp!$A$16),$D129,0)</f>
        <v>0</v>
      </c>
      <c r="L129">
        <f>IF(AND($C129 = Temp!$H$1, $B129 = Temp!$A$16),$D129,0)</f>
        <v>0</v>
      </c>
      <c r="M129">
        <f>IF(AND($C129 = Temp!$I$1, $B129 = Temp!$A$16),$D129,0)</f>
        <v>0</v>
      </c>
      <c r="N129">
        <f>IF(AND($C129 = Temp!$J$1, $B129 = Temp!$A$16),$D129,0)</f>
        <v>0</v>
      </c>
      <c r="O129">
        <f>IF(AND($C129 = Temp!$K$1, $B129 = Temp!$A$16),$D129,0)</f>
        <v>0</v>
      </c>
    </row>
    <row r="130" spans="2:15" hidden="1" x14ac:dyDescent="0.2">
      <c r="B130" t="s">
        <v>417</v>
      </c>
      <c r="C130" t="s">
        <v>261</v>
      </c>
      <c r="D130">
        <v>0.2</v>
      </c>
      <c r="F130">
        <f>IF(AND($C130 = Temp!$B$1, $B130 = Temp!$A$16),$D130,0)</f>
        <v>0</v>
      </c>
      <c r="G130">
        <f>IF(AND($C130 = Temp!$C$1, $B130 = Temp!$A$16),$D130,0)</f>
        <v>0</v>
      </c>
      <c r="H130">
        <f>IF(AND($C130 = Temp!$D$1, $B130 = Temp!$A$16),$D130,0)</f>
        <v>0</v>
      </c>
      <c r="I130">
        <f>IF(AND($C130 = Temp!$E$1, $B130 = Temp!$A$16),$D130,0)</f>
        <v>0</v>
      </c>
      <c r="J130">
        <f>IF(AND($C130 = Temp!$F$1, $B130 = Temp!$A$16),$D130,0)</f>
        <v>0</v>
      </c>
      <c r="K130">
        <f>IF(AND($C130 = Temp!$G$1, $B130 = Temp!$A$16),$D130,0)</f>
        <v>0</v>
      </c>
      <c r="L130">
        <f>IF(AND($C130 = Temp!$H$1, $B130 = Temp!$A$16),$D130,0)</f>
        <v>0</v>
      </c>
      <c r="M130">
        <f>IF(AND($C130 = Temp!$I$1, $B130 = Temp!$A$16),$D130,0)</f>
        <v>0</v>
      </c>
      <c r="N130">
        <f>IF(AND($C130 = Temp!$J$1, $B130 = Temp!$A$16),$D130,0)</f>
        <v>0</v>
      </c>
      <c r="O130">
        <f>IF(AND($C130 = Temp!$K$1, $B130 = Temp!$A$16),$D130,0)</f>
        <v>0</v>
      </c>
    </row>
    <row r="131" spans="2:15" hidden="1" x14ac:dyDescent="0.2">
      <c r="B131" t="s">
        <v>417</v>
      </c>
      <c r="C131" t="s">
        <v>219</v>
      </c>
      <c r="D131">
        <v>1</v>
      </c>
      <c r="F131">
        <f>IF(AND($C131 = Temp!$B$1, $B131 = Temp!$A$16),$D131,0)</f>
        <v>0</v>
      </c>
      <c r="G131">
        <f>IF(AND($C131 = Temp!$C$1, $B131 = Temp!$A$16),$D131,0)</f>
        <v>0</v>
      </c>
      <c r="H131">
        <f>IF(AND($C131 = Temp!$D$1, $B131 = Temp!$A$16),$D131,0)</f>
        <v>0</v>
      </c>
      <c r="I131">
        <f>IF(AND($C131 = Temp!$E$1, $B131 = Temp!$A$16),$D131,0)</f>
        <v>0</v>
      </c>
      <c r="J131">
        <f>IF(AND($C131 = Temp!$F$1, $B131 = Temp!$A$16),$D131,0)</f>
        <v>0</v>
      </c>
      <c r="K131">
        <f>IF(AND($C131 = Temp!$G$1, $B131 = Temp!$A$16),$D131,0)</f>
        <v>0</v>
      </c>
      <c r="L131">
        <f>IF(AND($C131 = Temp!$H$1, $B131 = Temp!$A$16),$D131,0)</f>
        <v>0</v>
      </c>
      <c r="M131">
        <f>IF(AND($C131 = Temp!$I$1, $B131 = Temp!$A$16),$D131,0)</f>
        <v>0</v>
      </c>
      <c r="N131">
        <f>IF(AND($C131 = Temp!$J$1, $B131 = Temp!$A$16),$D131,0)</f>
        <v>0</v>
      </c>
      <c r="O131">
        <f>IF(AND($C131 = Temp!$K$1, $B131 = Temp!$A$16),$D131,0)</f>
        <v>0</v>
      </c>
    </row>
    <row r="132" spans="2:15" hidden="1" x14ac:dyDescent="0.2">
      <c r="B132" t="s">
        <v>417</v>
      </c>
      <c r="C132" t="s">
        <v>261</v>
      </c>
      <c r="D132">
        <v>3</v>
      </c>
      <c r="F132">
        <f>IF(AND($C132 = Temp!$B$1, $B132 = Temp!$A$16),$D132,0)</f>
        <v>0</v>
      </c>
      <c r="G132">
        <f>IF(AND($C132 = Temp!$C$1, $B132 = Temp!$A$16),$D132,0)</f>
        <v>0</v>
      </c>
      <c r="H132">
        <f>IF(AND($C132 = Temp!$D$1, $B132 = Temp!$A$16),$D132,0)</f>
        <v>0</v>
      </c>
      <c r="I132">
        <f>IF(AND($C132 = Temp!$E$1, $B132 = Temp!$A$16),$D132,0)</f>
        <v>0</v>
      </c>
      <c r="J132">
        <f>IF(AND($C132 = Temp!$F$1, $B132 = Temp!$A$16),$D132,0)</f>
        <v>0</v>
      </c>
      <c r="K132">
        <f>IF(AND($C132 = Temp!$G$1, $B132 = Temp!$A$16),$D132,0)</f>
        <v>0</v>
      </c>
      <c r="L132">
        <f>IF(AND($C132 = Temp!$H$1, $B132 = Temp!$A$16),$D132,0)</f>
        <v>0</v>
      </c>
      <c r="M132">
        <f>IF(AND($C132 = Temp!$I$1, $B132 = Temp!$A$16),$D132,0)</f>
        <v>0</v>
      </c>
      <c r="N132">
        <f>IF(AND($C132 = Temp!$J$1, $B132 = Temp!$A$16),$D132,0)</f>
        <v>0</v>
      </c>
      <c r="O132">
        <f>IF(AND($C132 = Temp!$K$1, $B132 = Temp!$A$16),$D132,0)</f>
        <v>0</v>
      </c>
    </row>
    <row r="133" spans="2:15" hidden="1" x14ac:dyDescent="0.2">
      <c r="B133" t="s">
        <v>417</v>
      </c>
      <c r="C133" t="s">
        <v>261</v>
      </c>
      <c r="D133">
        <v>4</v>
      </c>
      <c r="F133">
        <f>IF(AND($C133 = Temp!$B$1, $B133 = Temp!$A$16),$D133,0)</f>
        <v>0</v>
      </c>
      <c r="G133">
        <f>IF(AND($C133 = Temp!$C$1, $B133 = Temp!$A$16),$D133,0)</f>
        <v>0</v>
      </c>
      <c r="H133">
        <f>IF(AND($C133 = Temp!$D$1, $B133 = Temp!$A$16),$D133,0)</f>
        <v>0</v>
      </c>
      <c r="I133">
        <f>IF(AND($C133 = Temp!$E$1, $B133 = Temp!$A$16),$D133,0)</f>
        <v>0</v>
      </c>
      <c r="J133">
        <f>IF(AND($C133 = Temp!$F$1, $B133 = Temp!$A$16),$D133,0)</f>
        <v>0</v>
      </c>
      <c r="K133">
        <f>IF(AND($C133 = Temp!$G$1, $B133 = Temp!$A$16),$D133,0)</f>
        <v>0</v>
      </c>
      <c r="L133">
        <f>IF(AND($C133 = Temp!$H$1, $B133 = Temp!$A$16),$D133,0)</f>
        <v>0</v>
      </c>
      <c r="M133">
        <f>IF(AND($C133 = Temp!$I$1, $B133 = Temp!$A$16),$D133,0)</f>
        <v>0</v>
      </c>
      <c r="N133">
        <f>IF(AND($C133 = Temp!$J$1, $B133 = Temp!$A$16),$D133,0)</f>
        <v>0</v>
      </c>
      <c r="O133">
        <f>IF(AND($C133 = Temp!$K$1, $B133 = Temp!$A$16),$D133,0)</f>
        <v>0</v>
      </c>
    </row>
    <row r="134" spans="2:15" hidden="1" x14ac:dyDescent="0.2">
      <c r="B134" t="s">
        <v>417</v>
      </c>
      <c r="C134" t="s">
        <v>261</v>
      </c>
      <c r="D134">
        <v>1</v>
      </c>
      <c r="F134">
        <f>IF(AND($C134 = Temp!$B$1, $B134 = Temp!$A$16),$D134,0)</f>
        <v>0</v>
      </c>
      <c r="G134">
        <f>IF(AND($C134 = Temp!$C$1, $B134 = Temp!$A$16),$D134,0)</f>
        <v>0</v>
      </c>
      <c r="H134">
        <f>IF(AND($C134 = Temp!$D$1, $B134 = Temp!$A$16),$D134,0)</f>
        <v>0</v>
      </c>
      <c r="I134">
        <f>IF(AND($C134 = Temp!$E$1, $B134 = Temp!$A$16),$D134,0)</f>
        <v>0</v>
      </c>
      <c r="J134">
        <f>IF(AND($C134 = Temp!$F$1, $B134 = Temp!$A$16),$D134,0)</f>
        <v>0</v>
      </c>
      <c r="K134">
        <f>IF(AND($C134 = Temp!$G$1, $B134 = Temp!$A$16),$D134,0)</f>
        <v>0</v>
      </c>
      <c r="L134">
        <f>IF(AND($C134 = Temp!$H$1, $B134 = Temp!$A$16),$D134,0)</f>
        <v>0</v>
      </c>
      <c r="M134">
        <f>IF(AND($C134 = Temp!$I$1, $B134 = Temp!$A$16),$D134,0)</f>
        <v>0</v>
      </c>
      <c r="N134">
        <f>IF(AND($C134 = Temp!$J$1, $B134 = Temp!$A$16),$D134,0)</f>
        <v>0</v>
      </c>
      <c r="O134">
        <f>IF(AND($C134 = Temp!$K$1, $B134 = Temp!$A$16),$D134,0)</f>
        <v>0</v>
      </c>
    </row>
    <row r="135" spans="2:15" hidden="1" x14ac:dyDescent="0.2">
      <c r="B135" t="s">
        <v>417</v>
      </c>
      <c r="C135" t="s">
        <v>261</v>
      </c>
      <c r="D135">
        <v>1</v>
      </c>
      <c r="F135">
        <f>IF(AND($C135 = Temp!$B$1, $B135 = Temp!$A$16),$D135,0)</f>
        <v>0</v>
      </c>
      <c r="G135">
        <f>IF(AND($C135 = Temp!$C$1, $B135 = Temp!$A$16),$D135,0)</f>
        <v>0</v>
      </c>
      <c r="H135">
        <f>IF(AND($C135 = Temp!$D$1, $B135 = Temp!$A$16),$D135,0)</f>
        <v>0</v>
      </c>
      <c r="I135">
        <f>IF(AND($C135 = Temp!$E$1, $B135 = Temp!$A$16),$D135,0)</f>
        <v>0</v>
      </c>
      <c r="J135">
        <f>IF(AND($C135 = Temp!$F$1, $B135 = Temp!$A$16),$D135,0)</f>
        <v>0</v>
      </c>
      <c r="K135">
        <f>IF(AND($C135 = Temp!$G$1, $B135 = Temp!$A$16),$D135,0)</f>
        <v>0</v>
      </c>
      <c r="L135">
        <f>IF(AND($C135 = Temp!$H$1, $B135 = Temp!$A$16),$D135,0)</f>
        <v>0</v>
      </c>
      <c r="M135">
        <f>IF(AND($C135 = Temp!$I$1, $B135 = Temp!$A$16),$D135,0)</f>
        <v>0</v>
      </c>
      <c r="N135">
        <f>IF(AND($C135 = Temp!$J$1, $B135 = Temp!$A$16),$D135,0)</f>
        <v>0</v>
      </c>
      <c r="O135">
        <f>IF(AND($C135 = Temp!$K$1, $B135 = Temp!$A$16),$D135,0)</f>
        <v>0</v>
      </c>
    </row>
    <row r="136" spans="2:15" hidden="1" x14ac:dyDescent="0.2">
      <c r="B136" t="s">
        <v>417</v>
      </c>
      <c r="C136" t="s">
        <v>260</v>
      </c>
      <c r="D136">
        <v>1</v>
      </c>
      <c r="F136">
        <f>IF(AND($C136 = Temp!$B$1, $B136 = Temp!$A$16),$D136,0)</f>
        <v>0</v>
      </c>
      <c r="G136">
        <f>IF(AND($C136 = Temp!$C$1, $B136 = Temp!$A$16),$D136,0)</f>
        <v>0</v>
      </c>
      <c r="H136">
        <f>IF(AND($C136 = Temp!$D$1, $B136 = Temp!$A$16),$D136,0)</f>
        <v>0</v>
      </c>
      <c r="I136">
        <f>IF(AND($C136 = Temp!$E$1, $B136 = Temp!$A$16),$D136,0)</f>
        <v>0</v>
      </c>
      <c r="J136">
        <f>IF(AND($C136 = Temp!$F$1, $B136 = Temp!$A$16),$D136,0)</f>
        <v>0</v>
      </c>
      <c r="K136">
        <f>IF(AND($C136 = Temp!$G$1, $B136 = Temp!$A$16),$D136,0)</f>
        <v>0</v>
      </c>
      <c r="L136">
        <f>IF(AND($C136 = Temp!$H$1, $B136 = Temp!$A$16),$D136,0)</f>
        <v>0</v>
      </c>
      <c r="M136">
        <f>IF(AND($C136 = Temp!$I$1, $B136 = Temp!$A$16),$D136,0)</f>
        <v>0</v>
      </c>
      <c r="N136">
        <f>IF(AND($C136 = Temp!$J$1, $B136 = Temp!$A$16),$D136,0)</f>
        <v>0</v>
      </c>
      <c r="O136">
        <f>IF(AND($C136 = Temp!$K$1, $B136 = Temp!$A$16),$D136,0)</f>
        <v>0</v>
      </c>
    </row>
    <row r="137" spans="2:15" hidden="1" x14ac:dyDescent="0.2">
      <c r="B137" t="s">
        <v>417</v>
      </c>
      <c r="C137" t="s">
        <v>260</v>
      </c>
      <c r="D137">
        <v>1</v>
      </c>
      <c r="F137">
        <f>IF(AND($C137 = Temp!$B$1, $B137 = Temp!$A$16),$D137,0)</f>
        <v>0</v>
      </c>
      <c r="G137">
        <f>IF(AND($C137 = Temp!$C$1, $B137 = Temp!$A$16),$D137,0)</f>
        <v>0</v>
      </c>
      <c r="H137">
        <f>IF(AND($C137 = Temp!$D$1, $B137 = Temp!$A$16),$D137,0)</f>
        <v>0</v>
      </c>
      <c r="I137">
        <f>IF(AND($C137 = Temp!$E$1, $B137 = Temp!$A$16),$D137,0)</f>
        <v>0</v>
      </c>
      <c r="J137">
        <f>IF(AND($C137 = Temp!$F$1, $B137 = Temp!$A$16),$D137,0)</f>
        <v>0</v>
      </c>
      <c r="K137">
        <f>IF(AND($C137 = Temp!$G$1, $B137 = Temp!$A$16),$D137,0)</f>
        <v>0</v>
      </c>
      <c r="L137">
        <f>IF(AND($C137 = Temp!$H$1, $B137 = Temp!$A$16),$D137,0)</f>
        <v>0</v>
      </c>
      <c r="M137">
        <f>IF(AND($C137 = Temp!$I$1, $B137 = Temp!$A$16),$D137,0)</f>
        <v>0</v>
      </c>
      <c r="N137">
        <f>IF(AND($C137 = Temp!$J$1, $B137 = Temp!$A$16),$D137,0)</f>
        <v>0</v>
      </c>
      <c r="O137">
        <f>IF(AND($C137 = Temp!$K$1, $B137 = Temp!$A$16),$D137,0)</f>
        <v>0</v>
      </c>
    </row>
    <row r="138" spans="2:15" hidden="1" x14ac:dyDescent="0.2">
      <c r="B138" t="s">
        <v>417</v>
      </c>
      <c r="C138" t="s">
        <v>261</v>
      </c>
      <c r="D138">
        <v>2</v>
      </c>
      <c r="F138">
        <f>IF(AND($C138 = Temp!$B$1, $B138 = Temp!$A$16),$D138,0)</f>
        <v>0</v>
      </c>
      <c r="G138">
        <f>IF(AND($C138 = Temp!$C$1, $B138 = Temp!$A$16),$D138,0)</f>
        <v>0</v>
      </c>
      <c r="H138">
        <f>IF(AND($C138 = Temp!$D$1, $B138 = Temp!$A$16),$D138,0)</f>
        <v>0</v>
      </c>
      <c r="I138">
        <f>IF(AND($C138 = Temp!$E$1, $B138 = Temp!$A$16),$D138,0)</f>
        <v>0</v>
      </c>
      <c r="J138">
        <f>IF(AND($C138 = Temp!$F$1, $B138 = Temp!$A$16),$D138,0)</f>
        <v>0</v>
      </c>
      <c r="K138">
        <f>IF(AND($C138 = Temp!$G$1, $B138 = Temp!$A$16),$D138,0)</f>
        <v>0</v>
      </c>
      <c r="L138">
        <f>IF(AND($C138 = Temp!$H$1, $B138 = Temp!$A$16),$D138,0)</f>
        <v>0</v>
      </c>
      <c r="M138">
        <f>IF(AND($C138 = Temp!$I$1, $B138 = Temp!$A$16),$D138,0)</f>
        <v>0</v>
      </c>
      <c r="N138">
        <f>IF(AND($C138 = Temp!$J$1, $B138 = Temp!$A$16),$D138,0)</f>
        <v>0</v>
      </c>
      <c r="O138">
        <f>IF(AND($C138 = Temp!$K$1, $B138 = Temp!$A$16),$D138,0)</f>
        <v>0</v>
      </c>
    </row>
    <row r="139" spans="2:15" hidden="1" x14ac:dyDescent="0.2">
      <c r="B139" t="s">
        <v>417</v>
      </c>
      <c r="C139" t="s">
        <v>261</v>
      </c>
      <c r="D139">
        <v>2</v>
      </c>
      <c r="F139">
        <f>IF(AND($C139 = Temp!$B$1, $B139 = Temp!$A$16),$D139,0)</f>
        <v>0</v>
      </c>
      <c r="G139">
        <f>IF(AND($C139 = Temp!$C$1, $B139 = Temp!$A$16),$D139,0)</f>
        <v>0</v>
      </c>
      <c r="H139">
        <f>IF(AND($C139 = Temp!$D$1, $B139 = Temp!$A$16),$D139,0)</f>
        <v>0</v>
      </c>
      <c r="I139">
        <f>IF(AND($C139 = Temp!$E$1, $B139 = Temp!$A$16),$D139,0)</f>
        <v>0</v>
      </c>
      <c r="J139">
        <f>IF(AND($C139 = Temp!$F$1, $B139 = Temp!$A$16),$D139,0)</f>
        <v>0</v>
      </c>
      <c r="K139">
        <f>IF(AND($C139 = Temp!$G$1, $B139 = Temp!$A$16),$D139,0)</f>
        <v>0</v>
      </c>
      <c r="L139">
        <f>IF(AND($C139 = Temp!$H$1, $B139 = Temp!$A$16),$D139,0)</f>
        <v>0</v>
      </c>
      <c r="M139">
        <f>IF(AND($C139 = Temp!$I$1, $B139 = Temp!$A$16),$D139,0)</f>
        <v>0</v>
      </c>
      <c r="N139">
        <f>IF(AND($C139 = Temp!$J$1, $B139 = Temp!$A$16),$D139,0)</f>
        <v>0</v>
      </c>
      <c r="O139">
        <f>IF(AND($C139 = Temp!$K$1, $B139 = Temp!$A$16),$D139,0)</f>
        <v>0</v>
      </c>
    </row>
    <row r="140" spans="2:15" hidden="1" x14ac:dyDescent="0.2">
      <c r="B140" t="s">
        <v>417</v>
      </c>
      <c r="C140" t="s">
        <v>260</v>
      </c>
      <c r="D140">
        <v>1</v>
      </c>
      <c r="F140">
        <f>IF(AND($C140 = Temp!$B$1, $B140 = Temp!$A$16),$D140,0)</f>
        <v>0</v>
      </c>
      <c r="G140">
        <f>IF(AND($C140 = Temp!$C$1, $B140 = Temp!$A$16),$D140,0)</f>
        <v>0</v>
      </c>
      <c r="H140">
        <f>IF(AND($C140 = Temp!$D$1, $B140 = Temp!$A$16),$D140,0)</f>
        <v>0</v>
      </c>
      <c r="I140">
        <f>IF(AND($C140 = Temp!$E$1, $B140 = Temp!$A$16),$D140,0)</f>
        <v>0</v>
      </c>
      <c r="J140">
        <f>IF(AND($C140 = Temp!$F$1, $B140 = Temp!$A$16),$D140,0)</f>
        <v>0</v>
      </c>
      <c r="K140">
        <f>IF(AND($C140 = Temp!$G$1, $B140 = Temp!$A$16),$D140,0)</f>
        <v>0</v>
      </c>
      <c r="L140">
        <f>IF(AND($C140 = Temp!$H$1, $B140 = Temp!$A$16),$D140,0)</f>
        <v>0</v>
      </c>
      <c r="M140">
        <f>IF(AND($C140 = Temp!$I$1, $B140 = Temp!$A$16),$D140,0)</f>
        <v>0</v>
      </c>
      <c r="N140">
        <f>IF(AND($C140 = Temp!$J$1, $B140 = Temp!$A$16),$D140,0)</f>
        <v>0</v>
      </c>
      <c r="O140">
        <f>IF(AND($C140 = Temp!$K$1, $B140 = Temp!$A$16),$D140,0)</f>
        <v>0</v>
      </c>
    </row>
    <row r="141" spans="2:15" hidden="1" x14ac:dyDescent="0.2">
      <c r="B141" t="s">
        <v>417</v>
      </c>
      <c r="C141" t="s">
        <v>260</v>
      </c>
      <c r="D141">
        <v>0.5</v>
      </c>
      <c r="F141">
        <f>IF(AND($C141 = Temp!$B$1, $B141 = Temp!$A$16),$D141,0)</f>
        <v>0</v>
      </c>
      <c r="G141">
        <f>IF(AND($C141 = Temp!$C$1, $B141 = Temp!$A$16),$D141,0)</f>
        <v>0</v>
      </c>
      <c r="H141">
        <f>IF(AND($C141 = Temp!$D$1, $B141 = Temp!$A$16),$D141,0)</f>
        <v>0</v>
      </c>
      <c r="I141">
        <f>IF(AND($C141 = Temp!$E$1, $B141 = Temp!$A$16),$D141,0)</f>
        <v>0</v>
      </c>
      <c r="J141">
        <f>IF(AND($C141 = Temp!$F$1, $B141 = Temp!$A$16),$D141,0)</f>
        <v>0</v>
      </c>
      <c r="K141">
        <f>IF(AND($C141 = Temp!$G$1, $B141 = Temp!$A$16),$D141,0)</f>
        <v>0</v>
      </c>
      <c r="L141">
        <f>IF(AND($C141 = Temp!$H$1, $B141 = Temp!$A$16),$D141,0)</f>
        <v>0</v>
      </c>
      <c r="M141">
        <f>IF(AND($C141 = Temp!$I$1, $B141 = Temp!$A$16),$D141,0)</f>
        <v>0</v>
      </c>
      <c r="N141">
        <f>IF(AND($C141 = Temp!$J$1, $B141 = Temp!$A$16),$D141,0)</f>
        <v>0</v>
      </c>
      <c r="O141">
        <f>IF(AND($C141 = Temp!$K$1, $B141 = Temp!$A$16),$D141,0)</f>
        <v>0</v>
      </c>
    </row>
    <row r="142" spans="2:15" hidden="1" x14ac:dyDescent="0.2">
      <c r="B142" t="s">
        <v>417</v>
      </c>
      <c r="C142" t="s">
        <v>260</v>
      </c>
      <c r="D142">
        <v>0.5</v>
      </c>
      <c r="F142">
        <f>IF(AND($C142 = Temp!$B$1, $B142 = Temp!$A$16),$D142,0)</f>
        <v>0</v>
      </c>
      <c r="G142">
        <f>IF(AND($C142 = Temp!$C$1, $B142 = Temp!$A$16),$D142,0)</f>
        <v>0</v>
      </c>
      <c r="H142">
        <f>IF(AND($C142 = Temp!$D$1, $B142 = Temp!$A$16),$D142,0)</f>
        <v>0</v>
      </c>
      <c r="I142">
        <f>IF(AND($C142 = Temp!$E$1, $B142 = Temp!$A$16),$D142,0)</f>
        <v>0</v>
      </c>
      <c r="J142">
        <f>IF(AND($C142 = Temp!$F$1, $B142 = Temp!$A$16),$D142,0)</f>
        <v>0</v>
      </c>
      <c r="K142">
        <f>IF(AND($C142 = Temp!$G$1, $B142 = Temp!$A$16),$D142,0)</f>
        <v>0</v>
      </c>
      <c r="L142">
        <f>IF(AND($C142 = Temp!$H$1, $B142 = Temp!$A$16),$D142,0)</f>
        <v>0</v>
      </c>
      <c r="M142">
        <f>IF(AND($C142 = Temp!$I$1, $B142 = Temp!$A$16),$D142,0)</f>
        <v>0</v>
      </c>
      <c r="N142">
        <f>IF(AND($C142 = Temp!$J$1, $B142 = Temp!$A$16),$D142,0)</f>
        <v>0</v>
      </c>
      <c r="O142">
        <f>IF(AND($C142 = Temp!$K$1, $B142 = Temp!$A$16),$D142,0)</f>
        <v>0</v>
      </c>
    </row>
    <row r="143" spans="2:15" hidden="1" x14ac:dyDescent="0.2">
      <c r="B143" t="s">
        <v>417</v>
      </c>
      <c r="C143" t="s">
        <v>260</v>
      </c>
      <c r="D143">
        <v>0.5</v>
      </c>
      <c r="F143">
        <f>IF(AND($C143 = Temp!$B$1, $B143 = Temp!$A$16),$D143,0)</f>
        <v>0</v>
      </c>
      <c r="G143">
        <f>IF(AND($C143 = Temp!$C$1, $B143 = Temp!$A$16),$D143,0)</f>
        <v>0</v>
      </c>
      <c r="H143">
        <f>IF(AND($C143 = Temp!$D$1, $B143 = Temp!$A$16),$D143,0)</f>
        <v>0</v>
      </c>
      <c r="I143">
        <f>IF(AND($C143 = Temp!$E$1, $B143 = Temp!$A$16),$D143,0)</f>
        <v>0</v>
      </c>
      <c r="J143">
        <f>IF(AND($C143 = Temp!$F$1, $B143 = Temp!$A$16),$D143,0)</f>
        <v>0</v>
      </c>
      <c r="K143">
        <f>IF(AND($C143 = Temp!$G$1, $B143 = Temp!$A$16),$D143,0)</f>
        <v>0</v>
      </c>
      <c r="L143">
        <f>IF(AND($C143 = Temp!$H$1, $B143 = Temp!$A$16),$D143,0)</f>
        <v>0</v>
      </c>
      <c r="M143">
        <f>IF(AND($C143 = Temp!$I$1, $B143 = Temp!$A$16),$D143,0)</f>
        <v>0</v>
      </c>
      <c r="N143">
        <f>IF(AND($C143 = Temp!$J$1, $B143 = Temp!$A$16),$D143,0)</f>
        <v>0</v>
      </c>
      <c r="O143">
        <f>IF(AND($C143 = Temp!$K$1, $B143 = Temp!$A$16),$D143,0)</f>
        <v>0</v>
      </c>
    </row>
    <row r="144" spans="2:15" hidden="1" x14ac:dyDescent="0.2">
      <c r="B144" t="s">
        <v>417</v>
      </c>
      <c r="C144" t="s">
        <v>260</v>
      </c>
      <c r="D144">
        <v>0.5</v>
      </c>
      <c r="F144">
        <f>IF(AND($C144 = Temp!$B$1, $B144 = Temp!$A$16),$D144,0)</f>
        <v>0</v>
      </c>
      <c r="G144">
        <f>IF(AND($C144 = Temp!$C$1, $B144 = Temp!$A$16),$D144,0)</f>
        <v>0</v>
      </c>
      <c r="H144">
        <f>IF(AND($C144 = Temp!$D$1, $B144 = Temp!$A$16),$D144,0)</f>
        <v>0</v>
      </c>
      <c r="I144">
        <f>IF(AND($C144 = Temp!$E$1, $B144 = Temp!$A$16),$D144,0)</f>
        <v>0</v>
      </c>
      <c r="J144">
        <f>IF(AND($C144 = Temp!$F$1, $B144 = Temp!$A$16),$D144,0)</f>
        <v>0</v>
      </c>
      <c r="K144">
        <f>IF(AND($C144 = Temp!$G$1, $B144 = Temp!$A$16),$D144,0)</f>
        <v>0</v>
      </c>
      <c r="L144">
        <f>IF(AND($C144 = Temp!$H$1, $B144 = Temp!$A$16),$D144,0)</f>
        <v>0</v>
      </c>
      <c r="M144">
        <f>IF(AND($C144 = Temp!$I$1, $B144 = Temp!$A$16),$D144,0)</f>
        <v>0</v>
      </c>
      <c r="N144">
        <f>IF(AND($C144 = Temp!$J$1, $B144 = Temp!$A$16),$D144,0)</f>
        <v>0</v>
      </c>
      <c r="O144">
        <f>IF(AND($C144 = Temp!$K$1, $B144 = Temp!$A$16),$D144,0)</f>
        <v>0</v>
      </c>
    </row>
    <row r="145" spans="2:15" hidden="1" x14ac:dyDescent="0.2">
      <c r="B145" t="s">
        <v>417</v>
      </c>
      <c r="C145" t="s">
        <v>260</v>
      </c>
      <c r="D145">
        <v>0.5</v>
      </c>
      <c r="F145">
        <f>IF(AND($C145 = Temp!$B$1, $B145 = Temp!$A$16),$D145,0)</f>
        <v>0</v>
      </c>
      <c r="G145">
        <f>IF(AND($C145 = Temp!$C$1, $B145 = Temp!$A$16),$D145,0)</f>
        <v>0</v>
      </c>
      <c r="H145">
        <f>IF(AND($C145 = Temp!$D$1, $B145 = Temp!$A$16),$D145,0)</f>
        <v>0</v>
      </c>
      <c r="I145">
        <f>IF(AND($C145 = Temp!$E$1, $B145 = Temp!$A$16),$D145,0)</f>
        <v>0</v>
      </c>
      <c r="J145">
        <f>IF(AND($C145 = Temp!$F$1, $B145 = Temp!$A$16),$D145,0)</f>
        <v>0</v>
      </c>
      <c r="K145">
        <f>IF(AND($C145 = Temp!$G$1, $B145 = Temp!$A$16),$D145,0)</f>
        <v>0</v>
      </c>
      <c r="L145">
        <f>IF(AND($C145 = Temp!$H$1, $B145 = Temp!$A$16),$D145,0)</f>
        <v>0</v>
      </c>
      <c r="M145">
        <f>IF(AND($C145 = Temp!$I$1, $B145 = Temp!$A$16),$D145,0)</f>
        <v>0</v>
      </c>
      <c r="N145">
        <f>IF(AND($C145 = Temp!$J$1, $B145 = Temp!$A$16),$D145,0)</f>
        <v>0</v>
      </c>
      <c r="O145">
        <f>IF(AND($C145 = Temp!$K$1, $B145 = Temp!$A$16),$D145,0)</f>
        <v>0</v>
      </c>
    </row>
    <row r="146" spans="2:15" hidden="1" x14ac:dyDescent="0.2">
      <c r="B146" t="s">
        <v>417</v>
      </c>
      <c r="C146" t="s">
        <v>219</v>
      </c>
      <c r="D146">
        <v>1</v>
      </c>
      <c r="F146">
        <f>IF(AND($C146 = Temp!$B$1, $B146 = Temp!$A$16),$D146,0)</f>
        <v>0</v>
      </c>
      <c r="G146">
        <f>IF(AND($C146 = Temp!$C$1, $B146 = Temp!$A$16),$D146,0)</f>
        <v>0</v>
      </c>
      <c r="H146">
        <f>IF(AND($C146 = Temp!$D$1, $B146 = Temp!$A$16),$D146,0)</f>
        <v>0</v>
      </c>
      <c r="I146">
        <f>IF(AND($C146 = Temp!$E$1, $B146 = Temp!$A$16),$D146,0)</f>
        <v>0</v>
      </c>
      <c r="J146">
        <f>IF(AND($C146 = Temp!$F$1, $B146 = Temp!$A$16),$D146,0)</f>
        <v>0</v>
      </c>
      <c r="K146">
        <f>IF(AND($C146 = Temp!$G$1, $B146 = Temp!$A$16),$D146,0)</f>
        <v>0</v>
      </c>
      <c r="L146">
        <f>IF(AND($C146 = Temp!$H$1, $B146 = Temp!$A$16),$D146,0)</f>
        <v>0</v>
      </c>
      <c r="M146">
        <f>IF(AND($C146 = Temp!$I$1, $B146 = Temp!$A$16),$D146,0)</f>
        <v>0</v>
      </c>
      <c r="N146">
        <f>IF(AND($C146 = Temp!$J$1, $B146 = Temp!$A$16),$D146,0)</f>
        <v>0</v>
      </c>
      <c r="O146">
        <f>IF(AND($C146 = Temp!$K$1, $B146 = Temp!$A$16),$D146,0)</f>
        <v>0</v>
      </c>
    </row>
    <row r="147" spans="2:15" hidden="1" x14ac:dyDescent="0.2">
      <c r="B147" t="s">
        <v>417</v>
      </c>
      <c r="C147" t="s">
        <v>279</v>
      </c>
      <c r="D147">
        <v>0.5</v>
      </c>
      <c r="F147">
        <f>IF(AND($C147 = Temp!$B$1, $B147 = Temp!$A$16),$D147,0)</f>
        <v>0</v>
      </c>
      <c r="G147">
        <f>IF(AND($C147 = Temp!$C$1, $B147 = Temp!$A$16),$D147,0)</f>
        <v>0</v>
      </c>
      <c r="H147">
        <f>IF(AND($C147 = Temp!$D$1, $B147 = Temp!$A$16),$D147,0)</f>
        <v>0</v>
      </c>
      <c r="I147">
        <f>IF(AND($C147 = Temp!$E$1, $B147 = Temp!$A$16),$D147,0)</f>
        <v>0</v>
      </c>
      <c r="J147">
        <f>IF(AND($C147 = Temp!$F$1, $B147 = Temp!$A$16),$D147,0)</f>
        <v>0</v>
      </c>
      <c r="K147">
        <f>IF(AND($C147 = Temp!$G$1, $B147 = Temp!$A$16),$D147,0)</f>
        <v>0</v>
      </c>
      <c r="L147">
        <f>IF(AND($C147 = Temp!$H$1, $B147 = Temp!$A$16),$D147,0)</f>
        <v>0</v>
      </c>
      <c r="M147">
        <f>IF(AND($C147 = Temp!$I$1, $B147 = Temp!$A$16),$D147,0)</f>
        <v>0</v>
      </c>
      <c r="N147">
        <f>IF(AND($C147 = Temp!$J$1, $B147 = Temp!$A$16),$D147,0)</f>
        <v>0</v>
      </c>
      <c r="O147">
        <f>IF(AND($C147 = Temp!$K$1, $B147 = Temp!$A$16),$D147,0)</f>
        <v>0</v>
      </c>
    </row>
    <row r="148" spans="2:15" hidden="1" x14ac:dyDescent="0.2">
      <c r="B148" t="s">
        <v>417</v>
      </c>
      <c r="C148" t="s">
        <v>261</v>
      </c>
      <c r="D148">
        <v>0.5</v>
      </c>
      <c r="F148">
        <f>IF(AND($C148 = Temp!$B$1, $B148 = Temp!$A$16),$D148,0)</f>
        <v>0</v>
      </c>
      <c r="G148">
        <f>IF(AND($C148 = Temp!$C$1, $B148 = Temp!$A$16),$D148,0)</f>
        <v>0</v>
      </c>
      <c r="H148">
        <f>IF(AND($C148 = Temp!$D$1, $B148 = Temp!$A$16),$D148,0)</f>
        <v>0</v>
      </c>
      <c r="I148">
        <f>IF(AND($C148 = Temp!$E$1, $B148 = Temp!$A$16),$D148,0)</f>
        <v>0</v>
      </c>
      <c r="J148">
        <f>IF(AND($C148 = Temp!$F$1, $B148 = Temp!$A$16),$D148,0)</f>
        <v>0</v>
      </c>
      <c r="K148">
        <f>IF(AND($C148 = Temp!$G$1, $B148 = Temp!$A$16),$D148,0)</f>
        <v>0</v>
      </c>
      <c r="L148">
        <f>IF(AND($C148 = Temp!$H$1, $B148 = Temp!$A$16),$D148,0)</f>
        <v>0</v>
      </c>
      <c r="M148">
        <f>IF(AND($C148 = Temp!$I$1, $B148 = Temp!$A$16),$D148,0)</f>
        <v>0</v>
      </c>
      <c r="N148">
        <f>IF(AND($C148 = Temp!$J$1, $B148 = Temp!$A$16),$D148,0)</f>
        <v>0</v>
      </c>
      <c r="O148">
        <f>IF(AND($C148 = Temp!$K$1, $B148 = Temp!$A$16),$D148,0)</f>
        <v>0</v>
      </c>
    </row>
    <row r="149" spans="2:15" hidden="1" x14ac:dyDescent="0.2">
      <c r="B149" t="s">
        <v>417</v>
      </c>
      <c r="C149" t="s">
        <v>279</v>
      </c>
      <c r="D149">
        <v>0.5</v>
      </c>
      <c r="F149">
        <f>IF(AND($C149 = Temp!$B$1, $B149 = Temp!$A$16),$D149,0)</f>
        <v>0</v>
      </c>
      <c r="G149">
        <f>IF(AND($C149 = Temp!$C$1, $B149 = Temp!$A$16),$D149,0)</f>
        <v>0</v>
      </c>
      <c r="H149">
        <f>IF(AND($C149 = Temp!$D$1, $B149 = Temp!$A$16),$D149,0)</f>
        <v>0</v>
      </c>
      <c r="I149">
        <f>IF(AND($C149 = Temp!$E$1, $B149 = Temp!$A$16),$D149,0)</f>
        <v>0</v>
      </c>
      <c r="J149">
        <f>IF(AND($C149 = Temp!$F$1, $B149 = Temp!$A$16),$D149,0)</f>
        <v>0</v>
      </c>
      <c r="K149">
        <f>IF(AND($C149 = Temp!$G$1, $B149 = Temp!$A$16),$D149,0)</f>
        <v>0</v>
      </c>
      <c r="L149">
        <f>IF(AND($C149 = Temp!$H$1, $B149 = Temp!$A$16),$D149,0)</f>
        <v>0</v>
      </c>
      <c r="M149">
        <f>IF(AND($C149 = Temp!$I$1, $B149 = Temp!$A$16),$D149,0)</f>
        <v>0</v>
      </c>
      <c r="N149">
        <f>IF(AND($C149 = Temp!$J$1, $B149 = Temp!$A$16),$D149,0)</f>
        <v>0</v>
      </c>
      <c r="O149">
        <f>IF(AND($C149 = Temp!$K$1, $B149 = Temp!$A$16),$D149,0)</f>
        <v>0</v>
      </c>
    </row>
    <row r="150" spans="2:15" hidden="1" x14ac:dyDescent="0.2">
      <c r="B150" t="s">
        <v>417</v>
      </c>
      <c r="C150" t="s">
        <v>260</v>
      </c>
      <c r="D150">
        <v>0.5</v>
      </c>
      <c r="F150">
        <f>IF(AND($C150 = Temp!$B$1, $B150 = Temp!$A$16),$D150,0)</f>
        <v>0</v>
      </c>
      <c r="G150">
        <f>IF(AND($C150 = Temp!$C$1, $B150 = Temp!$A$16),$D150,0)</f>
        <v>0</v>
      </c>
      <c r="H150">
        <f>IF(AND($C150 = Temp!$D$1, $B150 = Temp!$A$16),$D150,0)</f>
        <v>0</v>
      </c>
      <c r="I150">
        <f>IF(AND($C150 = Temp!$E$1, $B150 = Temp!$A$16),$D150,0)</f>
        <v>0</v>
      </c>
      <c r="J150">
        <f>IF(AND($C150 = Temp!$F$1, $B150 = Temp!$A$16),$D150,0)</f>
        <v>0</v>
      </c>
      <c r="K150">
        <f>IF(AND($C150 = Temp!$G$1, $B150 = Temp!$A$16),$D150,0)</f>
        <v>0</v>
      </c>
      <c r="L150">
        <f>IF(AND($C150 = Temp!$H$1, $B150 = Temp!$A$16),$D150,0)</f>
        <v>0</v>
      </c>
      <c r="M150">
        <f>IF(AND($C150 = Temp!$I$1, $B150 = Temp!$A$16),$D150,0)</f>
        <v>0</v>
      </c>
      <c r="N150">
        <f>IF(AND($C150 = Temp!$J$1, $B150 = Temp!$A$16),$D150,0)</f>
        <v>0</v>
      </c>
      <c r="O150">
        <f>IF(AND($C150 = Temp!$K$1, $B150 = Temp!$A$16),$D150,0)</f>
        <v>0</v>
      </c>
    </row>
    <row r="151" spans="2:15" hidden="1" x14ac:dyDescent="0.2">
      <c r="B151" t="s">
        <v>417</v>
      </c>
      <c r="C151" t="s">
        <v>260</v>
      </c>
      <c r="D151">
        <v>0.7</v>
      </c>
      <c r="F151">
        <f>IF(AND($C151 = Temp!$B$1, $B151 = Temp!$A$16),$D151,0)</f>
        <v>0</v>
      </c>
      <c r="G151">
        <f>IF(AND($C151 = Temp!$C$1, $B151 = Temp!$A$16),$D151,0)</f>
        <v>0</v>
      </c>
      <c r="H151">
        <f>IF(AND($C151 = Temp!$D$1, $B151 = Temp!$A$16),$D151,0)</f>
        <v>0</v>
      </c>
      <c r="I151">
        <f>IF(AND($C151 = Temp!$E$1, $B151 = Temp!$A$16),$D151,0)</f>
        <v>0</v>
      </c>
      <c r="J151">
        <f>IF(AND($C151 = Temp!$F$1, $B151 = Temp!$A$16),$D151,0)</f>
        <v>0</v>
      </c>
      <c r="K151">
        <f>IF(AND($C151 = Temp!$G$1, $B151 = Temp!$A$16),$D151,0)</f>
        <v>0</v>
      </c>
      <c r="L151">
        <f>IF(AND($C151 = Temp!$H$1, $B151 = Temp!$A$16),$D151,0)</f>
        <v>0</v>
      </c>
      <c r="M151">
        <f>IF(AND($C151 = Temp!$I$1, $B151 = Temp!$A$16),$D151,0)</f>
        <v>0</v>
      </c>
      <c r="N151">
        <f>IF(AND($C151 = Temp!$J$1, $B151 = Temp!$A$16),$D151,0)</f>
        <v>0</v>
      </c>
      <c r="O151">
        <f>IF(AND($C151 = Temp!$K$1, $B151 = Temp!$A$16),$D151,0)</f>
        <v>0</v>
      </c>
    </row>
    <row r="152" spans="2:15" hidden="1" x14ac:dyDescent="0.2">
      <c r="B152" t="s">
        <v>417</v>
      </c>
      <c r="C152" t="s">
        <v>260</v>
      </c>
      <c r="D152">
        <v>0.7</v>
      </c>
      <c r="F152">
        <f>IF(AND($C152 = Temp!$B$1, $B152 = Temp!$A$16),$D152,0)</f>
        <v>0</v>
      </c>
      <c r="G152">
        <f>IF(AND($C152 = Temp!$C$1, $B152 = Temp!$A$16),$D152,0)</f>
        <v>0</v>
      </c>
      <c r="H152">
        <f>IF(AND($C152 = Temp!$D$1, $B152 = Temp!$A$16),$D152,0)</f>
        <v>0</v>
      </c>
      <c r="I152">
        <f>IF(AND($C152 = Temp!$E$1, $B152 = Temp!$A$16),$D152,0)</f>
        <v>0</v>
      </c>
      <c r="J152">
        <f>IF(AND($C152 = Temp!$F$1, $B152 = Temp!$A$16),$D152,0)</f>
        <v>0</v>
      </c>
      <c r="K152">
        <f>IF(AND($C152 = Temp!$G$1, $B152 = Temp!$A$16),$D152,0)</f>
        <v>0</v>
      </c>
      <c r="L152">
        <f>IF(AND($C152 = Temp!$H$1, $B152 = Temp!$A$16),$D152,0)</f>
        <v>0</v>
      </c>
      <c r="M152">
        <f>IF(AND($C152 = Temp!$I$1, $B152 = Temp!$A$16),$D152,0)</f>
        <v>0</v>
      </c>
      <c r="N152">
        <f>IF(AND($C152 = Temp!$J$1, $B152 = Temp!$A$16),$D152,0)</f>
        <v>0</v>
      </c>
      <c r="O152">
        <f>IF(AND($C152 = Temp!$K$1, $B152 = Temp!$A$16),$D152,0)</f>
        <v>0</v>
      </c>
    </row>
    <row r="153" spans="2:15" hidden="1" x14ac:dyDescent="0.2">
      <c r="B153" t="s">
        <v>417</v>
      </c>
      <c r="C153" t="s">
        <v>261</v>
      </c>
      <c r="D153">
        <v>0.5</v>
      </c>
      <c r="F153">
        <f>IF(AND($C153 = Temp!$B$1, $B153 = Temp!$A$16),$D153,0)</f>
        <v>0</v>
      </c>
      <c r="G153">
        <f>IF(AND($C153 = Temp!$C$1, $B153 = Temp!$A$16),$D153,0)</f>
        <v>0</v>
      </c>
      <c r="H153">
        <f>IF(AND($C153 = Temp!$D$1, $B153 = Temp!$A$16),$D153,0)</f>
        <v>0</v>
      </c>
      <c r="I153">
        <f>IF(AND($C153 = Temp!$E$1, $B153 = Temp!$A$16),$D153,0)</f>
        <v>0</v>
      </c>
      <c r="J153">
        <f>IF(AND($C153 = Temp!$F$1, $B153 = Temp!$A$16),$D153,0)</f>
        <v>0</v>
      </c>
      <c r="K153">
        <f>IF(AND($C153 = Temp!$G$1, $B153 = Temp!$A$16),$D153,0)</f>
        <v>0</v>
      </c>
      <c r="L153">
        <f>IF(AND($C153 = Temp!$H$1, $B153 = Temp!$A$16),$D153,0)</f>
        <v>0</v>
      </c>
      <c r="M153">
        <f>IF(AND($C153 = Temp!$I$1, $B153 = Temp!$A$16),$D153,0)</f>
        <v>0</v>
      </c>
      <c r="N153">
        <f>IF(AND($C153 = Temp!$J$1, $B153 = Temp!$A$16),$D153,0)</f>
        <v>0</v>
      </c>
      <c r="O153">
        <f>IF(AND($C153 = Temp!$K$1, $B153 = Temp!$A$16),$D153,0)</f>
        <v>0</v>
      </c>
    </row>
    <row r="154" spans="2:15" hidden="1" x14ac:dyDescent="0.2">
      <c r="B154" t="s">
        <v>417</v>
      </c>
      <c r="C154" t="s">
        <v>219</v>
      </c>
      <c r="D154">
        <v>1</v>
      </c>
      <c r="F154">
        <f>IF(AND($C154 = Temp!$B$1, $B154 = Temp!$A$16),$D154,0)</f>
        <v>0</v>
      </c>
      <c r="G154">
        <f>IF(AND($C154 = Temp!$C$1, $B154 = Temp!$A$16),$D154,0)</f>
        <v>0</v>
      </c>
      <c r="H154">
        <f>IF(AND($C154 = Temp!$D$1, $B154 = Temp!$A$16),$D154,0)</f>
        <v>0</v>
      </c>
      <c r="I154">
        <f>IF(AND($C154 = Temp!$E$1, $B154 = Temp!$A$16),$D154,0)</f>
        <v>0</v>
      </c>
      <c r="J154">
        <f>IF(AND($C154 = Temp!$F$1, $B154 = Temp!$A$16),$D154,0)</f>
        <v>0</v>
      </c>
      <c r="K154">
        <f>IF(AND($C154 = Temp!$G$1, $B154 = Temp!$A$16),$D154,0)</f>
        <v>0</v>
      </c>
      <c r="L154">
        <f>IF(AND($C154 = Temp!$H$1, $B154 = Temp!$A$16),$D154,0)</f>
        <v>0</v>
      </c>
      <c r="M154">
        <f>IF(AND($C154 = Temp!$I$1, $B154 = Temp!$A$16),$D154,0)</f>
        <v>0</v>
      </c>
      <c r="N154">
        <f>IF(AND($C154 = Temp!$J$1, $B154 = Temp!$A$16),$D154,0)</f>
        <v>0</v>
      </c>
      <c r="O154">
        <f>IF(AND($C154 = Temp!$K$1, $B154 = Temp!$A$16),$D154,0)</f>
        <v>0</v>
      </c>
    </row>
    <row r="155" spans="2:15" hidden="1" x14ac:dyDescent="0.2">
      <c r="B155" t="s">
        <v>417</v>
      </c>
      <c r="C155" t="s">
        <v>279</v>
      </c>
      <c r="D155">
        <v>0.5</v>
      </c>
      <c r="F155">
        <f>IF(AND($C155 = Temp!$B$1, $B155 = Temp!$A$16),$D155,0)</f>
        <v>0</v>
      </c>
      <c r="G155">
        <f>IF(AND($C155 = Temp!$C$1, $B155 = Temp!$A$16),$D155,0)</f>
        <v>0</v>
      </c>
      <c r="H155">
        <f>IF(AND($C155 = Temp!$D$1, $B155 = Temp!$A$16),$D155,0)</f>
        <v>0</v>
      </c>
      <c r="I155">
        <f>IF(AND($C155 = Temp!$E$1, $B155 = Temp!$A$16),$D155,0)</f>
        <v>0</v>
      </c>
      <c r="J155">
        <f>IF(AND($C155 = Temp!$F$1, $B155 = Temp!$A$16),$D155,0)</f>
        <v>0</v>
      </c>
      <c r="K155">
        <f>IF(AND($C155 = Temp!$G$1, $B155 = Temp!$A$16),$D155,0)</f>
        <v>0</v>
      </c>
      <c r="L155">
        <f>IF(AND($C155 = Temp!$H$1, $B155 = Temp!$A$16),$D155,0)</f>
        <v>0</v>
      </c>
      <c r="M155">
        <f>IF(AND($C155 = Temp!$I$1, $B155 = Temp!$A$16),$D155,0)</f>
        <v>0</v>
      </c>
      <c r="N155">
        <f>IF(AND($C155 = Temp!$J$1, $B155 = Temp!$A$16),$D155,0)</f>
        <v>0</v>
      </c>
      <c r="O155">
        <f>IF(AND($C155 = Temp!$K$1, $B155 = Temp!$A$16),$D155,0)</f>
        <v>0</v>
      </c>
    </row>
    <row r="156" spans="2:15" hidden="1" x14ac:dyDescent="0.2">
      <c r="B156" t="s">
        <v>417</v>
      </c>
      <c r="C156" t="s">
        <v>279</v>
      </c>
      <c r="D156">
        <v>2</v>
      </c>
      <c r="F156">
        <f>IF(AND($C156 = Temp!$B$1, $B156 = Temp!$A$16),$D156,0)</f>
        <v>0</v>
      </c>
      <c r="G156">
        <f>IF(AND($C156 = Temp!$C$1, $B156 = Temp!$A$16),$D156,0)</f>
        <v>0</v>
      </c>
      <c r="H156">
        <f>IF(AND($C156 = Temp!$D$1, $B156 = Temp!$A$16),$D156,0)</f>
        <v>0</v>
      </c>
      <c r="I156">
        <f>IF(AND($C156 = Temp!$E$1, $B156 = Temp!$A$16),$D156,0)</f>
        <v>0</v>
      </c>
      <c r="J156">
        <f>IF(AND($C156 = Temp!$F$1, $B156 = Temp!$A$16),$D156,0)</f>
        <v>0</v>
      </c>
      <c r="K156">
        <f>IF(AND($C156 = Temp!$G$1, $B156 = Temp!$A$16),$D156,0)</f>
        <v>0</v>
      </c>
      <c r="L156">
        <f>IF(AND($C156 = Temp!$H$1, $B156 = Temp!$A$16),$D156,0)</f>
        <v>0</v>
      </c>
      <c r="M156">
        <f>IF(AND($C156 = Temp!$I$1, $B156 = Temp!$A$16),$D156,0)</f>
        <v>0</v>
      </c>
      <c r="N156">
        <f>IF(AND($C156 = Temp!$J$1, $B156 = Temp!$A$16),$D156,0)</f>
        <v>0</v>
      </c>
      <c r="O156">
        <f>IF(AND($C156 = Temp!$K$1, $B156 = Temp!$A$16),$D156,0)</f>
        <v>0</v>
      </c>
    </row>
    <row r="157" spans="2:15" hidden="1" x14ac:dyDescent="0.2">
      <c r="B157" t="s">
        <v>417</v>
      </c>
      <c r="C157" t="s">
        <v>260</v>
      </c>
      <c r="D157">
        <v>0.5</v>
      </c>
      <c r="F157">
        <f>IF(AND($C157 = Temp!$B$1, $B157 = Temp!$A$16),$D157,0)</f>
        <v>0</v>
      </c>
      <c r="G157">
        <f>IF(AND($C157 = Temp!$C$1, $B157 = Temp!$A$16),$D157,0)</f>
        <v>0</v>
      </c>
      <c r="H157">
        <f>IF(AND($C157 = Temp!$D$1, $B157 = Temp!$A$16),$D157,0)</f>
        <v>0</v>
      </c>
      <c r="I157">
        <f>IF(AND($C157 = Temp!$E$1, $B157 = Temp!$A$16),$D157,0)</f>
        <v>0</v>
      </c>
      <c r="J157">
        <f>IF(AND($C157 = Temp!$F$1, $B157 = Temp!$A$16),$D157,0)</f>
        <v>0</v>
      </c>
      <c r="K157">
        <f>IF(AND($C157 = Temp!$G$1, $B157 = Temp!$A$16),$D157,0)</f>
        <v>0</v>
      </c>
      <c r="L157">
        <f>IF(AND($C157 = Temp!$H$1, $B157 = Temp!$A$16),$D157,0)</f>
        <v>0</v>
      </c>
      <c r="M157">
        <f>IF(AND($C157 = Temp!$I$1, $B157 = Temp!$A$16),$D157,0)</f>
        <v>0</v>
      </c>
      <c r="N157">
        <f>IF(AND($C157 = Temp!$J$1, $B157 = Temp!$A$16),$D157,0)</f>
        <v>0</v>
      </c>
      <c r="O157">
        <f>IF(AND($C157 = Temp!$K$1, $B157 = Temp!$A$16),$D157,0)</f>
        <v>0</v>
      </c>
    </row>
    <row r="158" spans="2:15" hidden="1" x14ac:dyDescent="0.2">
      <c r="B158" t="s">
        <v>417</v>
      </c>
      <c r="C158" t="s">
        <v>219</v>
      </c>
      <c r="D158">
        <v>1</v>
      </c>
      <c r="F158">
        <f>IF(AND($C158 = Temp!$B$1, $B158 = Temp!$A$16),$D158,0)</f>
        <v>0</v>
      </c>
      <c r="G158">
        <f>IF(AND($C158 = Temp!$C$1, $B158 = Temp!$A$16),$D158,0)</f>
        <v>0</v>
      </c>
      <c r="H158">
        <f>IF(AND($C158 = Temp!$D$1, $B158 = Temp!$A$16),$D158,0)</f>
        <v>0</v>
      </c>
      <c r="I158">
        <f>IF(AND($C158 = Temp!$E$1, $B158 = Temp!$A$16),$D158,0)</f>
        <v>0</v>
      </c>
      <c r="J158">
        <f>IF(AND($C158 = Temp!$F$1, $B158 = Temp!$A$16),$D158,0)</f>
        <v>0</v>
      </c>
      <c r="K158">
        <f>IF(AND($C158 = Temp!$G$1, $B158 = Temp!$A$16),$D158,0)</f>
        <v>0</v>
      </c>
      <c r="L158">
        <f>IF(AND($C158 = Temp!$H$1, $B158 = Temp!$A$16),$D158,0)</f>
        <v>0</v>
      </c>
      <c r="M158">
        <f>IF(AND($C158 = Temp!$I$1, $B158 = Temp!$A$16),$D158,0)</f>
        <v>0</v>
      </c>
      <c r="N158">
        <f>IF(AND($C158 = Temp!$J$1, $B158 = Temp!$A$16),$D158,0)</f>
        <v>0</v>
      </c>
      <c r="O158">
        <f>IF(AND($C158 = Temp!$K$1, $B158 = Temp!$A$16),$D158,0)</f>
        <v>0</v>
      </c>
    </row>
    <row r="159" spans="2:15" hidden="1" x14ac:dyDescent="0.2">
      <c r="B159" t="s">
        <v>417</v>
      </c>
      <c r="C159" t="s">
        <v>261</v>
      </c>
      <c r="D159">
        <v>1</v>
      </c>
      <c r="F159">
        <f>IF(AND($C159 = Temp!$B$1, $B159 = Temp!$A$16),$D159,0)</f>
        <v>0</v>
      </c>
      <c r="G159">
        <f>IF(AND($C159 = Temp!$C$1, $B159 = Temp!$A$16),$D159,0)</f>
        <v>0</v>
      </c>
      <c r="H159">
        <f>IF(AND($C159 = Temp!$D$1, $B159 = Temp!$A$16),$D159,0)</f>
        <v>0</v>
      </c>
      <c r="I159">
        <f>IF(AND($C159 = Temp!$E$1, $B159 = Temp!$A$16),$D159,0)</f>
        <v>0</v>
      </c>
      <c r="J159">
        <f>IF(AND($C159 = Temp!$F$1, $B159 = Temp!$A$16),$D159,0)</f>
        <v>0</v>
      </c>
      <c r="K159">
        <f>IF(AND($C159 = Temp!$G$1, $B159 = Temp!$A$16),$D159,0)</f>
        <v>0</v>
      </c>
      <c r="L159">
        <f>IF(AND($C159 = Temp!$H$1, $B159 = Temp!$A$16),$D159,0)</f>
        <v>0</v>
      </c>
      <c r="M159">
        <f>IF(AND($C159 = Temp!$I$1, $B159 = Temp!$A$16),$D159,0)</f>
        <v>0</v>
      </c>
      <c r="N159">
        <f>IF(AND($C159 = Temp!$J$1, $B159 = Temp!$A$16),$D159,0)</f>
        <v>0</v>
      </c>
      <c r="O159">
        <f>IF(AND($C159 = Temp!$K$1, $B159 = Temp!$A$16),$D159,0)</f>
        <v>0</v>
      </c>
    </row>
    <row r="160" spans="2:15" hidden="1" x14ac:dyDescent="0.2">
      <c r="B160" t="s">
        <v>417</v>
      </c>
      <c r="C160" t="s">
        <v>279</v>
      </c>
      <c r="D160">
        <v>0.5</v>
      </c>
      <c r="F160">
        <f>IF(AND($C160 = Temp!$B$1, $B160 = Temp!$A$16),$D160,0)</f>
        <v>0</v>
      </c>
      <c r="G160">
        <f>IF(AND($C160 = Temp!$C$1, $B160 = Temp!$A$16),$D160,0)</f>
        <v>0</v>
      </c>
      <c r="H160">
        <f>IF(AND($C160 = Temp!$D$1, $B160 = Temp!$A$16),$D160,0)</f>
        <v>0</v>
      </c>
      <c r="I160">
        <f>IF(AND($C160 = Temp!$E$1, $B160 = Temp!$A$16),$D160,0)</f>
        <v>0</v>
      </c>
      <c r="J160">
        <f>IF(AND($C160 = Temp!$F$1, $B160 = Temp!$A$16),$D160,0)</f>
        <v>0</v>
      </c>
      <c r="K160">
        <f>IF(AND($C160 = Temp!$G$1, $B160 = Temp!$A$16),$D160,0)</f>
        <v>0</v>
      </c>
      <c r="L160">
        <f>IF(AND($C160 = Temp!$H$1, $B160 = Temp!$A$16),$D160,0)</f>
        <v>0</v>
      </c>
      <c r="M160">
        <f>IF(AND($C160 = Temp!$I$1, $B160 = Temp!$A$16),$D160,0)</f>
        <v>0</v>
      </c>
      <c r="N160">
        <f>IF(AND($C160 = Temp!$J$1, $B160 = Temp!$A$16),$D160,0)</f>
        <v>0</v>
      </c>
      <c r="O160">
        <f>IF(AND($C160 = Temp!$K$1, $B160 = Temp!$A$16),$D160,0)</f>
        <v>0</v>
      </c>
    </row>
    <row r="161" spans="2:15" hidden="1" x14ac:dyDescent="0.2">
      <c r="B161" t="s">
        <v>417</v>
      </c>
      <c r="C161" t="s">
        <v>279</v>
      </c>
      <c r="D161">
        <v>0.5</v>
      </c>
      <c r="F161">
        <f>IF(AND($C161 = Temp!$B$1, $B161 = Temp!$A$16),$D161,0)</f>
        <v>0</v>
      </c>
      <c r="G161">
        <f>IF(AND($C161 = Temp!$C$1, $B161 = Temp!$A$16),$D161,0)</f>
        <v>0</v>
      </c>
      <c r="H161">
        <f>IF(AND($C161 = Temp!$D$1, $B161 = Temp!$A$16),$D161,0)</f>
        <v>0</v>
      </c>
      <c r="I161">
        <f>IF(AND($C161 = Temp!$E$1, $B161 = Temp!$A$16),$D161,0)</f>
        <v>0</v>
      </c>
      <c r="J161">
        <f>IF(AND($C161 = Temp!$F$1, $B161 = Temp!$A$16),$D161,0)</f>
        <v>0</v>
      </c>
      <c r="K161">
        <f>IF(AND($C161 = Temp!$G$1, $B161 = Temp!$A$16),$D161,0)</f>
        <v>0</v>
      </c>
      <c r="L161">
        <f>IF(AND($C161 = Temp!$H$1, $B161 = Temp!$A$16),$D161,0)</f>
        <v>0</v>
      </c>
      <c r="M161">
        <f>IF(AND($C161 = Temp!$I$1, $B161 = Temp!$A$16),$D161,0)</f>
        <v>0</v>
      </c>
      <c r="N161">
        <f>IF(AND($C161 = Temp!$J$1, $B161 = Temp!$A$16),$D161,0)</f>
        <v>0</v>
      </c>
      <c r="O161">
        <f>IF(AND($C161 = Temp!$K$1, $B161 = Temp!$A$16),$D161,0)</f>
        <v>0</v>
      </c>
    </row>
    <row r="162" spans="2:15" hidden="1" x14ac:dyDescent="0.2">
      <c r="B162" t="s">
        <v>422</v>
      </c>
      <c r="C162" t="s">
        <v>77</v>
      </c>
      <c r="D162">
        <v>2</v>
      </c>
      <c r="F162">
        <f>IF(AND($C162 = Temp!$B$1, $B162 = Temp!$A$16),$D162,0)</f>
        <v>0</v>
      </c>
      <c r="G162">
        <f>IF(AND($C162 = Temp!$C$1, $B162 = Temp!$A$16),$D162,0)</f>
        <v>0</v>
      </c>
      <c r="H162">
        <f>IF(AND($C162 = Temp!$D$1, $B162 = Temp!$A$16),$D162,0)</f>
        <v>0</v>
      </c>
      <c r="I162">
        <f>IF(AND($C162 = Temp!$E$1, $B162 = Temp!$A$16),$D162,0)</f>
        <v>0</v>
      </c>
      <c r="J162">
        <f>IF(AND($C162 = Temp!$F$1, $B162 = Temp!$A$16),$D162,0)</f>
        <v>0</v>
      </c>
      <c r="K162">
        <f>IF(AND($C162 = Temp!$G$1, $B162 = Temp!$A$16),$D162,0)</f>
        <v>0</v>
      </c>
      <c r="L162">
        <f>IF(AND($C162 = Temp!$H$1, $B162 = Temp!$A$16),$D162,0)</f>
        <v>0</v>
      </c>
      <c r="M162">
        <f>IF(AND($C162 = Temp!$I$1, $B162 = Temp!$A$16),$D162,0)</f>
        <v>0</v>
      </c>
      <c r="N162">
        <f>IF(AND($C162 = Temp!$J$1, $B162 = Temp!$A$16),$D162,0)</f>
        <v>0</v>
      </c>
      <c r="O162">
        <f>IF(AND($C162 = Temp!$K$1, $B162 = Temp!$A$16),$D162,0)</f>
        <v>0</v>
      </c>
    </row>
    <row r="163" spans="2:15" hidden="1" x14ac:dyDescent="0.2">
      <c r="B163" t="s">
        <v>422</v>
      </c>
      <c r="C163" t="s">
        <v>4</v>
      </c>
      <c r="D163">
        <v>14</v>
      </c>
      <c r="F163">
        <f>IF(AND($C163 = Temp!$B$1, $B163 = Temp!$A$16),$D163,0)</f>
        <v>0</v>
      </c>
      <c r="G163">
        <f>IF(AND($C163 = Temp!$C$1, $B163 = Temp!$A$16),$D163,0)</f>
        <v>0</v>
      </c>
      <c r="H163">
        <f>IF(AND($C163 = Temp!$D$1, $B163 = Temp!$A$16),$D163,0)</f>
        <v>0</v>
      </c>
      <c r="I163">
        <f>IF(AND($C163 = Temp!$E$1, $B163 = Temp!$A$16),$D163,0)</f>
        <v>0</v>
      </c>
      <c r="J163">
        <f>IF(AND($C163 = Temp!$F$1, $B163 = Temp!$A$16),$D163,0)</f>
        <v>0</v>
      </c>
      <c r="K163">
        <f>IF(AND($C163 = Temp!$G$1, $B163 = Temp!$A$16),$D163,0)</f>
        <v>0</v>
      </c>
      <c r="L163">
        <f>IF(AND($C163 = Temp!$H$1, $B163 = Temp!$A$16),$D163,0)</f>
        <v>0</v>
      </c>
      <c r="M163">
        <f>IF(AND($C163 = Temp!$I$1, $B163 = Temp!$A$16),$D163,0)</f>
        <v>0</v>
      </c>
      <c r="N163">
        <f>IF(AND($C163 = Temp!$J$1, $B163 = Temp!$A$16),$D163,0)</f>
        <v>0</v>
      </c>
      <c r="O163">
        <f>IF(AND($C163 = Temp!$K$1, $B163 = Temp!$A$16),$D163,0)</f>
        <v>0</v>
      </c>
    </row>
    <row r="164" spans="2:15" hidden="1" x14ac:dyDescent="0.2">
      <c r="B164" t="s">
        <v>422</v>
      </c>
      <c r="C164" t="s">
        <v>41</v>
      </c>
      <c r="D164">
        <v>5</v>
      </c>
      <c r="F164">
        <f>IF(AND($C164 = Temp!$B$1, $B164 = Temp!$A$16),$D164,0)</f>
        <v>0</v>
      </c>
      <c r="G164">
        <f>IF(AND($C164 = Temp!$C$1, $B164 = Temp!$A$16),$D164,0)</f>
        <v>0</v>
      </c>
      <c r="H164">
        <f>IF(AND($C164 = Temp!$D$1, $B164 = Temp!$A$16),$D164,0)</f>
        <v>0</v>
      </c>
      <c r="I164">
        <f>IF(AND($C164 = Temp!$E$1, $B164 = Temp!$A$16),$D164,0)</f>
        <v>0</v>
      </c>
      <c r="J164">
        <f>IF(AND($C164 = Temp!$F$1, $B164 = Temp!$A$16),$D164,0)</f>
        <v>0</v>
      </c>
      <c r="K164">
        <f>IF(AND($C164 = Temp!$G$1, $B164 = Temp!$A$16),$D164,0)</f>
        <v>0</v>
      </c>
      <c r="L164">
        <f>IF(AND($C164 = Temp!$H$1, $B164 = Temp!$A$16),$D164,0)</f>
        <v>0</v>
      </c>
      <c r="M164">
        <f>IF(AND($C164 = Temp!$I$1, $B164 = Temp!$A$16),$D164,0)</f>
        <v>0</v>
      </c>
      <c r="N164">
        <f>IF(AND($C164 = Temp!$J$1, $B164 = Temp!$A$16),$D164,0)</f>
        <v>0</v>
      </c>
      <c r="O164">
        <f>IF(AND($C164 = Temp!$K$1, $B164 = Temp!$A$16),$D164,0)</f>
        <v>0</v>
      </c>
    </row>
    <row r="165" spans="2:15" hidden="1" x14ac:dyDescent="0.2">
      <c r="B165" t="s">
        <v>422</v>
      </c>
      <c r="C165" t="s">
        <v>24</v>
      </c>
      <c r="D165">
        <v>1</v>
      </c>
      <c r="F165">
        <f>IF(AND($C165 = Temp!$B$1, $B165 = Temp!$A$16),$D165,0)</f>
        <v>0</v>
      </c>
      <c r="G165">
        <f>IF(AND($C165 = Temp!$C$1, $B165 = Temp!$A$16),$D165,0)</f>
        <v>0</v>
      </c>
      <c r="H165">
        <f>IF(AND($C165 = Temp!$D$1, $B165 = Temp!$A$16),$D165,0)</f>
        <v>0</v>
      </c>
      <c r="I165">
        <f>IF(AND($C165 = Temp!$E$1, $B165 = Temp!$A$16),$D165,0)</f>
        <v>0</v>
      </c>
      <c r="J165">
        <f>IF(AND($C165 = Temp!$F$1, $B165 = Temp!$A$16),$D165,0)</f>
        <v>0</v>
      </c>
      <c r="K165">
        <f>IF(AND($C165 = Temp!$G$1, $B165 = Temp!$A$16),$D165,0)</f>
        <v>0</v>
      </c>
      <c r="L165">
        <f>IF(AND($C165 = Temp!$H$1, $B165 = Temp!$A$16),$D165,0)</f>
        <v>0</v>
      </c>
      <c r="M165">
        <f>IF(AND($C165 = Temp!$I$1, $B165 = Temp!$A$16),$D165,0)</f>
        <v>0</v>
      </c>
      <c r="N165">
        <f>IF(AND($C165 = Temp!$J$1, $B165 = Temp!$A$16),$D165,0)</f>
        <v>0</v>
      </c>
      <c r="O165">
        <f>IF(AND($C165 = Temp!$K$1, $B165 = Temp!$A$16),$D165,0)</f>
        <v>0</v>
      </c>
    </row>
    <row r="166" spans="2:15" hidden="1" x14ac:dyDescent="0.2">
      <c r="B166" t="s">
        <v>422</v>
      </c>
      <c r="C166" t="s">
        <v>24</v>
      </c>
      <c r="D166">
        <v>1</v>
      </c>
      <c r="F166">
        <f>IF(AND($C166 = Temp!$B$1, $B166 = Temp!$A$16),$D166,0)</f>
        <v>0</v>
      </c>
      <c r="G166">
        <f>IF(AND($C166 = Temp!$C$1, $B166 = Temp!$A$16),$D166,0)</f>
        <v>0</v>
      </c>
      <c r="H166">
        <f>IF(AND($C166 = Temp!$D$1, $B166 = Temp!$A$16),$D166,0)</f>
        <v>0</v>
      </c>
      <c r="I166">
        <f>IF(AND($C166 = Temp!$E$1, $B166 = Temp!$A$16),$D166,0)</f>
        <v>0</v>
      </c>
      <c r="J166">
        <f>IF(AND($C166 = Temp!$F$1, $B166 = Temp!$A$16),$D166,0)</f>
        <v>0</v>
      </c>
      <c r="K166">
        <f>IF(AND($C166 = Temp!$G$1, $B166 = Temp!$A$16),$D166,0)</f>
        <v>0</v>
      </c>
      <c r="L166">
        <f>IF(AND($C166 = Temp!$H$1, $B166 = Temp!$A$16),$D166,0)</f>
        <v>0</v>
      </c>
      <c r="M166">
        <f>IF(AND($C166 = Temp!$I$1, $B166 = Temp!$A$16),$D166,0)</f>
        <v>0</v>
      </c>
      <c r="N166">
        <f>IF(AND($C166 = Temp!$J$1, $B166 = Temp!$A$16),$D166,0)</f>
        <v>0</v>
      </c>
      <c r="O166">
        <f>IF(AND($C166 = Temp!$K$1, $B166 = Temp!$A$16),$D166,0)</f>
        <v>0</v>
      </c>
    </row>
    <row r="167" spans="2:15" hidden="1" x14ac:dyDescent="0.2">
      <c r="B167" t="s">
        <v>422</v>
      </c>
      <c r="C167" t="s">
        <v>24</v>
      </c>
      <c r="D167">
        <v>2</v>
      </c>
      <c r="F167">
        <f>IF(AND($C167 = Temp!$B$1, $B167 = Temp!$A$16),$D167,0)</f>
        <v>0</v>
      </c>
      <c r="G167">
        <f>IF(AND($C167 = Temp!$C$1, $B167 = Temp!$A$16),$D167,0)</f>
        <v>0</v>
      </c>
      <c r="H167">
        <f>IF(AND($C167 = Temp!$D$1, $B167 = Temp!$A$16),$D167,0)</f>
        <v>0</v>
      </c>
      <c r="I167">
        <f>IF(AND($C167 = Temp!$E$1, $B167 = Temp!$A$16),$D167,0)</f>
        <v>0</v>
      </c>
      <c r="J167">
        <f>IF(AND($C167 = Temp!$F$1, $B167 = Temp!$A$16),$D167,0)</f>
        <v>0</v>
      </c>
      <c r="K167">
        <f>IF(AND($C167 = Temp!$G$1, $B167 = Temp!$A$16),$D167,0)</f>
        <v>0</v>
      </c>
      <c r="L167">
        <f>IF(AND($C167 = Temp!$H$1, $B167 = Temp!$A$16),$D167,0)</f>
        <v>0</v>
      </c>
      <c r="M167">
        <f>IF(AND($C167 = Temp!$I$1, $B167 = Temp!$A$16),$D167,0)</f>
        <v>0</v>
      </c>
      <c r="N167">
        <f>IF(AND($C167 = Temp!$J$1, $B167 = Temp!$A$16),$D167,0)</f>
        <v>0</v>
      </c>
      <c r="O167">
        <f>IF(AND($C167 = Temp!$K$1, $B167 = Temp!$A$16),$D167,0)</f>
        <v>0</v>
      </c>
    </row>
    <row r="168" spans="2:15" hidden="1" x14ac:dyDescent="0.2">
      <c r="B168" t="s">
        <v>422</v>
      </c>
      <c r="C168" t="s">
        <v>24</v>
      </c>
      <c r="D168">
        <v>2</v>
      </c>
      <c r="F168">
        <f>IF(AND($C168 = Temp!$B$1, $B168 = Temp!$A$16),$D168,0)</f>
        <v>0</v>
      </c>
      <c r="G168">
        <f>IF(AND($C168 = Temp!$C$1, $B168 = Temp!$A$16),$D168,0)</f>
        <v>0</v>
      </c>
      <c r="H168">
        <f>IF(AND($C168 = Temp!$D$1, $B168 = Temp!$A$16),$D168,0)</f>
        <v>0</v>
      </c>
      <c r="I168">
        <f>IF(AND($C168 = Temp!$E$1, $B168 = Temp!$A$16),$D168,0)</f>
        <v>0</v>
      </c>
      <c r="J168">
        <f>IF(AND($C168 = Temp!$F$1, $B168 = Temp!$A$16),$D168,0)</f>
        <v>0</v>
      </c>
      <c r="K168">
        <f>IF(AND($C168 = Temp!$G$1, $B168 = Temp!$A$16),$D168,0)</f>
        <v>0</v>
      </c>
      <c r="L168">
        <f>IF(AND($C168 = Temp!$H$1, $B168 = Temp!$A$16),$D168,0)</f>
        <v>0</v>
      </c>
      <c r="M168">
        <f>IF(AND($C168 = Temp!$I$1, $B168 = Temp!$A$16),$D168,0)</f>
        <v>0</v>
      </c>
      <c r="N168">
        <f>IF(AND($C168 = Temp!$J$1, $B168 = Temp!$A$16),$D168,0)</f>
        <v>0</v>
      </c>
      <c r="O168">
        <f>IF(AND($C168 = Temp!$K$1, $B168 = Temp!$A$16),$D168,0)</f>
        <v>0</v>
      </c>
    </row>
    <row r="169" spans="2:15" hidden="1" x14ac:dyDescent="0.2">
      <c r="B169" t="s">
        <v>422</v>
      </c>
      <c r="C169" t="s">
        <v>24</v>
      </c>
      <c r="D169">
        <v>1</v>
      </c>
      <c r="F169">
        <f>IF(AND($C169 = Temp!$B$1, $B169 = Temp!$A$16),$D169,0)</f>
        <v>0</v>
      </c>
      <c r="G169">
        <f>IF(AND($C169 = Temp!$C$1, $B169 = Temp!$A$16),$D169,0)</f>
        <v>0</v>
      </c>
      <c r="H169">
        <f>IF(AND($C169 = Temp!$D$1, $B169 = Temp!$A$16),$D169,0)</f>
        <v>0</v>
      </c>
      <c r="I169">
        <f>IF(AND($C169 = Temp!$E$1, $B169 = Temp!$A$16),$D169,0)</f>
        <v>0</v>
      </c>
      <c r="J169">
        <f>IF(AND($C169 = Temp!$F$1, $B169 = Temp!$A$16),$D169,0)</f>
        <v>0</v>
      </c>
      <c r="K169">
        <f>IF(AND($C169 = Temp!$G$1, $B169 = Temp!$A$16),$D169,0)</f>
        <v>0</v>
      </c>
      <c r="L169">
        <f>IF(AND($C169 = Temp!$H$1, $B169 = Temp!$A$16),$D169,0)</f>
        <v>0</v>
      </c>
      <c r="M169">
        <f>IF(AND($C169 = Temp!$I$1, $B169 = Temp!$A$16),$D169,0)</f>
        <v>0</v>
      </c>
      <c r="N169">
        <f>IF(AND($C169 = Temp!$J$1, $B169 = Temp!$A$16),$D169,0)</f>
        <v>0</v>
      </c>
      <c r="O169">
        <f>IF(AND($C169 = Temp!$K$1, $B169 = Temp!$A$16),$D169,0)</f>
        <v>0</v>
      </c>
    </row>
    <row r="170" spans="2:15" hidden="1" x14ac:dyDescent="0.2">
      <c r="B170" t="s">
        <v>422</v>
      </c>
      <c r="C170" t="s">
        <v>24</v>
      </c>
      <c r="D170">
        <v>2</v>
      </c>
      <c r="F170">
        <f>IF(AND($C170 = Temp!$B$1, $B170 = Temp!$A$16),$D170,0)</f>
        <v>0</v>
      </c>
      <c r="G170">
        <f>IF(AND($C170 = Temp!$C$1, $B170 = Temp!$A$16),$D170,0)</f>
        <v>0</v>
      </c>
      <c r="H170">
        <f>IF(AND($C170 = Temp!$D$1, $B170 = Temp!$A$16),$D170,0)</f>
        <v>0</v>
      </c>
      <c r="I170">
        <f>IF(AND($C170 = Temp!$E$1, $B170 = Temp!$A$16),$D170,0)</f>
        <v>0</v>
      </c>
      <c r="J170">
        <f>IF(AND($C170 = Temp!$F$1, $B170 = Temp!$A$16),$D170,0)</f>
        <v>0</v>
      </c>
      <c r="K170">
        <f>IF(AND($C170 = Temp!$G$1, $B170 = Temp!$A$16),$D170,0)</f>
        <v>0</v>
      </c>
      <c r="L170">
        <f>IF(AND($C170 = Temp!$H$1, $B170 = Temp!$A$16),$D170,0)</f>
        <v>0</v>
      </c>
      <c r="M170">
        <f>IF(AND($C170 = Temp!$I$1, $B170 = Temp!$A$16),$D170,0)</f>
        <v>0</v>
      </c>
      <c r="N170">
        <f>IF(AND($C170 = Temp!$J$1, $B170 = Temp!$A$16),$D170,0)</f>
        <v>0</v>
      </c>
      <c r="O170">
        <f>IF(AND($C170 = Temp!$K$1, $B170 = Temp!$A$16),$D170,0)</f>
        <v>0</v>
      </c>
    </row>
    <row r="171" spans="2:15" hidden="1" x14ac:dyDescent="0.2">
      <c r="B171" t="s">
        <v>422</v>
      </c>
      <c r="C171" t="s">
        <v>24</v>
      </c>
      <c r="D171">
        <v>0.5</v>
      </c>
      <c r="F171">
        <f>IF(AND($C171 = Temp!$B$1, $B171 = Temp!$A$16),$D171,0)</f>
        <v>0</v>
      </c>
      <c r="G171">
        <f>IF(AND($C171 = Temp!$C$1, $B171 = Temp!$A$16),$D171,0)</f>
        <v>0</v>
      </c>
      <c r="H171">
        <f>IF(AND($C171 = Temp!$D$1, $B171 = Temp!$A$16),$D171,0)</f>
        <v>0</v>
      </c>
      <c r="I171">
        <f>IF(AND($C171 = Temp!$E$1, $B171 = Temp!$A$16),$D171,0)</f>
        <v>0</v>
      </c>
      <c r="J171">
        <f>IF(AND($C171 = Temp!$F$1, $B171 = Temp!$A$16),$D171,0)</f>
        <v>0</v>
      </c>
      <c r="K171">
        <f>IF(AND($C171 = Temp!$G$1, $B171 = Temp!$A$16),$D171,0)</f>
        <v>0</v>
      </c>
      <c r="L171">
        <f>IF(AND($C171 = Temp!$H$1, $B171 = Temp!$A$16),$D171,0)</f>
        <v>0</v>
      </c>
      <c r="M171">
        <f>IF(AND($C171 = Temp!$I$1, $B171 = Temp!$A$16),$D171,0)</f>
        <v>0</v>
      </c>
      <c r="N171">
        <f>IF(AND($C171 = Temp!$J$1, $B171 = Temp!$A$16),$D171,0)</f>
        <v>0</v>
      </c>
      <c r="O171">
        <f>IF(AND($C171 = Temp!$K$1, $B171 = Temp!$A$16),$D171,0)</f>
        <v>0</v>
      </c>
    </row>
    <row r="172" spans="2:15" hidden="1" x14ac:dyDescent="0.2">
      <c r="B172" t="s">
        <v>422</v>
      </c>
      <c r="C172" t="s">
        <v>219</v>
      </c>
      <c r="D172">
        <v>8</v>
      </c>
      <c r="F172">
        <f>IF(AND($C172 = Temp!$B$1, $B172 = Temp!$A$16),$D172,0)</f>
        <v>0</v>
      </c>
      <c r="G172">
        <f>IF(AND($C172 = Temp!$C$1, $B172 = Temp!$A$16),$D172,0)</f>
        <v>0</v>
      </c>
      <c r="H172">
        <f>IF(AND($C172 = Temp!$D$1, $B172 = Temp!$A$16),$D172,0)</f>
        <v>0</v>
      </c>
      <c r="I172">
        <f>IF(AND($C172 = Temp!$E$1, $B172 = Temp!$A$16),$D172,0)</f>
        <v>0</v>
      </c>
      <c r="J172">
        <f>IF(AND($C172 = Temp!$F$1, $B172 = Temp!$A$16),$D172,0)</f>
        <v>0</v>
      </c>
      <c r="K172">
        <f>IF(AND($C172 = Temp!$G$1, $B172 = Temp!$A$16),$D172,0)</f>
        <v>0</v>
      </c>
      <c r="L172">
        <f>IF(AND($C172 = Temp!$H$1, $B172 = Temp!$A$16),$D172,0)</f>
        <v>0</v>
      </c>
      <c r="M172">
        <f>IF(AND($C172 = Temp!$I$1, $B172 = Temp!$A$16),$D172,0)</f>
        <v>0</v>
      </c>
      <c r="N172">
        <f>IF(AND($C172 = Temp!$J$1, $B172 = Temp!$A$16),$D172,0)</f>
        <v>0</v>
      </c>
      <c r="O172">
        <f>IF(AND($C172 = Temp!$K$1, $B172 = Temp!$A$16),$D172,0)</f>
        <v>0</v>
      </c>
    </row>
    <row r="173" spans="2:15" hidden="1" x14ac:dyDescent="0.2">
      <c r="B173" t="s">
        <v>422</v>
      </c>
      <c r="C173" t="s">
        <v>219</v>
      </c>
      <c r="D173">
        <v>1</v>
      </c>
      <c r="F173">
        <f>IF(AND($C173 = Temp!$B$1, $B173 = Temp!$A$16),$D173,0)</f>
        <v>0</v>
      </c>
      <c r="G173">
        <f>IF(AND($C173 = Temp!$C$1, $B173 = Temp!$A$16),$D173,0)</f>
        <v>0</v>
      </c>
      <c r="H173">
        <f>IF(AND($C173 = Temp!$D$1, $B173 = Temp!$A$16),$D173,0)</f>
        <v>0</v>
      </c>
      <c r="I173">
        <f>IF(AND($C173 = Temp!$E$1, $B173 = Temp!$A$16),$D173,0)</f>
        <v>0</v>
      </c>
      <c r="J173">
        <f>IF(AND($C173 = Temp!$F$1, $B173 = Temp!$A$16),$D173,0)</f>
        <v>0</v>
      </c>
      <c r="K173">
        <f>IF(AND($C173 = Temp!$G$1, $B173 = Temp!$A$16),$D173,0)</f>
        <v>0</v>
      </c>
      <c r="L173">
        <f>IF(AND($C173 = Temp!$H$1, $B173 = Temp!$A$16),$D173,0)</f>
        <v>0</v>
      </c>
      <c r="M173">
        <f>IF(AND($C173 = Temp!$I$1, $B173 = Temp!$A$16),$D173,0)</f>
        <v>0</v>
      </c>
      <c r="N173">
        <f>IF(AND($C173 = Temp!$J$1, $B173 = Temp!$A$16),$D173,0)</f>
        <v>0</v>
      </c>
      <c r="O173">
        <f>IF(AND($C173 = Temp!$K$1, $B173 = Temp!$A$16),$D173,0)</f>
        <v>0</v>
      </c>
    </row>
    <row r="174" spans="2:15" hidden="1" x14ac:dyDescent="0.2">
      <c r="B174" t="s">
        <v>422</v>
      </c>
      <c r="C174" t="s">
        <v>219</v>
      </c>
      <c r="D174">
        <v>1</v>
      </c>
      <c r="F174">
        <f>IF(AND($C174 = Temp!$B$1, $B174 = Temp!$A$16),$D174,0)</f>
        <v>0</v>
      </c>
      <c r="G174">
        <f>IF(AND($C174 = Temp!$C$1, $B174 = Temp!$A$16),$D174,0)</f>
        <v>0</v>
      </c>
      <c r="H174">
        <f>IF(AND($C174 = Temp!$D$1, $B174 = Temp!$A$16),$D174,0)</f>
        <v>0</v>
      </c>
      <c r="I174">
        <f>IF(AND($C174 = Temp!$E$1, $B174 = Temp!$A$16),$D174,0)</f>
        <v>0</v>
      </c>
      <c r="J174">
        <f>IF(AND($C174 = Temp!$F$1, $B174 = Temp!$A$16),$D174,0)</f>
        <v>0</v>
      </c>
      <c r="K174">
        <f>IF(AND($C174 = Temp!$G$1, $B174 = Temp!$A$16),$D174,0)</f>
        <v>0</v>
      </c>
      <c r="L174">
        <f>IF(AND($C174 = Temp!$H$1, $B174 = Temp!$A$16),$D174,0)</f>
        <v>0</v>
      </c>
      <c r="M174">
        <f>IF(AND($C174 = Temp!$I$1, $B174 = Temp!$A$16),$D174,0)</f>
        <v>0</v>
      </c>
      <c r="N174">
        <f>IF(AND($C174 = Temp!$J$1, $B174 = Temp!$A$16),$D174,0)</f>
        <v>0</v>
      </c>
      <c r="O174">
        <f>IF(AND($C174 = Temp!$K$1, $B174 = Temp!$A$16),$D174,0)</f>
        <v>0</v>
      </c>
    </row>
    <row r="175" spans="2:15" hidden="1" x14ac:dyDescent="0.2">
      <c r="B175" t="s">
        <v>422</v>
      </c>
      <c r="C175" t="s">
        <v>279</v>
      </c>
      <c r="D175">
        <v>10</v>
      </c>
      <c r="F175">
        <f>IF(AND($C175 = Temp!$B$1, $B175 = Temp!$A$16),$D175,0)</f>
        <v>0</v>
      </c>
      <c r="G175">
        <f>IF(AND($C175 = Temp!$C$1, $B175 = Temp!$A$16),$D175,0)</f>
        <v>0</v>
      </c>
      <c r="H175">
        <f>IF(AND($C175 = Temp!$D$1, $B175 = Temp!$A$16),$D175,0)</f>
        <v>0</v>
      </c>
      <c r="I175">
        <f>IF(AND($C175 = Temp!$E$1, $B175 = Temp!$A$16),$D175,0)</f>
        <v>0</v>
      </c>
      <c r="J175">
        <f>IF(AND($C175 = Temp!$F$1, $B175 = Temp!$A$16),$D175,0)</f>
        <v>0</v>
      </c>
      <c r="K175">
        <f>IF(AND($C175 = Temp!$G$1, $B175 = Temp!$A$16),$D175,0)</f>
        <v>0</v>
      </c>
      <c r="L175">
        <f>IF(AND($C175 = Temp!$H$1, $B175 = Temp!$A$16),$D175,0)</f>
        <v>0</v>
      </c>
      <c r="M175">
        <f>IF(AND($C175 = Temp!$I$1, $B175 = Temp!$A$16),$D175,0)</f>
        <v>0</v>
      </c>
      <c r="N175">
        <f>IF(AND($C175 = Temp!$J$1, $B175 = Temp!$A$16),$D175,0)</f>
        <v>0</v>
      </c>
      <c r="O175">
        <f>IF(AND($C175 = Temp!$K$1, $B175 = Temp!$A$16),$D175,0)</f>
        <v>0</v>
      </c>
    </row>
    <row r="176" spans="2:15" hidden="1" x14ac:dyDescent="0.2">
      <c r="B176" t="s">
        <v>422</v>
      </c>
      <c r="C176" t="s">
        <v>219</v>
      </c>
      <c r="D176">
        <v>2</v>
      </c>
      <c r="F176">
        <f>IF(AND($C176 = Temp!$B$1, $B176 = Temp!$A$16),$D176,0)</f>
        <v>0</v>
      </c>
      <c r="G176">
        <f>IF(AND($C176 = Temp!$C$1, $B176 = Temp!$A$16),$D176,0)</f>
        <v>0</v>
      </c>
      <c r="H176">
        <f>IF(AND($C176 = Temp!$D$1, $B176 = Temp!$A$16),$D176,0)</f>
        <v>0</v>
      </c>
      <c r="I176">
        <f>IF(AND($C176 = Temp!$E$1, $B176 = Temp!$A$16),$D176,0)</f>
        <v>0</v>
      </c>
      <c r="J176">
        <f>IF(AND($C176 = Temp!$F$1, $B176 = Temp!$A$16),$D176,0)</f>
        <v>0</v>
      </c>
      <c r="K176">
        <f>IF(AND($C176 = Temp!$G$1, $B176 = Temp!$A$16),$D176,0)</f>
        <v>0</v>
      </c>
      <c r="L176">
        <f>IF(AND($C176 = Temp!$H$1, $B176 = Temp!$A$16),$D176,0)</f>
        <v>0</v>
      </c>
      <c r="M176">
        <f>IF(AND($C176 = Temp!$I$1, $B176 = Temp!$A$16),$D176,0)</f>
        <v>0</v>
      </c>
      <c r="N176">
        <f>IF(AND($C176 = Temp!$J$1, $B176 = Temp!$A$16),$D176,0)</f>
        <v>0</v>
      </c>
      <c r="O176">
        <f>IF(AND($C176 = Temp!$K$1, $B176 = Temp!$A$16),$D176,0)</f>
        <v>0</v>
      </c>
    </row>
    <row r="177" spans="2:15" hidden="1" x14ac:dyDescent="0.2">
      <c r="B177" t="s">
        <v>394</v>
      </c>
      <c r="C177" s="4" t="s">
        <v>261</v>
      </c>
      <c r="D177" s="7">
        <v>8</v>
      </c>
      <c r="E177" s="7"/>
      <c r="F177">
        <f>IF(AND($C177 = Temp!$B$1, $B177 = Temp!$A$16),$D177,0)</f>
        <v>0</v>
      </c>
      <c r="G177">
        <f>IF(AND($C177 = Temp!$C$1, $B177 = Temp!$A$16),$D177,0)</f>
        <v>0</v>
      </c>
      <c r="H177">
        <f>IF(AND($C177 = Temp!$D$1, $B177 = Temp!$A$16),$D177,0)</f>
        <v>0</v>
      </c>
      <c r="I177">
        <f>IF(AND($C177 = Temp!$E$1, $B177 = Temp!$A$16),$D177,0)</f>
        <v>0</v>
      </c>
      <c r="J177">
        <f>IF(AND($C177 = Temp!$F$1, $B177 = Temp!$A$16),$D177,0)</f>
        <v>0</v>
      </c>
      <c r="K177">
        <f>IF(AND($C177 = Temp!$G$1, $B177 = Temp!$A$16),$D177,0)</f>
        <v>0</v>
      </c>
      <c r="L177">
        <f>IF(AND($C177 = Temp!$H$1, $B177 = Temp!$A$16),$D177,0)</f>
        <v>0</v>
      </c>
      <c r="M177">
        <f>IF(AND($C177 = Temp!$I$1, $B177 = Temp!$A$16),$D177,0)</f>
        <v>0</v>
      </c>
      <c r="N177">
        <f>IF(AND($C177 = Temp!$J$1, $B177 = Temp!$A$16),$D177,0)</f>
        <v>0</v>
      </c>
      <c r="O177">
        <f>IF(AND($C177 = Temp!$K$1, $B177 = Temp!$A$16),$D177,0)</f>
        <v>0</v>
      </c>
    </row>
    <row r="178" spans="2:15" hidden="1" x14ac:dyDescent="0.2">
      <c r="B178" t="s">
        <v>394</v>
      </c>
      <c r="C178" s="4" t="s">
        <v>260</v>
      </c>
      <c r="D178" s="7">
        <v>3</v>
      </c>
      <c r="E178" s="7"/>
      <c r="F178">
        <f>IF(AND($C178 = Temp!$B$1, $B178 = Temp!$A$16),$D178,0)</f>
        <v>0</v>
      </c>
      <c r="G178">
        <f>IF(AND($C178 = Temp!$C$1, $B178 = Temp!$A$16),$D178,0)</f>
        <v>0</v>
      </c>
      <c r="H178">
        <f>IF(AND($C178 = Temp!$D$1, $B178 = Temp!$A$16),$D178,0)</f>
        <v>0</v>
      </c>
      <c r="I178">
        <f>IF(AND($C178 = Temp!$E$1, $B178 = Temp!$A$16),$D178,0)</f>
        <v>0</v>
      </c>
      <c r="J178">
        <f>IF(AND($C178 = Temp!$F$1, $B178 = Temp!$A$16),$D178,0)</f>
        <v>0</v>
      </c>
      <c r="K178">
        <f>IF(AND($C178 = Temp!$G$1, $B178 = Temp!$A$16),$D178,0)</f>
        <v>0</v>
      </c>
      <c r="L178">
        <f>IF(AND($C178 = Temp!$H$1, $B178 = Temp!$A$16),$D178,0)</f>
        <v>0</v>
      </c>
      <c r="M178">
        <f>IF(AND($C178 = Temp!$I$1, $B178 = Temp!$A$16),$D178,0)</f>
        <v>0</v>
      </c>
      <c r="N178">
        <f>IF(AND($C178 = Temp!$J$1, $B178 = Temp!$A$16),$D178,0)</f>
        <v>0</v>
      </c>
      <c r="O178">
        <f>IF(AND($C178 = Temp!$K$1, $B178 = Temp!$A$16),$D178,0)</f>
        <v>0</v>
      </c>
    </row>
    <row r="179" spans="2:15" hidden="1" x14ac:dyDescent="0.2">
      <c r="B179" t="s">
        <v>444</v>
      </c>
      <c r="C179" s="4" t="s">
        <v>279</v>
      </c>
      <c r="D179" s="7">
        <v>1</v>
      </c>
      <c r="E179" s="7"/>
      <c r="F179">
        <f>IF(AND($C179 = Temp!$B$1, $B179 = Temp!$A$16),$D179,0)</f>
        <v>0</v>
      </c>
      <c r="G179">
        <f>IF(AND($C179 = Temp!$C$1, $B179 = Temp!$A$16),$D179,0)</f>
        <v>0</v>
      </c>
      <c r="H179">
        <f>IF(AND($C179 = Temp!$D$1, $B179 = Temp!$A$16),$D179,0)</f>
        <v>0</v>
      </c>
      <c r="I179">
        <f>IF(AND($C179 = Temp!$E$1, $B179 = Temp!$A$16),$D179,0)</f>
        <v>0</v>
      </c>
      <c r="J179">
        <f>IF(AND($C179 = Temp!$F$1, $B179 = Temp!$A$16),$D179,0)</f>
        <v>0</v>
      </c>
      <c r="K179">
        <f>IF(AND($C179 = Temp!$G$1, $B179 = Temp!$A$16),$D179,0)</f>
        <v>0</v>
      </c>
      <c r="L179">
        <f>IF(AND($C179 = Temp!$H$1, $B179 = Temp!$A$16),$D179,0)</f>
        <v>0</v>
      </c>
      <c r="M179">
        <f>IF(AND($C179 = Temp!$I$1, $B179 = Temp!$A$16),$D179,0)</f>
        <v>0</v>
      </c>
      <c r="N179">
        <f>IF(AND($C179 = Temp!$J$1, $B179 = Temp!$A$16),$D179,0)</f>
        <v>0</v>
      </c>
      <c r="O179">
        <f>IF(AND($C179 = Temp!$K$1, $B179 = Temp!$A$16),$D179,0)</f>
        <v>0</v>
      </c>
    </row>
    <row r="180" spans="2:15" hidden="1" x14ac:dyDescent="0.2">
      <c r="B180" t="s">
        <v>444</v>
      </c>
      <c r="C180" s="4" t="s">
        <v>279</v>
      </c>
      <c r="D180" s="7">
        <v>8</v>
      </c>
      <c r="E180" s="7"/>
      <c r="F180">
        <f>IF(AND($C180 = Temp!$B$1, $B180 = Temp!$A$16),$D180,0)</f>
        <v>0</v>
      </c>
      <c r="G180">
        <f>IF(AND($C180 = Temp!$C$1, $B180 = Temp!$A$16),$D180,0)</f>
        <v>0</v>
      </c>
      <c r="H180">
        <f>IF(AND($C180 = Temp!$D$1, $B180 = Temp!$A$16),$D180,0)</f>
        <v>0</v>
      </c>
      <c r="I180">
        <f>IF(AND($C180 = Temp!$E$1, $B180 = Temp!$A$16),$D180,0)</f>
        <v>0</v>
      </c>
      <c r="J180">
        <f>IF(AND($C180 = Temp!$F$1, $B180 = Temp!$A$16),$D180,0)</f>
        <v>0</v>
      </c>
      <c r="K180">
        <f>IF(AND($C180 = Temp!$G$1, $B180 = Temp!$A$16),$D180,0)</f>
        <v>0</v>
      </c>
      <c r="L180">
        <f>IF(AND($C180 = Temp!$H$1, $B180 = Temp!$A$16),$D180,0)</f>
        <v>0</v>
      </c>
      <c r="M180">
        <f>IF(AND($C180 = Temp!$I$1, $B180 = Temp!$A$16),$D180,0)</f>
        <v>0</v>
      </c>
      <c r="N180">
        <f>IF(AND($C180 = Temp!$J$1, $B180 = Temp!$A$16),$D180,0)</f>
        <v>0</v>
      </c>
      <c r="O180">
        <f>IF(AND($C180 = Temp!$K$1, $B180 = Temp!$A$16),$D180,0)</f>
        <v>0</v>
      </c>
    </row>
    <row r="181" spans="2:15" hidden="1" x14ac:dyDescent="0.2">
      <c r="B181" t="s">
        <v>444</v>
      </c>
      <c r="C181" s="4" t="s">
        <v>219</v>
      </c>
      <c r="D181" s="7">
        <v>4</v>
      </c>
      <c r="E181" s="7"/>
      <c r="F181">
        <f>IF(AND($C181 = Temp!$B$1, $B181 = Temp!$A$16),$D181,0)</f>
        <v>0</v>
      </c>
      <c r="G181">
        <f>IF(AND($C181 = Temp!$C$1, $B181 = Temp!$A$16),$D181,0)</f>
        <v>0</v>
      </c>
      <c r="H181">
        <f>IF(AND($C181 = Temp!$D$1, $B181 = Temp!$A$16),$D181,0)</f>
        <v>0</v>
      </c>
      <c r="I181">
        <f>IF(AND($C181 = Temp!$E$1, $B181 = Temp!$A$16),$D181,0)</f>
        <v>0</v>
      </c>
      <c r="J181">
        <f>IF(AND($C181 = Temp!$F$1, $B181 = Temp!$A$16),$D181,0)</f>
        <v>0</v>
      </c>
      <c r="K181">
        <f>IF(AND($C181 = Temp!$G$1, $B181 = Temp!$A$16),$D181,0)</f>
        <v>0</v>
      </c>
      <c r="L181">
        <f>IF(AND($C181 = Temp!$H$1, $B181 = Temp!$A$16),$D181,0)</f>
        <v>0</v>
      </c>
      <c r="M181">
        <f>IF(AND($C181 = Temp!$I$1, $B181 = Temp!$A$16),$D181,0)</f>
        <v>0</v>
      </c>
      <c r="N181">
        <f>IF(AND($C181 = Temp!$J$1, $B181 = Temp!$A$16),$D181,0)</f>
        <v>0</v>
      </c>
      <c r="O181">
        <f>IF(AND($C181 = Temp!$K$1, $B181 = Temp!$A$16),$D181,0)</f>
        <v>0</v>
      </c>
    </row>
    <row r="182" spans="2:15" hidden="1" x14ac:dyDescent="0.2">
      <c r="B182" t="s">
        <v>444</v>
      </c>
      <c r="C182" s="4" t="s">
        <v>261</v>
      </c>
      <c r="D182" s="7">
        <v>0.5</v>
      </c>
      <c r="E182" s="7"/>
      <c r="F182">
        <f>IF(AND($C182 = Temp!$B$1, $B182 = Temp!$A$16),$D182,0)</f>
        <v>0</v>
      </c>
      <c r="G182">
        <f>IF(AND($C182 = Temp!$C$1, $B182 = Temp!$A$16),$D182,0)</f>
        <v>0</v>
      </c>
      <c r="H182">
        <f>IF(AND($C182 = Temp!$D$1, $B182 = Temp!$A$16),$D182,0)</f>
        <v>0</v>
      </c>
      <c r="I182">
        <f>IF(AND($C182 = Temp!$E$1, $B182 = Temp!$A$16),$D182,0)</f>
        <v>0</v>
      </c>
      <c r="J182">
        <f>IF(AND($C182 = Temp!$F$1, $B182 = Temp!$A$16),$D182,0)</f>
        <v>0</v>
      </c>
      <c r="K182">
        <f>IF(AND($C182 = Temp!$G$1, $B182 = Temp!$A$16),$D182,0)</f>
        <v>0</v>
      </c>
      <c r="L182">
        <f>IF(AND($C182 = Temp!$H$1, $B182 = Temp!$A$16),$D182,0)</f>
        <v>0</v>
      </c>
      <c r="M182">
        <f>IF(AND($C182 = Temp!$I$1, $B182 = Temp!$A$16),$D182,0)</f>
        <v>0</v>
      </c>
      <c r="N182">
        <f>IF(AND($C182 = Temp!$J$1, $B182 = Temp!$A$16),$D182,0)</f>
        <v>0</v>
      </c>
      <c r="O182">
        <f>IF(AND($C182 = Temp!$K$1, $B182 = Temp!$A$16),$D182,0)</f>
        <v>0</v>
      </c>
    </row>
    <row r="183" spans="2:15" hidden="1" x14ac:dyDescent="0.2">
      <c r="B183" t="s">
        <v>440</v>
      </c>
      <c r="C183" t="s">
        <v>279</v>
      </c>
      <c r="D183">
        <v>4</v>
      </c>
      <c r="F183">
        <f>IF(AND($C183 = Temp!$B$1, $B183 = Temp!$A$16),$D183,0)</f>
        <v>0</v>
      </c>
      <c r="G183">
        <f>IF(AND($C183 = Temp!$C$1, $B183 = Temp!$A$16),$D183,0)</f>
        <v>0</v>
      </c>
      <c r="H183">
        <f>IF(AND($C183 = Temp!$D$1, $B183 = Temp!$A$16),$D183,0)</f>
        <v>0</v>
      </c>
      <c r="I183">
        <f>IF(AND($C183 = Temp!$E$1, $B183 = Temp!$A$16),$D183,0)</f>
        <v>0</v>
      </c>
      <c r="J183">
        <f>IF(AND($C183 = Temp!$F$1, $B183 = Temp!$A$16),$D183,0)</f>
        <v>0</v>
      </c>
      <c r="K183">
        <f>IF(AND($C183 = Temp!$G$1, $B183 = Temp!$A$16),$D183,0)</f>
        <v>0</v>
      </c>
      <c r="L183">
        <f>IF(AND($C183 = Temp!$H$1, $B183 = Temp!$A$16),$D183,0)</f>
        <v>0</v>
      </c>
      <c r="M183">
        <f>IF(AND($C183 = Temp!$I$1, $B183 = Temp!$A$16),$D183,0)</f>
        <v>0</v>
      </c>
      <c r="N183">
        <f>IF(AND($C183 = Temp!$J$1, $B183 = Temp!$A$16),$D183,0)</f>
        <v>0</v>
      </c>
      <c r="O183">
        <f>IF(AND($C183 = Temp!$K$1, $B183 = Temp!$A$16),$D183,0)</f>
        <v>0</v>
      </c>
    </row>
    <row r="184" spans="2:15" hidden="1" x14ac:dyDescent="0.2">
      <c r="B184" t="s">
        <v>440</v>
      </c>
      <c r="C184" t="s">
        <v>219</v>
      </c>
      <c r="D184">
        <v>4</v>
      </c>
      <c r="F184">
        <f>IF(AND($C184 = Temp!$B$1, $B184 = Temp!$A$16),$D184,0)</f>
        <v>0</v>
      </c>
      <c r="G184">
        <f>IF(AND($C184 = Temp!$C$1, $B184 = Temp!$A$16),$D184,0)</f>
        <v>0</v>
      </c>
      <c r="H184">
        <f>IF(AND($C184 = Temp!$D$1, $B184 = Temp!$A$16),$D184,0)</f>
        <v>0</v>
      </c>
      <c r="I184">
        <f>IF(AND($C184 = Temp!$E$1, $B184 = Temp!$A$16),$D184,0)</f>
        <v>0</v>
      </c>
      <c r="J184">
        <f>IF(AND($C184 = Temp!$F$1, $B184 = Temp!$A$16),$D184,0)</f>
        <v>0</v>
      </c>
      <c r="K184">
        <f>IF(AND($C184 = Temp!$G$1, $B184 = Temp!$A$16),$D184,0)</f>
        <v>0</v>
      </c>
      <c r="L184">
        <f>IF(AND($C184 = Temp!$H$1, $B184 = Temp!$A$16),$D184,0)</f>
        <v>0</v>
      </c>
      <c r="M184">
        <f>IF(AND($C184 = Temp!$I$1, $B184 = Temp!$A$16),$D184,0)</f>
        <v>0</v>
      </c>
      <c r="N184">
        <f>IF(AND($C184 = Temp!$J$1, $B184 = Temp!$A$16),$D184,0)</f>
        <v>0</v>
      </c>
      <c r="O184">
        <f>IF(AND($C184 = Temp!$K$1, $B184 = Temp!$A$16),$D184,0)</f>
        <v>0</v>
      </c>
    </row>
    <row r="185" spans="2:15" hidden="1" x14ac:dyDescent="0.2">
      <c r="B185" t="s">
        <v>445</v>
      </c>
      <c r="C185" s="4" t="s">
        <v>261</v>
      </c>
      <c r="D185" s="7">
        <v>3</v>
      </c>
      <c r="E185" s="7"/>
      <c r="F185">
        <f>IF(AND($C185 = Temp!$B$1, $B185 = Temp!$A$16),$D185,0)</f>
        <v>0</v>
      </c>
      <c r="G185">
        <f>IF(AND($C185 = Temp!$C$1, $B185 = Temp!$A$16),$D185,0)</f>
        <v>0</v>
      </c>
      <c r="H185">
        <f>IF(AND($C185 = Temp!$D$1, $B185 = Temp!$A$16),$D185,0)</f>
        <v>0</v>
      </c>
      <c r="I185">
        <f>IF(AND($C185 = Temp!$E$1, $B185 = Temp!$A$16),$D185,0)</f>
        <v>0</v>
      </c>
      <c r="J185">
        <f>IF(AND($C185 = Temp!$F$1, $B185 = Temp!$A$16),$D185,0)</f>
        <v>0</v>
      </c>
      <c r="K185">
        <f>IF(AND($C185 = Temp!$G$1, $B185 = Temp!$A$16),$D185,0)</f>
        <v>0</v>
      </c>
      <c r="L185">
        <f>IF(AND($C185 = Temp!$H$1, $B185 = Temp!$A$16),$D185,0)</f>
        <v>0</v>
      </c>
      <c r="M185">
        <f>IF(AND($C185 = Temp!$I$1, $B185 = Temp!$A$16),$D185,0)</f>
        <v>0</v>
      </c>
      <c r="N185">
        <f>IF(AND($C185 = Temp!$J$1, $B185 = Temp!$A$16),$D185,0)</f>
        <v>0</v>
      </c>
      <c r="O185">
        <f>IF(AND($C185 = Temp!$K$1, $B185 = Temp!$A$16),$D185,0)</f>
        <v>0</v>
      </c>
    </row>
    <row r="186" spans="2:15" hidden="1" x14ac:dyDescent="0.2">
      <c r="B186" t="s">
        <v>445</v>
      </c>
      <c r="C186" s="4" t="s">
        <v>40</v>
      </c>
      <c r="D186" s="7">
        <v>2</v>
      </c>
      <c r="E186" s="7"/>
      <c r="F186">
        <f>IF(AND($C186 = Temp!$B$1, $B186 = Temp!$A$16),$D186,0)</f>
        <v>0</v>
      </c>
      <c r="G186">
        <f>IF(AND($C186 = Temp!$C$1, $B186 = Temp!$A$16),$D186,0)</f>
        <v>0</v>
      </c>
      <c r="H186">
        <f>IF(AND($C186 = Temp!$D$1, $B186 = Temp!$A$16),$D186,0)</f>
        <v>0</v>
      </c>
      <c r="I186">
        <f>IF(AND($C186 = Temp!$E$1, $B186 = Temp!$A$16),$D186,0)</f>
        <v>0</v>
      </c>
      <c r="J186">
        <f>IF(AND($C186 = Temp!$F$1, $B186 = Temp!$A$16),$D186,0)</f>
        <v>0</v>
      </c>
      <c r="K186">
        <f>IF(AND($C186 = Temp!$G$1, $B186 = Temp!$A$16),$D186,0)</f>
        <v>0</v>
      </c>
      <c r="L186">
        <f>IF(AND($C186 = Temp!$H$1, $B186 = Temp!$A$16),$D186,0)</f>
        <v>0</v>
      </c>
      <c r="M186">
        <f>IF(AND($C186 = Temp!$I$1, $B186 = Temp!$A$16),$D186,0)</f>
        <v>0</v>
      </c>
      <c r="N186">
        <f>IF(AND($C186 = Temp!$J$1, $B186 = Temp!$A$16),$D186,0)</f>
        <v>0</v>
      </c>
      <c r="O186">
        <f>IF(AND($C186 = Temp!$K$1, $B186 = Temp!$A$16),$D186,0)</f>
        <v>0</v>
      </c>
    </row>
    <row r="187" spans="2:15" hidden="1" x14ac:dyDescent="0.2">
      <c r="B187" t="s">
        <v>445</v>
      </c>
      <c r="C187" s="4" t="s">
        <v>40</v>
      </c>
      <c r="D187" s="7">
        <v>1.5</v>
      </c>
      <c r="E187" s="7"/>
      <c r="F187">
        <f>IF(AND($C187 = Temp!$B$1, $B187 = Temp!$A$16),$D187,0)</f>
        <v>0</v>
      </c>
      <c r="G187">
        <f>IF(AND($C187 = Temp!$C$1, $B187 = Temp!$A$16),$D187,0)</f>
        <v>0</v>
      </c>
      <c r="H187">
        <f>IF(AND($C187 = Temp!$D$1, $B187 = Temp!$A$16),$D187,0)</f>
        <v>0</v>
      </c>
      <c r="I187">
        <f>IF(AND($C187 = Temp!$E$1, $B187 = Temp!$A$16),$D187,0)</f>
        <v>0</v>
      </c>
      <c r="J187">
        <f>IF(AND($C187 = Temp!$F$1, $B187 = Temp!$A$16),$D187,0)</f>
        <v>0</v>
      </c>
      <c r="K187">
        <f>IF(AND($C187 = Temp!$G$1, $B187 = Temp!$A$16),$D187,0)</f>
        <v>0</v>
      </c>
      <c r="L187">
        <f>IF(AND($C187 = Temp!$H$1, $B187 = Temp!$A$16),$D187,0)</f>
        <v>0</v>
      </c>
      <c r="M187">
        <f>IF(AND($C187 = Temp!$I$1, $B187 = Temp!$A$16),$D187,0)</f>
        <v>0</v>
      </c>
      <c r="N187">
        <f>IF(AND($C187 = Temp!$J$1, $B187 = Temp!$A$16),$D187,0)</f>
        <v>0</v>
      </c>
      <c r="O187">
        <f>IF(AND($C187 = Temp!$K$1, $B187 = Temp!$A$16),$D187,0)</f>
        <v>0</v>
      </c>
    </row>
    <row r="188" spans="2:15" hidden="1" x14ac:dyDescent="0.2">
      <c r="B188" t="s">
        <v>445</v>
      </c>
      <c r="C188" s="4" t="s">
        <v>41</v>
      </c>
      <c r="D188" s="7">
        <v>4</v>
      </c>
      <c r="E188" s="7"/>
      <c r="F188">
        <f>IF(AND($C188 = Temp!$B$1, $B188 = Temp!$A$16),$D188,0)</f>
        <v>0</v>
      </c>
      <c r="G188">
        <f>IF(AND($C188 = Temp!$C$1, $B188 = Temp!$A$16),$D188,0)</f>
        <v>0</v>
      </c>
      <c r="H188">
        <f>IF(AND($C188 = Temp!$D$1, $B188 = Temp!$A$16),$D188,0)</f>
        <v>0</v>
      </c>
      <c r="I188">
        <f>IF(AND($C188 = Temp!$E$1, $B188 = Temp!$A$16),$D188,0)</f>
        <v>0</v>
      </c>
      <c r="J188">
        <f>IF(AND($C188 = Temp!$F$1, $B188 = Temp!$A$16),$D188,0)</f>
        <v>0</v>
      </c>
      <c r="K188">
        <f>IF(AND($C188 = Temp!$G$1, $B188 = Temp!$A$16),$D188,0)</f>
        <v>0</v>
      </c>
      <c r="L188">
        <f>IF(AND($C188 = Temp!$H$1, $B188 = Temp!$A$16),$D188,0)</f>
        <v>0</v>
      </c>
      <c r="M188">
        <f>IF(AND($C188 = Temp!$I$1, $B188 = Temp!$A$16),$D188,0)</f>
        <v>0</v>
      </c>
      <c r="N188">
        <f>IF(AND($C188 = Temp!$J$1, $B188 = Temp!$A$16),$D188,0)</f>
        <v>0</v>
      </c>
      <c r="O188">
        <f>IF(AND($C188 = Temp!$K$1, $B188 = Temp!$A$16),$D188,0)</f>
        <v>0</v>
      </c>
    </row>
    <row r="189" spans="2:15" hidden="1" x14ac:dyDescent="0.2">
      <c r="B189" t="s">
        <v>445</v>
      </c>
      <c r="C189" s="4" t="s">
        <v>41</v>
      </c>
      <c r="D189" s="7">
        <v>1</v>
      </c>
      <c r="E189" s="7"/>
      <c r="F189">
        <f>IF(AND($C189 = Temp!$B$1, $B189 = Temp!$A$16),$D189,0)</f>
        <v>0</v>
      </c>
      <c r="G189">
        <f>IF(AND($C189 = Temp!$C$1, $B189 = Temp!$A$16),$D189,0)</f>
        <v>0</v>
      </c>
      <c r="H189">
        <f>IF(AND($C189 = Temp!$D$1, $B189 = Temp!$A$16),$D189,0)</f>
        <v>0</v>
      </c>
      <c r="I189">
        <f>IF(AND($C189 = Temp!$E$1, $B189 = Temp!$A$16),$D189,0)</f>
        <v>0</v>
      </c>
      <c r="J189">
        <f>IF(AND($C189 = Temp!$F$1, $B189 = Temp!$A$16),$D189,0)</f>
        <v>0</v>
      </c>
      <c r="K189">
        <f>IF(AND($C189 = Temp!$G$1, $B189 = Temp!$A$16),$D189,0)</f>
        <v>0</v>
      </c>
      <c r="L189">
        <f>IF(AND($C189 = Temp!$H$1, $B189 = Temp!$A$16),$D189,0)</f>
        <v>0</v>
      </c>
      <c r="M189">
        <f>IF(AND($C189 = Temp!$I$1, $B189 = Temp!$A$16),$D189,0)</f>
        <v>0</v>
      </c>
      <c r="N189">
        <f>IF(AND($C189 = Temp!$J$1, $B189 = Temp!$A$16),$D189,0)</f>
        <v>0</v>
      </c>
      <c r="O189">
        <f>IF(AND($C189 = Temp!$K$1, $B189 = Temp!$A$16),$D189,0)</f>
        <v>0</v>
      </c>
    </row>
    <row r="190" spans="2:15" hidden="1" x14ac:dyDescent="0.2">
      <c r="B190" t="s">
        <v>445</v>
      </c>
      <c r="C190" s="4" t="s">
        <v>41</v>
      </c>
      <c r="D190" s="7">
        <v>2</v>
      </c>
      <c r="E190" s="7"/>
      <c r="F190">
        <f>IF(AND($C190 = Temp!$B$1, $B190 = Temp!$A$16),$D190,0)</f>
        <v>0</v>
      </c>
      <c r="G190">
        <f>IF(AND($C190 = Temp!$C$1, $B190 = Temp!$A$16),$D190,0)</f>
        <v>0</v>
      </c>
      <c r="H190">
        <f>IF(AND($C190 = Temp!$D$1, $B190 = Temp!$A$16),$D190,0)</f>
        <v>0</v>
      </c>
      <c r="I190">
        <f>IF(AND($C190 = Temp!$E$1, $B190 = Temp!$A$16),$D190,0)</f>
        <v>0</v>
      </c>
      <c r="J190">
        <f>IF(AND($C190 = Temp!$F$1, $B190 = Temp!$A$16),$D190,0)</f>
        <v>0</v>
      </c>
      <c r="K190">
        <f>IF(AND($C190 = Temp!$G$1, $B190 = Temp!$A$16),$D190,0)</f>
        <v>0</v>
      </c>
      <c r="L190">
        <f>IF(AND($C190 = Temp!$H$1, $B190 = Temp!$A$16),$D190,0)</f>
        <v>0</v>
      </c>
      <c r="M190">
        <f>IF(AND($C190 = Temp!$I$1, $B190 = Temp!$A$16),$D190,0)</f>
        <v>0</v>
      </c>
      <c r="N190">
        <f>IF(AND($C190 = Temp!$J$1, $B190 = Temp!$A$16),$D190,0)</f>
        <v>0</v>
      </c>
      <c r="O190">
        <f>IF(AND($C190 = Temp!$K$1, $B190 = Temp!$A$16),$D190,0)</f>
        <v>0</v>
      </c>
    </row>
    <row r="191" spans="2:15" hidden="1" x14ac:dyDescent="0.2">
      <c r="B191" t="s">
        <v>445</v>
      </c>
      <c r="C191" s="4" t="s">
        <v>4</v>
      </c>
      <c r="D191" s="7">
        <v>8</v>
      </c>
      <c r="E191" s="7"/>
      <c r="F191">
        <f>IF(AND($C191 = Temp!$B$1, $B191 = Temp!$A$16),$D191,0)</f>
        <v>0</v>
      </c>
      <c r="G191">
        <f>IF(AND($C191 = Temp!$C$1, $B191 = Temp!$A$16),$D191,0)</f>
        <v>0</v>
      </c>
      <c r="H191">
        <f>IF(AND($C191 = Temp!$D$1, $B191 = Temp!$A$16),$D191,0)</f>
        <v>0</v>
      </c>
      <c r="I191">
        <f>IF(AND($C191 = Temp!$E$1, $B191 = Temp!$A$16),$D191,0)</f>
        <v>0</v>
      </c>
      <c r="J191">
        <f>IF(AND($C191 = Temp!$F$1, $B191 = Temp!$A$16),$D191,0)</f>
        <v>0</v>
      </c>
      <c r="K191">
        <f>IF(AND($C191 = Temp!$G$1, $B191 = Temp!$A$16),$D191,0)</f>
        <v>0</v>
      </c>
      <c r="L191">
        <f>IF(AND($C191 = Temp!$H$1, $B191 = Temp!$A$16),$D191,0)</f>
        <v>0</v>
      </c>
      <c r="M191">
        <f>IF(AND($C191 = Temp!$I$1, $B191 = Temp!$A$16),$D191,0)</f>
        <v>0</v>
      </c>
      <c r="N191">
        <f>IF(AND($C191 = Temp!$J$1, $B191 = Temp!$A$16),$D191,0)</f>
        <v>0</v>
      </c>
      <c r="O191">
        <f>IF(AND($C191 = Temp!$K$1, $B191 = Temp!$A$16),$D191,0)</f>
        <v>0</v>
      </c>
    </row>
    <row r="192" spans="2:15" hidden="1" x14ac:dyDescent="0.2">
      <c r="B192" t="s">
        <v>406</v>
      </c>
      <c r="C192" t="s">
        <v>24</v>
      </c>
      <c r="D192">
        <v>1</v>
      </c>
      <c r="F192">
        <f>IF(AND($C192 = Temp!$B$1, $B192 = Temp!$A$16),$D192,0)</f>
        <v>0</v>
      </c>
      <c r="G192">
        <f>IF(AND($C192 = Temp!$C$1, $B192 = Temp!$A$16),$D192,0)</f>
        <v>0</v>
      </c>
      <c r="H192">
        <f>IF(AND($C192 = Temp!$D$1, $B192 = Temp!$A$16),$D192,0)</f>
        <v>0</v>
      </c>
      <c r="I192">
        <f>IF(AND($C192 = Temp!$E$1, $B192 = Temp!$A$16),$D192,0)</f>
        <v>0</v>
      </c>
      <c r="J192">
        <f>IF(AND($C192 = Temp!$F$1, $B192 = Temp!$A$16),$D192,0)</f>
        <v>0</v>
      </c>
      <c r="K192">
        <f>IF(AND($C192 = Temp!$G$1, $B192 = Temp!$A$16),$D192,0)</f>
        <v>0</v>
      </c>
      <c r="L192">
        <f>IF(AND($C192 = Temp!$H$1, $B192 = Temp!$A$16),$D192,0)</f>
        <v>0</v>
      </c>
      <c r="M192">
        <f>IF(AND($C192 = Temp!$I$1, $B192 = Temp!$A$16),$D192,0)</f>
        <v>0</v>
      </c>
      <c r="N192">
        <f>IF(AND($C192 = Temp!$J$1, $B192 = Temp!$A$16),$D192,0)</f>
        <v>0</v>
      </c>
      <c r="O192">
        <f>IF(AND($C192 = Temp!$K$1, $B192 = Temp!$A$16),$D192,0)</f>
        <v>0</v>
      </c>
    </row>
    <row r="193" spans="2:15" hidden="1" x14ac:dyDescent="0.2">
      <c r="B193" t="s">
        <v>406</v>
      </c>
      <c r="C193" t="s">
        <v>24</v>
      </c>
      <c r="D193">
        <v>1</v>
      </c>
      <c r="F193">
        <f>IF(AND($C193 = Temp!$B$1, $B193 = Temp!$A$16),$D193,0)</f>
        <v>0</v>
      </c>
      <c r="G193">
        <f>IF(AND($C193 = Temp!$C$1, $B193 = Temp!$A$16),$D193,0)</f>
        <v>0</v>
      </c>
      <c r="H193">
        <f>IF(AND($C193 = Temp!$D$1, $B193 = Temp!$A$16),$D193,0)</f>
        <v>0</v>
      </c>
      <c r="I193">
        <f>IF(AND($C193 = Temp!$E$1, $B193 = Temp!$A$16),$D193,0)</f>
        <v>0</v>
      </c>
      <c r="J193">
        <f>IF(AND($C193 = Temp!$F$1, $B193 = Temp!$A$16),$D193,0)</f>
        <v>0</v>
      </c>
      <c r="K193">
        <f>IF(AND($C193 = Temp!$G$1, $B193 = Temp!$A$16),$D193,0)</f>
        <v>0</v>
      </c>
      <c r="L193">
        <f>IF(AND($C193 = Temp!$H$1, $B193 = Temp!$A$16),$D193,0)</f>
        <v>0</v>
      </c>
      <c r="M193">
        <f>IF(AND($C193 = Temp!$I$1, $B193 = Temp!$A$16),$D193,0)</f>
        <v>0</v>
      </c>
      <c r="N193">
        <f>IF(AND($C193 = Temp!$J$1, $B193 = Temp!$A$16),$D193,0)</f>
        <v>0</v>
      </c>
      <c r="O193">
        <f>IF(AND($C193 = Temp!$K$1, $B193 = Temp!$A$16),$D193,0)</f>
        <v>0</v>
      </c>
    </row>
    <row r="194" spans="2:15" hidden="1" x14ac:dyDescent="0.2">
      <c r="B194" t="s">
        <v>406</v>
      </c>
      <c r="C194" t="s">
        <v>4</v>
      </c>
      <c r="D194">
        <v>6</v>
      </c>
      <c r="F194">
        <f>IF(AND($C194 = Temp!$B$1, $B194 = Temp!$A$16),$D194,0)</f>
        <v>0</v>
      </c>
      <c r="G194">
        <f>IF(AND($C194 = Temp!$C$1, $B194 = Temp!$A$16),$D194,0)</f>
        <v>0</v>
      </c>
      <c r="H194">
        <f>IF(AND($C194 = Temp!$D$1, $B194 = Temp!$A$16),$D194,0)</f>
        <v>0</v>
      </c>
      <c r="I194">
        <f>IF(AND($C194 = Temp!$E$1, $B194 = Temp!$A$16),$D194,0)</f>
        <v>0</v>
      </c>
      <c r="J194">
        <f>IF(AND($C194 = Temp!$F$1, $B194 = Temp!$A$16),$D194,0)</f>
        <v>0</v>
      </c>
      <c r="K194">
        <f>IF(AND($C194 = Temp!$G$1, $B194 = Temp!$A$16),$D194,0)</f>
        <v>0</v>
      </c>
      <c r="L194">
        <f>IF(AND($C194 = Temp!$H$1, $B194 = Temp!$A$16),$D194,0)</f>
        <v>0</v>
      </c>
      <c r="M194">
        <f>IF(AND($C194 = Temp!$I$1, $B194 = Temp!$A$16),$D194,0)</f>
        <v>0</v>
      </c>
      <c r="N194">
        <f>IF(AND($C194 = Temp!$J$1, $B194 = Temp!$A$16),$D194,0)</f>
        <v>0</v>
      </c>
      <c r="O194">
        <f>IF(AND($C194 = Temp!$K$1, $B194 = Temp!$A$16),$D194,0)</f>
        <v>0</v>
      </c>
    </row>
    <row r="195" spans="2:15" hidden="1" x14ac:dyDescent="0.2">
      <c r="B195" t="s">
        <v>406</v>
      </c>
      <c r="C195" t="s">
        <v>24</v>
      </c>
      <c r="D195">
        <v>0.1</v>
      </c>
      <c r="F195">
        <f>IF(AND($C195 = Temp!$B$1, $B195 = Temp!$A$16),$D195,0)</f>
        <v>0</v>
      </c>
      <c r="G195">
        <f>IF(AND($C195 = Temp!$C$1, $B195 = Temp!$A$16),$D195,0)</f>
        <v>0</v>
      </c>
      <c r="H195">
        <f>IF(AND($C195 = Temp!$D$1, $B195 = Temp!$A$16),$D195,0)</f>
        <v>0</v>
      </c>
      <c r="I195">
        <f>IF(AND($C195 = Temp!$E$1, $B195 = Temp!$A$16),$D195,0)</f>
        <v>0</v>
      </c>
      <c r="J195">
        <f>IF(AND($C195 = Temp!$F$1, $B195 = Temp!$A$16),$D195,0)</f>
        <v>0</v>
      </c>
      <c r="K195">
        <f>IF(AND($C195 = Temp!$G$1, $B195 = Temp!$A$16),$D195,0)</f>
        <v>0</v>
      </c>
      <c r="L195">
        <f>IF(AND($C195 = Temp!$H$1, $B195 = Temp!$A$16),$D195,0)</f>
        <v>0</v>
      </c>
      <c r="M195">
        <f>IF(AND($C195 = Temp!$I$1, $B195 = Temp!$A$16),$D195,0)</f>
        <v>0</v>
      </c>
      <c r="N195">
        <f>IF(AND($C195 = Temp!$J$1, $B195 = Temp!$A$16),$D195,0)</f>
        <v>0</v>
      </c>
      <c r="O195">
        <f>IF(AND($C195 = Temp!$K$1, $B195 = Temp!$A$16),$D195,0)</f>
        <v>0</v>
      </c>
    </row>
    <row r="196" spans="2:15" hidden="1" x14ac:dyDescent="0.2">
      <c r="B196" t="s">
        <v>406</v>
      </c>
      <c r="C196" t="s">
        <v>24</v>
      </c>
      <c r="D196">
        <v>6</v>
      </c>
      <c r="F196">
        <f>IF(AND($C196 = Temp!$B$1, $B196 = Temp!$A$16),$D196,0)</f>
        <v>0</v>
      </c>
      <c r="G196">
        <f>IF(AND($C196 = Temp!$C$1, $B196 = Temp!$A$16),$D196,0)</f>
        <v>0</v>
      </c>
      <c r="H196">
        <f>IF(AND($C196 = Temp!$D$1, $B196 = Temp!$A$16),$D196,0)</f>
        <v>0</v>
      </c>
      <c r="I196">
        <f>IF(AND($C196 = Temp!$E$1, $B196 = Temp!$A$16),$D196,0)</f>
        <v>0</v>
      </c>
      <c r="J196">
        <f>IF(AND($C196 = Temp!$F$1, $B196 = Temp!$A$16),$D196,0)</f>
        <v>0</v>
      </c>
      <c r="K196">
        <f>IF(AND($C196 = Temp!$G$1, $B196 = Temp!$A$16),$D196,0)</f>
        <v>0</v>
      </c>
      <c r="L196">
        <f>IF(AND($C196 = Temp!$H$1, $B196 = Temp!$A$16),$D196,0)</f>
        <v>0</v>
      </c>
      <c r="M196">
        <f>IF(AND($C196 = Temp!$I$1, $B196 = Temp!$A$16),$D196,0)</f>
        <v>0</v>
      </c>
      <c r="N196">
        <f>IF(AND($C196 = Temp!$J$1, $B196 = Temp!$A$16),$D196,0)</f>
        <v>0</v>
      </c>
      <c r="O196">
        <f>IF(AND($C196 = Temp!$K$1, $B196 = Temp!$A$16),$D196,0)</f>
        <v>0</v>
      </c>
    </row>
    <row r="197" spans="2:15" hidden="1" x14ac:dyDescent="0.2">
      <c r="B197" t="s">
        <v>406</v>
      </c>
      <c r="C197" t="s">
        <v>41</v>
      </c>
      <c r="D197">
        <v>3</v>
      </c>
      <c r="F197">
        <f>IF(AND($C197 = Temp!$B$1, $B197 = Temp!$A$16),$D197,0)</f>
        <v>0</v>
      </c>
      <c r="G197">
        <f>IF(AND($C197 = Temp!$C$1, $B197 = Temp!$A$16),$D197,0)</f>
        <v>0</v>
      </c>
      <c r="H197">
        <f>IF(AND($C197 = Temp!$D$1, $B197 = Temp!$A$16),$D197,0)</f>
        <v>0</v>
      </c>
      <c r="I197">
        <f>IF(AND($C197 = Temp!$E$1, $B197 = Temp!$A$16),$D197,0)</f>
        <v>0</v>
      </c>
      <c r="J197">
        <f>IF(AND($C197 = Temp!$F$1, $B197 = Temp!$A$16),$D197,0)</f>
        <v>0</v>
      </c>
      <c r="K197">
        <f>IF(AND($C197 = Temp!$G$1, $B197 = Temp!$A$16),$D197,0)</f>
        <v>0</v>
      </c>
      <c r="L197">
        <f>IF(AND($C197 = Temp!$H$1, $B197 = Temp!$A$16),$D197,0)</f>
        <v>0</v>
      </c>
      <c r="M197">
        <f>IF(AND($C197 = Temp!$I$1, $B197 = Temp!$A$16),$D197,0)</f>
        <v>0</v>
      </c>
      <c r="N197">
        <f>IF(AND($C197 = Temp!$J$1, $B197 = Temp!$A$16),$D197,0)</f>
        <v>0</v>
      </c>
      <c r="O197">
        <f>IF(AND($C197 = Temp!$K$1, $B197 = Temp!$A$16),$D197,0)</f>
        <v>0</v>
      </c>
    </row>
    <row r="198" spans="2:15" hidden="1" x14ac:dyDescent="0.2">
      <c r="B198" t="s">
        <v>406</v>
      </c>
      <c r="C198" t="s">
        <v>41</v>
      </c>
      <c r="D198">
        <v>6</v>
      </c>
      <c r="F198">
        <f>IF(AND($C198 = Temp!$B$1, $B198 = Temp!$A$16),$D198,0)</f>
        <v>0</v>
      </c>
      <c r="G198">
        <f>IF(AND($C198 = Temp!$C$1, $B198 = Temp!$A$16),$D198,0)</f>
        <v>0</v>
      </c>
      <c r="H198">
        <f>IF(AND($C198 = Temp!$D$1, $B198 = Temp!$A$16),$D198,0)</f>
        <v>0</v>
      </c>
      <c r="I198">
        <f>IF(AND($C198 = Temp!$E$1, $B198 = Temp!$A$16),$D198,0)</f>
        <v>0</v>
      </c>
      <c r="J198">
        <f>IF(AND($C198 = Temp!$F$1, $B198 = Temp!$A$16),$D198,0)</f>
        <v>0</v>
      </c>
      <c r="K198">
        <f>IF(AND($C198 = Temp!$G$1, $B198 = Temp!$A$16),$D198,0)</f>
        <v>0</v>
      </c>
      <c r="L198">
        <f>IF(AND($C198 = Temp!$H$1, $B198 = Temp!$A$16),$D198,0)</f>
        <v>0</v>
      </c>
      <c r="M198">
        <f>IF(AND($C198 = Temp!$I$1, $B198 = Temp!$A$16),$D198,0)</f>
        <v>0</v>
      </c>
      <c r="N198">
        <f>IF(AND($C198 = Temp!$J$1, $B198 = Temp!$A$16),$D198,0)</f>
        <v>0</v>
      </c>
      <c r="O198">
        <f>IF(AND($C198 = Temp!$K$1, $B198 = Temp!$A$16),$D198,0)</f>
        <v>0</v>
      </c>
    </row>
    <row r="199" spans="2:15" hidden="1" x14ac:dyDescent="0.2">
      <c r="B199" t="s">
        <v>406</v>
      </c>
      <c r="C199" t="s">
        <v>41</v>
      </c>
      <c r="D199">
        <v>1</v>
      </c>
      <c r="F199">
        <f>IF(AND($C199 = Temp!$B$1, $B199 = Temp!$A$16),$D199,0)</f>
        <v>0</v>
      </c>
      <c r="G199">
        <f>IF(AND($C199 = Temp!$C$1, $B199 = Temp!$A$16),$D199,0)</f>
        <v>0</v>
      </c>
      <c r="H199">
        <f>IF(AND($C199 = Temp!$D$1, $B199 = Temp!$A$16),$D199,0)</f>
        <v>0</v>
      </c>
      <c r="I199">
        <f>IF(AND($C199 = Temp!$E$1, $B199 = Temp!$A$16),$D199,0)</f>
        <v>0</v>
      </c>
      <c r="J199">
        <f>IF(AND($C199 = Temp!$F$1, $B199 = Temp!$A$16),$D199,0)</f>
        <v>0</v>
      </c>
      <c r="K199">
        <f>IF(AND($C199 = Temp!$G$1, $B199 = Temp!$A$16),$D199,0)</f>
        <v>0</v>
      </c>
      <c r="L199">
        <f>IF(AND($C199 = Temp!$H$1, $B199 = Temp!$A$16),$D199,0)</f>
        <v>0</v>
      </c>
      <c r="M199">
        <f>IF(AND($C199 = Temp!$I$1, $B199 = Temp!$A$16),$D199,0)</f>
        <v>0</v>
      </c>
      <c r="N199">
        <f>IF(AND($C199 = Temp!$J$1, $B199 = Temp!$A$16),$D199,0)</f>
        <v>0</v>
      </c>
      <c r="O199">
        <f>IF(AND($C199 = Temp!$K$1, $B199 = Temp!$A$16),$D199,0)</f>
        <v>0</v>
      </c>
    </row>
    <row r="200" spans="2:15" hidden="1" x14ac:dyDescent="0.2">
      <c r="B200" t="s">
        <v>406</v>
      </c>
      <c r="C200" t="s">
        <v>41</v>
      </c>
      <c r="D200">
        <v>3</v>
      </c>
      <c r="F200">
        <f>IF(AND($C200 = Temp!$B$1, $B200 = Temp!$A$16),$D200,0)</f>
        <v>0</v>
      </c>
      <c r="G200">
        <f>IF(AND($C200 = Temp!$C$1, $B200 = Temp!$A$16),$D200,0)</f>
        <v>0</v>
      </c>
      <c r="H200">
        <f>IF(AND($C200 = Temp!$D$1, $B200 = Temp!$A$16),$D200,0)</f>
        <v>0</v>
      </c>
      <c r="I200">
        <f>IF(AND($C200 = Temp!$E$1, $B200 = Temp!$A$16),$D200,0)</f>
        <v>0</v>
      </c>
      <c r="J200">
        <f>IF(AND($C200 = Temp!$F$1, $B200 = Temp!$A$16),$D200,0)</f>
        <v>0</v>
      </c>
      <c r="K200">
        <f>IF(AND($C200 = Temp!$G$1, $B200 = Temp!$A$16),$D200,0)</f>
        <v>0</v>
      </c>
      <c r="L200">
        <f>IF(AND($C200 = Temp!$H$1, $B200 = Temp!$A$16),$D200,0)</f>
        <v>0</v>
      </c>
      <c r="M200">
        <f>IF(AND($C200 = Temp!$I$1, $B200 = Temp!$A$16),$D200,0)</f>
        <v>0</v>
      </c>
      <c r="N200">
        <f>IF(AND($C200 = Temp!$J$1, $B200 = Temp!$A$16),$D200,0)</f>
        <v>0</v>
      </c>
      <c r="O200">
        <f>IF(AND($C200 = Temp!$K$1, $B200 = Temp!$A$16),$D200,0)</f>
        <v>0</v>
      </c>
    </row>
    <row r="201" spans="2:15" hidden="1" x14ac:dyDescent="0.2">
      <c r="B201" t="s">
        <v>406</v>
      </c>
      <c r="C201" t="s">
        <v>41</v>
      </c>
      <c r="D201">
        <v>2</v>
      </c>
      <c r="F201">
        <f>IF(AND($C201 = Temp!$B$1, $B201 = Temp!$A$16),$D201,0)</f>
        <v>0</v>
      </c>
      <c r="G201">
        <f>IF(AND($C201 = Temp!$C$1, $B201 = Temp!$A$16),$D201,0)</f>
        <v>0</v>
      </c>
      <c r="H201">
        <f>IF(AND($C201 = Temp!$D$1, $B201 = Temp!$A$16),$D201,0)</f>
        <v>0</v>
      </c>
      <c r="I201">
        <f>IF(AND($C201 = Temp!$E$1, $B201 = Temp!$A$16),$D201,0)</f>
        <v>0</v>
      </c>
      <c r="J201">
        <f>IF(AND($C201 = Temp!$F$1, $B201 = Temp!$A$16),$D201,0)</f>
        <v>0</v>
      </c>
      <c r="K201">
        <f>IF(AND($C201 = Temp!$G$1, $B201 = Temp!$A$16),$D201,0)</f>
        <v>0</v>
      </c>
      <c r="L201">
        <f>IF(AND($C201 = Temp!$H$1, $B201 = Temp!$A$16),$D201,0)</f>
        <v>0</v>
      </c>
      <c r="M201">
        <f>IF(AND($C201 = Temp!$I$1, $B201 = Temp!$A$16),$D201,0)</f>
        <v>0</v>
      </c>
      <c r="N201">
        <f>IF(AND($C201 = Temp!$J$1, $B201 = Temp!$A$16),$D201,0)</f>
        <v>0</v>
      </c>
      <c r="O201">
        <f>IF(AND($C201 = Temp!$K$1, $B201 = Temp!$A$16),$D201,0)</f>
        <v>0</v>
      </c>
    </row>
    <row r="202" spans="2:15" hidden="1" x14ac:dyDescent="0.2">
      <c r="B202" t="s">
        <v>406</v>
      </c>
      <c r="C202" t="s">
        <v>41</v>
      </c>
      <c r="D202">
        <v>3</v>
      </c>
      <c r="F202">
        <f>IF(AND($C202 = Temp!$B$1, $B202 = Temp!$A$16),$D202,0)</f>
        <v>0</v>
      </c>
      <c r="G202">
        <f>IF(AND($C202 = Temp!$C$1, $B202 = Temp!$A$16),$D202,0)</f>
        <v>0</v>
      </c>
      <c r="H202">
        <f>IF(AND($C202 = Temp!$D$1, $B202 = Temp!$A$16),$D202,0)</f>
        <v>0</v>
      </c>
      <c r="I202">
        <f>IF(AND($C202 = Temp!$E$1, $B202 = Temp!$A$16),$D202,0)</f>
        <v>0</v>
      </c>
      <c r="J202">
        <f>IF(AND($C202 = Temp!$F$1, $B202 = Temp!$A$16),$D202,0)</f>
        <v>0</v>
      </c>
      <c r="K202">
        <f>IF(AND($C202 = Temp!$G$1, $B202 = Temp!$A$16),$D202,0)</f>
        <v>0</v>
      </c>
      <c r="L202">
        <f>IF(AND($C202 = Temp!$H$1, $B202 = Temp!$A$16),$D202,0)</f>
        <v>0</v>
      </c>
      <c r="M202">
        <f>IF(AND($C202 = Temp!$I$1, $B202 = Temp!$A$16),$D202,0)</f>
        <v>0</v>
      </c>
      <c r="N202">
        <f>IF(AND($C202 = Temp!$J$1, $B202 = Temp!$A$16),$D202,0)</f>
        <v>0</v>
      </c>
      <c r="O202">
        <f>IF(AND($C202 = Temp!$K$1, $B202 = Temp!$A$16),$D202,0)</f>
        <v>0</v>
      </c>
    </row>
    <row r="203" spans="2:15" hidden="1" x14ac:dyDescent="0.2">
      <c r="B203" t="s">
        <v>406</v>
      </c>
      <c r="C203" t="s">
        <v>15</v>
      </c>
      <c r="D203">
        <v>2</v>
      </c>
      <c r="F203">
        <f>IF(AND($C203 = Temp!$B$1, $B203 = Temp!$A$16),$D203,0)</f>
        <v>0</v>
      </c>
      <c r="G203">
        <f>IF(AND($C203 = Temp!$C$1, $B203 = Temp!$A$16),$D203,0)</f>
        <v>0</v>
      </c>
      <c r="H203">
        <f>IF(AND($C203 = Temp!$D$1, $B203 = Temp!$A$16),$D203,0)</f>
        <v>0</v>
      </c>
      <c r="I203">
        <f>IF(AND($C203 = Temp!$E$1, $B203 = Temp!$A$16),$D203,0)</f>
        <v>0</v>
      </c>
      <c r="J203">
        <f>IF(AND($C203 = Temp!$F$1, $B203 = Temp!$A$16),$D203,0)</f>
        <v>0</v>
      </c>
      <c r="K203">
        <f>IF(AND($C203 = Temp!$G$1, $B203 = Temp!$A$16),$D203,0)</f>
        <v>0</v>
      </c>
      <c r="L203">
        <f>IF(AND($C203 = Temp!$H$1, $B203 = Temp!$A$16),$D203,0)</f>
        <v>0</v>
      </c>
      <c r="M203">
        <f>IF(AND($C203 = Temp!$I$1, $B203 = Temp!$A$16),$D203,0)</f>
        <v>0</v>
      </c>
      <c r="N203">
        <f>IF(AND($C203 = Temp!$J$1, $B203 = Temp!$A$16),$D203,0)</f>
        <v>0</v>
      </c>
      <c r="O203">
        <f>IF(AND($C203 = Temp!$K$1, $B203 = Temp!$A$16),$D203,0)</f>
        <v>0</v>
      </c>
    </row>
    <row r="204" spans="2:15" hidden="1" x14ac:dyDescent="0.2">
      <c r="B204" t="s">
        <v>406</v>
      </c>
      <c r="C204" t="s">
        <v>15</v>
      </c>
      <c r="D204">
        <v>1</v>
      </c>
      <c r="F204">
        <f>IF(AND($C204 = Temp!$B$1, $B204 = Temp!$A$16),$D204,0)</f>
        <v>0</v>
      </c>
      <c r="G204">
        <f>IF(AND($C204 = Temp!$C$1, $B204 = Temp!$A$16),$D204,0)</f>
        <v>0</v>
      </c>
      <c r="H204">
        <f>IF(AND($C204 = Temp!$D$1, $B204 = Temp!$A$16),$D204,0)</f>
        <v>0</v>
      </c>
      <c r="I204">
        <f>IF(AND($C204 = Temp!$E$1, $B204 = Temp!$A$16),$D204,0)</f>
        <v>0</v>
      </c>
      <c r="J204">
        <f>IF(AND($C204 = Temp!$F$1, $B204 = Temp!$A$16),$D204,0)</f>
        <v>0</v>
      </c>
      <c r="K204">
        <f>IF(AND($C204 = Temp!$G$1, $B204 = Temp!$A$16),$D204,0)</f>
        <v>0</v>
      </c>
      <c r="L204">
        <f>IF(AND($C204 = Temp!$H$1, $B204 = Temp!$A$16),$D204,0)</f>
        <v>0</v>
      </c>
      <c r="M204">
        <f>IF(AND($C204 = Temp!$I$1, $B204 = Temp!$A$16),$D204,0)</f>
        <v>0</v>
      </c>
      <c r="N204">
        <f>IF(AND($C204 = Temp!$J$1, $B204 = Temp!$A$16),$D204,0)</f>
        <v>0</v>
      </c>
      <c r="O204">
        <f>IF(AND($C204 = Temp!$K$1, $B204 = Temp!$A$16),$D204,0)</f>
        <v>0</v>
      </c>
    </row>
    <row r="205" spans="2:15" hidden="1" x14ac:dyDescent="0.2">
      <c r="B205" t="s">
        <v>406</v>
      </c>
      <c r="C205" s="4" t="s">
        <v>40</v>
      </c>
      <c r="D205" s="7">
        <v>1</v>
      </c>
      <c r="E205" s="7"/>
      <c r="F205">
        <f>IF(AND($C205 = Temp!$B$1, $B205 = Temp!$A$16),$D205,0)</f>
        <v>0</v>
      </c>
      <c r="G205">
        <f>IF(AND($C205 = Temp!$C$1, $B205 = Temp!$A$16),$D205,0)</f>
        <v>0</v>
      </c>
      <c r="H205">
        <f>IF(AND($C205 = Temp!$D$1, $B205 = Temp!$A$16),$D205,0)</f>
        <v>0</v>
      </c>
      <c r="I205">
        <f>IF(AND($C205 = Temp!$E$1, $B205 = Temp!$A$16),$D205,0)</f>
        <v>0</v>
      </c>
      <c r="J205">
        <f>IF(AND($C205 = Temp!$F$1, $B205 = Temp!$A$16),$D205,0)</f>
        <v>0</v>
      </c>
      <c r="K205">
        <f>IF(AND($C205 = Temp!$G$1, $B205 = Temp!$A$16),$D205,0)</f>
        <v>0</v>
      </c>
      <c r="L205">
        <f>IF(AND($C205 = Temp!$H$1, $B205 = Temp!$A$16),$D205,0)</f>
        <v>0</v>
      </c>
      <c r="M205">
        <f>IF(AND($C205 = Temp!$I$1, $B205 = Temp!$A$16),$D205,0)</f>
        <v>0</v>
      </c>
      <c r="N205">
        <f>IF(AND($C205 = Temp!$J$1, $B205 = Temp!$A$16),$D205,0)</f>
        <v>0</v>
      </c>
      <c r="O205">
        <f>IF(AND($C205 = Temp!$K$1, $B205 = Temp!$A$16),$D205,0)</f>
        <v>0</v>
      </c>
    </row>
    <row r="206" spans="2:15" hidden="1" x14ac:dyDescent="0.2">
      <c r="B206" t="s">
        <v>406</v>
      </c>
      <c r="C206" s="4" t="s">
        <v>40</v>
      </c>
      <c r="D206" s="7">
        <v>1</v>
      </c>
      <c r="E206" s="7"/>
      <c r="F206">
        <f>IF(AND($C206 = Temp!$B$1, $B206 = Temp!$A$16),$D206,0)</f>
        <v>0</v>
      </c>
      <c r="G206">
        <f>IF(AND($C206 = Temp!$C$1, $B206 = Temp!$A$16),$D206,0)</f>
        <v>0</v>
      </c>
      <c r="H206">
        <f>IF(AND($C206 = Temp!$D$1, $B206 = Temp!$A$16),$D206,0)</f>
        <v>0</v>
      </c>
      <c r="I206">
        <f>IF(AND($C206 = Temp!$E$1, $B206 = Temp!$A$16),$D206,0)</f>
        <v>0</v>
      </c>
      <c r="J206">
        <f>IF(AND($C206 = Temp!$F$1, $B206 = Temp!$A$16),$D206,0)</f>
        <v>0</v>
      </c>
      <c r="K206">
        <f>IF(AND($C206 = Temp!$G$1, $B206 = Temp!$A$16),$D206,0)</f>
        <v>0</v>
      </c>
      <c r="L206">
        <f>IF(AND($C206 = Temp!$H$1, $B206 = Temp!$A$16),$D206,0)</f>
        <v>0</v>
      </c>
      <c r="M206">
        <f>IF(AND($C206 = Temp!$I$1, $B206 = Temp!$A$16),$D206,0)</f>
        <v>0</v>
      </c>
      <c r="N206">
        <f>IF(AND($C206 = Temp!$J$1, $B206 = Temp!$A$16),$D206,0)</f>
        <v>0</v>
      </c>
      <c r="O206">
        <f>IF(AND($C206 = Temp!$K$1, $B206 = Temp!$A$16),$D206,0)</f>
        <v>0</v>
      </c>
    </row>
    <row r="207" spans="2:15" hidden="1" x14ac:dyDescent="0.2">
      <c r="B207" t="s">
        <v>405</v>
      </c>
      <c r="C207" s="4" t="s">
        <v>40</v>
      </c>
      <c r="D207" s="7">
        <v>0.12</v>
      </c>
      <c r="E207" s="7"/>
      <c r="F207">
        <f>IF(AND($C207 = Temp!$B$1, $B207 = Temp!$A$16),$D207,0)</f>
        <v>0</v>
      </c>
      <c r="G207">
        <f>IF(AND($C207 = Temp!$C$1, $B207 = Temp!$A$16),$D207,0)</f>
        <v>0</v>
      </c>
      <c r="H207">
        <f>IF(AND($C207 = Temp!$D$1, $B207 = Temp!$A$16),$D207,0)</f>
        <v>0</v>
      </c>
      <c r="I207">
        <f>IF(AND($C207 = Temp!$E$1, $B207 = Temp!$A$16),$D207,0)</f>
        <v>0</v>
      </c>
      <c r="J207">
        <f>IF(AND($C207 = Temp!$F$1, $B207 = Temp!$A$16),$D207,0)</f>
        <v>0</v>
      </c>
      <c r="K207">
        <f>IF(AND($C207 = Temp!$G$1, $B207 = Temp!$A$16),$D207,0)</f>
        <v>0</v>
      </c>
      <c r="L207">
        <f>IF(AND($C207 = Temp!$H$1, $B207 = Temp!$A$16),$D207,0)</f>
        <v>0</v>
      </c>
      <c r="M207">
        <f>IF(AND($C207 = Temp!$I$1, $B207 = Temp!$A$16),$D207,0)</f>
        <v>0</v>
      </c>
      <c r="N207">
        <f>IF(AND($C207 = Temp!$J$1, $B207 = Temp!$A$16),$D207,0)</f>
        <v>0</v>
      </c>
      <c r="O207">
        <f>IF(AND($C207 = Temp!$K$1, $B207 = Temp!$A$16),$D207,0)</f>
        <v>0</v>
      </c>
    </row>
    <row r="208" spans="2:15" hidden="1" x14ac:dyDescent="0.2">
      <c r="B208" t="s">
        <v>115</v>
      </c>
      <c r="C208" t="s">
        <v>40</v>
      </c>
      <c r="D208">
        <v>0.5</v>
      </c>
      <c r="F208">
        <f>IF(AND($C208 = Temp!$B$1, $B208 = Temp!$A$16),$D208,0)</f>
        <v>0</v>
      </c>
      <c r="G208">
        <f>IF(AND($C208 = Temp!$C$1, $B208 = Temp!$A$16),$D208,0)</f>
        <v>0</v>
      </c>
      <c r="H208">
        <f>IF(AND($C208 = Temp!$D$1, $B208 = Temp!$A$16),$D208,0)</f>
        <v>0</v>
      </c>
      <c r="I208">
        <f>IF(AND($C208 = Temp!$E$1, $B208 = Temp!$A$16),$D208,0)</f>
        <v>0</v>
      </c>
      <c r="J208">
        <f>IF(AND($C208 = Temp!$F$1, $B208 = Temp!$A$16),$D208,0)</f>
        <v>0</v>
      </c>
      <c r="K208">
        <f>IF(AND($C208 = Temp!$G$1, $B208 = Temp!$A$16),$D208,0)</f>
        <v>0</v>
      </c>
      <c r="L208">
        <f>IF(AND($C208 = Temp!$H$1, $B208 = Temp!$A$16),$D208,0)</f>
        <v>0</v>
      </c>
      <c r="M208">
        <f>IF(AND($C208 = Temp!$I$1, $B208 = Temp!$A$16),$D208,0)</f>
        <v>0</v>
      </c>
      <c r="N208">
        <f>IF(AND($C208 = Temp!$J$1, $B208 = Temp!$A$16),$D208,0)</f>
        <v>0</v>
      </c>
      <c r="O208">
        <f>IF(AND($C208 = Temp!$K$1, $B208 = Temp!$A$16),$D208,0)</f>
        <v>0</v>
      </c>
    </row>
    <row r="209" spans="2:15" hidden="1" x14ac:dyDescent="0.2">
      <c r="B209" t="s">
        <v>115</v>
      </c>
      <c r="C209" t="s">
        <v>40</v>
      </c>
      <c r="D209">
        <v>1</v>
      </c>
      <c r="F209">
        <f>IF(AND($C209 = Temp!$B$1, $B209 = Temp!$A$16),$D209,0)</f>
        <v>0</v>
      </c>
      <c r="G209">
        <f>IF(AND($C209 = Temp!$C$1, $B209 = Temp!$A$16),$D209,0)</f>
        <v>0</v>
      </c>
      <c r="H209">
        <f>IF(AND($C209 = Temp!$D$1, $B209 = Temp!$A$16),$D209,0)</f>
        <v>0</v>
      </c>
      <c r="I209">
        <f>IF(AND($C209 = Temp!$E$1, $B209 = Temp!$A$16),$D209,0)</f>
        <v>0</v>
      </c>
      <c r="J209">
        <f>IF(AND($C209 = Temp!$F$1, $B209 = Temp!$A$16),$D209,0)</f>
        <v>0</v>
      </c>
      <c r="K209">
        <f>IF(AND($C209 = Temp!$G$1, $B209 = Temp!$A$16),$D209,0)</f>
        <v>0</v>
      </c>
      <c r="L209">
        <f>IF(AND($C209 = Temp!$H$1, $B209 = Temp!$A$16),$D209,0)</f>
        <v>0</v>
      </c>
      <c r="M209">
        <f>IF(AND($C209 = Temp!$I$1, $B209 = Temp!$A$16),$D209,0)</f>
        <v>0</v>
      </c>
      <c r="N209">
        <f>IF(AND($C209 = Temp!$J$1, $B209 = Temp!$A$16),$D209,0)</f>
        <v>0</v>
      </c>
      <c r="O209">
        <f>IF(AND($C209 = Temp!$K$1, $B209 = Temp!$A$16),$D209,0)</f>
        <v>0</v>
      </c>
    </row>
    <row r="210" spans="2:15" hidden="1" x14ac:dyDescent="0.2">
      <c r="B210" t="s">
        <v>231</v>
      </c>
      <c r="C210" t="s">
        <v>219</v>
      </c>
      <c r="D210">
        <v>3</v>
      </c>
      <c r="F210">
        <f>IF(AND($C210 = Temp!$B$1, $B210 = Temp!$A$16),$D210,0)</f>
        <v>0</v>
      </c>
      <c r="G210">
        <f>IF(AND($C210 = Temp!$C$1, $B210 = Temp!$A$16),$D210,0)</f>
        <v>0</v>
      </c>
      <c r="H210">
        <f>IF(AND($C210 = Temp!$D$1, $B210 = Temp!$A$16),$D210,0)</f>
        <v>0</v>
      </c>
      <c r="I210">
        <f>IF(AND($C210 = Temp!$E$1, $B210 = Temp!$A$16),$D210,0)</f>
        <v>0</v>
      </c>
      <c r="J210">
        <f>IF(AND($C210 = Temp!$F$1, $B210 = Temp!$A$16),$D210,0)</f>
        <v>0</v>
      </c>
      <c r="K210">
        <f>IF(AND($C210 = Temp!$G$1, $B210 = Temp!$A$16),$D210,0)</f>
        <v>0</v>
      </c>
      <c r="L210">
        <f>IF(AND($C210 = Temp!$H$1, $B210 = Temp!$A$16),$D210,0)</f>
        <v>0</v>
      </c>
      <c r="M210">
        <f>IF(AND($C210 = Temp!$I$1, $B210 = Temp!$A$16),$D210,0)</f>
        <v>0</v>
      </c>
      <c r="N210">
        <f>IF(AND($C210 = Temp!$J$1, $B210 = Temp!$A$16),$D210,0)</f>
        <v>0</v>
      </c>
      <c r="O210">
        <f>IF(AND($C210 = Temp!$K$1, $B210 = Temp!$A$16),$D210,0)</f>
        <v>0</v>
      </c>
    </row>
    <row r="211" spans="2:15" hidden="1" x14ac:dyDescent="0.2">
      <c r="B211" t="s">
        <v>231</v>
      </c>
      <c r="C211" t="s">
        <v>219</v>
      </c>
      <c r="D211">
        <v>3</v>
      </c>
      <c r="F211">
        <f>IF(AND($C211 = Temp!$B$1, $B211 = Temp!$A$16),$D211,0)</f>
        <v>0</v>
      </c>
      <c r="G211">
        <f>IF(AND($C211 = Temp!$C$1, $B211 = Temp!$A$16),$D211,0)</f>
        <v>0</v>
      </c>
      <c r="H211">
        <f>IF(AND($C211 = Temp!$D$1, $B211 = Temp!$A$16),$D211,0)</f>
        <v>0</v>
      </c>
      <c r="I211">
        <f>IF(AND($C211 = Temp!$E$1, $B211 = Temp!$A$16),$D211,0)</f>
        <v>0</v>
      </c>
      <c r="J211">
        <f>IF(AND($C211 = Temp!$F$1, $B211 = Temp!$A$16),$D211,0)</f>
        <v>0</v>
      </c>
      <c r="K211">
        <f>IF(AND($C211 = Temp!$G$1, $B211 = Temp!$A$16),$D211,0)</f>
        <v>0</v>
      </c>
      <c r="L211">
        <f>IF(AND($C211 = Temp!$H$1, $B211 = Temp!$A$16),$D211,0)</f>
        <v>0</v>
      </c>
      <c r="M211">
        <f>IF(AND($C211 = Temp!$I$1, $B211 = Temp!$A$16),$D211,0)</f>
        <v>0</v>
      </c>
      <c r="N211">
        <f>IF(AND($C211 = Temp!$J$1, $B211 = Temp!$A$16),$D211,0)</f>
        <v>0</v>
      </c>
      <c r="O211">
        <f>IF(AND($C211 = Temp!$K$1, $B211 = Temp!$A$16),$D211,0)</f>
        <v>0</v>
      </c>
    </row>
    <row r="212" spans="2:15" hidden="1" x14ac:dyDescent="0.2">
      <c r="B212" t="s">
        <v>231</v>
      </c>
      <c r="C212" t="s">
        <v>219</v>
      </c>
      <c r="D212">
        <v>0.5</v>
      </c>
      <c r="F212">
        <f>IF(AND($C212 = Temp!$B$1, $B212 = Temp!$A$16),$D212,0)</f>
        <v>0</v>
      </c>
      <c r="G212">
        <f>IF(AND($C212 = Temp!$C$1, $B212 = Temp!$A$16),$D212,0)</f>
        <v>0</v>
      </c>
      <c r="H212">
        <f>IF(AND($C212 = Temp!$D$1, $B212 = Temp!$A$16),$D212,0)</f>
        <v>0</v>
      </c>
      <c r="I212">
        <f>IF(AND($C212 = Temp!$E$1, $B212 = Temp!$A$16),$D212,0)</f>
        <v>0</v>
      </c>
      <c r="J212">
        <f>IF(AND($C212 = Temp!$F$1, $B212 = Temp!$A$16),$D212,0)</f>
        <v>0</v>
      </c>
      <c r="K212">
        <f>IF(AND($C212 = Temp!$G$1, $B212 = Temp!$A$16),$D212,0)</f>
        <v>0</v>
      </c>
      <c r="L212">
        <f>IF(AND($C212 = Temp!$H$1, $B212 = Temp!$A$16),$D212,0)</f>
        <v>0</v>
      </c>
      <c r="M212">
        <f>IF(AND($C212 = Temp!$I$1, $B212 = Temp!$A$16),$D212,0)</f>
        <v>0</v>
      </c>
      <c r="N212">
        <f>IF(AND($C212 = Temp!$J$1, $B212 = Temp!$A$16),$D212,0)</f>
        <v>0</v>
      </c>
      <c r="O212">
        <f>IF(AND($C212 = Temp!$K$1, $B212 = Temp!$A$16),$D212,0)</f>
        <v>0</v>
      </c>
    </row>
    <row r="213" spans="2:15" hidden="1" x14ac:dyDescent="0.2">
      <c r="B213" t="s">
        <v>231</v>
      </c>
      <c r="C213" t="s">
        <v>219</v>
      </c>
      <c r="D213">
        <v>0.5</v>
      </c>
      <c r="F213">
        <f>IF(AND($C213 = Temp!$B$1, $B213 = Temp!$A$16),$D213,0)</f>
        <v>0</v>
      </c>
      <c r="G213">
        <f>IF(AND($C213 = Temp!$C$1, $B213 = Temp!$A$16),$D213,0)</f>
        <v>0</v>
      </c>
      <c r="H213">
        <f>IF(AND($C213 = Temp!$D$1, $B213 = Temp!$A$16),$D213,0)</f>
        <v>0</v>
      </c>
      <c r="I213">
        <f>IF(AND($C213 = Temp!$E$1, $B213 = Temp!$A$16),$D213,0)</f>
        <v>0</v>
      </c>
      <c r="J213">
        <f>IF(AND($C213 = Temp!$F$1, $B213 = Temp!$A$16),$D213,0)</f>
        <v>0</v>
      </c>
      <c r="K213">
        <f>IF(AND($C213 = Temp!$G$1, $B213 = Temp!$A$16),$D213,0)</f>
        <v>0</v>
      </c>
      <c r="L213">
        <f>IF(AND($C213 = Temp!$H$1, $B213 = Temp!$A$16),$D213,0)</f>
        <v>0</v>
      </c>
      <c r="M213">
        <f>IF(AND($C213 = Temp!$I$1, $B213 = Temp!$A$16),$D213,0)</f>
        <v>0</v>
      </c>
      <c r="N213">
        <f>IF(AND($C213 = Temp!$J$1, $B213 = Temp!$A$16),$D213,0)</f>
        <v>0</v>
      </c>
      <c r="O213">
        <f>IF(AND($C213 = Temp!$K$1, $B213 = Temp!$A$16),$D213,0)</f>
        <v>0</v>
      </c>
    </row>
    <row r="214" spans="2:15" hidden="1" x14ac:dyDescent="0.2">
      <c r="B214" t="s">
        <v>231</v>
      </c>
      <c r="C214" t="s">
        <v>219</v>
      </c>
      <c r="D214">
        <v>0.5</v>
      </c>
      <c r="F214">
        <f>IF(AND($C214 = Temp!$B$1, $B214 = Temp!$A$16),$D214,0)</f>
        <v>0</v>
      </c>
      <c r="G214">
        <f>IF(AND($C214 = Temp!$C$1, $B214 = Temp!$A$16),$D214,0)</f>
        <v>0</v>
      </c>
      <c r="H214">
        <f>IF(AND($C214 = Temp!$D$1, $B214 = Temp!$A$16),$D214,0)</f>
        <v>0</v>
      </c>
      <c r="I214">
        <f>IF(AND($C214 = Temp!$E$1, $B214 = Temp!$A$16),$D214,0)</f>
        <v>0</v>
      </c>
      <c r="J214">
        <f>IF(AND($C214 = Temp!$F$1, $B214 = Temp!$A$16),$D214,0)</f>
        <v>0</v>
      </c>
      <c r="K214">
        <f>IF(AND($C214 = Temp!$G$1, $B214 = Temp!$A$16),$D214,0)</f>
        <v>0</v>
      </c>
      <c r="L214">
        <f>IF(AND($C214 = Temp!$H$1, $B214 = Temp!$A$16),$D214,0)</f>
        <v>0</v>
      </c>
      <c r="M214">
        <f>IF(AND($C214 = Temp!$I$1, $B214 = Temp!$A$16),$D214,0)</f>
        <v>0</v>
      </c>
      <c r="N214">
        <f>IF(AND($C214 = Temp!$J$1, $B214 = Temp!$A$16),$D214,0)</f>
        <v>0</v>
      </c>
      <c r="O214">
        <f>IF(AND($C214 = Temp!$K$1, $B214 = Temp!$A$16),$D214,0)</f>
        <v>0</v>
      </c>
    </row>
    <row r="215" spans="2:15" hidden="1" x14ac:dyDescent="0.2">
      <c r="B215" t="s">
        <v>231</v>
      </c>
      <c r="C215" t="s">
        <v>219</v>
      </c>
      <c r="D215">
        <v>0.5</v>
      </c>
      <c r="F215">
        <f>IF(AND($C215 = Temp!$B$1, $B215 = Temp!$A$16),$D215,0)</f>
        <v>0</v>
      </c>
      <c r="G215">
        <f>IF(AND($C215 = Temp!$C$1, $B215 = Temp!$A$16),$D215,0)</f>
        <v>0</v>
      </c>
      <c r="H215">
        <f>IF(AND($C215 = Temp!$D$1, $B215 = Temp!$A$16),$D215,0)</f>
        <v>0</v>
      </c>
      <c r="I215">
        <f>IF(AND($C215 = Temp!$E$1, $B215 = Temp!$A$16),$D215,0)</f>
        <v>0</v>
      </c>
      <c r="J215">
        <f>IF(AND($C215 = Temp!$F$1, $B215 = Temp!$A$16),$D215,0)</f>
        <v>0</v>
      </c>
      <c r="K215">
        <f>IF(AND($C215 = Temp!$G$1, $B215 = Temp!$A$16),$D215,0)</f>
        <v>0</v>
      </c>
      <c r="L215">
        <f>IF(AND($C215 = Temp!$H$1, $B215 = Temp!$A$16),$D215,0)</f>
        <v>0</v>
      </c>
      <c r="M215">
        <f>IF(AND($C215 = Temp!$I$1, $B215 = Temp!$A$16),$D215,0)</f>
        <v>0</v>
      </c>
      <c r="N215">
        <f>IF(AND($C215 = Temp!$J$1, $B215 = Temp!$A$16),$D215,0)</f>
        <v>0</v>
      </c>
      <c r="O215">
        <f>IF(AND($C215 = Temp!$K$1, $B215 = Temp!$A$16),$D215,0)</f>
        <v>0</v>
      </c>
    </row>
    <row r="216" spans="2:15" hidden="1" x14ac:dyDescent="0.2">
      <c r="B216" t="s">
        <v>231</v>
      </c>
      <c r="C216" t="s">
        <v>219</v>
      </c>
      <c r="D216">
        <v>0.5</v>
      </c>
      <c r="F216">
        <f>IF(AND($C216 = Temp!$B$1, $B216 = Temp!$A$16),$D216,0)</f>
        <v>0</v>
      </c>
      <c r="G216">
        <f>IF(AND($C216 = Temp!$C$1, $B216 = Temp!$A$16),$D216,0)</f>
        <v>0</v>
      </c>
      <c r="H216">
        <f>IF(AND($C216 = Temp!$D$1, $B216 = Temp!$A$16),$D216,0)</f>
        <v>0</v>
      </c>
      <c r="I216">
        <f>IF(AND($C216 = Temp!$E$1, $B216 = Temp!$A$16),$D216,0)</f>
        <v>0</v>
      </c>
      <c r="J216">
        <f>IF(AND($C216 = Temp!$F$1, $B216 = Temp!$A$16),$D216,0)</f>
        <v>0</v>
      </c>
      <c r="K216">
        <f>IF(AND($C216 = Temp!$G$1, $B216 = Temp!$A$16),$D216,0)</f>
        <v>0</v>
      </c>
      <c r="L216">
        <f>IF(AND($C216 = Temp!$H$1, $B216 = Temp!$A$16),$D216,0)</f>
        <v>0</v>
      </c>
      <c r="M216">
        <f>IF(AND($C216 = Temp!$I$1, $B216 = Temp!$A$16),$D216,0)</f>
        <v>0</v>
      </c>
      <c r="N216">
        <f>IF(AND($C216 = Temp!$J$1, $B216 = Temp!$A$16),$D216,0)</f>
        <v>0</v>
      </c>
      <c r="O216">
        <f>IF(AND($C216 = Temp!$K$1, $B216 = Temp!$A$16),$D216,0)</f>
        <v>0</v>
      </c>
    </row>
    <row r="217" spans="2:15" hidden="1" x14ac:dyDescent="0.2">
      <c r="B217" t="s">
        <v>216</v>
      </c>
      <c r="C217" t="s">
        <v>219</v>
      </c>
      <c r="D217">
        <v>2</v>
      </c>
      <c r="F217">
        <f>IF(AND($C217 = Temp!$B$1, $B217 = Temp!$A$16),$D217,0)</f>
        <v>0</v>
      </c>
      <c r="G217">
        <f>IF(AND($C217 = Temp!$C$1, $B217 = Temp!$A$16),$D217,0)</f>
        <v>0</v>
      </c>
      <c r="H217">
        <f>IF(AND($C217 = Temp!$D$1, $B217 = Temp!$A$16),$D217,0)</f>
        <v>0</v>
      </c>
      <c r="I217">
        <f>IF(AND($C217 = Temp!$E$1, $B217 = Temp!$A$16),$D217,0)</f>
        <v>0</v>
      </c>
      <c r="J217">
        <f>IF(AND($C217 = Temp!$F$1, $B217 = Temp!$A$16),$D217,0)</f>
        <v>0</v>
      </c>
      <c r="K217">
        <f>IF(AND($C217 = Temp!$G$1, $B217 = Temp!$A$16),$D217,0)</f>
        <v>0</v>
      </c>
      <c r="L217">
        <f>IF(AND($C217 = Temp!$H$1, $B217 = Temp!$A$16),$D217,0)</f>
        <v>0</v>
      </c>
      <c r="M217">
        <f>IF(AND($C217 = Temp!$I$1, $B217 = Temp!$A$16),$D217,0)</f>
        <v>0</v>
      </c>
      <c r="N217">
        <f>IF(AND($C217 = Temp!$J$1, $B217 = Temp!$A$16),$D217,0)</f>
        <v>0</v>
      </c>
      <c r="O217">
        <f>IF(AND($C217 = Temp!$K$1, $B217 = Temp!$A$16),$D217,0)</f>
        <v>0</v>
      </c>
    </row>
    <row r="218" spans="2:15" hidden="1" x14ac:dyDescent="0.2">
      <c r="B218" t="s">
        <v>216</v>
      </c>
      <c r="C218" t="s">
        <v>219</v>
      </c>
      <c r="D218">
        <v>1</v>
      </c>
      <c r="F218">
        <f>IF(AND($C218 = Temp!$B$1, $B218 = Temp!$A$16),$D218,0)</f>
        <v>0</v>
      </c>
      <c r="G218">
        <f>IF(AND($C218 = Temp!$C$1, $B218 = Temp!$A$16),$D218,0)</f>
        <v>0</v>
      </c>
      <c r="H218">
        <f>IF(AND($C218 = Temp!$D$1, $B218 = Temp!$A$16),$D218,0)</f>
        <v>0</v>
      </c>
      <c r="I218">
        <f>IF(AND($C218 = Temp!$E$1, $B218 = Temp!$A$16),$D218,0)</f>
        <v>0</v>
      </c>
      <c r="J218">
        <f>IF(AND($C218 = Temp!$F$1, $B218 = Temp!$A$16),$D218,0)</f>
        <v>0</v>
      </c>
      <c r="K218">
        <f>IF(AND($C218 = Temp!$G$1, $B218 = Temp!$A$16),$D218,0)</f>
        <v>0</v>
      </c>
      <c r="L218">
        <f>IF(AND($C218 = Temp!$H$1, $B218 = Temp!$A$16),$D218,0)</f>
        <v>0</v>
      </c>
      <c r="M218">
        <f>IF(AND($C218 = Temp!$I$1, $B218 = Temp!$A$16),$D218,0)</f>
        <v>0</v>
      </c>
      <c r="N218">
        <f>IF(AND($C218 = Temp!$J$1, $B218 = Temp!$A$16),$D218,0)</f>
        <v>0</v>
      </c>
      <c r="O218">
        <f>IF(AND($C218 = Temp!$K$1, $B218 = Temp!$A$16),$D218,0)</f>
        <v>0</v>
      </c>
    </row>
    <row r="219" spans="2:15" hidden="1" x14ac:dyDescent="0.2">
      <c r="B219" t="s">
        <v>427</v>
      </c>
      <c r="C219" t="s">
        <v>40</v>
      </c>
      <c r="D219">
        <v>0.25</v>
      </c>
      <c r="F219">
        <f>IF(AND($C219 = Temp!$B$1, $B219 = Temp!$A$16),$D219,0)</f>
        <v>0</v>
      </c>
      <c r="G219">
        <f>IF(AND($C219 = Temp!$C$1, $B219 = Temp!$A$16),$D219,0)</f>
        <v>0</v>
      </c>
      <c r="H219">
        <f>IF(AND($C219 = Temp!$D$1, $B219 = Temp!$A$16),$D219,0)</f>
        <v>0</v>
      </c>
      <c r="I219">
        <f>IF(AND($C219 = Temp!$E$1, $B219 = Temp!$A$16),$D219,0)</f>
        <v>0</v>
      </c>
      <c r="J219">
        <f>IF(AND($C219 = Temp!$F$1, $B219 = Temp!$A$16),$D219,0)</f>
        <v>0</v>
      </c>
      <c r="K219">
        <f>IF(AND($C219 = Temp!$G$1, $B219 = Temp!$A$16),$D219,0)</f>
        <v>0</v>
      </c>
      <c r="L219">
        <f>IF(AND($C219 = Temp!$H$1, $B219 = Temp!$A$16),$D219,0)</f>
        <v>0</v>
      </c>
      <c r="M219">
        <f>IF(AND($C219 = Temp!$I$1, $B219 = Temp!$A$16),$D219,0)</f>
        <v>0</v>
      </c>
      <c r="N219">
        <f>IF(AND($C219 = Temp!$J$1, $B219 = Temp!$A$16),$D219,0)</f>
        <v>0</v>
      </c>
      <c r="O219">
        <f>IF(AND($C219 = Temp!$K$1, $B219 = Temp!$A$16),$D219,0)</f>
        <v>0</v>
      </c>
    </row>
    <row r="220" spans="2:15" hidden="1" x14ac:dyDescent="0.2">
      <c r="B220" t="s">
        <v>427</v>
      </c>
      <c r="C220" t="s">
        <v>40</v>
      </c>
      <c r="D220">
        <v>3</v>
      </c>
      <c r="F220">
        <f>IF(AND($C220 = Temp!$B$1, $B220 = Temp!$A$16),$D220,0)</f>
        <v>0</v>
      </c>
      <c r="G220">
        <f>IF(AND($C220 = Temp!$C$1, $B220 = Temp!$A$16),$D220,0)</f>
        <v>0</v>
      </c>
      <c r="H220">
        <f>IF(AND($C220 = Temp!$D$1, $B220 = Temp!$A$16),$D220,0)</f>
        <v>0</v>
      </c>
      <c r="I220">
        <f>IF(AND($C220 = Temp!$E$1, $B220 = Temp!$A$16),$D220,0)</f>
        <v>0</v>
      </c>
      <c r="J220">
        <f>IF(AND($C220 = Temp!$F$1, $B220 = Temp!$A$16),$D220,0)</f>
        <v>0</v>
      </c>
      <c r="K220">
        <f>IF(AND($C220 = Temp!$G$1, $B220 = Temp!$A$16),$D220,0)</f>
        <v>0</v>
      </c>
      <c r="L220">
        <f>IF(AND($C220 = Temp!$H$1, $B220 = Temp!$A$16),$D220,0)</f>
        <v>0</v>
      </c>
      <c r="M220">
        <f>IF(AND($C220 = Temp!$I$1, $B220 = Temp!$A$16),$D220,0)</f>
        <v>0</v>
      </c>
      <c r="N220">
        <f>IF(AND($C220 = Temp!$J$1, $B220 = Temp!$A$16),$D220,0)</f>
        <v>0</v>
      </c>
      <c r="O220">
        <f>IF(AND($C220 = Temp!$K$1, $B220 = Temp!$A$16),$D220,0)</f>
        <v>0</v>
      </c>
    </row>
    <row r="221" spans="2:15" hidden="1" x14ac:dyDescent="0.2">
      <c r="B221" t="s">
        <v>426</v>
      </c>
      <c r="C221" t="s">
        <v>40</v>
      </c>
      <c r="D221">
        <v>0.12</v>
      </c>
      <c r="F221">
        <f>IF(AND($C221 = Temp!$B$1, $B221 = Temp!$A$16),$D221,0)</f>
        <v>0</v>
      </c>
      <c r="G221">
        <f>IF(AND($C221 = Temp!$C$1, $B221 = Temp!$A$16),$D221,0)</f>
        <v>0</v>
      </c>
      <c r="H221">
        <f>IF(AND($C221 = Temp!$D$1, $B221 = Temp!$A$16),$D221,0)</f>
        <v>0</v>
      </c>
      <c r="I221">
        <f>IF(AND($C221 = Temp!$E$1, $B221 = Temp!$A$16),$D221,0)</f>
        <v>0</v>
      </c>
      <c r="J221">
        <f>IF(AND($C221 = Temp!$F$1, $B221 = Temp!$A$16),$D221,0)</f>
        <v>0</v>
      </c>
      <c r="K221">
        <f>IF(AND($C221 = Temp!$G$1, $B221 = Temp!$A$16),$D221,0)</f>
        <v>0</v>
      </c>
      <c r="L221">
        <f>IF(AND($C221 = Temp!$H$1, $B221 = Temp!$A$16),$D221,0)</f>
        <v>0</v>
      </c>
      <c r="M221">
        <f>IF(AND($C221 = Temp!$I$1, $B221 = Temp!$A$16),$D221,0)</f>
        <v>0</v>
      </c>
      <c r="N221">
        <f>IF(AND($C221 = Temp!$J$1, $B221 = Temp!$A$16),$D221,0)</f>
        <v>0</v>
      </c>
      <c r="O221">
        <f>IF(AND($C221 = Temp!$K$1, $B221 = Temp!$A$16),$D221,0)</f>
        <v>0</v>
      </c>
    </row>
    <row r="222" spans="2:15" hidden="1" x14ac:dyDescent="0.2">
      <c r="B222" t="s">
        <v>426</v>
      </c>
      <c r="C222" t="s">
        <v>40</v>
      </c>
      <c r="D222">
        <v>0.12</v>
      </c>
      <c r="F222">
        <f>IF(AND($C222 = Temp!$B$1, $B222 = Temp!$A$16),$D222,0)</f>
        <v>0</v>
      </c>
      <c r="G222">
        <f>IF(AND($C222 = Temp!$C$1, $B222 = Temp!$A$16),$D222,0)</f>
        <v>0</v>
      </c>
      <c r="H222">
        <f>IF(AND($C222 = Temp!$D$1, $B222 = Temp!$A$16),$D222,0)</f>
        <v>0</v>
      </c>
      <c r="I222">
        <f>IF(AND($C222 = Temp!$E$1, $B222 = Temp!$A$16),$D222,0)</f>
        <v>0</v>
      </c>
      <c r="J222">
        <f>IF(AND($C222 = Temp!$F$1, $B222 = Temp!$A$16),$D222,0)</f>
        <v>0</v>
      </c>
      <c r="K222">
        <f>IF(AND($C222 = Temp!$G$1, $B222 = Temp!$A$16),$D222,0)</f>
        <v>0</v>
      </c>
      <c r="L222">
        <f>IF(AND($C222 = Temp!$H$1, $B222 = Temp!$A$16),$D222,0)</f>
        <v>0</v>
      </c>
      <c r="M222">
        <f>IF(AND($C222 = Temp!$I$1, $B222 = Temp!$A$16),$D222,0)</f>
        <v>0</v>
      </c>
      <c r="N222">
        <f>IF(AND($C222 = Temp!$J$1, $B222 = Temp!$A$16),$D222,0)</f>
        <v>0</v>
      </c>
      <c r="O222">
        <f>IF(AND($C222 = Temp!$K$1, $B222 = Temp!$A$16),$D222,0)</f>
        <v>0</v>
      </c>
    </row>
    <row r="223" spans="2:15" hidden="1" x14ac:dyDescent="0.2">
      <c r="B223" t="s">
        <v>426</v>
      </c>
      <c r="C223" t="s">
        <v>40</v>
      </c>
      <c r="D223">
        <v>0.12</v>
      </c>
      <c r="F223">
        <f>IF(AND($C223 = Temp!$B$1, $B223 = Temp!$A$16),$D223,0)</f>
        <v>0</v>
      </c>
      <c r="G223">
        <f>IF(AND($C223 = Temp!$C$1, $B223 = Temp!$A$16),$D223,0)</f>
        <v>0</v>
      </c>
      <c r="H223">
        <f>IF(AND($C223 = Temp!$D$1, $B223 = Temp!$A$16),$D223,0)</f>
        <v>0</v>
      </c>
      <c r="I223">
        <f>IF(AND($C223 = Temp!$E$1, $B223 = Temp!$A$16),$D223,0)</f>
        <v>0</v>
      </c>
      <c r="J223">
        <f>IF(AND($C223 = Temp!$F$1, $B223 = Temp!$A$16),$D223,0)</f>
        <v>0</v>
      </c>
      <c r="K223">
        <f>IF(AND($C223 = Temp!$G$1, $B223 = Temp!$A$16),$D223,0)</f>
        <v>0</v>
      </c>
      <c r="L223">
        <f>IF(AND($C223 = Temp!$H$1, $B223 = Temp!$A$16),$D223,0)</f>
        <v>0</v>
      </c>
      <c r="M223">
        <f>IF(AND($C223 = Temp!$I$1, $B223 = Temp!$A$16),$D223,0)</f>
        <v>0</v>
      </c>
      <c r="N223">
        <f>IF(AND($C223 = Temp!$J$1, $B223 = Temp!$A$16),$D223,0)</f>
        <v>0</v>
      </c>
      <c r="O223">
        <f>IF(AND($C223 = Temp!$K$1, $B223 = Temp!$A$16),$D223,0)</f>
        <v>0</v>
      </c>
    </row>
    <row r="224" spans="2:15" hidden="1" x14ac:dyDescent="0.2">
      <c r="B224" t="s">
        <v>428</v>
      </c>
      <c r="C224" t="s">
        <v>24</v>
      </c>
      <c r="D224">
        <v>1</v>
      </c>
      <c r="F224">
        <f>IF(AND($C224 = Temp!$B$1, $B224 = Temp!$A$16),$D224,0)</f>
        <v>0</v>
      </c>
      <c r="G224">
        <f>IF(AND($C224 = Temp!$C$1, $B224 = Temp!$A$16),$D224,0)</f>
        <v>0</v>
      </c>
      <c r="H224">
        <f>IF(AND($C224 = Temp!$D$1, $B224 = Temp!$A$16),$D224,0)</f>
        <v>0</v>
      </c>
      <c r="I224">
        <f>IF(AND($C224 = Temp!$E$1, $B224 = Temp!$A$16),$D224,0)</f>
        <v>0</v>
      </c>
      <c r="J224">
        <f>IF(AND($C224 = Temp!$F$1, $B224 = Temp!$A$16),$D224,0)</f>
        <v>0</v>
      </c>
      <c r="K224">
        <f>IF(AND($C224 = Temp!$G$1, $B224 = Temp!$A$16),$D224,0)</f>
        <v>0</v>
      </c>
      <c r="L224">
        <f>IF(AND($C224 = Temp!$H$1, $B224 = Temp!$A$16),$D224,0)</f>
        <v>0</v>
      </c>
      <c r="M224">
        <f>IF(AND($C224 = Temp!$I$1, $B224 = Temp!$A$16),$D224,0)</f>
        <v>0</v>
      </c>
      <c r="N224">
        <f>IF(AND($C224 = Temp!$J$1, $B224 = Temp!$A$16),$D224,0)</f>
        <v>0</v>
      </c>
      <c r="O224">
        <f>IF(AND($C224 = Temp!$K$1, $B224 = Temp!$A$16),$D224,0)</f>
        <v>0</v>
      </c>
    </row>
    <row r="225" spans="2:15" hidden="1" x14ac:dyDescent="0.2">
      <c r="B225" t="s">
        <v>428</v>
      </c>
      <c r="C225" t="s">
        <v>24</v>
      </c>
      <c r="D225">
        <v>1</v>
      </c>
      <c r="F225">
        <f>IF(AND($C225 = Temp!$B$1, $B225 = Temp!$A$16),$D225,0)</f>
        <v>0</v>
      </c>
      <c r="G225">
        <f>IF(AND($C225 = Temp!$C$1, $B225 = Temp!$A$16),$D225,0)</f>
        <v>0</v>
      </c>
      <c r="H225">
        <f>IF(AND($C225 = Temp!$D$1, $B225 = Temp!$A$16),$D225,0)</f>
        <v>0</v>
      </c>
      <c r="I225">
        <f>IF(AND($C225 = Temp!$E$1, $B225 = Temp!$A$16),$D225,0)</f>
        <v>0</v>
      </c>
      <c r="J225">
        <f>IF(AND($C225 = Temp!$F$1, $B225 = Temp!$A$16),$D225,0)</f>
        <v>0</v>
      </c>
      <c r="K225">
        <f>IF(AND($C225 = Temp!$G$1, $B225 = Temp!$A$16),$D225,0)</f>
        <v>0</v>
      </c>
      <c r="L225">
        <f>IF(AND($C225 = Temp!$H$1, $B225 = Temp!$A$16),$D225,0)</f>
        <v>0</v>
      </c>
      <c r="M225">
        <f>IF(AND($C225 = Temp!$I$1, $B225 = Temp!$A$16),$D225,0)</f>
        <v>0</v>
      </c>
      <c r="N225">
        <f>IF(AND($C225 = Temp!$J$1, $B225 = Temp!$A$16),$D225,0)</f>
        <v>0</v>
      </c>
      <c r="O225">
        <f>IF(AND($C225 = Temp!$K$1, $B225 = Temp!$A$16),$D225,0)</f>
        <v>0</v>
      </c>
    </row>
    <row r="226" spans="2:15" hidden="1" x14ac:dyDescent="0.2">
      <c r="B226" t="s">
        <v>428</v>
      </c>
      <c r="C226" s="4" t="s">
        <v>40</v>
      </c>
      <c r="D226" s="7">
        <v>1</v>
      </c>
      <c r="E226" s="7"/>
      <c r="F226">
        <f>IF(AND($C226 = Temp!$B$1, $B226 = Temp!$A$16),$D226,0)</f>
        <v>0</v>
      </c>
      <c r="G226">
        <f>IF(AND($C226 = Temp!$C$1, $B226 = Temp!$A$16),$D226,0)</f>
        <v>0</v>
      </c>
      <c r="H226">
        <f>IF(AND($C226 = Temp!$D$1, $B226 = Temp!$A$16),$D226,0)</f>
        <v>0</v>
      </c>
      <c r="I226">
        <f>IF(AND($C226 = Temp!$E$1, $B226 = Temp!$A$16),$D226,0)</f>
        <v>0</v>
      </c>
      <c r="J226">
        <f>IF(AND($C226 = Temp!$F$1, $B226 = Temp!$A$16),$D226,0)</f>
        <v>0</v>
      </c>
      <c r="K226">
        <f>IF(AND($C226 = Temp!$G$1, $B226 = Temp!$A$16),$D226,0)</f>
        <v>0</v>
      </c>
      <c r="L226">
        <f>IF(AND($C226 = Temp!$H$1, $B226 = Temp!$A$16),$D226,0)</f>
        <v>0</v>
      </c>
      <c r="M226">
        <f>IF(AND($C226 = Temp!$I$1, $B226 = Temp!$A$16),$D226,0)</f>
        <v>0</v>
      </c>
      <c r="N226">
        <f>IF(AND($C226 = Temp!$J$1, $B226 = Temp!$A$16),$D226,0)</f>
        <v>0</v>
      </c>
      <c r="O226">
        <f>IF(AND($C226 = Temp!$K$1, $B226 = Temp!$A$16),$D226,0)</f>
        <v>0</v>
      </c>
    </row>
    <row r="227" spans="2:15" hidden="1" x14ac:dyDescent="0.2">
      <c r="B227" t="s">
        <v>428</v>
      </c>
      <c r="C227" s="4" t="s">
        <v>40</v>
      </c>
      <c r="D227" s="7">
        <v>0.5</v>
      </c>
      <c r="E227" s="7"/>
      <c r="F227">
        <f>IF(AND($C227 = Temp!$B$1, $B227 = Temp!$A$16),$D227,0)</f>
        <v>0</v>
      </c>
      <c r="G227">
        <f>IF(AND($C227 = Temp!$C$1, $B227 = Temp!$A$16),$D227,0)</f>
        <v>0</v>
      </c>
      <c r="H227">
        <f>IF(AND($C227 = Temp!$D$1, $B227 = Temp!$A$16),$D227,0)</f>
        <v>0</v>
      </c>
      <c r="I227">
        <f>IF(AND($C227 = Temp!$E$1, $B227 = Temp!$A$16),$D227,0)</f>
        <v>0</v>
      </c>
      <c r="J227">
        <f>IF(AND($C227 = Temp!$F$1, $B227 = Temp!$A$16),$D227,0)</f>
        <v>0</v>
      </c>
      <c r="K227">
        <f>IF(AND($C227 = Temp!$G$1, $B227 = Temp!$A$16),$D227,0)</f>
        <v>0</v>
      </c>
      <c r="L227">
        <f>IF(AND($C227 = Temp!$H$1, $B227 = Temp!$A$16),$D227,0)</f>
        <v>0</v>
      </c>
      <c r="M227">
        <f>IF(AND($C227 = Temp!$I$1, $B227 = Temp!$A$16),$D227,0)</f>
        <v>0</v>
      </c>
      <c r="N227">
        <f>IF(AND($C227 = Temp!$J$1, $B227 = Temp!$A$16),$D227,0)</f>
        <v>0</v>
      </c>
      <c r="O227">
        <f>IF(AND($C227 = Temp!$K$1, $B227 = Temp!$A$16),$D227,0)</f>
        <v>0</v>
      </c>
    </row>
    <row r="228" spans="2:15" hidden="1" x14ac:dyDescent="0.2">
      <c r="B228" t="s">
        <v>428</v>
      </c>
      <c r="C228" s="4" t="s">
        <v>40</v>
      </c>
      <c r="D228" s="7">
        <v>2</v>
      </c>
      <c r="E228" s="7"/>
      <c r="F228">
        <f>IF(AND($C228 = Temp!$B$1, $B228 = Temp!$A$16),$D228,0)</f>
        <v>0</v>
      </c>
      <c r="G228">
        <f>IF(AND($C228 = Temp!$C$1, $B228 = Temp!$A$16),$D228,0)</f>
        <v>0</v>
      </c>
      <c r="H228">
        <f>IF(AND($C228 = Temp!$D$1, $B228 = Temp!$A$16),$D228,0)</f>
        <v>0</v>
      </c>
      <c r="I228">
        <f>IF(AND($C228 = Temp!$E$1, $B228 = Temp!$A$16),$D228,0)</f>
        <v>0</v>
      </c>
      <c r="J228">
        <f>IF(AND($C228 = Temp!$F$1, $B228 = Temp!$A$16),$D228,0)</f>
        <v>0</v>
      </c>
      <c r="K228">
        <f>IF(AND($C228 = Temp!$G$1, $B228 = Temp!$A$16),$D228,0)</f>
        <v>0</v>
      </c>
      <c r="L228">
        <f>IF(AND($C228 = Temp!$H$1, $B228 = Temp!$A$16),$D228,0)</f>
        <v>0</v>
      </c>
      <c r="M228">
        <f>IF(AND($C228 = Temp!$I$1, $B228 = Temp!$A$16),$D228,0)</f>
        <v>0</v>
      </c>
      <c r="N228">
        <f>IF(AND($C228 = Temp!$J$1, $B228 = Temp!$A$16),$D228,0)</f>
        <v>0</v>
      </c>
      <c r="O228">
        <f>IF(AND($C228 = Temp!$K$1, $B228 = Temp!$A$16),$D228,0)</f>
        <v>0</v>
      </c>
    </row>
    <row r="229" spans="2:15" hidden="1" x14ac:dyDescent="0.2">
      <c r="B229" t="s">
        <v>428</v>
      </c>
      <c r="C229" s="4" t="s">
        <v>261</v>
      </c>
      <c r="D229" s="7">
        <v>16</v>
      </c>
      <c r="E229" s="7"/>
      <c r="F229">
        <f>IF(AND($C229 = Temp!$B$1, $B229 = Temp!$A$16),$D229,0)</f>
        <v>0</v>
      </c>
      <c r="G229">
        <f>IF(AND($C229 = Temp!$C$1, $B229 = Temp!$A$16),$D229,0)</f>
        <v>0</v>
      </c>
      <c r="H229">
        <f>IF(AND($C229 = Temp!$D$1, $B229 = Temp!$A$16),$D229,0)</f>
        <v>0</v>
      </c>
      <c r="I229">
        <f>IF(AND($C229 = Temp!$E$1, $B229 = Temp!$A$16),$D229,0)</f>
        <v>0</v>
      </c>
      <c r="J229">
        <f>IF(AND($C229 = Temp!$F$1, $B229 = Temp!$A$16),$D229,0)</f>
        <v>0</v>
      </c>
      <c r="K229">
        <f>IF(AND($C229 = Temp!$G$1, $B229 = Temp!$A$16),$D229,0)</f>
        <v>0</v>
      </c>
      <c r="L229">
        <f>IF(AND($C229 = Temp!$H$1, $B229 = Temp!$A$16),$D229,0)</f>
        <v>0</v>
      </c>
      <c r="M229">
        <f>IF(AND($C229 = Temp!$I$1, $B229 = Temp!$A$16),$D229,0)</f>
        <v>0</v>
      </c>
      <c r="N229">
        <f>IF(AND($C229 = Temp!$J$1, $B229 = Temp!$A$16),$D229,0)</f>
        <v>0</v>
      </c>
      <c r="O229">
        <f>IF(AND($C229 = Temp!$K$1, $B229 = Temp!$A$16),$D229,0)</f>
        <v>0</v>
      </c>
    </row>
    <row r="230" spans="2:15" hidden="1" x14ac:dyDescent="0.2">
      <c r="B230" t="s">
        <v>428</v>
      </c>
      <c r="C230" s="4" t="s">
        <v>40</v>
      </c>
      <c r="D230" s="7">
        <v>0.12</v>
      </c>
      <c r="E230" s="7"/>
      <c r="F230">
        <f>IF(AND($C230 = Temp!$B$1, $B230 = Temp!$A$16),$D230,0)</f>
        <v>0</v>
      </c>
      <c r="G230">
        <f>IF(AND($C230 = Temp!$C$1, $B230 = Temp!$A$16),$D230,0)</f>
        <v>0</v>
      </c>
      <c r="H230">
        <f>IF(AND($C230 = Temp!$D$1, $B230 = Temp!$A$16),$D230,0)</f>
        <v>0</v>
      </c>
      <c r="I230">
        <f>IF(AND($C230 = Temp!$E$1, $B230 = Temp!$A$16),$D230,0)</f>
        <v>0</v>
      </c>
      <c r="J230">
        <f>IF(AND($C230 = Temp!$F$1, $B230 = Temp!$A$16),$D230,0)</f>
        <v>0</v>
      </c>
      <c r="K230">
        <f>IF(AND($C230 = Temp!$G$1, $B230 = Temp!$A$16),$D230,0)</f>
        <v>0</v>
      </c>
      <c r="L230">
        <f>IF(AND($C230 = Temp!$H$1, $B230 = Temp!$A$16),$D230,0)</f>
        <v>0</v>
      </c>
      <c r="M230">
        <f>IF(AND($C230 = Temp!$I$1, $B230 = Temp!$A$16),$D230,0)</f>
        <v>0</v>
      </c>
      <c r="N230">
        <f>IF(AND($C230 = Temp!$J$1, $B230 = Temp!$A$16),$D230,0)</f>
        <v>0</v>
      </c>
      <c r="O230">
        <f>IF(AND($C230 = Temp!$K$1, $B230 = Temp!$A$16),$D230,0)</f>
        <v>0</v>
      </c>
    </row>
    <row r="231" spans="2:15" hidden="1" x14ac:dyDescent="0.2">
      <c r="B231" t="s">
        <v>449</v>
      </c>
      <c r="C231" s="4" t="s">
        <v>279</v>
      </c>
      <c r="D231" s="7">
        <v>3</v>
      </c>
      <c r="E231" s="7"/>
      <c r="F231">
        <f>IF(AND($C231 = Temp!$B$1, $B231 = Temp!$A$16),$D231,0)</f>
        <v>0</v>
      </c>
      <c r="G231">
        <f>IF(AND($C231 = Temp!$C$1, $B231 = Temp!$A$16),$D231,0)</f>
        <v>0</v>
      </c>
      <c r="H231">
        <f>IF(AND($C231 = Temp!$D$1, $B231 = Temp!$A$16),$D231,0)</f>
        <v>0</v>
      </c>
      <c r="I231">
        <f>IF(AND($C231 = Temp!$E$1, $B231 = Temp!$A$16),$D231,0)</f>
        <v>0</v>
      </c>
      <c r="J231">
        <f>IF(AND($C231 = Temp!$F$1, $B231 = Temp!$A$16),$D231,0)</f>
        <v>0</v>
      </c>
      <c r="K231">
        <f>IF(AND($C231 = Temp!$G$1, $B231 = Temp!$A$16),$D231,0)</f>
        <v>0</v>
      </c>
      <c r="L231">
        <f>IF(AND($C231 = Temp!$H$1, $B231 = Temp!$A$16),$D231,0)</f>
        <v>0</v>
      </c>
      <c r="M231">
        <f>IF(AND($C231 = Temp!$I$1, $B231 = Temp!$A$16),$D231,0)</f>
        <v>0</v>
      </c>
      <c r="N231">
        <f>IF(AND($C231 = Temp!$J$1, $B231 = Temp!$A$16),$D231,0)</f>
        <v>0</v>
      </c>
      <c r="O231">
        <f>IF(AND($C231 = Temp!$K$1, $B231 = Temp!$A$16),$D231,0)</f>
        <v>0</v>
      </c>
    </row>
    <row r="232" spans="2:15" hidden="1" x14ac:dyDescent="0.2">
      <c r="B232" t="s">
        <v>449</v>
      </c>
      <c r="C232" s="4" t="s">
        <v>260</v>
      </c>
      <c r="D232" s="7">
        <v>4</v>
      </c>
      <c r="E232" s="7"/>
      <c r="F232">
        <f>IF(AND($C232 = Temp!$B$1, $B232 = Temp!$A$16),$D232,0)</f>
        <v>0</v>
      </c>
      <c r="G232">
        <f>IF(AND($C232 = Temp!$C$1, $B232 = Temp!$A$16),$D232,0)</f>
        <v>0</v>
      </c>
      <c r="H232">
        <f>IF(AND($C232 = Temp!$D$1, $B232 = Temp!$A$16),$D232,0)</f>
        <v>0</v>
      </c>
      <c r="I232">
        <f>IF(AND($C232 = Temp!$E$1, $B232 = Temp!$A$16),$D232,0)</f>
        <v>0</v>
      </c>
      <c r="J232">
        <f>IF(AND($C232 = Temp!$F$1, $B232 = Temp!$A$16),$D232,0)</f>
        <v>0</v>
      </c>
      <c r="K232">
        <f>IF(AND($C232 = Temp!$G$1, $B232 = Temp!$A$16),$D232,0)</f>
        <v>0</v>
      </c>
      <c r="L232">
        <f>IF(AND($C232 = Temp!$H$1, $B232 = Temp!$A$16),$D232,0)</f>
        <v>0</v>
      </c>
      <c r="M232">
        <f>IF(AND($C232 = Temp!$I$1, $B232 = Temp!$A$16),$D232,0)</f>
        <v>0</v>
      </c>
      <c r="N232">
        <f>IF(AND($C232 = Temp!$J$1, $B232 = Temp!$A$16),$D232,0)</f>
        <v>0</v>
      </c>
      <c r="O232">
        <f>IF(AND($C232 = Temp!$K$1, $B232 = Temp!$A$16),$D232,0)</f>
        <v>0</v>
      </c>
    </row>
    <row r="233" spans="2:15" hidden="1" x14ac:dyDescent="0.2">
      <c r="B233" t="s">
        <v>449</v>
      </c>
      <c r="C233" s="4" t="s">
        <v>4</v>
      </c>
      <c r="D233" s="7">
        <v>5</v>
      </c>
      <c r="E233" s="7"/>
      <c r="F233">
        <f>IF(AND($C233 = Temp!$B$1, $B233 = Temp!$A$16),$D233,0)</f>
        <v>0</v>
      </c>
      <c r="G233">
        <f>IF(AND($C233 = Temp!$C$1, $B233 = Temp!$A$16),$D233,0)</f>
        <v>0</v>
      </c>
      <c r="H233">
        <f>IF(AND($C233 = Temp!$D$1, $B233 = Temp!$A$16),$D233,0)</f>
        <v>0</v>
      </c>
      <c r="I233">
        <f>IF(AND($C233 = Temp!$E$1, $B233 = Temp!$A$16),$D233,0)</f>
        <v>0</v>
      </c>
      <c r="J233">
        <f>IF(AND($C233 = Temp!$F$1, $B233 = Temp!$A$16),$D233,0)</f>
        <v>0</v>
      </c>
      <c r="K233">
        <f>IF(AND($C233 = Temp!$G$1, $B233 = Temp!$A$16),$D233,0)</f>
        <v>0</v>
      </c>
      <c r="L233">
        <f>IF(AND($C233 = Temp!$H$1, $B233 = Temp!$A$16),$D233,0)</f>
        <v>0</v>
      </c>
      <c r="M233">
        <f>IF(AND($C233 = Temp!$I$1, $B233 = Temp!$A$16),$D233,0)</f>
        <v>0</v>
      </c>
      <c r="N233">
        <f>IF(AND($C233 = Temp!$J$1, $B233 = Temp!$A$16),$D233,0)</f>
        <v>0</v>
      </c>
      <c r="O233">
        <f>IF(AND($C233 = Temp!$K$1, $B233 = Temp!$A$16),$D233,0)</f>
        <v>0</v>
      </c>
    </row>
    <row r="234" spans="2:15" hidden="1" x14ac:dyDescent="0.2">
      <c r="B234" t="s">
        <v>449</v>
      </c>
      <c r="C234" s="4" t="s">
        <v>40</v>
      </c>
      <c r="D234" s="7">
        <v>0.15</v>
      </c>
      <c r="E234" s="7"/>
      <c r="F234">
        <f>IF(AND($C234 = Temp!$B$1, $B234 = Temp!$A$16),$D234,0)</f>
        <v>0</v>
      </c>
      <c r="G234">
        <f>IF(AND($C234 = Temp!$C$1, $B234 = Temp!$A$16),$D234,0)</f>
        <v>0</v>
      </c>
      <c r="H234">
        <f>IF(AND($C234 = Temp!$D$1, $B234 = Temp!$A$16),$D234,0)</f>
        <v>0</v>
      </c>
      <c r="I234">
        <f>IF(AND($C234 = Temp!$E$1, $B234 = Temp!$A$16),$D234,0)</f>
        <v>0</v>
      </c>
      <c r="J234">
        <f>IF(AND($C234 = Temp!$F$1, $B234 = Temp!$A$16),$D234,0)</f>
        <v>0</v>
      </c>
      <c r="K234">
        <f>IF(AND($C234 = Temp!$G$1, $B234 = Temp!$A$16),$D234,0)</f>
        <v>0</v>
      </c>
      <c r="L234">
        <f>IF(AND($C234 = Temp!$H$1, $B234 = Temp!$A$16),$D234,0)</f>
        <v>0</v>
      </c>
      <c r="M234">
        <f>IF(AND($C234 = Temp!$I$1, $B234 = Temp!$A$16),$D234,0)</f>
        <v>0</v>
      </c>
      <c r="N234">
        <f>IF(AND($C234 = Temp!$J$1, $B234 = Temp!$A$16),$D234,0)</f>
        <v>0</v>
      </c>
      <c r="O234">
        <f>IF(AND($C234 = Temp!$K$1, $B234 = Temp!$A$16),$D234,0)</f>
        <v>0</v>
      </c>
    </row>
    <row r="235" spans="2:15" hidden="1" x14ac:dyDescent="0.2">
      <c r="B235" t="s">
        <v>450</v>
      </c>
      <c r="C235" s="4" t="s">
        <v>260</v>
      </c>
      <c r="D235" s="7">
        <v>0.5</v>
      </c>
      <c r="E235" s="7"/>
      <c r="F235">
        <f>IF(AND($C235 = Temp!$B$1, $B235 = Temp!$A$16),$D235,0)</f>
        <v>0</v>
      </c>
      <c r="G235">
        <f>IF(AND($C235 = Temp!$C$1, $B235 = Temp!$A$16),$D235,0)</f>
        <v>0</v>
      </c>
      <c r="H235">
        <f>IF(AND($C235 = Temp!$D$1, $B235 = Temp!$A$16),$D235,0)</f>
        <v>0</v>
      </c>
      <c r="I235">
        <f>IF(AND($C235 = Temp!$E$1, $B235 = Temp!$A$16),$D235,0)</f>
        <v>0</v>
      </c>
      <c r="J235">
        <f>IF(AND($C235 = Temp!$F$1, $B235 = Temp!$A$16),$D235,0)</f>
        <v>0</v>
      </c>
      <c r="K235">
        <f>IF(AND($C235 = Temp!$G$1, $B235 = Temp!$A$16),$D235,0)</f>
        <v>0</v>
      </c>
      <c r="L235">
        <f>IF(AND($C235 = Temp!$H$1, $B235 = Temp!$A$16),$D235,0)</f>
        <v>0</v>
      </c>
      <c r="M235">
        <f>IF(AND($C235 = Temp!$I$1, $B235 = Temp!$A$16),$D235,0)</f>
        <v>0</v>
      </c>
      <c r="N235">
        <f>IF(AND($C235 = Temp!$J$1, $B235 = Temp!$A$16),$D235,0)</f>
        <v>0</v>
      </c>
      <c r="O235">
        <f>IF(AND($C235 = Temp!$K$1, $B235 = Temp!$A$16),$D235,0)</f>
        <v>0</v>
      </c>
    </row>
    <row r="236" spans="2:15" hidden="1" x14ac:dyDescent="0.2">
      <c r="B236" t="s">
        <v>439</v>
      </c>
      <c r="C236" t="s">
        <v>261</v>
      </c>
      <c r="D236">
        <v>7</v>
      </c>
      <c r="F236">
        <f>IF(AND($C236 = Temp!$B$1, $B236 = Temp!$A$16),$D236,0)</f>
        <v>0</v>
      </c>
      <c r="G236">
        <f>IF(AND($C236 = Temp!$C$1, $B236 = Temp!$A$16),$D236,0)</f>
        <v>0</v>
      </c>
      <c r="H236">
        <f>IF(AND($C236 = Temp!$D$1, $B236 = Temp!$A$16),$D236,0)</f>
        <v>0</v>
      </c>
      <c r="I236">
        <f>IF(AND($C236 = Temp!$E$1, $B236 = Temp!$A$16),$D236,0)</f>
        <v>0</v>
      </c>
      <c r="J236">
        <f>IF(AND($C236 = Temp!$F$1, $B236 = Temp!$A$16),$D236,0)</f>
        <v>0</v>
      </c>
      <c r="K236">
        <f>IF(AND($C236 = Temp!$G$1, $B236 = Temp!$A$16),$D236,0)</f>
        <v>0</v>
      </c>
      <c r="L236">
        <f>IF(AND($C236 = Temp!$H$1, $B236 = Temp!$A$16),$D236,0)</f>
        <v>0</v>
      </c>
      <c r="M236">
        <f>IF(AND($C236 = Temp!$I$1, $B236 = Temp!$A$16),$D236,0)</f>
        <v>0</v>
      </c>
      <c r="N236">
        <f>IF(AND($C236 = Temp!$J$1, $B236 = Temp!$A$16),$D236,0)</f>
        <v>0</v>
      </c>
      <c r="O236">
        <f>IF(AND($C236 = Temp!$K$1, $B236 = Temp!$A$16),$D236,0)</f>
        <v>0</v>
      </c>
    </row>
    <row r="237" spans="2:15" hidden="1" x14ac:dyDescent="0.2">
      <c r="B237" t="s">
        <v>425</v>
      </c>
      <c r="C237" t="s">
        <v>77</v>
      </c>
      <c r="D237">
        <v>5</v>
      </c>
      <c r="F237">
        <f>IF(AND($C237 = Temp!$B$1, $B237 = Temp!$A$16),$D237,0)</f>
        <v>0</v>
      </c>
      <c r="G237">
        <f>IF(AND($C237 = Temp!$C$1, $B237 = Temp!$A$16),$D237,0)</f>
        <v>0</v>
      </c>
      <c r="H237">
        <f>IF(AND($C237 = Temp!$D$1, $B237 = Temp!$A$16),$D237,0)</f>
        <v>0</v>
      </c>
      <c r="I237">
        <f>IF(AND($C237 = Temp!$E$1, $B237 = Temp!$A$16),$D237,0)</f>
        <v>0</v>
      </c>
      <c r="J237">
        <f>IF(AND($C237 = Temp!$F$1, $B237 = Temp!$A$16),$D237,0)</f>
        <v>0</v>
      </c>
      <c r="K237">
        <f>IF(AND($C237 = Temp!$G$1, $B237 = Temp!$A$16),$D237,0)</f>
        <v>0</v>
      </c>
      <c r="L237">
        <f>IF(AND($C237 = Temp!$H$1, $B237 = Temp!$A$16),$D237,0)</f>
        <v>0</v>
      </c>
      <c r="M237">
        <f>IF(AND($C237 = Temp!$I$1, $B237 = Temp!$A$16),$D237,0)</f>
        <v>0</v>
      </c>
      <c r="N237">
        <f>IF(AND($C237 = Temp!$J$1, $B237 = Temp!$A$16),$D237,0)</f>
        <v>0</v>
      </c>
      <c r="O237">
        <f>IF(AND($C237 = Temp!$K$1, $B237 = Temp!$A$16),$D237,0)</f>
        <v>0</v>
      </c>
    </row>
    <row r="238" spans="2:15" hidden="1" x14ac:dyDescent="0.2">
      <c r="B238" t="s">
        <v>425</v>
      </c>
      <c r="C238" t="s">
        <v>40</v>
      </c>
      <c r="D238">
        <v>3</v>
      </c>
      <c r="F238">
        <f>IF(AND($C238 = Temp!$B$1, $B238 = Temp!$A$16),$D238,0)</f>
        <v>0</v>
      </c>
      <c r="G238">
        <f>IF(AND($C238 = Temp!$C$1, $B238 = Temp!$A$16),$D238,0)</f>
        <v>0</v>
      </c>
      <c r="H238">
        <f>IF(AND($C238 = Temp!$D$1, $B238 = Temp!$A$16),$D238,0)</f>
        <v>0</v>
      </c>
      <c r="I238">
        <f>IF(AND($C238 = Temp!$E$1, $B238 = Temp!$A$16),$D238,0)</f>
        <v>0</v>
      </c>
      <c r="J238">
        <f>IF(AND($C238 = Temp!$F$1, $B238 = Temp!$A$16),$D238,0)</f>
        <v>0</v>
      </c>
      <c r="K238">
        <f>IF(AND($C238 = Temp!$G$1, $B238 = Temp!$A$16),$D238,0)</f>
        <v>0</v>
      </c>
      <c r="L238">
        <f>IF(AND($C238 = Temp!$H$1, $B238 = Temp!$A$16),$D238,0)</f>
        <v>0</v>
      </c>
      <c r="M238">
        <f>IF(AND($C238 = Temp!$I$1, $B238 = Temp!$A$16),$D238,0)</f>
        <v>0</v>
      </c>
      <c r="N238">
        <f>IF(AND($C238 = Temp!$J$1, $B238 = Temp!$A$16),$D238,0)</f>
        <v>0</v>
      </c>
      <c r="O238">
        <f>IF(AND($C238 = Temp!$K$1, $B238 = Temp!$A$16),$D238,0)</f>
        <v>0</v>
      </c>
    </row>
    <row r="239" spans="2:15" hidden="1" x14ac:dyDescent="0.2">
      <c r="B239" t="s">
        <v>425</v>
      </c>
      <c r="C239" t="s">
        <v>40</v>
      </c>
      <c r="D239">
        <v>1</v>
      </c>
      <c r="F239">
        <f>IF(AND($C239 = Temp!$B$1, $B239 = Temp!$A$16),$D239,0)</f>
        <v>0</v>
      </c>
      <c r="G239">
        <f>IF(AND($C239 = Temp!$C$1, $B239 = Temp!$A$16),$D239,0)</f>
        <v>0</v>
      </c>
      <c r="H239">
        <f>IF(AND($C239 = Temp!$D$1, $B239 = Temp!$A$16),$D239,0)</f>
        <v>0</v>
      </c>
      <c r="I239">
        <f>IF(AND($C239 = Temp!$E$1, $B239 = Temp!$A$16),$D239,0)</f>
        <v>0</v>
      </c>
      <c r="J239">
        <f>IF(AND($C239 = Temp!$F$1, $B239 = Temp!$A$16),$D239,0)</f>
        <v>0</v>
      </c>
      <c r="K239">
        <f>IF(AND($C239 = Temp!$G$1, $B239 = Temp!$A$16),$D239,0)</f>
        <v>0</v>
      </c>
      <c r="L239">
        <f>IF(AND($C239 = Temp!$H$1, $B239 = Temp!$A$16),$D239,0)</f>
        <v>0</v>
      </c>
      <c r="M239">
        <f>IF(AND($C239 = Temp!$I$1, $B239 = Temp!$A$16),$D239,0)</f>
        <v>0</v>
      </c>
      <c r="N239">
        <f>IF(AND($C239 = Temp!$J$1, $B239 = Temp!$A$16),$D239,0)</f>
        <v>0</v>
      </c>
      <c r="O239">
        <f>IF(AND($C239 = Temp!$K$1, $B239 = Temp!$A$16),$D239,0)</f>
        <v>0</v>
      </c>
    </row>
    <row r="240" spans="2:15" hidden="1" x14ac:dyDescent="0.2">
      <c r="B240" t="s">
        <v>425</v>
      </c>
      <c r="C240" t="s">
        <v>40</v>
      </c>
      <c r="D240">
        <v>0.25</v>
      </c>
      <c r="F240">
        <f>IF(AND($C240 = Temp!$B$1, $B240 = Temp!$A$16),$D240,0)</f>
        <v>0</v>
      </c>
      <c r="G240">
        <f>IF(AND($C240 = Temp!$C$1, $B240 = Temp!$A$16),$D240,0)</f>
        <v>0</v>
      </c>
      <c r="H240">
        <f>IF(AND($C240 = Temp!$D$1, $B240 = Temp!$A$16),$D240,0)</f>
        <v>0</v>
      </c>
      <c r="I240">
        <f>IF(AND($C240 = Temp!$E$1, $B240 = Temp!$A$16),$D240,0)</f>
        <v>0</v>
      </c>
      <c r="J240">
        <f>IF(AND($C240 = Temp!$F$1, $B240 = Temp!$A$16),$D240,0)</f>
        <v>0</v>
      </c>
      <c r="K240">
        <f>IF(AND($C240 = Temp!$G$1, $B240 = Temp!$A$16),$D240,0)</f>
        <v>0</v>
      </c>
      <c r="L240">
        <f>IF(AND($C240 = Temp!$H$1, $B240 = Temp!$A$16),$D240,0)</f>
        <v>0</v>
      </c>
      <c r="M240">
        <f>IF(AND($C240 = Temp!$I$1, $B240 = Temp!$A$16),$D240,0)</f>
        <v>0</v>
      </c>
      <c r="N240">
        <f>IF(AND($C240 = Temp!$J$1, $B240 = Temp!$A$16),$D240,0)</f>
        <v>0</v>
      </c>
      <c r="O240">
        <f>IF(AND($C240 = Temp!$K$1, $B240 = Temp!$A$16),$D240,0)</f>
        <v>0</v>
      </c>
    </row>
    <row r="241" spans="2:15" hidden="1" x14ac:dyDescent="0.2">
      <c r="B241" t="s">
        <v>425</v>
      </c>
      <c r="C241" t="s">
        <v>40</v>
      </c>
      <c r="D241">
        <v>3</v>
      </c>
      <c r="F241">
        <f>IF(AND($C241 = Temp!$B$1, $B241 = Temp!$A$16),$D241,0)</f>
        <v>0</v>
      </c>
      <c r="G241">
        <f>IF(AND($C241 = Temp!$C$1, $B241 = Temp!$A$16),$D241,0)</f>
        <v>0</v>
      </c>
      <c r="H241">
        <f>IF(AND($C241 = Temp!$D$1, $B241 = Temp!$A$16),$D241,0)</f>
        <v>0</v>
      </c>
      <c r="I241">
        <f>IF(AND($C241 = Temp!$E$1, $B241 = Temp!$A$16),$D241,0)</f>
        <v>0</v>
      </c>
      <c r="J241">
        <f>IF(AND($C241 = Temp!$F$1, $B241 = Temp!$A$16),$D241,0)</f>
        <v>0</v>
      </c>
      <c r="K241">
        <f>IF(AND($C241 = Temp!$G$1, $B241 = Temp!$A$16),$D241,0)</f>
        <v>0</v>
      </c>
      <c r="L241">
        <f>IF(AND($C241 = Temp!$H$1, $B241 = Temp!$A$16),$D241,0)</f>
        <v>0</v>
      </c>
      <c r="M241">
        <f>IF(AND($C241 = Temp!$I$1, $B241 = Temp!$A$16),$D241,0)</f>
        <v>0</v>
      </c>
      <c r="N241">
        <f>IF(AND($C241 = Temp!$J$1, $B241 = Temp!$A$16),$D241,0)</f>
        <v>0</v>
      </c>
      <c r="O241">
        <f>IF(AND($C241 = Temp!$K$1, $B241 = Temp!$A$16),$D241,0)</f>
        <v>0</v>
      </c>
    </row>
    <row r="242" spans="2:15" hidden="1" x14ac:dyDescent="0.2">
      <c r="B242" t="s">
        <v>425</v>
      </c>
      <c r="C242" t="s">
        <v>40</v>
      </c>
      <c r="D242">
        <v>0.12</v>
      </c>
      <c r="F242">
        <f>IF(AND($C242 = Temp!$B$1, $B242 = Temp!$A$16),$D242,0)</f>
        <v>0</v>
      </c>
      <c r="G242">
        <f>IF(AND($C242 = Temp!$C$1, $B242 = Temp!$A$16),$D242,0)</f>
        <v>0</v>
      </c>
      <c r="H242">
        <f>IF(AND($C242 = Temp!$D$1, $B242 = Temp!$A$16),$D242,0)</f>
        <v>0</v>
      </c>
      <c r="I242">
        <f>IF(AND($C242 = Temp!$E$1, $B242 = Temp!$A$16),$D242,0)</f>
        <v>0</v>
      </c>
      <c r="J242">
        <f>IF(AND($C242 = Temp!$F$1, $B242 = Temp!$A$16),$D242,0)</f>
        <v>0</v>
      </c>
      <c r="K242">
        <f>IF(AND($C242 = Temp!$G$1, $B242 = Temp!$A$16),$D242,0)</f>
        <v>0</v>
      </c>
      <c r="L242">
        <f>IF(AND($C242 = Temp!$H$1, $B242 = Temp!$A$16),$D242,0)</f>
        <v>0</v>
      </c>
      <c r="M242">
        <f>IF(AND($C242 = Temp!$I$1, $B242 = Temp!$A$16),$D242,0)</f>
        <v>0</v>
      </c>
      <c r="N242">
        <f>IF(AND($C242 = Temp!$J$1, $B242 = Temp!$A$16),$D242,0)</f>
        <v>0</v>
      </c>
      <c r="O242">
        <f>IF(AND($C242 = Temp!$K$1, $B242 = Temp!$A$16),$D242,0)</f>
        <v>0</v>
      </c>
    </row>
    <row r="243" spans="2:15" hidden="1" x14ac:dyDescent="0.2">
      <c r="B243" t="s">
        <v>425</v>
      </c>
      <c r="C243" t="s">
        <v>40</v>
      </c>
      <c r="D243">
        <v>3</v>
      </c>
      <c r="F243">
        <f>IF(AND($C243 = Temp!$B$1, $B243 = Temp!$A$16),$D243,0)</f>
        <v>0</v>
      </c>
      <c r="G243">
        <f>IF(AND($C243 = Temp!$C$1, $B243 = Temp!$A$16),$D243,0)</f>
        <v>0</v>
      </c>
      <c r="H243">
        <f>IF(AND($C243 = Temp!$D$1, $B243 = Temp!$A$16),$D243,0)</f>
        <v>0</v>
      </c>
      <c r="I243">
        <f>IF(AND($C243 = Temp!$E$1, $B243 = Temp!$A$16),$D243,0)</f>
        <v>0</v>
      </c>
      <c r="J243">
        <f>IF(AND($C243 = Temp!$F$1, $B243 = Temp!$A$16),$D243,0)</f>
        <v>0</v>
      </c>
      <c r="K243">
        <f>IF(AND($C243 = Temp!$G$1, $B243 = Temp!$A$16),$D243,0)</f>
        <v>0</v>
      </c>
      <c r="L243">
        <f>IF(AND($C243 = Temp!$H$1, $B243 = Temp!$A$16),$D243,0)</f>
        <v>0</v>
      </c>
      <c r="M243">
        <f>IF(AND($C243 = Temp!$I$1, $B243 = Temp!$A$16),$D243,0)</f>
        <v>0</v>
      </c>
      <c r="N243">
        <f>IF(AND($C243 = Temp!$J$1, $B243 = Temp!$A$16),$D243,0)</f>
        <v>0</v>
      </c>
      <c r="O243">
        <f>IF(AND($C243 = Temp!$K$1, $B243 = Temp!$A$16),$D243,0)</f>
        <v>0</v>
      </c>
    </row>
    <row r="244" spans="2:15" hidden="1" x14ac:dyDescent="0.2">
      <c r="B244" t="s">
        <v>425</v>
      </c>
      <c r="C244" t="s">
        <v>219</v>
      </c>
      <c r="D244">
        <v>1</v>
      </c>
      <c r="F244">
        <f>IF(AND($C244 = Temp!$B$1, $B244 = Temp!$A$16),$D244,0)</f>
        <v>0</v>
      </c>
      <c r="G244">
        <f>IF(AND($C244 = Temp!$C$1, $B244 = Temp!$A$16),$D244,0)</f>
        <v>0</v>
      </c>
      <c r="H244">
        <f>IF(AND($C244 = Temp!$D$1, $B244 = Temp!$A$16),$D244,0)</f>
        <v>0</v>
      </c>
      <c r="I244">
        <f>IF(AND($C244 = Temp!$E$1, $B244 = Temp!$A$16),$D244,0)</f>
        <v>0</v>
      </c>
      <c r="J244">
        <f>IF(AND($C244 = Temp!$F$1, $B244 = Temp!$A$16),$D244,0)</f>
        <v>0</v>
      </c>
      <c r="K244">
        <f>IF(AND($C244 = Temp!$G$1, $B244 = Temp!$A$16),$D244,0)</f>
        <v>0</v>
      </c>
      <c r="L244">
        <f>IF(AND($C244 = Temp!$H$1, $B244 = Temp!$A$16),$D244,0)</f>
        <v>0</v>
      </c>
      <c r="M244">
        <f>IF(AND($C244 = Temp!$I$1, $B244 = Temp!$A$16),$D244,0)</f>
        <v>0</v>
      </c>
      <c r="N244">
        <f>IF(AND($C244 = Temp!$J$1, $B244 = Temp!$A$16),$D244,0)</f>
        <v>0</v>
      </c>
      <c r="O244">
        <f>IF(AND($C244 = Temp!$K$1, $B244 = Temp!$A$16),$D244,0)</f>
        <v>0</v>
      </c>
    </row>
    <row r="245" spans="2:15" hidden="1" x14ac:dyDescent="0.2">
      <c r="B245" t="s">
        <v>425</v>
      </c>
      <c r="C245" t="s">
        <v>219</v>
      </c>
      <c r="D245">
        <v>1</v>
      </c>
      <c r="F245">
        <f>IF(AND($C245 = Temp!$B$1, $B245 = Temp!$A$16),$D245,0)</f>
        <v>0</v>
      </c>
      <c r="G245">
        <f>IF(AND($C245 = Temp!$C$1, $B245 = Temp!$A$16),$D245,0)</f>
        <v>0</v>
      </c>
      <c r="H245">
        <f>IF(AND($C245 = Temp!$D$1, $B245 = Temp!$A$16),$D245,0)</f>
        <v>0</v>
      </c>
      <c r="I245">
        <f>IF(AND($C245 = Temp!$E$1, $B245 = Temp!$A$16),$D245,0)</f>
        <v>0</v>
      </c>
      <c r="J245">
        <f>IF(AND($C245 = Temp!$F$1, $B245 = Temp!$A$16),$D245,0)</f>
        <v>0</v>
      </c>
      <c r="K245">
        <f>IF(AND($C245 = Temp!$G$1, $B245 = Temp!$A$16),$D245,0)</f>
        <v>0</v>
      </c>
      <c r="L245">
        <f>IF(AND($C245 = Temp!$H$1, $B245 = Temp!$A$16),$D245,0)</f>
        <v>0</v>
      </c>
      <c r="M245">
        <f>IF(AND($C245 = Temp!$I$1, $B245 = Temp!$A$16),$D245,0)</f>
        <v>0</v>
      </c>
      <c r="N245">
        <f>IF(AND($C245 = Temp!$J$1, $B245 = Temp!$A$16),$D245,0)</f>
        <v>0</v>
      </c>
      <c r="O245">
        <f>IF(AND($C245 = Temp!$K$1, $B245 = Temp!$A$16),$D245,0)</f>
        <v>0</v>
      </c>
    </row>
    <row r="246" spans="2:15" hidden="1" x14ac:dyDescent="0.2">
      <c r="B246" t="s">
        <v>425</v>
      </c>
      <c r="C246" t="s">
        <v>219</v>
      </c>
      <c r="D246">
        <v>1</v>
      </c>
      <c r="F246">
        <f>IF(AND($C246 = Temp!$B$1, $B246 = Temp!$A$16),$D246,0)</f>
        <v>0</v>
      </c>
      <c r="G246">
        <f>IF(AND($C246 = Temp!$C$1, $B246 = Temp!$A$16),$D246,0)</f>
        <v>0</v>
      </c>
      <c r="H246">
        <f>IF(AND($C246 = Temp!$D$1, $B246 = Temp!$A$16),$D246,0)</f>
        <v>0</v>
      </c>
      <c r="I246">
        <f>IF(AND($C246 = Temp!$E$1, $B246 = Temp!$A$16),$D246,0)</f>
        <v>0</v>
      </c>
      <c r="J246">
        <f>IF(AND($C246 = Temp!$F$1, $B246 = Temp!$A$16),$D246,0)</f>
        <v>0</v>
      </c>
      <c r="K246">
        <f>IF(AND($C246 = Temp!$G$1, $B246 = Temp!$A$16),$D246,0)</f>
        <v>0</v>
      </c>
      <c r="L246">
        <f>IF(AND($C246 = Temp!$H$1, $B246 = Temp!$A$16),$D246,0)</f>
        <v>0</v>
      </c>
      <c r="M246">
        <f>IF(AND($C246 = Temp!$I$1, $B246 = Temp!$A$16),$D246,0)</f>
        <v>0</v>
      </c>
      <c r="N246">
        <f>IF(AND($C246 = Temp!$J$1, $B246 = Temp!$A$16),$D246,0)</f>
        <v>0</v>
      </c>
      <c r="O246">
        <f>IF(AND($C246 = Temp!$K$1, $B246 = Temp!$A$16),$D246,0)</f>
        <v>0</v>
      </c>
    </row>
    <row r="247" spans="2:15" hidden="1" x14ac:dyDescent="0.2">
      <c r="B247" t="s">
        <v>425</v>
      </c>
      <c r="C247" t="s">
        <v>219</v>
      </c>
      <c r="D247">
        <v>1</v>
      </c>
      <c r="F247">
        <f>IF(AND($C247 = Temp!$B$1, $B247 = Temp!$A$16),$D247,0)</f>
        <v>0</v>
      </c>
      <c r="G247">
        <f>IF(AND($C247 = Temp!$C$1, $B247 = Temp!$A$16),$D247,0)</f>
        <v>0</v>
      </c>
      <c r="H247">
        <f>IF(AND($C247 = Temp!$D$1, $B247 = Temp!$A$16),$D247,0)</f>
        <v>0</v>
      </c>
      <c r="I247">
        <f>IF(AND($C247 = Temp!$E$1, $B247 = Temp!$A$16),$D247,0)</f>
        <v>0</v>
      </c>
      <c r="J247">
        <f>IF(AND($C247 = Temp!$F$1, $B247 = Temp!$A$16),$D247,0)</f>
        <v>0</v>
      </c>
      <c r="K247">
        <f>IF(AND($C247 = Temp!$G$1, $B247 = Temp!$A$16),$D247,0)</f>
        <v>0</v>
      </c>
      <c r="L247">
        <f>IF(AND($C247 = Temp!$H$1, $B247 = Temp!$A$16),$D247,0)</f>
        <v>0</v>
      </c>
      <c r="M247">
        <f>IF(AND($C247 = Temp!$I$1, $B247 = Temp!$A$16),$D247,0)</f>
        <v>0</v>
      </c>
      <c r="N247">
        <f>IF(AND($C247 = Temp!$J$1, $B247 = Temp!$A$16),$D247,0)</f>
        <v>0</v>
      </c>
      <c r="O247">
        <f>IF(AND($C247 = Temp!$K$1, $B247 = Temp!$A$16),$D247,0)</f>
        <v>0</v>
      </c>
    </row>
    <row r="248" spans="2:15" hidden="1" x14ac:dyDescent="0.2">
      <c r="B248" t="s">
        <v>425</v>
      </c>
      <c r="C248" t="s">
        <v>260</v>
      </c>
      <c r="D248">
        <v>3</v>
      </c>
      <c r="F248">
        <f>IF(AND($C248 = Temp!$B$1, $B248 = Temp!$A$16),$D248,0)</f>
        <v>0</v>
      </c>
      <c r="G248">
        <f>IF(AND($C248 = Temp!$C$1, $B248 = Temp!$A$16),$D248,0)</f>
        <v>0</v>
      </c>
      <c r="H248">
        <f>IF(AND($C248 = Temp!$D$1, $B248 = Temp!$A$16),$D248,0)</f>
        <v>0</v>
      </c>
      <c r="I248">
        <f>IF(AND($C248 = Temp!$E$1, $B248 = Temp!$A$16),$D248,0)</f>
        <v>0</v>
      </c>
      <c r="J248">
        <f>IF(AND($C248 = Temp!$F$1, $B248 = Temp!$A$16),$D248,0)</f>
        <v>0</v>
      </c>
      <c r="K248">
        <f>IF(AND($C248 = Temp!$G$1, $B248 = Temp!$A$16),$D248,0)</f>
        <v>0</v>
      </c>
      <c r="L248">
        <f>IF(AND($C248 = Temp!$H$1, $B248 = Temp!$A$16),$D248,0)</f>
        <v>0</v>
      </c>
      <c r="M248">
        <f>IF(AND($C248 = Temp!$I$1, $B248 = Temp!$A$16),$D248,0)</f>
        <v>0</v>
      </c>
      <c r="N248">
        <f>IF(AND($C248 = Temp!$J$1, $B248 = Temp!$A$16),$D248,0)</f>
        <v>0</v>
      </c>
      <c r="O248">
        <f>IF(AND($C248 = Temp!$K$1, $B248 = Temp!$A$16),$D248,0)</f>
        <v>0</v>
      </c>
    </row>
    <row r="249" spans="2:15" hidden="1" x14ac:dyDescent="0.2">
      <c r="B249" t="s">
        <v>425</v>
      </c>
      <c r="C249" t="s">
        <v>261</v>
      </c>
      <c r="D249">
        <v>6</v>
      </c>
      <c r="F249">
        <f>IF(AND($C249 = Temp!$B$1, $B249 = Temp!$A$16),$D249,0)</f>
        <v>0</v>
      </c>
      <c r="G249">
        <f>IF(AND($C249 = Temp!$C$1, $B249 = Temp!$A$16),$D249,0)</f>
        <v>0</v>
      </c>
      <c r="H249">
        <f>IF(AND($C249 = Temp!$D$1, $B249 = Temp!$A$16),$D249,0)</f>
        <v>0</v>
      </c>
      <c r="I249">
        <f>IF(AND($C249 = Temp!$E$1, $B249 = Temp!$A$16),$D249,0)</f>
        <v>0</v>
      </c>
      <c r="J249">
        <f>IF(AND($C249 = Temp!$F$1, $B249 = Temp!$A$16),$D249,0)</f>
        <v>0</v>
      </c>
      <c r="K249">
        <f>IF(AND($C249 = Temp!$G$1, $B249 = Temp!$A$16),$D249,0)</f>
        <v>0</v>
      </c>
      <c r="L249">
        <f>IF(AND($C249 = Temp!$H$1, $B249 = Temp!$A$16),$D249,0)</f>
        <v>0</v>
      </c>
      <c r="M249">
        <f>IF(AND($C249 = Temp!$I$1, $B249 = Temp!$A$16),$D249,0)</f>
        <v>0</v>
      </c>
      <c r="N249">
        <f>IF(AND($C249 = Temp!$J$1, $B249 = Temp!$A$16),$D249,0)</f>
        <v>0</v>
      </c>
      <c r="O249">
        <f>IF(AND($C249 = Temp!$K$1, $B249 = Temp!$A$16),$D249,0)</f>
        <v>0</v>
      </c>
    </row>
    <row r="250" spans="2:15" hidden="1" x14ac:dyDescent="0.2">
      <c r="B250" t="s">
        <v>425</v>
      </c>
      <c r="C250" t="s">
        <v>261</v>
      </c>
      <c r="D250">
        <v>4</v>
      </c>
      <c r="F250">
        <f>IF(AND($C250 = Temp!$B$1, $B250 = Temp!$A$16),$D250,0)</f>
        <v>0</v>
      </c>
      <c r="G250">
        <f>IF(AND($C250 = Temp!$C$1, $B250 = Temp!$A$16),$D250,0)</f>
        <v>0</v>
      </c>
      <c r="H250">
        <f>IF(AND($C250 = Temp!$D$1, $B250 = Temp!$A$16),$D250,0)</f>
        <v>0</v>
      </c>
      <c r="I250">
        <f>IF(AND($C250 = Temp!$E$1, $B250 = Temp!$A$16),$D250,0)</f>
        <v>0</v>
      </c>
      <c r="J250">
        <f>IF(AND($C250 = Temp!$F$1, $B250 = Temp!$A$16),$D250,0)</f>
        <v>0</v>
      </c>
      <c r="K250">
        <f>IF(AND($C250 = Temp!$G$1, $B250 = Temp!$A$16),$D250,0)</f>
        <v>0</v>
      </c>
      <c r="L250">
        <f>IF(AND($C250 = Temp!$H$1, $B250 = Temp!$A$16),$D250,0)</f>
        <v>0</v>
      </c>
      <c r="M250">
        <f>IF(AND($C250 = Temp!$I$1, $B250 = Temp!$A$16),$D250,0)</f>
        <v>0</v>
      </c>
      <c r="N250">
        <f>IF(AND($C250 = Temp!$J$1, $B250 = Temp!$A$16),$D250,0)</f>
        <v>0</v>
      </c>
      <c r="O250">
        <f>IF(AND($C250 = Temp!$K$1, $B250 = Temp!$A$16),$D250,0)</f>
        <v>0</v>
      </c>
    </row>
    <row r="251" spans="2:15" ht="15" hidden="1" x14ac:dyDescent="0.2">
      <c r="B251" t="s">
        <v>425</v>
      </c>
      <c r="C251" s="4" t="s">
        <v>40</v>
      </c>
      <c r="D251" s="8">
        <v>2</v>
      </c>
      <c r="E251" s="8"/>
      <c r="F251">
        <f>IF(AND($C251 = Temp!$B$1, $B251 = Temp!$A$16),$D251,0)</f>
        <v>0</v>
      </c>
      <c r="G251">
        <f>IF(AND($C251 = Temp!$C$1, $B251 = Temp!$A$16),$D251,0)</f>
        <v>0</v>
      </c>
      <c r="H251">
        <f>IF(AND($C251 = Temp!$D$1, $B251 = Temp!$A$16),$D251,0)</f>
        <v>0</v>
      </c>
      <c r="I251">
        <f>IF(AND($C251 = Temp!$E$1, $B251 = Temp!$A$16),$D251,0)</f>
        <v>0</v>
      </c>
      <c r="J251">
        <f>IF(AND($C251 = Temp!$F$1, $B251 = Temp!$A$16),$D251,0)</f>
        <v>0</v>
      </c>
      <c r="K251">
        <f>IF(AND($C251 = Temp!$G$1, $B251 = Temp!$A$16),$D251,0)</f>
        <v>0</v>
      </c>
      <c r="L251">
        <f>IF(AND($C251 = Temp!$H$1, $B251 = Temp!$A$16),$D251,0)</f>
        <v>0</v>
      </c>
      <c r="M251">
        <f>IF(AND($C251 = Temp!$I$1, $B251 = Temp!$A$16),$D251,0)</f>
        <v>0</v>
      </c>
      <c r="N251">
        <f>IF(AND($C251 = Temp!$J$1, $B251 = Temp!$A$16),$D251,0)</f>
        <v>0</v>
      </c>
      <c r="O251">
        <f>IF(AND($C251 = Temp!$K$1, $B251 = Temp!$A$16),$D251,0)</f>
        <v>0</v>
      </c>
    </row>
    <row r="252" spans="2:15" hidden="1" x14ac:dyDescent="0.2">
      <c r="B252" t="s">
        <v>425</v>
      </c>
      <c r="C252" s="4" t="s">
        <v>260</v>
      </c>
      <c r="D252" s="7">
        <v>0.5</v>
      </c>
      <c r="E252" s="7"/>
      <c r="F252">
        <f>IF(AND($C252 = Temp!$B$1, $B252 = Temp!$A$16),$D252,0)</f>
        <v>0</v>
      </c>
      <c r="G252">
        <f>IF(AND($C252 = Temp!$C$1, $B252 = Temp!$A$16),$D252,0)</f>
        <v>0</v>
      </c>
      <c r="H252">
        <f>IF(AND($C252 = Temp!$D$1, $B252 = Temp!$A$16),$D252,0)</f>
        <v>0</v>
      </c>
      <c r="I252">
        <f>IF(AND($C252 = Temp!$E$1, $B252 = Temp!$A$16),$D252,0)</f>
        <v>0</v>
      </c>
      <c r="J252">
        <f>IF(AND($C252 = Temp!$F$1, $B252 = Temp!$A$16),$D252,0)</f>
        <v>0</v>
      </c>
      <c r="K252">
        <f>IF(AND($C252 = Temp!$G$1, $B252 = Temp!$A$16),$D252,0)</f>
        <v>0</v>
      </c>
      <c r="L252">
        <f>IF(AND($C252 = Temp!$H$1, $B252 = Temp!$A$16),$D252,0)</f>
        <v>0</v>
      </c>
      <c r="M252">
        <f>IF(AND($C252 = Temp!$I$1, $B252 = Temp!$A$16),$D252,0)</f>
        <v>0</v>
      </c>
      <c r="N252">
        <f>IF(AND($C252 = Temp!$J$1, $B252 = Temp!$A$16),$D252,0)</f>
        <v>0</v>
      </c>
      <c r="O252">
        <f>IF(AND($C252 = Temp!$K$1, $B252 = Temp!$A$16),$D252,0)</f>
        <v>0</v>
      </c>
    </row>
    <row r="253" spans="2:15" hidden="1" x14ac:dyDescent="0.2">
      <c r="B253" t="s">
        <v>425</v>
      </c>
      <c r="C253" s="4" t="s">
        <v>279</v>
      </c>
      <c r="D253" s="7">
        <v>1</v>
      </c>
      <c r="E253" s="7"/>
      <c r="F253">
        <f>IF(AND($C253 = Temp!$B$1, $B253 = Temp!$A$16),$D253,0)</f>
        <v>0</v>
      </c>
      <c r="G253">
        <f>IF(AND($C253 = Temp!$C$1, $B253 = Temp!$A$16),$D253,0)</f>
        <v>0</v>
      </c>
      <c r="H253">
        <f>IF(AND($C253 = Temp!$D$1, $B253 = Temp!$A$16),$D253,0)</f>
        <v>0</v>
      </c>
      <c r="I253">
        <f>IF(AND($C253 = Temp!$E$1, $B253 = Temp!$A$16),$D253,0)</f>
        <v>0</v>
      </c>
      <c r="J253">
        <f>IF(AND($C253 = Temp!$F$1, $B253 = Temp!$A$16),$D253,0)</f>
        <v>0</v>
      </c>
      <c r="K253">
        <f>IF(AND($C253 = Temp!$G$1, $B253 = Temp!$A$16),$D253,0)</f>
        <v>0</v>
      </c>
      <c r="L253">
        <f>IF(AND($C253 = Temp!$H$1, $B253 = Temp!$A$16),$D253,0)</f>
        <v>0</v>
      </c>
      <c r="M253">
        <f>IF(AND($C253 = Temp!$I$1, $B253 = Temp!$A$16),$D253,0)</f>
        <v>0</v>
      </c>
      <c r="N253">
        <f>IF(AND($C253 = Temp!$J$1, $B253 = Temp!$A$16),$D253,0)</f>
        <v>0</v>
      </c>
      <c r="O253">
        <f>IF(AND($C253 = Temp!$K$1, $B253 = Temp!$A$16),$D253,0)</f>
        <v>0</v>
      </c>
    </row>
    <row r="254" spans="2:15" hidden="1" x14ac:dyDescent="0.2">
      <c r="B254" t="s">
        <v>425</v>
      </c>
      <c r="C254" s="4" t="s">
        <v>279</v>
      </c>
      <c r="D254" s="7">
        <v>8</v>
      </c>
      <c r="E254" s="7"/>
      <c r="F254">
        <f>IF(AND($C254 = Temp!$B$1, $B254 = Temp!$A$16),$D254,0)</f>
        <v>0</v>
      </c>
      <c r="G254">
        <f>IF(AND($C254 = Temp!$C$1, $B254 = Temp!$A$16),$D254,0)</f>
        <v>0</v>
      </c>
      <c r="H254">
        <f>IF(AND($C254 = Temp!$D$1, $B254 = Temp!$A$16),$D254,0)</f>
        <v>0</v>
      </c>
      <c r="I254">
        <f>IF(AND($C254 = Temp!$E$1, $B254 = Temp!$A$16),$D254,0)</f>
        <v>0</v>
      </c>
      <c r="J254">
        <f>IF(AND($C254 = Temp!$F$1, $B254 = Temp!$A$16),$D254,0)</f>
        <v>0</v>
      </c>
      <c r="K254">
        <f>IF(AND($C254 = Temp!$G$1, $B254 = Temp!$A$16),$D254,0)</f>
        <v>0</v>
      </c>
      <c r="L254">
        <f>IF(AND($C254 = Temp!$H$1, $B254 = Temp!$A$16),$D254,0)</f>
        <v>0</v>
      </c>
      <c r="M254">
        <f>IF(AND($C254 = Temp!$I$1, $B254 = Temp!$A$16),$D254,0)</f>
        <v>0</v>
      </c>
      <c r="N254">
        <f>IF(AND($C254 = Temp!$J$1, $B254 = Temp!$A$16),$D254,0)</f>
        <v>0</v>
      </c>
      <c r="O254">
        <f>IF(AND($C254 = Temp!$K$1, $B254 = Temp!$A$16),$D254,0)</f>
        <v>0</v>
      </c>
    </row>
    <row r="255" spans="2:15" hidden="1" x14ac:dyDescent="0.2">
      <c r="B255" t="s">
        <v>425</v>
      </c>
      <c r="C255" s="4" t="s">
        <v>261</v>
      </c>
      <c r="D255" s="7">
        <v>8</v>
      </c>
      <c r="E255" s="7"/>
      <c r="F255">
        <f>IF(AND($C255 = Temp!$B$1, $B255 = Temp!$A$16),$D255,0)</f>
        <v>0</v>
      </c>
      <c r="G255">
        <f>IF(AND($C255 = Temp!$C$1, $B255 = Temp!$A$16),$D255,0)</f>
        <v>0</v>
      </c>
      <c r="H255">
        <f>IF(AND($C255 = Temp!$D$1, $B255 = Temp!$A$16),$D255,0)</f>
        <v>0</v>
      </c>
      <c r="I255">
        <f>IF(AND($C255 = Temp!$E$1, $B255 = Temp!$A$16),$D255,0)</f>
        <v>0</v>
      </c>
      <c r="J255">
        <f>IF(AND($C255 = Temp!$F$1, $B255 = Temp!$A$16),$D255,0)</f>
        <v>0</v>
      </c>
      <c r="K255">
        <f>IF(AND($C255 = Temp!$G$1, $B255 = Temp!$A$16),$D255,0)</f>
        <v>0</v>
      </c>
      <c r="L255">
        <f>IF(AND($C255 = Temp!$H$1, $B255 = Temp!$A$16),$D255,0)</f>
        <v>0</v>
      </c>
      <c r="M255">
        <f>IF(AND($C255 = Temp!$I$1, $B255 = Temp!$A$16),$D255,0)</f>
        <v>0</v>
      </c>
      <c r="N255">
        <f>IF(AND($C255 = Temp!$J$1, $B255 = Temp!$A$16),$D255,0)</f>
        <v>0</v>
      </c>
      <c r="O255">
        <f>IF(AND($C255 = Temp!$K$1, $B255 = Temp!$A$16),$D255,0)</f>
        <v>0</v>
      </c>
    </row>
    <row r="256" spans="2:15" hidden="1" x14ac:dyDescent="0.2">
      <c r="B256" t="s">
        <v>425</v>
      </c>
      <c r="C256" s="4" t="s">
        <v>279</v>
      </c>
      <c r="D256" s="7">
        <v>1</v>
      </c>
      <c r="E256" s="7"/>
      <c r="F256">
        <f>IF(AND($C256 = Temp!$B$1, $B256 = Temp!$A$16),$D256,0)</f>
        <v>0</v>
      </c>
      <c r="G256">
        <f>IF(AND($C256 = Temp!$C$1, $B256 = Temp!$A$16),$D256,0)</f>
        <v>0</v>
      </c>
      <c r="H256">
        <f>IF(AND($C256 = Temp!$D$1, $B256 = Temp!$A$16),$D256,0)</f>
        <v>0</v>
      </c>
      <c r="I256">
        <f>IF(AND($C256 = Temp!$E$1, $B256 = Temp!$A$16),$D256,0)</f>
        <v>0</v>
      </c>
      <c r="J256">
        <f>IF(AND($C256 = Temp!$F$1, $B256 = Temp!$A$16),$D256,0)</f>
        <v>0</v>
      </c>
      <c r="K256">
        <f>IF(AND($C256 = Temp!$G$1, $B256 = Temp!$A$16),$D256,0)</f>
        <v>0</v>
      </c>
      <c r="L256">
        <f>IF(AND($C256 = Temp!$H$1, $B256 = Temp!$A$16),$D256,0)</f>
        <v>0</v>
      </c>
      <c r="M256">
        <f>IF(AND($C256 = Temp!$I$1, $B256 = Temp!$A$16),$D256,0)</f>
        <v>0</v>
      </c>
      <c r="N256">
        <f>IF(AND($C256 = Temp!$J$1, $B256 = Temp!$A$16),$D256,0)</f>
        <v>0</v>
      </c>
      <c r="O256">
        <f>IF(AND($C256 = Temp!$K$1, $B256 = Temp!$A$16),$D256,0)</f>
        <v>0</v>
      </c>
    </row>
    <row r="257" spans="2:15" hidden="1" x14ac:dyDescent="0.2">
      <c r="B257" t="s">
        <v>425</v>
      </c>
      <c r="C257" s="4" t="s">
        <v>279</v>
      </c>
      <c r="D257" s="7">
        <v>2</v>
      </c>
      <c r="E257" s="7"/>
      <c r="F257">
        <f>IF(AND($C257 = Temp!$B$1, $B257 = Temp!$A$16),$D257,0)</f>
        <v>0</v>
      </c>
      <c r="G257">
        <f>IF(AND($C257 = Temp!$C$1, $B257 = Temp!$A$16),$D257,0)</f>
        <v>0</v>
      </c>
      <c r="H257">
        <f>IF(AND($C257 = Temp!$D$1, $B257 = Temp!$A$16),$D257,0)</f>
        <v>0</v>
      </c>
      <c r="I257">
        <f>IF(AND($C257 = Temp!$E$1, $B257 = Temp!$A$16),$D257,0)</f>
        <v>0</v>
      </c>
      <c r="J257">
        <f>IF(AND($C257 = Temp!$F$1, $B257 = Temp!$A$16),$D257,0)</f>
        <v>0</v>
      </c>
      <c r="K257">
        <f>IF(AND($C257 = Temp!$G$1, $B257 = Temp!$A$16),$D257,0)</f>
        <v>0</v>
      </c>
      <c r="L257">
        <f>IF(AND($C257 = Temp!$H$1, $B257 = Temp!$A$16),$D257,0)</f>
        <v>0</v>
      </c>
      <c r="M257">
        <f>IF(AND($C257 = Temp!$I$1, $B257 = Temp!$A$16),$D257,0)</f>
        <v>0</v>
      </c>
      <c r="N257">
        <f>IF(AND($C257 = Temp!$J$1, $B257 = Temp!$A$16),$D257,0)</f>
        <v>0</v>
      </c>
      <c r="O257">
        <f>IF(AND($C257 = Temp!$K$1, $B257 = Temp!$A$16),$D257,0)</f>
        <v>0</v>
      </c>
    </row>
    <row r="258" spans="2:15" hidden="1" x14ac:dyDescent="0.2">
      <c r="B258" t="s">
        <v>425</v>
      </c>
      <c r="C258" s="4" t="s">
        <v>260</v>
      </c>
      <c r="D258" s="7">
        <v>1</v>
      </c>
      <c r="E258" s="7"/>
      <c r="F258">
        <f>IF(AND($C258 = Temp!$B$1, $B258 = Temp!$A$16),$D258,0)</f>
        <v>0</v>
      </c>
      <c r="G258">
        <f>IF(AND($C258 = Temp!$C$1, $B258 = Temp!$A$16),$D258,0)</f>
        <v>0</v>
      </c>
      <c r="H258">
        <f>IF(AND($C258 = Temp!$D$1, $B258 = Temp!$A$16),$D258,0)</f>
        <v>0</v>
      </c>
      <c r="I258">
        <f>IF(AND($C258 = Temp!$E$1, $B258 = Temp!$A$16),$D258,0)</f>
        <v>0</v>
      </c>
      <c r="J258">
        <f>IF(AND($C258 = Temp!$F$1, $B258 = Temp!$A$16),$D258,0)</f>
        <v>0</v>
      </c>
      <c r="K258">
        <f>IF(AND($C258 = Temp!$G$1, $B258 = Temp!$A$16),$D258,0)</f>
        <v>0</v>
      </c>
      <c r="L258">
        <f>IF(AND($C258 = Temp!$H$1, $B258 = Temp!$A$16),$D258,0)</f>
        <v>0</v>
      </c>
      <c r="M258">
        <f>IF(AND($C258 = Temp!$I$1, $B258 = Temp!$A$16),$D258,0)</f>
        <v>0</v>
      </c>
      <c r="N258">
        <f>IF(AND($C258 = Temp!$J$1, $B258 = Temp!$A$16),$D258,0)</f>
        <v>0</v>
      </c>
      <c r="O258">
        <f>IF(AND($C258 = Temp!$K$1, $B258 = Temp!$A$16),$D258,0)</f>
        <v>0</v>
      </c>
    </row>
    <row r="259" spans="2:15" hidden="1" x14ac:dyDescent="0.2">
      <c r="B259" t="s">
        <v>425</v>
      </c>
      <c r="C259" s="4" t="s">
        <v>219</v>
      </c>
      <c r="D259" s="7">
        <v>16</v>
      </c>
      <c r="E259" s="7"/>
      <c r="F259">
        <f>IF(AND($C259 = Temp!$B$1, $B259 = Temp!$A$16),$D259,0)</f>
        <v>0</v>
      </c>
      <c r="G259">
        <f>IF(AND($C259 = Temp!$C$1, $B259 = Temp!$A$16),$D259,0)</f>
        <v>0</v>
      </c>
      <c r="H259">
        <f>IF(AND($C259 = Temp!$D$1, $B259 = Temp!$A$16),$D259,0)</f>
        <v>0</v>
      </c>
      <c r="I259">
        <f>IF(AND($C259 = Temp!$E$1, $B259 = Temp!$A$16),$D259,0)</f>
        <v>0</v>
      </c>
      <c r="J259">
        <f>IF(AND($C259 = Temp!$F$1, $B259 = Temp!$A$16),$D259,0)</f>
        <v>0</v>
      </c>
      <c r="K259">
        <f>IF(AND($C259 = Temp!$G$1, $B259 = Temp!$A$16),$D259,0)</f>
        <v>0</v>
      </c>
      <c r="L259">
        <f>IF(AND($C259 = Temp!$H$1, $B259 = Temp!$A$16),$D259,0)</f>
        <v>0</v>
      </c>
      <c r="M259">
        <f>IF(AND($C259 = Temp!$I$1, $B259 = Temp!$A$16),$D259,0)</f>
        <v>0</v>
      </c>
      <c r="N259">
        <f>IF(AND($C259 = Temp!$J$1, $B259 = Temp!$A$16),$D259,0)</f>
        <v>0</v>
      </c>
      <c r="O259">
        <f>IF(AND($C259 = Temp!$K$1, $B259 = Temp!$A$16),$D259,0)</f>
        <v>0</v>
      </c>
    </row>
    <row r="260" spans="2:15" hidden="1" x14ac:dyDescent="0.2">
      <c r="B260" t="s">
        <v>425</v>
      </c>
      <c r="C260" s="4" t="s">
        <v>279</v>
      </c>
      <c r="D260" s="7">
        <v>1</v>
      </c>
      <c r="E260" s="7"/>
      <c r="F260">
        <f>IF(AND($C260 = Temp!$B$1, $B260 = Temp!$A$16),$D260,0)</f>
        <v>0</v>
      </c>
      <c r="G260">
        <f>IF(AND($C260 = Temp!$C$1, $B260 = Temp!$A$16),$D260,0)</f>
        <v>0</v>
      </c>
      <c r="H260">
        <f>IF(AND($C260 = Temp!$D$1, $B260 = Temp!$A$16),$D260,0)</f>
        <v>0</v>
      </c>
      <c r="I260">
        <f>IF(AND($C260 = Temp!$E$1, $B260 = Temp!$A$16),$D260,0)</f>
        <v>0</v>
      </c>
      <c r="J260">
        <f>IF(AND($C260 = Temp!$F$1, $B260 = Temp!$A$16),$D260,0)</f>
        <v>0</v>
      </c>
      <c r="K260">
        <f>IF(AND($C260 = Temp!$G$1, $B260 = Temp!$A$16),$D260,0)</f>
        <v>0</v>
      </c>
      <c r="L260">
        <f>IF(AND($C260 = Temp!$H$1, $B260 = Temp!$A$16),$D260,0)</f>
        <v>0</v>
      </c>
      <c r="M260">
        <f>IF(AND($C260 = Temp!$I$1, $B260 = Temp!$A$16),$D260,0)</f>
        <v>0</v>
      </c>
      <c r="N260">
        <f>IF(AND($C260 = Temp!$J$1, $B260 = Temp!$A$16),$D260,0)</f>
        <v>0</v>
      </c>
      <c r="O260">
        <f>IF(AND($C260 = Temp!$K$1, $B260 = Temp!$A$16),$D260,0)</f>
        <v>0</v>
      </c>
    </row>
    <row r="261" spans="2:15" hidden="1" x14ac:dyDescent="0.2">
      <c r="B261" t="s">
        <v>119</v>
      </c>
      <c r="C261" t="s">
        <v>15</v>
      </c>
      <c r="D261">
        <v>2</v>
      </c>
      <c r="F261">
        <f>IF(AND($C261 = Temp!$B$1, $B261 = Temp!$A$16),$D261,0)</f>
        <v>0</v>
      </c>
      <c r="G261">
        <f>IF(AND($C261 = Temp!$C$1, $B261 = Temp!$A$16),$D261,0)</f>
        <v>0</v>
      </c>
      <c r="H261">
        <f>IF(AND($C261 = Temp!$D$1, $B261 = Temp!$A$16),$D261,0)</f>
        <v>0</v>
      </c>
      <c r="I261">
        <f>IF(AND($C261 = Temp!$E$1, $B261 = Temp!$A$16),$D261,0)</f>
        <v>0</v>
      </c>
      <c r="J261">
        <f>IF(AND($C261 = Temp!$F$1, $B261 = Temp!$A$16),$D261,0)</f>
        <v>0</v>
      </c>
      <c r="K261">
        <f>IF(AND($C261 = Temp!$G$1, $B261 = Temp!$A$16),$D261,0)</f>
        <v>0</v>
      </c>
      <c r="L261">
        <f>IF(AND($C261 = Temp!$H$1, $B261 = Temp!$A$16),$D261,0)</f>
        <v>0</v>
      </c>
      <c r="M261">
        <f>IF(AND($C261 = Temp!$I$1, $B261 = Temp!$A$16),$D261,0)</f>
        <v>0</v>
      </c>
      <c r="N261">
        <f>IF(AND($C261 = Temp!$J$1, $B261 = Temp!$A$16),$D261,0)</f>
        <v>0</v>
      </c>
      <c r="O261">
        <f>IF(AND($C261 = Temp!$K$1, $B261 = Temp!$A$16),$D261,0)</f>
        <v>0</v>
      </c>
    </row>
    <row r="262" spans="2:15" hidden="1" x14ac:dyDescent="0.2">
      <c r="B262" t="s">
        <v>119</v>
      </c>
      <c r="C262" t="s">
        <v>15</v>
      </c>
      <c r="D262">
        <v>2</v>
      </c>
      <c r="F262">
        <f>IF(AND($C262 = Temp!$B$1, $B262 = Temp!$A$16),$D262,0)</f>
        <v>0</v>
      </c>
      <c r="G262">
        <f>IF(AND($C262 = Temp!$C$1, $B262 = Temp!$A$16),$D262,0)</f>
        <v>0</v>
      </c>
      <c r="H262">
        <f>IF(AND($C262 = Temp!$D$1, $B262 = Temp!$A$16),$D262,0)</f>
        <v>0</v>
      </c>
      <c r="I262">
        <f>IF(AND($C262 = Temp!$E$1, $B262 = Temp!$A$16),$D262,0)</f>
        <v>0</v>
      </c>
      <c r="J262">
        <f>IF(AND($C262 = Temp!$F$1, $B262 = Temp!$A$16),$D262,0)</f>
        <v>0</v>
      </c>
      <c r="K262">
        <f>IF(AND($C262 = Temp!$G$1, $B262 = Temp!$A$16),$D262,0)</f>
        <v>0</v>
      </c>
      <c r="L262">
        <f>IF(AND($C262 = Temp!$H$1, $B262 = Temp!$A$16),$D262,0)</f>
        <v>0</v>
      </c>
      <c r="M262">
        <f>IF(AND($C262 = Temp!$I$1, $B262 = Temp!$A$16),$D262,0)</f>
        <v>0</v>
      </c>
      <c r="N262">
        <f>IF(AND($C262 = Temp!$J$1, $B262 = Temp!$A$16),$D262,0)</f>
        <v>0</v>
      </c>
      <c r="O262">
        <f>IF(AND($C262 = Temp!$K$1, $B262 = Temp!$A$16),$D262,0)</f>
        <v>0</v>
      </c>
    </row>
    <row r="263" spans="2:15" hidden="1" x14ac:dyDescent="0.2">
      <c r="B263" t="s">
        <v>438</v>
      </c>
      <c r="C263" t="s">
        <v>261</v>
      </c>
      <c r="D263">
        <v>2</v>
      </c>
      <c r="F263">
        <f>IF(AND($C263 = Temp!$B$1, $B263 = Temp!$A$16),$D263,0)</f>
        <v>0</v>
      </c>
      <c r="G263">
        <f>IF(AND($C263 = Temp!$C$1, $B263 = Temp!$A$16),$D263,0)</f>
        <v>0</v>
      </c>
      <c r="H263">
        <f>IF(AND($C263 = Temp!$D$1, $B263 = Temp!$A$16),$D263,0)</f>
        <v>0</v>
      </c>
      <c r="I263">
        <f>IF(AND($C263 = Temp!$E$1, $B263 = Temp!$A$16),$D263,0)</f>
        <v>0</v>
      </c>
      <c r="J263">
        <f>IF(AND($C263 = Temp!$F$1, $B263 = Temp!$A$16),$D263,0)</f>
        <v>0</v>
      </c>
      <c r="K263">
        <f>IF(AND($C263 = Temp!$G$1, $B263 = Temp!$A$16),$D263,0)</f>
        <v>0</v>
      </c>
      <c r="L263">
        <f>IF(AND($C263 = Temp!$H$1, $B263 = Temp!$A$16),$D263,0)</f>
        <v>0</v>
      </c>
      <c r="M263">
        <f>IF(AND($C263 = Temp!$I$1, $B263 = Temp!$A$16),$D263,0)</f>
        <v>0</v>
      </c>
      <c r="N263">
        <f>IF(AND($C263 = Temp!$J$1, $B263 = Temp!$A$16),$D263,0)</f>
        <v>0</v>
      </c>
      <c r="O263">
        <f>IF(AND($C263 = Temp!$K$1, $B263 = Temp!$A$16),$D263,0)</f>
        <v>0</v>
      </c>
    </row>
    <row r="264" spans="2:15" hidden="1" x14ac:dyDescent="0.2">
      <c r="B264" t="s">
        <v>438</v>
      </c>
      <c r="C264" t="s">
        <v>260</v>
      </c>
      <c r="D264">
        <v>1</v>
      </c>
      <c r="F264">
        <f>IF(AND($C264 = Temp!$B$1, $B264 = Temp!$A$16),$D264,0)</f>
        <v>0</v>
      </c>
      <c r="G264">
        <f>IF(AND($C264 = Temp!$C$1, $B264 = Temp!$A$16),$D264,0)</f>
        <v>0</v>
      </c>
      <c r="H264">
        <f>IF(AND($C264 = Temp!$D$1, $B264 = Temp!$A$16),$D264,0)</f>
        <v>0</v>
      </c>
      <c r="I264">
        <f>IF(AND($C264 = Temp!$E$1, $B264 = Temp!$A$16),$D264,0)</f>
        <v>0</v>
      </c>
      <c r="J264">
        <f>IF(AND($C264 = Temp!$F$1, $B264 = Temp!$A$16),$D264,0)</f>
        <v>0</v>
      </c>
      <c r="K264">
        <f>IF(AND($C264 = Temp!$G$1, $B264 = Temp!$A$16),$D264,0)</f>
        <v>0</v>
      </c>
      <c r="L264">
        <f>IF(AND($C264 = Temp!$H$1, $B264 = Temp!$A$16),$D264,0)</f>
        <v>0</v>
      </c>
      <c r="M264">
        <f>IF(AND($C264 = Temp!$I$1, $B264 = Temp!$A$16),$D264,0)</f>
        <v>0</v>
      </c>
      <c r="N264">
        <f>IF(AND($C264 = Temp!$J$1, $B264 = Temp!$A$16),$D264,0)</f>
        <v>0</v>
      </c>
      <c r="O264">
        <f>IF(AND($C264 = Temp!$K$1, $B264 = Temp!$A$16),$D264,0)</f>
        <v>0</v>
      </c>
    </row>
    <row r="265" spans="2:15" hidden="1" x14ac:dyDescent="0.2">
      <c r="B265" t="s">
        <v>438</v>
      </c>
      <c r="C265" t="s">
        <v>260</v>
      </c>
      <c r="D265">
        <v>0.5</v>
      </c>
      <c r="F265">
        <f>IF(AND($C265 = Temp!$B$1, $B265 = Temp!$A$16),$D265,0)</f>
        <v>0</v>
      </c>
      <c r="G265">
        <f>IF(AND($C265 = Temp!$C$1, $B265 = Temp!$A$16),$D265,0)</f>
        <v>0</v>
      </c>
      <c r="H265">
        <f>IF(AND($C265 = Temp!$D$1, $B265 = Temp!$A$16),$D265,0)</f>
        <v>0</v>
      </c>
      <c r="I265">
        <f>IF(AND($C265 = Temp!$E$1, $B265 = Temp!$A$16),$D265,0)</f>
        <v>0</v>
      </c>
      <c r="J265">
        <f>IF(AND($C265 = Temp!$F$1, $B265 = Temp!$A$16),$D265,0)</f>
        <v>0</v>
      </c>
      <c r="K265">
        <f>IF(AND($C265 = Temp!$G$1, $B265 = Temp!$A$16),$D265,0)</f>
        <v>0</v>
      </c>
      <c r="L265">
        <f>IF(AND($C265 = Temp!$H$1, $B265 = Temp!$A$16),$D265,0)</f>
        <v>0</v>
      </c>
      <c r="M265">
        <f>IF(AND($C265 = Temp!$I$1, $B265 = Temp!$A$16),$D265,0)</f>
        <v>0</v>
      </c>
      <c r="N265">
        <f>IF(AND($C265 = Temp!$J$1, $B265 = Temp!$A$16),$D265,0)</f>
        <v>0</v>
      </c>
      <c r="O265">
        <f>IF(AND($C265 = Temp!$K$1, $B265 = Temp!$A$16),$D265,0)</f>
        <v>0</v>
      </c>
    </row>
    <row r="266" spans="2:15" hidden="1" x14ac:dyDescent="0.2">
      <c r="B266" t="s">
        <v>441</v>
      </c>
      <c r="C266" s="4" t="s">
        <v>40</v>
      </c>
      <c r="D266" s="7">
        <v>2</v>
      </c>
      <c r="E266" s="7"/>
      <c r="F266">
        <f>IF(AND($C266 = Temp!$B$1, $B266 = Temp!$A$16),$D266,0)</f>
        <v>0</v>
      </c>
      <c r="G266">
        <f>IF(AND($C266 = Temp!$C$1, $B266 = Temp!$A$16),$D266,0)</f>
        <v>0</v>
      </c>
      <c r="H266">
        <f>IF(AND($C266 = Temp!$D$1, $B266 = Temp!$A$16),$D266,0)</f>
        <v>0</v>
      </c>
      <c r="I266">
        <f>IF(AND($C266 = Temp!$E$1, $B266 = Temp!$A$16),$D266,0)</f>
        <v>0</v>
      </c>
      <c r="J266">
        <f>IF(AND($C266 = Temp!$F$1, $B266 = Temp!$A$16),$D266,0)</f>
        <v>0</v>
      </c>
      <c r="K266">
        <f>IF(AND($C266 = Temp!$G$1, $B266 = Temp!$A$16),$D266,0)</f>
        <v>0</v>
      </c>
      <c r="L266">
        <f>IF(AND($C266 = Temp!$H$1, $B266 = Temp!$A$16),$D266,0)</f>
        <v>0</v>
      </c>
      <c r="M266">
        <f>IF(AND($C266 = Temp!$I$1, $B266 = Temp!$A$16),$D266,0)</f>
        <v>0</v>
      </c>
      <c r="N266">
        <f>IF(AND($C266 = Temp!$J$1, $B266 = Temp!$A$16),$D266,0)</f>
        <v>0</v>
      </c>
      <c r="O266">
        <f>IF(AND($C266 = Temp!$K$1, $B266 = Temp!$A$16),$D266,0)</f>
        <v>0</v>
      </c>
    </row>
    <row r="267" spans="2:15" hidden="1" x14ac:dyDescent="0.2">
      <c r="B267" t="s">
        <v>441</v>
      </c>
      <c r="C267" s="4" t="s">
        <v>40</v>
      </c>
      <c r="D267" s="7">
        <v>1</v>
      </c>
      <c r="E267" s="7"/>
      <c r="F267">
        <f>IF(AND($C267 = Temp!$B$1, $B267 = Temp!$A$16),$D267,0)</f>
        <v>0</v>
      </c>
      <c r="G267">
        <f>IF(AND($C267 = Temp!$C$1, $B267 = Temp!$A$16),$D267,0)</f>
        <v>0</v>
      </c>
      <c r="H267">
        <f>IF(AND($C267 = Temp!$D$1, $B267 = Temp!$A$16),$D267,0)</f>
        <v>0</v>
      </c>
      <c r="I267">
        <f>IF(AND($C267 = Temp!$E$1, $B267 = Temp!$A$16),$D267,0)</f>
        <v>0</v>
      </c>
      <c r="J267">
        <f>IF(AND($C267 = Temp!$F$1, $B267 = Temp!$A$16),$D267,0)</f>
        <v>0</v>
      </c>
      <c r="K267">
        <f>IF(AND($C267 = Temp!$G$1, $B267 = Temp!$A$16),$D267,0)</f>
        <v>0</v>
      </c>
      <c r="L267">
        <f>IF(AND($C267 = Temp!$H$1, $B267 = Temp!$A$16),$D267,0)</f>
        <v>0</v>
      </c>
      <c r="M267">
        <f>IF(AND($C267 = Temp!$I$1, $B267 = Temp!$A$16),$D267,0)</f>
        <v>0</v>
      </c>
      <c r="N267">
        <f>IF(AND($C267 = Temp!$J$1, $B267 = Temp!$A$16),$D267,0)</f>
        <v>0</v>
      </c>
      <c r="O267">
        <f>IF(AND($C267 = Temp!$K$1, $B267 = Temp!$A$16),$D267,0)</f>
        <v>0</v>
      </c>
    </row>
    <row r="268" spans="2:15" hidden="1" x14ac:dyDescent="0.2">
      <c r="B268" t="s">
        <v>441</v>
      </c>
      <c r="C268" s="4" t="s">
        <v>40</v>
      </c>
      <c r="D268" s="7">
        <v>2</v>
      </c>
      <c r="E268" s="7"/>
      <c r="F268">
        <f>IF(AND($C268 = Temp!$B$1, $B268 = Temp!$A$16),$D268,0)</f>
        <v>0</v>
      </c>
      <c r="G268">
        <f>IF(AND($C268 = Temp!$C$1, $B268 = Temp!$A$16),$D268,0)</f>
        <v>0</v>
      </c>
      <c r="H268">
        <f>IF(AND($C268 = Temp!$D$1, $B268 = Temp!$A$16),$D268,0)</f>
        <v>0</v>
      </c>
      <c r="I268">
        <f>IF(AND($C268 = Temp!$E$1, $B268 = Temp!$A$16),$D268,0)</f>
        <v>0</v>
      </c>
      <c r="J268">
        <f>IF(AND($C268 = Temp!$F$1, $B268 = Temp!$A$16),$D268,0)</f>
        <v>0</v>
      </c>
      <c r="K268">
        <f>IF(AND($C268 = Temp!$G$1, $B268 = Temp!$A$16),$D268,0)</f>
        <v>0</v>
      </c>
      <c r="L268">
        <f>IF(AND($C268 = Temp!$H$1, $B268 = Temp!$A$16),$D268,0)</f>
        <v>0</v>
      </c>
      <c r="M268">
        <f>IF(AND($C268 = Temp!$I$1, $B268 = Temp!$A$16),$D268,0)</f>
        <v>0</v>
      </c>
      <c r="N268">
        <f>IF(AND($C268 = Temp!$J$1, $B268 = Temp!$A$16),$D268,0)</f>
        <v>0</v>
      </c>
      <c r="O268">
        <f>IF(AND($C268 = Temp!$K$1, $B268 = Temp!$A$16),$D268,0)</f>
        <v>0</v>
      </c>
    </row>
    <row r="269" spans="2:15" hidden="1" x14ac:dyDescent="0.2">
      <c r="B269" t="s">
        <v>441</v>
      </c>
      <c r="C269" s="4" t="s">
        <v>40</v>
      </c>
      <c r="D269" s="7">
        <v>2</v>
      </c>
      <c r="E269" s="7"/>
      <c r="F269">
        <f>IF(AND($C269 = Temp!$B$1, $B269 = Temp!$A$16),$D269,0)</f>
        <v>0</v>
      </c>
      <c r="G269">
        <f>IF(AND($C269 = Temp!$C$1, $B269 = Temp!$A$16),$D269,0)</f>
        <v>0</v>
      </c>
      <c r="H269">
        <f>IF(AND($C269 = Temp!$D$1, $B269 = Temp!$A$16),$D269,0)</f>
        <v>0</v>
      </c>
      <c r="I269">
        <f>IF(AND($C269 = Temp!$E$1, $B269 = Temp!$A$16),$D269,0)</f>
        <v>0</v>
      </c>
      <c r="J269">
        <f>IF(AND($C269 = Temp!$F$1, $B269 = Temp!$A$16),$D269,0)</f>
        <v>0</v>
      </c>
      <c r="K269">
        <f>IF(AND($C269 = Temp!$G$1, $B269 = Temp!$A$16),$D269,0)</f>
        <v>0</v>
      </c>
      <c r="L269">
        <f>IF(AND($C269 = Temp!$H$1, $B269 = Temp!$A$16),$D269,0)</f>
        <v>0</v>
      </c>
      <c r="M269">
        <f>IF(AND($C269 = Temp!$I$1, $B269 = Temp!$A$16),$D269,0)</f>
        <v>0</v>
      </c>
      <c r="N269">
        <f>IF(AND($C269 = Temp!$J$1, $B269 = Temp!$A$16),$D269,0)</f>
        <v>0</v>
      </c>
      <c r="O269">
        <f>IF(AND($C269 = Temp!$K$1, $B269 = Temp!$A$16),$D269,0)</f>
        <v>0</v>
      </c>
    </row>
    <row r="270" spans="2:15" hidden="1" x14ac:dyDescent="0.2">
      <c r="B270" t="s">
        <v>441</v>
      </c>
      <c r="C270" s="4" t="s">
        <v>15</v>
      </c>
      <c r="D270" s="7">
        <v>1</v>
      </c>
      <c r="E270" s="7"/>
      <c r="F270">
        <f>IF(AND($C270 = Temp!$B$1, $B270 = Temp!$A$16),$D270,0)</f>
        <v>0</v>
      </c>
      <c r="G270">
        <f>IF(AND($C270 = Temp!$C$1, $B270 = Temp!$A$16),$D270,0)</f>
        <v>0</v>
      </c>
      <c r="H270">
        <f>IF(AND($C270 = Temp!$D$1, $B270 = Temp!$A$16),$D270,0)</f>
        <v>0</v>
      </c>
      <c r="I270">
        <f>IF(AND($C270 = Temp!$E$1, $B270 = Temp!$A$16),$D270,0)</f>
        <v>0</v>
      </c>
      <c r="J270">
        <f>IF(AND($C270 = Temp!$F$1, $B270 = Temp!$A$16),$D270,0)</f>
        <v>0</v>
      </c>
      <c r="K270">
        <f>IF(AND($C270 = Temp!$G$1, $B270 = Temp!$A$16),$D270,0)</f>
        <v>0</v>
      </c>
      <c r="L270">
        <f>IF(AND($C270 = Temp!$H$1, $B270 = Temp!$A$16),$D270,0)</f>
        <v>0</v>
      </c>
      <c r="M270">
        <f>IF(AND($C270 = Temp!$I$1, $B270 = Temp!$A$16),$D270,0)</f>
        <v>0</v>
      </c>
      <c r="N270">
        <f>IF(AND($C270 = Temp!$J$1, $B270 = Temp!$A$16),$D270,0)</f>
        <v>0</v>
      </c>
      <c r="O270">
        <f>IF(AND($C270 = Temp!$K$1, $B270 = Temp!$A$16),$D270,0)</f>
        <v>0</v>
      </c>
    </row>
    <row r="271" spans="2:15" hidden="1" x14ac:dyDescent="0.2">
      <c r="B271" t="s">
        <v>441</v>
      </c>
      <c r="C271" s="4" t="s">
        <v>15</v>
      </c>
      <c r="D271" s="7">
        <v>2</v>
      </c>
      <c r="E271" s="7"/>
      <c r="F271">
        <f>IF(AND($C271 = Temp!$B$1, $B271 = Temp!$A$16),$D271,0)</f>
        <v>0</v>
      </c>
      <c r="G271">
        <f>IF(AND($C271 = Temp!$C$1, $B271 = Temp!$A$16),$D271,0)</f>
        <v>0</v>
      </c>
      <c r="H271">
        <f>IF(AND($C271 = Temp!$D$1, $B271 = Temp!$A$16),$D271,0)</f>
        <v>0</v>
      </c>
      <c r="I271">
        <f>IF(AND($C271 = Temp!$E$1, $B271 = Temp!$A$16),$D271,0)</f>
        <v>0</v>
      </c>
      <c r="J271">
        <f>IF(AND($C271 = Temp!$F$1, $B271 = Temp!$A$16),$D271,0)</f>
        <v>0</v>
      </c>
      <c r="K271">
        <f>IF(AND($C271 = Temp!$G$1, $B271 = Temp!$A$16),$D271,0)</f>
        <v>0</v>
      </c>
      <c r="L271">
        <f>IF(AND($C271 = Temp!$H$1, $B271 = Temp!$A$16),$D271,0)</f>
        <v>0</v>
      </c>
      <c r="M271">
        <f>IF(AND($C271 = Temp!$I$1, $B271 = Temp!$A$16),$D271,0)</f>
        <v>0</v>
      </c>
      <c r="N271">
        <f>IF(AND($C271 = Temp!$J$1, $B271 = Temp!$A$16),$D271,0)</f>
        <v>0</v>
      </c>
      <c r="O271">
        <f>IF(AND($C271 = Temp!$K$1, $B271 = Temp!$A$16),$D271,0)</f>
        <v>0</v>
      </c>
    </row>
    <row r="272" spans="2:15" hidden="1" x14ac:dyDescent="0.2">
      <c r="B272" t="s">
        <v>441</v>
      </c>
      <c r="C272" s="4" t="s">
        <v>15</v>
      </c>
      <c r="D272" s="7">
        <v>2</v>
      </c>
      <c r="E272" s="7"/>
      <c r="F272">
        <f>IF(AND($C272 = Temp!$B$1, $B272 = Temp!$A$16),$D272,0)</f>
        <v>0</v>
      </c>
      <c r="G272">
        <f>IF(AND($C272 = Temp!$C$1, $B272 = Temp!$A$16),$D272,0)</f>
        <v>0</v>
      </c>
      <c r="H272">
        <f>IF(AND($C272 = Temp!$D$1, $B272 = Temp!$A$16),$D272,0)</f>
        <v>0</v>
      </c>
      <c r="I272">
        <f>IF(AND($C272 = Temp!$E$1, $B272 = Temp!$A$16),$D272,0)</f>
        <v>0</v>
      </c>
      <c r="J272">
        <f>IF(AND($C272 = Temp!$F$1, $B272 = Temp!$A$16),$D272,0)</f>
        <v>0</v>
      </c>
      <c r="K272">
        <f>IF(AND($C272 = Temp!$G$1, $B272 = Temp!$A$16),$D272,0)</f>
        <v>0</v>
      </c>
      <c r="L272">
        <f>IF(AND($C272 = Temp!$H$1, $B272 = Temp!$A$16),$D272,0)</f>
        <v>0</v>
      </c>
      <c r="M272">
        <f>IF(AND($C272 = Temp!$I$1, $B272 = Temp!$A$16),$D272,0)</f>
        <v>0</v>
      </c>
      <c r="N272">
        <f>IF(AND($C272 = Temp!$J$1, $B272 = Temp!$A$16),$D272,0)</f>
        <v>0</v>
      </c>
      <c r="O272">
        <f>IF(AND($C272 = Temp!$K$1, $B272 = Temp!$A$16),$D272,0)</f>
        <v>0</v>
      </c>
    </row>
    <row r="273" spans="2:15" hidden="1" x14ac:dyDescent="0.2">
      <c r="B273" t="s">
        <v>419</v>
      </c>
      <c r="C273" t="s">
        <v>40</v>
      </c>
      <c r="D273">
        <v>0.25</v>
      </c>
      <c r="F273">
        <f>IF(AND($C273 = Temp!$B$1, $B273 = Temp!$A$16),$D273,0)</f>
        <v>0</v>
      </c>
      <c r="G273">
        <f>IF(AND($C273 = Temp!$C$1, $B273 = Temp!$A$16),$D273,0)</f>
        <v>0</v>
      </c>
      <c r="H273">
        <f>IF(AND($C273 = Temp!$D$1, $B273 = Temp!$A$16),$D273,0)</f>
        <v>0</v>
      </c>
      <c r="I273">
        <f>IF(AND($C273 = Temp!$E$1, $B273 = Temp!$A$16),$D273,0)</f>
        <v>0</v>
      </c>
      <c r="J273">
        <f>IF(AND($C273 = Temp!$F$1, $B273 = Temp!$A$16),$D273,0)</f>
        <v>0</v>
      </c>
      <c r="K273">
        <f>IF(AND($C273 = Temp!$G$1, $B273 = Temp!$A$16),$D273,0)</f>
        <v>0</v>
      </c>
      <c r="L273">
        <f>IF(AND($C273 = Temp!$H$1, $B273 = Temp!$A$16),$D273,0)</f>
        <v>0</v>
      </c>
      <c r="M273">
        <f>IF(AND($C273 = Temp!$I$1, $B273 = Temp!$A$16),$D273,0)</f>
        <v>0</v>
      </c>
      <c r="N273">
        <f>IF(AND($C273 = Temp!$J$1, $B273 = Temp!$A$16),$D273,0)</f>
        <v>0</v>
      </c>
      <c r="O273">
        <f>IF(AND($C273 = Temp!$K$1, $B273 = Temp!$A$16),$D273,0)</f>
        <v>0</v>
      </c>
    </row>
    <row r="274" spans="2:15" hidden="1" x14ac:dyDescent="0.2">
      <c r="B274" t="s">
        <v>419</v>
      </c>
      <c r="C274" t="s">
        <v>40</v>
      </c>
      <c r="D274">
        <v>0.12</v>
      </c>
      <c r="F274">
        <f>IF(AND($C274 = Temp!$B$1, $B274 = Temp!$A$16),$D274,0)</f>
        <v>0</v>
      </c>
      <c r="G274">
        <f>IF(AND($C274 = Temp!$C$1, $B274 = Temp!$A$16),$D274,0)</f>
        <v>0</v>
      </c>
      <c r="H274">
        <f>IF(AND($C274 = Temp!$D$1, $B274 = Temp!$A$16),$D274,0)</f>
        <v>0</v>
      </c>
      <c r="I274">
        <f>IF(AND($C274 = Temp!$E$1, $B274 = Temp!$A$16),$D274,0)</f>
        <v>0</v>
      </c>
      <c r="J274">
        <f>IF(AND($C274 = Temp!$F$1, $B274 = Temp!$A$16),$D274,0)</f>
        <v>0</v>
      </c>
      <c r="K274">
        <f>IF(AND($C274 = Temp!$G$1, $B274 = Temp!$A$16),$D274,0)</f>
        <v>0</v>
      </c>
      <c r="L274">
        <f>IF(AND($C274 = Temp!$H$1, $B274 = Temp!$A$16),$D274,0)</f>
        <v>0</v>
      </c>
      <c r="M274">
        <f>IF(AND($C274 = Temp!$I$1, $B274 = Temp!$A$16),$D274,0)</f>
        <v>0</v>
      </c>
      <c r="N274">
        <f>IF(AND($C274 = Temp!$J$1, $B274 = Temp!$A$16),$D274,0)</f>
        <v>0</v>
      </c>
      <c r="O274">
        <f>IF(AND($C274 = Temp!$K$1, $B274 = Temp!$A$16),$D274,0)</f>
        <v>0</v>
      </c>
    </row>
    <row r="275" spans="2:15" hidden="1" x14ac:dyDescent="0.2">
      <c r="B275" t="s">
        <v>419</v>
      </c>
      <c r="C275" t="s">
        <v>40</v>
      </c>
      <c r="D275">
        <v>0.12</v>
      </c>
      <c r="F275">
        <f>IF(AND($C275 = Temp!$B$1, $B275 = Temp!$A$16),$D275,0)</f>
        <v>0</v>
      </c>
      <c r="G275">
        <f>IF(AND($C275 = Temp!$C$1, $B275 = Temp!$A$16),$D275,0)</f>
        <v>0</v>
      </c>
      <c r="H275">
        <f>IF(AND($C275 = Temp!$D$1, $B275 = Temp!$A$16),$D275,0)</f>
        <v>0</v>
      </c>
      <c r="I275">
        <f>IF(AND($C275 = Temp!$E$1, $B275 = Temp!$A$16),$D275,0)</f>
        <v>0</v>
      </c>
      <c r="J275">
        <f>IF(AND($C275 = Temp!$F$1, $B275 = Temp!$A$16),$D275,0)</f>
        <v>0</v>
      </c>
      <c r="K275">
        <f>IF(AND($C275 = Temp!$G$1, $B275 = Temp!$A$16),$D275,0)</f>
        <v>0</v>
      </c>
      <c r="L275">
        <f>IF(AND($C275 = Temp!$H$1, $B275 = Temp!$A$16),$D275,0)</f>
        <v>0</v>
      </c>
      <c r="M275">
        <f>IF(AND($C275 = Temp!$I$1, $B275 = Temp!$A$16),$D275,0)</f>
        <v>0</v>
      </c>
      <c r="N275">
        <f>IF(AND($C275 = Temp!$J$1, $B275 = Temp!$A$16),$D275,0)</f>
        <v>0</v>
      </c>
      <c r="O275">
        <f>IF(AND($C275 = Temp!$K$1, $B275 = Temp!$A$16),$D275,0)</f>
        <v>0</v>
      </c>
    </row>
    <row r="276" spans="2:15" hidden="1" x14ac:dyDescent="0.2">
      <c r="B276" t="s">
        <v>419</v>
      </c>
      <c r="C276" t="s">
        <v>40</v>
      </c>
      <c r="D276">
        <v>0.12</v>
      </c>
      <c r="F276">
        <f>IF(AND($C276 = Temp!$B$1, $B276 = Temp!$A$16),$D276,0)</f>
        <v>0</v>
      </c>
      <c r="G276">
        <f>IF(AND($C276 = Temp!$C$1, $B276 = Temp!$A$16),$D276,0)</f>
        <v>0</v>
      </c>
      <c r="H276">
        <f>IF(AND($C276 = Temp!$D$1, $B276 = Temp!$A$16),$D276,0)</f>
        <v>0</v>
      </c>
      <c r="I276">
        <f>IF(AND($C276 = Temp!$E$1, $B276 = Temp!$A$16),$D276,0)</f>
        <v>0</v>
      </c>
      <c r="J276">
        <f>IF(AND($C276 = Temp!$F$1, $B276 = Temp!$A$16),$D276,0)</f>
        <v>0</v>
      </c>
      <c r="K276">
        <f>IF(AND($C276 = Temp!$G$1, $B276 = Temp!$A$16),$D276,0)</f>
        <v>0</v>
      </c>
      <c r="L276">
        <f>IF(AND($C276 = Temp!$H$1, $B276 = Temp!$A$16),$D276,0)</f>
        <v>0</v>
      </c>
      <c r="M276">
        <f>IF(AND($C276 = Temp!$I$1, $B276 = Temp!$A$16),$D276,0)</f>
        <v>0</v>
      </c>
      <c r="N276">
        <f>IF(AND($C276 = Temp!$J$1, $B276 = Temp!$A$16),$D276,0)</f>
        <v>0</v>
      </c>
      <c r="O276">
        <f>IF(AND($C276 = Temp!$K$1, $B276 = Temp!$A$16),$D276,0)</f>
        <v>0</v>
      </c>
    </row>
    <row r="277" spans="2:15" hidden="1" x14ac:dyDescent="0.2">
      <c r="B277" t="s">
        <v>397</v>
      </c>
      <c r="C277" s="4" t="s">
        <v>279</v>
      </c>
      <c r="D277" s="7">
        <v>1</v>
      </c>
      <c r="E277" s="7"/>
      <c r="F277">
        <f>IF(AND($C277 = Temp!$B$1, $B277 = Temp!$A$16),$D277,0)</f>
        <v>0</v>
      </c>
      <c r="G277">
        <f>IF(AND($C277 = Temp!$C$1, $B277 = Temp!$A$16),$D277,0)</f>
        <v>0</v>
      </c>
      <c r="H277">
        <f>IF(AND($C277 = Temp!$D$1, $B277 = Temp!$A$16),$D277,0)</f>
        <v>0</v>
      </c>
      <c r="I277">
        <f>IF(AND($C277 = Temp!$E$1, $B277 = Temp!$A$16),$D277,0)</f>
        <v>0</v>
      </c>
      <c r="J277">
        <f>IF(AND($C277 = Temp!$F$1, $B277 = Temp!$A$16),$D277,0)</f>
        <v>0</v>
      </c>
      <c r="K277">
        <f>IF(AND($C277 = Temp!$G$1, $B277 = Temp!$A$16),$D277,0)</f>
        <v>0</v>
      </c>
      <c r="L277">
        <f>IF(AND($C277 = Temp!$H$1, $B277 = Temp!$A$16),$D277,0)</f>
        <v>0</v>
      </c>
      <c r="M277">
        <f>IF(AND($C277 = Temp!$I$1, $B277 = Temp!$A$16),$D277,0)</f>
        <v>0</v>
      </c>
      <c r="N277">
        <f>IF(AND($C277 = Temp!$J$1, $B277 = Temp!$A$16),$D277,0)</f>
        <v>0</v>
      </c>
      <c r="O277">
        <f>IF(AND($C277 = Temp!$K$1, $B277 = Temp!$A$16),$D277,0)</f>
        <v>0</v>
      </c>
    </row>
    <row r="278" spans="2:15" hidden="1" x14ac:dyDescent="0.2">
      <c r="B278" t="s">
        <v>60</v>
      </c>
      <c r="C278" t="s">
        <v>15</v>
      </c>
      <c r="D278">
        <v>0.5</v>
      </c>
      <c r="F278">
        <f>IF(AND($C278 = Temp!$B$1, $B278 = Temp!$A$16),$D278,0)</f>
        <v>0</v>
      </c>
      <c r="G278">
        <f>IF(AND($C278 = Temp!$C$1, $B278 = Temp!$A$16),$D278,0)</f>
        <v>0</v>
      </c>
      <c r="H278">
        <f>IF(AND($C278 = Temp!$D$1, $B278 = Temp!$A$16),$D278,0)</f>
        <v>0</v>
      </c>
      <c r="I278">
        <f>IF(AND($C278 = Temp!$E$1, $B278 = Temp!$A$16),$D278,0)</f>
        <v>0</v>
      </c>
      <c r="J278">
        <f>IF(AND($C278 = Temp!$F$1, $B278 = Temp!$A$16),$D278,0)</f>
        <v>0</v>
      </c>
      <c r="K278">
        <f>IF(AND($C278 = Temp!$G$1, $B278 = Temp!$A$16),$D278,0)</f>
        <v>0</v>
      </c>
      <c r="L278">
        <f>IF(AND($C278 = Temp!$H$1, $B278 = Temp!$A$16),$D278,0)</f>
        <v>0</v>
      </c>
      <c r="M278">
        <f>IF(AND($C278 = Temp!$I$1, $B278 = Temp!$A$16),$D278,0)</f>
        <v>0</v>
      </c>
      <c r="N278">
        <f>IF(AND($C278 = Temp!$J$1, $B278 = Temp!$A$16),$D278,0)</f>
        <v>0</v>
      </c>
      <c r="O278">
        <f>IF(AND($C278 = Temp!$K$1, $B278 = Temp!$A$16),$D278,0)</f>
        <v>0</v>
      </c>
    </row>
    <row r="279" spans="2:15" hidden="1" x14ac:dyDescent="0.2">
      <c r="B279" t="s">
        <v>60</v>
      </c>
      <c r="C279" t="s">
        <v>15</v>
      </c>
      <c r="D279">
        <v>0.5</v>
      </c>
      <c r="F279">
        <f>IF(AND($C279 = Temp!$B$1, $B279 = Temp!$A$16),$D279,0)</f>
        <v>0</v>
      </c>
      <c r="G279">
        <f>IF(AND($C279 = Temp!$C$1, $B279 = Temp!$A$16),$D279,0)</f>
        <v>0</v>
      </c>
      <c r="H279">
        <f>IF(AND($C279 = Temp!$D$1, $B279 = Temp!$A$16),$D279,0)</f>
        <v>0</v>
      </c>
      <c r="I279">
        <f>IF(AND($C279 = Temp!$E$1, $B279 = Temp!$A$16),$D279,0)</f>
        <v>0</v>
      </c>
      <c r="J279">
        <f>IF(AND($C279 = Temp!$F$1, $B279 = Temp!$A$16),$D279,0)</f>
        <v>0</v>
      </c>
      <c r="K279">
        <f>IF(AND($C279 = Temp!$G$1, $B279 = Temp!$A$16),$D279,0)</f>
        <v>0</v>
      </c>
      <c r="L279">
        <f>IF(AND($C279 = Temp!$H$1, $B279 = Temp!$A$16),$D279,0)</f>
        <v>0</v>
      </c>
      <c r="M279">
        <f>IF(AND($C279 = Temp!$I$1, $B279 = Temp!$A$16),$D279,0)</f>
        <v>0</v>
      </c>
      <c r="N279">
        <f>IF(AND($C279 = Temp!$J$1, $B279 = Temp!$A$16),$D279,0)</f>
        <v>0</v>
      </c>
      <c r="O279">
        <f>IF(AND($C279 = Temp!$K$1, $B279 = Temp!$A$16),$D279,0)</f>
        <v>0</v>
      </c>
    </row>
    <row r="280" spans="2:15" hidden="1" x14ac:dyDescent="0.2">
      <c r="B280" t="s">
        <v>60</v>
      </c>
      <c r="C280" t="s">
        <v>15</v>
      </c>
      <c r="D280">
        <v>1</v>
      </c>
      <c r="F280">
        <f>IF(AND($C280 = Temp!$B$1, $B280 = Temp!$A$16),$D280,0)</f>
        <v>0</v>
      </c>
      <c r="G280">
        <f>IF(AND($C280 = Temp!$C$1, $B280 = Temp!$A$16),$D280,0)</f>
        <v>0</v>
      </c>
      <c r="H280">
        <f>IF(AND($C280 = Temp!$D$1, $B280 = Temp!$A$16),$D280,0)</f>
        <v>0</v>
      </c>
      <c r="I280">
        <f>IF(AND($C280 = Temp!$E$1, $B280 = Temp!$A$16),$D280,0)</f>
        <v>0</v>
      </c>
      <c r="J280">
        <f>IF(AND($C280 = Temp!$F$1, $B280 = Temp!$A$16),$D280,0)</f>
        <v>0</v>
      </c>
      <c r="K280">
        <f>IF(AND($C280 = Temp!$G$1, $B280 = Temp!$A$16),$D280,0)</f>
        <v>0</v>
      </c>
      <c r="L280">
        <f>IF(AND($C280 = Temp!$H$1, $B280 = Temp!$A$16),$D280,0)</f>
        <v>0</v>
      </c>
      <c r="M280">
        <f>IF(AND($C280 = Temp!$I$1, $B280 = Temp!$A$16),$D280,0)</f>
        <v>0</v>
      </c>
      <c r="N280">
        <f>IF(AND($C280 = Temp!$J$1, $B280 = Temp!$A$16),$D280,0)</f>
        <v>0</v>
      </c>
      <c r="O280">
        <f>IF(AND($C280 = Temp!$K$1, $B280 = Temp!$A$16),$D280,0)</f>
        <v>0</v>
      </c>
    </row>
    <row r="281" spans="2:15" hidden="1" x14ac:dyDescent="0.2">
      <c r="B281" t="s">
        <v>60</v>
      </c>
      <c r="C281" t="s">
        <v>15</v>
      </c>
      <c r="D281">
        <v>1</v>
      </c>
      <c r="F281">
        <f>IF(AND($C281 = Temp!$B$1, $B281 = Temp!$A$16),$D281,0)</f>
        <v>0</v>
      </c>
      <c r="G281">
        <f>IF(AND($C281 = Temp!$C$1, $B281 = Temp!$A$16),$D281,0)</f>
        <v>0</v>
      </c>
      <c r="H281">
        <f>IF(AND($C281 = Temp!$D$1, $B281 = Temp!$A$16),$D281,0)</f>
        <v>0</v>
      </c>
      <c r="I281">
        <f>IF(AND($C281 = Temp!$E$1, $B281 = Temp!$A$16),$D281,0)</f>
        <v>0</v>
      </c>
      <c r="J281">
        <f>IF(AND($C281 = Temp!$F$1, $B281 = Temp!$A$16),$D281,0)</f>
        <v>0</v>
      </c>
      <c r="K281">
        <f>IF(AND($C281 = Temp!$G$1, $B281 = Temp!$A$16),$D281,0)</f>
        <v>0</v>
      </c>
      <c r="L281">
        <f>IF(AND($C281 = Temp!$H$1, $B281 = Temp!$A$16),$D281,0)</f>
        <v>0</v>
      </c>
      <c r="M281">
        <f>IF(AND($C281 = Temp!$I$1, $B281 = Temp!$A$16),$D281,0)</f>
        <v>0</v>
      </c>
      <c r="N281">
        <f>IF(AND($C281 = Temp!$J$1, $B281 = Temp!$A$16),$D281,0)</f>
        <v>0</v>
      </c>
      <c r="O281">
        <f>IF(AND($C281 = Temp!$K$1, $B281 = Temp!$A$16),$D281,0)</f>
        <v>0</v>
      </c>
    </row>
    <row r="282" spans="2:15" hidden="1" x14ac:dyDescent="0.2">
      <c r="B282" t="s">
        <v>60</v>
      </c>
      <c r="C282" t="s">
        <v>15</v>
      </c>
      <c r="D282">
        <v>1</v>
      </c>
      <c r="F282">
        <f>IF(AND($C282 = Temp!$B$1, $B282 = Temp!$A$16),$D282,0)</f>
        <v>0</v>
      </c>
      <c r="G282">
        <f>IF(AND($C282 = Temp!$C$1, $B282 = Temp!$A$16),$D282,0)</f>
        <v>0</v>
      </c>
      <c r="H282">
        <f>IF(AND($C282 = Temp!$D$1, $B282 = Temp!$A$16),$D282,0)</f>
        <v>0</v>
      </c>
      <c r="I282">
        <f>IF(AND($C282 = Temp!$E$1, $B282 = Temp!$A$16),$D282,0)</f>
        <v>0</v>
      </c>
      <c r="J282">
        <f>IF(AND($C282 = Temp!$F$1, $B282 = Temp!$A$16),$D282,0)</f>
        <v>0</v>
      </c>
      <c r="K282">
        <f>IF(AND($C282 = Temp!$G$1, $B282 = Temp!$A$16),$D282,0)</f>
        <v>0</v>
      </c>
      <c r="L282">
        <f>IF(AND($C282 = Temp!$H$1, $B282 = Temp!$A$16),$D282,0)</f>
        <v>0</v>
      </c>
      <c r="M282">
        <f>IF(AND($C282 = Temp!$I$1, $B282 = Temp!$A$16),$D282,0)</f>
        <v>0</v>
      </c>
      <c r="N282">
        <f>IF(AND($C282 = Temp!$J$1, $B282 = Temp!$A$16),$D282,0)</f>
        <v>0</v>
      </c>
      <c r="O282">
        <f>IF(AND($C282 = Temp!$K$1, $B282 = Temp!$A$16),$D282,0)</f>
        <v>0</v>
      </c>
    </row>
    <row r="283" spans="2:15" hidden="1" x14ac:dyDescent="0.2">
      <c r="B283" t="s">
        <v>60</v>
      </c>
      <c r="C283" t="s">
        <v>15</v>
      </c>
      <c r="D283">
        <v>1</v>
      </c>
      <c r="F283">
        <f>IF(AND($C283 = Temp!$B$1, $B283 = Temp!$A$16),$D283,0)</f>
        <v>0</v>
      </c>
      <c r="G283">
        <f>IF(AND($C283 = Temp!$C$1, $B283 = Temp!$A$16),$D283,0)</f>
        <v>0</v>
      </c>
      <c r="H283">
        <f>IF(AND($C283 = Temp!$D$1, $B283 = Temp!$A$16),$D283,0)</f>
        <v>0</v>
      </c>
      <c r="I283">
        <f>IF(AND($C283 = Temp!$E$1, $B283 = Temp!$A$16),$D283,0)</f>
        <v>0</v>
      </c>
      <c r="J283">
        <f>IF(AND($C283 = Temp!$F$1, $B283 = Temp!$A$16),$D283,0)</f>
        <v>0</v>
      </c>
      <c r="K283">
        <f>IF(AND($C283 = Temp!$G$1, $B283 = Temp!$A$16),$D283,0)</f>
        <v>0</v>
      </c>
      <c r="L283">
        <f>IF(AND($C283 = Temp!$H$1, $B283 = Temp!$A$16),$D283,0)</f>
        <v>0</v>
      </c>
      <c r="M283">
        <f>IF(AND($C283 = Temp!$I$1, $B283 = Temp!$A$16),$D283,0)</f>
        <v>0</v>
      </c>
      <c r="N283">
        <f>IF(AND($C283 = Temp!$J$1, $B283 = Temp!$A$16),$D283,0)</f>
        <v>0</v>
      </c>
      <c r="O283">
        <f>IF(AND($C283 = Temp!$K$1, $B283 = Temp!$A$16),$D283,0)</f>
        <v>0</v>
      </c>
    </row>
    <row r="284" spans="2:15" hidden="1" x14ac:dyDescent="0.2">
      <c r="B284" t="s">
        <v>60</v>
      </c>
      <c r="C284" t="s">
        <v>15</v>
      </c>
      <c r="D284">
        <v>1</v>
      </c>
      <c r="F284">
        <f>IF(AND($C284 = Temp!$B$1, $B284 = Temp!$A$16),$D284,0)</f>
        <v>0</v>
      </c>
      <c r="G284">
        <f>IF(AND($C284 = Temp!$C$1, $B284 = Temp!$A$16),$D284,0)</f>
        <v>0</v>
      </c>
      <c r="H284">
        <f>IF(AND($C284 = Temp!$D$1, $B284 = Temp!$A$16),$D284,0)</f>
        <v>0</v>
      </c>
      <c r="I284">
        <f>IF(AND($C284 = Temp!$E$1, $B284 = Temp!$A$16),$D284,0)</f>
        <v>0</v>
      </c>
      <c r="J284">
        <f>IF(AND($C284 = Temp!$F$1, $B284 = Temp!$A$16),$D284,0)</f>
        <v>0</v>
      </c>
      <c r="K284">
        <f>IF(AND($C284 = Temp!$G$1, $B284 = Temp!$A$16),$D284,0)</f>
        <v>0</v>
      </c>
      <c r="L284">
        <f>IF(AND($C284 = Temp!$H$1, $B284 = Temp!$A$16),$D284,0)</f>
        <v>0</v>
      </c>
      <c r="M284">
        <f>IF(AND($C284 = Temp!$I$1, $B284 = Temp!$A$16),$D284,0)</f>
        <v>0</v>
      </c>
      <c r="N284">
        <f>IF(AND($C284 = Temp!$J$1, $B284 = Temp!$A$16),$D284,0)</f>
        <v>0</v>
      </c>
      <c r="O284">
        <f>IF(AND($C284 = Temp!$K$1, $B284 = Temp!$A$16),$D284,0)</f>
        <v>0</v>
      </c>
    </row>
    <row r="285" spans="2:15" hidden="1" x14ac:dyDescent="0.2">
      <c r="B285" t="s">
        <v>60</v>
      </c>
      <c r="C285" t="s">
        <v>4</v>
      </c>
      <c r="D285">
        <v>1</v>
      </c>
      <c r="F285">
        <f>IF(AND($C285 = Temp!$B$1, $B285 = Temp!$A$16),$D285,0)</f>
        <v>0</v>
      </c>
      <c r="G285">
        <f>IF(AND($C285 = Temp!$C$1, $B285 = Temp!$A$16),$D285,0)</f>
        <v>0</v>
      </c>
      <c r="H285">
        <f>IF(AND($C285 = Temp!$D$1, $B285 = Temp!$A$16),$D285,0)</f>
        <v>0</v>
      </c>
      <c r="I285">
        <f>IF(AND($C285 = Temp!$E$1, $B285 = Temp!$A$16),$D285,0)</f>
        <v>0</v>
      </c>
      <c r="J285">
        <f>IF(AND($C285 = Temp!$F$1, $B285 = Temp!$A$16),$D285,0)</f>
        <v>0</v>
      </c>
      <c r="K285">
        <f>IF(AND($C285 = Temp!$G$1, $B285 = Temp!$A$16),$D285,0)</f>
        <v>0</v>
      </c>
      <c r="L285">
        <f>IF(AND($C285 = Temp!$H$1, $B285 = Temp!$A$16),$D285,0)</f>
        <v>0</v>
      </c>
      <c r="M285">
        <f>IF(AND($C285 = Temp!$I$1, $B285 = Temp!$A$16),$D285,0)</f>
        <v>0</v>
      </c>
      <c r="N285">
        <f>IF(AND($C285 = Temp!$J$1, $B285 = Temp!$A$16),$D285,0)</f>
        <v>0</v>
      </c>
      <c r="O285">
        <f>IF(AND($C285 = Temp!$K$1, $B285 = Temp!$A$16),$D285,0)</f>
        <v>0</v>
      </c>
    </row>
    <row r="286" spans="2:15" hidden="1" x14ac:dyDescent="0.2">
      <c r="B286" t="s">
        <v>60</v>
      </c>
      <c r="C286" t="s">
        <v>4</v>
      </c>
      <c r="D286">
        <v>1</v>
      </c>
      <c r="F286">
        <f>IF(AND($C286 = Temp!$B$1, $B286 = Temp!$A$16),$D286,0)</f>
        <v>0</v>
      </c>
      <c r="G286">
        <f>IF(AND($C286 = Temp!$C$1, $B286 = Temp!$A$16),$D286,0)</f>
        <v>0</v>
      </c>
      <c r="H286">
        <f>IF(AND($C286 = Temp!$D$1, $B286 = Temp!$A$16),$D286,0)</f>
        <v>0</v>
      </c>
      <c r="I286">
        <f>IF(AND($C286 = Temp!$E$1, $B286 = Temp!$A$16),$D286,0)</f>
        <v>0</v>
      </c>
      <c r="J286">
        <f>IF(AND($C286 = Temp!$F$1, $B286 = Temp!$A$16),$D286,0)</f>
        <v>0</v>
      </c>
      <c r="K286">
        <f>IF(AND($C286 = Temp!$G$1, $B286 = Temp!$A$16),$D286,0)</f>
        <v>0</v>
      </c>
      <c r="L286">
        <f>IF(AND($C286 = Temp!$H$1, $B286 = Temp!$A$16),$D286,0)</f>
        <v>0</v>
      </c>
      <c r="M286">
        <f>IF(AND($C286 = Temp!$I$1, $B286 = Temp!$A$16),$D286,0)</f>
        <v>0</v>
      </c>
      <c r="N286">
        <f>IF(AND($C286 = Temp!$J$1, $B286 = Temp!$A$16),$D286,0)</f>
        <v>0</v>
      </c>
      <c r="O286">
        <f>IF(AND($C286 = Temp!$K$1, $B286 = Temp!$A$16),$D286,0)</f>
        <v>0</v>
      </c>
    </row>
    <row r="287" spans="2:15" hidden="1" x14ac:dyDescent="0.2">
      <c r="B287" t="s">
        <v>60</v>
      </c>
      <c r="C287" t="s">
        <v>4</v>
      </c>
      <c r="D287">
        <v>1</v>
      </c>
      <c r="F287">
        <f>IF(AND($C287 = Temp!$B$1, $B287 = Temp!$A$16),$D287,0)</f>
        <v>0</v>
      </c>
      <c r="G287">
        <f>IF(AND($C287 = Temp!$C$1, $B287 = Temp!$A$16),$D287,0)</f>
        <v>0</v>
      </c>
      <c r="H287">
        <f>IF(AND($C287 = Temp!$D$1, $B287 = Temp!$A$16),$D287,0)</f>
        <v>0</v>
      </c>
      <c r="I287">
        <f>IF(AND($C287 = Temp!$E$1, $B287 = Temp!$A$16),$D287,0)</f>
        <v>0</v>
      </c>
      <c r="J287">
        <f>IF(AND($C287 = Temp!$F$1, $B287 = Temp!$A$16),$D287,0)</f>
        <v>0</v>
      </c>
      <c r="K287">
        <f>IF(AND($C287 = Temp!$G$1, $B287 = Temp!$A$16),$D287,0)</f>
        <v>0</v>
      </c>
      <c r="L287">
        <f>IF(AND($C287 = Temp!$H$1, $B287 = Temp!$A$16),$D287,0)</f>
        <v>0</v>
      </c>
      <c r="M287">
        <f>IF(AND($C287 = Temp!$I$1, $B287 = Temp!$A$16),$D287,0)</f>
        <v>0</v>
      </c>
      <c r="N287">
        <f>IF(AND($C287 = Temp!$J$1, $B287 = Temp!$A$16),$D287,0)</f>
        <v>0</v>
      </c>
      <c r="O287">
        <f>IF(AND($C287 = Temp!$K$1, $B287 = Temp!$A$16),$D287,0)</f>
        <v>0</v>
      </c>
    </row>
    <row r="288" spans="2:15" hidden="1" x14ac:dyDescent="0.2">
      <c r="B288" t="s">
        <v>60</v>
      </c>
      <c r="C288" t="s">
        <v>4</v>
      </c>
      <c r="D288">
        <v>1</v>
      </c>
      <c r="F288">
        <f>IF(AND($C288 = Temp!$B$1, $B288 = Temp!$A$16),$D288,0)</f>
        <v>0</v>
      </c>
      <c r="G288">
        <f>IF(AND($C288 = Temp!$C$1, $B288 = Temp!$A$16),$D288,0)</f>
        <v>0</v>
      </c>
      <c r="H288">
        <f>IF(AND($C288 = Temp!$D$1, $B288 = Temp!$A$16),$D288,0)</f>
        <v>0</v>
      </c>
      <c r="I288">
        <f>IF(AND($C288 = Temp!$E$1, $B288 = Temp!$A$16),$D288,0)</f>
        <v>0</v>
      </c>
      <c r="J288">
        <f>IF(AND($C288 = Temp!$F$1, $B288 = Temp!$A$16),$D288,0)</f>
        <v>0</v>
      </c>
      <c r="K288">
        <f>IF(AND($C288 = Temp!$G$1, $B288 = Temp!$A$16),$D288,0)</f>
        <v>0</v>
      </c>
      <c r="L288">
        <f>IF(AND($C288 = Temp!$H$1, $B288 = Temp!$A$16),$D288,0)</f>
        <v>0</v>
      </c>
      <c r="M288">
        <f>IF(AND($C288 = Temp!$I$1, $B288 = Temp!$A$16),$D288,0)</f>
        <v>0</v>
      </c>
      <c r="N288">
        <f>IF(AND($C288 = Temp!$J$1, $B288 = Temp!$A$16),$D288,0)</f>
        <v>0</v>
      </c>
      <c r="O288">
        <f>IF(AND($C288 = Temp!$K$1, $B288 = Temp!$A$16),$D288,0)</f>
        <v>0</v>
      </c>
    </row>
    <row r="289" spans="2:15" hidden="1" x14ac:dyDescent="0.2">
      <c r="B289" t="s">
        <v>60</v>
      </c>
      <c r="C289" t="s">
        <v>4</v>
      </c>
      <c r="D289">
        <v>1</v>
      </c>
      <c r="F289">
        <f>IF(AND($C289 = Temp!$B$1, $B289 = Temp!$A$16),$D289,0)</f>
        <v>0</v>
      </c>
      <c r="G289">
        <f>IF(AND($C289 = Temp!$C$1, $B289 = Temp!$A$16),$D289,0)</f>
        <v>0</v>
      </c>
      <c r="H289">
        <f>IF(AND($C289 = Temp!$D$1, $B289 = Temp!$A$16),$D289,0)</f>
        <v>0</v>
      </c>
      <c r="I289">
        <f>IF(AND($C289 = Temp!$E$1, $B289 = Temp!$A$16),$D289,0)</f>
        <v>0</v>
      </c>
      <c r="J289">
        <f>IF(AND($C289 = Temp!$F$1, $B289 = Temp!$A$16),$D289,0)</f>
        <v>0</v>
      </c>
      <c r="K289">
        <f>IF(AND($C289 = Temp!$G$1, $B289 = Temp!$A$16),$D289,0)</f>
        <v>0</v>
      </c>
      <c r="L289">
        <f>IF(AND($C289 = Temp!$H$1, $B289 = Temp!$A$16),$D289,0)</f>
        <v>0</v>
      </c>
      <c r="M289">
        <f>IF(AND($C289 = Temp!$I$1, $B289 = Temp!$A$16),$D289,0)</f>
        <v>0</v>
      </c>
      <c r="N289">
        <f>IF(AND($C289 = Temp!$J$1, $B289 = Temp!$A$16),$D289,0)</f>
        <v>0</v>
      </c>
      <c r="O289">
        <f>IF(AND($C289 = Temp!$K$1, $B289 = Temp!$A$16),$D289,0)</f>
        <v>0</v>
      </c>
    </row>
    <row r="290" spans="2:15" hidden="1" x14ac:dyDescent="0.2">
      <c r="B290" t="s">
        <v>60</v>
      </c>
      <c r="C290" t="s">
        <v>4</v>
      </c>
      <c r="D290">
        <v>0</v>
      </c>
      <c r="F290">
        <f>IF(AND($C290 = Temp!$B$1, $B290 = Temp!$A$16),$D290,0)</f>
        <v>0</v>
      </c>
      <c r="G290">
        <f>IF(AND($C290 = Temp!$C$1, $B290 = Temp!$A$16),$D290,0)</f>
        <v>0</v>
      </c>
      <c r="H290">
        <f>IF(AND($C290 = Temp!$D$1, $B290 = Temp!$A$16),$D290,0)</f>
        <v>0</v>
      </c>
      <c r="I290">
        <f>IF(AND($C290 = Temp!$E$1, $B290 = Temp!$A$16),$D290,0)</f>
        <v>0</v>
      </c>
      <c r="J290">
        <f>IF(AND($C290 = Temp!$F$1, $B290 = Temp!$A$16),$D290,0)</f>
        <v>0</v>
      </c>
      <c r="K290">
        <f>IF(AND($C290 = Temp!$G$1, $B290 = Temp!$A$16),$D290,0)</f>
        <v>0</v>
      </c>
      <c r="L290">
        <f>IF(AND($C290 = Temp!$H$1, $B290 = Temp!$A$16),$D290,0)</f>
        <v>0</v>
      </c>
      <c r="M290">
        <f>IF(AND($C290 = Temp!$I$1, $B290 = Temp!$A$16),$D290,0)</f>
        <v>0</v>
      </c>
      <c r="N290">
        <f>IF(AND($C290 = Temp!$J$1, $B290 = Temp!$A$16),$D290,0)</f>
        <v>0</v>
      </c>
      <c r="O290">
        <f>IF(AND($C290 = Temp!$K$1, $B290 = Temp!$A$16),$D290,0)</f>
        <v>0</v>
      </c>
    </row>
    <row r="291" spans="2:15" hidden="1" x14ac:dyDescent="0.2">
      <c r="B291" t="s">
        <v>353</v>
      </c>
      <c r="C291" t="s">
        <v>261</v>
      </c>
      <c r="D291">
        <v>1</v>
      </c>
      <c r="F291">
        <f>IF(AND($C291 = Temp!$B$1, $B291 = Temp!$A$16),$D291,0)</f>
        <v>0</v>
      </c>
      <c r="G291">
        <f>IF(AND($C291 = Temp!$C$1, $B291 = Temp!$A$16),$D291,0)</f>
        <v>0</v>
      </c>
      <c r="H291">
        <f>IF(AND($C291 = Temp!$D$1, $B291 = Temp!$A$16),$D291,0)</f>
        <v>0</v>
      </c>
      <c r="I291">
        <f>IF(AND($C291 = Temp!$E$1, $B291 = Temp!$A$16),$D291,0)</f>
        <v>0</v>
      </c>
      <c r="J291">
        <f>IF(AND($C291 = Temp!$F$1, $B291 = Temp!$A$16),$D291,0)</f>
        <v>0</v>
      </c>
      <c r="K291">
        <f>IF(AND($C291 = Temp!$G$1, $B291 = Temp!$A$16),$D291,0)</f>
        <v>0</v>
      </c>
      <c r="L291">
        <f>IF(AND($C291 = Temp!$H$1, $B291 = Temp!$A$16),$D291,0)</f>
        <v>0</v>
      </c>
      <c r="M291">
        <f>IF(AND($C291 = Temp!$I$1, $B291 = Temp!$A$16),$D291,0)</f>
        <v>0</v>
      </c>
      <c r="N291">
        <f>IF(AND($C291 = Temp!$J$1, $B291 = Temp!$A$16),$D291,0)</f>
        <v>0</v>
      </c>
      <c r="O291">
        <f>IF(AND($C291 = Temp!$K$1, $B291 = Temp!$A$16),$D291,0)</f>
        <v>0</v>
      </c>
    </row>
    <row r="292" spans="2:15" hidden="1" x14ac:dyDescent="0.2">
      <c r="B292" t="s">
        <v>353</v>
      </c>
      <c r="C292" t="s">
        <v>261</v>
      </c>
      <c r="D292">
        <v>0.2</v>
      </c>
      <c r="F292">
        <f>IF(AND($C292 = Temp!$B$1, $B292 = Temp!$A$16),$D292,0)</f>
        <v>0</v>
      </c>
      <c r="G292">
        <f>IF(AND($C292 = Temp!$C$1, $B292 = Temp!$A$16),$D292,0)</f>
        <v>0</v>
      </c>
      <c r="H292">
        <f>IF(AND($C292 = Temp!$D$1, $B292 = Temp!$A$16),$D292,0)</f>
        <v>0</v>
      </c>
      <c r="I292">
        <f>IF(AND($C292 = Temp!$E$1, $B292 = Temp!$A$16),$D292,0)</f>
        <v>0</v>
      </c>
      <c r="J292">
        <f>IF(AND($C292 = Temp!$F$1, $B292 = Temp!$A$16),$D292,0)</f>
        <v>0</v>
      </c>
      <c r="K292">
        <f>IF(AND($C292 = Temp!$G$1, $B292 = Temp!$A$16),$D292,0)</f>
        <v>0</v>
      </c>
      <c r="L292">
        <f>IF(AND($C292 = Temp!$H$1, $B292 = Temp!$A$16),$D292,0)</f>
        <v>0</v>
      </c>
      <c r="M292">
        <f>IF(AND($C292 = Temp!$I$1, $B292 = Temp!$A$16),$D292,0)</f>
        <v>0</v>
      </c>
      <c r="N292">
        <f>IF(AND($C292 = Temp!$J$1, $B292 = Temp!$A$16),$D292,0)</f>
        <v>0</v>
      </c>
      <c r="O292">
        <f>IF(AND($C292 = Temp!$K$1, $B292 = Temp!$A$16),$D292,0)</f>
        <v>0</v>
      </c>
    </row>
    <row r="293" spans="2:15" hidden="1" x14ac:dyDescent="0.2">
      <c r="B293" t="s">
        <v>353</v>
      </c>
      <c r="C293" t="s">
        <v>261</v>
      </c>
      <c r="D293">
        <v>0.2</v>
      </c>
      <c r="F293">
        <f>IF(AND($C293 = Temp!$B$1, $B293 = Temp!$A$16),$D293,0)</f>
        <v>0</v>
      </c>
      <c r="G293">
        <f>IF(AND($C293 = Temp!$C$1, $B293 = Temp!$A$16),$D293,0)</f>
        <v>0</v>
      </c>
      <c r="H293">
        <f>IF(AND($C293 = Temp!$D$1, $B293 = Temp!$A$16),$D293,0)</f>
        <v>0</v>
      </c>
      <c r="I293">
        <f>IF(AND($C293 = Temp!$E$1, $B293 = Temp!$A$16),$D293,0)</f>
        <v>0</v>
      </c>
      <c r="J293">
        <f>IF(AND($C293 = Temp!$F$1, $B293 = Temp!$A$16),$D293,0)</f>
        <v>0</v>
      </c>
      <c r="K293">
        <f>IF(AND($C293 = Temp!$G$1, $B293 = Temp!$A$16),$D293,0)</f>
        <v>0</v>
      </c>
      <c r="L293">
        <f>IF(AND($C293 = Temp!$H$1, $B293 = Temp!$A$16),$D293,0)</f>
        <v>0</v>
      </c>
      <c r="M293">
        <f>IF(AND($C293 = Temp!$I$1, $B293 = Temp!$A$16),$D293,0)</f>
        <v>0</v>
      </c>
      <c r="N293">
        <f>IF(AND($C293 = Temp!$J$1, $B293 = Temp!$A$16),$D293,0)</f>
        <v>0</v>
      </c>
      <c r="O293">
        <f>IF(AND($C293 = Temp!$K$1, $B293 = Temp!$A$16),$D293,0)</f>
        <v>0</v>
      </c>
    </row>
    <row r="294" spans="2:15" hidden="1" x14ac:dyDescent="0.2">
      <c r="B294" t="s">
        <v>353</v>
      </c>
      <c r="C294" t="s">
        <v>261</v>
      </c>
      <c r="D294">
        <v>1</v>
      </c>
      <c r="F294">
        <f>IF(AND($C294 = Temp!$B$1, $B294 = Temp!$A$16),$D294,0)</f>
        <v>0</v>
      </c>
      <c r="G294">
        <f>IF(AND($C294 = Temp!$C$1, $B294 = Temp!$A$16),$D294,0)</f>
        <v>0</v>
      </c>
      <c r="H294">
        <f>IF(AND($C294 = Temp!$D$1, $B294 = Temp!$A$16),$D294,0)</f>
        <v>0</v>
      </c>
      <c r="I294">
        <f>IF(AND($C294 = Temp!$E$1, $B294 = Temp!$A$16),$D294,0)</f>
        <v>0</v>
      </c>
      <c r="J294">
        <f>IF(AND($C294 = Temp!$F$1, $B294 = Temp!$A$16),$D294,0)</f>
        <v>0</v>
      </c>
      <c r="K294">
        <f>IF(AND($C294 = Temp!$G$1, $B294 = Temp!$A$16),$D294,0)</f>
        <v>0</v>
      </c>
      <c r="L294">
        <f>IF(AND($C294 = Temp!$H$1, $B294 = Temp!$A$16),$D294,0)</f>
        <v>0</v>
      </c>
      <c r="M294">
        <f>IF(AND($C294 = Temp!$I$1, $B294 = Temp!$A$16),$D294,0)</f>
        <v>0</v>
      </c>
      <c r="N294">
        <f>IF(AND($C294 = Temp!$J$1, $B294 = Temp!$A$16),$D294,0)</f>
        <v>0</v>
      </c>
      <c r="O294">
        <f>IF(AND($C294 = Temp!$K$1, $B294 = Temp!$A$16),$D294,0)</f>
        <v>0</v>
      </c>
    </row>
    <row r="295" spans="2:15" hidden="1" x14ac:dyDescent="0.2">
      <c r="B295" t="s">
        <v>353</v>
      </c>
      <c r="C295" t="s">
        <v>279</v>
      </c>
      <c r="D295">
        <v>1</v>
      </c>
      <c r="F295">
        <f>IF(AND($C295 = Temp!$B$1, $B295 = Temp!$A$16),$D295,0)</f>
        <v>0</v>
      </c>
      <c r="G295">
        <f>IF(AND($C295 = Temp!$C$1, $B295 = Temp!$A$16),$D295,0)</f>
        <v>0</v>
      </c>
      <c r="H295">
        <f>IF(AND($C295 = Temp!$D$1, $B295 = Temp!$A$16),$D295,0)</f>
        <v>0</v>
      </c>
      <c r="I295">
        <f>IF(AND($C295 = Temp!$E$1, $B295 = Temp!$A$16),$D295,0)</f>
        <v>0</v>
      </c>
      <c r="J295">
        <f>IF(AND($C295 = Temp!$F$1, $B295 = Temp!$A$16),$D295,0)</f>
        <v>0</v>
      </c>
      <c r="K295">
        <f>IF(AND($C295 = Temp!$G$1, $B295 = Temp!$A$16),$D295,0)</f>
        <v>0</v>
      </c>
      <c r="L295">
        <f>IF(AND($C295 = Temp!$H$1, $B295 = Temp!$A$16),$D295,0)</f>
        <v>0</v>
      </c>
      <c r="M295">
        <f>IF(AND($C295 = Temp!$I$1, $B295 = Temp!$A$16),$D295,0)</f>
        <v>0</v>
      </c>
      <c r="N295">
        <f>IF(AND($C295 = Temp!$J$1, $B295 = Temp!$A$16),$D295,0)</f>
        <v>0</v>
      </c>
      <c r="O295">
        <f>IF(AND($C295 = Temp!$K$1, $B295 = Temp!$A$16),$D295,0)</f>
        <v>0</v>
      </c>
    </row>
    <row r="296" spans="2:15" hidden="1" x14ac:dyDescent="0.2">
      <c r="B296" t="s">
        <v>353</v>
      </c>
      <c r="C296" t="s">
        <v>279</v>
      </c>
      <c r="D296">
        <v>0.5</v>
      </c>
      <c r="F296">
        <f>IF(AND($C296 = Temp!$B$1, $B296 = Temp!$A$16),$D296,0)</f>
        <v>0</v>
      </c>
      <c r="G296">
        <f>IF(AND($C296 = Temp!$C$1, $B296 = Temp!$A$16),$D296,0)</f>
        <v>0</v>
      </c>
      <c r="H296">
        <f>IF(AND($C296 = Temp!$D$1, $B296 = Temp!$A$16),$D296,0)</f>
        <v>0</v>
      </c>
      <c r="I296">
        <f>IF(AND($C296 = Temp!$E$1, $B296 = Temp!$A$16),$D296,0)</f>
        <v>0</v>
      </c>
      <c r="J296">
        <f>IF(AND($C296 = Temp!$F$1, $B296 = Temp!$A$16),$D296,0)</f>
        <v>0</v>
      </c>
      <c r="K296">
        <f>IF(AND($C296 = Temp!$G$1, $B296 = Temp!$A$16),$D296,0)</f>
        <v>0</v>
      </c>
      <c r="L296">
        <f>IF(AND($C296 = Temp!$H$1, $B296 = Temp!$A$16),$D296,0)</f>
        <v>0</v>
      </c>
      <c r="M296">
        <f>IF(AND($C296 = Temp!$I$1, $B296 = Temp!$A$16),$D296,0)</f>
        <v>0</v>
      </c>
      <c r="N296">
        <f>IF(AND($C296 = Temp!$J$1, $B296 = Temp!$A$16),$D296,0)</f>
        <v>0</v>
      </c>
      <c r="O296">
        <f>IF(AND($C296 = Temp!$K$1, $B296 = Temp!$A$16),$D296,0)</f>
        <v>0</v>
      </c>
    </row>
    <row r="297" spans="2:15" hidden="1" x14ac:dyDescent="0.2">
      <c r="B297" t="s">
        <v>353</v>
      </c>
      <c r="C297" t="s">
        <v>279</v>
      </c>
      <c r="D297">
        <v>2</v>
      </c>
      <c r="F297">
        <f>IF(AND($C297 = Temp!$B$1, $B297 = Temp!$A$16),$D297,0)</f>
        <v>0</v>
      </c>
      <c r="G297">
        <f>IF(AND($C297 = Temp!$C$1, $B297 = Temp!$A$16),$D297,0)</f>
        <v>0</v>
      </c>
      <c r="H297">
        <f>IF(AND($C297 = Temp!$D$1, $B297 = Temp!$A$16),$D297,0)</f>
        <v>0</v>
      </c>
      <c r="I297">
        <f>IF(AND($C297 = Temp!$E$1, $B297 = Temp!$A$16),$D297,0)</f>
        <v>0</v>
      </c>
      <c r="J297">
        <f>IF(AND($C297 = Temp!$F$1, $B297 = Temp!$A$16),$D297,0)</f>
        <v>0</v>
      </c>
      <c r="K297">
        <f>IF(AND($C297 = Temp!$G$1, $B297 = Temp!$A$16),$D297,0)</f>
        <v>0</v>
      </c>
      <c r="L297">
        <f>IF(AND($C297 = Temp!$H$1, $B297 = Temp!$A$16),$D297,0)</f>
        <v>0</v>
      </c>
      <c r="M297">
        <f>IF(AND($C297 = Temp!$I$1, $B297 = Temp!$A$16),$D297,0)</f>
        <v>0</v>
      </c>
      <c r="N297">
        <f>IF(AND($C297 = Temp!$J$1, $B297 = Temp!$A$16),$D297,0)</f>
        <v>0</v>
      </c>
      <c r="O297">
        <f>IF(AND($C297 = Temp!$K$1, $B297 = Temp!$A$16),$D297,0)</f>
        <v>0</v>
      </c>
    </row>
    <row r="298" spans="2:15" hidden="1" x14ac:dyDescent="0.2">
      <c r="B298" t="s">
        <v>353</v>
      </c>
      <c r="C298" t="s">
        <v>279</v>
      </c>
      <c r="D298">
        <v>0.5</v>
      </c>
      <c r="F298">
        <f>IF(AND($C298 = Temp!$B$1, $B298 = Temp!$A$16),$D298,0)</f>
        <v>0</v>
      </c>
      <c r="G298">
        <f>IF(AND($C298 = Temp!$C$1, $B298 = Temp!$A$16),$D298,0)</f>
        <v>0</v>
      </c>
      <c r="H298">
        <f>IF(AND($C298 = Temp!$D$1, $B298 = Temp!$A$16),$D298,0)</f>
        <v>0</v>
      </c>
      <c r="I298">
        <f>IF(AND($C298 = Temp!$E$1, $B298 = Temp!$A$16),$D298,0)</f>
        <v>0</v>
      </c>
      <c r="J298">
        <f>IF(AND($C298 = Temp!$F$1, $B298 = Temp!$A$16),$D298,0)</f>
        <v>0</v>
      </c>
      <c r="K298">
        <f>IF(AND($C298 = Temp!$G$1, $B298 = Temp!$A$16),$D298,0)</f>
        <v>0</v>
      </c>
      <c r="L298">
        <f>IF(AND($C298 = Temp!$H$1, $B298 = Temp!$A$16),$D298,0)</f>
        <v>0</v>
      </c>
      <c r="M298">
        <f>IF(AND($C298 = Temp!$I$1, $B298 = Temp!$A$16),$D298,0)</f>
        <v>0</v>
      </c>
      <c r="N298">
        <f>IF(AND($C298 = Temp!$J$1, $B298 = Temp!$A$16),$D298,0)</f>
        <v>0</v>
      </c>
      <c r="O298">
        <f>IF(AND($C298 = Temp!$K$1, $B298 = Temp!$A$16),$D298,0)</f>
        <v>0</v>
      </c>
    </row>
    <row r="299" spans="2:15" hidden="1" x14ac:dyDescent="0.2">
      <c r="B299" t="s">
        <v>353</v>
      </c>
      <c r="C299" t="s">
        <v>279</v>
      </c>
      <c r="D299">
        <v>1</v>
      </c>
      <c r="F299">
        <f>IF(AND($C299 = Temp!$B$1, $B299 = Temp!$A$16),$D299,0)</f>
        <v>0</v>
      </c>
      <c r="G299">
        <f>IF(AND($C299 = Temp!$C$1, $B299 = Temp!$A$16),$D299,0)</f>
        <v>0</v>
      </c>
      <c r="H299">
        <f>IF(AND($C299 = Temp!$D$1, $B299 = Temp!$A$16),$D299,0)</f>
        <v>0</v>
      </c>
      <c r="I299">
        <f>IF(AND($C299 = Temp!$E$1, $B299 = Temp!$A$16),$D299,0)</f>
        <v>0</v>
      </c>
      <c r="J299">
        <f>IF(AND($C299 = Temp!$F$1, $B299 = Temp!$A$16),$D299,0)</f>
        <v>0</v>
      </c>
      <c r="K299">
        <f>IF(AND($C299 = Temp!$G$1, $B299 = Temp!$A$16),$D299,0)</f>
        <v>0</v>
      </c>
      <c r="L299">
        <f>IF(AND($C299 = Temp!$H$1, $B299 = Temp!$A$16),$D299,0)</f>
        <v>0</v>
      </c>
      <c r="M299">
        <f>IF(AND($C299 = Temp!$I$1, $B299 = Temp!$A$16),$D299,0)</f>
        <v>0</v>
      </c>
      <c r="N299">
        <f>IF(AND($C299 = Temp!$J$1, $B299 = Temp!$A$16),$D299,0)</f>
        <v>0</v>
      </c>
      <c r="O299">
        <f>IF(AND($C299 = Temp!$K$1, $B299 = Temp!$A$16),$D299,0)</f>
        <v>0</v>
      </c>
    </row>
    <row r="300" spans="2:15" hidden="1" x14ac:dyDescent="0.2">
      <c r="B300" t="s">
        <v>353</v>
      </c>
      <c r="C300" t="s">
        <v>260</v>
      </c>
      <c r="D300">
        <v>0.5</v>
      </c>
      <c r="F300">
        <f>IF(AND($C300 = Temp!$B$1, $B300 = Temp!$A$16),$D300,0)</f>
        <v>0</v>
      </c>
      <c r="G300">
        <f>IF(AND($C300 = Temp!$C$1, $B300 = Temp!$A$16),$D300,0)</f>
        <v>0</v>
      </c>
      <c r="H300">
        <f>IF(AND($C300 = Temp!$D$1, $B300 = Temp!$A$16),$D300,0)</f>
        <v>0</v>
      </c>
      <c r="I300">
        <f>IF(AND($C300 = Temp!$E$1, $B300 = Temp!$A$16),$D300,0)</f>
        <v>0</v>
      </c>
      <c r="J300">
        <f>IF(AND($C300 = Temp!$F$1, $B300 = Temp!$A$16),$D300,0)</f>
        <v>0</v>
      </c>
      <c r="K300">
        <f>IF(AND($C300 = Temp!$G$1, $B300 = Temp!$A$16),$D300,0)</f>
        <v>0</v>
      </c>
      <c r="L300">
        <f>IF(AND($C300 = Temp!$H$1, $B300 = Temp!$A$16),$D300,0)</f>
        <v>0</v>
      </c>
      <c r="M300">
        <f>IF(AND($C300 = Temp!$I$1, $B300 = Temp!$A$16),$D300,0)</f>
        <v>0</v>
      </c>
      <c r="N300">
        <f>IF(AND($C300 = Temp!$J$1, $B300 = Temp!$A$16),$D300,0)</f>
        <v>0</v>
      </c>
      <c r="O300">
        <f>IF(AND($C300 = Temp!$K$1, $B300 = Temp!$A$16),$D300,0)</f>
        <v>0</v>
      </c>
    </row>
    <row r="301" spans="2:15" hidden="1" x14ac:dyDescent="0.2">
      <c r="B301" t="s">
        <v>353</v>
      </c>
      <c r="C301" t="s">
        <v>279</v>
      </c>
      <c r="D301">
        <v>2</v>
      </c>
      <c r="F301">
        <f>IF(AND($C301 = Temp!$B$1, $B301 = Temp!$A$16),$D301,0)</f>
        <v>0</v>
      </c>
      <c r="G301">
        <f>IF(AND($C301 = Temp!$C$1, $B301 = Temp!$A$16),$D301,0)</f>
        <v>0</v>
      </c>
      <c r="H301">
        <f>IF(AND($C301 = Temp!$D$1, $B301 = Temp!$A$16),$D301,0)</f>
        <v>0</v>
      </c>
      <c r="I301">
        <f>IF(AND($C301 = Temp!$E$1, $B301 = Temp!$A$16),$D301,0)</f>
        <v>0</v>
      </c>
      <c r="J301">
        <f>IF(AND($C301 = Temp!$F$1, $B301 = Temp!$A$16),$D301,0)</f>
        <v>0</v>
      </c>
      <c r="K301">
        <f>IF(AND($C301 = Temp!$G$1, $B301 = Temp!$A$16),$D301,0)</f>
        <v>0</v>
      </c>
      <c r="L301">
        <f>IF(AND($C301 = Temp!$H$1, $B301 = Temp!$A$16),$D301,0)</f>
        <v>0</v>
      </c>
      <c r="M301">
        <f>IF(AND($C301 = Temp!$I$1, $B301 = Temp!$A$16),$D301,0)</f>
        <v>0</v>
      </c>
      <c r="N301">
        <f>IF(AND($C301 = Temp!$J$1, $B301 = Temp!$A$16),$D301,0)</f>
        <v>0</v>
      </c>
      <c r="O301">
        <f>IF(AND($C301 = Temp!$K$1, $B301 = Temp!$A$16),$D301,0)</f>
        <v>0</v>
      </c>
    </row>
    <row r="302" spans="2:15" hidden="1" x14ac:dyDescent="0.2">
      <c r="B302" t="s">
        <v>353</v>
      </c>
      <c r="C302" t="s">
        <v>261</v>
      </c>
      <c r="D302">
        <v>0.5</v>
      </c>
      <c r="F302">
        <f>IF(AND($C302 = Temp!$B$1, $B302 = Temp!$A$16),$D302,0)</f>
        <v>0</v>
      </c>
      <c r="G302">
        <f>IF(AND($C302 = Temp!$C$1, $B302 = Temp!$A$16),$D302,0)</f>
        <v>0</v>
      </c>
      <c r="H302">
        <f>IF(AND($C302 = Temp!$D$1, $B302 = Temp!$A$16),$D302,0)</f>
        <v>0</v>
      </c>
      <c r="I302">
        <f>IF(AND($C302 = Temp!$E$1, $B302 = Temp!$A$16),$D302,0)</f>
        <v>0</v>
      </c>
      <c r="J302">
        <f>IF(AND($C302 = Temp!$F$1, $B302 = Temp!$A$16),$D302,0)</f>
        <v>0</v>
      </c>
      <c r="K302">
        <f>IF(AND($C302 = Temp!$G$1, $B302 = Temp!$A$16),$D302,0)</f>
        <v>0</v>
      </c>
      <c r="L302">
        <f>IF(AND($C302 = Temp!$H$1, $B302 = Temp!$A$16),$D302,0)</f>
        <v>0</v>
      </c>
      <c r="M302">
        <f>IF(AND($C302 = Temp!$I$1, $B302 = Temp!$A$16),$D302,0)</f>
        <v>0</v>
      </c>
      <c r="N302">
        <f>IF(AND($C302 = Temp!$J$1, $B302 = Temp!$A$16),$D302,0)</f>
        <v>0</v>
      </c>
      <c r="O302">
        <f>IF(AND($C302 = Temp!$K$1, $B302 = Temp!$A$16),$D302,0)</f>
        <v>0</v>
      </c>
    </row>
    <row r="303" spans="2:15" hidden="1" x14ac:dyDescent="0.2">
      <c r="B303" t="s">
        <v>353</v>
      </c>
      <c r="C303" t="s">
        <v>261</v>
      </c>
      <c r="D303">
        <v>0.1</v>
      </c>
      <c r="F303">
        <f>IF(AND($C303 = Temp!$B$1, $B303 = Temp!$A$16),$D303,0)</f>
        <v>0</v>
      </c>
      <c r="G303">
        <f>IF(AND($C303 = Temp!$C$1, $B303 = Temp!$A$16),$D303,0)</f>
        <v>0</v>
      </c>
      <c r="H303">
        <f>IF(AND($C303 = Temp!$D$1, $B303 = Temp!$A$16),$D303,0)</f>
        <v>0</v>
      </c>
      <c r="I303">
        <f>IF(AND($C303 = Temp!$E$1, $B303 = Temp!$A$16),$D303,0)</f>
        <v>0</v>
      </c>
      <c r="J303">
        <f>IF(AND($C303 = Temp!$F$1, $B303 = Temp!$A$16),$D303,0)</f>
        <v>0</v>
      </c>
      <c r="K303">
        <f>IF(AND($C303 = Temp!$G$1, $B303 = Temp!$A$16),$D303,0)</f>
        <v>0</v>
      </c>
      <c r="L303">
        <f>IF(AND($C303 = Temp!$H$1, $B303 = Temp!$A$16),$D303,0)</f>
        <v>0</v>
      </c>
      <c r="M303">
        <f>IF(AND($C303 = Temp!$I$1, $B303 = Temp!$A$16),$D303,0)</f>
        <v>0</v>
      </c>
      <c r="N303">
        <f>IF(AND($C303 = Temp!$J$1, $B303 = Temp!$A$16),$D303,0)</f>
        <v>0</v>
      </c>
      <c r="O303">
        <f>IF(AND($C303 = Temp!$K$1, $B303 = Temp!$A$16),$D303,0)</f>
        <v>0</v>
      </c>
    </row>
    <row r="304" spans="2:15" hidden="1" x14ac:dyDescent="0.2">
      <c r="B304" t="s">
        <v>353</v>
      </c>
      <c r="C304" t="s">
        <v>260</v>
      </c>
      <c r="D304">
        <v>0.5</v>
      </c>
      <c r="F304">
        <f>IF(AND($C304 = Temp!$B$1, $B304 = Temp!$A$16),$D304,0)</f>
        <v>0</v>
      </c>
      <c r="G304">
        <f>IF(AND($C304 = Temp!$C$1, $B304 = Temp!$A$16),$D304,0)</f>
        <v>0</v>
      </c>
      <c r="H304">
        <f>IF(AND($C304 = Temp!$D$1, $B304 = Temp!$A$16),$D304,0)</f>
        <v>0</v>
      </c>
      <c r="I304">
        <f>IF(AND($C304 = Temp!$E$1, $B304 = Temp!$A$16),$D304,0)</f>
        <v>0</v>
      </c>
      <c r="J304">
        <f>IF(AND($C304 = Temp!$F$1, $B304 = Temp!$A$16),$D304,0)</f>
        <v>0</v>
      </c>
      <c r="K304">
        <f>IF(AND($C304 = Temp!$G$1, $B304 = Temp!$A$16),$D304,0)</f>
        <v>0</v>
      </c>
      <c r="L304">
        <f>IF(AND($C304 = Temp!$H$1, $B304 = Temp!$A$16),$D304,0)</f>
        <v>0</v>
      </c>
      <c r="M304">
        <f>IF(AND($C304 = Temp!$I$1, $B304 = Temp!$A$16),$D304,0)</f>
        <v>0</v>
      </c>
      <c r="N304">
        <f>IF(AND($C304 = Temp!$J$1, $B304 = Temp!$A$16),$D304,0)</f>
        <v>0</v>
      </c>
      <c r="O304">
        <f>IF(AND($C304 = Temp!$K$1, $B304 = Temp!$A$16),$D304,0)</f>
        <v>0</v>
      </c>
    </row>
    <row r="305" spans="2:15" hidden="1" x14ac:dyDescent="0.2">
      <c r="B305" t="s">
        <v>353</v>
      </c>
      <c r="C305" t="s">
        <v>260</v>
      </c>
      <c r="D305">
        <v>0.5</v>
      </c>
      <c r="F305">
        <f>IF(AND($C305 = Temp!$B$1, $B305 = Temp!$A$16),$D305,0)</f>
        <v>0</v>
      </c>
      <c r="G305">
        <f>IF(AND($C305 = Temp!$C$1, $B305 = Temp!$A$16),$D305,0)</f>
        <v>0</v>
      </c>
      <c r="H305">
        <f>IF(AND($C305 = Temp!$D$1, $B305 = Temp!$A$16),$D305,0)</f>
        <v>0</v>
      </c>
      <c r="I305">
        <f>IF(AND($C305 = Temp!$E$1, $B305 = Temp!$A$16),$D305,0)</f>
        <v>0</v>
      </c>
      <c r="J305">
        <f>IF(AND($C305 = Temp!$F$1, $B305 = Temp!$A$16),$D305,0)</f>
        <v>0</v>
      </c>
      <c r="K305">
        <f>IF(AND($C305 = Temp!$G$1, $B305 = Temp!$A$16),$D305,0)</f>
        <v>0</v>
      </c>
      <c r="L305">
        <f>IF(AND($C305 = Temp!$H$1, $B305 = Temp!$A$16),$D305,0)</f>
        <v>0</v>
      </c>
      <c r="M305">
        <f>IF(AND($C305 = Temp!$I$1, $B305 = Temp!$A$16),$D305,0)</f>
        <v>0</v>
      </c>
      <c r="N305">
        <f>IF(AND($C305 = Temp!$J$1, $B305 = Temp!$A$16),$D305,0)</f>
        <v>0</v>
      </c>
      <c r="O305">
        <f>IF(AND($C305 = Temp!$K$1, $B305 = Temp!$A$16),$D305,0)</f>
        <v>0</v>
      </c>
    </row>
    <row r="306" spans="2:15" hidden="1" x14ac:dyDescent="0.2">
      <c r="B306" t="s">
        <v>353</v>
      </c>
      <c r="C306" t="s">
        <v>260</v>
      </c>
      <c r="D306">
        <v>0.5</v>
      </c>
      <c r="F306">
        <f>IF(AND($C306 = Temp!$B$1, $B306 = Temp!$A$16),$D306,0)</f>
        <v>0</v>
      </c>
      <c r="G306">
        <f>IF(AND($C306 = Temp!$C$1, $B306 = Temp!$A$16),$D306,0)</f>
        <v>0</v>
      </c>
      <c r="H306">
        <f>IF(AND($C306 = Temp!$D$1, $B306 = Temp!$A$16),$D306,0)</f>
        <v>0</v>
      </c>
      <c r="I306">
        <f>IF(AND($C306 = Temp!$E$1, $B306 = Temp!$A$16),$D306,0)</f>
        <v>0</v>
      </c>
      <c r="J306">
        <f>IF(AND($C306 = Temp!$F$1, $B306 = Temp!$A$16),$D306,0)</f>
        <v>0</v>
      </c>
      <c r="K306">
        <f>IF(AND($C306 = Temp!$G$1, $B306 = Temp!$A$16),$D306,0)</f>
        <v>0</v>
      </c>
      <c r="L306">
        <f>IF(AND($C306 = Temp!$H$1, $B306 = Temp!$A$16),$D306,0)</f>
        <v>0</v>
      </c>
      <c r="M306">
        <f>IF(AND($C306 = Temp!$I$1, $B306 = Temp!$A$16),$D306,0)</f>
        <v>0</v>
      </c>
      <c r="N306">
        <f>IF(AND($C306 = Temp!$J$1, $B306 = Temp!$A$16),$D306,0)</f>
        <v>0</v>
      </c>
      <c r="O306">
        <f>IF(AND($C306 = Temp!$K$1, $B306 = Temp!$A$16),$D306,0)</f>
        <v>0</v>
      </c>
    </row>
    <row r="307" spans="2:15" hidden="1" x14ac:dyDescent="0.2">
      <c r="B307" t="s">
        <v>353</v>
      </c>
      <c r="C307" t="s">
        <v>260</v>
      </c>
      <c r="D307">
        <v>0.5</v>
      </c>
      <c r="F307">
        <f>IF(AND($C307 = Temp!$B$1, $B307 = Temp!$A$16),$D307,0)</f>
        <v>0</v>
      </c>
      <c r="G307">
        <f>IF(AND($C307 = Temp!$C$1, $B307 = Temp!$A$16),$D307,0)</f>
        <v>0</v>
      </c>
      <c r="H307">
        <f>IF(AND($C307 = Temp!$D$1, $B307 = Temp!$A$16),$D307,0)</f>
        <v>0</v>
      </c>
      <c r="I307">
        <f>IF(AND($C307 = Temp!$E$1, $B307 = Temp!$A$16),$D307,0)</f>
        <v>0</v>
      </c>
      <c r="J307">
        <f>IF(AND($C307 = Temp!$F$1, $B307 = Temp!$A$16),$D307,0)</f>
        <v>0</v>
      </c>
      <c r="K307">
        <f>IF(AND($C307 = Temp!$G$1, $B307 = Temp!$A$16),$D307,0)</f>
        <v>0</v>
      </c>
      <c r="L307">
        <f>IF(AND($C307 = Temp!$H$1, $B307 = Temp!$A$16),$D307,0)</f>
        <v>0</v>
      </c>
      <c r="M307">
        <f>IF(AND($C307 = Temp!$I$1, $B307 = Temp!$A$16),$D307,0)</f>
        <v>0</v>
      </c>
      <c r="N307">
        <f>IF(AND($C307 = Temp!$J$1, $B307 = Temp!$A$16),$D307,0)</f>
        <v>0</v>
      </c>
      <c r="O307">
        <f>IF(AND($C307 = Temp!$K$1, $B307 = Temp!$A$16),$D307,0)</f>
        <v>0</v>
      </c>
    </row>
    <row r="308" spans="2:15" hidden="1" x14ac:dyDescent="0.2">
      <c r="B308" t="s">
        <v>353</v>
      </c>
      <c r="C308" t="s">
        <v>261</v>
      </c>
      <c r="D308">
        <v>0.05</v>
      </c>
      <c r="F308">
        <f>IF(AND($C308 = Temp!$B$1, $B308 = Temp!$A$16),$D308,0)</f>
        <v>0</v>
      </c>
      <c r="G308">
        <f>IF(AND($C308 = Temp!$C$1, $B308 = Temp!$A$16),$D308,0)</f>
        <v>0</v>
      </c>
      <c r="H308">
        <f>IF(AND($C308 = Temp!$D$1, $B308 = Temp!$A$16),$D308,0)</f>
        <v>0</v>
      </c>
      <c r="I308">
        <f>IF(AND($C308 = Temp!$E$1, $B308 = Temp!$A$16),$D308,0)</f>
        <v>0</v>
      </c>
      <c r="J308">
        <f>IF(AND($C308 = Temp!$F$1, $B308 = Temp!$A$16),$D308,0)</f>
        <v>0</v>
      </c>
      <c r="K308">
        <f>IF(AND($C308 = Temp!$G$1, $B308 = Temp!$A$16),$D308,0)</f>
        <v>0</v>
      </c>
      <c r="L308">
        <f>IF(AND($C308 = Temp!$H$1, $B308 = Temp!$A$16),$D308,0)</f>
        <v>0</v>
      </c>
      <c r="M308">
        <f>IF(AND($C308 = Temp!$I$1, $B308 = Temp!$A$16),$D308,0)</f>
        <v>0</v>
      </c>
      <c r="N308">
        <f>IF(AND($C308 = Temp!$J$1, $B308 = Temp!$A$16),$D308,0)</f>
        <v>0</v>
      </c>
      <c r="O308">
        <f>IF(AND($C308 = Temp!$K$1, $B308 = Temp!$A$16),$D308,0)</f>
        <v>0</v>
      </c>
    </row>
    <row r="309" spans="2:15" hidden="1" x14ac:dyDescent="0.2">
      <c r="B309" t="s">
        <v>0</v>
      </c>
      <c r="C309" t="s">
        <v>4</v>
      </c>
      <c r="D309">
        <v>2</v>
      </c>
      <c r="F309">
        <f>IF(AND($C309 = Temp!$B$1, $B309 = Temp!$A$16),$D309,0)</f>
        <v>0</v>
      </c>
      <c r="G309">
        <f>IF(AND($C309 = Temp!$C$1, $B309 = Temp!$A$16),$D309,0)</f>
        <v>0</v>
      </c>
      <c r="H309">
        <f>IF(AND($C309 = Temp!$D$1, $B309 = Temp!$A$16),$D309,0)</f>
        <v>0</v>
      </c>
      <c r="I309">
        <f>IF(AND($C309 = Temp!$E$1, $B309 = Temp!$A$16),$D309,0)</f>
        <v>0</v>
      </c>
      <c r="J309">
        <f>IF(AND($C309 = Temp!$F$1, $B309 = Temp!$A$16),$D309,0)</f>
        <v>0</v>
      </c>
      <c r="K309">
        <f>IF(AND($C309 = Temp!$G$1, $B309 = Temp!$A$16),$D309,0)</f>
        <v>0</v>
      </c>
      <c r="L309">
        <f>IF(AND($C309 = Temp!$H$1, $B309 = Temp!$A$16),$D309,0)</f>
        <v>0</v>
      </c>
      <c r="M309">
        <f>IF(AND($C309 = Temp!$I$1, $B309 = Temp!$A$16),$D309,0)</f>
        <v>0</v>
      </c>
      <c r="N309">
        <f>IF(AND($C309 = Temp!$J$1, $B309 = Temp!$A$16),$D309,0)</f>
        <v>0</v>
      </c>
      <c r="O309">
        <f>IF(AND($C309 = Temp!$K$1, $B309 = Temp!$A$16),$D309,0)</f>
        <v>0</v>
      </c>
    </row>
    <row r="310" spans="2:15" hidden="1" x14ac:dyDescent="0.2">
      <c r="B310" t="s">
        <v>0</v>
      </c>
      <c r="C310" t="s">
        <v>4</v>
      </c>
      <c r="D310">
        <v>0.5</v>
      </c>
      <c r="F310">
        <f>IF(AND($C310 = Temp!$B$1, $B310 = Temp!$A$16),$D310,0)</f>
        <v>0</v>
      </c>
      <c r="G310">
        <f>IF(AND($C310 = Temp!$C$1, $B310 = Temp!$A$16),$D310,0)</f>
        <v>0</v>
      </c>
      <c r="H310">
        <f>IF(AND($C310 = Temp!$D$1, $B310 = Temp!$A$16),$D310,0)</f>
        <v>0</v>
      </c>
      <c r="I310">
        <f>IF(AND($C310 = Temp!$E$1, $B310 = Temp!$A$16),$D310,0)</f>
        <v>0</v>
      </c>
      <c r="J310">
        <f>IF(AND($C310 = Temp!$F$1, $B310 = Temp!$A$16),$D310,0)</f>
        <v>0</v>
      </c>
      <c r="K310">
        <f>IF(AND($C310 = Temp!$G$1, $B310 = Temp!$A$16),$D310,0)</f>
        <v>0</v>
      </c>
      <c r="L310">
        <f>IF(AND($C310 = Temp!$H$1, $B310 = Temp!$A$16),$D310,0)</f>
        <v>0</v>
      </c>
      <c r="M310">
        <f>IF(AND($C310 = Temp!$I$1, $B310 = Temp!$A$16),$D310,0)</f>
        <v>0</v>
      </c>
      <c r="N310">
        <f>IF(AND($C310 = Temp!$J$1, $B310 = Temp!$A$16),$D310,0)</f>
        <v>0</v>
      </c>
      <c r="O310">
        <f>IF(AND($C310 = Temp!$K$1, $B310 = Temp!$A$16),$D310,0)</f>
        <v>0</v>
      </c>
    </row>
    <row r="311" spans="2:15" hidden="1" x14ac:dyDescent="0.2">
      <c r="B311" t="s">
        <v>0</v>
      </c>
      <c r="C311" t="s">
        <v>4</v>
      </c>
      <c r="D311">
        <v>0.5</v>
      </c>
      <c r="F311">
        <f>IF(AND($C311 = Temp!$B$1, $B311 = Temp!$A$16),$D311,0)</f>
        <v>0</v>
      </c>
      <c r="G311">
        <f>IF(AND($C311 = Temp!$C$1, $B311 = Temp!$A$16),$D311,0)</f>
        <v>0</v>
      </c>
      <c r="H311">
        <f>IF(AND($C311 = Temp!$D$1, $B311 = Temp!$A$16),$D311,0)</f>
        <v>0</v>
      </c>
      <c r="I311">
        <f>IF(AND($C311 = Temp!$E$1, $B311 = Temp!$A$16),$D311,0)</f>
        <v>0</v>
      </c>
      <c r="J311">
        <f>IF(AND($C311 = Temp!$F$1, $B311 = Temp!$A$16),$D311,0)</f>
        <v>0</v>
      </c>
      <c r="K311">
        <f>IF(AND($C311 = Temp!$G$1, $B311 = Temp!$A$16),$D311,0)</f>
        <v>0</v>
      </c>
      <c r="L311">
        <f>IF(AND($C311 = Temp!$H$1, $B311 = Temp!$A$16),$D311,0)</f>
        <v>0</v>
      </c>
      <c r="M311">
        <f>IF(AND($C311 = Temp!$I$1, $B311 = Temp!$A$16),$D311,0)</f>
        <v>0</v>
      </c>
      <c r="N311">
        <f>IF(AND($C311 = Temp!$J$1, $B311 = Temp!$A$16),$D311,0)</f>
        <v>0</v>
      </c>
      <c r="O311">
        <f>IF(AND($C311 = Temp!$K$1, $B311 = Temp!$A$16),$D311,0)</f>
        <v>0</v>
      </c>
    </row>
    <row r="312" spans="2:15" hidden="1" x14ac:dyDescent="0.2">
      <c r="B312" t="s">
        <v>0</v>
      </c>
      <c r="C312" t="s">
        <v>4</v>
      </c>
      <c r="D312">
        <v>1</v>
      </c>
      <c r="F312">
        <f>IF(AND($C312 = Temp!$B$1, $B312 = Temp!$A$16),$D312,0)</f>
        <v>0</v>
      </c>
      <c r="G312">
        <f>IF(AND($C312 = Temp!$C$1, $B312 = Temp!$A$16),$D312,0)</f>
        <v>0</v>
      </c>
      <c r="H312">
        <f>IF(AND($C312 = Temp!$D$1, $B312 = Temp!$A$16),$D312,0)</f>
        <v>0</v>
      </c>
      <c r="I312">
        <f>IF(AND($C312 = Temp!$E$1, $B312 = Temp!$A$16),$D312,0)</f>
        <v>0</v>
      </c>
      <c r="J312">
        <f>IF(AND($C312 = Temp!$F$1, $B312 = Temp!$A$16),$D312,0)</f>
        <v>0</v>
      </c>
      <c r="K312">
        <f>IF(AND($C312 = Temp!$G$1, $B312 = Temp!$A$16),$D312,0)</f>
        <v>0</v>
      </c>
      <c r="L312">
        <f>IF(AND($C312 = Temp!$H$1, $B312 = Temp!$A$16),$D312,0)</f>
        <v>0</v>
      </c>
      <c r="M312">
        <f>IF(AND($C312 = Temp!$I$1, $B312 = Temp!$A$16),$D312,0)</f>
        <v>0</v>
      </c>
      <c r="N312">
        <f>IF(AND($C312 = Temp!$J$1, $B312 = Temp!$A$16),$D312,0)</f>
        <v>0</v>
      </c>
      <c r="O312">
        <f>IF(AND($C312 = Temp!$K$1, $B312 = Temp!$A$16),$D312,0)</f>
        <v>0</v>
      </c>
    </row>
    <row r="313" spans="2:15" hidden="1" x14ac:dyDescent="0.2">
      <c r="B313" t="s">
        <v>0</v>
      </c>
      <c r="C313" t="s">
        <v>4</v>
      </c>
      <c r="D313">
        <v>1</v>
      </c>
      <c r="F313">
        <f>IF(AND($C313 = Temp!$B$1, $B313 = Temp!$A$16),$D313,0)</f>
        <v>0</v>
      </c>
      <c r="G313">
        <f>IF(AND($C313 = Temp!$C$1, $B313 = Temp!$A$16),$D313,0)</f>
        <v>0</v>
      </c>
      <c r="H313">
        <f>IF(AND($C313 = Temp!$D$1, $B313 = Temp!$A$16),$D313,0)</f>
        <v>0</v>
      </c>
      <c r="I313">
        <f>IF(AND($C313 = Temp!$E$1, $B313 = Temp!$A$16),$D313,0)</f>
        <v>0</v>
      </c>
      <c r="J313">
        <f>IF(AND($C313 = Temp!$F$1, $B313 = Temp!$A$16),$D313,0)</f>
        <v>0</v>
      </c>
      <c r="K313">
        <f>IF(AND($C313 = Temp!$G$1, $B313 = Temp!$A$16),$D313,0)</f>
        <v>0</v>
      </c>
      <c r="L313">
        <f>IF(AND($C313 = Temp!$H$1, $B313 = Temp!$A$16),$D313,0)</f>
        <v>0</v>
      </c>
      <c r="M313">
        <f>IF(AND($C313 = Temp!$I$1, $B313 = Temp!$A$16),$D313,0)</f>
        <v>0</v>
      </c>
      <c r="N313">
        <f>IF(AND($C313 = Temp!$J$1, $B313 = Temp!$A$16),$D313,0)</f>
        <v>0</v>
      </c>
      <c r="O313">
        <f>IF(AND($C313 = Temp!$K$1, $B313 = Temp!$A$16),$D313,0)</f>
        <v>0</v>
      </c>
    </row>
    <row r="314" spans="2:15" hidden="1" x14ac:dyDescent="0.2">
      <c r="B314" t="s">
        <v>0</v>
      </c>
      <c r="C314" t="s">
        <v>4</v>
      </c>
      <c r="D314">
        <v>1</v>
      </c>
      <c r="F314">
        <f>IF(AND($C314 = Temp!$B$1, $B314 = Temp!$A$16),$D314,0)</f>
        <v>0</v>
      </c>
      <c r="G314">
        <f>IF(AND($C314 = Temp!$C$1, $B314 = Temp!$A$16),$D314,0)</f>
        <v>0</v>
      </c>
      <c r="H314">
        <f>IF(AND($C314 = Temp!$D$1, $B314 = Temp!$A$16),$D314,0)</f>
        <v>0</v>
      </c>
      <c r="I314">
        <f>IF(AND($C314 = Temp!$E$1, $B314 = Temp!$A$16),$D314,0)</f>
        <v>0</v>
      </c>
      <c r="J314">
        <f>IF(AND($C314 = Temp!$F$1, $B314 = Temp!$A$16),$D314,0)</f>
        <v>0</v>
      </c>
      <c r="K314">
        <f>IF(AND($C314 = Temp!$G$1, $B314 = Temp!$A$16),$D314,0)</f>
        <v>0</v>
      </c>
      <c r="L314">
        <f>IF(AND($C314 = Temp!$H$1, $B314 = Temp!$A$16),$D314,0)</f>
        <v>0</v>
      </c>
      <c r="M314">
        <f>IF(AND($C314 = Temp!$I$1, $B314 = Temp!$A$16),$D314,0)</f>
        <v>0</v>
      </c>
      <c r="N314">
        <f>IF(AND($C314 = Temp!$J$1, $B314 = Temp!$A$16),$D314,0)</f>
        <v>0</v>
      </c>
      <c r="O314">
        <f>IF(AND($C314 = Temp!$K$1, $B314 = Temp!$A$16),$D314,0)</f>
        <v>0</v>
      </c>
    </row>
    <row r="315" spans="2:15" hidden="1" x14ac:dyDescent="0.2">
      <c r="B315" t="s">
        <v>0</v>
      </c>
      <c r="C315" t="s">
        <v>4</v>
      </c>
      <c r="D315">
        <v>1</v>
      </c>
      <c r="F315">
        <f>IF(AND($C315 = Temp!$B$1, $B315 = Temp!$A$16),$D315,0)</f>
        <v>0</v>
      </c>
      <c r="G315">
        <f>IF(AND($C315 = Temp!$C$1, $B315 = Temp!$A$16),$D315,0)</f>
        <v>0</v>
      </c>
      <c r="H315">
        <f>IF(AND($C315 = Temp!$D$1, $B315 = Temp!$A$16),$D315,0)</f>
        <v>0</v>
      </c>
      <c r="I315">
        <f>IF(AND($C315 = Temp!$E$1, $B315 = Temp!$A$16),$D315,0)</f>
        <v>0</v>
      </c>
      <c r="J315">
        <f>IF(AND($C315 = Temp!$F$1, $B315 = Temp!$A$16),$D315,0)</f>
        <v>0</v>
      </c>
      <c r="K315">
        <f>IF(AND($C315 = Temp!$G$1, $B315 = Temp!$A$16),$D315,0)</f>
        <v>0</v>
      </c>
      <c r="L315">
        <f>IF(AND($C315 = Temp!$H$1, $B315 = Temp!$A$16),$D315,0)</f>
        <v>0</v>
      </c>
      <c r="M315">
        <f>IF(AND($C315 = Temp!$I$1, $B315 = Temp!$A$16),$D315,0)</f>
        <v>0</v>
      </c>
      <c r="N315">
        <f>IF(AND($C315 = Temp!$J$1, $B315 = Temp!$A$16),$D315,0)</f>
        <v>0</v>
      </c>
      <c r="O315">
        <f>IF(AND($C315 = Temp!$K$1, $B315 = Temp!$A$16),$D315,0)</f>
        <v>0</v>
      </c>
    </row>
    <row r="316" spans="2:15" hidden="1" x14ac:dyDescent="0.2">
      <c r="B316" t="s">
        <v>0</v>
      </c>
      <c r="C316" t="s">
        <v>4</v>
      </c>
      <c r="D316">
        <v>1</v>
      </c>
      <c r="F316">
        <f>IF(AND($C316 = Temp!$B$1, $B316 = Temp!$A$16),$D316,0)</f>
        <v>0</v>
      </c>
      <c r="G316">
        <f>IF(AND($C316 = Temp!$C$1, $B316 = Temp!$A$16),$D316,0)</f>
        <v>0</v>
      </c>
      <c r="H316">
        <f>IF(AND($C316 = Temp!$D$1, $B316 = Temp!$A$16),$D316,0)</f>
        <v>0</v>
      </c>
      <c r="I316">
        <f>IF(AND($C316 = Temp!$E$1, $B316 = Temp!$A$16),$D316,0)</f>
        <v>0</v>
      </c>
      <c r="J316">
        <f>IF(AND($C316 = Temp!$F$1, $B316 = Temp!$A$16),$D316,0)</f>
        <v>0</v>
      </c>
      <c r="K316">
        <f>IF(AND($C316 = Temp!$G$1, $B316 = Temp!$A$16),$D316,0)</f>
        <v>0</v>
      </c>
      <c r="L316">
        <f>IF(AND($C316 = Temp!$H$1, $B316 = Temp!$A$16),$D316,0)</f>
        <v>0</v>
      </c>
      <c r="M316">
        <f>IF(AND($C316 = Temp!$I$1, $B316 = Temp!$A$16),$D316,0)</f>
        <v>0</v>
      </c>
      <c r="N316">
        <f>IF(AND($C316 = Temp!$J$1, $B316 = Temp!$A$16),$D316,0)</f>
        <v>0</v>
      </c>
      <c r="O316">
        <f>IF(AND($C316 = Temp!$K$1, $B316 = Temp!$A$16),$D316,0)</f>
        <v>0</v>
      </c>
    </row>
    <row r="317" spans="2:15" hidden="1" x14ac:dyDescent="0.2">
      <c r="B317" t="s">
        <v>0</v>
      </c>
      <c r="C317" t="s">
        <v>4</v>
      </c>
      <c r="D317">
        <v>1</v>
      </c>
      <c r="F317">
        <f>IF(AND($C317 = Temp!$B$1, $B317 = Temp!$A$16),$D317,0)</f>
        <v>0</v>
      </c>
      <c r="G317">
        <f>IF(AND($C317 = Temp!$C$1, $B317 = Temp!$A$16),$D317,0)</f>
        <v>0</v>
      </c>
      <c r="H317">
        <f>IF(AND($C317 = Temp!$D$1, $B317 = Temp!$A$16),$D317,0)</f>
        <v>0</v>
      </c>
      <c r="I317">
        <f>IF(AND($C317 = Temp!$E$1, $B317 = Temp!$A$16),$D317,0)</f>
        <v>0</v>
      </c>
      <c r="J317">
        <f>IF(AND($C317 = Temp!$F$1, $B317 = Temp!$A$16),$D317,0)</f>
        <v>0</v>
      </c>
      <c r="K317">
        <f>IF(AND($C317 = Temp!$G$1, $B317 = Temp!$A$16),$D317,0)</f>
        <v>0</v>
      </c>
      <c r="L317">
        <f>IF(AND($C317 = Temp!$H$1, $B317 = Temp!$A$16),$D317,0)</f>
        <v>0</v>
      </c>
      <c r="M317">
        <f>IF(AND($C317 = Temp!$I$1, $B317 = Temp!$A$16),$D317,0)</f>
        <v>0</v>
      </c>
      <c r="N317">
        <f>IF(AND($C317 = Temp!$J$1, $B317 = Temp!$A$16),$D317,0)</f>
        <v>0</v>
      </c>
      <c r="O317">
        <f>IF(AND($C317 = Temp!$K$1, $B317 = Temp!$A$16),$D317,0)</f>
        <v>0</v>
      </c>
    </row>
    <row r="318" spans="2:15" hidden="1" x14ac:dyDescent="0.2">
      <c r="B318" t="s">
        <v>0</v>
      </c>
      <c r="C318" t="s">
        <v>4</v>
      </c>
      <c r="D318">
        <v>1</v>
      </c>
      <c r="F318">
        <f>IF(AND($C318 = Temp!$B$1, $B318 = Temp!$A$16),$D318,0)</f>
        <v>0</v>
      </c>
      <c r="G318">
        <f>IF(AND($C318 = Temp!$C$1, $B318 = Temp!$A$16),$D318,0)</f>
        <v>0</v>
      </c>
      <c r="H318">
        <f>IF(AND($C318 = Temp!$D$1, $B318 = Temp!$A$16),$D318,0)</f>
        <v>0</v>
      </c>
      <c r="I318">
        <f>IF(AND($C318 = Temp!$E$1, $B318 = Temp!$A$16),$D318,0)</f>
        <v>0</v>
      </c>
      <c r="J318">
        <f>IF(AND($C318 = Temp!$F$1, $B318 = Temp!$A$16),$D318,0)</f>
        <v>0</v>
      </c>
      <c r="K318">
        <f>IF(AND($C318 = Temp!$G$1, $B318 = Temp!$A$16),$D318,0)</f>
        <v>0</v>
      </c>
      <c r="L318">
        <f>IF(AND($C318 = Temp!$H$1, $B318 = Temp!$A$16),$D318,0)</f>
        <v>0</v>
      </c>
      <c r="M318">
        <f>IF(AND($C318 = Temp!$I$1, $B318 = Temp!$A$16),$D318,0)</f>
        <v>0</v>
      </c>
      <c r="N318">
        <f>IF(AND($C318 = Temp!$J$1, $B318 = Temp!$A$16),$D318,0)</f>
        <v>0</v>
      </c>
      <c r="O318">
        <f>IF(AND($C318 = Temp!$K$1, $B318 = Temp!$A$16),$D318,0)</f>
        <v>0</v>
      </c>
    </row>
    <row r="319" spans="2:15" hidden="1" x14ac:dyDescent="0.2">
      <c r="B319" t="s">
        <v>0</v>
      </c>
      <c r="C319" t="s">
        <v>15</v>
      </c>
      <c r="D319">
        <v>2</v>
      </c>
      <c r="F319">
        <f>IF(AND($C319 = Temp!$B$1, $B319 = Temp!$A$16),$D319,0)</f>
        <v>0</v>
      </c>
      <c r="G319">
        <f>IF(AND($C319 = Temp!$C$1, $B319 = Temp!$A$16),$D319,0)</f>
        <v>0</v>
      </c>
      <c r="H319">
        <f>IF(AND($C319 = Temp!$D$1, $B319 = Temp!$A$16),$D319,0)</f>
        <v>0</v>
      </c>
      <c r="I319">
        <f>IF(AND($C319 = Temp!$E$1, $B319 = Temp!$A$16),$D319,0)</f>
        <v>0</v>
      </c>
      <c r="J319">
        <f>IF(AND($C319 = Temp!$F$1, $B319 = Temp!$A$16),$D319,0)</f>
        <v>0</v>
      </c>
      <c r="K319">
        <f>IF(AND($C319 = Temp!$G$1, $B319 = Temp!$A$16),$D319,0)</f>
        <v>0</v>
      </c>
      <c r="L319">
        <f>IF(AND($C319 = Temp!$H$1, $B319 = Temp!$A$16),$D319,0)</f>
        <v>0</v>
      </c>
      <c r="M319">
        <f>IF(AND($C319 = Temp!$I$1, $B319 = Temp!$A$16),$D319,0)</f>
        <v>0</v>
      </c>
      <c r="N319">
        <f>IF(AND($C319 = Temp!$J$1, $B319 = Temp!$A$16),$D319,0)</f>
        <v>0</v>
      </c>
      <c r="O319">
        <f>IF(AND($C319 = Temp!$K$1, $B319 = Temp!$A$16),$D319,0)</f>
        <v>0</v>
      </c>
    </row>
    <row r="320" spans="2:15" hidden="1" x14ac:dyDescent="0.2">
      <c r="B320" t="s">
        <v>0</v>
      </c>
      <c r="C320" t="s">
        <v>15</v>
      </c>
      <c r="D320">
        <v>2</v>
      </c>
      <c r="F320">
        <f>IF(AND($C320 = Temp!$B$1, $B320 = Temp!$A$16),$D320,0)</f>
        <v>0</v>
      </c>
      <c r="G320">
        <f>IF(AND($C320 = Temp!$C$1, $B320 = Temp!$A$16),$D320,0)</f>
        <v>0</v>
      </c>
      <c r="H320">
        <f>IF(AND($C320 = Temp!$D$1, $B320 = Temp!$A$16),$D320,0)</f>
        <v>0</v>
      </c>
      <c r="I320">
        <f>IF(AND($C320 = Temp!$E$1, $B320 = Temp!$A$16),$D320,0)</f>
        <v>0</v>
      </c>
      <c r="J320">
        <f>IF(AND($C320 = Temp!$F$1, $B320 = Temp!$A$16),$D320,0)</f>
        <v>0</v>
      </c>
      <c r="K320">
        <f>IF(AND($C320 = Temp!$G$1, $B320 = Temp!$A$16),$D320,0)</f>
        <v>0</v>
      </c>
      <c r="L320">
        <f>IF(AND($C320 = Temp!$H$1, $B320 = Temp!$A$16),$D320,0)</f>
        <v>0</v>
      </c>
      <c r="M320">
        <f>IF(AND($C320 = Temp!$I$1, $B320 = Temp!$A$16),$D320,0)</f>
        <v>0</v>
      </c>
      <c r="N320">
        <f>IF(AND($C320 = Temp!$J$1, $B320 = Temp!$A$16),$D320,0)</f>
        <v>0</v>
      </c>
      <c r="O320">
        <f>IF(AND($C320 = Temp!$K$1, $B320 = Temp!$A$16),$D320,0)</f>
        <v>0</v>
      </c>
    </row>
    <row r="321" spans="2:15" hidden="1" x14ac:dyDescent="0.2">
      <c r="B321" t="s">
        <v>0</v>
      </c>
      <c r="C321" t="s">
        <v>15</v>
      </c>
      <c r="D321">
        <v>2</v>
      </c>
      <c r="F321">
        <f>IF(AND($C321 = Temp!$B$1, $B321 = Temp!$A$16),$D321,0)</f>
        <v>0</v>
      </c>
      <c r="G321">
        <f>IF(AND($C321 = Temp!$C$1, $B321 = Temp!$A$16),$D321,0)</f>
        <v>0</v>
      </c>
      <c r="H321">
        <f>IF(AND($C321 = Temp!$D$1, $B321 = Temp!$A$16),$D321,0)</f>
        <v>0</v>
      </c>
      <c r="I321">
        <f>IF(AND($C321 = Temp!$E$1, $B321 = Temp!$A$16),$D321,0)</f>
        <v>0</v>
      </c>
      <c r="J321">
        <f>IF(AND($C321 = Temp!$F$1, $B321 = Temp!$A$16),$D321,0)</f>
        <v>0</v>
      </c>
      <c r="K321">
        <f>IF(AND($C321 = Temp!$G$1, $B321 = Temp!$A$16),$D321,0)</f>
        <v>0</v>
      </c>
      <c r="L321">
        <f>IF(AND($C321 = Temp!$H$1, $B321 = Temp!$A$16),$D321,0)</f>
        <v>0</v>
      </c>
      <c r="M321">
        <f>IF(AND($C321 = Temp!$I$1, $B321 = Temp!$A$16),$D321,0)</f>
        <v>0</v>
      </c>
      <c r="N321">
        <f>IF(AND($C321 = Temp!$J$1, $B321 = Temp!$A$16),$D321,0)</f>
        <v>0</v>
      </c>
      <c r="O321">
        <f>IF(AND($C321 = Temp!$K$1, $B321 = Temp!$A$16),$D321,0)</f>
        <v>0</v>
      </c>
    </row>
    <row r="322" spans="2:15" hidden="1" x14ac:dyDescent="0.2">
      <c r="B322" t="s">
        <v>0</v>
      </c>
      <c r="C322" t="s">
        <v>15</v>
      </c>
      <c r="D322">
        <v>2</v>
      </c>
      <c r="F322">
        <f>IF(AND($C322 = Temp!$B$1, $B322 = Temp!$A$16),$D322,0)</f>
        <v>0</v>
      </c>
      <c r="G322">
        <f>IF(AND($C322 = Temp!$C$1, $B322 = Temp!$A$16),$D322,0)</f>
        <v>0</v>
      </c>
      <c r="H322">
        <f>IF(AND($C322 = Temp!$D$1, $B322 = Temp!$A$16),$D322,0)</f>
        <v>0</v>
      </c>
      <c r="I322">
        <f>IF(AND($C322 = Temp!$E$1, $B322 = Temp!$A$16),$D322,0)</f>
        <v>0</v>
      </c>
      <c r="J322">
        <f>IF(AND($C322 = Temp!$F$1, $B322 = Temp!$A$16),$D322,0)</f>
        <v>0</v>
      </c>
      <c r="K322">
        <f>IF(AND($C322 = Temp!$G$1, $B322 = Temp!$A$16),$D322,0)</f>
        <v>0</v>
      </c>
      <c r="L322">
        <f>IF(AND($C322 = Temp!$H$1, $B322 = Temp!$A$16),$D322,0)</f>
        <v>0</v>
      </c>
      <c r="M322">
        <f>IF(AND($C322 = Temp!$I$1, $B322 = Temp!$A$16),$D322,0)</f>
        <v>0</v>
      </c>
      <c r="N322">
        <f>IF(AND($C322 = Temp!$J$1, $B322 = Temp!$A$16),$D322,0)</f>
        <v>0</v>
      </c>
      <c r="O322">
        <f>IF(AND($C322 = Temp!$K$1, $B322 = Temp!$A$16),$D322,0)</f>
        <v>0</v>
      </c>
    </row>
    <row r="323" spans="2:15" hidden="1" x14ac:dyDescent="0.2">
      <c r="B323" t="s">
        <v>0</v>
      </c>
      <c r="C323" t="s">
        <v>15</v>
      </c>
      <c r="D323">
        <v>1</v>
      </c>
      <c r="F323">
        <f>IF(AND($C323 = Temp!$B$1, $B323 = Temp!$A$16),$D323,0)</f>
        <v>0</v>
      </c>
      <c r="G323">
        <f>IF(AND($C323 = Temp!$C$1, $B323 = Temp!$A$16),$D323,0)</f>
        <v>0</v>
      </c>
      <c r="H323">
        <f>IF(AND($C323 = Temp!$D$1, $B323 = Temp!$A$16),$D323,0)</f>
        <v>0</v>
      </c>
      <c r="I323">
        <f>IF(AND($C323 = Temp!$E$1, $B323 = Temp!$A$16),$D323,0)</f>
        <v>0</v>
      </c>
      <c r="J323">
        <f>IF(AND($C323 = Temp!$F$1, $B323 = Temp!$A$16),$D323,0)</f>
        <v>0</v>
      </c>
      <c r="K323">
        <f>IF(AND($C323 = Temp!$G$1, $B323 = Temp!$A$16),$D323,0)</f>
        <v>0</v>
      </c>
      <c r="L323">
        <f>IF(AND($C323 = Temp!$H$1, $B323 = Temp!$A$16),$D323,0)</f>
        <v>0</v>
      </c>
      <c r="M323">
        <f>IF(AND($C323 = Temp!$I$1, $B323 = Temp!$A$16),$D323,0)</f>
        <v>0</v>
      </c>
      <c r="N323">
        <f>IF(AND($C323 = Temp!$J$1, $B323 = Temp!$A$16),$D323,0)</f>
        <v>0</v>
      </c>
      <c r="O323">
        <f>IF(AND($C323 = Temp!$K$1, $B323 = Temp!$A$16),$D323,0)</f>
        <v>0</v>
      </c>
    </row>
    <row r="324" spans="2:15" hidden="1" x14ac:dyDescent="0.2">
      <c r="B324" t="s">
        <v>0</v>
      </c>
      <c r="C324" t="s">
        <v>15</v>
      </c>
      <c r="D324">
        <v>1</v>
      </c>
      <c r="F324">
        <f>IF(AND($C324 = Temp!$B$1, $B324 = Temp!$A$16),$D324,0)</f>
        <v>0</v>
      </c>
      <c r="G324">
        <f>IF(AND($C324 = Temp!$C$1, $B324 = Temp!$A$16),$D324,0)</f>
        <v>0</v>
      </c>
      <c r="H324">
        <f>IF(AND($C324 = Temp!$D$1, $B324 = Temp!$A$16),$D324,0)</f>
        <v>0</v>
      </c>
      <c r="I324">
        <f>IF(AND($C324 = Temp!$E$1, $B324 = Temp!$A$16),$D324,0)</f>
        <v>0</v>
      </c>
      <c r="J324">
        <f>IF(AND($C324 = Temp!$F$1, $B324 = Temp!$A$16),$D324,0)</f>
        <v>0</v>
      </c>
      <c r="K324">
        <f>IF(AND($C324 = Temp!$G$1, $B324 = Temp!$A$16),$D324,0)</f>
        <v>0</v>
      </c>
      <c r="L324">
        <f>IF(AND($C324 = Temp!$H$1, $B324 = Temp!$A$16),$D324,0)</f>
        <v>0</v>
      </c>
      <c r="M324">
        <f>IF(AND($C324 = Temp!$I$1, $B324 = Temp!$A$16),$D324,0)</f>
        <v>0</v>
      </c>
      <c r="N324">
        <f>IF(AND($C324 = Temp!$J$1, $B324 = Temp!$A$16),$D324,0)</f>
        <v>0</v>
      </c>
      <c r="O324">
        <f>IF(AND($C324 = Temp!$K$1, $B324 = Temp!$A$16),$D324,0)</f>
        <v>0</v>
      </c>
    </row>
    <row r="325" spans="2:15" hidden="1" x14ac:dyDescent="0.2">
      <c r="B325" t="s">
        <v>0</v>
      </c>
      <c r="C325" t="s">
        <v>15</v>
      </c>
      <c r="D325">
        <v>1</v>
      </c>
      <c r="F325">
        <f>IF(AND($C325 = Temp!$B$1, $B325 = Temp!$A$16),$D325,0)</f>
        <v>0</v>
      </c>
      <c r="G325">
        <f>IF(AND($C325 = Temp!$C$1, $B325 = Temp!$A$16),$D325,0)</f>
        <v>0</v>
      </c>
      <c r="H325">
        <f>IF(AND($C325 = Temp!$D$1, $B325 = Temp!$A$16),$D325,0)</f>
        <v>0</v>
      </c>
      <c r="I325">
        <f>IF(AND($C325 = Temp!$E$1, $B325 = Temp!$A$16),$D325,0)</f>
        <v>0</v>
      </c>
      <c r="J325">
        <f>IF(AND($C325 = Temp!$F$1, $B325 = Temp!$A$16),$D325,0)</f>
        <v>0</v>
      </c>
      <c r="K325">
        <f>IF(AND($C325 = Temp!$G$1, $B325 = Temp!$A$16),$D325,0)</f>
        <v>0</v>
      </c>
      <c r="L325">
        <f>IF(AND($C325 = Temp!$H$1, $B325 = Temp!$A$16),$D325,0)</f>
        <v>0</v>
      </c>
      <c r="M325">
        <f>IF(AND($C325 = Temp!$I$1, $B325 = Temp!$A$16),$D325,0)</f>
        <v>0</v>
      </c>
      <c r="N325">
        <f>IF(AND($C325 = Temp!$J$1, $B325 = Temp!$A$16),$D325,0)</f>
        <v>0</v>
      </c>
      <c r="O325">
        <f>IF(AND($C325 = Temp!$K$1, $B325 = Temp!$A$16),$D325,0)</f>
        <v>0</v>
      </c>
    </row>
    <row r="326" spans="2:15" hidden="1" x14ac:dyDescent="0.2">
      <c r="B326" t="s">
        <v>0</v>
      </c>
      <c r="C326" t="s">
        <v>15</v>
      </c>
      <c r="D326">
        <v>0</v>
      </c>
      <c r="F326">
        <f>IF(AND($C326 = Temp!$B$1, $B326 = Temp!$A$16),$D326,0)</f>
        <v>0</v>
      </c>
      <c r="G326">
        <f>IF(AND($C326 = Temp!$C$1, $B326 = Temp!$A$16),$D326,0)</f>
        <v>0</v>
      </c>
      <c r="H326">
        <f>IF(AND($C326 = Temp!$D$1, $B326 = Temp!$A$16),$D326,0)</f>
        <v>0</v>
      </c>
      <c r="I326">
        <f>IF(AND($C326 = Temp!$E$1, $B326 = Temp!$A$16),$D326,0)</f>
        <v>0</v>
      </c>
      <c r="J326">
        <f>IF(AND($C326 = Temp!$F$1, $B326 = Temp!$A$16),$D326,0)</f>
        <v>0</v>
      </c>
      <c r="K326">
        <f>IF(AND($C326 = Temp!$G$1, $B326 = Temp!$A$16),$D326,0)</f>
        <v>0</v>
      </c>
      <c r="L326">
        <f>IF(AND($C326 = Temp!$H$1, $B326 = Temp!$A$16),$D326,0)</f>
        <v>0</v>
      </c>
      <c r="M326">
        <f>IF(AND($C326 = Temp!$I$1, $B326 = Temp!$A$16),$D326,0)</f>
        <v>0</v>
      </c>
      <c r="N326">
        <f>IF(AND($C326 = Temp!$J$1, $B326 = Temp!$A$16),$D326,0)</f>
        <v>0</v>
      </c>
      <c r="O326">
        <f>IF(AND($C326 = Temp!$K$1, $B326 = Temp!$A$16),$D326,0)</f>
        <v>0</v>
      </c>
    </row>
    <row r="327" spans="2:15" hidden="1" x14ac:dyDescent="0.2">
      <c r="B327" t="s">
        <v>0</v>
      </c>
      <c r="C327" t="s">
        <v>24</v>
      </c>
      <c r="D327">
        <v>1</v>
      </c>
      <c r="F327">
        <f>IF(AND($C327 = Temp!$B$1, $B327 = Temp!$A$16),$D327,0)</f>
        <v>0</v>
      </c>
      <c r="G327">
        <f>IF(AND($C327 = Temp!$C$1, $B327 = Temp!$A$16),$D327,0)</f>
        <v>0</v>
      </c>
      <c r="H327">
        <f>IF(AND($C327 = Temp!$D$1, $B327 = Temp!$A$16),$D327,0)</f>
        <v>0</v>
      </c>
      <c r="I327">
        <f>IF(AND($C327 = Temp!$E$1, $B327 = Temp!$A$16),$D327,0)</f>
        <v>0</v>
      </c>
      <c r="J327">
        <f>IF(AND($C327 = Temp!$F$1, $B327 = Temp!$A$16),$D327,0)</f>
        <v>0</v>
      </c>
      <c r="K327">
        <f>IF(AND($C327 = Temp!$G$1, $B327 = Temp!$A$16),$D327,0)</f>
        <v>0</v>
      </c>
      <c r="L327">
        <f>IF(AND($C327 = Temp!$H$1, $B327 = Temp!$A$16),$D327,0)</f>
        <v>0</v>
      </c>
      <c r="M327">
        <f>IF(AND($C327 = Temp!$I$1, $B327 = Temp!$A$16),$D327,0)</f>
        <v>0</v>
      </c>
      <c r="N327">
        <f>IF(AND($C327 = Temp!$J$1, $B327 = Temp!$A$16),$D327,0)</f>
        <v>0</v>
      </c>
      <c r="O327">
        <f>IF(AND($C327 = Temp!$K$1, $B327 = Temp!$A$16),$D327,0)</f>
        <v>0</v>
      </c>
    </row>
    <row r="328" spans="2:15" hidden="1" x14ac:dyDescent="0.2">
      <c r="B328" t="s">
        <v>0</v>
      </c>
      <c r="C328" t="s">
        <v>24</v>
      </c>
      <c r="D328">
        <v>1</v>
      </c>
      <c r="F328">
        <f>IF(AND($C328 = Temp!$B$1, $B328 = Temp!$A$16),$D328,0)</f>
        <v>0</v>
      </c>
      <c r="G328">
        <f>IF(AND($C328 = Temp!$C$1, $B328 = Temp!$A$16),$D328,0)</f>
        <v>0</v>
      </c>
      <c r="H328">
        <f>IF(AND($C328 = Temp!$D$1, $B328 = Temp!$A$16),$D328,0)</f>
        <v>0</v>
      </c>
      <c r="I328">
        <f>IF(AND($C328 = Temp!$E$1, $B328 = Temp!$A$16),$D328,0)</f>
        <v>0</v>
      </c>
      <c r="J328">
        <f>IF(AND($C328 = Temp!$F$1, $B328 = Temp!$A$16),$D328,0)</f>
        <v>0</v>
      </c>
      <c r="K328">
        <f>IF(AND($C328 = Temp!$G$1, $B328 = Temp!$A$16),$D328,0)</f>
        <v>0</v>
      </c>
      <c r="L328">
        <f>IF(AND($C328 = Temp!$H$1, $B328 = Temp!$A$16),$D328,0)</f>
        <v>0</v>
      </c>
      <c r="M328">
        <f>IF(AND($C328 = Temp!$I$1, $B328 = Temp!$A$16),$D328,0)</f>
        <v>0</v>
      </c>
      <c r="N328">
        <f>IF(AND($C328 = Temp!$J$1, $B328 = Temp!$A$16),$D328,0)</f>
        <v>0</v>
      </c>
      <c r="O328">
        <f>IF(AND($C328 = Temp!$K$1, $B328 = Temp!$A$16),$D328,0)</f>
        <v>0</v>
      </c>
    </row>
    <row r="329" spans="2:15" hidden="1" x14ac:dyDescent="0.2">
      <c r="B329" t="s">
        <v>0</v>
      </c>
      <c r="C329" t="s">
        <v>24</v>
      </c>
      <c r="D329">
        <v>0.1</v>
      </c>
      <c r="F329">
        <f>IF(AND($C329 = Temp!$B$1, $B329 = Temp!$A$16),$D329,0)</f>
        <v>0</v>
      </c>
      <c r="G329">
        <f>IF(AND($C329 = Temp!$C$1, $B329 = Temp!$A$16),$D329,0)</f>
        <v>0</v>
      </c>
      <c r="H329">
        <f>IF(AND($C329 = Temp!$D$1, $B329 = Temp!$A$16),$D329,0)</f>
        <v>0</v>
      </c>
      <c r="I329">
        <f>IF(AND($C329 = Temp!$E$1, $B329 = Temp!$A$16),$D329,0)</f>
        <v>0</v>
      </c>
      <c r="J329">
        <f>IF(AND($C329 = Temp!$F$1, $B329 = Temp!$A$16),$D329,0)</f>
        <v>0</v>
      </c>
      <c r="K329">
        <f>IF(AND($C329 = Temp!$G$1, $B329 = Temp!$A$16),$D329,0)</f>
        <v>0</v>
      </c>
      <c r="L329">
        <f>IF(AND($C329 = Temp!$H$1, $B329 = Temp!$A$16),$D329,0)</f>
        <v>0</v>
      </c>
      <c r="M329">
        <f>IF(AND($C329 = Temp!$I$1, $B329 = Temp!$A$16),$D329,0)</f>
        <v>0</v>
      </c>
      <c r="N329">
        <f>IF(AND($C329 = Temp!$J$1, $B329 = Temp!$A$16),$D329,0)</f>
        <v>0</v>
      </c>
      <c r="O329">
        <f>IF(AND($C329 = Temp!$K$1, $B329 = Temp!$A$16),$D329,0)</f>
        <v>0</v>
      </c>
    </row>
    <row r="330" spans="2:15" hidden="1" x14ac:dyDescent="0.2">
      <c r="B330" t="s">
        <v>148</v>
      </c>
      <c r="C330" t="s">
        <v>41</v>
      </c>
      <c r="D330">
        <v>0.5</v>
      </c>
      <c r="F330">
        <f>IF(AND($C330 = Temp!$B$1, $B330 = Temp!$A$16),$D330,0)</f>
        <v>0</v>
      </c>
      <c r="G330">
        <f>IF(AND($C330 = Temp!$C$1, $B330 = Temp!$A$16),$D330,0)</f>
        <v>0</v>
      </c>
      <c r="H330">
        <f>IF(AND($C330 = Temp!$D$1, $B330 = Temp!$A$16),$D330,0)</f>
        <v>0</v>
      </c>
      <c r="I330">
        <f>IF(AND($C330 = Temp!$E$1, $B330 = Temp!$A$16),$D330,0)</f>
        <v>0</v>
      </c>
      <c r="J330">
        <f>IF(AND($C330 = Temp!$F$1, $B330 = Temp!$A$16),$D330,0)</f>
        <v>0</v>
      </c>
      <c r="K330">
        <f>IF(AND($C330 = Temp!$G$1, $B330 = Temp!$A$16),$D330,0)</f>
        <v>0</v>
      </c>
      <c r="L330">
        <f>IF(AND($C330 = Temp!$H$1, $B330 = Temp!$A$16),$D330,0)</f>
        <v>0</v>
      </c>
      <c r="M330">
        <f>IF(AND($C330 = Temp!$I$1, $B330 = Temp!$A$16),$D330,0)</f>
        <v>0</v>
      </c>
      <c r="N330">
        <f>IF(AND($C330 = Temp!$J$1, $B330 = Temp!$A$16),$D330,0)</f>
        <v>0</v>
      </c>
      <c r="O330">
        <f>IF(AND($C330 = Temp!$K$1, $B330 = Temp!$A$16),$D330,0)</f>
        <v>0</v>
      </c>
    </row>
    <row r="331" spans="2:15" hidden="1" x14ac:dyDescent="0.2">
      <c r="B331" t="s">
        <v>148</v>
      </c>
      <c r="C331" t="s">
        <v>41</v>
      </c>
      <c r="D331">
        <v>0.12</v>
      </c>
      <c r="F331">
        <f>IF(AND($C331 = Temp!$B$1, $B331 = Temp!$A$16),$D331,0)</f>
        <v>0</v>
      </c>
      <c r="G331">
        <f>IF(AND($C331 = Temp!$C$1, $B331 = Temp!$A$16),$D331,0)</f>
        <v>0</v>
      </c>
      <c r="H331">
        <f>IF(AND($C331 = Temp!$D$1, $B331 = Temp!$A$16),$D331,0)</f>
        <v>0</v>
      </c>
      <c r="I331">
        <f>IF(AND($C331 = Temp!$E$1, $B331 = Temp!$A$16),$D331,0)</f>
        <v>0</v>
      </c>
      <c r="J331">
        <f>IF(AND($C331 = Temp!$F$1, $B331 = Temp!$A$16),$D331,0)</f>
        <v>0</v>
      </c>
      <c r="K331">
        <f>IF(AND($C331 = Temp!$G$1, $B331 = Temp!$A$16),$D331,0)</f>
        <v>0</v>
      </c>
      <c r="L331">
        <f>IF(AND($C331 = Temp!$H$1, $B331 = Temp!$A$16),$D331,0)</f>
        <v>0</v>
      </c>
      <c r="M331">
        <f>IF(AND($C331 = Temp!$I$1, $B331 = Temp!$A$16),$D331,0)</f>
        <v>0</v>
      </c>
      <c r="N331">
        <f>IF(AND($C331 = Temp!$J$1, $B331 = Temp!$A$16),$D331,0)</f>
        <v>0</v>
      </c>
      <c r="O331">
        <f>IF(AND($C331 = Temp!$K$1, $B331 = Temp!$A$16),$D331,0)</f>
        <v>0</v>
      </c>
    </row>
    <row r="332" spans="2:15" hidden="1" x14ac:dyDescent="0.2">
      <c r="B332" t="s">
        <v>148</v>
      </c>
      <c r="C332" t="s">
        <v>41</v>
      </c>
      <c r="D332">
        <v>0.5</v>
      </c>
      <c r="F332">
        <f>IF(AND($C332 = Temp!$B$1, $B332 = Temp!$A$16),$D332,0)</f>
        <v>0</v>
      </c>
      <c r="G332">
        <f>IF(AND($C332 = Temp!$C$1, $B332 = Temp!$A$16),$D332,0)</f>
        <v>0</v>
      </c>
      <c r="H332">
        <f>IF(AND($C332 = Temp!$D$1, $B332 = Temp!$A$16),$D332,0)</f>
        <v>0</v>
      </c>
      <c r="I332">
        <f>IF(AND($C332 = Temp!$E$1, $B332 = Temp!$A$16),$D332,0)</f>
        <v>0</v>
      </c>
      <c r="J332">
        <f>IF(AND($C332 = Temp!$F$1, $B332 = Temp!$A$16),$D332,0)</f>
        <v>0</v>
      </c>
      <c r="K332">
        <f>IF(AND($C332 = Temp!$G$1, $B332 = Temp!$A$16),$D332,0)</f>
        <v>0</v>
      </c>
      <c r="L332">
        <f>IF(AND($C332 = Temp!$H$1, $B332 = Temp!$A$16),$D332,0)</f>
        <v>0</v>
      </c>
      <c r="M332">
        <f>IF(AND($C332 = Temp!$I$1, $B332 = Temp!$A$16),$D332,0)</f>
        <v>0</v>
      </c>
      <c r="N332">
        <f>IF(AND($C332 = Temp!$J$1, $B332 = Temp!$A$16),$D332,0)</f>
        <v>0</v>
      </c>
      <c r="O332">
        <f>IF(AND($C332 = Temp!$K$1, $B332 = Temp!$A$16),$D332,0)</f>
        <v>0</v>
      </c>
    </row>
    <row r="333" spans="2:15" hidden="1" x14ac:dyDescent="0.2">
      <c r="B333" t="s">
        <v>148</v>
      </c>
      <c r="C333" t="s">
        <v>41</v>
      </c>
      <c r="D333">
        <v>0.5</v>
      </c>
      <c r="F333">
        <f>IF(AND($C333 = Temp!$B$1, $B333 = Temp!$A$16),$D333,0)</f>
        <v>0</v>
      </c>
      <c r="G333">
        <f>IF(AND($C333 = Temp!$C$1, $B333 = Temp!$A$16),$D333,0)</f>
        <v>0</v>
      </c>
      <c r="H333">
        <f>IF(AND($C333 = Temp!$D$1, $B333 = Temp!$A$16),$D333,0)</f>
        <v>0</v>
      </c>
      <c r="I333">
        <f>IF(AND($C333 = Temp!$E$1, $B333 = Temp!$A$16),$D333,0)</f>
        <v>0</v>
      </c>
      <c r="J333">
        <f>IF(AND($C333 = Temp!$F$1, $B333 = Temp!$A$16),$D333,0)</f>
        <v>0</v>
      </c>
      <c r="K333">
        <f>IF(AND($C333 = Temp!$G$1, $B333 = Temp!$A$16),$D333,0)</f>
        <v>0</v>
      </c>
      <c r="L333">
        <f>IF(AND($C333 = Temp!$H$1, $B333 = Temp!$A$16),$D333,0)</f>
        <v>0</v>
      </c>
      <c r="M333">
        <f>IF(AND($C333 = Temp!$I$1, $B333 = Temp!$A$16),$D333,0)</f>
        <v>0</v>
      </c>
      <c r="N333">
        <f>IF(AND($C333 = Temp!$J$1, $B333 = Temp!$A$16),$D333,0)</f>
        <v>0</v>
      </c>
      <c r="O333">
        <f>IF(AND($C333 = Temp!$K$1, $B333 = Temp!$A$16),$D333,0)</f>
        <v>0</v>
      </c>
    </row>
    <row r="334" spans="2:15" hidden="1" x14ac:dyDescent="0.2">
      <c r="B334" t="s">
        <v>148</v>
      </c>
      <c r="C334" t="s">
        <v>41</v>
      </c>
      <c r="D334">
        <v>2</v>
      </c>
      <c r="F334">
        <f>IF(AND($C334 = Temp!$B$1, $B334 = Temp!$A$16),$D334,0)</f>
        <v>0</v>
      </c>
      <c r="G334">
        <f>IF(AND($C334 = Temp!$C$1, $B334 = Temp!$A$16),$D334,0)</f>
        <v>0</v>
      </c>
      <c r="H334">
        <f>IF(AND($C334 = Temp!$D$1, $B334 = Temp!$A$16),$D334,0)</f>
        <v>0</v>
      </c>
      <c r="I334">
        <f>IF(AND($C334 = Temp!$E$1, $B334 = Temp!$A$16),$D334,0)</f>
        <v>0</v>
      </c>
      <c r="J334">
        <f>IF(AND($C334 = Temp!$F$1, $B334 = Temp!$A$16),$D334,0)</f>
        <v>0</v>
      </c>
      <c r="K334">
        <f>IF(AND($C334 = Temp!$G$1, $B334 = Temp!$A$16),$D334,0)</f>
        <v>0</v>
      </c>
      <c r="L334">
        <f>IF(AND($C334 = Temp!$H$1, $B334 = Temp!$A$16),$D334,0)</f>
        <v>0</v>
      </c>
      <c r="M334">
        <f>IF(AND($C334 = Temp!$I$1, $B334 = Temp!$A$16),$D334,0)</f>
        <v>0</v>
      </c>
      <c r="N334">
        <f>IF(AND($C334 = Temp!$J$1, $B334 = Temp!$A$16),$D334,0)</f>
        <v>0</v>
      </c>
      <c r="O334">
        <f>IF(AND($C334 = Temp!$K$1, $B334 = Temp!$A$16),$D334,0)</f>
        <v>0</v>
      </c>
    </row>
    <row r="335" spans="2:15" hidden="1" x14ac:dyDescent="0.2">
      <c r="B335" t="s">
        <v>148</v>
      </c>
      <c r="C335" t="s">
        <v>41</v>
      </c>
      <c r="D335">
        <v>0.5</v>
      </c>
      <c r="F335">
        <f>IF(AND($C335 = Temp!$B$1, $B335 = Temp!$A$16),$D335,0)</f>
        <v>0</v>
      </c>
      <c r="G335">
        <f>IF(AND($C335 = Temp!$C$1, $B335 = Temp!$A$16),$D335,0)</f>
        <v>0</v>
      </c>
      <c r="H335">
        <f>IF(AND($C335 = Temp!$D$1, $B335 = Temp!$A$16),$D335,0)</f>
        <v>0</v>
      </c>
      <c r="I335">
        <f>IF(AND($C335 = Temp!$E$1, $B335 = Temp!$A$16),$D335,0)</f>
        <v>0</v>
      </c>
      <c r="J335">
        <f>IF(AND($C335 = Temp!$F$1, $B335 = Temp!$A$16),$D335,0)</f>
        <v>0</v>
      </c>
      <c r="K335">
        <f>IF(AND($C335 = Temp!$G$1, $B335 = Temp!$A$16),$D335,0)</f>
        <v>0</v>
      </c>
      <c r="L335">
        <f>IF(AND($C335 = Temp!$H$1, $B335 = Temp!$A$16),$D335,0)</f>
        <v>0</v>
      </c>
      <c r="M335">
        <f>IF(AND($C335 = Temp!$I$1, $B335 = Temp!$A$16),$D335,0)</f>
        <v>0</v>
      </c>
      <c r="N335">
        <f>IF(AND($C335 = Temp!$J$1, $B335 = Temp!$A$16),$D335,0)</f>
        <v>0</v>
      </c>
      <c r="O335">
        <f>IF(AND($C335 = Temp!$K$1, $B335 = Temp!$A$16),$D335,0)</f>
        <v>0</v>
      </c>
    </row>
    <row r="336" spans="2:15" hidden="1" x14ac:dyDescent="0.2">
      <c r="B336" t="s">
        <v>148</v>
      </c>
      <c r="C336" t="s">
        <v>41</v>
      </c>
      <c r="D336">
        <v>0.5</v>
      </c>
      <c r="F336">
        <f>IF(AND($C336 = Temp!$B$1, $B336 = Temp!$A$16),$D336,0)</f>
        <v>0</v>
      </c>
      <c r="G336">
        <f>IF(AND($C336 = Temp!$C$1, $B336 = Temp!$A$16),$D336,0)</f>
        <v>0</v>
      </c>
      <c r="H336">
        <f>IF(AND($C336 = Temp!$D$1, $B336 = Temp!$A$16),$D336,0)</f>
        <v>0</v>
      </c>
      <c r="I336">
        <f>IF(AND($C336 = Temp!$E$1, $B336 = Temp!$A$16),$D336,0)</f>
        <v>0</v>
      </c>
      <c r="J336">
        <f>IF(AND($C336 = Temp!$F$1, $B336 = Temp!$A$16),$D336,0)</f>
        <v>0</v>
      </c>
      <c r="K336">
        <f>IF(AND($C336 = Temp!$G$1, $B336 = Temp!$A$16),$D336,0)</f>
        <v>0</v>
      </c>
      <c r="L336">
        <f>IF(AND($C336 = Temp!$H$1, $B336 = Temp!$A$16),$D336,0)</f>
        <v>0</v>
      </c>
      <c r="M336">
        <f>IF(AND($C336 = Temp!$I$1, $B336 = Temp!$A$16),$D336,0)</f>
        <v>0</v>
      </c>
      <c r="N336">
        <f>IF(AND($C336 = Temp!$J$1, $B336 = Temp!$A$16),$D336,0)</f>
        <v>0</v>
      </c>
      <c r="O336">
        <f>IF(AND($C336 = Temp!$K$1, $B336 = Temp!$A$16),$D336,0)</f>
        <v>0</v>
      </c>
    </row>
    <row r="337" spans="2:15" hidden="1" x14ac:dyDescent="0.2">
      <c r="B337" t="s">
        <v>148</v>
      </c>
      <c r="C337" t="s">
        <v>41</v>
      </c>
      <c r="D337">
        <v>2</v>
      </c>
      <c r="F337">
        <f>IF(AND($C337 = Temp!$B$1, $B337 = Temp!$A$16),$D337,0)</f>
        <v>0</v>
      </c>
      <c r="G337">
        <f>IF(AND($C337 = Temp!$C$1, $B337 = Temp!$A$16),$D337,0)</f>
        <v>0</v>
      </c>
      <c r="H337">
        <f>IF(AND($C337 = Temp!$D$1, $B337 = Temp!$A$16),$D337,0)</f>
        <v>0</v>
      </c>
      <c r="I337">
        <f>IF(AND($C337 = Temp!$E$1, $B337 = Temp!$A$16),$D337,0)</f>
        <v>0</v>
      </c>
      <c r="J337">
        <f>IF(AND($C337 = Temp!$F$1, $B337 = Temp!$A$16),$D337,0)</f>
        <v>0</v>
      </c>
      <c r="K337">
        <f>IF(AND($C337 = Temp!$G$1, $B337 = Temp!$A$16),$D337,0)</f>
        <v>0</v>
      </c>
      <c r="L337">
        <f>IF(AND($C337 = Temp!$H$1, $B337 = Temp!$A$16),$D337,0)</f>
        <v>0</v>
      </c>
      <c r="M337">
        <f>IF(AND($C337 = Temp!$I$1, $B337 = Temp!$A$16),$D337,0)</f>
        <v>0</v>
      </c>
      <c r="N337">
        <f>IF(AND($C337 = Temp!$J$1, $B337 = Temp!$A$16),$D337,0)</f>
        <v>0</v>
      </c>
      <c r="O337">
        <f>IF(AND($C337 = Temp!$K$1, $B337 = Temp!$A$16),$D337,0)</f>
        <v>0</v>
      </c>
    </row>
    <row r="338" spans="2:15" hidden="1" x14ac:dyDescent="0.2">
      <c r="B338" t="s">
        <v>148</v>
      </c>
      <c r="C338" t="s">
        <v>41</v>
      </c>
      <c r="D338">
        <v>0.5</v>
      </c>
      <c r="F338">
        <f>IF(AND($C338 = Temp!$B$1, $B338 = Temp!$A$16),$D338,0)</f>
        <v>0</v>
      </c>
      <c r="G338">
        <f>IF(AND($C338 = Temp!$C$1, $B338 = Temp!$A$16),$D338,0)</f>
        <v>0</v>
      </c>
      <c r="H338">
        <f>IF(AND($C338 = Temp!$D$1, $B338 = Temp!$A$16),$D338,0)</f>
        <v>0</v>
      </c>
      <c r="I338">
        <f>IF(AND($C338 = Temp!$E$1, $B338 = Temp!$A$16),$D338,0)</f>
        <v>0</v>
      </c>
      <c r="J338">
        <f>IF(AND($C338 = Temp!$F$1, $B338 = Temp!$A$16),$D338,0)</f>
        <v>0</v>
      </c>
      <c r="K338">
        <f>IF(AND($C338 = Temp!$G$1, $B338 = Temp!$A$16),$D338,0)</f>
        <v>0</v>
      </c>
      <c r="L338">
        <f>IF(AND($C338 = Temp!$H$1, $B338 = Temp!$A$16),$D338,0)</f>
        <v>0</v>
      </c>
      <c r="M338">
        <f>IF(AND($C338 = Temp!$I$1, $B338 = Temp!$A$16),$D338,0)</f>
        <v>0</v>
      </c>
      <c r="N338">
        <f>IF(AND($C338 = Temp!$J$1, $B338 = Temp!$A$16),$D338,0)</f>
        <v>0</v>
      </c>
      <c r="O338">
        <f>IF(AND($C338 = Temp!$K$1, $B338 = Temp!$A$16),$D338,0)</f>
        <v>0</v>
      </c>
    </row>
    <row r="339" spans="2:15" hidden="1" x14ac:dyDescent="0.2">
      <c r="B339" t="s">
        <v>148</v>
      </c>
      <c r="C339" t="s">
        <v>41</v>
      </c>
      <c r="D339">
        <v>0.5</v>
      </c>
      <c r="F339">
        <f>IF(AND($C339 = Temp!$B$1, $B339 = Temp!$A$16),$D339,0)</f>
        <v>0</v>
      </c>
      <c r="G339">
        <f>IF(AND($C339 = Temp!$C$1, $B339 = Temp!$A$16),$D339,0)</f>
        <v>0</v>
      </c>
      <c r="H339">
        <f>IF(AND($C339 = Temp!$D$1, $B339 = Temp!$A$16),$D339,0)</f>
        <v>0</v>
      </c>
      <c r="I339">
        <f>IF(AND($C339 = Temp!$E$1, $B339 = Temp!$A$16),$D339,0)</f>
        <v>0</v>
      </c>
      <c r="J339">
        <f>IF(AND($C339 = Temp!$F$1, $B339 = Temp!$A$16),$D339,0)</f>
        <v>0</v>
      </c>
      <c r="K339">
        <f>IF(AND($C339 = Temp!$G$1, $B339 = Temp!$A$16),$D339,0)</f>
        <v>0</v>
      </c>
      <c r="L339">
        <f>IF(AND($C339 = Temp!$H$1, $B339 = Temp!$A$16),$D339,0)</f>
        <v>0</v>
      </c>
      <c r="M339">
        <f>IF(AND($C339 = Temp!$I$1, $B339 = Temp!$A$16),$D339,0)</f>
        <v>0</v>
      </c>
      <c r="N339">
        <f>IF(AND($C339 = Temp!$J$1, $B339 = Temp!$A$16),$D339,0)</f>
        <v>0</v>
      </c>
      <c r="O339">
        <f>IF(AND($C339 = Temp!$K$1, $B339 = Temp!$A$16),$D339,0)</f>
        <v>0</v>
      </c>
    </row>
    <row r="340" spans="2:15" hidden="1" x14ac:dyDescent="0.2">
      <c r="B340" t="s">
        <v>148</v>
      </c>
      <c r="C340" t="s">
        <v>41</v>
      </c>
      <c r="D340">
        <v>0.5</v>
      </c>
      <c r="F340">
        <f>IF(AND($C340 = Temp!$B$1, $B340 = Temp!$A$16),$D340,0)</f>
        <v>0</v>
      </c>
      <c r="G340">
        <f>IF(AND($C340 = Temp!$C$1, $B340 = Temp!$A$16),$D340,0)</f>
        <v>0</v>
      </c>
      <c r="H340">
        <f>IF(AND($C340 = Temp!$D$1, $B340 = Temp!$A$16),$D340,0)</f>
        <v>0</v>
      </c>
      <c r="I340">
        <f>IF(AND($C340 = Temp!$E$1, $B340 = Temp!$A$16),$D340,0)</f>
        <v>0</v>
      </c>
      <c r="J340">
        <f>IF(AND($C340 = Temp!$F$1, $B340 = Temp!$A$16),$D340,0)</f>
        <v>0</v>
      </c>
      <c r="K340">
        <f>IF(AND($C340 = Temp!$G$1, $B340 = Temp!$A$16),$D340,0)</f>
        <v>0</v>
      </c>
      <c r="L340">
        <f>IF(AND($C340 = Temp!$H$1, $B340 = Temp!$A$16),$D340,0)</f>
        <v>0</v>
      </c>
      <c r="M340">
        <f>IF(AND($C340 = Temp!$I$1, $B340 = Temp!$A$16),$D340,0)</f>
        <v>0</v>
      </c>
      <c r="N340">
        <f>IF(AND($C340 = Temp!$J$1, $B340 = Temp!$A$16),$D340,0)</f>
        <v>0</v>
      </c>
      <c r="O340">
        <f>IF(AND($C340 = Temp!$K$1, $B340 = Temp!$A$16),$D340,0)</f>
        <v>0</v>
      </c>
    </row>
    <row r="341" spans="2:15" hidden="1" x14ac:dyDescent="0.2">
      <c r="B341" t="s">
        <v>148</v>
      </c>
      <c r="C341" t="s">
        <v>41</v>
      </c>
      <c r="D341">
        <v>0.5</v>
      </c>
      <c r="F341">
        <f>IF(AND($C341 = Temp!$B$1, $B341 = Temp!$A$16),$D341,0)</f>
        <v>0</v>
      </c>
      <c r="G341">
        <f>IF(AND($C341 = Temp!$C$1, $B341 = Temp!$A$16),$D341,0)</f>
        <v>0</v>
      </c>
      <c r="H341">
        <f>IF(AND($C341 = Temp!$D$1, $B341 = Temp!$A$16),$D341,0)</f>
        <v>0</v>
      </c>
      <c r="I341">
        <f>IF(AND($C341 = Temp!$E$1, $B341 = Temp!$A$16),$D341,0)</f>
        <v>0</v>
      </c>
      <c r="J341">
        <f>IF(AND($C341 = Temp!$F$1, $B341 = Temp!$A$16),$D341,0)</f>
        <v>0</v>
      </c>
      <c r="K341">
        <f>IF(AND($C341 = Temp!$G$1, $B341 = Temp!$A$16),$D341,0)</f>
        <v>0</v>
      </c>
      <c r="L341">
        <f>IF(AND($C341 = Temp!$H$1, $B341 = Temp!$A$16),$D341,0)</f>
        <v>0</v>
      </c>
      <c r="M341">
        <f>IF(AND($C341 = Temp!$I$1, $B341 = Temp!$A$16),$D341,0)</f>
        <v>0</v>
      </c>
      <c r="N341">
        <f>IF(AND($C341 = Temp!$J$1, $B341 = Temp!$A$16),$D341,0)</f>
        <v>0</v>
      </c>
      <c r="O341">
        <f>IF(AND($C341 = Temp!$K$1, $B341 = Temp!$A$16),$D341,0)</f>
        <v>0</v>
      </c>
    </row>
    <row r="342" spans="2:15" hidden="1" x14ac:dyDescent="0.2">
      <c r="B342" t="s">
        <v>148</v>
      </c>
      <c r="C342" t="s">
        <v>261</v>
      </c>
      <c r="D342">
        <v>0.5</v>
      </c>
      <c r="F342">
        <f>IF(AND($C342 = Temp!$B$1, $B342 = Temp!$A$16),$D342,0)</f>
        <v>0</v>
      </c>
      <c r="G342">
        <f>IF(AND($C342 = Temp!$C$1, $B342 = Temp!$A$16),$D342,0)</f>
        <v>0</v>
      </c>
      <c r="H342">
        <f>IF(AND($C342 = Temp!$D$1, $B342 = Temp!$A$16),$D342,0)</f>
        <v>0</v>
      </c>
      <c r="I342">
        <f>IF(AND($C342 = Temp!$E$1, $B342 = Temp!$A$16),$D342,0)</f>
        <v>0</v>
      </c>
      <c r="J342">
        <f>IF(AND($C342 = Temp!$F$1, $B342 = Temp!$A$16),$D342,0)</f>
        <v>0</v>
      </c>
      <c r="K342">
        <f>IF(AND($C342 = Temp!$G$1, $B342 = Temp!$A$16),$D342,0)</f>
        <v>0</v>
      </c>
      <c r="L342">
        <f>IF(AND($C342 = Temp!$H$1, $B342 = Temp!$A$16),$D342,0)</f>
        <v>0</v>
      </c>
      <c r="M342">
        <f>IF(AND($C342 = Temp!$I$1, $B342 = Temp!$A$16),$D342,0)</f>
        <v>0</v>
      </c>
      <c r="N342">
        <f>IF(AND($C342 = Temp!$J$1, $B342 = Temp!$A$16),$D342,0)</f>
        <v>0</v>
      </c>
      <c r="O342">
        <f>IF(AND($C342 = Temp!$K$1, $B342 = Temp!$A$16),$D342,0)</f>
        <v>0</v>
      </c>
    </row>
    <row r="343" spans="2:15" hidden="1" x14ac:dyDescent="0.2">
      <c r="B343" t="s">
        <v>148</v>
      </c>
      <c r="C343" t="s">
        <v>261</v>
      </c>
      <c r="D343">
        <v>2</v>
      </c>
      <c r="F343">
        <f>IF(AND($C343 = Temp!$B$1, $B343 = Temp!$A$16),$D343,0)</f>
        <v>0</v>
      </c>
      <c r="G343">
        <f>IF(AND($C343 = Temp!$C$1, $B343 = Temp!$A$16),$D343,0)</f>
        <v>0</v>
      </c>
      <c r="H343">
        <f>IF(AND($C343 = Temp!$D$1, $B343 = Temp!$A$16),$D343,0)</f>
        <v>0</v>
      </c>
      <c r="I343">
        <f>IF(AND($C343 = Temp!$E$1, $B343 = Temp!$A$16),$D343,0)</f>
        <v>0</v>
      </c>
      <c r="J343">
        <f>IF(AND($C343 = Temp!$F$1, $B343 = Temp!$A$16),$D343,0)</f>
        <v>0</v>
      </c>
      <c r="K343">
        <f>IF(AND($C343 = Temp!$G$1, $B343 = Temp!$A$16),$D343,0)</f>
        <v>0</v>
      </c>
      <c r="L343">
        <f>IF(AND($C343 = Temp!$H$1, $B343 = Temp!$A$16),$D343,0)</f>
        <v>0</v>
      </c>
      <c r="M343">
        <f>IF(AND($C343 = Temp!$I$1, $B343 = Temp!$A$16),$D343,0)</f>
        <v>0</v>
      </c>
      <c r="N343">
        <f>IF(AND($C343 = Temp!$J$1, $B343 = Temp!$A$16),$D343,0)</f>
        <v>0</v>
      </c>
      <c r="O343">
        <f>IF(AND($C343 = Temp!$K$1, $B343 = Temp!$A$16),$D343,0)</f>
        <v>0</v>
      </c>
    </row>
    <row r="344" spans="2:15" hidden="1" x14ac:dyDescent="0.2">
      <c r="B344" t="s">
        <v>148</v>
      </c>
      <c r="C344" t="s">
        <v>261</v>
      </c>
      <c r="D344">
        <v>2</v>
      </c>
      <c r="F344">
        <f>IF(AND($C344 = Temp!$B$1, $B344 = Temp!$A$16),$D344,0)</f>
        <v>0</v>
      </c>
      <c r="G344">
        <f>IF(AND($C344 = Temp!$C$1, $B344 = Temp!$A$16),$D344,0)</f>
        <v>0</v>
      </c>
      <c r="H344">
        <f>IF(AND($C344 = Temp!$D$1, $B344 = Temp!$A$16),$D344,0)</f>
        <v>0</v>
      </c>
      <c r="I344">
        <f>IF(AND($C344 = Temp!$E$1, $B344 = Temp!$A$16),$D344,0)</f>
        <v>0</v>
      </c>
      <c r="J344">
        <f>IF(AND($C344 = Temp!$F$1, $B344 = Temp!$A$16),$D344,0)</f>
        <v>0</v>
      </c>
      <c r="K344">
        <f>IF(AND($C344 = Temp!$G$1, $B344 = Temp!$A$16),$D344,0)</f>
        <v>0</v>
      </c>
      <c r="L344">
        <f>IF(AND($C344 = Temp!$H$1, $B344 = Temp!$A$16),$D344,0)</f>
        <v>0</v>
      </c>
      <c r="M344">
        <f>IF(AND($C344 = Temp!$I$1, $B344 = Temp!$A$16),$D344,0)</f>
        <v>0</v>
      </c>
      <c r="N344">
        <f>IF(AND($C344 = Temp!$J$1, $B344 = Temp!$A$16),$D344,0)</f>
        <v>0</v>
      </c>
      <c r="O344">
        <f>IF(AND($C344 = Temp!$K$1, $B344 = Temp!$A$16),$D344,0)</f>
        <v>0</v>
      </c>
    </row>
    <row r="345" spans="2:15" hidden="1" x14ac:dyDescent="0.2">
      <c r="B345" t="s">
        <v>148</v>
      </c>
      <c r="C345" t="s">
        <v>260</v>
      </c>
      <c r="D345">
        <v>0.3</v>
      </c>
      <c r="F345">
        <f>IF(AND($C345 = Temp!$B$1, $B345 = Temp!$A$16),$D345,0)</f>
        <v>0</v>
      </c>
      <c r="G345">
        <f>IF(AND($C345 = Temp!$C$1, $B345 = Temp!$A$16),$D345,0)</f>
        <v>0</v>
      </c>
      <c r="H345">
        <f>IF(AND($C345 = Temp!$D$1, $B345 = Temp!$A$16),$D345,0)</f>
        <v>0</v>
      </c>
      <c r="I345">
        <f>IF(AND($C345 = Temp!$E$1, $B345 = Temp!$A$16),$D345,0)</f>
        <v>0</v>
      </c>
      <c r="J345">
        <f>IF(AND($C345 = Temp!$F$1, $B345 = Temp!$A$16),$D345,0)</f>
        <v>0</v>
      </c>
      <c r="K345">
        <f>IF(AND($C345 = Temp!$G$1, $B345 = Temp!$A$16),$D345,0)</f>
        <v>0</v>
      </c>
      <c r="L345">
        <f>IF(AND($C345 = Temp!$H$1, $B345 = Temp!$A$16),$D345,0)</f>
        <v>0</v>
      </c>
      <c r="M345">
        <f>IF(AND($C345 = Temp!$I$1, $B345 = Temp!$A$16),$D345,0)</f>
        <v>0</v>
      </c>
      <c r="N345">
        <f>IF(AND($C345 = Temp!$J$1, $B345 = Temp!$A$16),$D345,0)</f>
        <v>0</v>
      </c>
      <c r="O345">
        <f>IF(AND($C345 = Temp!$K$1, $B345 = Temp!$A$16),$D345,0)</f>
        <v>0</v>
      </c>
    </row>
    <row r="346" spans="2:15" hidden="1" x14ac:dyDescent="0.2">
      <c r="B346" t="s">
        <v>148</v>
      </c>
      <c r="C346" t="s">
        <v>219</v>
      </c>
      <c r="D346">
        <v>1</v>
      </c>
      <c r="F346">
        <f>IF(AND($C346 = Temp!$B$1, $B346 = Temp!$A$16),$D346,0)</f>
        <v>0</v>
      </c>
      <c r="G346">
        <f>IF(AND($C346 = Temp!$C$1, $B346 = Temp!$A$16),$D346,0)</f>
        <v>0</v>
      </c>
      <c r="H346">
        <f>IF(AND($C346 = Temp!$D$1, $B346 = Temp!$A$16),$D346,0)</f>
        <v>0</v>
      </c>
      <c r="I346">
        <f>IF(AND($C346 = Temp!$E$1, $B346 = Temp!$A$16),$D346,0)</f>
        <v>0</v>
      </c>
      <c r="J346">
        <f>IF(AND($C346 = Temp!$F$1, $B346 = Temp!$A$16),$D346,0)</f>
        <v>0</v>
      </c>
      <c r="K346">
        <f>IF(AND($C346 = Temp!$G$1, $B346 = Temp!$A$16),$D346,0)</f>
        <v>0</v>
      </c>
      <c r="L346">
        <f>IF(AND($C346 = Temp!$H$1, $B346 = Temp!$A$16),$D346,0)</f>
        <v>0</v>
      </c>
      <c r="M346">
        <f>IF(AND($C346 = Temp!$I$1, $B346 = Temp!$A$16),$D346,0)</f>
        <v>0</v>
      </c>
      <c r="N346">
        <f>IF(AND($C346 = Temp!$J$1, $B346 = Temp!$A$16),$D346,0)</f>
        <v>0</v>
      </c>
      <c r="O346">
        <f>IF(AND($C346 = Temp!$K$1, $B346 = Temp!$A$16),$D346,0)</f>
        <v>0</v>
      </c>
    </row>
    <row r="347" spans="2:15" hidden="1" x14ac:dyDescent="0.2">
      <c r="B347" t="s">
        <v>148</v>
      </c>
      <c r="C347" t="s">
        <v>219</v>
      </c>
      <c r="D347">
        <v>1</v>
      </c>
      <c r="F347">
        <f>IF(AND($C347 = Temp!$B$1, $B347 = Temp!$A$16),$D347,0)</f>
        <v>0</v>
      </c>
      <c r="G347">
        <f>IF(AND($C347 = Temp!$C$1, $B347 = Temp!$A$16),$D347,0)</f>
        <v>0</v>
      </c>
      <c r="H347">
        <f>IF(AND($C347 = Temp!$D$1, $B347 = Temp!$A$16),$D347,0)</f>
        <v>0</v>
      </c>
      <c r="I347">
        <f>IF(AND($C347 = Temp!$E$1, $B347 = Temp!$A$16),$D347,0)</f>
        <v>0</v>
      </c>
      <c r="J347">
        <f>IF(AND($C347 = Temp!$F$1, $B347 = Temp!$A$16),$D347,0)</f>
        <v>0</v>
      </c>
      <c r="K347">
        <f>IF(AND($C347 = Temp!$G$1, $B347 = Temp!$A$16),$D347,0)</f>
        <v>0</v>
      </c>
      <c r="L347">
        <f>IF(AND($C347 = Temp!$H$1, $B347 = Temp!$A$16),$D347,0)</f>
        <v>0</v>
      </c>
      <c r="M347">
        <f>IF(AND($C347 = Temp!$I$1, $B347 = Temp!$A$16),$D347,0)</f>
        <v>0</v>
      </c>
      <c r="N347">
        <f>IF(AND($C347 = Temp!$J$1, $B347 = Temp!$A$16),$D347,0)</f>
        <v>0</v>
      </c>
      <c r="O347">
        <f>IF(AND($C347 = Temp!$K$1, $B347 = Temp!$A$16),$D347,0)</f>
        <v>0</v>
      </c>
    </row>
    <row r="348" spans="2:15" hidden="1" x14ac:dyDescent="0.2">
      <c r="B348" t="s">
        <v>262</v>
      </c>
      <c r="C348" t="s">
        <v>219</v>
      </c>
      <c r="D348">
        <v>2</v>
      </c>
      <c r="F348">
        <f>IF(AND($C348 = Temp!$B$1, $B348 = Temp!$A$16),$D348,0)</f>
        <v>0</v>
      </c>
      <c r="G348">
        <f>IF(AND($C348 = Temp!$C$1, $B348 = Temp!$A$16),$D348,0)</f>
        <v>0</v>
      </c>
      <c r="H348">
        <f>IF(AND($C348 = Temp!$D$1, $B348 = Temp!$A$16),$D348,0)</f>
        <v>0</v>
      </c>
      <c r="I348">
        <f>IF(AND($C348 = Temp!$E$1, $B348 = Temp!$A$16),$D348,0)</f>
        <v>0</v>
      </c>
      <c r="J348">
        <f>IF(AND($C348 = Temp!$F$1, $B348 = Temp!$A$16),$D348,0)</f>
        <v>0</v>
      </c>
      <c r="K348">
        <f>IF(AND($C348 = Temp!$G$1, $B348 = Temp!$A$16),$D348,0)</f>
        <v>0</v>
      </c>
      <c r="L348">
        <f>IF(AND($C348 = Temp!$H$1, $B348 = Temp!$A$16),$D348,0)</f>
        <v>0</v>
      </c>
      <c r="M348">
        <f>IF(AND($C348 = Temp!$I$1, $B348 = Temp!$A$16),$D348,0)</f>
        <v>0</v>
      </c>
      <c r="N348">
        <f>IF(AND($C348 = Temp!$J$1, $B348 = Temp!$A$16),$D348,0)</f>
        <v>0</v>
      </c>
      <c r="O348">
        <f>IF(AND($C348 = Temp!$K$1, $B348 = Temp!$A$16),$D348,0)</f>
        <v>0</v>
      </c>
    </row>
    <row r="349" spans="2:15" hidden="1" x14ac:dyDescent="0.2">
      <c r="B349" t="s">
        <v>262</v>
      </c>
      <c r="C349" t="s">
        <v>261</v>
      </c>
      <c r="D349">
        <v>1</v>
      </c>
      <c r="F349">
        <f>IF(AND($C349 = Temp!$B$1, $B349 = Temp!$A$16),$D349,0)</f>
        <v>0</v>
      </c>
      <c r="G349">
        <f>IF(AND($C349 = Temp!$C$1, $B349 = Temp!$A$16),$D349,0)</f>
        <v>0</v>
      </c>
      <c r="H349">
        <f>IF(AND($C349 = Temp!$D$1, $B349 = Temp!$A$16),$D349,0)</f>
        <v>0</v>
      </c>
      <c r="I349">
        <f>IF(AND($C349 = Temp!$E$1, $B349 = Temp!$A$16),$D349,0)</f>
        <v>0</v>
      </c>
      <c r="J349">
        <f>IF(AND($C349 = Temp!$F$1, $B349 = Temp!$A$16),$D349,0)</f>
        <v>0</v>
      </c>
      <c r="K349">
        <f>IF(AND($C349 = Temp!$G$1, $B349 = Temp!$A$16),$D349,0)</f>
        <v>0</v>
      </c>
      <c r="L349">
        <f>IF(AND($C349 = Temp!$H$1, $B349 = Temp!$A$16),$D349,0)</f>
        <v>0</v>
      </c>
      <c r="M349">
        <f>IF(AND($C349 = Temp!$I$1, $B349 = Temp!$A$16),$D349,0)</f>
        <v>0</v>
      </c>
      <c r="N349">
        <f>IF(AND($C349 = Temp!$J$1, $B349 = Temp!$A$16),$D349,0)</f>
        <v>0</v>
      </c>
      <c r="O349">
        <f>IF(AND($C349 = Temp!$K$1, $B349 = Temp!$A$16),$D349,0)</f>
        <v>0</v>
      </c>
    </row>
    <row r="350" spans="2:15" hidden="1" x14ac:dyDescent="0.2">
      <c r="B350" t="s">
        <v>262</v>
      </c>
      <c r="C350" t="s">
        <v>219</v>
      </c>
      <c r="D350">
        <v>2</v>
      </c>
      <c r="F350">
        <f>IF(AND($C350 = Temp!$B$1, $B350 = Temp!$A$16),$D350,0)</f>
        <v>0</v>
      </c>
      <c r="G350">
        <f>IF(AND($C350 = Temp!$C$1, $B350 = Temp!$A$16),$D350,0)</f>
        <v>0</v>
      </c>
      <c r="H350">
        <f>IF(AND($C350 = Temp!$D$1, $B350 = Temp!$A$16),$D350,0)</f>
        <v>0</v>
      </c>
      <c r="I350">
        <f>IF(AND($C350 = Temp!$E$1, $B350 = Temp!$A$16),$D350,0)</f>
        <v>0</v>
      </c>
      <c r="J350">
        <f>IF(AND($C350 = Temp!$F$1, $B350 = Temp!$A$16),$D350,0)</f>
        <v>0</v>
      </c>
      <c r="K350">
        <f>IF(AND($C350 = Temp!$G$1, $B350 = Temp!$A$16),$D350,0)</f>
        <v>0</v>
      </c>
      <c r="L350">
        <f>IF(AND($C350 = Temp!$H$1, $B350 = Temp!$A$16),$D350,0)</f>
        <v>0</v>
      </c>
      <c r="M350">
        <f>IF(AND($C350 = Temp!$I$1, $B350 = Temp!$A$16),$D350,0)</f>
        <v>0</v>
      </c>
      <c r="N350">
        <f>IF(AND($C350 = Temp!$J$1, $B350 = Temp!$A$16),$D350,0)</f>
        <v>0</v>
      </c>
      <c r="O350">
        <f>IF(AND($C350 = Temp!$K$1, $B350 = Temp!$A$16),$D350,0)</f>
        <v>0</v>
      </c>
    </row>
    <row r="351" spans="2:15" hidden="1" x14ac:dyDescent="0.2">
      <c r="B351" t="s">
        <v>262</v>
      </c>
      <c r="C351" t="s">
        <v>261</v>
      </c>
      <c r="D351">
        <v>1</v>
      </c>
      <c r="F351">
        <f>IF(AND($C351 = Temp!$B$1, $B351 = Temp!$A$16),$D351,0)</f>
        <v>0</v>
      </c>
      <c r="G351">
        <f>IF(AND($C351 = Temp!$C$1, $B351 = Temp!$A$16),$D351,0)</f>
        <v>0</v>
      </c>
      <c r="H351">
        <f>IF(AND($C351 = Temp!$D$1, $B351 = Temp!$A$16),$D351,0)</f>
        <v>0</v>
      </c>
      <c r="I351">
        <f>IF(AND($C351 = Temp!$E$1, $B351 = Temp!$A$16),$D351,0)</f>
        <v>0</v>
      </c>
      <c r="J351">
        <f>IF(AND($C351 = Temp!$F$1, $B351 = Temp!$A$16),$D351,0)</f>
        <v>0</v>
      </c>
      <c r="K351">
        <f>IF(AND($C351 = Temp!$G$1, $B351 = Temp!$A$16),$D351,0)</f>
        <v>0</v>
      </c>
      <c r="L351">
        <f>IF(AND($C351 = Temp!$H$1, $B351 = Temp!$A$16),$D351,0)</f>
        <v>0</v>
      </c>
      <c r="M351">
        <f>IF(AND($C351 = Temp!$I$1, $B351 = Temp!$A$16),$D351,0)</f>
        <v>0</v>
      </c>
      <c r="N351">
        <f>IF(AND($C351 = Temp!$J$1, $B351 = Temp!$A$16),$D351,0)</f>
        <v>0</v>
      </c>
      <c r="O351">
        <f>IF(AND($C351 = Temp!$K$1, $B351 = Temp!$A$16),$D351,0)</f>
        <v>0</v>
      </c>
    </row>
    <row r="352" spans="2:15" hidden="1" x14ac:dyDescent="0.2">
      <c r="B352" t="s">
        <v>262</v>
      </c>
      <c r="C352" t="s">
        <v>260</v>
      </c>
      <c r="D352">
        <v>0.5</v>
      </c>
      <c r="F352">
        <f>IF(AND($C352 = Temp!$B$1, $B352 = Temp!$A$16),$D352,0)</f>
        <v>0</v>
      </c>
      <c r="G352">
        <f>IF(AND($C352 = Temp!$C$1, $B352 = Temp!$A$16),$D352,0)</f>
        <v>0</v>
      </c>
      <c r="H352">
        <f>IF(AND($C352 = Temp!$D$1, $B352 = Temp!$A$16),$D352,0)</f>
        <v>0</v>
      </c>
      <c r="I352">
        <f>IF(AND($C352 = Temp!$E$1, $B352 = Temp!$A$16),$D352,0)</f>
        <v>0</v>
      </c>
      <c r="J352">
        <f>IF(AND($C352 = Temp!$F$1, $B352 = Temp!$A$16),$D352,0)</f>
        <v>0</v>
      </c>
      <c r="K352">
        <f>IF(AND($C352 = Temp!$G$1, $B352 = Temp!$A$16),$D352,0)</f>
        <v>0</v>
      </c>
      <c r="L352">
        <f>IF(AND($C352 = Temp!$H$1, $B352 = Temp!$A$16),$D352,0)</f>
        <v>0</v>
      </c>
      <c r="M352">
        <f>IF(AND($C352 = Temp!$I$1, $B352 = Temp!$A$16),$D352,0)</f>
        <v>0</v>
      </c>
      <c r="N352">
        <f>IF(AND($C352 = Temp!$J$1, $B352 = Temp!$A$16),$D352,0)</f>
        <v>0</v>
      </c>
      <c r="O352">
        <f>IF(AND($C352 = Temp!$K$1, $B352 = Temp!$A$16),$D352,0)</f>
        <v>0</v>
      </c>
    </row>
    <row r="353" spans="2:15" hidden="1" x14ac:dyDescent="0.2">
      <c r="B353" t="s">
        <v>262</v>
      </c>
      <c r="C353" t="s">
        <v>261</v>
      </c>
      <c r="D353">
        <v>4</v>
      </c>
      <c r="F353">
        <f>IF(AND($C353 = Temp!$B$1, $B353 = Temp!$A$16),$D353,0)</f>
        <v>0</v>
      </c>
      <c r="G353">
        <f>IF(AND($C353 = Temp!$C$1, $B353 = Temp!$A$16),$D353,0)</f>
        <v>0</v>
      </c>
      <c r="H353">
        <f>IF(AND($C353 = Temp!$D$1, $B353 = Temp!$A$16),$D353,0)</f>
        <v>0</v>
      </c>
      <c r="I353">
        <f>IF(AND($C353 = Temp!$E$1, $B353 = Temp!$A$16),$D353,0)</f>
        <v>0</v>
      </c>
      <c r="J353">
        <f>IF(AND($C353 = Temp!$F$1, $B353 = Temp!$A$16),$D353,0)</f>
        <v>0</v>
      </c>
      <c r="K353">
        <f>IF(AND($C353 = Temp!$G$1, $B353 = Temp!$A$16),$D353,0)</f>
        <v>0</v>
      </c>
      <c r="L353">
        <f>IF(AND($C353 = Temp!$H$1, $B353 = Temp!$A$16),$D353,0)</f>
        <v>0</v>
      </c>
      <c r="M353">
        <f>IF(AND($C353 = Temp!$I$1, $B353 = Temp!$A$16),$D353,0)</f>
        <v>0</v>
      </c>
      <c r="N353">
        <f>IF(AND($C353 = Temp!$J$1, $B353 = Temp!$A$16),$D353,0)</f>
        <v>0</v>
      </c>
      <c r="O353">
        <f>IF(AND($C353 = Temp!$K$1, $B353 = Temp!$A$16),$D353,0)</f>
        <v>0</v>
      </c>
    </row>
    <row r="354" spans="2:15" hidden="1" x14ac:dyDescent="0.2">
      <c r="B354" t="s">
        <v>262</v>
      </c>
      <c r="C354" t="s">
        <v>261</v>
      </c>
      <c r="D354">
        <v>3</v>
      </c>
      <c r="F354">
        <f>IF(AND($C354 = Temp!$B$1, $B354 = Temp!$A$16),$D354,0)</f>
        <v>0</v>
      </c>
      <c r="G354">
        <f>IF(AND($C354 = Temp!$C$1, $B354 = Temp!$A$16),$D354,0)</f>
        <v>0</v>
      </c>
      <c r="H354">
        <f>IF(AND($C354 = Temp!$D$1, $B354 = Temp!$A$16),$D354,0)</f>
        <v>0</v>
      </c>
      <c r="I354">
        <f>IF(AND($C354 = Temp!$E$1, $B354 = Temp!$A$16),$D354,0)</f>
        <v>0</v>
      </c>
      <c r="J354">
        <f>IF(AND($C354 = Temp!$F$1, $B354 = Temp!$A$16),$D354,0)</f>
        <v>0</v>
      </c>
      <c r="K354">
        <f>IF(AND($C354 = Temp!$G$1, $B354 = Temp!$A$16),$D354,0)</f>
        <v>0</v>
      </c>
      <c r="L354">
        <f>IF(AND($C354 = Temp!$H$1, $B354 = Temp!$A$16),$D354,0)</f>
        <v>0</v>
      </c>
      <c r="M354">
        <f>IF(AND($C354 = Temp!$I$1, $B354 = Temp!$A$16),$D354,0)</f>
        <v>0</v>
      </c>
      <c r="N354">
        <f>IF(AND($C354 = Temp!$J$1, $B354 = Temp!$A$16),$D354,0)</f>
        <v>0</v>
      </c>
      <c r="O354">
        <f>IF(AND($C354 = Temp!$K$1, $B354 = Temp!$A$16),$D354,0)</f>
        <v>0</v>
      </c>
    </row>
    <row r="355" spans="2:15" hidden="1" x14ac:dyDescent="0.2">
      <c r="B355" t="s">
        <v>262</v>
      </c>
      <c r="C355" t="s">
        <v>279</v>
      </c>
      <c r="D355">
        <v>0.4</v>
      </c>
      <c r="F355">
        <f>IF(AND($C355 = Temp!$B$1, $B355 = Temp!$A$16),$D355,0)</f>
        <v>0</v>
      </c>
      <c r="G355">
        <f>IF(AND($C355 = Temp!$C$1, $B355 = Temp!$A$16),$D355,0)</f>
        <v>0</v>
      </c>
      <c r="H355">
        <f>IF(AND($C355 = Temp!$D$1, $B355 = Temp!$A$16),$D355,0)</f>
        <v>0</v>
      </c>
      <c r="I355">
        <f>IF(AND($C355 = Temp!$E$1, $B355 = Temp!$A$16),$D355,0)</f>
        <v>0</v>
      </c>
      <c r="J355">
        <f>IF(AND($C355 = Temp!$F$1, $B355 = Temp!$A$16),$D355,0)</f>
        <v>0</v>
      </c>
      <c r="K355">
        <f>IF(AND($C355 = Temp!$G$1, $B355 = Temp!$A$16),$D355,0)</f>
        <v>0</v>
      </c>
      <c r="L355">
        <f>IF(AND($C355 = Temp!$H$1, $B355 = Temp!$A$16),$D355,0)</f>
        <v>0</v>
      </c>
      <c r="M355">
        <f>IF(AND($C355 = Temp!$I$1, $B355 = Temp!$A$16),$D355,0)</f>
        <v>0</v>
      </c>
      <c r="N355">
        <f>IF(AND($C355 = Temp!$J$1, $B355 = Temp!$A$16),$D355,0)</f>
        <v>0</v>
      </c>
      <c r="O355">
        <f>IF(AND($C355 = Temp!$K$1, $B355 = Temp!$A$16),$D355,0)</f>
        <v>0</v>
      </c>
    </row>
    <row r="356" spans="2:15" hidden="1" x14ac:dyDescent="0.2">
      <c r="B356" t="s">
        <v>262</v>
      </c>
      <c r="C356" t="s">
        <v>279</v>
      </c>
      <c r="D356">
        <v>1.5</v>
      </c>
      <c r="F356">
        <f>IF(AND($C356 = Temp!$B$1, $B356 = Temp!$A$16),$D356,0)</f>
        <v>0</v>
      </c>
      <c r="G356">
        <f>IF(AND($C356 = Temp!$C$1, $B356 = Temp!$A$16),$D356,0)</f>
        <v>0</v>
      </c>
      <c r="H356">
        <f>IF(AND($C356 = Temp!$D$1, $B356 = Temp!$A$16),$D356,0)</f>
        <v>0</v>
      </c>
      <c r="I356">
        <f>IF(AND($C356 = Temp!$E$1, $B356 = Temp!$A$16),$D356,0)</f>
        <v>0</v>
      </c>
      <c r="J356">
        <f>IF(AND($C356 = Temp!$F$1, $B356 = Temp!$A$16),$D356,0)</f>
        <v>0</v>
      </c>
      <c r="K356">
        <f>IF(AND($C356 = Temp!$G$1, $B356 = Temp!$A$16),$D356,0)</f>
        <v>0</v>
      </c>
      <c r="L356">
        <f>IF(AND($C356 = Temp!$H$1, $B356 = Temp!$A$16),$D356,0)</f>
        <v>0</v>
      </c>
      <c r="M356">
        <f>IF(AND($C356 = Temp!$I$1, $B356 = Temp!$A$16),$D356,0)</f>
        <v>0</v>
      </c>
      <c r="N356">
        <f>IF(AND($C356 = Temp!$J$1, $B356 = Temp!$A$16),$D356,0)</f>
        <v>0</v>
      </c>
      <c r="O356">
        <f>IF(AND($C356 = Temp!$K$1, $B356 = Temp!$A$16),$D356,0)</f>
        <v>0</v>
      </c>
    </row>
    <row r="357" spans="2:15" hidden="1" x14ac:dyDescent="0.2">
      <c r="B357" t="s">
        <v>262</v>
      </c>
      <c r="C357" t="s">
        <v>279</v>
      </c>
      <c r="D357">
        <v>0</v>
      </c>
      <c r="F357">
        <f>IF(AND($C357 = Temp!$B$1, $B357 = Temp!$A$16),$D357,0)</f>
        <v>0</v>
      </c>
      <c r="G357">
        <f>IF(AND($C357 = Temp!$C$1, $B357 = Temp!$A$16),$D357,0)</f>
        <v>0</v>
      </c>
      <c r="H357">
        <f>IF(AND($C357 = Temp!$D$1, $B357 = Temp!$A$16),$D357,0)</f>
        <v>0</v>
      </c>
      <c r="I357">
        <f>IF(AND($C357 = Temp!$E$1, $B357 = Temp!$A$16),$D357,0)</f>
        <v>0</v>
      </c>
      <c r="J357">
        <f>IF(AND($C357 = Temp!$F$1, $B357 = Temp!$A$16),$D357,0)</f>
        <v>0</v>
      </c>
      <c r="K357">
        <f>IF(AND($C357 = Temp!$G$1, $B357 = Temp!$A$16),$D357,0)</f>
        <v>0</v>
      </c>
      <c r="L357">
        <f>IF(AND($C357 = Temp!$H$1, $B357 = Temp!$A$16),$D357,0)</f>
        <v>0</v>
      </c>
      <c r="M357">
        <f>IF(AND($C357 = Temp!$I$1, $B357 = Temp!$A$16),$D357,0)</f>
        <v>0</v>
      </c>
      <c r="N357">
        <f>IF(AND($C357 = Temp!$J$1, $B357 = Temp!$A$16),$D357,0)</f>
        <v>0</v>
      </c>
      <c r="O357">
        <f>IF(AND($C357 = Temp!$K$1, $B357 = Temp!$A$16),$D357,0)</f>
        <v>0</v>
      </c>
    </row>
    <row r="358" spans="2:15" hidden="1" x14ac:dyDescent="0.2">
      <c r="B358" t="s">
        <v>262</v>
      </c>
      <c r="C358" t="s">
        <v>279</v>
      </c>
      <c r="D358">
        <v>0.5</v>
      </c>
      <c r="F358">
        <f>IF(AND($C358 = Temp!$B$1, $B358 = Temp!$A$16),$D358,0)</f>
        <v>0</v>
      </c>
      <c r="G358">
        <f>IF(AND($C358 = Temp!$C$1, $B358 = Temp!$A$16),$D358,0)</f>
        <v>0</v>
      </c>
      <c r="H358">
        <f>IF(AND($C358 = Temp!$D$1, $B358 = Temp!$A$16),$D358,0)</f>
        <v>0</v>
      </c>
      <c r="I358">
        <f>IF(AND($C358 = Temp!$E$1, $B358 = Temp!$A$16),$D358,0)</f>
        <v>0</v>
      </c>
      <c r="J358">
        <f>IF(AND($C358 = Temp!$F$1, $B358 = Temp!$A$16),$D358,0)</f>
        <v>0</v>
      </c>
      <c r="K358">
        <f>IF(AND($C358 = Temp!$G$1, $B358 = Temp!$A$16),$D358,0)</f>
        <v>0</v>
      </c>
      <c r="L358">
        <f>IF(AND($C358 = Temp!$H$1, $B358 = Temp!$A$16),$D358,0)</f>
        <v>0</v>
      </c>
      <c r="M358">
        <f>IF(AND($C358 = Temp!$I$1, $B358 = Temp!$A$16),$D358,0)</f>
        <v>0</v>
      </c>
      <c r="N358">
        <f>IF(AND($C358 = Temp!$J$1, $B358 = Temp!$A$16),$D358,0)</f>
        <v>0</v>
      </c>
      <c r="O358">
        <f>IF(AND($C358 = Temp!$K$1, $B358 = Temp!$A$16),$D358,0)</f>
        <v>0</v>
      </c>
    </row>
    <row r="359" spans="2:15" hidden="1" x14ac:dyDescent="0.2">
      <c r="B359" t="s">
        <v>262</v>
      </c>
      <c r="C359" t="s">
        <v>279</v>
      </c>
      <c r="D359">
        <v>3.5</v>
      </c>
      <c r="F359">
        <f>IF(AND($C359 = Temp!$B$1, $B359 = Temp!$A$16),$D359,0)</f>
        <v>0</v>
      </c>
      <c r="G359">
        <f>IF(AND($C359 = Temp!$C$1, $B359 = Temp!$A$16),$D359,0)</f>
        <v>0</v>
      </c>
      <c r="H359">
        <f>IF(AND($C359 = Temp!$D$1, $B359 = Temp!$A$16),$D359,0)</f>
        <v>0</v>
      </c>
      <c r="I359">
        <f>IF(AND($C359 = Temp!$E$1, $B359 = Temp!$A$16),$D359,0)</f>
        <v>0</v>
      </c>
      <c r="J359">
        <f>IF(AND($C359 = Temp!$F$1, $B359 = Temp!$A$16),$D359,0)</f>
        <v>0</v>
      </c>
      <c r="K359">
        <f>IF(AND($C359 = Temp!$G$1, $B359 = Temp!$A$16),$D359,0)</f>
        <v>0</v>
      </c>
      <c r="L359">
        <f>IF(AND($C359 = Temp!$H$1, $B359 = Temp!$A$16),$D359,0)</f>
        <v>0</v>
      </c>
      <c r="M359">
        <f>IF(AND($C359 = Temp!$I$1, $B359 = Temp!$A$16),$D359,0)</f>
        <v>0</v>
      </c>
      <c r="N359">
        <f>IF(AND($C359 = Temp!$J$1, $B359 = Temp!$A$16),$D359,0)</f>
        <v>0</v>
      </c>
      <c r="O359">
        <f>IF(AND($C359 = Temp!$K$1, $B359 = Temp!$A$16),$D359,0)</f>
        <v>0</v>
      </c>
    </row>
    <row r="360" spans="2:15" hidden="1" x14ac:dyDescent="0.2">
      <c r="B360" t="s">
        <v>262</v>
      </c>
      <c r="C360" t="s">
        <v>279</v>
      </c>
      <c r="D360">
        <v>1</v>
      </c>
      <c r="F360">
        <f>IF(AND($C360 = Temp!$B$1, $B360 = Temp!$A$16),$D360,0)</f>
        <v>0</v>
      </c>
      <c r="G360">
        <f>IF(AND($C360 = Temp!$C$1, $B360 = Temp!$A$16),$D360,0)</f>
        <v>0</v>
      </c>
      <c r="H360">
        <f>IF(AND($C360 = Temp!$D$1, $B360 = Temp!$A$16),$D360,0)</f>
        <v>0</v>
      </c>
      <c r="I360">
        <f>IF(AND($C360 = Temp!$E$1, $B360 = Temp!$A$16),$D360,0)</f>
        <v>0</v>
      </c>
      <c r="J360">
        <f>IF(AND($C360 = Temp!$F$1, $B360 = Temp!$A$16),$D360,0)</f>
        <v>0</v>
      </c>
      <c r="K360">
        <f>IF(AND($C360 = Temp!$G$1, $B360 = Temp!$A$16),$D360,0)</f>
        <v>0</v>
      </c>
      <c r="L360">
        <f>IF(AND($C360 = Temp!$H$1, $B360 = Temp!$A$16),$D360,0)</f>
        <v>0</v>
      </c>
      <c r="M360">
        <f>IF(AND($C360 = Temp!$I$1, $B360 = Temp!$A$16),$D360,0)</f>
        <v>0</v>
      </c>
      <c r="N360">
        <f>IF(AND($C360 = Temp!$J$1, $B360 = Temp!$A$16),$D360,0)</f>
        <v>0</v>
      </c>
      <c r="O360">
        <f>IF(AND($C360 = Temp!$K$1, $B360 = Temp!$A$16),$D360,0)</f>
        <v>0</v>
      </c>
    </row>
    <row r="361" spans="2:15" hidden="1" x14ac:dyDescent="0.2">
      <c r="B361" t="s">
        <v>262</v>
      </c>
      <c r="C361" t="s">
        <v>279</v>
      </c>
      <c r="D361">
        <v>0.2</v>
      </c>
      <c r="F361">
        <f>IF(AND($C361 = Temp!$B$1, $B361 = Temp!$A$16),$D361,0)</f>
        <v>0</v>
      </c>
      <c r="G361">
        <f>IF(AND($C361 = Temp!$C$1, $B361 = Temp!$A$16),$D361,0)</f>
        <v>0</v>
      </c>
      <c r="H361">
        <f>IF(AND($C361 = Temp!$D$1, $B361 = Temp!$A$16),$D361,0)</f>
        <v>0</v>
      </c>
      <c r="I361">
        <f>IF(AND($C361 = Temp!$E$1, $B361 = Temp!$A$16),$D361,0)</f>
        <v>0</v>
      </c>
      <c r="J361">
        <f>IF(AND($C361 = Temp!$F$1, $B361 = Temp!$A$16),$D361,0)</f>
        <v>0</v>
      </c>
      <c r="K361">
        <f>IF(AND($C361 = Temp!$G$1, $B361 = Temp!$A$16),$D361,0)</f>
        <v>0</v>
      </c>
      <c r="L361">
        <f>IF(AND($C361 = Temp!$H$1, $B361 = Temp!$A$16),$D361,0)</f>
        <v>0</v>
      </c>
      <c r="M361">
        <f>IF(AND($C361 = Temp!$I$1, $B361 = Temp!$A$16),$D361,0)</f>
        <v>0</v>
      </c>
      <c r="N361">
        <f>IF(AND($C361 = Temp!$J$1, $B361 = Temp!$A$16),$D361,0)</f>
        <v>0</v>
      </c>
      <c r="O361">
        <f>IF(AND($C361 = Temp!$K$1, $B361 = Temp!$A$16),$D361,0)</f>
        <v>0</v>
      </c>
    </row>
    <row r="362" spans="2:15" hidden="1" x14ac:dyDescent="0.2">
      <c r="B362" t="s">
        <v>262</v>
      </c>
      <c r="C362" t="s">
        <v>279</v>
      </c>
      <c r="D362">
        <v>0.3</v>
      </c>
      <c r="F362">
        <f>IF(AND($C362 = Temp!$B$1, $B362 = Temp!$A$16),$D362,0)</f>
        <v>0</v>
      </c>
      <c r="G362">
        <f>IF(AND($C362 = Temp!$C$1, $B362 = Temp!$A$16),$D362,0)</f>
        <v>0</v>
      </c>
      <c r="H362">
        <f>IF(AND($C362 = Temp!$D$1, $B362 = Temp!$A$16),$D362,0)</f>
        <v>0</v>
      </c>
      <c r="I362">
        <f>IF(AND($C362 = Temp!$E$1, $B362 = Temp!$A$16),$D362,0)</f>
        <v>0</v>
      </c>
      <c r="J362">
        <f>IF(AND($C362 = Temp!$F$1, $B362 = Temp!$A$16),$D362,0)</f>
        <v>0</v>
      </c>
      <c r="K362">
        <f>IF(AND($C362 = Temp!$G$1, $B362 = Temp!$A$16),$D362,0)</f>
        <v>0</v>
      </c>
      <c r="L362">
        <f>IF(AND($C362 = Temp!$H$1, $B362 = Temp!$A$16),$D362,0)</f>
        <v>0</v>
      </c>
      <c r="M362">
        <f>IF(AND($C362 = Temp!$I$1, $B362 = Temp!$A$16),$D362,0)</f>
        <v>0</v>
      </c>
      <c r="N362">
        <f>IF(AND($C362 = Temp!$J$1, $B362 = Temp!$A$16),$D362,0)</f>
        <v>0</v>
      </c>
      <c r="O362">
        <f>IF(AND($C362 = Temp!$K$1, $B362 = Temp!$A$16),$D362,0)</f>
        <v>0</v>
      </c>
    </row>
    <row r="363" spans="2:15" hidden="1" x14ac:dyDescent="0.2">
      <c r="B363" t="s">
        <v>262</v>
      </c>
      <c r="C363" t="s">
        <v>279</v>
      </c>
      <c r="D363">
        <v>0.2</v>
      </c>
      <c r="F363">
        <f>IF(AND($C363 = Temp!$B$1, $B363 = Temp!$A$16),$D363,0)</f>
        <v>0</v>
      </c>
      <c r="G363">
        <f>IF(AND($C363 = Temp!$C$1, $B363 = Temp!$A$16),$D363,0)</f>
        <v>0</v>
      </c>
      <c r="H363">
        <f>IF(AND($C363 = Temp!$D$1, $B363 = Temp!$A$16),$D363,0)</f>
        <v>0</v>
      </c>
      <c r="I363">
        <f>IF(AND($C363 = Temp!$E$1, $B363 = Temp!$A$16),$D363,0)</f>
        <v>0</v>
      </c>
      <c r="J363">
        <f>IF(AND($C363 = Temp!$F$1, $B363 = Temp!$A$16),$D363,0)</f>
        <v>0</v>
      </c>
      <c r="K363">
        <f>IF(AND($C363 = Temp!$G$1, $B363 = Temp!$A$16),$D363,0)</f>
        <v>0</v>
      </c>
      <c r="L363">
        <f>IF(AND($C363 = Temp!$H$1, $B363 = Temp!$A$16),$D363,0)</f>
        <v>0</v>
      </c>
      <c r="M363">
        <f>IF(AND($C363 = Temp!$I$1, $B363 = Temp!$A$16),$D363,0)</f>
        <v>0</v>
      </c>
      <c r="N363">
        <f>IF(AND($C363 = Temp!$J$1, $B363 = Temp!$A$16),$D363,0)</f>
        <v>0</v>
      </c>
      <c r="O363">
        <f>IF(AND($C363 = Temp!$K$1, $B363 = Temp!$A$16),$D363,0)</f>
        <v>0</v>
      </c>
    </row>
    <row r="364" spans="2:15" hidden="1" x14ac:dyDescent="0.2">
      <c r="B364" t="s">
        <v>262</v>
      </c>
      <c r="C364" t="s">
        <v>279</v>
      </c>
      <c r="D364">
        <v>0.2</v>
      </c>
      <c r="F364">
        <f>IF(AND($C364 = Temp!$B$1, $B364 = Temp!$A$16),$D364,0)</f>
        <v>0</v>
      </c>
      <c r="G364">
        <f>IF(AND($C364 = Temp!$C$1, $B364 = Temp!$A$16),$D364,0)</f>
        <v>0</v>
      </c>
      <c r="H364">
        <f>IF(AND($C364 = Temp!$D$1, $B364 = Temp!$A$16),$D364,0)</f>
        <v>0</v>
      </c>
      <c r="I364">
        <f>IF(AND($C364 = Temp!$E$1, $B364 = Temp!$A$16),$D364,0)</f>
        <v>0</v>
      </c>
      <c r="J364">
        <f>IF(AND($C364 = Temp!$F$1, $B364 = Temp!$A$16),$D364,0)</f>
        <v>0</v>
      </c>
      <c r="K364">
        <f>IF(AND($C364 = Temp!$G$1, $B364 = Temp!$A$16),$D364,0)</f>
        <v>0</v>
      </c>
      <c r="L364">
        <f>IF(AND($C364 = Temp!$H$1, $B364 = Temp!$A$16),$D364,0)</f>
        <v>0</v>
      </c>
      <c r="M364">
        <f>IF(AND($C364 = Temp!$I$1, $B364 = Temp!$A$16),$D364,0)</f>
        <v>0</v>
      </c>
      <c r="N364">
        <f>IF(AND($C364 = Temp!$J$1, $B364 = Temp!$A$16),$D364,0)</f>
        <v>0</v>
      </c>
      <c r="O364">
        <f>IF(AND($C364 = Temp!$K$1, $B364 = Temp!$A$16),$D364,0)</f>
        <v>0</v>
      </c>
    </row>
    <row r="365" spans="2:15" hidden="1" x14ac:dyDescent="0.2">
      <c r="B365" t="s">
        <v>262</v>
      </c>
      <c r="C365" t="s">
        <v>279</v>
      </c>
      <c r="D365">
        <v>0.1</v>
      </c>
      <c r="F365">
        <f>IF(AND($C365 = Temp!$B$1, $B365 = Temp!$A$16),$D365,0)</f>
        <v>0</v>
      </c>
      <c r="G365">
        <f>IF(AND($C365 = Temp!$C$1, $B365 = Temp!$A$16),$D365,0)</f>
        <v>0</v>
      </c>
      <c r="H365">
        <f>IF(AND($C365 = Temp!$D$1, $B365 = Temp!$A$16),$D365,0)</f>
        <v>0</v>
      </c>
      <c r="I365">
        <f>IF(AND($C365 = Temp!$E$1, $B365 = Temp!$A$16),$D365,0)</f>
        <v>0</v>
      </c>
      <c r="J365">
        <f>IF(AND($C365 = Temp!$F$1, $B365 = Temp!$A$16),$D365,0)</f>
        <v>0</v>
      </c>
      <c r="K365">
        <f>IF(AND($C365 = Temp!$G$1, $B365 = Temp!$A$16),$D365,0)</f>
        <v>0</v>
      </c>
      <c r="L365">
        <f>IF(AND($C365 = Temp!$H$1, $B365 = Temp!$A$16),$D365,0)</f>
        <v>0</v>
      </c>
      <c r="M365">
        <f>IF(AND($C365 = Temp!$I$1, $B365 = Temp!$A$16),$D365,0)</f>
        <v>0</v>
      </c>
      <c r="N365">
        <f>IF(AND($C365 = Temp!$J$1, $B365 = Temp!$A$16),$D365,0)</f>
        <v>0</v>
      </c>
      <c r="O365">
        <f>IF(AND($C365 = Temp!$K$1, $B365 = Temp!$A$16),$D365,0)</f>
        <v>0</v>
      </c>
    </row>
    <row r="366" spans="2:15" hidden="1" x14ac:dyDescent="0.2">
      <c r="B366" t="s">
        <v>262</v>
      </c>
      <c r="C366" t="s">
        <v>279</v>
      </c>
      <c r="D366">
        <v>5</v>
      </c>
      <c r="F366">
        <f>IF(AND($C366 = Temp!$B$1, $B366 = Temp!$A$16),$D366,0)</f>
        <v>0</v>
      </c>
      <c r="G366">
        <f>IF(AND($C366 = Temp!$C$1, $B366 = Temp!$A$16),$D366,0)</f>
        <v>0</v>
      </c>
      <c r="H366">
        <f>IF(AND($C366 = Temp!$D$1, $B366 = Temp!$A$16),$D366,0)</f>
        <v>0</v>
      </c>
      <c r="I366">
        <f>IF(AND($C366 = Temp!$E$1, $B366 = Temp!$A$16),$D366,0)</f>
        <v>0</v>
      </c>
      <c r="J366">
        <f>IF(AND($C366 = Temp!$F$1, $B366 = Temp!$A$16),$D366,0)</f>
        <v>0</v>
      </c>
      <c r="K366">
        <f>IF(AND($C366 = Temp!$G$1, $B366 = Temp!$A$16),$D366,0)</f>
        <v>0</v>
      </c>
      <c r="L366">
        <f>IF(AND($C366 = Temp!$H$1, $B366 = Temp!$A$16),$D366,0)</f>
        <v>0</v>
      </c>
      <c r="M366">
        <f>IF(AND($C366 = Temp!$I$1, $B366 = Temp!$A$16),$D366,0)</f>
        <v>0</v>
      </c>
      <c r="N366">
        <f>IF(AND($C366 = Temp!$J$1, $B366 = Temp!$A$16),$D366,0)</f>
        <v>0</v>
      </c>
      <c r="O366">
        <f>IF(AND($C366 = Temp!$K$1, $B366 = Temp!$A$16),$D366,0)</f>
        <v>0</v>
      </c>
    </row>
    <row r="367" spans="2:15" hidden="1" x14ac:dyDescent="0.2">
      <c r="B367" t="s">
        <v>262</v>
      </c>
      <c r="C367" t="s">
        <v>261</v>
      </c>
      <c r="D367">
        <v>6</v>
      </c>
      <c r="F367">
        <f>IF(AND($C367 = Temp!$B$1, $B367 = Temp!$A$16),$D367,0)</f>
        <v>0</v>
      </c>
      <c r="G367">
        <f>IF(AND($C367 = Temp!$C$1, $B367 = Temp!$A$16),$D367,0)</f>
        <v>0</v>
      </c>
      <c r="H367">
        <f>IF(AND($C367 = Temp!$D$1, $B367 = Temp!$A$16),$D367,0)</f>
        <v>0</v>
      </c>
      <c r="I367">
        <f>IF(AND($C367 = Temp!$E$1, $B367 = Temp!$A$16),$D367,0)</f>
        <v>0</v>
      </c>
      <c r="J367">
        <f>IF(AND($C367 = Temp!$F$1, $B367 = Temp!$A$16),$D367,0)</f>
        <v>0</v>
      </c>
      <c r="K367">
        <f>IF(AND($C367 = Temp!$G$1, $B367 = Temp!$A$16),$D367,0)</f>
        <v>0</v>
      </c>
      <c r="L367">
        <f>IF(AND($C367 = Temp!$H$1, $B367 = Temp!$A$16),$D367,0)</f>
        <v>0</v>
      </c>
      <c r="M367">
        <f>IF(AND($C367 = Temp!$I$1, $B367 = Temp!$A$16),$D367,0)</f>
        <v>0</v>
      </c>
      <c r="N367">
        <f>IF(AND($C367 = Temp!$J$1, $B367 = Temp!$A$16),$D367,0)</f>
        <v>0</v>
      </c>
      <c r="O367">
        <f>IF(AND($C367 = Temp!$K$1, $B367 = Temp!$A$16),$D367,0)</f>
        <v>0</v>
      </c>
    </row>
    <row r="368" spans="2:15" hidden="1" x14ac:dyDescent="0.2">
      <c r="B368" t="s">
        <v>262</v>
      </c>
      <c r="C368" t="s">
        <v>260</v>
      </c>
      <c r="D368">
        <v>1</v>
      </c>
      <c r="F368">
        <f>IF(AND($C368 = Temp!$B$1, $B368 = Temp!$A$16),$D368,0)</f>
        <v>0</v>
      </c>
      <c r="G368">
        <f>IF(AND($C368 = Temp!$C$1, $B368 = Temp!$A$16),$D368,0)</f>
        <v>0</v>
      </c>
      <c r="H368">
        <f>IF(AND($C368 = Temp!$D$1, $B368 = Temp!$A$16),$D368,0)</f>
        <v>0</v>
      </c>
      <c r="I368">
        <f>IF(AND($C368 = Temp!$E$1, $B368 = Temp!$A$16),$D368,0)</f>
        <v>0</v>
      </c>
      <c r="J368">
        <f>IF(AND($C368 = Temp!$F$1, $B368 = Temp!$A$16),$D368,0)</f>
        <v>0</v>
      </c>
      <c r="K368">
        <f>IF(AND($C368 = Temp!$G$1, $B368 = Temp!$A$16),$D368,0)</f>
        <v>0</v>
      </c>
      <c r="L368">
        <f>IF(AND($C368 = Temp!$H$1, $B368 = Temp!$A$16),$D368,0)</f>
        <v>0</v>
      </c>
      <c r="M368">
        <f>IF(AND($C368 = Temp!$I$1, $B368 = Temp!$A$16),$D368,0)</f>
        <v>0</v>
      </c>
      <c r="N368">
        <f>IF(AND($C368 = Temp!$J$1, $B368 = Temp!$A$16),$D368,0)</f>
        <v>0</v>
      </c>
      <c r="O368">
        <f>IF(AND($C368 = Temp!$K$1, $B368 = Temp!$A$16),$D368,0)</f>
        <v>0</v>
      </c>
    </row>
    <row r="369" spans="2:15" hidden="1" x14ac:dyDescent="0.2">
      <c r="B369" t="s">
        <v>262</v>
      </c>
      <c r="C369" t="s">
        <v>279</v>
      </c>
      <c r="D369">
        <v>0.1</v>
      </c>
      <c r="F369">
        <f>IF(AND($C369 = Temp!$B$1, $B369 = Temp!$A$16),$D369,0)</f>
        <v>0</v>
      </c>
      <c r="G369">
        <f>IF(AND($C369 = Temp!$C$1, $B369 = Temp!$A$16),$D369,0)</f>
        <v>0</v>
      </c>
      <c r="H369">
        <f>IF(AND($C369 = Temp!$D$1, $B369 = Temp!$A$16),$D369,0)</f>
        <v>0</v>
      </c>
      <c r="I369">
        <f>IF(AND($C369 = Temp!$E$1, $B369 = Temp!$A$16),$D369,0)</f>
        <v>0</v>
      </c>
      <c r="J369">
        <f>IF(AND($C369 = Temp!$F$1, $B369 = Temp!$A$16),$D369,0)</f>
        <v>0</v>
      </c>
      <c r="K369">
        <f>IF(AND($C369 = Temp!$G$1, $B369 = Temp!$A$16),$D369,0)</f>
        <v>0</v>
      </c>
      <c r="L369">
        <f>IF(AND($C369 = Temp!$H$1, $B369 = Temp!$A$16),$D369,0)</f>
        <v>0</v>
      </c>
      <c r="M369">
        <f>IF(AND($C369 = Temp!$I$1, $B369 = Temp!$A$16),$D369,0)</f>
        <v>0</v>
      </c>
      <c r="N369">
        <f>IF(AND($C369 = Temp!$J$1, $B369 = Temp!$A$16),$D369,0)</f>
        <v>0</v>
      </c>
      <c r="O369">
        <f>IF(AND($C369 = Temp!$K$1, $B369 = Temp!$A$16),$D369,0)</f>
        <v>0</v>
      </c>
    </row>
    <row r="370" spans="2:15" hidden="1" x14ac:dyDescent="0.2">
      <c r="B370" t="s">
        <v>424</v>
      </c>
      <c r="C370" t="s">
        <v>77</v>
      </c>
      <c r="D370">
        <v>2</v>
      </c>
      <c r="F370">
        <f>IF(AND($C370 = Temp!$B$1, $B370 = Temp!$A$16),$D370,0)</f>
        <v>0</v>
      </c>
      <c r="G370">
        <f>IF(AND($C370 = Temp!$C$1, $B370 = Temp!$A$16),$D370,0)</f>
        <v>0</v>
      </c>
      <c r="H370">
        <f>IF(AND($C370 = Temp!$D$1, $B370 = Temp!$A$16),$D370,0)</f>
        <v>0</v>
      </c>
      <c r="I370">
        <f>IF(AND($C370 = Temp!$E$1, $B370 = Temp!$A$16),$D370,0)</f>
        <v>0</v>
      </c>
      <c r="J370">
        <f>IF(AND($C370 = Temp!$F$1, $B370 = Temp!$A$16),$D370,0)</f>
        <v>0</v>
      </c>
      <c r="K370">
        <f>IF(AND($C370 = Temp!$G$1, $B370 = Temp!$A$16),$D370,0)</f>
        <v>0</v>
      </c>
      <c r="L370">
        <f>IF(AND($C370 = Temp!$H$1, $B370 = Temp!$A$16),$D370,0)</f>
        <v>0</v>
      </c>
      <c r="M370">
        <f>IF(AND($C370 = Temp!$I$1, $B370 = Temp!$A$16),$D370,0)</f>
        <v>0</v>
      </c>
      <c r="N370">
        <f>IF(AND($C370 = Temp!$J$1, $B370 = Temp!$A$16),$D370,0)</f>
        <v>0</v>
      </c>
      <c r="O370">
        <f>IF(AND($C370 = Temp!$K$1, $B370 = Temp!$A$16),$D370,0)</f>
        <v>0</v>
      </c>
    </row>
    <row r="371" spans="2:15" hidden="1" x14ac:dyDescent="0.2">
      <c r="B371" t="s">
        <v>424</v>
      </c>
      <c r="C371" t="s">
        <v>77</v>
      </c>
      <c r="D371">
        <v>4</v>
      </c>
      <c r="F371">
        <f>IF(AND($C371 = Temp!$B$1, $B371 = Temp!$A$16),$D371,0)</f>
        <v>0</v>
      </c>
      <c r="G371">
        <f>IF(AND($C371 = Temp!$C$1, $B371 = Temp!$A$16),$D371,0)</f>
        <v>0</v>
      </c>
      <c r="H371">
        <f>IF(AND($C371 = Temp!$D$1, $B371 = Temp!$A$16),$D371,0)</f>
        <v>0</v>
      </c>
      <c r="I371">
        <f>IF(AND($C371 = Temp!$E$1, $B371 = Temp!$A$16),$D371,0)</f>
        <v>0</v>
      </c>
      <c r="J371">
        <f>IF(AND($C371 = Temp!$F$1, $B371 = Temp!$A$16),$D371,0)</f>
        <v>0</v>
      </c>
      <c r="K371">
        <f>IF(AND($C371 = Temp!$G$1, $B371 = Temp!$A$16),$D371,0)</f>
        <v>0</v>
      </c>
      <c r="L371">
        <f>IF(AND($C371 = Temp!$H$1, $B371 = Temp!$A$16),$D371,0)</f>
        <v>0</v>
      </c>
      <c r="M371">
        <f>IF(AND($C371 = Temp!$I$1, $B371 = Temp!$A$16),$D371,0)</f>
        <v>0</v>
      </c>
      <c r="N371">
        <f>IF(AND($C371 = Temp!$J$1, $B371 = Temp!$A$16),$D371,0)</f>
        <v>0</v>
      </c>
      <c r="O371">
        <f>IF(AND($C371 = Temp!$K$1, $B371 = Temp!$A$16),$D371,0)</f>
        <v>0</v>
      </c>
    </row>
    <row r="372" spans="2:15" hidden="1" x14ac:dyDescent="0.2">
      <c r="B372" t="s">
        <v>424</v>
      </c>
      <c r="C372" t="s">
        <v>77</v>
      </c>
      <c r="D372">
        <v>3</v>
      </c>
      <c r="F372">
        <f>IF(AND($C372 = Temp!$B$1, $B372 = Temp!$A$16),$D372,0)</f>
        <v>0</v>
      </c>
      <c r="G372">
        <f>IF(AND($C372 = Temp!$C$1, $B372 = Temp!$A$16),$D372,0)</f>
        <v>0</v>
      </c>
      <c r="H372">
        <f>IF(AND($C372 = Temp!$D$1, $B372 = Temp!$A$16),$D372,0)</f>
        <v>0</v>
      </c>
      <c r="I372">
        <f>IF(AND($C372 = Temp!$E$1, $B372 = Temp!$A$16),$D372,0)</f>
        <v>0</v>
      </c>
      <c r="J372">
        <f>IF(AND($C372 = Temp!$F$1, $B372 = Temp!$A$16),$D372,0)</f>
        <v>0</v>
      </c>
      <c r="K372">
        <f>IF(AND($C372 = Temp!$G$1, $B372 = Temp!$A$16),$D372,0)</f>
        <v>0</v>
      </c>
      <c r="L372">
        <f>IF(AND($C372 = Temp!$H$1, $B372 = Temp!$A$16),$D372,0)</f>
        <v>0</v>
      </c>
      <c r="M372">
        <f>IF(AND($C372 = Temp!$I$1, $B372 = Temp!$A$16),$D372,0)</f>
        <v>0</v>
      </c>
      <c r="N372">
        <f>IF(AND($C372 = Temp!$J$1, $B372 = Temp!$A$16),$D372,0)</f>
        <v>0</v>
      </c>
      <c r="O372">
        <f>IF(AND($C372 = Temp!$K$1, $B372 = Temp!$A$16),$D372,0)</f>
        <v>0</v>
      </c>
    </row>
    <row r="373" spans="2:15" hidden="1" x14ac:dyDescent="0.2">
      <c r="B373" t="s">
        <v>424</v>
      </c>
      <c r="C373" t="s">
        <v>77</v>
      </c>
      <c r="D373">
        <v>4</v>
      </c>
      <c r="F373">
        <f>IF(AND($C373 = Temp!$B$1, $B373 = Temp!$A$16),$D373,0)</f>
        <v>0</v>
      </c>
      <c r="G373">
        <f>IF(AND($C373 = Temp!$C$1, $B373 = Temp!$A$16),$D373,0)</f>
        <v>0</v>
      </c>
      <c r="H373">
        <f>IF(AND($C373 = Temp!$D$1, $B373 = Temp!$A$16),$D373,0)</f>
        <v>0</v>
      </c>
      <c r="I373">
        <f>IF(AND($C373 = Temp!$E$1, $B373 = Temp!$A$16),$D373,0)</f>
        <v>0</v>
      </c>
      <c r="J373">
        <f>IF(AND($C373 = Temp!$F$1, $B373 = Temp!$A$16),$D373,0)</f>
        <v>0</v>
      </c>
      <c r="K373">
        <f>IF(AND($C373 = Temp!$G$1, $B373 = Temp!$A$16),$D373,0)</f>
        <v>0</v>
      </c>
      <c r="L373">
        <f>IF(AND($C373 = Temp!$H$1, $B373 = Temp!$A$16),$D373,0)</f>
        <v>0</v>
      </c>
      <c r="M373">
        <f>IF(AND($C373 = Temp!$I$1, $B373 = Temp!$A$16),$D373,0)</f>
        <v>0</v>
      </c>
      <c r="N373">
        <f>IF(AND($C373 = Temp!$J$1, $B373 = Temp!$A$16),$D373,0)</f>
        <v>0</v>
      </c>
      <c r="O373">
        <f>IF(AND($C373 = Temp!$K$1, $B373 = Temp!$A$16),$D373,0)</f>
        <v>0</v>
      </c>
    </row>
    <row r="374" spans="2:15" hidden="1" x14ac:dyDescent="0.2">
      <c r="B374" t="s">
        <v>424</v>
      </c>
      <c r="C374" t="s">
        <v>77</v>
      </c>
      <c r="D374">
        <v>0.25</v>
      </c>
      <c r="F374">
        <f>IF(AND($C374 = Temp!$B$1, $B374 = Temp!$A$16),$D374,0)</f>
        <v>0</v>
      </c>
      <c r="G374">
        <f>IF(AND($C374 = Temp!$C$1, $B374 = Temp!$A$16),$D374,0)</f>
        <v>0</v>
      </c>
      <c r="H374">
        <f>IF(AND($C374 = Temp!$D$1, $B374 = Temp!$A$16),$D374,0)</f>
        <v>0</v>
      </c>
      <c r="I374">
        <f>IF(AND($C374 = Temp!$E$1, $B374 = Temp!$A$16),$D374,0)</f>
        <v>0</v>
      </c>
      <c r="J374">
        <f>IF(AND($C374 = Temp!$F$1, $B374 = Temp!$A$16),$D374,0)</f>
        <v>0</v>
      </c>
      <c r="K374">
        <f>IF(AND($C374 = Temp!$G$1, $B374 = Temp!$A$16),$D374,0)</f>
        <v>0</v>
      </c>
      <c r="L374">
        <f>IF(AND($C374 = Temp!$H$1, $B374 = Temp!$A$16),$D374,0)</f>
        <v>0</v>
      </c>
      <c r="M374">
        <f>IF(AND($C374 = Temp!$I$1, $B374 = Temp!$A$16),$D374,0)</f>
        <v>0</v>
      </c>
      <c r="N374">
        <f>IF(AND($C374 = Temp!$J$1, $B374 = Temp!$A$16),$D374,0)</f>
        <v>0</v>
      </c>
      <c r="O374">
        <f>IF(AND($C374 = Temp!$K$1, $B374 = Temp!$A$16),$D374,0)</f>
        <v>0</v>
      </c>
    </row>
    <row r="375" spans="2:15" hidden="1" x14ac:dyDescent="0.2">
      <c r="B375" t="s">
        <v>424</v>
      </c>
      <c r="C375" t="s">
        <v>15</v>
      </c>
      <c r="D375">
        <v>0.5</v>
      </c>
      <c r="F375">
        <f>IF(AND($C375 = Temp!$B$1, $B375 = Temp!$A$16),$D375,0)</f>
        <v>0</v>
      </c>
      <c r="G375">
        <f>IF(AND($C375 = Temp!$C$1, $B375 = Temp!$A$16),$D375,0)</f>
        <v>0</v>
      </c>
      <c r="H375">
        <f>IF(AND($C375 = Temp!$D$1, $B375 = Temp!$A$16),$D375,0)</f>
        <v>0</v>
      </c>
      <c r="I375">
        <f>IF(AND($C375 = Temp!$E$1, $B375 = Temp!$A$16),$D375,0)</f>
        <v>0</v>
      </c>
      <c r="J375">
        <f>IF(AND($C375 = Temp!$F$1, $B375 = Temp!$A$16),$D375,0)</f>
        <v>0</v>
      </c>
      <c r="K375">
        <f>IF(AND($C375 = Temp!$G$1, $B375 = Temp!$A$16),$D375,0)</f>
        <v>0</v>
      </c>
      <c r="L375">
        <f>IF(AND($C375 = Temp!$H$1, $B375 = Temp!$A$16),$D375,0)</f>
        <v>0</v>
      </c>
      <c r="M375">
        <f>IF(AND($C375 = Temp!$I$1, $B375 = Temp!$A$16),$D375,0)</f>
        <v>0</v>
      </c>
      <c r="N375">
        <f>IF(AND($C375 = Temp!$J$1, $B375 = Temp!$A$16),$D375,0)</f>
        <v>0</v>
      </c>
      <c r="O375">
        <f>IF(AND($C375 = Temp!$K$1, $B375 = Temp!$A$16),$D375,0)</f>
        <v>0</v>
      </c>
    </row>
    <row r="376" spans="2:15" hidden="1" x14ac:dyDescent="0.2">
      <c r="B376" t="s">
        <v>424</v>
      </c>
      <c r="C376" t="s">
        <v>77</v>
      </c>
      <c r="D376">
        <v>0.5</v>
      </c>
      <c r="F376">
        <f>IF(AND($C376 = Temp!$B$1, $B376 = Temp!$A$16),$D376,0)</f>
        <v>0</v>
      </c>
      <c r="G376">
        <f>IF(AND($C376 = Temp!$C$1, $B376 = Temp!$A$16),$D376,0)</f>
        <v>0</v>
      </c>
      <c r="H376">
        <f>IF(AND($C376 = Temp!$D$1, $B376 = Temp!$A$16),$D376,0)</f>
        <v>0</v>
      </c>
      <c r="I376">
        <f>IF(AND($C376 = Temp!$E$1, $B376 = Temp!$A$16),$D376,0)</f>
        <v>0</v>
      </c>
      <c r="J376">
        <f>IF(AND($C376 = Temp!$F$1, $B376 = Temp!$A$16),$D376,0)</f>
        <v>0</v>
      </c>
      <c r="K376">
        <f>IF(AND($C376 = Temp!$G$1, $B376 = Temp!$A$16),$D376,0)</f>
        <v>0</v>
      </c>
      <c r="L376">
        <f>IF(AND($C376 = Temp!$H$1, $B376 = Temp!$A$16),$D376,0)</f>
        <v>0</v>
      </c>
      <c r="M376">
        <f>IF(AND($C376 = Temp!$I$1, $B376 = Temp!$A$16),$D376,0)</f>
        <v>0</v>
      </c>
      <c r="N376">
        <f>IF(AND($C376 = Temp!$J$1, $B376 = Temp!$A$16),$D376,0)</f>
        <v>0</v>
      </c>
      <c r="O376">
        <f>IF(AND($C376 = Temp!$K$1, $B376 = Temp!$A$16),$D376,0)</f>
        <v>0</v>
      </c>
    </row>
    <row r="377" spans="2:15" hidden="1" x14ac:dyDescent="0.2">
      <c r="B377" t="s">
        <v>424</v>
      </c>
      <c r="C377" t="s">
        <v>260</v>
      </c>
      <c r="D377">
        <v>1</v>
      </c>
      <c r="F377">
        <f>IF(AND($C377 = Temp!$B$1, $B377 = Temp!$A$16),$D377,0)</f>
        <v>0</v>
      </c>
      <c r="G377">
        <f>IF(AND($C377 = Temp!$C$1, $B377 = Temp!$A$16),$D377,0)</f>
        <v>0</v>
      </c>
      <c r="H377">
        <f>IF(AND($C377 = Temp!$D$1, $B377 = Temp!$A$16),$D377,0)</f>
        <v>0</v>
      </c>
      <c r="I377">
        <f>IF(AND($C377 = Temp!$E$1, $B377 = Temp!$A$16),$D377,0)</f>
        <v>0</v>
      </c>
      <c r="J377">
        <f>IF(AND($C377 = Temp!$F$1, $B377 = Temp!$A$16),$D377,0)</f>
        <v>0</v>
      </c>
      <c r="K377">
        <f>IF(AND($C377 = Temp!$G$1, $B377 = Temp!$A$16),$D377,0)</f>
        <v>0</v>
      </c>
      <c r="L377">
        <f>IF(AND($C377 = Temp!$H$1, $B377 = Temp!$A$16),$D377,0)</f>
        <v>0</v>
      </c>
      <c r="M377">
        <f>IF(AND($C377 = Temp!$I$1, $B377 = Temp!$A$16),$D377,0)</f>
        <v>0</v>
      </c>
      <c r="N377">
        <f>IF(AND($C377 = Temp!$J$1, $B377 = Temp!$A$16),$D377,0)</f>
        <v>0</v>
      </c>
      <c r="O377">
        <f>IF(AND($C377 = Temp!$K$1, $B377 = Temp!$A$16),$D377,0)</f>
        <v>0</v>
      </c>
    </row>
    <row r="378" spans="2:15" hidden="1" x14ac:dyDescent="0.2">
      <c r="B378" t="s">
        <v>415</v>
      </c>
      <c r="C378" t="s">
        <v>24</v>
      </c>
      <c r="D378">
        <v>1</v>
      </c>
      <c r="F378">
        <f>IF(AND($C378 = Temp!$B$1, $B378 = Temp!$A$16),$D378,0)</f>
        <v>0</v>
      </c>
      <c r="G378">
        <f>IF(AND($C378 = Temp!$C$1, $B378 = Temp!$A$16),$D378,0)</f>
        <v>0</v>
      </c>
      <c r="H378">
        <f>IF(AND($C378 = Temp!$D$1, $B378 = Temp!$A$16),$D378,0)</f>
        <v>0</v>
      </c>
      <c r="I378">
        <f>IF(AND($C378 = Temp!$E$1, $B378 = Temp!$A$16),$D378,0)</f>
        <v>0</v>
      </c>
      <c r="J378">
        <f>IF(AND($C378 = Temp!$F$1, $B378 = Temp!$A$16),$D378,0)</f>
        <v>0</v>
      </c>
      <c r="K378">
        <f>IF(AND($C378 = Temp!$G$1, $B378 = Temp!$A$16),$D378,0)</f>
        <v>0</v>
      </c>
      <c r="L378">
        <f>IF(AND($C378 = Temp!$H$1, $B378 = Temp!$A$16),$D378,0)</f>
        <v>0</v>
      </c>
      <c r="M378">
        <f>IF(AND($C378 = Temp!$I$1, $B378 = Temp!$A$16),$D378,0)</f>
        <v>0</v>
      </c>
      <c r="N378">
        <f>IF(AND($C378 = Temp!$J$1, $B378 = Temp!$A$16),$D378,0)</f>
        <v>0</v>
      </c>
      <c r="O378">
        <f>IF(AND($C378 = Temp!$K$1, $B378 = Temp!$A$16),$D378,0)</f>
        <v>0</v>
      </c>
    </row>
    <row r="379" spans="2:15" hidden="1" x14ac:dyDescent="0.2">
      <c r="B379" t="s">
        <v>415</v>
      </c>
      <c r="C379" t="s">
        <v>24</v>
      </c>
      <c r="D379">
        <v>0.2</v>
      </c>
      <c r="F379">
        <f>IF(AND($C379 = Temp!$B$1, $B379 = Temp!$A$16),$D379,0)</f>
        <v>0</v>
      </c>
      <c r="G379">
        <f>IF(AND($C379 = Temp!$C$1, $B379 = Temp!$A$16),$D379,0)</f>
        <v>0</v>
      </c>
      <c r="H379">
        <f>IF(AND($C379 = Temp!$D$1, $B379 = Temp!$A$16),$D379,0)</f>
        <v>0</v>
      </c>
      <c r="I379">
        <f>IF(AND($C379 = Temp!$E$1, $B379 = Temp!$A$16),$D379,0)</f>
        <v>0</v>
      </c>
      <c r="J379">
        <f>IF(AND($C379 = Temp!$F$1, $B379 = Temp!$A$16),$D379,0)</f>
        <v>0</v>
      </c>
      <c r="K379">
        <f>IF(AND($C379 = Temp!$G$1, $B379 = Temp!$A$16),$D379,0)</f>
        <v>0</v>
      </c>
      <c r="L379">
        <f>IF(AND($C379 = Temp!$H$1, $B379 = Temp!$A$16),$D379,0)</f>
        <v>0</v>
      </c>
      <c r="M379">
        <f>IF(AND($C379 = Temp!$I$1, $B379 = Temp!$A$16),$D379,0)</f>
        <v>0</v>
      </c>
      <c r="N379">
        <f>IF(AND($C379 = Temp!$J$1, $B379 = Temp!$A$16),$D379,0)</f>
        <v>0</v>
      </c>
      <c r="O379">
        <f>IF(AND($C379 = Temp!$K$1, $B379 = Temp!$A$16),$D379,0)</f>
        <v>0</v>
      </c>
    </row>
    <row r="380" spans="2:15" hidden="1" x14ac:dyDescent="0.2">
      <c r="B380" t="s">
        <v>415</v>
      </c>
      <c r="C380" t="s">
        <v>24</v>
      </c>
      <c r="D380">
        <v>0.2</v>
      </c>
      <c r="F380">
        <f>IF(AND($C380 = Temp!$B$1, $B380 = Temp!$A$16),$D380,0)</f>
        <v>0</v>
      </c>
      <c r="G380">
        <f>IF(AND($C380 = Temp!$C$1, $B380 = Temp!$A$16),$D380,0)</f>
        <v>0</v>
      </c>
      <c r="H380">
        <f>IF(AND($C380 = Temp!$D$1, $B380 = Temp!$A$16),$D380,0)</f>
        <v>0</v>
      </c>
      <c r="I380">
        <f>IF(AND($C380 = Temp!$E$1, $B380 = Temp!$A$16),$D380,0)</f>
        <v>0</v>
      </c>
      <c r="J380">
        <f>IF(AND($C380 = Temp!$F$1, $B380 = Temp!$A$16),$D380,0)</f>
        <v>0</v>
      </c>
      <c r="K380">
        <f>IF(AND($C380 = Temp!$G$1, $B380 = Temp!$A$16),$D380,0)</f>
        <v>0</v>
      </c>
      <c r="L380">
        <f>IF(AND($C380 = Temp!$H$1, $B380 = Temp!$A$16),$D380,0)</f>
        <v>0</v>
      </c>
      <c r="M380">
        <f>IF(AND($C380 = Temp!$I$1, $B380 = Temp!$A$16),$D380,0)</f>
        <v>0</v>
      </c>
      <c r="N380">
        <f>IF(AND($C380 = Temp!$J$1, $B380 = Temp!$A$16),$D380,0)</f>
        <v>0</v>
      </c>
      <c r="O380">
        <f>IF(AND($C380 = Temp!$K$1, $B380 = Temp!$A$16),$D380,0)</f>
        <v>0</v>
      </c>
    </row>
    <row r="381" spans="2:15" hidden="1" x14ac:dyDescent="0.2">
      <c r="B381" t="s">
        <v>415</v>
      </c>
      <c r="C381" t="s">
        <v>24</v>
      </c>
      <c r="D381">
        <v>0.1</v>
      </c>
      <c r="F381">
        <f>IF(AND($C381 = Temp!$B$1, $B381 = Temp!$A$16),$D381,0)</f>
        <v>0</v>
      </c>
      <c r="G381">
        <f>IF(AND($C381 = Temp!$C$1, $B381 = Temp!$A$16),$D381,0)</f>
        <v>0</v>
      </c>
      <c r="H381">
        <f>IF(AND($C381 = Temp!$D$1, $B381 = Temp!$A$16),$D381,0)</f>
        <v>0</v>
      </c>
      <c r="I381">
        <f>IF(AND($C381 = Temp!$E$1, $B381 = Temp!$A$16),$D381,0)</f>
        <v>0</v>
      </c>
      <c r="J381">
        <f>IF(AND($C381 = Temp!$F$1, $B381 = Temp!$A$16),$D381,0)</f>
        <v>0</v>
      </c>
      <c r="K381">
        <f>IF(AND($C381 = Temp!$G$1, $B381 = Temp!$A$16),$D381,0)</f>
        <v>0</v>
      </c>
      <c r="L381">
        <f>IF(AND($C381 = Temp!$H$1, $B381 = Temp!$A$16),$D381,0)</f>
        <v>0</v>
      </c>
      <c r="M381">
        <f>IF(AND($C381 = Temp!$I$1, $B381 = Temp!$A$16),$D381,0)</f>
        <v>0</v>
      </c>
      <c r="N381">
        <f>IF(AND($C381 = Temp!$J$1, $B381 = Temp!$A$16),$D381,0)</f>
        <v>0</v>
      </c>
      <c r="O381">
        <f>IF(AND($C381 = Temp!$K$1, $B381 = Temp!$A$16),$D381,0)</f>
        <v>0</v>
      </c>
    </row>
    <row r="382" spans="2:15" hidden="1" x14ac:dyDescent="0.2">
      <c r="B382" t="s">
        <v>415</v>
      </c>
      <c r="C382" t="s">
        <v>24</v>
      </c>
      <c r="D382">
        <v>0.1</v>
      </c>
      <c r="F382">
        <f>IF(AND($C382 = Temp!$B$1, $B382 = Temp!$A$16),$D382,0)</f>
        <v>0</v>
      </c>
      <c r="G382">
        <f>IF(AND($C382 = Temp!$C$1, $B382 = Temp!$A$16),$D382,0)</f>
        <v>0</v>
      </c>
      <c r="H382">
        <f>IF(AND($C382 = Temp!$D$1, $B382 = Temp!$A$16),$D382,0)</f>
        <v>0</v>
      </c>
      <c r="I382">
        <f>IF(AND($C382 = Temp!$E$1, $B382 = Temp!$A$16),$D382,0)</f>
        <v>0</v>
      </c>
      <c r="J382">
        <f>IF(AND($C382 = Temp!$F$1, $B382 = Temp!$A$16),$D382,0)</f>
        <v>0</v>
      </c>
      <c r="K382">
        <f>IF(AND($C382 = Temp!$G$1, $B382 = Temp!$A$16),$D382,0)</f>
        <v>0</v>
      </c>
      <c r="L382">
        <f>IF(AND($C382 = Temp!$H$1, $B382 = Temp!$A$16),$D382,0)</f>
        <v>0</v>
      </c>
      <c r="M382">
        <f>IF(AND($C382 = Temp!$I$1, $B382 = Temp!$A$16),$D382,0)</f>
        <v>0</v>
      </c>
      <c r="N382">
        <f>IF(AND($C382 = Temp!$J$1, $B382 = Temp!$A$16),$D382,0)</f>
        <v>0</v>
      </c>
      <c r="O382">
        <f>IF(AND($C382 = Temp!$K$1, $B382 = Temp!$A$16),$D382,0)</f>
        <v>0</v>
      </c>
    </row>
    <row r="383" spans="2:15" hidden="1" x14ac:dyDescent="0.2">
      <c r="B383" t="s">
        <v>415</v>
      </c>
      <c r="C383" t="s">
        <v>24</v>
      </c>
      <c r="D383">
        <v>1</v>
      </c>
      <c r="F383">
        <f>IF(AND($C383 = Temp!$B$1, $B383 = Temp!$A$16),$D383,0)</f>
        <v>0</v>
      </c>
      <c r="G383">
        <f>IF(AND($C383 = Temp!$C$1, $B383 = Temp!$A$16),$D383,0)</f>
        <v>0</v>
      </c>
      <c r="H383">
        <f>IF(AND($C383 = Temp!$D$1, $B383 = Temp!$A$16),$D383,0)</f>
        <v>0</v>
      </c>
      <c r="I383">
        <f>IF(AND($C383 = Temp!$E$1, $B383 = Temp!$A$16),$D383,0)</f>
        <v>0</v>
      </c>
      <c r="J383">
        <f>IF(AND($C383 = Temp!$F$1, $B383 = Temp!$A$16),$D383,0)</f>
        <v>0</v>
      </c>
      <c r="K383">
        <f>IF(AND($C383 = Temp!$G$1, $B383 = Temp!$A$16),$D383,0)</f>
        <v>0</v>
      </c>
      <c r="L383">
        <f>IF(AND($C383 = Temp!$H$1, $B383 = Temp!$A$16),$D383,0)</f>
        <v>0</v>
      </c>
      <c r="M383">
        <f>IF(AND($C383 = Temp!$I$1, $B383 = Temp!$A$16),$D383,0)</f>
        <v>0</v>
      </c>
      <c r="N383">
        <f>IF(AND($C383 = Temp!$J$1, $B383 = Temp!$A$16),$D383,0)</f>
        <v>0</v>
      </c>
      <c r="O383">
        <f>IF(AND($C383 = Temp!$K$1, $B383 = Temp!$A$16),$D383,0)</f>
        <v>0</v>
      </c>
    </row>
    <row r="384" spans="2:15" hidden="1" x14ac:dyDescent="0.2">
      <c r="B384" t="s">
        <v>415</v>
      </c>
      <c r="C384" t="s">
        <v>24</v>
      </c>
      <c r="D384">
        <v>1</v>
      </c>
      <c r="F384">
        <f>IF(AND($C384 = Temp!$B$1, $B384 = Temp!$A$16),$D384,0)</f>
        <v>0</v>
      </c>
      <c r="G384">
        <f>IF(AND($C384 = Temp!$C$1, $B384 = Temp!$A$16),$D384,0)</f>
        <v>0</v>
      </c>
      <c r="H384">
        <f>IF(AND($C384 = Temp!$D$1, $B384 = Temp!$A$16),$D384,0)</f>
        <v>0</v>
      </c>
      <c r="I384">
        <f>IF(AND($C384 = Temp!$E$1, $B384 = Temp!$A$16),$D384,0)</f>
        <v>0</v>
      </c>
      <c r="J384">
        <f>IF(AND($C384 = Temp!$F$1, $B384 = Temp!$A$16),$D384,0)</f>
        <v>0</v>
      </c>
      <c r="K384">
        <f>IF(AND($C384 = Temp!$G$1, $B384 = Temp!$A$16),$D384,0)</f>
        <v>0</v>
      </c>
      <c r="L384">
        <f>IF(AND($C384 = Temp!$H$1, $B384 = Temp!$A$16),$D384,0)</f>
        <v>0</v>
      </c>
      <c r="M384">
        <f>IF(AND($C384 = Temp!$I$1, $B384 = Temp!$A$16),$D384,0)</f>
        <v>0</v>
      </c>
      <c r="N384">
        <f>IF(AND($C384 = Temp!$J$1, $B384 = Temp!$A$16),$D384,0)</f>
        <v>0</v>
      </c>
      <c r="O384">
        <f>IF(AND($C384 = Temp!$K$1, $B384 = Temp!$A$16),$D384,0)</f>
        <v>0</v>
      </c>
    </row>
    <row r="385" spans="2:15" hidden="1" x14ac:dyDescent="0.2">
      <c r="B385" t="s">
        <v>415</v>
      </c>
      <c r="C385" t="s">
        <v>24</v>
      </c>
      <c r="D385">
        <v>0.1</v>
      </c>
      <c r="F385">
        <f>IF(AND($C385 = Temp!$B$1, $B385 = Temp!$A$16),$D385,0)</f>
        <v>0</v>
      </c>
      <c r="G385">
        <f>IF(AND($C385 = Temp!$C$1, $B385 = Temp!$A$16),$D385,0)</f>
        <v>0</v>
      </c>
      <c r="H385">
        <f>IF(AND($C385 = Temp!$D$1, $B385 = Temp!$A$16),$D385,0)</f>
        <v>0</v>
      </c>
      <c r="I385">
        <f>IF(AND($C385 = Temp!$E$1, $B385 = Temp!$A$16),$D385,0)</f>
        <v>0</v>
      </c>
      <c r="J385">
        <f>IF(AND($C385 = Temp!$F$1, $B385 = Temp!$A$16),$D385,0)</f>
        <v>0</v>
      </c>
      <c r="K385">
        <f>IF(AND($C385 = Temp!$G$1, $B385 = Temp!$A$16),$D385,0)</f>
        <v>0</v>
      </c>
      <c r="L385">
        <f>IF(AND($C385 = Temp!$H$1, $B385 = Temp!$A$16),$D385,0)</f>
        <v>0</v>
      </c>
      <c r="M385">
        <f>IF(AND($C385 = Temp!$I$1, $B385 = Temp!$A$16),$D385,0)</f>
        <v>0</v>
      </c>
      <c r="N385">
        <f>IF(AND($C385 = Temp!$J$1, $B385 = Temp!$A$16),$D385,0)</f>
        <v>0</v>
      </c>
      <c r="O385">
        <f>IF(AND($C385 = Temp!$K$1, $B385 = Temp!$A$16),$D385,0)</f>
        <v>0</v>
      </c>
    </row>
    <row r="386" spans="2:15" hidden="1" x14ac:dyDescent="0.2">
      <c r="B386" t="s">
        <v>415</v>
      </c>
      <c r="C386" t="s">
        <v>260</v>
      </c>
      <c r="D386">
        <v>3</v>
      </c>
      <c r="F386">
        <f>IF(AND($C386 = Temp!$B$1, $B386 = Temp!$A$16),$D386,0)</f>
        <v>0</v>
      </c>
      <c r="G386">
        <f>IF(AND($C386 = Temp!$C$1, $B386 = Temp!$A$16),$D386,0)</f>
        <v>0</v>
      </c>
      <c r="H386">
        <f>IF(AND($C386 = Temp!$D$1, $B386 = Temp!$A$16),$D386,0)</f>
        <v>0</v>
      </c>
      <c r="I386">
        <f>IF(AND($C386 = Temp!$E$1, $B386 = Temp!$A$16),$D386,0)</f>
        <v>0</v>
      </c>
      <c r="J386">
        <f>IF(AND($C386 = Temp!$F$1, $B386 = Temp!$A$16),$D386,0)</f>
        <v>0</v>
      </c>
      <c r="K386">
        <f>IF(AND($C386 = Temp!$G$1, $B386 = Temp!$A$16),$D386,0)</f>
        <v>0</v>
      </c>
      <c r="L386">
        <f>IF(AND($C386 = Temp!$H$1, $B386 = Temp!$A$16),$D386,0)</f>
        <v>0</v>
      </c>
      <c r="M386">
        <f>IF(AND($C386 = Temp!$I$1, $B386 = Temp!$A$16),$D386,0)</f>
        <v>0</v>
      </c>
      <c r="N386">
        <f>IF(AND($C386 = Temp!$J$1, $B386 = Temp!$A$16),$D386,0)</f>
        <v>0</v>
      </c>
      <c r="O386">
        <f>IF(AND($C386 = Temp!$K$1, $B386 = Temp!$A$16),$D386,0)</f>
        <v>0</v>
      </c>
    </row>
    <row r="387" spans="2:15" hidden="1" x14ac:dyDescent="0.2">
      <c r="B387" t="s">
        <v>415</v>
      </c>
      <c r="C387" t="s">
        <v>219</v>
      </c>
      <c r="D387">
        <v>2</v>
      </c>
      <c r="F387">
        <f>IF(AND($C387 = Temp!$B$1, $B387 = Temp!$A$16),$D387,0)</f>
        <v>0</v>
      </c>
      <c r="G387">
        <f>IF(AND($C387 = Temp!$C$1, $B387 = Temp!$A$16),$D387,0)</f>
        <v>0</v>
      </c>
      <c r="H387">
        <f>IF(AND($C387 = Temp!$D$1, $B387 = Temp!$A$16),$D387,0)</f>
        <v>0</v>
      </c>
      <c r="I387">
        <f>IF(AND($C387 = Temp!$E$1, $B387 = Temp!$A$16),$D387,0)</f>
        <v>0</v>
      </c>
      <c r="J387">
        <f>IF(AND($C387 = Temp!$F$1, $B387 = Temp!$A$16),$D387,0)</f>
        <v>0</v>
      </c>
      <c r="K387">
        <f>IF(AND($C387 = Temp!$G$1, $B387 = Temp!$A$16),$D387,0)</f>
        <v>0</v>
      </c>
      <c r="L387">
        <f>IF(AND($C387 = Temp!$H$1, $B387 = Temp!$A$16),$D387,0)</f>
        <v>0</v>
      </c>
      <c r="M387">
        <f>IF(AND($C387 = Temp!$I$1, $B387 = Temp!$A$16),$D387,0)</f>
        <v>0</v>
      </c>
      <c r="N387">
        <f>IF(AND($C387 = Temp!$J$1, $B387 = Temp!$A$16),$D387,0)</f>
        <v>0</v>
      </c>
      <c r="O387">
        <f>IF(AND($C387 = Temp!$K$1, $B387 = Temp!$A$16),$D387,0)</f>
        <v>0</v>
      </c>
    </row>
    <row r="388" spans="2:15" hidden="1" x14ac:dyDescent="0.2">
      <c r="B388" t="s">
        <v>416</v>
      </c>
      <c r="C388" t="s">
        <v>40</v>
      </c>
      <c r="D388">
        <v>0.25</v>
      </c>
      <c r="F388">
        <f>IF(AND($C388 = Temp!$B$1, $B388 = Temp!$A$16),$D388,0)</f>
        <v>0</v>
      </c>
      <c r="G388">
        <f>IF(AND($C388 = Temp!$C$1, $B388 = Temp!$A$16),$D388,0)</f>
        <v>0</v>
      </c>
      <c r="H388">
        <f>IF(AND($C388 = Temp!$D$1, $B388 = Temp!$A$16),$D388,0)</f>
        <v>0</v>
      </c>
      <c r="I388">
        <f>IF(AND($C388 = Temp!$E$1, $B388 = Temp!$A$16),$D388,0)</f>
        <v>0</v>
      </c>
      <c r="J388">
        <f>IF(AND($C388 = Temp!$F$1, $B388 = Temp!$A$16),$D388,0)</f>
        <v>0</v>
      </c>
      <c r="K388">
        <f>IF(AND($C388 = Temp!$G$1, $B388 = Temp!$A$16),$D388,0)</f>
        <v>0</v>
      </c>
      <c r="L388">
        <f>IF(AND($C388 = Temp!$H$1, $B388 = Temp!$A$16),$D388,0)</f>
        <v>0</v>
      </c>
      <c r="M388">
        <f>IF(AND($C388 = Temp!$I$1, $B388 = Temp!$A$16),$D388,0)</f>
        <v>0</v>
      </c>
      <c r="N388">
        <f>IF(AND($C388 = Temp!$J$1, $B388 = Temp!$A$16),$D388,0)</f>
        <v>0</v>
      </c>
      <c r="O388">
        <f>IF(AND($C388 = Temp!$K$1, $B388 = Temp!$A$16),$D388,0)</f>
        <v>0</v>
      </c>
    </row>
    <row r="389" spans="2:15" hidden="1" x14ac:dyDescent="0.2">
      <c r="B389" t="s">
        <v>416</v>
      </c>
      <c r="C389" t="s">
        <v>40</v>
      </c>
      <c r="D389">
        <v>0.12</v>
      </c>
      <c r="F389">
        <f>IF(AND($C389 = Temp!$B$1, $B389 = Temp!$A$16),$D389,0)</f>
        <v>0</v>
      </c>
      <c r="G389">
        <f>IF(AND($C389 = Temp!$C$1, $B389 = Temp!$A$16),$D389,0)</f>
        <v>0</v>
      </c>
      <c r="H389">
        <f>IF(AND($C389 = Temp!$D$1, $B389 = Temp!$A$16),$D389,0)</f>
        <v>0</v>
      </c>
      <c r="I389">
        <f>IF(AND($C389 = Temp!$E$1, $B389 = Temp!$A$16),$D389,0)</f>
        <v>0</v>
      </c>
      <c r="J389">
        <f>IF(AND($C389 = Temp!$F$1, $B389 = Temp!$A$16),$D389,0)</f>
        <v>0</v>
      </c>
      <c r="K389">
        <f>IF(AND($C389 = Temp!$G$1, $B389 = Temp!$A$16),$D389,0)</f>
        <v>0</v>
      </c>
      <c r="L389">
        <f>IF(AND($C389 = Temp!$H$1, $B389 = Temp!$A$16),$D389,0)</f>
        <v>0</v>
      </c>
      <c r="M389">
        <f>IF(AND($C389 = Temp!$I$1, $B389 = Temp!$A$16),$D389,0)</f>
        <v>0</v>
      </c>
      <c r="N389">
        <f>IF(AND($C389 = Temp!$J$1, $B389 = Temp!$A$16),$D389,0)</f>
        <v>0</v>
      </c>
      <c r="O389">
        <f>IF(AND($C389 = Temp!$K$1, $B389 = Temp!$A$16),$D389,0)</f>
        <v>0</v>
      </c>
    </row>
    <row r="390" spans="2:15" hidden="1" x14ac:dyDescent="0.2">
      <c r="B390" t="s">
        <v>416</v>
      </c>
      <c r="C390" t="s">
        <v>40</v>
      </c>
      <c r="D390">
        <v>0.12</v>
      </c>
      <c r="F390">
        <f>IF(AND($C390 = Temp!$B$1, $B390 = Temp!$A$16),$D390,0)</f>
        <v>0</v>
      </c>
      <c r="G390">
        <f>IF(AND($C390 = Temp!$C$1, $B390 = Temp!$A$16),$D390,0)</f>
        <v>0</v>
      </c>
      <c r="H390">
        <f>IF(AND($C390 = Temp!$D$1, $B390 = Temp!$A$16),$D390,0)</f>
        <v>0</v>
      </c>
      <c r="I390">
        <f>IF(AND($C390 = Temp!$E$1, $B390 = Temp!$A$16),$D390,0)</f>
        <v>0</v>
      </c>
      <c r="J390">
        <f>IF(AND($C390 = Temp!$F$1, $B390 = Temp!$A$16),$D390,0)</f>
        <v>0</v>
      </c>
      <c r="K390">
        <f>IF(AND($C390 = Temp!$G$1, $B390 = Temp!$A$16),$D390,0)</f>
        <v>0</v>
      </c>
      <c r="L390">
        <f>IF(AND($C390 = Temp!$H$1, $B390 = Temp!$A$16),$D390,0)</f>
        <v>0</v>
      </c>
      <c r="M390">
        <f>IF(AND($C390 = Temp!$I$1, $B390 = Temp!$A$16),$D390,0)</f>
        <v>0</v>
      </c>
      <c r="N390">
        <f>IF(AND($C390 = Temp!$J$1, $B390 = Temp!$A$16),$D390,0)</f>
        <v>0</v>
      </c>
      <c r="O390">
        <f>IF(AND($C390 = Temp!$K$1, $B390 = Temp!$A$16),$D390,0)</f>
        <v>0</v>
      </c>
    </row>
    <row r="391" spans="2:15" hidden="1" x14ac:dyDescent="0.2">
      <c r="B391" t="s">
        <v>416</v>
      </c>
      <c r="C391" t="s">
        <v>40</v>
      </c>
      <c r="D391">
        <v>0.25</v>
      </c>
      <c r="F391">
        <f>IF(AND($C391 = Temp!$B$1, $B391 = Temp!$A$16),$D391,0)</f>
        <v>0</v>
      </c>
      <c r="G391">
        <f>IF(AND($C391 = Temp!$C$1, $B391 = Temp!$A$16),$D391,0)</f>
        <v>0</v>
      </c>
      <c r="H391">
        <f>IF(AND($C391 = Temp!$D$1, $B391 = Temp!$A$16),$D391,0)</f>
        <v>0</v>
      </c>
      <c r="I391">
        <f>IF(AND($C391 = Temp!$E$1, $B391 = Temp!$A$16),$D391,0)</f>
        <v>0</v>
      </c>
      <c r="J391">
        <f>IF(AND($C391 = Temp!$F$1, $B391 = Temp!$A$16),$D391,0)</f>
        <v>0</v>
      </c>
      <c r="K391">
        <f>IF(AND($C391 = Temp!$G$1, $B391 = Temp!$A$16),$D391,0)</f>
        <v>0</v>
      </c>
      <c r="L391">
        <f>IF(AND($C391 = Temp!$H$1, $B391 = Temp!$A$16),$D391,0)</f>
        <v>0</v>
      </c>
      <c r="M391">
        <f>IF(AND($C391 = Temp!$I$1, $B391 = Temp!$A$16),$D391,0)</f>
        <v>0</v>
      </c>
      <c r="N391">
        <f>IF(AND($C391 = Temp!$J$1, $B391 = Temp!$A$16),$D391,0)</f>
        <v>0</v>
      </c>
      <c r="O391">
        <f>IF(AND($C391 = Temp!$K$1, $B391 = Temp!$A$16),$D391,0)</f>
        <v>0</v>
      </c>
    </row>
    <row r="392" spans="2:15" hidden="1" x14ac:dyDescent="0.2">
      <c r="B392" t="s">
        <v>416</v>
      </c>
      <c r="C392" t="s">
        <v>24</v>
      </c>
      <c r="D392">
        <v>1</v>
      </c>
      <c r="F392">
        <f>IF(AND($C392 = Temp!$B$1, $B392 = Temp!$A$16),$D392,0)</f>
        <v>0</v>
      </c>
      <c r="G392">
        <f>IF(AND($C392 = Temp!$C$1, $B392 = Temp!$A$16),$D392,0)</f>
        <v>0</v>
      </c>
      <c r="H392">
        <f>IF(AND($C392 = Temp!$D$1, $B392 = Temp!$A$16),$D392,0)</f>
        <v>0</v>
      </c>
      <c r="I392">
        <f>IF(AND($C392 = Temp!$E$1, $B392 = Temp!$A$16),$D392,0)</f>
        <v>0</v>
      </c>
      <c r="J392">
        <f>IF(AND($C392 = Temp!$F$1, $B392 = Temp!$A$16),$D392,0)</f>
        <v>0</v>
      </c>
      <c r="K392">
        <f>IF(AND($C392 = Temp!$G$1, $B392 = Temp!$A$16),$D392,0)</f>
        <v>0</v>
      </c>
      <c r="L392">
        <f>IF(AND($C392 = Temp!$H$1, $B392 = Temp!$A$16),$D392,0)</f>
        <v>0</v>
      </c>
      <c r="M392">
        <f>IF(AND($C392 = Temp!$I$1, $B392 = Temp!$A$16),$D392,0)</f>
        <v>0</v>
      </c>
      <c r="N392">
        <f>IF(AND($C392 = Temp!$J$1, $B392 = Temp!$A$16),$D392,0)</f>
        <v>0</v>
      </c>
      <c r="O392">
        <f>IF(AND($C392 = Temp!$K$1, $B392 = Temp!$A$16),$D392,0)</f>
        <v>0</v>
      </c>
    </row>
    <row r="393" spans="2:15" hidden="1" x14ac:dyDescent="0.2">
      <c r="B393" t="s">
        <v>416</v>
      </c>
      <c r="C393" t="s">
        <v>24</v>
      </c>
      <c r="D393">
        <v>1</v>
      </c>
      <c r="F393">
        <f>IF(AND($C393 = Temp!$B$1, $B393 = Temp!$A$16),$D393,0)</f>
        <v>0</v>
      </c>
      <c r="G393">
        <f>IF(AND($C393 = Temp!$C$1, $B393 = Temp!$A$16),$D393,0)</f>
        <v>0</v>
      </c>
      <c r="H393">
        <f>IF(AND($C393 = Temp!$D$1, $B393 = Temp!$A$16),$D393,0)</f>
        <v>0</v>
      </c>
      <c r="I393">
        <f>IF(AND($C393 = Temp!$E$1, $B393 = Temp!$A$16),$D393,0)</f>
        <v>0</v>
      </c>
      <c r="J393">
        <f>IF(AND($C393 = Temp!$F$1, $B393 = Temp!$A$16),$D393,0)</f>
        <v>0</v>
      </c>
      <c r="K393">
        <f>IF(AND($C393 = Temp!$G$1, $B393 = Temp!$A$16),$D393,0)</f>
        <v>0</v>
      </c>
      <c r="L393">
        <f>IF(AND($C393 = Temp!$H$1, $B393 = Temp!$A$16),$D393,0)</f>
        <v>0</v>
      </c>
      <c r="M393">
        <f>IF(AND($C393 = Temp!$I$1, $B393 = Temp!$A$16),$D393,0)</f>
        <v>0</v>
      </c>
      <c r="N393">
        <f>IF(AND($C393 = Temp!$J$1, $B393 = Temp!$A$16),$D393,0)</f>
        <v>0</v>
      </c>
      <c r="O393">
        <f>IF(AND($C393 = Temp!$K$1, $B393 = Temp!$A$16),$D393,0)</f>
        <v>0</v>
      </c>
    </row>
    <row r="394" spans="2:15" hidden="1" x14ac:dyDescent="0.2">
      <c r="B394" t="s">
        <v>416</v>
      </c>
      <c r="C394" t="s">
        <v>24</v>
      </c>
      <c r="D394">
        <v>0.1</v>
      </c>
      <c r="F394">
        <f>IF(AND($C394 = Temp!$B$1, $B394 = Temp!$A$16),$D394,0)</f>
        <v>0</v>
      </c>
      <c r="G394">
        <f>IF(AND($C394 = Temp!$C$1, $B394 = Temp!$A$16),$D394,0)</f>
        <v>0</v>
      </c>
      <c r="H394">
        <f>IF(AND($C394 = Temp!$D$1, $B394 = Temp!$A$16),$D394,0)</f>
        <v>0</v>
      </c>
      <c r="I394">
        <f>IF(AND($C394 = Temp!$E$1, $B394 = Temp!$A$16),$D394,0)</f>
        <v>0</v>
      </c>
      <c r="J394">
        <f>IF(AND($C394 = Temp!$F$1, $B394 = Temp!$A$16),$D394,0)</f>
        <v>0</v>
      </c>
      <c r="K394">
        <f>IF(AND($C394 = Temp!$G$1, $B394 = Temp!$A$16),$D394,0)</f>
        <v>0</v>
      </c>
      <c r="L394">
        <f>IF(AND($C394 = Temp!$H$1, $B394 = Temp!$A$16),$D394,0)</f>
        <v>0</v>
      </c>
      <c r="M394">
        <f>IF(AND($C394 = Temp!$I$1, $B394 = Temp!$A$16),$D394,0)</f>
        <v>0</v>
      </c>
      <c r="N394">
        <f>IF(AND($C394 = Temp!$J$1, $B394 = Temp!$A$16),$D394,0)</f>
        <v>0</v>
      </c>
      <c r="O394">
        <f>IF(AND($C394 = Temp!$K$1, $B394 = Temp!$A$16),$D394,0)</f>
        <v>0</v>
      </c>
    </row>
    <row r="395" spans="2:15" hidden="1" x14ac:dyDescent="0.2">
      <c r="B395" t="s">
        <v>416</v>
      </c>
      <c r="C395" t="s">
        <v>41</v>
      </c>
      <c r="D395">
        <v>2</v>
      </c>
      <c r="F395">
        <f>IF(AND($C395 = Temp!$B$1, $B395 = Temp!$A$16),$D395,0)</f>
        <v>0</v>
      </c>
      <c r="G395">
        <f>IF(AND($C395 = Temp!$C$1, $B395 = Temp!$A$16),$D395,0)</f>
        <v>0</v>
      </c>
      <c r="H395">
        <f>IF(AND($C395 = Temp!$D$1, $B395 = Temp!$A$16),$D395,0)</f>
        <v>0</v>
      </c>
      <c r="I395">
        <f>IF(AND($C395 = Temp!$E$1, $B395 = Temp!$A$16),$D395,0)</f>
        <v>0</v>
      </c>
      <c r="J395">
        <f>IF(AND($C395 = Temp!$F$1, $B395 = Temp!$A$16),$D395,0)</f>
        <v>0</v>
      </c>
      <c r="K395">
        <f>IF(AND($C395 = Temp!$G$1, $B395 = Temp!$A$16),$D395,0)</f>
        <v>0</v>
      </c>
      <c r="L395">
        <f>IF(AND($C395 = Temp!$H$1, $B395 = Temp!$A$16),$D395,0)</f>
        <v>0</v>
      </c>
      <c r="M395">
        <f>IF(AND($C395 = Temp!$I$1, $B395 = Temp!$A$16),$D395,0)</f>
        <v>0</v>
      </c>
      <c r="N395">
        <f>IF(AND($C395 = Temp!$J$1, $B395 = Temp!$A$16),$D395,0)</f>
        <v>0</v>
      </c>
      <c r="O395">
        <f>IF(AND($C395 = Temp!$K$1, $B395 = Temp!$A$16),$D395,0)</f>
        <v>0</v>
      </c>
    </row>
    <row r="396" spans="2:15" hidden="1" x14ac:dyDescent="0.2">
      <c r="B396" t="s">
        <v>416</v>
      </c>
      <c r="C396" t="s">
        <v>41</v>
      </c>
      <c r="D396">
        <v>2</v>
      </c>
      <c r="F396">
        <f>IF(AND($C396 = Temp!$B$1, $B396 = Temp!$A$16),$D396,0)</f>
        <v>0</v>
      </c>
      <c r="G396">
        <f>IF(AND($C396 = Temp!$C$1, $B396 = Temp!$A$16),$D396,0)</f>
        <v>0</v>
      </c>
      <c r="H396">
        <f>IF(AND($C396 = Temp!$D$1, $B396 = Temp!$A$16),$D396,0)</f>
        <v>0</v>
      </c>
      <c r="I396">
        <f>IF(AND($C396 = Temp!$E$1, $B396 = Temp!$A$16),$D396,0)</f>
        <v>0</v>
      </c>
      <c r="J396">
        <f>IF(AND($C396 = Temp!$F$1, $B396 = Temp!$A$16),$D396,0)</f>
        <v>0</v>
      </c>
      <c r="K396">
        <f>IF(AND($C396 = Temp!$G$1, $B396 = Temp!$A$16),$D396,0)</f>
        <v>0</v>
      </c>
      <c r="L396">
        <f>IF(AND($C396 = Temp!$H$1, $B396 = Temp!$A$16),$D396,0)</f>
        <v>0</v>
      </c>
      <c r="M396">
        <f>IF(AND($C396 = Temp!$I$1, $B396 = Temp!$A$16),$D396,0)</f>
        <v>0</v>
      </c>
      <c r="N396">
        <f>IF(AND($C396 = Temp!$J$1, $B396 = Temp!$A$16),$D396,0)</f>
        <v>0</v>
      </c>
      <c r="O396">
        <f>IF(AND($C396 = Temp!$K$1, $B396 = Temp!$A$16),$D396,0)</f>
        <v>0</v>
      </c>
    </row>
    <row r="397" spans="2:15" hidden="1" x14ac:dyDescent="0.2">
      <c r="B397" t="s">
        <v>416</v>
      </c>
      <c r="C397" t="s">
        <v>41</v>
      </c>
      <c r="D397">
        <v>2</v>
      </c>
      <c r="F397">
        <f>IF(AND($C397 = Temp!$B$1, $B397 = Temp!$A$16),$D397,0)</f>
        <v>0</v>
      </c>
      <c r="G397">
        <f>IF(AND($C397 = Temp!$C$1, $B397 = Temp!$A$16),$D397,0)</f>
        <v>0</v>
      </c>
      <c r="H397">
        <f>IF(AND($C397 = Temp!$D$1, $B397 = Temp!$A$16),$D397,0)</f>
        <v>0</v>
      </c>
      <c r="I397">
        <f>IF(AND($C397 = Temp!$E$1, $B397 = Temp!$A$16),$D397,0)</f>
        <v>0</v>
      </c>
      <c r="J397">
        <f>IF(AND($C397 = Temp!$F$1, $B397 = Temp!$A$16),$D397,0)</f>
        <v>0</v>
      </c>
      <c r="K397">
        <f>IF(AND($C397 = Temp!$G$1, $B397 = Temp!$A$16),$D397,0)</f>
        <v>0</v>
      </c>
      <c r="L397">
        <f>IF(AND($C397 = Temp!$H$1, $B397 = Temp!$A$16),$D397,0)</f>
        <v>0</v>
      </c>
      <c r="M397">
        <f>IF(AND($C397 = Temp!$I$1, $B397 = Temp!$A$16),$D397,0)</f>
        <v>0</v>
      </c>
      <c r="N397">
        <f>IF(AND($C397 = Temp!$J$1, $B397 = Temp!$A$16),$D397,0)</f>
        <v>0</v>
      </c>
      <c r="O397">
        <f>IF(AND($C397 = Temp!$K$1, $B397 = Temp!$A$16),$D397,0)</f>
        <v>0</v>
      </c>
    </row>
    <row r="398" spans="2:15" hidden="1" x14ac:dyDescent="0.2">
      <c r="B398" t="s">
        <v>416</v>
      </c>
      <c r="C398" t="s">
        <v>41</v>
      </c>
      <c r="D398">
        <v>2.5</v>
      </c>
      <c r="F398">
        <f>IF(AND($C398 = Temp!$B$1, $B398 = Temp!$A$16),$D398,0)</f>
        <v>0</v>
      </c>
      <c r="G398">
        <f>IF(AND($C398 = Temp!$C$1, $B398 = Temp!$A$16),$D398,0)</f>
        <v>0</v>
      </c>
      <c r="H398">
        <f>IF(AND($C398 = Temp!$D$1, $B398 = Temp!$A$16),$D398,0)</f>
        <v>0</v>
      </c>
      <c r="I398">
        <f>IF(AND($C398 = Temp!$E$1, $B398 = Temp!$A$16),$D398,0)</f>
        <v>0</v>
      </c>
      <c r="J398">
        <f>IF(AND($C398 = Temp!$F$1, $B398 = Temp!$A$16),$D398,0)</f>
        <v>0</v>
      </c>
      <c r="K398">
        <f>IF(AND($C398 = Temp!$G$1, $B398 = Temp!$A$16),$D398,0)</f>
        <v>0</v>
      </c>
      <c r="L398">
        <f>IF(AND($C398 = Temp!$H$1, $B398 = Temp!$A$16),$D398,0)</f>
        <v>0</v>
      </c>
      <c r="M398">
        <f>IF(AND($C398 = Temp!$I$1, $B398 = Temp!$A$16),$D398,0)</f>
        <v>0</v>
      </c>
      <c r="N398">
        <f>IF(AND($C398 = Temp!$J$1, $B398 = Temp!$A$16),$D398,0)</f>
        <v>0</v>
      </c>
      <c r="O398">
        <f>IF(AND($C398 = Temp!$K$1, $B398 = Temp!$A$16),$D398,0)</f>
        <v>0</v>
      </c>
    </row>
    <row r="399" spans="2:15" hidden="1" x14ac:dyDescent="0.2">
      <c r="B399" t="s">
        <v>429</v>
      </c>
      <c r="C399" t="s">
        <v>24</v>
      </c>
      <c r="D399">
        <v>1</v>
      </c>
      <c r="F399">
        <f>IF(AND($C399 = Temp!$B$1, $B399 = Temp!$A$16),$D399,0)</f>
        <v>0</v>
      </c>
      <c r="G399">
        <f>IF(AND($C399 = Temp!$C$1, $B399 = Temp!$A$16),$D399,0)</f>
        <v>0</v>
      </c>
      <c r="H399">
        <f>IF(AND($C399 = Temp!$D$1, $B399 = Temp!$A$16),$D399,0)</f>
        <v>0</v>
      </c>
      <c r="I399">
        <f>IF(AND($C399 = Temp!$E$1, $B399 = Temp!$A$16),$D399,0)</f>
        <v>0</v>
      </c>
      <c r="J399">
        <f>IF(AND($C399 = Temp!$F$1, $B399 = Temp!$A$16),$D399,0)</f>
        <v>0</v>
      </c>
      <c r="K399">
        <f>IF(AND($C399 = Temp!$G$1, $B399 = Temp!$A$16),$D399,0)</f>
        <v>0</v>
      </c>
      <c r="L399">
        <f>IF(AND($C399 = Temp!$H$1, $B399 = Temp!$A$16),$D399,0)</f>
        <v>0</v>
      </c>
      <c r="M399">
        <f>IF(AND($C399 = Temp!$I$1, $B399 = Temp!$A$16),$D399,0)</f>
        <v>0</v>
      </c>
      <c r="N399">
        <f>IF(AND($C399 = Temp!$J$1, $B399 = Temp!$A$16),$D399,0)</f>
        <v>0</v>
      </c>
      <c r="O399">
        <f>IF(AND($C399 = Temp!$K$1, $B399 = Temp!$A$16),$D399,0)</f>
        <v>0</v>
      </c>
    </row>
    <row r="400" spans="2:15" hidden="1" x14ac:dyDescent="0.2">
      <c r="B400" t="s">
        <v>429</v>
      </c>
      <c r="C400" t="s">
        <v>24</v>
      </c>
      <c r="D400">
        <v>1</v>
      </c>
      <c r="F400">
        <f>IF(AND($C400 = Temp!$B$1, $B400 = Temp!$A$16),$D400,0)</f>
        <v>0</v>
      </c>
      <c r="G400">
        <f>IF(AND($C400 = Temp!$C$1, $B400 = Temp!$A$16),$D400,0)</f>
        <v>0</v>
      </c>
      <c r="H400">
        <f>IF(AND($C400 = Temp!$D$1, $B400 = Temp!$A$16),$D400,0)</f>
        <v>0</v>
      </c>
      <c r="I400">
        <f>IF(AND($C400 = Temp!$E$1, $B400 = Temp!$A$16),$D400,0)</f>
        <v>0</v>
      </c>
      <c r="J400">
        <f>IF(AND($C400 = Temp!$F$1, $B400 = Temp!$A$16),$D400,0)</f>
        <v>0</v>
      </c>
      <c r="K400">
        <f>IF(AND($C400 = Temp!$G$1, $B400 = Temp!$A$16),$D400,0)</f>
        <v>0</v>
      </c>
      <c r="L400">
        <f>IF(AND($C400 = Temp!$H$1, $B400 = Temp!$A$16),$D400,0)</f>
        <v>0</v>
      </c>
      <c r="M400">
        <f>IF(AND($C400 = Temp!$I$1, $B400 = Temp!$A$16),$D400,0)</f>
        <v>0</v>
      </c>
      <c r="N400">
        <f>IF(AND($C400 = Temp!$J$1, $B400 = Temp!$A$16),$D400,0)</f>
        <v>0</v>
      </c>
      <c r="O400">
        <f>IF(AND($C400 = Temp!$K$1, $B400 = Temp!$A$16),$D400,0)</f>
        <v>0</v>
      </c>
    </row>
    <row r="401" spans="2:15" hidden="1" x14ac:dyDescent="0.2">
      <c r="B401" t="s">
        <v>429</v>
      </c>
      <c r="C401" t="s">
        <v>24</v>
      </c>
      <c r="D401">
        <v>1</v>
      </c>
      <c r="F401">
        <f>IF(AND($C401 = Temp!$B$1, $B401 = Temp!$A$16),$D401,0)</f>
        <v>0</v>
      </c>
      <c r="G401">
        <f>IF(AND($C401 = Temp!$C$1, $B401 = Temp!$A$16),$D401,0)</f>
        <v>0</v>
      </c>
      <c r="H401">
        <f>IF(AND($C401 = Temp!$D$1, $B401 = Temp!$A$16),$D401,0)</f>
        <v>0</v>
      </c>
      <c r="I401">
        <f>IF(AND($C401 = Temp!$E$1, $B401 = Temp!$A$16),$D401,0)</f>
        <v>0</v>
      </c>
      <c r="J401">
        <f>IF(AND($C401 = Temp!$F$1, $B401 = Temp!$A$16),$D401,0)</f>
        <v>0</v>
      </c>
      <c r="K401">
        <f>IF(AND($C401 = Temp!$G$1, $B401 = Temp!$A$16),$D401,0)</f>
        <v>0</v>
      </c>
      <c r="L401">
        <f>IF(AND($C401 = Temp!$H$1, $B401 = Temp!$A$16),$D401,0)</f>
        <v>0</v>
      </c>
      <c r="M401">
        <f>IF(AND($C401 = Temp!$I$1, $B401 = Temp!$A$16),$D401,0)</f>
        <v>0</v>
      </c>
      <c r="N401">
        <f>IF(AND($C401 = Temp!$J$1, $B401 = Temp!$A$16),$D401,0)</f>
        <v>0</v>
      </c>
      <c r="O401">
        <f>IF(AND($C401 = Temp!$K$1, $B401 = Temp!$A$16),$D401,0)</f>
        <v>0</v>
      </c>
    </row>
    <row r="402" spans="2:15" hidden="1" x14ac:dyDescent="0.2">
      <c r="B402" t="s">
        <v>429</v>
      </c>
      <c r="C402" t="s">
        <v>24</v>
      </c>
      <c r="D402">
        <v>1</v>
      </c>
      <c r="F402">
        <f>IF(AND($C402 = Temp!$B$1, $B402 = Temp!$A$16),$D402,0)</f>
        <v>0</v>
      </c>
      <c r="G402">
        <f>IF(AND($C402 = Temp!$C$1, $B402 = Temp!$A$16),$D402,0)</f>
        <v>0</v>
      </c>
      <c r="H402">
        <f>IF(AND($C402 = Temp!$D$1, $B402 = Temp!$A$16),$D402,0)</f>
        <v>0</v>
      </c>
      <c r="I402">
        <f>IF(AND($C402 = Temp!$E$1, $B402 = Temp!$A$16),$D402,0)</f>
        <v>0</v>
      </c>
      <c r="J402">
        <f>IF(AND($C402 = Temp!$F$1, $B402 = Temp!$A$16),$D402,0)</f>
        <v>0</v>
      </c>
      <c r="K402">
        <f>IF(AND($C402 = Temp!$G$1, $B402 = Temp!$A$16),$D402,0)</f>
        <v>0</v>
      </c>
      <c r="L402">
        <f>IF(AND($C402 = Temp!$H$1, $B402 = Temp!$A$16),$D402,0)</f>
        <v>0</v>
      </c>
      <c r="M402">
        <f>IF(AND($C402 = Temp!$I$1, $B402 = Temp!$A$16),$D402,0)</f>
        <v>0</v>
      </c>
      <c r="N402">
        <f>IF(AND($C402 = Temp!$J$1, $B402 = Temp!$A$16),$D402,0)</f>
        <v>0</v>
      </c>
      <c r="O402">
        <f>IF(AND($C402 = Temp!$K$1, $B402 = Temp!$A$16),$D402,0)</f>
        <v>0</v>
      </c>
    </row>
    <row r="403" spans="2:15" hidden="1" x14ac:dyDescent="0.2">
      <c r="B403" t="s">
        <v>429</v>
      </c>
      <c r="C403" t="s">
        <v>24</v>
      </c>
      <c r="D403">
        <v>0.1</v>
      </c>
      <c r="F403">
        <f>IF(AND($C403 = Temp!$B$1, $B403 = Temp!$A$16),$D403,0)</f>
        <v>0</v>
      </c>
      <c r="G403">
        <f>IF(AND($C403 = Temp!$C$1, $B403 = Temp!$A$16),$D403,0)</f>
        <v>0</v>
      </c>
      <c r="H403">
        <f>IF(AND($C403 = Temp!$D$1, $B403 = Temp!$A$16),$D403,0)</f>
        <v>0</v>
      </c>
      <c r="I403">
        <f>IF(AND($C403 = Temp!$E$1, $B403 = Temp!$A$16),$D403,0)</f>
        <v>0</v>
      </c>
      <c r="J403">
        <f>IF(AND($C403 = Temp!$F$1, $B403 = Temp!$A$16),$D403,0)</f>
        <v>0</v>
      </c>
      <c r="K403">
        <f>IF(AND($C403 = Temp!$G$1, $B403 = Temp!$A$16),$D403,0)</f>
        <v>0</v>
      </c>
      <c r="L403">
        <f>IF(AND($C403 = Temp!$H$1, $B403 = Temp!$A$16),$D403,0)</f>
        <v>0</v>
      </c>
      <c r="M403">
        <f>IF(AND($C403 = Temp!$I$1, $B403 = Temp!$A$16),$D403,0)</f>
        <v>0</v>
      </c>
      <c r="N403">
        <f>IF(AND($C403 = Temp!$J$1, $B403 = Temp!$A$16),$D403,0)</f>
        <v>0</v>
      </c>
      <c r="O403">
        <f>IF(AND($C403 = Temp!$K$1, $B403 = Temp!$A$16),$D403,0)</f>
        <v>0</v>
      </c>
    </row>
    <row r="404" spans="2:15" hidden="1" x14ac:dyDescent="0.2">
      <c r="B404" t="s">
        <v>429</v>
      </c>
      <c r="C404" t="s">
        <v>24</v>
      </c>
      <c r="D404">
        <v>2</v>
      </c>
      <c r="F404">
        <f>IF(AND($C404 = Temp!$B$1, $B404 = Temp!$A$16),$D404,0)</f>
        <v>0</v>
      </c>
      <c r="G404">
        <f>IF(AND($C404 = Temp!$C$1, $B404 = Temp!$A$16),$D404,0)</f>
        <v>0</v>
      </c>
      <c r="H404">
        <f>IF(AND($C404 = Temp!$D$1, $B404 = Temp!$A$16),$D404,0)</f>
        <v>0</v>
      </c>
      <c r="I404">
        <f>IF(AND($C404 = Temp!$E$1, $B404 = Temp!$A$16),$D404,0)</f>
        <v>0</v>
      </c>
      <c r="J404">
        <f>IF(AND($C404 = Temp!$F$1, $B404 = Temp!$A$16),$D404,0)</f>
        <v>0</v>
      </c>
      <c r="K404">
        <f>IF(AND($C404 = Temp!$G$1, $B404 = Temp!$A$16),$D404,0)</f>
        <v>0</v>
      </c>
      <c r="L404">
        <f>IF(AND($C404 = Temp!$H$1, $B404 = Temp!$A$16),$D404,0)</f>
        <v>0</v>
      </c>
      <c r="M404">
        <f>IF(AND($C404 = Temp!$I$1, $B404 = Temp!$A$16),$D404,0)</f>
        <v>0</v>
      </c>
      <c r="N404">
        <f>IF(AND($C404 = Temp!$J$1, $B404 = Temp!$A$16),$D404,0)</f>
        <v>0</v>
      </c>
      <c r="O404">
        <f>IF(AND($C404 = Temp!$K$1, $B404 = Temp!$A$16),$D404,0)</f>
        <v>0</v>
      </c>
    </row>
    <row r="405" spans="2:15" hidden="1" x14ac:dyDescent="0.2">
      <c r="B405" t="s">
        <v>429</v>
      </c>
      <c r="C405" t="s">
        <v>24</v>
      </c>
      <c r="D405">
        <v>0.1</v>
      </c>
      <c r="F405">
        <f>IF(AND($C405 = Temp!$B$1, $B405 = Temp!$A$16),$D405,0)</f>
        <v>0</v>
      </c>
      <c r="G405">
        <f>IF(AND($C405 = Temp!$C$1, $B405 = Temp!$A$16),$D405,0)</f>
        <v>0</v>
      </c>
      <c r="H405">
        <f>IF(AND($C405 = Temp!$D$1, $B405 = Temp!$A$16),$D405,0)</f>
        <v>0</v>
      </c>
      <c r="I405">
        <f>IF(AND($C405 = Temp!$E$1, $B405 = Temp!$A$16),$D405,0)</f>
        <v>0</v>
      </c>
      <c r="J405">
        <f>IF(AND($C405 = Temp!$F$1, $B405 = Temp!$A$16),$D405,0)</f>
        <v>0</v>
      </c>
      <c r="K405">
        <f>IF(AND($C405 = Temp!$G$1, $B405 = Temp!$A$16),$D405,0)</f>
        <v>0</v>
      </c>
      <c r="L405">
        <f>IF(AND($C405 = Temp!$H$1, $B405 = Temp!$A$16),$D405,0)</f>
        <v>0</v>
      </c>
      <c r="M405">
        <f>IF(AND($C405 = Temp!$I$1, $B405 = Temp!$A$16),$D405,0)</f>
        <v>0</v>
      </c>
      <c r="N405">
        <f>IF(AND($C405 = Temp!$J$1, $B405 = Temp!$A$16),$D405,0)</f>
        <v>0</v>
      </c>
      <c r="O405">
        <f>IF(AND($C405 = Temp!$K$1, $B405 = Temp!$A$16),$D405,0)</f>
        <v>0</v>
      </c>
    </row>
    <row r="406" spans="2:15" hidden="1" x14ac:dyDescent="0.2">
      <c r="B406" t="s">
        <v>431</v>
      </c>
      <c r="C406" t="s">
        <v>15</v>
      </c>
      <c r="D406">
        <v>2</v>
      </c>
      <c r="F406">
        <f>IF(AND($C406 = Temp!$B$1, $B406 = Temp!$A$16),$D406,0)</f>
        <v>0</v>
      </c>
      <c r="G406">
        <f>IF(AND($C406 = Temp!$C$1, $B406 = Temp!$A$16),$D406,0)</f>
        <v>0</v>
      </c>
      <c r="H406">
        <f>IF(AND($C406 = Temp!$D$1, $B406 = Temp!$A$16),$D406,0)</f>
        <v>0</v>
      </c>
      <c r="I406">
        <f>IF(AND($C406 = Temp!$E$1, $B406 = Temp!$A$16),$D406,0)</f>
        <v>0</v>
      </c>
      <c r="J406">
        <f>IF(AND($C406 = Temp!$F$1, $B406 = Temp!$A$16),$D406,0)</f>
        <v>0</v>
      </c>
      <c r="K406">
        <f>IF(AND($C406 = Temp!$G$1, $B406 = Temp!$A$16),$D406,0)</f>
        <v>0</v>
      </c>
      <c r="L406">
        <f>IF(AND($C406 = Temp!$H$1, $B406 = Temp!$A$16),$D406,0)</f>
        <v>0</v>
      </c>
      <c r="M406">
        <f>IF(AND($C406 = Temp!$I$1, $B406 = Temp!$A$16),$D406,0)</f>
        <v>0</v>
      </c>
      <c r="N406">
        <f>IF(AND($C406 = Temp!$J$1, $B406 = Temp!$A$16),$D406,0)</f>
        <v>0</v>
      </c>
      <c r="O406">
        <f>IF(AND($C406 = Temp!$K$1, $B406 = Temp!$A$16),$D406,0)</f>
        <v>0</v>
      </c>
    </row>
    <row r="407" spans="2:15" hidden="1" x14ac:dyDescent="0.2">
      <c r="B407" t="s">
        <v>431</v>
      </c>
      <c r="C407" t="s">
        <v>15</v>
      </c>
      <c r="D407">
        <v>2</v>
      </c>
      <c r="F407">
        <f>IF(AND($C407 = Temp!$B$1, $B407 = Temp!$A$16),$D407,0)</f>
        <v>0</v>
      </c>
      <c r="G407">
        <f>IF(AND($C407 = Temp!$C$1, $B407 = Temp!$A$16),$D407,0)</f>
        <v>0</v>
      </c>
      <c r="H407">
        <f>IF(AND($C407 = Temp!$D$1, $B407 = Temp!$A$16),$D407,0)</f>
        <v>0</v>
      </c>
      <c r="I407">
        <f>IF(AND($C407 = Temp!$E$1, $B407 = Temp!$A$16),$D407,0)</f>
        <v>0</v>
      </c>
      <c r="J407">
        <f>IF(AND($C407 = Temp!$F$1, $B407 = Temp!$A$16),$D407,0)</f>
        <v>0</v>
      </c>
      <c r="K407">
        <f>IF(AND($C407 = Temp!$G$1, $B407 = Temp!$A$16),$D407,0)</f>
        <v>0</v>
      </c>
      <c r="L407">
        <f>IF(AND($C407 = Temp!$H$1, $B407 = Temp!$A$16),$D407,0)</f>
        <v>0</v>
      </c>
      <c r="M407">
        <f>IF(AND($C407 = Temp!$I$1, $B407 = Temp!$A$16),$D407,0)</f>
        <v>0</v>
      </c>
      <c r="N407">
        <f>IF(AND($C407 = Temp!$J$1, $B407 = Temp!$A$16),$D407,0)</f>
        <v>0</v>
      </c>
      <c r="O407">
        <f>IF(AND($C407 = Temp!$K$1, $B407 = Temp!$A$16),$D407,0)</f>
        <v>0</v>
      </c>
    </row>
    <row r="408" spans="2:15" hidden="1" x14ac:dyDescent="0.2">
      <c r="B408" t="s">
        <v>431</v>
      </c>
      <c r="C408" t="s">
        <v>15</v>
      </c>
      <c r="D408">
        <v>2</v>
      </c>
      <c r="F408">
        <f>IF(AND($C408 = Temp!$B$1, $B408 = Temp!$A$16),$D408,0)</f>
        <v>0</v>
      </c>
      <c r="G408">
        <f>IF(AND($C408 = Temp!$C$1, $B408 = Temp!$A$16),$D408,0)</f>
        <v>0</v>
      </c>
      <c r="H408">
        <f>IF(AND($C408 = Temp!$D$1, $B408 = Temp!$A$16),$D408,0)</f>
        <v>0</v>
      </c>
      <c r="I408">
        <f>IF(AND($C408 = Temp!$E$1, $B408 = Temp!$A$16),$D408,0)</f>
        <v>0</v>
      </c>
      <c r="J408">
        <f>IF(AND($C408 = Temp!$F$1, $B408 = Temp!$A$16),$D408,0)</f>
        <v>0</v>
      </c>
      <c r="K408">
        <f>IF(AND($C408 = Temp!$G$1, $B408 = Temp!$A$16),$D408,0)</f>
        <v>0</v>
      </c>
      <c r="L408">
        <f>IF(AND($C408 = Temp!$H$1, $B408 = Temp!$A$16),$D408,0)</f>
        <v>0</v>
      </c>
      <c r="M408">
        <f>IF(AND($C408 = Temp!$I$1, $B408 = Temp!$A$16),$D408,0)</f>
        <v>0</v>
      </c>
      <c r="N408">
        <f>IF(AND($C408 = Temp!$J$1, $B408 = Temp!$A$16),$D408,0)</f>
        <v>0</v>
      </c>
      <c r="O408">
        <f>IF(AND($C408 = Temp!$K$1, $B408 = Temp!$A$16),$D408,0)</f>
        <v>0</v>
      </c>
    </row>
    <row r="409" spans="2:15" hidden="1" x14ac:dyDescent="0.2">
      <c r="B409" t="s">
        <v>431</v>
      </c>
      <c r="C409" t="s">
        <v>15</v>
      </c>
      <c r="D409">
        <v>2</v>
      </c>
      <c r="F409">
        <f>IF(AND($C409 = Temp!$B$1, $B409 = Temp!$A$16),$D409,0)</f>
        <v>0</v>
      </c>
      <c r="G409">
        <f>IF(AND($C409 = Temp!$C$1, $B409 = Temp!$A$16),$D409,0)</f>
        <v>0</v>
      </c>
      <c r="H409">
        <f>IF(AND($C409 = Temp!$D$1, $B409 = Temp!$A$16),$D409,0)</f>
        <v>0</v>
      </c>
      <c r="I409">
        <f>IF(AND($C409 = Temp!$E$1, $B409 = Temp!$A$16),$D409,0)</f>
        <v>0</v>
      </c>
      <c r="J409">
        <f>IF(AND($C409 = Temp!$F$1, $B409 = Temp!$A$16),$D409,0)</f>
        <v>0</v>
      </c>
      <c r="K409">
        <f>IF(AND($C409 = Temp!$G$1, $B409 = Temp!$A$16),$D409,0)</f>
        <v>0</v>
      </c>
      <c r="L409">
        <f>IF(AND($C409 = Temp!$H$1, $B409 = Temp!$A$16),$D409,0)</f>
        <v>0</v>
      </c>
      <c r="M409">
        <f>IF(AND($C409 = Temp!$I$1, $B409 = Temp!$A$16),$D409,0)</f>
        <v>0</v>
      </c>
      <c r="N409">
        <f>IF(AND($C409 = Temp!$J$1, $B409 = Temp!$A$16),$D409,0)</f>
        <v>0</v>
      </c>
      <c r="O409">
        <f>IF(AND($C409 = Temp!$K$1, $B409 = Temp!$A$16),$D409,0)</f>
        <v>0</v>
      </c>
    </row>
    <row r="410" spans="2:15" hidden="1" x14ac:dyDescent="0.2">
      <c r="B410" t="s">
        <v>431</v>
      </c>
      <c r="C410" t="s">
        <v>15</v>
      </c>
      <c r="D410">
        <v>8</v>
      </c>
      <c r="F410">
        <f>IF(AND($C410 = Temp!$B$1, $B410 = Temp!$A$16),$D410,0)</f>
        <v>0</v>
      </c>
      <c r="G410">
        <f>IF(AND($C410 = Temp!$C$1, $B410 = Temp!$A$16),$D410,0)</f>
        <v>0</v>
      </c>
      <c r="H410">
        <f>IF(AND($C410 = Temp!$D$1, $B410 = Temp!$A$16),$D410,0)</f>
        <v>0</v>
      </c>
      <c r="I410">
        <f>IF(AND($C410 = Temp!$E$1, $B410 = Temp!$A$16),$D410,0)</f>
        <v>0</v>
      </c>
      <c r="J410">
        <f>IF(AND($C410 = Temp!$F$1, $B410 = Temp!$A$16),$D410,0)</f>
        <v>0</v>
      </c>
      <c r="K410">
        <f>IF(AND($C410 = Temp!$G$1, $B410 = Temp!$A$16),$D410,0)</f>
        <v>0</v>
      </c>
      <c r="L410">
        <f>IF(AND($C410 = Temp!$H$1, $B410 = Temp!$A$16),$D410,0)</f>
        <v>0</v>
      </c>
      <c r="M410">
        <f>IF(AND($C410 = Temp!$I$1, $B410 = Temp!$A$16),$D410,0)</f>
        <v>0</v>
      </c>
      <c r="N410">
        <f>IF(AND($C410 = Temp!$J$1, $B410 = Temp!$A$16),$D410,0)</f>
        <v>0</v>
      </c>
      <c r="O410">
        <f>IF(AND($C410 = Temp!$K$1, $B410 = Temp!$A$16),$D410,0)</f>
        <v>0</v>
      </c>
    </row>
    <row r="411" spans="2:15" hidden="1" x14ac:dyDescent="0.2">
      <c r="B411" t="s">
        <v>432</v>
      </c>
      <c r="C411" t="s">
        <v>40</v>
      </c>
      <c r="D411">
        <v>3</v>
      </c>
      <c r="F411">
        <f>IF(AND($C411 = Temp!$B$1, $B411 = Temp!$A$16),$D411,0)</f>
        <v>0</v>
      </c>
      <c r="G411">
        <f>IF(AND($C411 = Temp!$C$1, $B411 = Temp!$A$16),$D411,0)</f>
        <v>0</v>
      </c>
      <c r="H411">
        <f>IF(AND($C411 = Temp!$D$1, $B411 = Temp!$A$16),$D411,0)</f>
        <v>0</v>
      </c>
      <c r="I411">
        <f>IF(AND($C411 = Temp!$E$1, $B411 = Temp!$A$16),$D411,0)</f>
        <v>0</v>
      </c>
      <c r="J411">
        <f>IF(AND($C411 = Temp!$F$1, $B411 = Temp!$A$16),$D411,0)</f>
        <v>0</v>
      </c>
      <c r="K411">
        <f>IF(AND($C411 = Temp!$G$1, $B411 = Temp!$A$16),$D411,0)</f>
        <v>0</v>
      </c>
      <c r="L411">
        <f>IF(AND($C411 = Temp!$H$1, $B411 = Temp!$A$16),$D411,0)</f>
        <v>0</v>
      </c>
      <c r="M411">
        <f>IF(AND($C411 = Temp!$I$1, $B411 = Temp!$A$16),$D411,0)</f>
        <v>0</v>
      </c>
      <c r="N411">
        <f>IF(AND($C411 = Temp!$J$1, $B411 = Temp!$A$16),$D411,0)</f>
        <v>0</v>
      </c>
      <c r="O411">
        <f>IF(AND($C411 = Temp!$K$1, $B411 = Temp!$A$16),$D411,0)</f>
        <v>0</v>
      </c>
    </row>
    <row r="412" spans="2:15" hidden="1" x14ac:dyDescent="0.2">
      <c r="B412" t="s">
        <v>432</v>
      </c>
      <c r="C412" t="s">
        <v>40</v>
      </c>
      <c r="D412">
        <v>4</v>
      </c>
      <c r="F412">
        <f>IF(AND($C412 = Temp!$B$1, $B412 = Temp!$A$16),$D412,0)</f>
        <v>0</v>
      </c>
      <c r="G412">
        <f>IF(AND($C412 = Temp!$C$1, $B412 = Temp!$A$16),$D412,0)</f>
        <v>0</v>
      </c>
      <c r="H412">
        <f>IF(AND($C412 = Temp!$D$1, $B412 = Temp!$A$16),$D412,0)</f>
        <v>0</v>
      </c>
      <c r="I412">
        <f>IF(AND($C412 = Temp!$E$1, $B412 = Temp!$A$16),$D412,0)</f>
        <v>0</v>
      </c>
      <c r="J412">
        <f>IF(AND($C412 = Temp!$F$1, $B412 = Temp!$A$16),$D412,0)</f>
        <v>0</v>
      </c>
      <c r="K412">
        <f>IF(AND($C412 = Temp!$G$1, $B412 = Temp!$A$16),$D412,0)</f>
        <v>0</v>
      </c>
      <c r="L412">
        <f>IF(AND($C412 = Temp!$H$1, $B412 = Temp!$A$16),$D412,0)</f>
        <v>0</v>
      </c>
      <c r="M412">
        <f>IF(AND($C412 = Temp!$I$1, $B412 = Temp!$A$16),$D412,0)</f>
        <v>0</v>
      </c>
      <c r="N412">
        <f>IF(AND($C412 = Temp!$J$1, $B412 = Temp!$A$16),$D412,0)</f>
        <v>0</v>
      </c>
      <c r="O412">
        <f>IF(AND($C412 = Temp!$K$1, $B412 = Temp!$A$16),$D412,0)</f>
        <v>0</v>
      </c>
    </row>
    <row r="413" spans="2:15" hidden="1" x14ac:dyDescent="0.2">
      <c r="B413" t="s">
        <v>432</v>
      </c>
      <c r="C413" t="s">
        <v>40</v>
      </c>
      <c r="D413">
        <v>0.12</v>
      </c>
      <c r="F413">
        <f>IF(AND($C413 = Temp!$B$1, $B413 = Temp!$A$16),$D413,0)</f>
        <v>0</v>
      </c>
      <c r="G413">
        <f>IF(AND($C413 = Temp!$C$1, $B413 = Temp!$A$16),$D413,0)</f>
        <v>0</v>
      </c>
      <c r="H413">
        <f>IF(AND($C413 = Temp!$D$1, $B413 = Temp!$A$16),$D413,0)</f>
        <v>0</v>
      </c>
      <c r="I413">
        <f>IF(AND($C413 = Temp!$E$1, $B413 = Temp!$A$16),$D413,0)</f>
        <v>0</v>
      </c>
      <c r="J413">
        <f>IF(AND($C413 = Temp!$F$1, $B413 = Temp!$A$16),$D413,0)</f>
        <v>0</v>
      </c>
      <c r="K413">
        <f>IF(AND($C413 = Temp!$G$1, $B413 = Temp!$A$16),$D413,0)</f>
        <v>0</v>
      </c>
      <c r="L413">
        <f>IF(AND($C413 = Temp!$H$1, $B413 = Temp!$A$16),$D413,0)</f>
        <v>0</v>
      </c>
      <c r="M413">
        <f>IF(AND($C413 = Temp!$I$1, $B413 = Temp!$A$16),$D413,0)</f>
        <v>0</v>
      </c>
      <c r="N413">
        <f>IF(AND($C413 = Temp!$J$1, $B413 = Temp!$A$16),$D413,0)</f>
        <v>0</v>
      </c>
      <c r="O413">
        <f>IF(AND($C413 = Temp!$K$1, $B413 = Temp!$A$16),$D413,0)</f>
        <v>0</v>
      </c>
    </row>
    <row r="414" spans="2:15" hidden="1" x14ac:dyDescent="0.2">
      <c r="B414" t="s">
        <v>432</v>
      </c>
      <c r="C414" t="s">
        <v>40</v>
      </c>
      <c r="D414">
        <v>2</v>
      </c>
      <c r="F414">
        <f>IF(AND($C414 = Temp!$B$1, $B414 = Temp!$A$16),$D414,0)</f>
        <v>0</v>
      </c>
      <c r="G414">
        <f>IF(AND($C414 = Temp!$C$1, $B414 = Temp!$A$16),$D414,0)</f>
        <v>0</v>
      </c>
      <c r="H414">
        <f>IF(AND($C414 = Temp!$D$1, $B414 = Temp!$A$16),$D414,0)</f>
        <v>0</v>
      </c>
      <c r="I414">
        <f>IF(AND($C414 = Temp!$E$1, $B414 = Temp!$A$16),$D414,0)</f>
        <v>0</v>
      </c>
      <c r="J414">
        <f>IF(AND($C414 = Temp!$F$1, $B414 = Temp!$A$16),$D414,0)</f>
        <v>0</v>
      </c>
      <c r="K414">
        <f>IF(AND($C414 = Temp!$G$1, $B414 = Temp!$A$16),$D414,0)</f>
        <v>0</v>
      </c>
      <c r="L414">
        <f>IF(AND($C414 = Temp!$H$1, $B414 = Temp!$A$16),$D414,0)</f>
        <v>0</v>
      </c>
      <c r="M414">
        <f>IF(AND($C414 = Temp!$I$1, $B414 = Temp!$A$16),$D414,0)</f>
        <v>0</v>
      </c>
      <c r="N414">
        <f>IF(AND($C414 = Temp!$J$1, $B414 = Temp!$A$16),$D414,0)</f>
        <v>0</v>
      </c>
      <c r="O414">
        <f>IF(AND($C414 = Temp!$K$1, $B414 = Temp!$A$16),$D414,0)</f>
        <v>0</v>
      </c>
    </row>
    <row r="415" spans="2:15" hidden="1" x14ac:dyDescent="0.2">
      <c r="B415" t="s">
        <v>432</v>
      </c>
      <c r="C415" t="s">
        <v>4</v>
      </c>
      <c r="D415">
        <v>3</v>
      </c>
      <c r="F415">
        <f>IF(AND($C415 = Temp!$B$1, $B415 = Temp!$A$16),$D415,0)</f>
        <v>0</v>
      </c>
      <c r="G415">
        <f>IF(AND($C415 = Temp!$C$1, $B415 = Temp!$A$16),$D415,0)</f>
        <v>0</v>
      </c>
      <c r="H415">
        <f>IF(AND($C415 = Temp!$D$1, $B415 = Temp!$A$16),$D415,0)</f>
        <v>0</v>
      </c>
      <c r="I415">
        <f>IF(AND($C415 = Temp!$E$1, $B415 = Temp!$A$16),$D415,0)</f>
        <v>0</v>
      </c>
      <c r="J415">
        <f>IF(AND($C415 = Temp!$F$1, $B415 = Temp!$A$16),$D415,0)</f>
        <v>0</v>
      </c>
      <c r="K415">
        <f>IF(AND($C415 = Temp!$G$1, $B415 = Temp!$A$16),$D415,0)</f>
        <v>0</v>
      </c>
      <c r="L415">
        <f>IF(AND($C415 = Temp!$H$1, $B415 = Temp!$A$16),$D415,0)</f>
        <v>0</v>
      </c>
      <c r="M415">
        <f>IF(AND($C415 = Temp!$I$1, $B415 = Temp!$A$16),$D415,0)</f>
        <v>0</v>
      </c>
      <c r="N415">
        <f>IF(AND($C415 = Temp!$J$1, $B415 = Temp!$A$16),$D415,0)</f>
        <v>0</v>
      </c>
      <c r="O415">
        <f>IF(AND($C415 = Temp!$K$1, $B415 = Temp!$A$16),$D415,0)</f>
        <v>0</v>
      </c>
    </row>
    <row r="416" spans="2:15" hidden="1" x14ac:dyDescent="0.2">
      <c r="B416" t="s">
        <v>432</v>
      </c>
      <c r="C416" t="s">
        <v>219</v>
      </c>
      <c r="D416">
        <v>3</v>
      </c>
      <c r="F416">
        <f>IF(AND($C416 = Temp!$B$1, $B416 = Temp!$A$16),$D416,0)</f>
        <v>0</v>
      </c>
      <c r="G416">
        <f>IF(AND($C416 = Temp!$C$1, $B416 = Temp!$A$16),$D416,0)</f>
        <v>0</v>
      </c>
      <c r="H416">
        <f>IF(AND($C416 = Temp!$D$1, $B416 = Temp!$A$16),$D416,0)</f>
        <v>0</v>
      </c>
      <c r="I416">
        <f>IF(AND($C416 = Temp!$E$1, $B416 = Temp!$A$16),$D416,0)</f>
        <v>0</v>
      </c>
      <c r="J416">
        <f>IF(AND($C416 = Temp!$F$1, $B416 = Temp!$A$16),$D416,0)</f>
        <v>0</v>
      </c>
      <c r="K416">
        <f>IF(AND($C416 = Temp!$G$1, $B416 = Temp!$A$16),$D416,0)</f>
        <v>0</v>
      </c>
      <c r="L416">
        <f>IF(AND($C416 = Temp!$H$1, $B416 = Temp!$A$16),$D416,0)</f>
        <v>0</v>
      </c>
      <c r="M416">
        <f>IF(AND($C416 = Temp!$I$1, $B416 = Temp!$A$16),$D416,0)</f>
        <v>0</v>
      </c>
      <c r="N416">
        <f>IF(AND($C416 = Temp!$J$1, $B416 = Temp!$A$16),$D416,0)</f>
        <v>0</v>
      </c>
      <c r="O416">
        <f>IF(AND($C416 = Temp!$K$1, $B416 = Temp!$A$16),$D416,0)</f>
        <v>0</v>
      </c>
    </row>
    <row r="417" spans="2:15" hidden="1" x14ac:dyDescent="0.2">
      <c r="B417" t="s">
        <v>432</v>
      </c>
      <c r="C417" t="s">
        <v>219</v>
      </c>
      <c r="D417">
        <v>3</v>
      </c>
      <c r="F417">
        <f>IF(AND($C417 = Temp!$B$1, $B417 = Temp!$A$16),$D417,0)</f>
        <v>0</v>
      </c>
      <c r="G417">
        <f>IF(AND($C417 = Temp!$C$1, $B417 = Temp!$A$16),$D417,0)</f>
        <v>0</v>
      </c>
      <c r="H417">
        <f>IF(AND($C417 = Temp!$D$1, $B417 = Temp!$A$16),$D417,0)</f>
        <v>0</v>
      </c>
      <c r="I417">
        <f>IF(AND($C417 = Temp!$E$1, $B417 = Temp!$A$16),$D417,0)</f>
        <v>0</v>
      </c>
      <c r="J417">
        <f>IF(AND($C417 = Temp!$F$1, $B417 = Temp!$A$16),$D417,0)</f>
        <v>0</v>
      </c>
      <c r="K417">
        <f>IF(AND($C417 = Temp!$G$1, $B417 = Temp!$A$16),$D417,0)</f>
        <v>0</v>
      </c>
      <c r="L417">
        <f>IF(AND($C417 = Temp!$H$1, $B417 = Temp!$A$16),$D417,0)</f>
        <v>0</v>
      </c>
      <c r="M417">
        <f>IF(AND($C417 = Temp!$I$1, $B417 = Temp!$A$16),$D417,0)</f>
        <v>0</v>
      </c>
      <c r="N417">
        <f>IF(AND($C417 = Temp!$J$1, $B417 = Temp!$A$16),$D417,0)</f>
        <v>0</v>
      </c>
      <c r="O417">
        <f>IF(AND($C417 = Temp!$K$1, $B417 = Temp!$A$16),$D417,0)</f>
        <v>0</v>
      </c>
    </row>
    <row r="418" spans="2:15" hidden="1" x14ac:dyDescent="0.2">
      <c r="B418" t="s">
        <v>451</v>
      </c>
      <c r="C418" s="4" t="s">
        <v>40</v>
      </c>
      <c r="D418" s="7">
        <v>0.12</v>
      </c>
      <c r="E418" s="7"/>
      <c r="F418">
        <f>IF(AND($C418 = Temp!$B$1, $B418 = Temp!$A$16),$D418,0)</f>
        <v>0</v>
      </c>
      <c r="G418">
        <f>IF(AND($C418 = Temp!$C$1, $B418 = Temp!$A$16),$D418,0)</f>
        <v>0</v>
      </c>
      <c r="H418">
        <f>IF(AND($C418 = Temp!$D$1, $B418 = Temp!$A$16),$D418,0)</f>
        <v>0</v>
      </c>
      <c r="I418">
        <f>IF(AND($C418 = Temp!$E$1, $B418 = Temp!$A$16),$D418,0)</f>
        <v>0</v>
      </c>
      <c r="J418">
        <f>IF(AND($C418 = Temp!$F$1, $B418 = Temp!$A$16),$D418,0)</f>
        <v>0</v>
      </c>
      <c r="K418">
        <f>IF(AND($C418 = Temp!$G$1, $B418 = Temp!$A$16),$D418,0)</f>
        <v>0</v>
      </c>
      <c r="L418">
        <f>IF(AND($C418 = Temp!$H$1, $B418 = Temp!$A$16),$D418,0)</f>
        <v>0</v>
      </c>
      <c r="M418">
        <f>IF(AND($C418 = Temp!$I$1, $B418 = Temp!$A$16),$D418,0)</f>
        <v>0</v>
      </c>
      <c r="N418">
        <f>IF(AND($C418 = Temp!$J$1, $B418 = Temp!$A$16),$D418,0)</f>
        <v>0</v>
      </c>
      <c r="O418">
        <f>IF(AND($C418 = Temp!$K$1, $B418 = Temp!$A$16),$D418,0)</f>
        <v>0</v>
      </c>
    </row>
    <row r="419" spans="2:15" hidden="1" x14ac:dyDescent="0.2">
      <c r="B419" t="s">
        <v>451</v>
      </c>
      <c r="C419" s="4" t="s">
        <v>41</v>
      </c>
      <c r="D419" s="7">
        <v>0.5</v>
      </c>
      <c r="E419" s="7"/>
      <c r="F419">
        <f>IF(AND($C419 = Temp!$B$1, $B419 = Temp!$A$16),$D419,0)</f>
        <v>0</v>
      </c>
      <c r="G419">
        <f>IF(AND($C419 = Temp!$C$1, $B419 = Temp!$A$16),$D419,0)</f>
        <v>0</v>
      </c>
      <c r="H419">
        <f>IF(AND($C419 = Temp!$D$1, $B419 = Temp!$A$16),$D419,0)</f>
        <v>0</v>
      </c>
      <c r="I419">
        <f>IF(AND($C419 = Temp!$E$1, $B419 = Temp!$A$16),$D419,0)</f>
        <v>0</v>
      </c>
      <c r="J419">
        <f>IF(AND($C419 = Temp!$F$1, $B419 = Temp!$A$16),$D419,0)</f>
        <v>0</v>
      </c>
      <c r="K419">
        <f>IF(AND($C419 = Temp!$G$1, $B419 = Temp!$A$16),$D419,0)</f>
        <v>0</v>
      </c>
      <c r="L419">
        <f>IF(AND($C419 = Temp!$H$1, $B419 = Temp!$A$16),$D419,0)</f>
        <v>0</v>
      </c>
      <c r="M419">
        <f>IF(AND($C419 = Temp!$I$1, $B419 = Temp!$A$16),$D419,0)</f>
        <v>0</v>
      </c>
      <c r="N419">
        <f>IF(AND($C419 = Temp!$J$1, $B419 = Temp!$A$16),$D419,0)</f>
        <v>0</v>
      </c>
      <c r="O419">
        <f>IF(AND($C419 = Temp!$K$1, $B419 = Temp!$A$16),$D419,0)</f>
        <v>0</v>
      </c>
    </row>
    <row r="420" spans="2:15" hidden="1" x14ac:dyDescent="0.2">
      <c r="B420" t="s">
        <v>446</v>
      </c>
      <c r="C420" s="4" t="s">
        <v>15</v>
      </c>
      <c r="D420" s="7">
        <v>4</v>
      </c>
      <c r="E420" s="7"/>
      <c r="F420">
        <f>IF(AND($C420 = Temp!$B$1, $B420 = Temp!$A$16),$D420,0)</f>
        <v>0</v>
      </c>
      <c r="G420">
        <f>IF(AND($C420 = Temp!$C$1, $B420 = Temp!$A$16),$D420,0)</f>
        <v>0</v>
      </c>
      <c r="H420">
        <f>IF(AND($C420 = Temp!$D$1, $B420 = Temp!$A$16),$D420,0)</f>
        <v>0</v>
      </c>
      <c r="I420">
        <f>IF(AND($C420 = Temp!$E$1, $B420 = Temp!$A$16),$D420,0)</f>
        <v>0</v>
      </c>
      <c r="J420">
        <f>IF(AND($C420 = Temp!$F$1, $B420 = Temp!$A$16),$D420,0)</f>
        <v>0</v>
      </c>
      <c r="K420">
        <f>IF(AND($C420 = Temp!$G$1, $B420 = Temp!$A$16),$D420,0)</f>
        <v>0</v>
      </c>
      <c r="L420">
        <f>IF(AND($C420 = Temp!$H$1, $B420 = Temp!$A$16),$D420,0)</f>
        <v>0</v>
      </c>
      <c r="M420">
        <f>IF(AND($C420 = Temp!$I$1, $B420 = Temp!$A$16),$D420,0)</f>
        <v>0</v>
      </c>
      <c r="N420">
        <f>IF(AND($C420 = Temp!$J$1, $B420 = Temp!$A$16),$D420,0)</f>
        <v>0</v>
      </c>
      <c r="O420">
        <f>IF(AND($C420 = Temp!$K$1, $B420 = Temp!$A$16),$D420,0)</f>
        <v>0</v>
      </c>
    </row>
    <row r="421" spans="2:15" hidden="1" x14ac:dyDescent="0.2">
      <c r="B421" t="s">
        <v>442</v>
      </c>
      <c r="C421" s="4" t="s">
        <v>41</v>
      </c>
      <c r="D421" s="7">
        <v>1</v>
      </c>
      <c r="E421" s="7"/>
      <c r="F421">
        <f>IF(AND($C421 = Temp!$B$1, $B421 = Temp!$A$16),$D421,0)</f>
        <v>0</v>
      </c>
      <c r="G421">
        <f>IF(AND($C421 = Temp!$C$1, $B421 = Temp!$A$16),$D421,0)</f>
        <v>0</v>
      </c>
      <c r="H421">
        <f>IF(AND($C421 = Temp!$D$1, $B421 = Temp!$A$16),$D421,0)</f>
        <v>0</v>
      </c>
      <c r="I421">
        <f>IF(AND($C421 = Temp!$E$1, $B421 = Temp!$A$16),$D421,0)</f>
        <v>0</v>
      </c>
      <c r="J421">
        <f>IF(AND($C421 = Temp!$F$1, $B421 = Temp!$A$16),$D421,0)</f>
        <v>0</v>
      </c>
      <c r="K421">
        <f>IF(AND($C421 = Temp!$G$1, $B421 = Temp!$A$16),$D421,0)</f>
        <v>0</v>
      </c>
      <c r="L421">
        <f>IF(AND($C421 = Temp!$H$1, $B421 = Temp!$A$16),$D421,0)</f>
        <v>0</v>
      </c>
      <c r="M421">
        <f>IF(AND($C421 = Temp!$I$1, $B421 = Temp!$A$16),$D421,0)</f>
        <v>0</v>
      </c>
      <c r="N421">
        <f>IF(AND($C421 = Temp!$J$1, $B421 = Temp!$A$16),$D421,0)</f>
        <v>0</v>
      </c>
      <c r="O421">
        <f>IF(AND($C421 = Temp!$K$1, $B421 = Temp!$A$16),$D421,0)</f>
        <v>0</v>
      </c>
    </row>
    <row r="422" spans="2:15" hidden="1" x14ac:dyDescent="0.2">
      <c r="B422" t="s">
        <v>442</v>
      </c>
      <c r="C422" s="4" t="s">
        <v>41</v>
      </c>
      <c r="D422" s="7">
        <v>1</v>
      </c>
      <c r="E422" s="7"/>
      <c r="F422">
        <f>IF(AND($C422 = Temp!$B$1, $B422 = Temp!$A$16),$D422,0)</f>
        <v>0</v>
      </c>
      <c r="G422">
        <f>IF(AND($C422 = Temp!$C$1, $B422 = Temp!$A$16),$D422,0)</f>
        <v>0</v>
      </c>
      <c r="H422">
        <f>IF(AND($C422 = Temp!$D$1, $B422 = Temp!$A$16),$D422,0)</f>
        <v>0</v>
      </c>
      <c r="I422">
        <f>IF(AND($C422 = Temp!$E$1, $B422 = Temp!$A$16),$D422,0)</f>
        <v>0</v>
      </c>
      <c r="J422">
        <f>IF(AND($C422 = Temp!$F$1, $B422 = Temp!$A$16),$D422,0)</f>
        <v>0</v>
      </c>
      <c r="K422">
        <f>IF(AND($C422 = Temp!$G$1, $B422 = Temp!$A$16),$D422,0)</f>
        <v>0</v>
      </c>
      <c r="L422">
        <f>IF(AND($C422 = Temp!$H$1, $B422 = Temp!$A$16),$D422,0)</f>
        <v>0</v>
      </c>
      <c r="M422">
        <f>IF(AND($C422 = Temp!$I$1, $B422 = Temp!$A$16),$D422,0)</f>
        <v>0</v>
      </c>
      <c r="N422">
        <f>IF(AND($C422 = Temp!$J$1, $B422 = Temp!$A$16),$D422,0)</f>
        <v>0</v>
      </c>
      <c r="O422">
        <f>IF(AND($C422 = Temp!$K$1, $B422 = Temp!$A$16),$D422,0)</f>
        <v>0</v>
      </c>
    </row>
    <row r="423" spans="2:15" hidden="1" x14ac:dyDescent="0.2">
      <c r="B423" t="s">
        <v>418</v>
      </c>
      <c r="C423" t="s">
        <v>40</v>
      </c>
      <c r="D423">
        <v>0.75</v>
      </c>
      <c r="F423">
        <f>IF(AND($C423 = Temp!$B$1, $B423 = Temp!$A$16),$D423,0)</f>
        <v>0</v>
      </c>
      <c r="G423">
        <f>IF(AND($C423 = Temp!$C$1, $B423 = Temp!$A$16),$D423,0)</f>
        <v>0</v>
      </c>
      <c r="H423">
        <f>IF(AND($C423 = Temp!$D$1, $B423 = Temp!$A$16),$D423,0)</f>
        <v>0</v>
      </c>
      <c r="I423">
        <f>IF(AND($C423 = Temp!$E$1, $B423 = Temp!$A$16),$D423,0)</f>
        <v>0</v>
      </c>
      <c r="J423">
        <f>IF(AND($C423 = Temp!$F$1, $B423 = Temp!$A$16),$D423,0)</f>
        <v>0</v>
      </c>
      <c r="K423">
        <f>IF(AND($C423 = Temp!$G$1, $B423 = Temp!$A$16),$D423,0)</f>
        <v>0</v>
      </c>
      <c r="L423">
        <f>IF(AND($C423 = Temp!$H$1, $B423 = Temp!$A$16),$D423,0)</f>
        <v>0</v>
      </c>
      <c r="M423">
        <f>IF(AND($C423 = Temp!$I$1, $B423 = Temp!$A$16),$D423,0)</f>
        <v>0</v>
      </c>
      <c r="N423">
        <f>IF(AND($C423 = Temp!$J$1, $B423 = Temp!$A$16),$D423,0)</f>
        <v>0</v>
      </c>
      <c r="O423">
        <f>IF(AND($C423 = Temp!$K$1, $B423 = Temp!$A$16),$D423,0)</f>
        <v>0</v>
      </c>
    </row>
    <row r="424" spans="2:15" hidden="1" x14ac:dyDescent="0.2">
      <c r="B424" t="s">
        <v>407</v>
      </c>
      <c r="C424" s="4" t="s">
        <v>41</v>
      </c>
      <c r="D424" s="7">
        <v>0.5</v>
      </c>
      <c r="E424" s="7"/>
      <c r="F424">
        <f>IF(AND($C424 = Temp!$B$1, $B424 = Temp!$A$16),$D424,0)</f>
        <v>0</v>
      </c>
      <c r="G424">
        <f>IF(AND($C424 = Temp!$C$1, $B424 = Temp!$A$16),$D424,0)</f>
        <v>0</v>
      </c>
      <c r="H424">
        <f>IF(AND($C424 = Temp!$D$1, $B424 = Temp!$A$16),$D424,0)</f>
        <v>0</v>
      </c>
      <c r="I424">
        <f>IF(AND($C424 = Temp!$E$1, $B424 = Temp!$A$16),$D424,0)</f>
        <v>0</v>
      </c>
      <c r="J424">
        <f>IF(AND($C424 = Temp!$F$1, $B424 = Temp!$A$16),$D424,0)</f>
        <v>0</v>
      </c>
      <c r="K424">
        <f>IF(AND($C424 = Temp!$G$1, $B424 = Temp!$A$16),$D424,0)</f>
        <v>0</v>
      </c>
      <c r="L424">
        <f>IF(AND($C424 = Temp!$H$1, $B424 = Temp!$A$16),$D424,0)</f>
        <v>0</v>
      </c>
      <c r="M424">
        <f>IF(AND($C424 = Temp!$I$1, $B424 = Temp!$A$16),$D424,0)</f>
        <v>0</v>
      </c>
      <c r="N424">
        <f>IF(AND($C424 = Temp!$J$1, $B424 = Temp!$A$16),$D424,0)</f>
        <v>0</v>
      </c>
      <c r="O424">
        <f>IF(AND($C424 = Temp!$K$1, $B424 = Temp!$A$16),$D424,0)</f>
        <v>0</v>
      </c>
    </row>
    <row r="425" spans="2:15" hidden="1" x14ac:dyDescent="0.2">
      <c r="B425" t="s">
        <v>399</v>
      </c>
      <c r="C425" s="4" t="s">
        <v>15</v>
      </c>
      <c r="D425" s="7">
        <v>2</v>
      </c>
      <c r="E425" s="7"/>
      <c r="F425">
        <f>IF(AND($C425 = Temp!$B$1, $B425 = Temp!$A$16),$D425,0)</f>
        <v>0</v>
      </c>
      <c r="G425">
        <f>IF(AND($C425 = Temp!$C$1, $B425 = Temp!$A$16),$D425,0)</f>
        <v>0</v>
      </c>
      <c r="H425">
        <f>IF(AND($C425 = Temp!$D$1, $B425 = Temp!$A$16),$D425,0)</f>
        <v>0</v>
      </c>
      <c r="I425">
        <f>IF(AND($C425 = Temp!$E$1, $B425 = Temp!$A$16),$D425,0)</f>
        <v>0</v>
      </c>
      <c r="J425">
        <f>IF(AND($C425 = Temp!$F$1, $B425 = Temp!$A$16),$D425,0)</f>
        <v>0</v>
      </c>
      <c r="K425">
        <f>IF(AND($C425 = Temp!$G$1, $B425 = Temp!$A$16),$D425,0)</f>
        <v>0</v>
      </c>
      <c r="L425">
        <f>IF(AND($C425 = Temp!$H$1, $B425 = Temp!$A$16),$D425,0)</f>
        <v>0</v>
      </c>
      <c r="M425">
        <f>IF(AND($C425 = Temp!$I$1, $B425 = Temp!$A$16),$D425,0)</f>
        <v>0</v>
      </c>
      <c r="N425">
        <f>IF(AND($C425 = Temp!$J$1, $B425 = Temp!$A$16),$D425,0)</f>
        <v>0</v>
      </c>
      <c r="O425">
        <f>IF(AND($C425 = Temp!$K$1, $B425 = Temp!$A$16),$D425,0)</f>
        <v>0</v>
      </c>
    </row>
    <row r="426" spans="2:15" hidden="1" x14ac:dyDescent="0.2">
      <c r="B426" t="s">
        <v>399</v>
      </c>
      <c r="C426" s="4" t="s">
        <v>15</v>
      </c>
      <c r="D426" s="7">
        <v>1</v>
      </c>
      <c r="E426" s="7"/>
      <c r="F426">
        <f>IF(AND($C426 = Temp!$B$1, $B426 = Temp!$A$16),$D426,0)</f>
        <v>0</v>
      </c>
      <c r="G426">
        <f>IF(AND($C426 = Temp!$C$1, $B426 = Temp!$A$16),$D426,0)</f>
        <v>0</v>
      </c>
      <c r="H426">
        <f>IF(AND($C426 = Temp!$D$1, $B426 = Temp!$A$16),$D426,0)</f>
        <v>0</v>
      </c>
      <c r="I426">
        <f>IF(AND($C426 = Temp!$E$1, $B426 = Temp!$A$16),$D426,0)</f>
        <v>0</v>
      </c>
      <c r="J426">
        <f>IF(AND($C426 = Temp!$F$1, $B426 = Temp!$A$16),$D426,0)</f>
        <v>0</v>
      </c>
      <c r="K426">
        <f>IF(AND($C426 = Temp!$G$1, $B426 = Temp!$A$16),$D426,0)</f>
        <v>0</v>
      </c>
      <c r="L426">
        <f>IF(AND($C426 = Temp!$H$1, $B426 = Temp!$A$16),$D426,0)</f>
        <v>0</v>
      </c>
      <c r="M426">
        <f>IF(AND($C426 = Temp!$I$1, $B426 = Temp!$A$16),$D426,0)</f>
        <v>0</v>
      </c>
      <c r="N426">
        <f>IF(AND($C426 = Temp!$J$1, $B426 = Temp!$A$16),$D426,0)</f>
        <v>0</v>
      </c>
      <c r="O426">
        <f>IF(AND($C426 = Temp!$K$1, $B426 = Temp!$A$16),$D426,0)</f>
        <v>0</v>
      </c>
    </row>
    <row r="427" spans="2:15" hidden="1" x14ac:dyDescent="0.2">
      <c r="B427" t="s">
        <v>420</v>
      </c>
      <c r="C427" t="s">
        <v>15</v>
      </c>
      <c r="D427">
        <v>2</v>
      </c>
      <c r="F427">
        <f>IF(AND($C427 = Temp!$B$1, $B427 = Temp!$A$16),$D427,0)</f>
        <v>0</v>
      </c>
      <c r="G427">
        <f>IF(AND($C427 = Temp!$C$1, $B427 = Temp!$A$16),$D427,0)</f>
        <v>0</v>
      </c>
      <c r="H427">
        <f>IF(AND($C427 = Temp!$D$1, $B427 = Temp!$A$16),$D427,0)</f>
        <v>0</v>
      </c>
      <c r="I427">
        <f>IF(AND($C427 = Temp!$E$1, $B427 = Temp!$A$16),$D427,0)</f>
        <v>0</v>
      </c>
      <c r="J427">
        <f>IF(AND($C427 = Temp!$F$1, $B427 = Temp!$A$16),$D427,0)</f>
        <v>0</v>
      </c>
      <c r="K427">
        <f>IF(AND($C427 = Temp!$G$1, $B427 = Temp!$A$16),$D427,0)</f>
        <v>0</v>
      </c>
      <c r="L427">
        <f>IF(AND($C427 = Temp!$H$1, $B427 = Temp!$A$16),$D427,0)</f>
        <v>0</v>
      </c>
      <c r="M427">
        <f>IF(AND($C427 = Temp!$I$1, $B427 = Temp!$A$16),$D427,0)</f>
        <v>0</v>
      </c>
      <c r="N427">
        <f>IF(AND($C427 = Temp!$J$1, $B427 = Temp!$A$16),$D427,0)</f>
        <v>0</v>
      </c>
      <c r="O427">
        <f>IF(AND($C427 = Temp!$K$1, $B427 = Temp!$A$16),$D427,0)</f>
        <v>0</v>
      </c>
    </row>
    <row r="428" spans="2:15" hidden="1" x14ac:dyDescent="0.2">
      <c r="B428" t="s">
        <v>420</v>
      </c>
      <c r="C428" t="s">
        <v>15</v>
      </c>
      <c r="D428">
        <v>2</v>
      </c>
      <c r="F428">
        <f>IF(AND($C428 = Temp!$B$1, $B428 = Temp!$A$16),$D428,0)</f>
        <v>0</v>
      </c>
      <c r="G428">
        <f>IF(AND($C428 = Temp!$C$1, $B428 = Temp!$A$16),$D428,0)</f>
        <v>0</v>
      </c>
      <c r="H428">
        <f>IF(AND($C428 = Temp!$D$1, $B428 = Temp!$A$16),$D428,0)</f>
        <v>0</v>
      </c>
      <c r="I428">
        <f>IF(AND($C428 = Temp!$E$1, $B428 = Temp!$A$16),$D428,0)</f>
        <v>0</v>
      </c>
      <c r="J428">
        <f>IF(AND($C428 = Temp!$F$1, $B428 = Temp!$A$16),$D428,0)</f>
        <v>0</v>
      </c>
      <c r="K428">
        <f>IF(AND($C428 = Temp!$G$1, $B428 = Temp!$A$16),$D428,0)</f>
        <v>0</v>
      </c>
      <c r="L428">
        <f>IF(AND($C428 = Temp!$H$1, $B428 = Temp!$A$16),$D428,0)</f>
        <v>0</v>
      </c>
      <c r="M428">
        <f>IF(AND($C428 = Temp!$I$1, $B428 = Temp!$A$16),$D428,0)</f>
        <v>0</v>
      </c>
      <c r="N428">
        <f>IF(AND($C428 = Temp!$J$1, $B428 = Temp!$A$16),$D428,0)</f>
        <v>0</v>
      </c>
      <c r="O428">
        <f>IF(AND($C428 = Temp!$K$1, $B428 = Temp!$A$16),$D428,0)</f>
        <v>0</v>
      </c>
    </row>
    <row r="429" spans="2:15" hidden="1" x14ac:dyDescent="0.2">
      <c r="B429" t="s">
        <v>280</v>
      </c>
      <c r="C429" t="s">
        <v>279</v>
      </c>
      <c r="D429">
        <v>3</v>
      </c>
      <c r="F429">
        <f>IF(AND($C429 = Temp!$B$1, $B429 = Temp!$A$16),$D429,0)</f>
        <v>0</v>
      </c>
      <c r="G429">
        <f>IF(AND($C429 = Temp!$C$1, $B429 = Temp!$A$16),$D429,0)</f>
        <v>0</v>
      </c>
      <c r="H429">
        <f>IF(AND($C429 = Temp!$D$1, $B429 = Temp!$A$16),$D429,0)</f>
        <v>0</v>
      </c>
      <c r="I429">
        <f>IF(AND($C429 = Temp!$E$1, $B429 = Temp!$A$16),$D429,0)</f>
        <v>0</v>
      </c>
      <c r="J429">
        <f>IF(AND($C429 = Temp!$F$1, $B429 = Temp!$A$16),$D429,0)</f>
        <v>0</v>
      </c>
      <c r="K429">
        <f>IF(AND($C429 = Temp!$G$1, $B429 = Temp!$A$16),$D429,0)</f>
        <v>0</v>
      </c>
      <c r="L429">
        <f>IF(AND($C429 = Temp!$H$1, $B429 = Temp!$A$16),$D429,0)</f>
        <v>0</v>
      </c>
      <c r="M429">
        <f>IF(AND($C429 = Temp!$I$1, $B429 = Temp!$A$16),$D429,0)</f>
        <v>0</v>
      </c>
      <c r="N429">
        <f>IF(AND($C429 = Temp!$J$1, $B429 = Temp!$A$16),$D429,0)</f>
        <v>0</v>
      </c>
      <c r="O429">
        <f>IF(AND($C429 = Temp!$K$1, $B429 = Temp!$A$16),$D429,0)</f>
        <v>0</v>
      </c>
    </row>
    <row r="430" spans="2:15" hidden="1" x14ac:dyDescent="0.2">
      <c r="B430" t="s">
        <v>280</v>
      </c>
      <c r="C430" t="s">
        <v>219</v>
      </c>
      <c r="D430">
        <v>2</v>
      </c>
      <c r="F430">
        <f>IF(AND($C430 = Temp!$B$1, $B430 = Temp!$A$16),$D430,0)</f>
        <v>0</v>
      </c>
      <c r="G430">
        <f>IF(AND($C430 = Temp!$C$1, $B430 = Temp!$A$16),$D430,0)</f>
        <v>0</v>
      </c>
      <c r="H430">
        <f>IF(AND($C430 = Temp!$D$1, $B430 = Temp!$A$16),$D430,0)</f>
        <v>0</v>
      </c>
      <c r="I430">
        <f>IF(AND($C430 = Temp!$E$1, $B430 = Temp!$A$16),$D430,0)</f>
        <v>0</v>
      </c>
      <c r="J430">
        <f>IF(AND($C430 = Temp!$F$1, $B430 = Temp!$A$16),$D430,0)</f>
        <v>0</v>
      </c>
      <c r="K430">
        <f>IF(AND($C430 = Temp!$G$1, $B430 = Temp!$A$16),$D430,0)</f>
        <v>0</v>
      </c>
      <c r="L430">
        <f>IF(AND($C430 = Temp!$H$1, $B430 = Temp!$A$16),$D430,0)</f>
        <v>0</v>
      </c>
      <c r="M430">
        <f>IF(AND($C430 = Temp!$I$1, $B430 = Temp!$A$16),$D430,0)</f>
        <v>0</v>
      </c>
      <c r="N430">
        <f>IF(AND($C430 = Temp!$J$1, $B430 = Temp!$A$16),$D430,0)</f>
        <v>0</v>
      </c>
      <c r="O430">
        <f>IF(AND($C430 = Temp!$K$1, $B430 = Temp!$A$16),$D430,0)</f>
        <v>0</v>
      </c>
    </row>
    <row r="431" spans="2:15" hidden="1" x14ac:dyDescent="0.2">
      <c r="B431" t="s">
        <v>280</v>
      </c>
      <c r="C431" t="s">
        <v>219</v>
      </c>
      <c r="D431">
        <v>2</v>
      </c>
      <c r="F431">
        <f>IF(AND($C431 = Temp!$B$1, $B431 = Temp!$A$16),$D431,0)</f>
        <v>0</v>
      </c>
      <c r="G431">
        <f>IF(AND($C431 = Temp!$C$1, $B431 = Temp!$A$16),$D431,0)</f>
        <v>0</v>
      </c>
      <c r="H431">
        <f>IF(AND($C431 = Temp!$D$1, $B431 = Temp!$A$16),$D431,0)</f>
        <v>0</v>
      </c>
      <c r="I431">
        <f>IF(AND($C431 = Temp!$E$1, $B431 = Temp!$A$16),$D431,0)</f>
        <v>0</v>
      </c>
      <c r="J431">
        <f>IF(AND($C431 = Temp!$F$1, $B431 = Temp!$A$16),$D431,0)</f>
        <v>0</v>
      </c>
      <c r="K431">
        <f>IF(AND($C431 = Temp!$G$1, $B431 = Temp!$A$16),$D431,0)</f>
        <v>0</v>
      </c>
      <c r="L431">
        <f>IF(AND($C431 = Temp!$H$1, $B431 = Temp!$A$16),$D431,0)</f>
        <v>0</v>
      </c>
      <c r="M431">
        <f>IF(AND($C431 = Temp!$I$1, $B431 = Temp!$A$16),$D431,0)</f>
        <v>0</v>
      </c>
      <c r="N431">
        <f>IF(AND($C431 = Temp!$J$1, $B431 = Temp!$A$16),$D431,0)</f>
        <v>0</v>
      </c>
      <c r="O431">
        <f>IF(AND($C431 = Temp!$K$1, $B431 = Temp!$A$16),$D431,0)</f>
        <v>0</v>
      </c>
    </row>
    <row r="432" spans="2:15" hidden="1" x14ac:dyDescent="0.2">
      <c r="B432" t="s">
        <v>280</v>
      </c>
      <c r="C432" t="s">
        <v>219</v>
      </c>
      <c r="D432">
        <v>1</v>
      </c>
      <c r="F432">
        <f>IF(AND($C432 = Temp!$B$1, $B432 = Temp!$A$16),$D432,0)</f>
        <v>0</v>
      </c>
      <c r="G432">
        <f>IF(AND($C432 = Temp!$C$1, $B432 = Temp!$A$16),$D432,0)</f>
        <v>0</v>
      </c>
      <c r="H432">
        <f>IF(AND($C432 = Temp!$D$1, $B432 = Temp!$A$16),$D432,0)</f>
        <v>0</v>
      </c>
      <c r="I432">
        <f>IF(AND($C432 = Temp!$E$1, $B432 = Temp!$A$16),$D432,0)</f>
        <v>0</v>
      </c>
      <c r="J432">
        <f>IF(AND($C432 = Temp!$F$1, $B432 = Temp!$A$16),$D432,0)</f>
        <v>0</v>
      </c>
      <c r="K432">
        <f>IF(AND($C432 = Temp!$G$1, $B432 = Temp!$A$16),$D432,0)</f>
        <v>0</v>
      </c>
      <c r="L432">
        <f>IF(AND($C432 = Temp!$H$1, $B432 = Temp!$A$16),$D432,0)</f>
        <v>0</v>
      </c>
      <c r="M432">
        <f>IF(AND($C432 = Temp!$I$1, $B432 = Temp!$A$16),$D432,0)</f>
        <v>0</v>
      </c>
      <c r="N432">
        <f>IF(AND($C432 = Temp!$J$1, $B432 = Temp!$A$16),$D432,0)</f>
        <v>0</v>
      </c>
      <c r="O432">
        <f>IF(AND($C432 = Temp!$K$1, $B432 = Temp!$A$16),$D432,0)</f>
        <v>0</v>
      </c>
    </row>
    <row r="433" spans="2:15" hidden="1" x14ac:dyDescent="0.2">
      <c r="B433" t="s">
        <v>280</v>
      </c>
      <c r="C433" t="s">
        <v>219</v>
      </c>
      <c r="D433">
        <v>1</v>
      </c>
      <c r="F433">
        <f>IF(AND($C433 = Temp!$B$1, $B433 = Temp!$A$16),$D433,0)</f>
        <v>0</v>
      </c>
      <c r="G433">
        <f>IF(AND($C433 = Temp!$C$1, $B433 = Temp!$A$16),$D433,0)</f>
        <v>0</v>
      </c>
      <c r="H433">
        <f>IF(AND($C433 = Temp!$D$1, $B433 = Temp!$A$16),$D433,0)</f>
        <v>0</v>
      </c>
      <c r="I433">
        <f>IF(AND($C433 = Temp!$E$1, $B433 = Temp!$A$16),$D433,0)</f>
        <v>0</v>
      </c>
      <c r="J433">
        <f>IF(AND($C433 = Temp!$F$1, $B433 = Temp!$A$16),$D433,0)</f>
        <v>0</v>
      </c>
      <c r="K433">
        <f>IF(AND($C433 = Temp!$G$1, $B433 = Temp!$A$16),$D433,0)</f>
        <v>0</v>
      </c>
      <c r="L433">
        <f>IF(AND($C433 = Temp!$H$1, $B433 = Temp!$A$16),$D433,0)</f>
        <v>0</v>
      </c>
      <c r="M433">
        <f>IF(AND($C433 = Temp!$I$1, $B433 = Temp!$A$16),$D433,0)</f>
        <v>0</v>
      </c>
      <c r="N433">
        <f>IF(AND($C433 = Temp!$J$1, $B433 = Temp!$A$16),$D433,0)</f>
        <v>0</v>
      </c>
      <c r="O433">
        <f>IF(AND($C433 = Temp!$K$1, $B433 = Temp!$A$16),$D433,0)</f>
        <v>0</v>
      </c>
    </row>
    <row r="434" spans="2:15" hidden="1" x14ac:dyDescent="0.2">
      <c r="B434" t="s">
        <v>280</v>
      </c>
      <c r="C434" t="s">
        <v>219</v>
      </c>
      <c r="D434">
        <v>1</v>
      </c>
      <c r="F434">
        <f>IF(AND($C434 = Temp!$B$1, $B434 = Temp!$A$16),$D434,0)</f>
        <v>0</v>
      </c>
      <c r="G434">
        <f>IF(AND($C434 = Temp!$C$1, $B434 = Temp!$A$16),$D434,0)</f>
        <v>0</v>
      </c>
      <c r="H434">
        <f>IF(AND($C434 = Temp!$D$1, $B434 = Temp!$A$16),$D434,0)</f>
        <v>0</v>
      </c>
      <c r="I434">
        <f>IF(AND($C434 = Temp!$E$1, $B434 = Temp!$A$16),$D434,0)</f>
        <v>0</v>
      </c>
      <c r="J434">
        <f>IF(AND($C434 = Temp!$F$1, $B434 = Temp!$A$16),$D434,0)</f>
        <v>0</v>
      </c>
      <c r="K434">
        <f>IF(AND($C434 = Temp!$G$1, $B434 = Temp!$A$16),$D434,0)</f>
        <v>0</v>
      </c>
      <c r="L434">
        <f>IF(AND($C434 = Temp!$H$1, $B434 = Temp!$A$16),$D434,0)</f>
        <v>0</v>
      </c>
      <c r="M434">
        <f>IF(AND($C434 = Temp!$I$1, $B434 = Temp!$A$16),$D434,0)</f>
        <v>0</v>
      </c>
      <c r="N434">
        <f>IF(AND($C434 = Temp!$J$1, $B434 = Temp!$A$16),$D434,0)</f>
        <v>0</v>
      </c>
      <c r="O434">
        <f>IF(AND($C434 = Temp!$K$1, $B434 = Temp!$A$16),$D434,0)</f>
        <v>0</v>
      </c>
    </row>
    <row r="435" spans="2:15" hidden="1" x14ac:dyDescent="0.2">
      <c r="B435" t="s">
        <v>280</v>
      </c>
      <c r="C435" t="s">
        <v>219</v>
      </c>
      <c r="D435">
        <v>1</v>
      </c>
      <c r="F435">
        <f>IF(AND($C435 = Temp!$B$1, $B435 = Temp!$A$16),$D435,0)</f>
        <v>0</v>
      </c>
      <c r="G435">
        <f>IF(AND($C435 = Temp!$C$1, $B435 = Temp!$A$16),$D435,0)</f>
        <v>0</v>
      </c>
      <c r="H435">
        <f>IF(AND($C435 = Temp!$D$1, $B435 = Temp!$A$16),$D435,0)</f>
        <v>0</v>
      </c>
      <c r="I435">
        <f>IF(AND($C435 = Temp!$E$1, $B435 = Temp!$A$16),$D435,0)</f>
        <v>0</v>
      </c>
      <c r="J435">
        <f>IF(AND($C435 = Temp!$F$1, $B435 = Temp!$A$16),$D435,0)</f>
        <v>0</v>
      </c>
      <c r="K435">
        <f>IF(AND($C435 = Temp!$G$1, $B435 = Temp!$A$16),$D435,0)</f>
        <v>0</v>
      </c>
      <c r="L435">
        <f>IF(AND($C435 = Temp!$H$1, $B435 = Temp!$A$16),$D435,0)</f>
        <v>0</v>
      </c>
      <c r="M435">
        <f>IF(AND($C435 = Temp!$I$1, $B435 = Temp!$A$16),$D435,0)</f>
        <v>0</v>
      </c>
      <c r="N435">
        <f>IF(AND($C435 = Temp!$J$1, $B435 = Temp!$A$16),$D435,0)</f>
        <v>0</v>
      </c>
      <c r="O435">
        <f>IF(AND($C435 = Temp!$K$1, $B435 = Temp!$A$16),$D435,0)</f>
        <v>0</v>
      </c>
    </row>
    <row r="436" spans="2:15" hidden="1" x14ac:dyDescent="0.2">
      <c r="B436" t="s">
        <v>280</v>
      </c>
      <c r="C436" t="s">
        <v>219</v>
      </c>
      <c r="D436">
        <v>2</v>
      </c>
      <c r="F436">
        <f>IF(AND($C436 = Temp!$B$1, $B436 = Temp!$A$16),$D436,0)</f>
        <v>0</v>
      </c>
      <c r="G436">
        <f>IF(AND($C436 = Temp!$C$1, $B436 = Temp!$A$16),$D436,0)</f>
        <v>0</v>
      </c>
      <c r="H436">
        <f>IF(AND($C436 = Temp!$D$1, $B436 = Temp!$A$16),$D436,0)</f>
        <v>0</v>
      </c>
      <c r="I436">
        <f>IF(AND($C436 = Temp!$E$1, $B436 = Temp!$A$16),$D436,0)</f>
        <v>0</v>
      </c>
      <c r="J436">
        <f>IF(AND($C436 = Temp!$F$1, $B436 = Temp!$A$16),$D436,0)</f>
        <v>0</v>
      </c>
      <c r="K436">
        <f>IF(AND($C436 = Temp!$G$1, $B436 = Temp!$A$16),$D436,0)</f>
        <v>0</v>
      </c>
      <c r="L436">
        <f>IF(AND($C436 = Temp!$H$1, $B436 = Temp!$A$16),$D436,0)</f>
        <v>0</v>
      </c>
      <c r="M436">
        <f>IF(AND($C436 = Temp!$I$1, $B436 = Temp!$A$16),$D436,0)</f>
        <v>0</v>
      </c>
      <c r="N436">
        <f>IF(AND($C436 = Temp!$J$1, $B436 = Temp!$A$16),$D436,0)</f>
        <v>0</v>
      </c>
      <c r="O436">
        <f>IF(AND($C436 = Temp!$K$1, $B436 = Temp!$A$16),$D436,0)</f>
        <v>0</v>
      </c>
    </row>
    <row r="437" spans="2:15" hidden="1" x14ac:dyDescent="0.2">
      <c r="B437" t="s">
        <v>280</v>
      </c>
      <c r="C437" t="s">
        <v>219</v>
      </c>
      <c r="D437">
        <v>2</v>
      </c>
      <c r="F437">
        <f>IF(AND($C437 = Temp!$B$1, $B437 = Temp!$A$16),$D437,0)</f>
        <v>0</v>
      </c>
      <c r="G437">
        <f>IF(AND($C437 = Temp!$C$1, $B437 = Temp!$A$16),$D437,0)</f>
        <v>0</v>
      </c>
      <c r="H437">
        <f>IF(AND($C437 = Temp!$D$1, $B437 = Temp!$A$16),$D437,0)</f>
        <v>0</v>
      </c>
      <c r="I437">
        <f>IF(AND($C437 = Temp!$E$1, $B437 = Temp!$A$16),$D437,0)</f>
        <v>0</v>
      </c>
      <c r="J437">
        <f>IF(AND($C437 = Temp!$F$1, $B437 = Temp!$A$16),$D437,0)</f>
        <v>0</v>
      </c>
      <c r="K437">
        <f>IF(AND($C437 = Temp!$G$1, $B437 = Temp!$A$16),$D437,0)</f>
        <v>0</v>
      </c>
      <c r="L437">
        <f>IF(AND($C437 = Temp!$H$1, $B437 = Temp!$A$16),$D437,0)</f>
        <v>0</v>
      </c>
      <c r="M437">
        <f>IF(AND($C437 = Temp!$I$1, $B437 = Temp!$A$16),$D437,0)</f>
        <v>0</v>
      </c>
      <c r="N437">
        <f>IF(AND($C437 = Temp!$J$1, $B437 = Temp!$A$16),$D437,0)</f>
        <v>0</v>
      </c>
      <c r="O437">
        <f>IF(AND($C437 = Temp!$K$1, $B437 = Temp!$A$16),$D437,0)</f>
        <v>0</v>
      </c>
    </row>
    <row r="438" spans="2:15" hidden="1" x14ac:dyDescent="0.2">
      <c r="B438" t="s">
        <v>280</v>
      </c>
      <c r="C438" t="s">
        <v>219</v>
      </c>
      <c r="D438">
        <v>2</v>
      </c>
      <c r="F438">
        <f>IF(AND($C438 = Temp!$B$1, $B438 = Temp!$A$16),$D438,0)</f>
        <v>0</v>
      </c>
      <c r="G438">
        <f>IF(AND($C438 = Temp!$C$1, $B438 = Temp!$A$16),$D438,0)</f>
        <v>0</v>
      </c>
      <c r="H438">
        <f>IF(AND($C438 = Temp!$D$1, $B438 = Temp!$A$16),$D438,0)</f>
        <v>0</v>
      </c>
      <c r="I438">
        <f>IF(AND($C438 = Temp!$E$1, $B438 = Temp!$A$16),$D438,0)</f>
        <v>0</v>
      </c>
      <c r="J438">
        <f>IF(AND($C438 = Temp!$F$1, $B438 = Temp!$A$16),$D438,0)</f>
        <v>0</v>
      </c>
      <c r="K438">
        <f>IF(AND($C438 = Temp!$G$1, $B438 = Temp!$A$16),$D438,0)</f>
        <v>0</v>
      </c>
      <c r="L438">
        <f>IF(AND($C438 = Temp!$H$1, $B438 = Temp!$A$16),$D438,0)</f>
        <v>0</v>
      </c>
      <c r="M438">
        <f>IF(AND($C438 = Temp!$I$1, $B438 = Temp!$A$16),$D438,0)</f>
        <v>0</v>
      </c>
      <c r="N438">
        <f>IF(AND($C438 = Temp!$J$1, $B438 = Temp!$A$16),$D438,0)</f>
        <v>0</v>
      </c>
      <c r="O438">
        <f>IF(AND($C438 = Temp!$K$1, $B438 = Temp!$A$16),$D438,0)</f>
        <v>0</v>
      </c>
    </row>
    <row r="439" spans="2:15" hidden="1" x14ac:dyDescent="0.2">
      <c r="B439" t="s">
        <v>280</v>
      </c>
      <c r="C439" t="s">
        <v>219</v>
      </c>
      <c r="D439">
        <v>2</v>
      </c>
      <c r="F439">
        <f>IF(AND($C439 = Temp!$B$1, $B439 = Temp!$A$16),$D439,0)</f>
        <v>0</v>
      </c>
      <c r="G439">
        <f>IF(AND($C439 = Temp!$C$1, $B439 = Temp!$A$16),$D439,0)</f>
        <v>0</v>
      </c>
      <c r="H439">
        <f>IF(AND($C439 = Temp!$D$1, $B439 = Temp!$A$16),$D439,0)</f>
        <v>0</v>
      </c>
      <c r="I439">
        <f>IF(AND($C439 = Temp!$E$1, $B439 = Temp!$A$16),$D439,0)</f>
        <v>0</v>
      </c>
      <c r="J439">
        <f>IF(AND($C439 = Temp!$F$1, $B439 = Temp!$A$16),$D439,0)</f>
        <v>0</v>
      </c>
      <c r="K439">
        <f>IF(AND($C439 = Temp!$G$1, $B439 = Temp!$A$16),$D439,0)</f>
        <v>0</v>
      </c>
      <c r="L439">
        <f>IF(AND($C439 = Temp!$H$1, $B439 = Temp!$A$16),$D439,0)</f>
        <v>0</v>
      </c>
      <c r="M439">
        <f>IF(AND($C439 = Temp!$I$1, $B439 = Temp!$A$16),$D439,0)</f>
        <v>0</v>
      </c>
      <c r="N439">
        <f>IF(AND($C439 = Temp!$J$1, $B439 = Temp!$A$16),$D439,0)</f>
        <v>0</v>
      </c>
      <c r="O439">
        <f>IF(AND($C439 = Temp!$K$1, $B439 = Temp!$A$16),$D439,0)</f>
        <v>0</v>
      </c>
    </row>
    <row r="440" spans="2:15" hidden="1" x14ac:dyDescent="0.2">
      <c r="B440" t="s">
        <v>280</v>
      </c>
      <c r="C440" t="s">
        <v>219</v>
      </c>
      <c r="D440">
        <v>4</v>
      </c>
      <c r="F440">
        <f>IF(AND($C440 = Temp!$B$1, $B440 = Temp!$A$16),$D440,0)</f>
        <v>0</v>
      </c>
      <c r="G440">
        <f>IF(AND($C440 = Temp!$C$1, $B440 = Temp!$A$16),$D440,0)</f>
        <v>0</v>
      </c>
      <c r="H440">
        <f>IF(AND($C440 = Temp!$D$1, $B440 = Temp!$A$16),$D440,0)</f>
        <v>0</v>
      </c>
      <c r="I440">
        <f>IF(AND($C440 = Temp!$E$1, $B440 = Temp!$A$16),$D440,0)</f>
        <v>0</v>
      </c>
      <c r="J440">
        <f>IF(AND($C440 = Temp!$F$1, $B440 = Temp!$A$16),$D440,0)</f>
        <v>0</v>
      </c>
      <c r="K440">
        <f>IF(AND($C440 = Temp!$G$1, $B440 = Temp!$A$16),$D440,0)</f>
        <v>0</v>
      </c>
      <c r="L440">
        <f>IF(AND($C440 = Temp!$H$1, $B440 = Temp!$A$16),$D440,0)</f>
        <v>0</v>
      </c>
      <c r="M440">
        <f>IF(AND($C440 = Temp!$I$1, $B440 = Temp!$A$16),$D440,0)</f>
        <v>0</v>
      </c>
      <c r="N440">
        <f>IF(AND($C440 = Temp!$J$1, $B440 = Temp!$A$16),$D440,0)</f>
        <v>0</v>
      </c>
      <c r="O440">
        <f>IF(AND($C440 = Temp!$K$1, $B440 = Temp!$A$16),$D440,0)</f>
        <v>0</v>
      </c>
    </row>
    <row r="441" spans="2:15" hidden="1" x14ac:dyDescent="0.2">
      <c r="B441" t="s">
        <v>280</v>
      </c>
      <c r="C441" t="s">
        <v>219</v>
      </c>
      <c r="D441">
        <v>4</v>
      </c>
      <c r="F441">
        <f>IF(AND($C441 = Temp!$B$1, $B441 = Temp!$A$16),$D441,0)</f>
        <v>0</v>
      </c>
      <c r="G441">
        <f>IF(AND($C441 = Temp!$C$1, $B441 = Temp!$A$16),$D441,0)</f>
        <v>0</v>
      </c>
      <c r="H441">
        <f>IF(AND($C441 = Temp!$D$1, $B441 = Temp!$A$16),$D441,0)</f>
        <v>0</v>
      </c>
      <c r="I441">
        <f>IF(AND($C441 = Temp!$E$1, $B441 = Temp!$A$16),$D441,0)</f>
        <v>0</v>
      </c>
      <c r="J441">
        <f>IF(AND($C441 = Temp!$F$1, $B441 = Temp!$A$16),$D441,0)</f>
        <v>0</v>
      </c>
      <c r="K441">
        <f>IF(AND($C441 = Temp!$G$1, $B441 = Temp!$A$16),$D441,0)</f>
        <v>0</v>
      </c>
      <c r="L441">
        <f>IF(AND($C441 = Temp!$H$1, $B441 = Temp!$A$16),$D441,0)</f>
        <v>0</v>
      </c>
      <c r="M441">
        <f>IF(AND($C441 = Temp!$I$1, $B441 = Temp!$A$16),$D441,0)</f>
        <v>0</v>
      </c>
      <c r="N441">
        <f>IF(AND($C441 = Temp!$J$1, $B441 = Temp!$A$16),$D441,0)</f>
        <v>0</v>
      </c>
      <c r="O441">
        <f>IF(AND($C441 = Temp!$K$1, $B441 = Temp!$A$16),$D441,0)</f>
        <v>0</v>
      </c>
    </row>
    <row r="442" spans="2:15" hidden="1" x14ac:dyDescent="0.2">
      <c r="B442" t="s">
        <v>280</v>
      </c>
      <c r="C442" t="s">
        <v>279</v>
      </c>
      <c r="D442">
        <v>1</v>
      </c>
      <c r="F442">
        <f>IF(AND($C442 = Temp!$B$1, $B442 = Temp!$A$16),$D442,0)</f>
        <v>0</v>
      </c>
      <c r="G442">
        <f>IF(AND($C442 = Temp!$C$1, $B442 = Temp!$A$16),$D442,0)</f>
        <v>0</v>
      </c>
      <c r="H442">
        <f>IF(AND($C442 = Temp!$D$1, $B442 = Temp!$A$16),$D442,0)</f>
        <v>0</v>
      </c>
      <c r="I442">
        <f>IF(AND($C442 = Temp!$E$1, $B442 = Temp!$A$16),$D442,0)</f>
        <v>0</v>
      </c>
      <c r="J442">
        <f>IF(AND($C442 = Temp!$F$1, $B442 = Temp!$A$16),$D442,0)</f>
        <v>0</v>
      </c>
      <c r="K442">
        <f>IF(AND($C442 = Temp!$G$1, $B442 = Temp!$A$16),$D442,0)</f>
        <v>0</v>
      </c>
      <c r="L442">
        <f>IF(AND($C442 = Temp!$H$1, $B442 = Temp!$A$16),$D442,0)</f>
        <v>0</v>
      </c>
      <c r="M442">
        <f>IF(AND($C442 = Temp!$I$1, $B442 = Temp!$A$16),$D442,0)</f>
        <v>0</v>
      </c>
      <c r="N442">
        <f>IF(AND($C442 = Temp!$J$1, $B442 = Temp!$A$16),$D442,0)</f>
        <v>0</v>
      </c>
      <c r="O442">
        <f>IF(AND($C442 = Temp!$K$1, $B442 = Temp!$A$16),$D442,0)</f>
        <v>0</v>
      </c>
    </row>
    <row r="443" spans="2:15" hidden="1" x14ac:dyDescent="0.2">
      <c r="B443" t="s">
        <v>280</v>
      </c>
      <c r="C443" t="s">
        <v>279</v>
      </c>
      <c r="D443">
        <v>6</v>
      </c>
      <c r="F443">
        <f>IF(AND($C443 = Temp!$B$1, $B443 = Temp!$A$16),$D443,0)</f>
        <v>0</v>
      </c>
      <c r="G443">
        <f>IF(AND($C443 = Temp!$C$1, $B443 = Temp!$A$16),$D443,0)</f>
        <v>0</v>
      </c>
      <c r="H443">
        <f>IF(AND($C443 = Temp!$D$1, $B443 = Temp!$A$16),$D443,0)</f>
        <v>0</v>
      </c>
      <c r="I443">
        <f>IF(AND($C443 = Temp!$E$1, $B443 = Temp!$A$16),$D443,0)</f>
        <v>0</v>
      </c>
      <c r="J443">
        <f>IF(AND($C443 = Temp!$F$1, $B443 = Temp!$A$16),$D443,0)</f>
        <v>0</v>
      </c>
      <c r="K443">
        <f>IF(AND($C443 = Temp!$G$1, $B443 = Temp!$A$16),$D443,0)</f>
        <v>0</v>
      </c>
      <c r="L443">
        <f>IF(AND($C443 = Temp!$H$1, $B443 = Temp!$A$16),$D443,0)</f>
        <v>0</v>
      </c>
      <c r="M443">
        <f>IF(AND($C443 = Temp!$I$1, $B443 = Temp!$A$16),$D443,0)</f>
        <v>0</v>
      </c>
      <c r="N443">
        <f>IF(AND($C443 = Temp!$J$1, $B443 = Temp!$A$16),$D443,0)</f>
        <v>0</v>
      </c>
      <c r="O443">
        <f>IF(AND($C443 = Temp!$K$1, $B443 = Temp!$A$16),$D443,0)</f>
        <v>0</v>
      </c>
    </row>
    <row r="444" spans="2:15" hidden="1" x14ac:dyDescent="0.2">
      <c r="B444" t="s">
        <v>280</v>
      </c>
      <c r="C444" t="s">
        <v>279</v>
      </c>
      <c r="D444">
        <v>1</v>
      </c>
      <c r="F444">
        <f>IF(AND($C444 = Temp!$B$1, $B444 = Temp!$A$16),$D444,0)</f>
        <v>0</v>
      </c>
      <c r="G444">
        <f>IF(AND($C444 = Temp!$C$1, $B444 = Temp!$A$16),$D444,0)</f>
        <v>0</v>
      </c>
      <c r="H444">
        <f>IF(AND($C444 = Temp!$D$1, $B444 = Temp!$A$16),$D444,0)</f>
        <v>0</v>
      </c>
      <c r="I444">
        <f>IF(AND($C444 = Temp!$E$1, $B444 = Temp!$A$16),$D444,0)</f>
        <v>0</v>
      </c>
      <c r="J444">
        <f>IF(AND($C444 = Temp!$F$1, $B444 = Temp!$A$16),$D444,0)</f>
        <v>0</v>
      </c>
      <c r="K444">
        <f>IF(AND($C444 = Temp!$G$1, $B444 = Temp!$A$16),$D444,0)</f>
        <v>0</v>
      </c>
      <c r="L444">
        <f>IF(AND($C444 = Temp!$H$1, $B444 = Temp!$A$16),$D444,0)</f>
        <v>0</v>
      </c>
      <c r="M444">
        <f>IF(AND($C444 = Temp!$I$1, $B444 = Temp!$A$16),$D444,0)</f>
        <v>0</v>
      </c>
      <c r="N444">
        <f>IF(AND($C444 = Temp!$J$1, $B444 = Temp!$A$16),$D444,0)</f>
        <v>0</v>
      </c>
      <c r="O444">
        <f>IF(AND($C444 = Temp!$K$1, $B444 = Temp!$A$16),$D444,0)</f>
        <v>0</v>
      </c>
    </row>
    <row r="445" spans="2:15" hidden="1" x14ac:dyDescent="0.2">
      <c r="B445" t="s">
        <v>280</v>
      </c>
      <c r="C445" t="s">
        <v>279</v>
      </c>
      <c r="D445">
        <v>1</v>
      </c>
      <c r="F445">
        <f>IF(AND($C445 = Temp!$B$1, $B445 = Temp!$A$16),$D445,0)</f>
        <v>0</v>
      </c>
      <c r="G445">
        <f>IF(AND($C445 = Temp!$C$1, $B445 = Temp!$A$16),$D445,0)</f>
        <v>0</v>
      </c>
      <c r="H445">
        <f>IF(AND($C445 = Temp!$D$1, $B445 = Temp!$A$16),$D445,0)</f>
        <v>0</v>
      </c>
      <c r="I445">
        <f>IF(AND($C445 = Temp!$E$1, $B445 = Temp!$A$16),$D445,0)</f>
        <v>0</v>
      </c>
      <c r="J445">
        <f>IF(AND($C445 = Temp!$F$1, $B445 = Temp!$A$16),$D445,0)</f>
        <v>0</v>
      </c>
      <c r="K445">
        <f>IF(AND($C445 = Temp!$G$1, $B445 = Temp!$A$16),$D445,0)</f>
        <v>0</v>
      </c>
      <c r="L445">
        <f>IF(AND($C445 = Temp!$H$1, $B445 = Temp!$A$16),$D445,0)</f>
        <v>0</v>
      </c>
      <c r="M445">
        <f>IF(AND($C445 = Temp!$I$1, $B445 = Temp!$A$16),$D445,0)</f>
        <v>0</v>
      </c>
      <c r="N445">
        <f>IF(AND($C445 = Temp!$J$1, $B445 = Temp!$A$16),$D445,0)</f>
        <v>0</v>
      </c>
      <c r="O445">
        <f>IF(AND($C445 = Temp!$K$1, $B445 = Temp!$A$16),$D445,0)</f>
        <v>0</v>
      </c>
    </row>
    <row r="446" spans="2:15" hidden="1" x14ac:dyDescent="0.2">
      <c r="B446" t="s">
        <v>280</v>
      </c>
      <c r="C446" t="s">
        <v>279</v>
      </c>
      <c r="D446">
        <v>0.5</v>
      </c>
      <c r="F446">
        <f>IF(AND($C446 = Temp!$B$1, $B446 = Temp!$A$16),$D446,0)</f>
        <v>0</v>
      </c>
      <c r="G446">
        <f>IF(AND($C446 = Temp!$C$1, $B446 = Temp!$A$16),$D446,0)</f>
        <v>0</v>
      </c>
      <c r="H446">
        <f>IF(AND($C446 = Temp!$D$1, $B446 = Temp!$A$16),$D446,0)</f>
        <v>0</v>
      </c>
      <c r="I446">
        <f>IF(AND($C446 = Temp!$E$1, $B446 = Temp!$A$16),$D446,0)</f>
        <v>0</v>
      </c>
      <c r="J446">
        <f>IF(AND($C446 = Temp!$F$1, $B446 = Temp!$A$16),$D446,0)</f>
        <v>0</v>
      </c>
      <c r="K446">
        <f>IF(AND($C446 = Temp!$G$1, $B446 = Temp!$A$16),$D446,0)</f>
        <v>0</v>
      </c>
      <c r="L446">
        <f>IF(AND($C446 = Temp!$H$1, $B446 = Temp!$A$16),$D446,0)</f>
        <v>0</v>
      </c>
      <c r="M446">
        <f>IF(AND($C446 = Temp!$I$1, $B446 = Temp!$A$16),$D446,0)</f>
        <v>0</v>
      </c>
      <c r="N446">
        <f>IF(AND($C446 = Temp!$J$1, $B446 = Temp!$A$16),$D446,0)</f>
        <v>0</v>
      </c>
      <c r="O446">
        <f>IF(AND($C446 = Temp!$K$1, $B446 = Temp!$A$16),$D446,0)</f>
        <v>0</v>
      </c>
    </row>
    <row r="447" spans="2:15" hidden="1" x14ac:dyDescent="0.2">
      <c r="B447" t="s">
        <v>280</v>
      </c>
      <c r="C447" t="s">
        <v>279</v>
      </c>
      <c r="D447">
        <v>0.2</v>
      </c>
      <c r="F447">
        <f>IF(AND($C447 = Temp!$B$1, $B447 = Temp!$A$16),$D447,0)</f>
        <v>0</v>
      </c>
      <c r="G447">
        <f>IF(AND($C447 = Temp!$C$1, $B447 = Temp!$A$16),$D447,0)</f>
        <v>0</v>
      </c>
      <c r="H447">
        <f>IF(AND($C447 = Temp!$D$1, $B447 = Temp!$A$16),$D447,0)</f>
        <v>0</v>
      </c>
      <c r="I447">
        <f>IF(AND($C447 = Temp!$E$1, $B447 = Temp!$A$16),$D447,0)</f>
        <v>0</v>
      </c>
      <c r="J447">
        <f>IF(AND($C447 = Temp!$F$1, $B447 = Temp!$A$16),$D447,0)</f>
        <v>0</v>
      </c>
      <c r="K447">
        <f>IF(AND($C447 = Temp!$G$1, $B447 = Temp!$A$16),$D447,0)</f>
        <v>0</v>
      </c>
      <c r="L447">
        <f>IF(AND($C447 = Temp!$H$1, $B447 = Temp!$A$16),$D447,0)</f>
        <v>0</v>
      </c>
      <c r="M447">
        <f>IF(AND($C447 = Temp!$I$1, $B447 = Temp!$A$16),$D447,0)</f>
        <v>0</v>
      </c>
      <c r="N447">
        <f>IF(AND($C447 = Temp!$J$1, $B447 = Temp!$A$16),$D447,0)</f>
        <v>0</v>
      </c>
      <c r="O447">
        <f>IF(AND($C447 = Temp!$K$1, $B447 = Temp!$A$16),$D447,0)</f>
        <v>0</v>
      </c>
    </row>
    <row r="448" spans="2:15" hidden="1" x14ac:dyDescent="0.2">
      <c r="B448" t="s">
        <v>280</v>
      </c>
      <c r="C448" t="s">
        <v>279</v>
      </c>
      <c r="D448">
        <v>0.5</v>
      </c>
      <c r="F448">
        <f>IF(AND($C448 = Temp!$B$1, $B448 = Temp!$A$16),$D448,0)</f>
        <v>0</v>
      </c>
      <c r="G448">
        <f>IF(AND($C448 = Temp!$C$1, $B448 = Temp!$A$16),$D448,0)</f>
        <v>0</v>
      </c>
      <c r="H448">
        <f>IF(AND($C448 = Temp!$D$1, $B448 = Temp!$A$16),$D448,0)</f>
        <v>0</v>
      </c>
      <c r="I448">
        <f>IF(AND($C448 = Temp!$E$1, $B448 = Temp!$A$16),$D448,0)</f>
        <v>0</v>
      </c>
      <c r="J448">
        <f>IF(AND($C448 = Temp!$F$1, $B448 = Temp!$A$16),$D448,0)</f>
        <v>0</v>
      </c>
      <c r="K448">
        <f>IF(AND($C448 = Temp!$G$1, $B448 = Temp!$A$16),$D448,0)</f>
        <v>0</v>
      </c>
      <c r="L448">
        <f>IF(AND($C448 = Temp!$H$1, $B448 = Temp!$A$16),$D448,0)</f>
        <v>0</v>
      </c>
      <c r="M448">
        <f>IF(AND($C448 = Temp!$I$1, $B448 = Temp!$A$16),$D448,0)</f>
        <v>0</v>
      </c>
      <c r="N448">
        <f>IF(AND($C448 = Temp!$J$1, $B448 = Temp!$A$16),$D448,0)</f>
        <v>0</v>
      </c>
      <c r="O448">
        <f>IF(AND($C448 = Temp!$K$1, $B448 = Temp!$A$16),$D448,0)</f>
        <v>0</v>
      </c>
    </row>
    <row r="449" spans="2:15" hidden="1" x14ac:dyDescent="0.2">
      <c r="B449" t="s">
        <v>280</v>
      </c>
      <c r="C449" t="s">
        <v>279</v>
      </c>
      <c r="D449">
        <v>2</v>
      </c>
      <c r="F449">
        <f>IF(AND($C449 = Temp!$B$1, $B449 = Temp!$A$16),$D449,0)</f>
        <v>0</v>
      </c>
      <c r="G449">
        <f>IF(AND($C449 = Temp!$C$1, $B449 = Temp!$A$16),$D449,0)</f>
        <v>0</v>
      </c>
      <c r="H449">
        <f>IF(AND($C449 = Temp!$D$1, $B449 = Temp!$A$16),$D449,0)</f>
        <v>0</v>
      </c>
      <c r="I449">
        <f>IF(AND($C449 = Temp!$E$1, $B449 = Temp!$A$16),$D449,0)</f>
        <v>0</v>
      </c>
      <c r="J449">
        <f>IF(AND($C449 = Temp!$F$1, $B449 = Temp!$A$16),$D449,0)</f>
        <v>0</v>
      </c>
      <c r="K449">
        <f>IF(AND($C449 = Temp!$G$1, $B449 = Temp!$A$16),$D449,0)</f>
        <v>0</v>
      </c>
      <c r="L449">
        <f>IF(AND($C449 = Temp!$H$1, $B449 = Temp!$A$16),$D449,0)</f>
        <v>0</v>
      </c>
      <c r="M449">
        <f>IF(AND($C449 = Temp!$I$1, $B449 = Temp!$A$16),$D449,0)</f>
        <v>0</v>
      </c>
      <c r="N449">
        <f>IF(AND($C449 = Temp!$J$1, $B449 = Temp!$A$16),$D449,0)</f>
        <v>0</v>
      </c>
      <c r="O449">
        <f>IF(AND($C449 = Temp!$K$1, $B449 = Temp!$A$16),$D449,0)</f>
        <v>0</v>
      </c>
    </row>
    <row r="450" spans="2:15" hidden="1" x14ac:dyDescent="0.2">
      <c r="B450" t="s">
        <v>280</v>
      </c>
      <c r="C450" t="s">
        <v>279</v>
      </c>
      <c r="D450">
        <v>4</v>
      </c>
      <c r="F450">
        <f>IF(AND($C450 = Temp!$B$1, $B450 = Temp!$A$16),$D450,0)</f>
        <v>0</v>
      </c>
      <c r="G450">
        <f>IF(AND($C450 = Temp!$C$1, $B450 = Temp!$A$16),$D450,0)</f>
        <v>0</v>
      </c>
      <c r="H450">
        <f>IF(AND($C450 = Temp!$D$1, $B450 = Temp!$A$16),$D450,0)</f>
        <v>0</v>
      </c>
      <c r="I450">
        <f>IF(AND($C450 = Temp!$E$1, $B450 = Temp!$A$16),$D450,0)</f>
        <v>0</v>
      </c>
      <c r="J450">
        <f>IF(AND($C450 = Temp!$F$1, $B450 = Temp!$A$16),$D450,0)</f>
        <v>0</v>
      </c>
      <c r="K450">
        <f>IF(AND($C450 = Temp!$G$1, $B450 = Temp!$A$16),$D450,0)</f>
        <v>0</v>
      </c>
      <c r="L450">
        <f>IF(AND($C450 = Temp!$H$1, $B450 = Temp!$A$16),$D450,0)</f>
        <v>0</v>
      </c>
      <c r="M450">
        <f>IF(AND($C450 = Temp!$I$1, $B450 = Temp!$A$16),$D450,0)</f>
        <v>0</v>
      </c>
      <c r="N450">
        <f>IF(AND($C450 = Temp!$J$1, $B450 = Temp!$A$16),$D450,0)</f>
        <v>0</v>
      </c>
      <c r="O450">
        <f>IF(AND($C450 = Temp!$K$1, $B450 = Temp!$A$16),$D450,0)</f>
        <v>0</v>
      </c>
    </row>
    <row r="451" spans="2:15" hidden="1" x14ac:dyDescent="0.2">
      <c r="B451" t="s">
        <v>280</v>
      </c>
      <c r="C451" t="s">
        <v>279</v>
      </c>
      <c r="D451">
        <v>3</v>
      </c>
      <c r="F451">
        <f>IF(AND($C451 = Temp!$B$1, $B451 = Temp!$A$16),$D451,0)</f>
        <v>0</v>
      </c>
      <c r="G451">
        <f>IF(AND($C451 = Temp!$C$1, $B451 = Temp!$A$16),$D451,0)</f>
        <v>0</v>
      </c>
      <c r="H451">
        <f>IF(AND($C451 = Temp!$D$1, $B451 = Temp!$A$16),$D451,0)</f>
        <v>0</v>
      </c>
      <c r="I451">
        <f>IF(AND($C451 = Temp!$E$1, $B451 = Temp!$A$16),$D451,0)</f>
        <v>0</v>
      </c>
      <c r="J451">
        <f>IF(AND($C451 = Temp!$F$1, $B451 = Temp!$A$16),$D451,0)</f>
        <v>0</v>
      </c>
      <c r="K451">
        <f>IF(AND($C451 = Temp!$G$1, $B451 = Temp!$A$16),$D451,0)</f>
        <v>0</v>
      </c>
      <c r="L451">
        <f>IF(AND($C451 = Temp!$H$1, $B451 = Temp!$A$16),$D451,0)</f>
        <v>0</v>
      </c>
      <c r="M451">
        <f>IF(AND($C451 = Temp!$I$1, $B451 = Temp!$A$16),$D451,0)</f>
        <v>0</v>
      </c>
      <c r="N451">
        <f>IF(AND($C451 = Temp!$J$1, $B451 = Temp!$A$16),$D451,0)</f>
        <v>0</v>
      </c>
      <c r="O451">
        <f>IF(AND($C451 = Temp!$K$1, $B451 = Temp!$A$16),$D451,0)</f>
        <v>0</v>
      </c>
    </row>
    <row r="452" spans="2:15" hidden="1" x14ac:dyDescent="0.2">
      <c r="B452" t="s">
        <v>280</v>
      </c>
      <c r="C452" t="s">
        <v>279</v>
      </c>
      <c r="D452">
        <v>2</v>
      </c>
      <c r="F452">
        <f>IF(AND($C452 = Temp!$B$1, $B452 = Temp!$A$16),$D452,0)</f>
        <v>0</v>
      </c>
      <c r="G452">
        <f>IF(AND($C452 = Temp!$C$1, $B452 = Temp!$A$16),$D452,0)</f>
        <v>0</v>
      </c>
      <c r="H452">
        <f>IF(AND($C452 = Temp!$D$1, $B452 = Temp!$A$16),$D452,0)</f>
        <v>0</v>
      </c>
      <c r="I452">
        <f>IF(AND($C452 = Temp!$E$1, $B452 = Temp!$A$16),$D452,0)</f>
        <v>0</v>
      </c>
      <c r="J452">
        <f>IF(AND($C452 = Temp!$F$1, $B452 = Temp!$A$16),$D452,0)</f>
        <v>0</v>
      </c>
      <c r="K452">
        <f>IF(AND($C452 = Temp!$G$1, $B452 = Temp!$A$16),$D452,0)</f>
        <v>0</v>
      </c>
      <c r="L452">
        <f>IF(AND($C452 = Temp!$H$1, $B452 = Temp!$A$16),$D452,0)</f>
        <v>0</v>
      </c>
      <c r="M452">
        <f>IF(AND($C452 = Temp!$I$1, $B452 = Temp!$A$16),$D452,0)</f>
        <v>0</v>
      </c>
      <c r="N452">
        <f>IF(AND($C452 = Temp!$J$1, $B452 = Temp!$A$16),$D452,0)</f>
        <v>0</v>
      </c>
      <c r="O452">
        <f>IF(AND($C452 = Temp!$K$1, $B452 = Temp!$A$16),$D452,0)</f>
        <v>0</v>
      </c>
    </row>
    <row r="453" spans="2:15" hidden="1" x14ac:dyDescent="0.2">
      <c r="B453" t="s">
        <v>280</v>
      </c>
      <c r="C453" t="s">
        <v>279</v>
      </c>
      <c r="D453">
        <v>5</v>
      </c>
      <c r="F453">
        <f>IF(AND($C453 = Temp!$B$1, $B453 = Temp!$A$16),$D453,0)</f>
        <v>0</v>
      </c>
      <c r="G453">
        <f>IF(AND($C453 = Temp!$C$1, $B453 = Temp!$A$16),$D453,0)</f>
        <v>0</v>
      </c>
      <c r="H453">
        <f>IF(AND($C453 = Temp!$D$1, $B453 = Temp!$A$16),$D453,0)</f>
        <v>0</v>
      </c>
      <c r="I453">
        <f>IF(AND($C453 = Temp!$E$1, $B453 = Temp!$A$16),$D453,0)</f>
        <v>0</v>
      </c>
      <c r="J453">
        <f>IF(AND($C453 = Temp!$F$1, $B453 = Temp!$A$16),$D453,0)</f>
        <v>0</v>
      </c>
      <c r="K453">
        <f>IF(AND($C453 = Temp!$G$1, $B453 = Temp!$A$16),$D453,0)</f>
        <v>0</v>
      </c>
      <c r="L453">
        <f>IF(AND($C453 = Temp!$H$1, $B453 = Temp!$A$16),$D453,0)</f>
        <v>0</v>
      </c>
      <c r="M453">
        <f>IF(AND($C453 = Temp!$I$1, $B453 = Temp!$A$16),$D453,0)</f>
        <v>0</v>
      </c>
      <c r="N453">
        <f>IF(AND($C453 = Temp!$J$1, $B453 = Temp!$A$16),$D453,0)</f>
        <v>0</v>
      </c>
      <c r="O453">
        <f>IF(AND($C453 = Temp!$K$1, $B453 = Temp!$A$16),$D453,0)</f>
        <v>0</v>
      </c>
    </row>
    <row r="454" spans="2:15" hidden="1" x14ac:dyDescent="0.2">
      <c r="B454" t="s">
        <v>280</v>
      </c>
      <c r="C454" t="s">
        <v>279</v>
      </c>
      <c r="D454">
        <v>1</v>
      </c>
      <c r="F454">
        <f>IF(AND($C454 = Temp!$B$1, $B454 = Temp!$A$16),$D454,0)</f>
        <v>0</v>
      </c>
      <c r="G454">
        <f>IF(AND($C454 = Temp!$C$1, $B454 = Temp!$A$16),$D454,0)</f>
        <v>0</v>
      </c>
      <c r="H454">
        <f>IF(AND($C454 = Temp!$D$1, $B454 = Temp!$A$16),$D454,0)</f>
        <v>0</v>
      </c>
      <c r="I454">
        <f>IF(AND($C454 = Temp!$E$1, $B454 = Temp!$A$16),$D454,0)</f>
        <v>0</v>
      </c>
      <c r="J454">
        <f>IF(AND($C454 = Temp!$F$1, $B454 = Temp!$A$16),$D454,0)</f>
        <v>0</v>
      </c>
      <c r="K454">
        <f>IF(AND($C454 = Temp!$G$1, $B454 = Temp!$A$16),$D454,0)</f>
        <v>0</v>
      </c>
      <c r="L454">
        <f>IF(AND($C454 = Temp!$H$1, $B454 = Temp!$A$16),$D454,0)</f>
        <v>0</v>
      </c>
      <c r="M454">
        <f>IF(AND($C454 = Temp!$I$1, $B454 = Temp!$A$16),$D454,0)</f>
        <v>0</v>
      </c>
      <c r="N454">
        <f>IF(AND($C454 = Temp!$J$1, $B454 = Temp!$A$16),$D454,0)</f>
        <v>0</v>
      </c>
      <c r="O454">
        <f>IF(AND($C454 = Temp!$K$1, $B454 = Temp!$A$16),$D454,0)</f>
        <v>0</v>
      </c>
    </row>
    <row r="455" spans="2:15" hidden="1" x14ac:dyDescent="0.2">
      <c r="B455" t="s">
        <v>280</v>
      </c>
      <c r="C455" t="s">
        <v>279</v>
      </c>
      <c r="D455">
        <v>2</v>
      </c>
      <c r="F455">
        <f>IF(AND($C455 = Temp!$B$1, $B455 = Temp!$A$16),$D455,0)</f>
        <v>0</v>
      </c>
      <c r="G455">
        <f>IF(AND($C455 = Temp!$C$1, $B455 = Temp!$A$16),$D455,0)</f>
        <v>0</v>
      </c>
      <c r="H455">
        <f>IF(AND($C455 = Temp!$D$1, $B455 = Temp!$A$16),$D455,0)</f>
        <v>0</v>
      </c>
      <c r="I455">
        <f>IF(AND($C455 = Temp!$E$1, $B455 = Temp!$A$16),$D455,0)</f>
        <v>0</v>
      </c>
      <c r="J455">
        <f>IF(AND($C455 = Temp!$F$1, $B455 = Temp!$A$16),$D455,0)</f>
        <v>0</v>
      </c>
      <c r="K455">
        <f>IF(AND($C455 = Temp!$G$1, $B455 = Temp!$A$16),$D455,0)</f>
        <v>0</v>
      </c>
      <c r="L455">
        <f>IF(AND($C455 = Temp!$H$1, $B455 = Temp!$A$16),$D455,0)</f>
        <v>0</v>
      </c>
      <c r="M455">
        <f>IF(AND($C455 = Temp!$I$1, $B455 = Temp!$A$16),$D455,0)</f>
        <v>0</v>
      </c>
      <c r="N455">
        <f>IF(AND($C455 = Temp!$J$1, $B455 = Temp!$A$16),$D455,0)</f>
        <v>0</v>
      </c>
      <c r="O455">
        <f>IF(AND($C455 = Temp!$K$1, $B455 = Temp!$A$16),$D455,0)</f>
        <v>0</v>
      </c>
    </row>
    <row r="456" spans="2:15" hidden="1" x14ac:dyDescent="0.2">
      <c r="B456" t="s">
        <v>280</v>
      </c>
      <c r="C456" t="s">
        <v>260</v>
      </c>
      <c r="D456">
        <v>2</v>
      </c>
      <c r="F456">
        <f>IF(AND($C456 = Temp!$B$1, $B456 = Temp!$A$16),$D456,0)</f>
        <v>0</v>
      </c>
      <c r="G456">
        <f>IF(AND($C456 = Temp!$C$1, $B456 = Temp!$A$16),$D456,0)</f>
        <v>0</v>
      </c>
      <c r="H456">
        <f>IF(AND($C456 = Temp!$D$1, $B456 = Temp!$A$16),$D456,0)</f>
        <v>0</v>
      </c>
      <c r="I456">
        <f>IF(AND($C456 = Temp!$E$1, $B456 = Temp!$A$16),$D456,0)</f>
        <v>0</v>
      </c>
      <c r="J456">
        <f>IF(AND($C456 = Temp!$F$1, $B456 = Temp!$A$16),$D456,0)</f>
        <v>0</v>
      </c>
      <c r="K456">
        <f>IF(AND($C456 = Temp!$G$1, $B456 = Temp!$A$16),$D456,0)</f>
        <v>0</v>
      </c>
      <c r="L456">
        <f>IF(AND($C456 = Temp!$H$1, $B456 = Temp!$A$16),$D456,0)</f>
        <v>0</v>
      </c>
      <c r="M456">
        <f>IF(AND($C456 = Temp!$I$1, $B456 = Temp!$A$16),$D456,0)</f>
        <v>0</v>
      </c>
      <c r="N456">
        <f>IF(AND($C456 = Temp!$J$1, $B456 = Temp!$A$16),$D456,0)</f>
        <v>0</v>
      </c>
      <c r="O456">
        <f>IF(AND($C456 = Temp!$K$1, $B456 = Temp!$A$16),$D456,0)</f>
        <v>0</v>
      </c>
    </row>
    <row r="457" spans="2:15" hidden="1" x14ac:dyDescent="0.2">
      <c r="B457" t="s">
        <v>280</v>
      </c>
      <c r="C457" t="s">
        <v>261</v>
      </c>
      <c r="D457">
        <v>3</v>
      </c>
      <c r="F457">
        <f>IF(AND($C457 = Temp!$B$1, $B457 = Temp!$A$16),$D457,0)</f>
        <v>0</v>
      </c>
      <c r="G457">
        <f>IF(AND($C457 = Temp!$C$1, $B457 = Temp!$A$16),$D457,0)</f>
        <v>0</v>
      </c>
      <c r="H457">
        <f>IF(AND($C457 = Temp!$D$1, $B457 = Temp!$A$16),$D457,0)</f>
        <v>0</v>
      </c>
      <c r="I457">
        <f>IF(AND($C457 = Temp!$E$1, $B457 = Temp!$A$16),$D457,0)</f>
        <v>0</v>
      </c>
      <c r="J457">
        <f>IF(AND($C457 = Temp!$F$1, $B457 = Temp!$A$16),$D457,0)</f>
        <v>0</v>
      </c>
      <c r="K457">
        <f>IF(AND($C457 = Temp!$G$1, $B457 = Temp!$A$16),$D457,0)</f>
        <v>0</v>
      </c>
      <c r="L457">
        <f>IF(AND($C457 = Temp!$H$1, $B457 = Temp!$A$16),$D457,0)</f>
        <v>0</v>
      </c>
      <c r="M457">
        <f>IF(AND($C457 = Temp!$I$1, $B457 = Temp!$A$16),$D457,0)</f>
        <v>0</v>
      </c>
      <c r="N457">
        <f>IF(AND($C457 = Temp!$J$1, $B457 = Temp!$A$16),$D457,0)</f>
        <v>0</v>
      </c>
      <c r="O457">
        <f>IF(AND($C457 = Temp!$K$1, $B457 = Temp!$A$16),$D457,0)</f>
        <v>0</v>
      </c>
    </row>
    <row r="458" spans="2:15" hidden="1" x14ac:dyDescent="0.2">
      <c r="B458" t="s">
        <v>280</v>
      </c>
      <c r="C458" t="s">
        <v>261</v>
      </c>
      <c r="D458">
        <v>0.5</v>
      </c>
      <c r="F458">
        <f>IF(AND($C458 = Temp!$B$1, $B458 = Temp!$A$16),$D458,0)</f>
        <v>0</v>
      </c>
      <c r="G458">
        <f>IF(AND($C458 = Temp!$C$1, $B458 = Temp!$A$16),$D458,0)</f>
        <v>0</v>
      </c>
      <c r="H458">
        <f>IF(AND($C458 = Temp!$D$1, $B458 = Temp!$A$16),$D458,0)</f>
        <v>0</v>
      </c>
      <c r="I458">
        <f>IF(AND($C458 = Temp!$E$1, $B458 = Temp!$A$16),$D458,0)</f>
        <v>0</v>
      </c>
      <c r="J458">
        <f>IF(AND($C458 = Temp!$F$1, $B458 = Temp!$A$16),$D458,0)</f>
        <v>0</v>
      </c>
      <c r="K458">
        <f>IF(AND($C458 = Temp!$G$1, $B458 = Temp!$A$16),$D458,0)</f>
        <v>0</v>
      </c>
      <c r="L458">
        <f>IF(AND($C458 = Temp!$H$1, $B458 = Temp!$A$16),$D458,0)</f>
        <v>0</v>
      </c>
      <c r="M458">
        <f>IF(AND($C458 = Temp!$I$1, $B458 = Temp!$A$16),$D458,0)</f>
        <v>0</v>
      </c>
      <c r="N458">
        <f>IF(AND($C458 = Temp!$J$1, $B458 = Temp!$A$16),$D458,0)</f>
        <v>0</v>
      </c>
      <c r="O458">
        <f>IF(AND($C458 = Temp!$K$1, $B458 = Temp!$A$16),$D458,0)</f>
        <v>0</v>
      </c>
    </row>
    <row r="459" spans="2:15" hidden="1" x14ac:dyDescent="0.2">
      <c r="B459" t="s">
        <v>280</v>
      </c>
      <c r="C459" t="s">
        <v>261</v>
      </c>
      <c r="D459">
        <v>1.5</v>
      </c>
      <c r="F459">
        <f>IF(AND($C459 = Temp!$B$1, $B459 = Temp!$A$16),$D459,0)</f>
        <v>0</v>
      </c>
      <c r="G459">
        <f>IF(AND($C459 = Temp!$C$1, $B459 = Temp!$A$16),$D459,0)</f>
        <v>0</v>
      </c>
      <c r="H459">
        <f>IF(AND($C459 = Temp!$D$1, $B459 = Temp!$A$16),$D459,0)</f>
        <v>0</v>
      </c>
      <c r="I459">
        <f>IF(AND($C459 = Temp!$E$1, $B459 = Temp!$A$16),$D459,0)</f>
        <v>0</v>
      </c>
      <c r="J459">
        <f>IF(AND($C459 = Temp!$F$1, $B459 = Temp!$A$16),$D459,0)</f>
        <v>0</v>
      </c>
      <c r="K459">
        <f>IF(AND($C459 = Temp!$G$1, $B459 = Temp!$A$16),$D459,0)</f>
        <v>0</v>
      </c>
      <c r="L459">
        <f>IF(AND($C459 = Temp!$H$1, $B459 = Temp!$A$16),$D459,0)</f>
        <v>0</v>
      </c>
      <c r="M459">
        <f>IF(AND($C459 = Temp!$I$1, $B459 = Temp!$A$16),$D459,0)</f>
        <v>0</v>
      </c>
      <c r="N459">
        <f>IF(AND($C459 = Temp!$J$1, $B459 = Temp!$A$16),$D459,0)</f>
        <v>0</v>
      </c>
      <c r="O459">
        <f>IF(AND($C459 = Temp!$K$1, $B459 = Temp!$A$16),$D459,0)</f>
        <v>0</v>
      </c>
    </row>
    <row r="460" spans="2:15" hidden="1" x14ac:dyDescent="0.2">
      <c r="B460" t="s">
        <v>280</v>
      </c>
      <c r="C460" t="s">
        <v>261</v>
      </c>
      <c r="D460">
        <v>2.5</v>
      </c>
      <c r="F460">
        <f>IF(AND($C460 = Temp!$B$1, $B460 = Temp!$A$16),$D460,0)</f>
        <v>0</v>
      </c>
      <c r="G460">
        <f>IF(AND($C460 = Temp!$C$1, $B460 = Temp!$A$16),$D460,0)</f>
        <v>0</v>
      </c>
      <c r="H460">
        <f>IF(AND($C460 = Temp!$D$1, $B460 = Temp!$A$16),$D460,0)</f>
        <v>0</v>
      </c>
      <c r="I460">
        <f>IF(AND($C460 = Temp!$E$1, $B460 = Temp!$A$16),$D460,0)</f>
        <v>0</v>
      </c>
      <c r="J460">
        <f>IF(AND($C460 = Temp!$F$1, $B460 = Temp!$A$16),$D460,0)</f>
        <v>0</v>
      </c>
      <c r="K460">
        <f>IF(AND($C460 = Temp!$G$1, $B460 = Temp!$A$16),$D460,0)</f>
        <v>0</v>
      </c>
      <c r="L460">
        <f>IF(AND($C460 = Temp!$H$1, $B460 = Temp!$A$16),$D460,0)</f>
        <v>0</v>
      </c>
      <c r="M460">
        <f>IF(AND($C460 = Temp!$I$1, $B460 = Temp!$A$16),$D460,0)</f>
        <v>0</v>
      </c>
      <c r="N460">
        <f>IF(AND($C460 = Temp!$J$1, $B460 = Temp!$A$16),$D460,0)</f>
        <v>0</v>
      </c>
      <c r="O460">
        <f>IF(AND($C460 = Temp!$K$1, $B460 = Temp!$A$16),$D460,0)</f>
        <v>0</v>
      </c>
    </row>
    <row r="461" spans="2:15" hidden="1" x14ac:dyDescent="0.2">
      <c r="B461" t="s">
        <v>280</v>
      </c>
      <c r="C461" t="s">
        <v>261</v>
      </c>
      <c r="D461">
        <v>3</v>
      </c>
      <c r="F461">
        <f>IF(AND($C461 = Temp!$B$1, $B461 = Temp!$A$16),$D461,0)</f>
        <v>0</v>
      </c>
      <c r="G461">
        <f>IF(AND($C461 = Temp!$C$1, $B461 = Temp!$A$16),$D461,0)</f>
        <v>0</v>
      </c>
      <c r="H461">
        <f>IF(AND($C461 = Temp!$D$1, $B461 = Temp!$A$16),$D461,0)</f>
        <v>0</v>
      </c>
      <c r="I461">
        <f>IF(AND($C461 = Temp!$E$1, $B461 = Temp!$A$16),$D461,0)</f>
        <v>0</v>
      </c>
      <c r="J461">
        <f>IF(AND($C461 = Temp!$F$1, $B461 = Temp!$A$16),$D461,0)</f>
        <v>0</v>
      </c>
      <c r="K461">
        <f>IF(AND($C461 = Temp!$G$1, $B461 = Temp!$A$16),$D461,0)</f>
        <v>0</v>
      </c>
      <c r="L461">
        <f>IF(AND($C461 = Temp!$H$1, $B461 = Temp!$A$16),$D461,0)</f>
        <v>0</v>
      </c>
      <c r="M461">
        <f>IF(AND($C461 = Temp!$I$1, $B461 = Temp!$A$16),$D461,0)</f>
        <v>0</v>
      </c>
      <c r="N461">
        <f>IF(AND($C461 = Temp!$J$1, $B461 = Temp!$A$16),$D461,0)</f>
        <v>0</v>
      </c>
      <c r="O461">
        <f>IF(AND($C461 = Temp!$K$1, $B461 = Temp!$A$16),$D461,0)</f>
        <v>0</v>
      </c>
    </row>
    <row r="462" spans="2:15" hidden="1" x14ac:dyDescent="0.2">
      <c r="B462" t="s">
        <v>280</v>
      </c>
      <c r="C462" t="s">
        <v>261</v>
      </c>
      <c r="D462">
        <v>4</v>
      </c>
      <c r="F462">
        <f>IF(AND($C462 = Temp!$B$1, $B462 = Temp!$A$16),$D462,0)</f>
        <v>0</v>
      </c>
      <c r="G462">
        <f>IF(AND($C462 = Temp!$C$1, $B462 = Temp!$A$16),$D462,0)</f>
        <v>0</v>
      </c>
      <c r="H462">
        <f>IF(AND($C462 = Temp!$D$1, $B462 = Temp!$A$16),$D462,0)</f>
        <v>0</v>
      </c>
      <c r="I462">
        <f>IF(AND($C462 = Temp!$E$1, $B462 = Temp!$A$16),$D462,0)</f>
        <v>0</v>
      </c>
      <c r="J462">
        <f>IF(AND($C462 = Temp!$F$1, $B462 = Temp!$A$16),$D462,0)</f>
        <v>0</v>
      </c>
      <c r="K462">
        <f>IF(AND($C462 = Temp!$G$1, $B462 = Temp!$A$16),$D462,0)</f>
        <v>0</v>
      </c>
      <c r="L462">
        <f>IF(AND($C462 = Temp!$H$1, $B462 = Temp!$A$16),$D462,0)</f>
        <v>0</v>
      </c>
      <c r="M462">
        <f>IF(AND($C462 = Temp!$I$1, $B462 = Temp!$A$16),$D462,0)</f>
        <v>0</v>
      </c>
      <c r="N462">
        <f>IF(AND($C462 = Temp!$J$1, $B462 = Temp!$A$16),$D462,0)</f>
        <v>0</v>
      </c>
      <c r="O462">
        <f>IF(AND($C462 = Temp!$K$1, $B462 = Temp!$A$16),$D462,0)</f>
        <v>0</v>
      </c>
    </row>
    <row r="463" spans="2:15" hidden="1" x14ac:dyDescent="0.2">
      <c r="B463" t="s">
        <v>280</v>
      </c>
      <c r="C463" t="s">
        <v>261</v>
      </c>
      <c r="D463">
        <v>4</v>
      </c>
      <c r="F463">
        <f>IF(AND($C463 = Temp!$B$1, $B463 = Temp!$A$16),$D463,0)</f>
        <v>0</v>
      </c>
      <c r="G463">
        <f>IF(AND($C463 = Temp!$C$1, $B463 = Temp!$A$16),$D463,0)</f>
        <v>0</v>
      </c>
      <c r="H463">
        <f>IF(AND($C463 = Temp!$D$1, $B463 = Temp!$A$16),$D463,0)</f>
        <v>0</v>
      </c>
      <c r="I463">
        <f>IF(AND($C463 = Temp!$E$1, $B463 = Temp!$A$16),$D463,0)</f>
        <v>0</v>
      </c>
      <c r="J463">
        <f>IF(AND($C463 = Temp!$F$1, $B463 = Temp!$A$16),$D463,0)</f>
        <v>0</v>
      </c>
      <c r="K463">
        <f>IF(AND($C463 = Temp!$G$1, $B463 = Temp!$A$16),$D463,0)</f>
        <v>0</v>
      </c>
      <c r="L463">
        <f>IF(AND($C463 = Temp!$H$1, $B463 = Temp!$A$16),$D463,0)</f>
        <v>0</v>
      </c>
      <c r="M463">
        <f>IF(AND($C463 = Temp!$I$1, $B463 = Temp!$A$16),$D463,0)</f>
        <v>0</v>
      </c>
      <c r="N463">
        <f>IF(AND($C463 = Temp!$J$1, $B463 = Temp!$A$16),$D463,0)</f>
        <v>0</v>
      </c>
      <c r="O463">
        <f>IF(AND($C463 = Temp!$K$1, $B463 = Temp!$A$16),$D463,0)</f>
        <v>0</v>
      </c>
    </row>
    <row r="464" spans="2:15" hidden="1" x14ac:dyDescent="0.2">
      <c r="B464" t="s">
        <v>280</v>
      </c>
      <c r="C464" t="s">
        <v>261</v>
      </c>
      <c r="D464">
        <v>7</v>
      </c>
      <c r="F464">
        <f>IF(AND($C464 = Temp!$B$1, $B464 = Temp!$A$16),$D464,0)</f>
        <v>0</v>
      </c>
      <c r="G464">
        <f>IF(AND($C464 = Temp!$C$1, $B464 = Temp!$A$16),$D464,0)</f>
        <v>0</v>
      </c>
      <c r="H464">
        <f>IF(AND($C464 = Temp!$D$1, $B464 = Temp!$A$16),$D464,0)</f>
        <v>0</v>
      </c>
      <c r="I464">
        <f>IF(AND($C464 = Temp!$E$1, $B464 = Temp!$A$16),$D464,0)</f>
        <v>0</v>
      </c>
      <c r="J464">
        <f>IF(AND($C464 = Temp!$F$1, $B464 = Temp!$A$16),$D464,0)</f>
        <v>0</v>
      </c>
      <c r="K464">
        <f>IF(AND($C464 = Temp!$G$1, $B464 = Temp!$A$16),$D464,0)</f>
        <v>0</v>
      </c>
      <c r="L464">
        <f>IF(AND($C464 = Temp!$H$1, $B464 = Temp!$A$16),$D464,0)</f>
        <v>0</v>
      </c>
      <c r="M464">
        <f>IF(AND($C464 = Temp!$I$1, $B464 = Temp!$A$16),$D464,0)</f>
        <v>0</v>
      </c>
      <c r="N464">
        <f>IF(AND($C464 = Temp!$J$1, $B464 = Temp!$A$16),$D464,0)</f>
        <v>0</v>
      </c>
      <c r="O464">
        <f>IF(AND($C464 = Temp!$K$1, $B464 = Temp!$A$16),$D464,0)</f>
        <v>0</v>
      </c>
    </row>
    <row r="465" spans="2:15" hidden="1" x14ac:dyDescent="0.2">
      <c r="B465" t="s">
        <v>280</v>
      </c>
      <c r="C465" t="s">
        <v>260</v>
      </c>
      <c r="D465">
        <v>4</v>
      </c>
      <c r="F465">
        <f>IF(AND($C465 = Temp!$B$1, $B465 = Temp!$A$16),$D465,0)</f>
        <v>0</v>
      </c>
      <c r="G465">
        <f>IF(AND($C465 = Temp!$C$1, $B465 = Temp!$A$16),$D465,0)</f>
        <v>0</v>
      </c>
      <c r="H465">
        <f>IF(AND($C465 = Temp!$D$1, $B465 = Temp!$A$16),$D465,0)</f>
        <v>0</v>
      </c>
      <c r="I465">
        <f>IF(AND($C465 = Temp!$E$1, $B465 = Temp!$A$16),$D465,0)</f>
        <v>0</v>
      </c>
      <c r="J465">
        <f>IF(AND($C465 = Temp!$F$1, $B465 = Temp!$A$16),$D465,0)</f>
        <v>0</v>
      </c>
      <c r="K465">
        <f>IF(AND($C465 = Temp!$G$1, $B465 = Temp!$A$16),$D465,0)</f>
        <v>0</v>
      </c>
      <c r="L465">
        <f>IF(AND($C465 = Temp!$H$1, $B465 = Temp!$A$16),$D465,0)</f>
        <v>0</v>
      </c>
      <c r="M465">
        <f>IF(AND($C465 = Temp!$I$1, $B465 = Temp!$A$16),$D465,0)</f>
        <v>0</v>
      </c>
      <c r="N465">
        <f>IF(AND($C465 = Temp!$J$1, $B465 = Temp!$A$16),$D465,0)</f>
        <v>0</v>
      </c>
      <c r="O465">
        <f>IF(AND($C465 = Temp!$K$1, $B465 = Temp!$A$16),$D465,0)</f>
        <v>0</v>
      </c>
    </row>
    <row r="466" spans="2:15" hidden="1" x14ac:dyDescent="0.2">
      <c r="B466" t="s">
        <v>280</v>
      </c>
      <c r="C466" t="s">
        <v>260</v>
      </c>
      <c r="D466">
        <v>4.5</v>
      </c>
      <c r="F466">
        <f>IF(AND($C466 = Temp!$B$1, $B466 = Temp!$A$16),$D466,0)</f>
        <v>0</v>
      </c>
      <c r="G466">
        <f>IF(AND($C466 = Temp!$C$1, $B466 = Temp!$A$16),$D466,0)</f>
        <v>0</v>
      </c>
      <c r="H466">
        <f>IF(AND($C466 = Temp!$D$1, $B466 = Temp!$A$16),$D466,0)</f>
        <v>0</v>
      </c>
      <c r="I466">
        <f>IF(AND($C466 = Temp!$E$1, $B466 = Temp!$A$16),$D466,0)</f>
        <v>0</v>
      </c>
      <c r="J466">
        <f>IF(AND($C466 = Temp!$F$1, $B466 = Temp!$A$16),$D466,0)</f>
        <v>0</v>
      </c>
      <c r="K466">
        <f>IF(AND($C466 = Temp!$G$1, $B466 = Temp!$A$16),$D466,0)</f>
        <v>0</v>
      </c>
      <c r="L466">
        <f>IF(AND($C466 = Temp!$H$1, $B466 = Temp!$A$16),$D466,0)</f>
        <v>0</v>
      </c>
      <c r="M466">
        <f>IF(AND($C466 = Temp!$I$1, $B466 = Temp!$A$16),$D466,0)</f>
        <v>0</v>
      </c>
      <c r="N466">
        <f>IF(AND($C466 = Temp!$J$1, $B466 = Temp!$A$16),$D466,0)</f>
        <v>0</v>
      </c>
      <c r="O466">
        <f>IF(AND($C466 = Temp!$K$1, $B466 = Temp!$A$16),$D466,0)</f>
        <v>0</v>
      </c>
    </row>
    <row r="467" spans="2:15" hidden="1" x14ac:dyDescent="0.2">
      <c r="B467" t="s">
        <v>280</v>
      </c>
      <c r="C467" t="s">
        <v>260</v>
      </c>
      <c r="D467">
        <v>2.5</v>
      </c>
      <c r="F467">
        <f>IF(AND($C467 = Temp!$B$1, $B467 = Temp!$A$16),$D467,0)</f>
        <v>0</v>
      </c>
      <c r="G467">
        <f>IF(AND($C467 = Temp!$C$1, $B467 = Temp!$A$16),$D467,0)</f>
        <v>0</v>
      </c>
      <c r="H467">
        <f>IF(AND($C467 = Temp!$D$1, $B467 = Temp!$A$16),$D467,0)</f>
        <v>0</v>
      </c>
      <c r="I467">
        <f>IF(AND($C467 = Temp!$E$1, $B467 = Temp!$A$16),$D467,0)</f>
        <v>0</v>
      </c>
      <c r="J467">
        <f>IF(AND($C467 = Temp!$F$1, $B467 = Temp!$A$16),$D467,0)</f>
        <v>0</v>
      </c>
      <c r="K467">
        <f>IF(AND($C467 = Temp!$G$1, $B467 = Temp!$A$16),$D467,0)</f>
        <v>0</v>
      </c>
      <c r="L467">
        <f>IF(AND($C467 = Temp!$H$1, $B467 = Temp!$A$16),$D467,0)</f>
        <v>0</v>
      </c>
      <c r="M467">
        <f>IF(AND($C467 = Temp!$I$1, $B467 = Temp!$A$16),$D467,0)</f>
        <v>0</v>
      </c>
      <c r="N467">
        <f>IF(AND($C467 = Temp!$J$1, $B467 = Temp!$A$16),$D467,0)</f>
        <v>0</v>
      </c>
      <c r="O467">
        <f>IF(AND($C467 = Temp!$K$1, $B467 = Temp!$A$16),$D467,0)</f>
        <v>0</v>
      </c>
    </row>
    <row r="468" spans="2:15" hidden="1" x14ac:dyDescent="0.2">
      <c r="B468" t="s">
        <v>280</v>
      </c>
      <c r="C468" t="s">
        <v>261</v>
      </c>
      <c r="D468">
        <v>0.1</v>
      </c>
      <c r="F468">
        <f>IF(AND($C468 = Temp!$B$1, $B468 = Temp!$A$16),$D468,0)</f>
        <v>0</v>
      </c>
      <c r="G468">
        <f>IF(AND($C468 = Temp!$C$1, $B468 = Temp!$A$16),$D468,0)</f>
        <v>0</v>
      </c>
      <c r="H468">
        <f>IF(AND($C468 = Temp!$D$1, $B468 = Temp!$A$16),$D468,0)</f>
        <v>0</v>
      </c>
      <c r="I468">
        <f>IF(AND($C468 = Temp!$E$1, $B468 = Temp!$A$16),$D468,0)</f>
        <v>0</v>
      </c>
      <c r="J468">
        <f>IF(AND($C468 = Temp!$F$1, $B468 = Temp!$A$16),$D468,0)</f>
        <v>0</v>
      </c>
      <c r="K468">
        <f>IF(AND($C468 = Temp!$G$1, $B468 = Temp!$A$16),$D468,0)</f>
        <v>0</v>
      </c>
      <c r="L468">
        <f>IF(AND($C468 = Temp!$H$1, $B468 = Temp!$A$16),$D468,0)</f>
        <v>0</v>
      </c>
      <c r="M468">
        <f>IF(AND($C468 = Temp!$I$1, $B468 = Temp!$A$16),$D468,0)</f>
        <v>0</v>
      </c>
      <c r="N468">
        <f>IF(AND($C468 = Temp!$J$1, $B468 = Temp!$A$16),$D468,0)</f>
        <v>0</v>
      </c>
      <c r="O468">
        <f>IF(AND($C468 = Temp!$K$1, $B468 = Temp!$A$16),$D468,0)</f>
        <v>0</v>
      </c>
    </row>
    <row r="469" spans="2:15" hidden="1" x14ac:dyDescent="0.2">
      <c r="B469" t="s">
        <v>280</v>
      </c>
      <c r="C469" t="s">
        <v>260</v>
      </c>
      <c r="D469">
        <v>3</v>
      </c>
      <c r="F469">
        <f>IF(AND($C469 = Temp!$B$1, $B469 = Temp!$A$16),$D469,0)</f>
        <v>0</v>
      </c>
      <c r="G469">
        <f>IF(AND($C469 = Temp!$C$1, $B469 = Temp!$A$16),$D469,0)</f>
        <v>0</v>
      </c>
      <c r="H469">
        <f>IF(AND($C469 = Temp!$D$1, $B469 = Temp!$A$16),$D469,0)</f>
        <v>0</v>
      </c>
      <c r="I469">
        <f>IF(AND($C469 = Temp!$E$1, $B469 = Temp!$A$16),$D469,0)</f>
        <v>0</v>
      </c>
      <c r="J469">
        <f>IF(AND($C469 = Temp!$F$1, $B469 = Temp!$A$16),$D469,0)</f>
        <v>0</v>
      </c>
      <c r="K469">
        <f>IF(AND($C469 = Temp!$G$1, $B469 = Temp!$A$16),$D469,0)</f>
        <v>0</v>
      </c>
      <c r="L469">
        <f>IF(AND($C469 = Temp!$H$1, $B469 = Temp!$A$16),$D469,0)</f>
        <v>0</v>
      </c>
      <c r="M469">
        <f>IF(AND($C469 = Temp!$I$1, $B469 = Temp!$A$16),$D469,0)</f>
        <v>0</v>
      </c>
      <c r="N469">
        <f>IF(AND($C469 = Temp!$J$1, $B469 = Temp!$A$16),$D469,0)</f>
        <v>0</v>
      </c>
      <c r="O469">
        <f>IF(AND($C469 = Temp!$K$1, $B469 = Temp!$A$16),$D469,0)</f>
        <v>0</v>
      </c>
    </row>
    <row r="470" spans="2:15" hidden="1" x14ac:dyDescent="0.2">
      <c r="B470" t="s">
        <v>280</v>
      </c>
      <c r="C470" t="s">
        <v>260</v>
      </c>
      <c r="D470">
        <v>1</v>
      </c>
      <c r="F470">
        <f>IF(AND($C470 = Temp!$B$1, $B470 = Temp!$A$16),$D470,0)</f>
        <v>0</v>
      </c>
      <c r="G470">
        <f>IF(AND($C470 = Temp!$C$1, $B470 = Temp!$A$16),$D470,0)</f>
        <v>0</v>
      </c>
      <c r="H470">
        <f>IF(AND($C470 = Temp!$D$1, $B470 = Temp!$A$16),$D470,0)</f>
        <v>0</v>
      </c>
      <c r="I470">
        <f>IF(AND($C470 = Temp!$E$1, $B470 = Temp!$A$16),$D470,0)</f>
        <v>0</v>
      </c>
      <c r="J470">
        <f>IF(AND($C470 = Temp!$F$1, $B470 = Temp!$A$16),$D470,0)</f>
        <v>0</v>
      </c>
      <c r="K470">
        <f>IF(AND($C470 = Temp!$G$1, $B470 = Temp!$A$16),$D470,0)</f>
        <v>0</v>
      </c>
      <c r="L470">
        <f>IF(AND($C470 = Temp!$H$1, $B470 = Temp!$A$16),$D470,0)</f>
        <v>0</v>
      </c>
      <c r="M470">
        <f>IF(AND($C470 = Temp!$I$1, $B470 = Temp!$A$16),$D470,0)</f>
        <v>0</v>
      </c>
      <c r="N470">
        <f>IF(AND($C470 = Temp!$J$1, $B470 = Temp!$A$16),$D470,0)</f>
        <v>0</v>
      </c>
      <c r="O470">
        <f>IF(AND($C470 = Temp!$K$1, $B470 = Temp!$A$16),$D470,0)</f>
        <v>0</v>
      </c>
    </row>
    <row r="471" spans="2:15" hidden="1" x14ac:dyDescent="0.2">
      <c r="B471" t="s">
        <v>280</v>
      </c>
      <c r="C471" t="s">
        <v>260</v>
      </c>
      <c r="D471">
        <v>1.4</v>
      </c>
      <c r="F471">
        <f>IF(AND($C471 = Temp!$B$1, $B471 = Temp!$A$16),$D471,0)</f>
        <v>0</v>
      </c>
      <c r="G471">
        <f>IF(AND($C471 = Temp!$C$1, $B471 = Temp!$A$16),$D471,0)</f>
        <v>0</v>
      </c>
      <c r="H471">
        <f>IF(AND($C471 = Temp!$D$1, $B471 = Temp!$A$16),$D471,0)</f>
        <v>0</v>
      </c>
      <c r="I471">
        <f>IF(AND($C471 = Temp!$E$1, $B471 = Temp!$A$16),$D471,0)</f>
        <v>0</v>
      </c>
      <c r="J471">
        <f>IF(AND($C471 = Temp!$F$1, $B471 = Temp!$A$16),$D471,0)</f>
        <v>0</v>
      </c>
      <c r="K471">
        <f>IF(AND($C471 = Temp!$G$1, $B471 = Temp!$A$16),$D471,0)</f>
        <v>0</v>
      </c>
      <c r="L471">
        <f>IF(AND($C471 = Temp!$H$1, $B471 = Temp!$A$16),$D471,0)</f>
        <v>0</v>
      </c>
      <c r="M471">
        <f>IF(AND($C471 = Temp!$I$1, $B471 = Temp!$A$16),$D471,0)</f>
        <v>0</v>
      </c>
      <c r="N471">
        <f>IF(AND($C471 = Temp!$J$1, $B471 = Temp!$A$16),$D471,0)</f>
        <v>0</v>
      </c>
      <c r="O471">
        <f>IF(AND($C471 = Temp!$K$1, $B471 = Temp!$A$16),$D471,0)</f>
        <v>0</v>
      </c>
    </row>
    <row r="472" spans="2:15" hidden="1" x14ac:dyDescent="0.2">
      <c r="B472" t="s">
        <v>280</v>
      </c>
      <c r="C472" t="s">
        <v>261</v>
      </c>
      <c r="D472">
        <v>0.5</v>
      </c>
      <c r="F472">
        <f>IF(AND($C472 = Temp!$B$1, $B472 = Temp!$A$16),$D472,0)</f>
        <v>0</v>
      </c>
      <c r="G472">
        <f>IF(AND($C472 = Temp!$C$1, $B472 = Temp!$A$16),$D472,0)</f>
        <v>0</v>
      </c>
      <c r="H472">
        <f>IF(AND($C472 = Temp!$D$1, $B472 = Temp!$A$16),$D472,0)</f>
        <v>0</v>
      </c>
      <c r="I472">
        <f>IF(AND($C472 = Temp!$E$1, $B472 = Temp!$A$16),$D472,0)</f>
        <v>0</v>
      </c>
      <c r="J472">
        <f>IF(AND($C472 = Temp!$F$1, $B472 = Temp!$A$16),$D472,0)</f>
        <v>0</v>
      </c>
      <c r="K472">
        <f>IF(AND($C472 = Temp!$G$1, $B472 = Temp!$A$16),$D472,0)</f>
        <v>0</v>
      </c>
      <c r="L472">
        <f>IF(AND($C472 = Temp!$H$1, $B472 = Temp!$A$16),$D472,0)</f>
        <v>0</v>
      </c>
      <c r="M472">
        <f>IF(AND($C472 = Temp!$I$1, $B472 = Temp!$A$16),$D472,0)</f>
        <v>0</v>
      </c>
      <c r="N472">
        <f>IF(AND($C472 = Temp!$J$1, $B472 = Temp!$A$16),$D472,0)</f>
        <v>0</v>
      </c>
      <c r="O472">
        <f>IF(AND($C472 = Temp!$K$1, $B472 = Temp!$A$16),$D472,0)</f>
        <v>0</v>
      </c>
    </row>
    <row r="473" spans="2:15" hidden="1" x14ac:dyDescent="0.2">
      <c r="B473" t="s">
        <v>280</v>
      </c>
      <c r="C473" t="s">
        <v>261</v>
      </c>
      <c r="D473">
        <v>0.2</v>
      </c>
      <c r="F473">
        <f>IF(AND($C473 = Temp!$B$1, $B473 = Temp!$A$16),$D473,0)</f>
        <v>0</v>
      </c>
      <c r="G473">
        <f>IF(AND($C473 = Temp!$C$1, $B473 = Temp!$A$16),$D473,0)</f>
        <v>0</v>
      </c>
      <c r="H473">
        <f>IF(AND($C473 = Temp!$D$1, $B473 = Temp!$A$16),$D473,0)</f>
        <v>0</v>
      </c>
      <c r="I473">
        <f>IF(AND($C473 = Temp!$E$1, $B473 = Temp!$A$16),$D473,0)</f>
        <v>0</v>
      </c>
      <c r="J473">
        <f>IF(AND($C473 = Temp!$F$1, $B473 = Temp!$A$16),$D473,0)</f>
        <v>0</v>
      </c>
      <c r="K473">
        <f>IF(AND($C473 = Temp!$G$1, $B473 = Temp!$A$16),$D473,0)</f>
        <v>0</v>
      </c>
      <c r="L473">
        <f>IF(AND($C473 = Temp!$H$1, $B473 = Temp!$A$16),$D473,0)</f>
        <v>0</v>
      </c>
      <c r="M473">
        <f>IF(AND($C473 = Temp!$I$1, $B473 = Temp!$A$16),$D473,0)</f>
        <v>0</v>
      </c>
      <c r="N473">
        <f>IF(AND($C473 = Temp!$J$1, $B473 = Temp!$A$16),$D473,0)</f>
        <v>0</v>
      </c>
      <c r="O473">
        <f>IF(AND($C473 = Temp!$K$1, $B473 = Temp!$A$16),$D473,0)</f>
        <v>0</v>
      </c>
    </row>
    <row r="474" spans="2:15" hidden="1" x14ac:dyDescent="0.2">
      <c r="B474" t="s">
        <v>280</v>
      </c>
      <c r="C474" t="s">
        <v>261</v>
      </c>
      <c r="D474">
        <v>0.1</v>
      </c>
      <c r="F474">
        <f>IF(AND($C474 = Temp!$B$1, $B474 = Temp!$A$16),$D474,0)</f>
        <v>0</v>
      </c>
      <c r="G474">
        <f>IF(AND($C474 = Temp!$C$1, $B474 = Temp!$A$16),$D474,0)</f>
        <v>0</v>
      </c>
      <c r="H474">
        <f>IF(AND($C474 = Temp!$D$1, $B474 = Temp!$A$16),$D474,0)</f>
        <v>0</v>
      </c>
      <c r="I474">
        <f>IF(AND($C474 = Temp!$E$1, $B474 = Temp!$A$16),$D474,0)</f>
        <v>0</v>
      </c>
      <c r="J474">
        <f>IF(AND($C474 = Temp!$F$1, $B474 = Temp!$A$16),$D474,0)</f>
        <v>0</v>
      </c>
      <c r="K474">
        <f>IF(AND($C474 = Temp!$G$1, $B474 = Temp!$A$16),$D474,0)</f>
        <v>0</v>
      </c>
      <c r="L474">
        <f>IF(AND($C474 = Temp!$H$1, $B474 = Temp!$A$16),$D474,0)</f>
        <v>0</v>
      </c>
      <c r="M474">
        <f>IF(AND($C474 = Temp!$I$1, $B474 = Temp!$A$16),$D474,0)</f>
        <v>0</v>
      </c>
      <c r="N474">
        <f>IF(AND($C474 = Temp!$J$1, $B474 = Temp!$A$16),$D474,0)</f>
        <v>0</v>
      </c>
      <c r="O474">
        <f>IF(AND($C474 = Temp!$K$1, $B474 = Temp!$A$16),$D474,0)</f>
        <v>0</v>
      </c>
    </row>
    <row r="475" spans="2:15" hidden="1" x14ac:dyDescent="0.2">
      <c r="B475" t="s">
        <v>280</v>
      </c>
      <c r="C475" t="s">
        <v>260</v>
      </c>
      <c r="D475">
        <v>1</v>
      </c>
      <c r="F475">
        <f>IF(AND($C475 = Temp!$B$1, $B475 = Temp!$A$16),$D475,0)</f>
        <v>0</v>
      </c>
      <c r="G475">
        <f>IF(AND($C475 = Temp!$C$1, $B475 = Temp!$A$16),$D475,0)</f>
        <v>0</v>
      </c>
      <c r="H475">
        <f>IF(AND($C475 = Temp!$D$1, $B475 = Temp!$A$16),$D475,0)</f>
        <v>0</v>
      </c>
      <c r="I475">
        <f>IF(AND($C475 = Temp!$E$1, $B475 = Temp!$A$16),$D475,0)</f>
        <v>0</v>
      </c>
      <c r="J475">
        <f>IF(AND($C475 = Temp!$F$1, $B475 = Temp!$A$16),$D475,0)</f>
        <v>0</v>
      </c>
      <c r="K475">
        <f>IF(AND($C475 = Temp!$G$1, $B475 = Temp!$A$16),$D475,0)</f>
        <v>0</v>
      </c>
      <c r="L475">
        <f>IF(AND($C475 = Temp!$H$1, $B475 = Temp!$A$16),$D475,0)</f>
        <v>0</v>
      </c>
      <c r="M475">
        <f>IF(AND($C475 = Temp!$I$1, $B475 = Temp!$A$16),$D475,0)</f>
        <v>0</v>
      </c>
      <c r="N475">
        <f>IF(AND($C475 = Temp!$J$1, $B475 = Temp!$A$16),$D475,0)</f>
        <v>0</v>
      </c>
      <c r="O475">
        <f>IF(AND($C475 = Temp!$K$1, $B475 = Temp!$A$16),$D475,0)</f>
        <v>0</v>
      </c>
    </row>
    <row r="476" spans="2:15" hidden="1" x14ac:dyDescent="0.2">
      <c r="B476" t="s">
        <v>280</v>
      </c>
      <c r="C476" t="s">
        <v>260</v>
      </c>
      <c r="D476">
        <v>6</v>
      </c>
      <c r="F476">
        <f>IF(AND($C476 = Temp!$B$1, $B476 = Temp!$A$16),$D476,0)</f>
        <v>0</v>
      </c>
      <c r="G476">
        <f>IF(AND($C476 = Temp!$C$1, $B476 = Temp!$A$16),$D476,0)</f>
        <v>0</v>
      </c>
      <c r="H476">
        <f>IF(AND($C476 = Temp!$D$1, $B476 = Temp!$A$16),$D476,0)</f>
        <v>0</v>
      </c>
      <c r="I476">
        <f>IF(AND($C476 = Temp!$E$1, $B476 = Temp!$A$16),$D476,0)</f>
        <v>0</v>
      </c>
      <c r="J476">
        <f>IF(AND($C476 = Temp!$F$1, $B476 = Temp!$A$16),$D476,0)</f>
        <v>0</v>
      </c>
      <c r="K476">
        <f>IF(AND($C476 = Temp!$G$1, $B476 = Temp!$A$16),$D476,0)</f>
        <v>0</v>
      </c>
      <c r="L476">
        <f>IF(AND($C476 = Temp!$H$1, $B476 = Temp!$A$16),$D476,0)</f>
        <v>0</v>
      </c>
      <c r="M476">
        <f>IF(AND($C476 = Temp!$I$1, $B476 = Temp!$A$16),$D476,0)</f>
        <v>0</v>
      </c>
      <c r="N476">
        <f>IF(AND($C476 = Temp!$J$1, $B476 = Temp!$A$16),$D476,0)</f>
        <v>0</v>
      </c>
      <c r="O476">
        <f>IF(AND($C476 = Temp!$K$1, $B476 = Temp!$A$16),$D476,0)</f>
        <v>0</v>
      </c>
    </row>
    <row r="477" spans="2:15" hidden="1" x14ac:dyDescent="0.2">
      <c r="B477" t="s">
        <v>280</v>
      </c>
      <c r="C477" t="s">
        <v>260</v>
      </c>
      <c r="D477">
        <v>3</v>
      </c>
      <c r="F477">
        <f>IF(AND($C477 = Temp!$B$1, $B477 = Temp!$A$16),$D477,0)</f>
        <v>0</v>
      </c>
      <c r="G477">
        <f>IF(AND($C477 = Temp!$C$1, $B477 = Temp!$A$16),$D477,0)</f>
        <v>0</v>
      </c>
      <c r="H477">
        <f>IF(AND($C477 = Temp!$D$1, $B477 = Temp!$A$16),$D477,0)</f>
        <v>0</v>
      </c>
      <c r="I477">
        <f>IF(AND($C477 = Temp!$E$1, $B477 = Temp!$A$16),$D477,0)</f>
        <v>0</v>
      </c>
      <c r="J477">
        <f>IF(AND($C477 = Temp!$F$1, $B477 = Temp!$A$16),$D477,0)</f>
        <v>0</v>
      </c>
      <c r="K477">
        <f>IF(AND($C477 = Temp!$G$1, $B477 = Temp!$A$16),$D477,0)</f>
        <v>0</v>
      </c>
      <c r="L477">
        <f>IF(AND($C477 = Temp!$H$1, $B477 = Temp!$A$16),$D477,0)</f>
        <v>0</v>
      </c>
      <c r="M477">
        <f>IF(AND($C477 = Temp!$I$1, $B477 = Temp!$A$16),$D477,0)</f>
        <v>0</v>
      </c>
      <c r="N477">
        <f>IF(AND($C477 = Temp!$J$1, $B477 = Temp!$A$16),$D477,0)</f>
        <v>0</v>
      </c>
      <c r="O477">
        <f>IF(AND($C477 = Temp!$K$1, $B477 = Temp!$A$16),$D477,0)</f>
        <v>0</v>
      </c>
    </row>
    <row r="478" spans="2:15" hidden="1" x14ac:dyDescent="0.2">
      <c r="B478" t="s">
        <v>280</v>
      </c>
      <c r="C478" t="s">
        <v>260</v>
      </c>
      <c r="D478">
        <v>2</v>
      </c>
      <c r="F478">
        <f>IF(AND($C478 = Temp!$B$1, $B478 = Temp!$A$16),$D478,0)</f>
        <v>0</v>
      </c>
      <c r="G478">
        <f>IF(AND($C478 = Temp!$C$1, $B478 = Temp!$A$16),$D478,0)</f>
        <v>0</v>
      </c>
      <c r="H478">
        <f>IF(AND($C478 = Temp!$D$1, $B478 = Temp!$A$16),$D478,0)</f>
        <v>0</v>
      </c>
      <c r="I478">
        <f>IF(AND($C478 = Temp!$E$1, $B478 = Temp!$A$16),$D478,0)</f>
        <v>0</v>
      </c>
      <c r="J478">
        <f>IF(AND($C478 = Temp!$F$1, $B478 = Temp!$A$16),$D478,0)</f>
        <v>0</v>
      </c>
      <c r="K478">
        <f>IF(AND($C478 = Temp!$G$1, $B478 = Temp!$A$16),$D478,0)</f>
        <v>0</v>
      </c>
      <c r="L478">
        <f>IF(AND($C478 = Temp!$H$1, $B478 = Temp!$A$16),$D478,0)</f>
        <v>0</v>
      </c>
      <c r="M478">
        <f>IF(AND($C478 = Temp!$I$1, $B478 = Temp!$A$16),$D478,0)</f>
        <v>0</v>
      </c>
      <c r="N478">
        <f>IF(AND($C478 = Temp!$J$1, $B478 = Temp!$A$16),$D478,0)</f>
        <v>0</v>
      </c>
      <c r="O478">
        <f>IF(AND($C478 = Temp!$K$1, $B478 = Temp!$A$16),$D478,0)</f>
        <v>0</v>
      </c>
    </row>
    <row r="479" spans="2:15" hidden="1" x14ac:dyDescent="0.2">
      <c r="B479" t="s">
        <v>280</v>
      </c>
      <c r="C479" t="s">
        <v>260</v>
      </c>
      <c r="D479">
        <v>1</v>
      </c>
      <c r="F479">
        <f>IF(AND($C479 = Temp!$B$1, $B479 = Temp!$A$16),$D479,0)</f>
        <v>0</v>
      </c>
      <c r="G479">
        <f>IF(AND($C479 = Temp!$C$1, $B479 = Temp!$A$16),$D479,0)</f>
        <v>0</v>
      </c>
      <c r="H479">
        <f>IF(AND($C479 = Temp!$D$1, $B479 = Temp!$A$16),$D479,0)</f>
        <v>0</v>
      </c>
      <c r="I479">
        <f>IF(AND($C479 = Temp!$E$1, $B479 = Temp!$A$16),$D479,0)</f>
        <v>0</v>
      </c>
      <c r="J479">
        <f>IF(AND($C479 = Temp!$F$1, $B479 = Temp!$A$16),$D479,0)</f>
        <v>0</v>
      </c>
      <c r="K479">
        <f>IF(AND($C479 = Temp!$G$1, $B479 = Temp!$A$16),$D479,0)</f>
        <v>0</v>
      </c>
      <c r="L479">
        <f>IF(AND($C479 = Temp!$H$1, $B479 = Temp!$A$16),$D479,0)</f>
        <v>0</v>
      </c>
      <c r="M479">
        <f>IF(AND($C479 = Temp!$I$1, $B479 = Temp!$A$16),$D479,0)</f>
        <v>0</v>
      </c>
      <c r="N479">
        <f>IF(AND($C479 = Temp!$J$1, $B479 = Temp!$A$16),$D479,0)</f>
        <v>0</v>
      </c>
      <c r="O479">
        <f>IF(AND($C479 = Temp!$K$1, $B479 = Temp!$A$16),$D479,0)</f>
        <v>0</v>
      </c>
    </row>
    <row r="480" spans="2:15" ht="15" hidden="1" x14ac:dyDescent="0.2">
      <c r="B480" t="s">
        <v>396</v>
      </c>
      <c r="C480" s="6" t="s">
        <v>219</v>
      </c>
      <c r="D480" s="7">
        <v>1</v>
      </c>
      <c r="E480" s="7"/>
      <c r="F480">
        <f>IF(AND($C480 = Temp!$B$1, $B480 = Temp!$A$16),$D480,0)</f>
        <v>0</v>
      </c>
      <c r="G480">
        <f>IF(AND($C480 = Temp!$C$1, $B480 = Temp!$A$16),$D480,0)</f>
        <v>0</v>
      </c>
      <c r="H480">
        <f>IF(AND($C480 = Temp!$D$1, $B480 = Temp!$A$16),$D480,0)</f>
        <v>0</v>
      </c>
      <c r="I480">
        <f>IF(AND($C480 = Temp!$E$1, $B480 = Temp!$A$16),$D480,0)</f>
        <v>0</v>
      </c>
      <c r="J480">
        <f>IF(AND($C480 = Temp!$F$1, $B480 = Temp!$A$16),$D480,0)</f>
        <v>0</v>
      </c>
      <c r="K480">
        <f>IF(AND($C480 = Temp!$G$1, $B480 = Temp!$A$16),$D480,0)</f>
        <v>0</v>
      </c>
      <c r="L480">
        <f>IF(AND($C480 = Temp!$H$1, $B480 = Temp!$A$16),$D480,0)</f>
        <v>0</v>
      </c>
      <c r="M480">
        <f>IF(AND($C480 = Temp!$I$1, $B480 = Temp!$A$16),$D480,0)</f>
        <v>0</v>
      </c>
      <c r="N480">
        <f>IF(AND($C480 = Temp!$J$1, $B480 = Temp!$A$16),$D480,0)</f>
        <v>0</v>
      </c>
      <c r="O480">
        <f>IF(AND($C480 = Temp!$K$1, $B480 = Temp!$A$16),$D480,0)</f>
        <v>0</v>
      </c>
    </row>
    <row r="481" spans="2:15" hidden="1" x14ac:dyDescent="0.2">
      <c r="B481" t="s">
        <v>396</v>
      </c>
      <c r="C481" s="4" t="s">
        <v>261</v>
      </c>
      <c r="D481" s="7">
        <v>0.5</v>
      </c>
      <c r="E481" s="7"/>
      <c r="F481">
        <f>IF(AND($C481 = Temp!$B$1, $B481 = Temp!$A$16),$D481,0)</f>
        <v>0</v>
      </c>
      <c r="G481">
        <f>IF(AND($C481 = Temp!$C$1, $B481 = Temp!$A$16),$D481,0)</f>
        <v>0</v>
      </c>
      <c r="H481">
        <f>IF(AND($C481 = Temp!$D$1, $B481 = Temp!$A$16),$D481,0)</f>
        <v>0</v>
      </c>
      <c r="I481">
        <f>IF(AND($C481 = Temp!$E$1, $B481 = Temp!$A$16),$D481,0)</f>
        <v>0</v>
      </c>
      <c r="J481">
        <f>IF(AND($C481 = Temp!$F$1, $B481 = Temp!$A$16),$D481,0)</f>
        <v>0</v>
      </c>
      <c r="K481">
        <f>IF(AND($C481 = Temp!$G$1, $B481 = Temp!$A$16),$D481,0)</f>
        <v>0</v>
      </c>
      <c r="L481">
        <f>IF(AND($C481 = Temp!$H$1, $B481 = Temp!$A$16),$D481,0)</f>
        <v>0</v>
      </c>
      <c r="M481">
        <f>IF(AND($C481 = Temp!$I$1, $B481 = Temp!$A$16),$D481,0)</f>
        <v>0</v>
      </c>
      <c r="N481">
        <f>IF(AND($C481 = Temp!$J$1, $B481 = Temp!$A$16),$D481,0)</f>
        <v>0</v>
      </c>
      <c r="O481">
        <f>IF(AND($C481 = Temp!$K$1, $B481 = Temp!$A$16),$D481,0)</f>
        <v>0</v>
      </c>
    </row>
    <row r="482" spans="2:15" hidden="1" x14ac:dyDescent="0.2">
      <c r="B482" t="s">
        <v>396</v>
      </c>
      <c r="C482" s="4" t="s">
        <v>261</v>
      </c>
      <c r="D482" s="7">
        <v>0.2</v>
      </c>
      <c r="E482" s="7"/>
      <c r="F482">
        <f>IF(AND($C482 = Temp!$B$1, $B482 = Temp!$A$16),$D482,0)</f>
        <v>0</v>
      </c>
      <c r="G482">
        <f>IF(AND($C482 = Temp!$C$1, $B482 = Temp!$A$16),$D482,0)</f>
        <v>0</v>
      </c>
      <c r="H482">
        <f>IF(AND($C482 = Temp!$D$1, $B482 = Temp!$A$16),$D482,0)</f>
        <v>0</v>
      </c>
      <c r="I482">
        <f>IF(AND($C482 = Temp!$E$1, $B482 = Temp!$A$16),$D482,0)</f>
        <v>0</v>
      </c>
      <c r="J482">
        <f>IF(AND($C482 = Temp!$F$1, $B482 = Temp!$A$16),$D482,0)</f>
        <v>0</v>
      </c>
      <c r="K482">
        <f>IF(AND($C482 = Temp!$G$1, $B482 = Temp!$A$16),$D482,0)</f>
        <v>0</v>
      </c>
      <c r="L482">
        <f>IF(AND($C482 = Temp!$H$1, $B482 = Temp!$A$16),$D482,0)</f>
        <v>0</v>
      </c>
      <c r="M482">
        <f>IF(AND($C482 = Temp!$I$1, $B482 = Temp!$A$16),$D482,0)</f>
        <v>0</v>
      </c>
      <c r="N482">
        <f>IF(AND($C482 = Temp!$J$1, $B482 = Temp!$A$16),$D482,0)</f>
        <v>0</v>
      </c>
      <c r="O482">
        <f>IF(AND($C482 = Temp!$K$1, $B482 = Temp!$A$16),$D482,0)</f>
        <v>0</v>
      </c>
    </row>
    <row r="483" spans="2:15" hidden="1" x14ac:dyDescent="0.2">
      <c r="B483" t="s">
        <v>396</v>
      </c>
      <c r="C483" s="4" t="s">
        <v>279</v>
      </c>
      <c r="D483" s="7">
        <v>1</v>
      </c>
      <c r="E483" s="7"/>
      <c r="F483">
        <f>IF(AND($C483 = Temp!$B$1, $B483 = Temp!$A$16),$D483,0)</f>
        <v>0</v>
      </c>
      <c r="G483">
        <f>IF(AND($C483 = Temp!$C$1, $B483 = Temp!$A$16),$D483,0)</f>
        <v>0</v>
      </c>
      <c r="H483">
        <f>IF(AND($C483 = Temp!$D$1, $B483 = Temp!$A$16),$D483,0)</f>
        <v>0</v>
      </c>
      <c r="I483">
        <f>IF(AND($C483 = Temp!$E$1, $B483 = Temp!$A$16),$D483,0)</f>
        <v>0</v>
      </c>
      <c r="J483">
        <f>IF(AND($C483 = Temp!$F$1, $B483 = Temp!$A$16),$D483,0)</f>
        <v>0</v>
      </c>
      <c r="K483">
        <f>IF(AND($C483 = Temp!$G$1, $B483 = Temp!$A$16),$D483,0)</f>
        <v>0</v>
      </c>
      <c r="L483">
        <f>IF(AND($C483 = Temp!$H$1, $B483 = Temp!$A$16),$D483,0)</f>
        <v>0</v>
      </c>
      <c r="M483">
        <f>IF(AND($C483 = Temp!$I$1, $B483 = Temp!$A$16),$D483,0)</f>
        <v>0</v>
      </c>
      <c r="N483">
        <f>IF(AND($C483 = Temp!$J$1, $B483 = Temp!$A$16),$D483,0)</f>
        <v>0</v>
      </c>
      <c r="O483">
        <f>IF(AND($C483 = Temp!$K$1, $B483 = Temp!$A$16),$D483,0)</f>
        <v>0</v>
      </c>
    </row>
    <row r="484" spans="2:15" hidden="1" x14ac:dyDescent="0.2">
      <c r="B484" t="s">
        <v>396</v>
      </c>
      <c r="C484" s="4" t="s">
        <v>260</v>
      </c>
      <c r="D484" s="7">
        <v>1</v>
      </c>
      <c r="E484" s="7"/>
      <c r="F484">
        <f>IF(AND($C484 = Temp!$B$1, $B484 = Temp!$A$16),$D484,0)</f>
        <v>0</v>
      </c>
      <c r="G484">
        <f>IF(AND($C484 = Temp!$C$1, $B484 = Temp!$A$16),$D484,0)</f>
        <v>0</v>
      </c>
      <c r="H484">
        <f>IF(AND($C484 = Temp!$D$1, $B484 = Temp!$A$16),$D484,0)</f>
        <v>0</v>
      </c>
      <c r="I484">
        <f>IF(AND($C484 = Temp!$E$1, $B484 = Temp!$A$16),$D484,0)</f>
        <v>0</v>
      </c>
      <c r="J484">
        <f>IF(AND($C484 = Temp!$F$1, $B484 = Temp!$A$16),$D484,0)</f>
        <v>0</v>
      </c>
      <c r="K484">
        <f>IF(AND($C484 = Temp!$G$1, $B484 = Temp!$A$16),$D484,0)</f>
        <v>0</v>
      </c>
      <c r="L484">
        <f>IF(AND($C484 = Temp!$H$1, $B484 = Temp!$A$16),$D484,0)</f>
        <v>0</v>
      </c>
      <c r="M484">
        <f>IF(AND($C484 = Temp!$I$1, $B484 = Temp!$A$16),$D484,0)</f>
        <v>0</v>
      </c>
      <c r="N484">
        <f>IF(AND($C484 = Temp!$J$1, $B484 = Temp!$A$16),$D484,0)</f>
        <v>0</v>
      </c>
      <c r="O484">
        <f>IF(AND($C484 = Temp!$K$1, $B484 = Temp!$A$16),$D484,0)</f>
        <v>0</v>
      </c>
    </row>
    <row r="485" spans="2:15" ht="15" hidden="1" x14ac:dyDescent="0.2">
      <c r="B485" t="s">
        <v>396</v>
      </c>
      <c r="C485" s="6" t="s">
        <v>219</v>
      </c>
      <c r="D485" s="7">
        <v>1</v>
      </c>
      <c r="E485" s="7"/>
      <c r="F485">
        <f>IF(AND($C485 = Temp!$B$1, $B485 = Temp!$A$16),$D485,0)</f>
        <v>0</v>
      </c>
      <c r="G485">
        <f>IF(AND($C485 = Temp!$C$1, $B485 = Temp!$A$16),$D485,0)</f>
        <v>0</v>
      </c>
      <c r="H485">
        <f>IF(AND($C485 = Temp!$D$1, $B485 = Temp!$A$16),$D485,0)</f>
        <v>0</v>
      </c>
      <c r="I485">
        <f>IF(AND($C485 = Temp!$E$1, $B485 = Temp!$A$16),$D485,0)</f>
        <v>0</v>
      </c>
      <c r="J485">
        <f>IF(AND($C485 = Temp!$F$1, $B485 = Temp!$A$16),$D485,0)</f>
        <v>0</v>
      </c>
      <c r="K485">
        <f>IF(AND($C485 = Temp!$G$1, $B485 = Temp!$A$16),$D485,0)</f>
        <v>0</v>
      </c>
      <c r="L485">
        <f>IF(AND($C485 = Temp!$H$1, $B485 = Temp!$A$16),$D485,0)</f>
        <v>0</v>
      </c>
      <c r="M485">
        <f>IF(AND($C485 = Temp!$I$1, $B485 = Temp!$A$16),$D485,0)</f>
        <v>0</v>
      </c>
      <c r="N485">
        <f>IF(AND($C485 = Temp!$J$1, $B485 = Temp!$A$16),$D485,0)</f>
        <v>0</v>
      </c>
      <c r="O485">
        <f>IF(AND($C485 = Temp!$K$1, $B485 = Temp!$A$16),$D485,0)</f>
        <v>0</v>
      </c>
    </row>
    <row r="486" spans="2:15" hidden="1" x14ac:dyDescent="0.2">
      <c r="B486" t="s">
        <v>396</v>
      </c>
      <c r="C486" s="4" t="s">
        <v>260</v>
      </c>
      <c r="D486" s="7">
        <v>1</v>
      </c>
      <c r="E486" s="7"/>
      <c r="F486">
        <f>IF(AND($C486 = Temp!$B$1, $B486 = Temp!$A$16),$D486,0)</f>
        <v>0</v>
      </c>
      <c r="G486">
        <f>IF(AND($C486 = Temp!$C$1, $B486 = Temp!$A$16),$D486,0)</f>
        <v>0</v>
      </c>
      <c r="H486">
        <f>IF(AND($C486 = Temp!$D$1, $B486 = Temp!$A$16),$D486,0)</f>
        <v>0</v>
      </c>
      <c r="I486">
        <f>IF(AND($C486 = Temp!$E$1, $B486 = Temp!$A$16),$D486,0)</f>
        <v>0</v>
      </c>
      <c r="J486">
        <f>IF(AND($C486 = Temp!$F$1, $B486 = Temp!$A$16),$D486,0)</f>
        <v>0</v>
      </c>
      <c r="K486">
        <f>IF(AND($C486 = Temp!$G$1, $B486 = Temp!$A$16),$D486,0)</f>
        <v>0</v>
      </c>
      <c r="L486">
        <f>IF(AND($C486 = Temp!$H$1, $B486 = Temp!$A$16),$D486,0)</f>
        <v>0</v>
      </c>
      <c r="M486">
        <f>IF(AND($C486 = Temp!$I$1, $B486 = Temp!$A$16),$D486,0)</f>
        <v>0</v>
      </c>
      <c r="N486">
        <f>IF(AND($C486 = Temp!$J$1, $B486 = Temp!$A$16),$D486,0)</f>
        <v>0</v>
      </c>
      <c r="O486">
        <f>IF(AND($C486 = Temp!$K$1, $B486 = Temp!$A$16),$D486,0)</f>
        <v>0</v>
      </c>
    </row>
    <row r="487" spans="2:15" hidden="1" x14ac:dyDescent="0.2">
      <c r="B487" t="s">
        <v>396</v>
      </c>
      <c r="C487" s="4" t="s">
        <v>260</v>
      </c>
      <c r="D487" s="7">
        <v>2</v>
      </c>
      <c r="E487" s="7"/>
      <c r="F487">
        <f>IF(AND($C487 = Temp!$B$1, $B487 = Temp!$A$16),$D487,0)</f>
        <v>0</v>
      </c>
      <c r="G487">
        <f>IF(AND($C487 = Temp!$C$1, $B487 = Temp!$A$16),$D487,0)</f>
        <v>0</v>
      </c>
      <c r="H487">
        <f>IF(AND($C487 = Temp!$D$1, $B487 = Temp!$A$16),$D487,0)</f>
        <v>0</v>
      </c>
      <c r="I487">
        <f>IF(AND($C487 = Temp!$E$1, $B487 = Temp!$A$16),$D487,0)</f>
        <v>0</v>
      </c>
      <c r="J487">
        <f>IF(AND($C487 = Temp!$F$1, $B487 = Temp!$A$16),$D487,0)</f>
        <v>0</v>
      </c>
      <c r="K487">
        <f>IF(AND($C487 = Temp!$G$1, $B487 = Temp!$A$16),$D487,0)</f>
        <v>0</v>
      </c>
      <c r="L487">
        <f>IF(AND($C487 = Temp!$H$1, $B487 = Temp!$A$16),$D487,0)</f>
        <v>0</v>
      </c>
      <c r="M487">
        <f>IF(AND($C487 = Temp!$I$1, $B487 = Temp!$A$16),$D487,0)</f>
        <v>0</v>
      </c>
      <c r="N487">
        <f>IF(AND($C487 = Temp!$J$1, $B487 = Temp!$A$16),$D487,0)</f>
        <v>0</v>
      </c>
      <c r="O487">
        <f>IF(AND($C487 = Temp!$K$1, $B487 = Temp!$A$16),$D487,0)</f>
        <v>0</v>
      </c>
    </row>
    <row r="488" spans="2:15" hidden="1" x14ac:dyDescent="0.2">
      <c r="B488" t="s">
        <v>396</v>
      </c>
      <c r="C488" s="4" t="s">
        <v>279</v>
      </c>
      <c r="D488" s="7">
        <v>1</v>
      </c>
      <c r="E488" s="7"/>
      <c r="F488">
        <f>IF(AND($C488 = Temp!$B$1, $B488 = Temp!$A$16),$D488,0)</f>
        <v>0</v>
      </c>
      <c r="G488">
        <f>IF(AND($C488 = Temp!$C$1, $B488 = Temp!$A$16),$D488,0)</f>
        <v>0</v>
      </c>
      <c r="H488">
        <f>IF(AND($C488 = Temp!$D$1, $B488 = Temp!$A$16),$D488,0)</f>
        <v>0</v>
      </c>
      <c r="I488">
        <f>IF(AND($C488 = Temp!$E$1, $B488 = Temp!$A$16),$D488,0)</f>
        <v>0</v>
      </c>
      <c r="J488">
        <f>IF(AND($C488 = Temp!$F$1, $B488 = Temp!$A$16),$D488,0)</f>
        <v>0</v>
      </c>
      <c r="K488">
        <f>IF(AND($C488 = Temp!$G$1, $B488 = Temp!$A$16),$D488,0)</f>
        <v>0</v>
      </c>
      <c r="L488">
        <f>IF(AND($C488 = Temp!$H$1, $B488 = Temp!$A$16),$D488,0)</f>
        <v>0</v>
      </c>
      <c r="M488">
        <f>IF(AND($C488 = Temp!$I$1, $B488 = Temp!$A$16),$D488,0)</f>
        <v>0</v>
      </c>
      <c r="N488">
        <f>IF(AND($C488 = Temp!$J$1, $B488 = Temp!$A$16),$D488,0)</f>
        <v>0</v>
      </c>
      <c r="O488">
        <f>IF(AND($C488 = Temp!$K$1, $B488 = Temp!$A$16),$D488,0)</f>
        <v>0</v>
      </c>
    </row>
    <row r="489" spans="2:15" hidden="1" x14ac:dyDescent="0.2">
      <c r="B489" t="s">
        <v>396</v>
      </c>
      <c r="C489" s="4" t="s">
        <v>260</v>
      </c>
      <c r="D489" s="7">
        <v>3</v>
      </c>
      <c r="E489" s="7"/>
      <c r="F489">
        <f>IF(AND($C489 = Temp!$B$1, $B489 = Temp!$A$16),$D489,0)</f>
        <v>0</v>
      </c>
      <c r="G489">
        <f>IF(AND($C489 = Temp!$C$1, $B489 = Temp!$A$16),$D489,0)</f>
        <v>0</v>
      </c>
      <c r="H489">
        <f>IF(AND($C489 = Temp!$D$1, $B489 = Temp!$A$16),$D489,0)</f>
        <v>0</v>
      </c>
      <c r="I489">
        <f>IF(AND($C489 = Temp!$E$1, $B489 = Temp!$A$16),$D489,0)</f>
        <v>0</v>
      </c>
      <c r="J489">
        <f>IF(AND($C489 = Temp!$F$1, $B489 = Temp!$A$16),$D489,0)</f>
        <v>0</v>
      </c>
      <c r="K489">
        <f>IF(AND($C489 = Temp!$G$1, $B489 = Temp!$A$16),$D489,0)</f>
        <v>0</v>
      </c>
      <c r="L489">
        <f>IF(AND($C489 = Temp!$H$1, $B489 = Temp!$A$16),$D489,0)</f>
        <v>0</v>
      </c>
      <c r="M489">
        <f>IF(AND($C489 = Temp!$I$1, $B489 = Temp!$A$16),$D489,0)</f>
        <v>0</v>
      </c>
      <c r="N489">
        <f>IF(AND($C489 = Temp!$J$1, $B489 = Temp!$A$16),$D489,0)</f>
        <v>0</v>
      </c>
      <c r="O489">
        <f>IF(AND($C489 = Temp!$K$1, $B489 = Temp!$A$16),$D489,0)</f>
        <v>0</v>
      </c>
    </row>
    <row r="490" spans="2:15" hidden="1" x14ac:dyDescent="0.2">
      <c r="B490" t="s">
        <v>396</v>
      </c>
      <c r="C490" s="4" t="s">
        <v>260</v>
      </c>
      <c r="D490" s="7">
        <v>6</v>
      </c>
      <c r="E490" s="7"/>
      <c r="F490">
        <f>IF(AND($C490 = Temp!$B$1, $B490 = Temp!$A$16),$D490,0)</f>
        <v>0</v>
      </c>
      <c r="G490">
        <f>IF(AND($C490 = Temp!$C$1, $B490 = Temp!$A$16),$D490,0)</f>
        <v>0</v>
      </c>
      <c r="H490">
        <f>IF(AND($C490 = Temp!$D$1, $B490 = Temp!$A$16),$D490,0)</f>
        <v>0</v>
      </c>
      <c r="I490">
        <f>IF(AND($C490 = Temp!$E$1, $B490 = Temp!$A$16),$D490,0)</f>
        <v>0</v>
      </c>
      <c r="J490">
        <f>IF(AND($C490 = Temp!$F$1, $B490 = Temp!$A$16),$D490,0)</f>
        <v>0</v>
      </c>
      <c r="K490">
        <f>IF(AND($C490 = Temp!$G$1, $B490 = Temp!$A$16),$D490,0)</f>
        <v>0</v>
      </c>
      <c r="L490">
        <f>IF(AND($C490 = Temp!$H$1, $B490 = Temp!$A$16),$D490,0)</f>
        <v>0</v>
      </c>
      <c r="M490">
        <f>IF(AND($C490 = Temp!$I$1, $B490 = Temp!$A$16),$D490,0)</f>
        <v>0</v>
      </c>
      <c r="N490">
        <f>IF(AND($C490 = Temp!$J$1, $B490 = Temp!$A$16),$D490,0)</f>
        <v>0</v>
      </c>
      <c r="O490">
        <f>IF(AND($C490 = Temp!$K$1, $B490 = Temp!$A$16),$D490,0)</f>
        <v>0</v>
      </c>
    </row>
    <row r="491" spans="2:15" hidden="1" x14ac:dyDescent="0.2">
      <c r="B491" t="s">
        <v>396</v>
      </c>
      <c r="C491" s="4" t="s">
        <v>261</v>
      </c>
      <c r="D491" s="7">
        <v>5</v>
      </c>
      <c r="E491" s="7"/>
      <c r="F491">
        <f>IF(AND($C491 = Temp!$B$1, $B491 = Temp!$A$16),$D491,0)</f>
        <v>0</v>
      </c>
      <c r="G491">
        <f>IF(AND($C491 = Temp!$C$1, $B491 = Temp!$A$16),$D491,0)</f>
        <v>0</v>
      </c>
      <c r="H491">
        <f>IF(AND($C491 = Temp!$D$1, $B491 = Temp!$A$16),$D491,0)</f>
        <v>0</v>
      </c>
      <c r="I491">
        <f>IF(AND($C491 = Temp!$E$1, $B491 = Temp!$A$16),$D491,0)</f>
        <v>0</v>
      </c>
      <c r="J491">
        <f>IF(AND($C491 = Temp!$F$1, $B491 = Temp!$A$16),$D491,0)</f>
        <v>0</v>
      </c>
      <c r="K491">
        <f>IF(AND($C491 = Temp!$G$1, $B491 = Temp!$A$16),$D491,0)</f>
        <v>0</v>
      </c>
      <c r="L491">
        <f>IF(AND($C491 = Temp!$H$1, $B491 = Temp!$A$16),$D491,0)</f>
        <v>0</v>
      </c>
      <c r="M491">
        <f>IF(AND($C491 = Temp!$I$1, $B491 = Temp!$A$16),$D491,0)</f>
        <v>0</v>
      </c>
      <c r="N491">
        <f>IF(AND($C491 = Temp!$J$1, $B491 = Temp!$A$16),$D491,0)</f>
        <v>0</v>
      </c>
      <c r="O491">
        <f>IF(AND($C491 = Temp!$K$1, $B491 = Temp!$A$16),$D491,0)</f>
        <v>0</v>
      </c>
    </row>
    <row r="492" spans="2:15" hidden="1" x14ac:dyDescent="0.2">
      <c r="B492" t="s">
        <v>396</v>
      </c>
      <c r="C492" s="4" t="s">
        <v>219</v>
      </c>
      <c r="D492" s="7">
        <v>6</v>
      </c>
      <c r="E492" s="7"/>
      <c r="F492">
        <f>IF(AND($C492 = Temp!$B$1, $B492 = Temp!$A$16),$D492,0)</f>
        <v>0</v>
      </c>
      <c r="G492">
        <f>IF(AND($C492 = Temp!$C$1, $B492 = Temp!$A$16),$D492,0)</f>
        <v>0</v>
      </c>
      <c r="H492">
        <f>IF(AND($C492 = Temp!$D$1, $B492 = Temp!$A$16),$D492,0)</f>
        <v>0</v>
      </c>
      <c r="I492">
        <f>IF(AND($C492 = Temp!$E$1, $B492 = Temp!$A$16),$D492,0)</f>
        <v>0</v>
      </c>
      <c r="J492">
        <f>IF(AND($C492 = Temp!$F$1, $B492 = Temp!$A$16),$D492,0)</f>
        <v>0</v>
      </c>
      <c r="K492">
        <f>IF(AND($C492 = Temp!$G$1, $B492 = Temp!$A$16),$D492,0)</f>
        <v>0</v>
      </c>
      <c r="L492">
        <f>IF(AND($C492 = Temp!$H$1, $B492 = Temp!$A$16),$D492,0)</f>
        <v>0</v>
      </c>
      <c r="M492">
        <f>IF(AND($C492 = Temp!$I$1, $B492 = Temp!$A$16),$D492,0)</f>
        <v>0</v>
      </c>
      <c r="N492">
        <f>IF(AND($C492 = Temp!$J$1, $B492 = Temp!$A$16),$D492,0)</f>
        <v>0</v>
      </c>
      <c r="O492">
        <f>IF(AND($C492 = Temp!$K$1, $B492 = Temp!$A$16),$D492,0)</f>
        <v>0</v>
      </c>
    </row>
    <row r="493" spans="2:15" hidden="1" x14ac:dyDescent="0.2">
      <c r="B493" t="s">
        <v>396</v>
      </c>
      <c r="C493" s="4" t="s">
        <v>279</v>
      </c>
      <c r="D493" s="7">
        <v>2</v>
      </c>
      <c r="E493" s="7"/>
      <c r="F493">
        <f>IF(AND($C493 = Temp!$B$1, $B493 = Temp!$A$16),$D493,0)</f>
        <v>0</v>
      </c>
      <c r="G493">
        <f>IF(AND($C493 = Temp!$C$1, $B493 = Temp!$A$16),$D493,0)</f>
        <v>0</v>
      </c>
      <c r="H493">
        <f>IF(AND($C493 = Temp!$D$1, $B493 = Temp!$A$16),$D493,0)</f>
        <v>0</v>
      </c>
      <c r="I493">
        <f>IF(AND($C493 = Temp!$E$1, $B493 = Temp!$A$16),$D493,0)</f>
        <v>0</v>
      </c>
      <c r="J493">
        <f>IF(AND($C493 = Temp!$F$1, $B493 = Temp!$A$16),$D493,0)</f>
        <v>0</v>
      </c>
      <c r="K493">
        <f>IF(AND($C493 = Temp!$G$1, $B493 = Temp!$A$16),$D493,0)</f>
        <v>0</v>
      </c>
      <c r="L493">
        <f>IF(AND($C493 = Temp!$H$1, $B493 = Temp!$A$16),$D493,0)</f>
        <v>0</v>
      </c>
      <c r="M493">
        <f>IF(AND($C493 = Temp!$I$1, $B493 = Temp!$A$16),$D493,0)</f>
        <v>0</v>
      </c>
      <c r="N493">
        <f>IF(AND($C493 = Temp!$J$1, $B493 = Temp!$A$16),$D493,0)</f>
        <v>0</v>
      </c>
      <c r="O493">
        <f>IF(AND($C493 = Temp!$K$1, $B493 = Temp!$A$16),$D493,0)</f>
        <v>0</v>
      </c>
    </row>
    <row r="494" spans="2:15" hidden="1" x14ac:dyDescent="0.2">
      <c r="B494" t="s">
        <v>396</v>
      </c>
      <c r="C494" s="4" t="s">
        <v>279</v>
      </c>
      <c r="D494" s="7">
        <f>0.4</f>
        <v>0.4</v>
      </c>
      <c r="E494" s="7"/>
      <c r="F494">
        <f>IF(AND($C494 = Temp!$B$1, $B494 = Temp!$A$16),$D494,0)</f>
        <v>0</v>
      </c>
      <c r="G494">
        <f>IF(AND($C494 = Temp!$C$1, $B494 = Temp!$A$16),$D494,0)</f>
        <v>0</v>
      </c>
      <c r="H494">
        <f>IF(AND($C494 = Temp!$D$1, $B494 = Temp!$A$16),$D494,0)</f>
        <v>0</v>
      </c>
      <c r="I494">
        <f>IF(AND($C494 = Temp!$E$1, $B494 = Temp!$A$16),$D494,0)</f>
        <v>0</v>
      </c>
      <c r="J494">
        <f>IF(AND($C494 = Temp!$F$1, $B494 = Temp!$A$16),$D494,0)</f>
        <v>0</v>
      </c>
      <c r="K494">
        <f>IF(AND($C494 = Temp!$G$1, $B494 = Temp!$A$16),$D494,0)</f>
        <v>0</v>
      </c>
      <c r="L494">
        <f>IF(AND($C494 = Temp!$H$1, $B494 = Temp!$A$16),$D494,0)</f>
        <v>0</v>
      </c>
      <c r="M494">
        <f>IF(AND($C494 = Temp!$I$1, $B494 = Temp!$A$16),$D494,0)</f>
        <v>0</v>
      </c>
      <c r="N494">
        <f>IF(AND($C494 = Temp!$J$1, $B494 = Temp!$A$16),$D494,0)</f>
        <v>0</v>
      </c>
      <c r="O494">
        <f>IF(AND($C494 = Temp!$K$1, $B494 = Temp!$A$16),$D494,0)</f>
        <v>0</v>
      </c>
    </row>
    <row r="495" spans="2:15" hidden="1" x14ac:dyDescent="0.2">
      <c r="B495" t="s">
        <v>396</v>
      </c>
      <c r="C495" s="4" t="s">
        <v>279</v>
      </c>
      <c r="D495" s="7">
        <v>2</v>
      </c>
      <c r="E495" s="7"/>
      <c r="F495">
        <f>IF(AND($C495 = Temp!$B$1, $B495 = Temp!$A$16),$D495,0)</f>
        <v>0</v>
      </c>
      <c r="G495">
        <f>IF(AND($C495 = Temp!$C$1, $B495 = Temp!$A$16),$D495,0)</f>
        <v>0</v>
      </c>
      <c r="H495">
        <f>IF(AND($C495 = Temp!$D$1, $B495 = Temp!$A$16),$D495,0)</f>
        <v>0</v>
      </c>
      <c r="I495">
        <f>IF(AND($C495 = Temp!$E$1, $B495 = Temp!$A$16),$D495,0)</f>
        <v>0</v>
      </c>
      <c r="J495">
        <f>IF(AND($C495 = Temp!$F$1, $B495 = Temp!$A$16),$D495,0)</f>
        <v>0</v>
      </c>
      <c r="K495">
        <f>IF(AND($C495 = Temp!$G$1, $B495 = Temp!$A$16),$D495,0)</f>
        <v>0</v>
      </c>
      <c r="L495">
        <f>IF(AND($C495 = Temp!$H$1, $B495 = Temp!$A$16),$D495,0)</f>
        <v>0</v>
      </c>
      <c r="M495">
        <f>IF(AND($C495 = Temp!$I$1, $B495 = Temp!$A$16),$D495,0)</f>
        <v>0</v>
      </c>
      <c r="N495">
        <f>IF(AND($C495 = Temp!$J$1, $B495 = Temp!$A$16),$D495,0)</f>
        <v>0</v>
      </c>
      <c r="O495">
        <f>IF(AND($C495 = Temp!$K$1, $B495 = Temp!$A$16),$D495,0)</f>
        <v>0</v>
      </c>
    </row>
    <row r="496" spans="2:15" hidden="1" x14ac:dyDescent="0.2">
      <c r="B496" t="s">
        <v>396</v>
      </c>
      <c r="C496" s="4" t="s">
        <v>279</v>
      </c>
      <c r="D496" s="7">
        <v>1.5</v>
      </c>
      <c r="E496" s="7"/>
      <c r="F496">
        <f>IF(AND($C496 = Temp!$B$1, $B496 = Temp!$A$16),$D496,0)</f>
        <v>0</v>
      </c>
      <c r="G496">
        <f>IF(AND($C496 = Temp!$C$1, $B496 = Temp!$A$16),$D496,0)</f>
        <v>0</v>
      </c>
      <c r="H496">
        <f>IF(AND($C496 = Temp!$D$1, $B496 = Temp!$A$16),$D496,0)</f>
        <v>0</v>
      </c>
      <c r="I496">
        <f>IF(AND($C496 = Temp!$E$1, $B496 = Temp!$A$16),$D496,0)</f>
        <v>0</v>
      </c>
      <c r="J496">
        <f>IF(AND($C496 = Temp!$F$1, $B496 = Temp!$A$16),$D496,0)</f>
        <v>0</v>
      </c>
      <c r="K496">
        <f>IF(AND($C496 = Temp!$G$1, $B496 = Temp!$A$16),$D496,0)</f>
        <v>0</v>
      </c>
      <c r="L496">
        <f>IF(AND($C496 = Temp!$H$1, $B496 = Temp!$A$16),$D496,0)</f>
        <v>0</v>
      </c>
      <c r="M496">
        <f>IF(AND($C496 = Temp!$I$1, $B496 = Temp!$A$16),$D496,0)</f>
        <v>0</v>
      </c>
      <c r="N496">
        <f>IF(AND($C496 = Temp!$J$1, $B496 = Temp!$A$16),$D496,0)</f>
        <v>0</v>
      </c>
      <c r="O496">
        <f>IF(AND($C496 = Temp!$K$1, $B496 = Temp!$A$16),$D496,0)</f>
        <v>0</v>
      </c>
    </row>
    <row r="497" spans="2:15" hidden="1" x14ac:dyDescent="0.2">
      <c r="B497" t="s">
        <v>396</v>
      </c>
      <c r="C497" s="4" t="s">
        <v>279</v>
      </c>
      <c r="D497" s="7">
        <v>3</v>
      </c>
      <c r="E497" s="7"/>
      <c r="F497">
        <f>IF(AND($C497 = Temp!$B$1, $B497 = Temp!$A$16),$D497,0)</f>
        <v>0</v>
      </c>
      <c r="G497">
        <f>IF(AND($C497 = Temp!$C$1, $B497 = Temp!$A$16),$D497,0)</f>
        <v>0</v>
      </c>
      <c r="H497">
        <f>IF(AND($C497 = Temp!$D$1, $B497 = Temp!$A$16),$D497,0)</f>
        <v>0</v>
      </c>
      <c r="I497">
        <f>IF(AND($C497 = Temp!$E$1, $B497 = Temp!$A$16),$D497,0)</f>
        <v>0</v>
      </c>
      <c r="J497">
        <f>IF(AND($C497 = Temp!$F$1, $B497 = Temp!$A$16),$D497,0)</f>
        <v>0</v>
      </c>
      <c r="K497">
        <f>IF(AND($C497 = Temp!$G$1, $B497 = Temp!$A$16),$D497,0)</f>
        <v>0</v>
      </c>
      <c r="L497">
        <f>IF(AND($C497 = Temp!$H$1, $B497 = Temp!$A$16),$D497,0)</f>
        <v>0</v>
      </c>
      <c r="M497">
        <f>IF(AND($C497 = Temp!$I$1, $B497 = Temp!$A$16),$D497,0)</f>
        <v>0</v>
      </c>
      <c r="N497">
        <f>IF(AND($C497 = Temp!$J$1, $B497 = Temp!$A$16),$D497,0)</f>
        <v>0</v>
      </c>
      <c r="O497">
        <f>IF(AND($C497 = Temp!$K$1, $B497 = Temp!$A$16),$D497,0)</f>
        <v>0</v>
      </c>
    </row>
    <row r="498" spans="2:15" hidden="1" x14ac:dyDescent="0.2">
      <c r="B498" t="s">
        <v>396</v>
      </c>
      <c r="C498" s="4" t="s">
        <v>279</v>
      </c>
      <c r="D498" s="7">
        <v>0.5</v>
      </c>
      <c r="E498" s="7"/>
      <c r="F498">
        <f>IF(AND($C498 = Temp!$B$1, $B498 = Temp!$A$16),$D498,0)</f>
        <v>0</v>
      </c>
      <c r="G498">
        <f>IF(AND($C498 = Temp!$C$1, $B498 = Temp!$A$16),$D498,0)</f>
        <v>0</v>
      </c>
      <c r="H498">
        <f>IF(AND($C498 = Temp!$D$1, $B498 = Temp!$A$16),$D498,0)</f>
        <v>0</v>
      </c>
      <c r="I498">
        <f>IF(AND($C498 = Temp!$E$1, $B498 = Temp!$A$16),$D498,0)</f>
        <v>0</v>
      </c>
      <c r="J498">
        <f>IF(AND($C498 = Temp!$F$1, $B498 = Temp!$A$16),$D498,0)</f>
        <v>0</v>
      </c>
      <c r="K498">
        <f>IF(AND($C498 = Temp!$G$1, $B498 = Temp!$A$16),$D498,0)</f>
        <v>0</v>
      </c>
      <c r="L498">
        <f>IF(AND($C498 = Temp!$H$1, $B498 = Temp!$A$16),$D498,0)</f>
        <v>0</v>
      </c>
      <c r="M498">
        <f>IF(AND($C498 = Temp!$I$1, $B498 = Temp!$A$16),$D498,0)</f>
        <v>0</v>
      </c>
      <c r="N498">
        <f>IF(AND($C498 = Temp!$J$1, $B498 = Temp!$A$16),$D498,0)</f>
        <v>0</v>
      </c>
      <c r="O498">
        <f>IF(AND($C498 = Temp!$K$1, $B498 = Temp!$A$16),$D498,0)</f>
        <v>0</v>
      </c>
    </row>
    <row r="499" spans="2:15" hidden="1" x14ac:dyDescent="0.2">
      <c r="B499" t="s">
        <v>396</v>
      </c>
      <c r="C499" s="4" t="s">
        <v>261</v>
      </c>
      <c r="D499" s="7">
        <v>1.8</v>
      </c>
      <c r="E499" s="7"/>
      <c r="F499">
        <f>IF(AND($C499 = Temp!$B$1, $B499 = Temp!$A$16),$D499,0)</f>
        <v>0</v>
      </c>
      <c r="G499">
        <f>IF(AND($C499 = Temp!$C$1, $B499 = Temp!$A$16),$D499,0)</f>
        <v>0</v>
      </c>
      <c r="H499">
        <f>IF(AND($C499 = Temp!$D$1, $B499 = Temp!$A$16),$D499,0)</f>
        <v>0</v>
      </c>
      <c r="I499">
        <f>IF(AND($C499 = Temp!$E$1, $B499 = Temp!$A$16),$D499,0)</f>
        <v>0</v>
      </c>
      <c r="J499">
        <f>IF(AND($C499 = Temp!$F$1, $B499 = Temp!$A$16),$D499,0)</f>
        <v>0</v>
      </c>
      <c r="K499">
        <f>IF(AND($C499 = Temp!$G$1, $B499 = Temp!$A$16),$D499,0)</f>
        <v>0</v>
      </c>
      <c r="L499">
        <f>IF(AND($C499 = Temp!$H$1, $B499 = Temp!$A$16),$D499,0)</f>
        <v>0</v>
      </c>
      <c r="M499">
        <f>IF(AND($C499 = Temp!$I$1, $B499 = Temp!$A$16),$D499,0)</f>
        <v>0</v>
      </c>
      <c r="N499">
        <f>IF(AND($C499 = Temp!$J$1, $B499 = Temp!$A$16),$D499,0)</f>
        <v>0</v>
      </c>
      <c r="O499">
        <f>IF(AND($C499 = Temp!$K$1, $B499 = Temp!$A$16),$D499,0)</f>
        <v>0</v>
      </c>
    </row>
    <row r="500" spans="2:15" hidden="1" x14ac:dyDescent="0.2">
      <c r="B500" t="s">
        <v>396</v>
      </c>
      <c r="C500" s="4" t="s">
        <v>261</v>
      </c>
      <c r="D500" s="7">
        <v>2</v>
      </c>
      <c r="E500" s="7"/>
      <c r="F500">
        <f>IF(AND($C500 = Temp!$B$1, $B500 = Temp!$A$16),$D500,0)</f>
        <v>0</v>
      </c>
      <c r="G500">
        <f>IF(AND($C500 = Temp!$C$1, $B500 = Temp!$A$16),$D500,0)</f>
        <v>0</v>
      </c>
      <c r="H500">
        <f>IF(AND($C500 = Temp!$D$1, $B500 = Temp!$A$16),$D500,0)</f>
        <v>0</v>
      </c>
      <c r="I500">
        <f>IF(AND($C500 = Temp!$E$1, $B500 = Temp!$A$16),$D500,0)</f>
        <v>0</v>
      </c>
      <c r="J500">
        <f>IF(AND($C500 = Temp!$F$1, $B500 = Temp!$A$16),$D500,0)</f>
        <v>0</v>
      </c>
      <c r="K500">
        <f>IF(AND($C500 = Temp!$G$1, $B500 = Temp!$A$16),$D500,0)</f>
        <v>0</v>
      </c>
      <c r="L500">
        <f>IF(AND($C500 = Temp!$H$1, $B500 = Temp!$A$16),$D500,0)</f>
        <v>0</v>
      </c>
      <c r="M500">
        <f>IF(AND($C500 = Temp!$I$1, $B500 = Temp!$A$16),$D500,0)</f>
        <v>0</v>
      </c>
      <c r="N500">
        <f>IF(AND($C500 = Temp!$J$1, $B500 = Temp!$A$16),$D500,0)</f>
        <v>0</v>
      </c>
      <c r="O500">
        <f>IF(AND($C500 = Temp!$K$1, $B500 = Temp!$A$16),$D500,0)</f>
        <v>0</v>
      </c>
    </row>
    <row r="501" spans="2:15" hidden="1" x14ac:dyDescent="0.2">
      <c r="B501" t="s">
        <v>396</v>
      </c>
      <c r="C501" s="4" t="s">
        <v>261</v>
      </c>
      <c r="D501" s="7">
        <v>3</v>
      </c>
      <c r="E501" s="7"/>
      <c r="F501">
        <f>IF(AND($C501 = Temp!$B$1, $B501 = Temp!$A$16),$D501,0)</f>
        <v>0</v>
      </c>
      <c r="G501">
        <f>IF(AND($C501 = Temp!$C$1, $B501 = Temp!$A$16),$D501,0)</f>
        <v>0</v>
      </c>
      <c r="H501">
        <f>IF(AND($C501 = Temp!$D$1, $B501 = Temp!$A$16),$D501,0)</f>
        <v>0</v>
      </c>
      <c r="I501">
        <f>IF(AND($C501 = Temp!$E$1, $B501 = Temp!$A$16),$D501,0)</f>
        <v>0</v>
      </c>
      <c r="J501">
        <f>IF(AND($C501 = Temp!$F$1, $B501 = Temp!$A$16),$D501,0)</f>
        <v>0</v>
      </c>
      <c r="K501">
        <f>IF(AND($C501 = Temp!$G$1, $B501 = Temp!$A$16),$D501,0)</f>
        <v>0</v>
      </c>
      <c r="L501">
        <f>IF(AND($C501 = Temp!$H$1, $B501 = Temp!$A$16),$D501,0)</f>
        <v>0</v>
      </c>
      <c r="M501">
        <f>IF(AND($C501 = Temp!$I$1, $B501 = Temp!$A$16),$D501,0)</f>
        <v>0</v>
      </c>
      <c r="N501">
        <f>IF(AND($C501 = Temp!$J$1, $B501 = Temp!$A$16),$D501,0)</f>
        <v>0</v>
      </c>
      <c r="O501">
        <f>IF(AND($C501 = Temp!$K$1, $B501 = Temp!$A$16),$D501,0)</f>
        <v>0</v>
      </c>
    </row>
    <row r="502" spans="2:15" hidden="1" x14ac:dyDescent="0.2">
      <c r="B502" t="s">
        <v>396</v>
      </c>
      <c r="C502" s="4" t="s">
        <v>219</v>
      </c>
      <c r="D502" s="7">
        <v>2</v>
      </c>
      <c r="E502" s="7"/>
      <c r="F502">
        <f>IF(AND($C502 = Temp!$B$1, $B502 = Temp!$A$16),$D502,0)</f>
        <v>0</v>
      </c>
      <c r="G502">
        <f>IF(AND($C502 = Temp!$C$1, $B502 = Temp!$A$16),$D502,0)</f>
        <v>0</v>
      </c>
      <c r="H502">
        <f>IF(AND($C502 = Temp!$D$1, $B502 = Temp!$A$16),$D502,0)</f>
        <v>0</v>
      </c>
      <c r="I502">
        <f>IF(AND($C502 = Temp!$E$1, $B502 = Temp!$A$16),$D502,0)</f>
        <v>0</v>
      </c>
      <c r="J502">
        <f>IF(AND($C502 = Temp!$F$1, $B502 = Temp!$A$16),$D502,0)</f>
        <v>0</v>
      </c>
      <c r="K502">
        <f>IF(AND($C502 = Temp!$G$1, $B502 = Temp!$A$16),$D502,0)</f>
        <v>0</v>
      </c>
      <c r="L502">
        <f>IF(AND($C502 = Temp!$H$1, $B502 = Temp!$A$16),$D502,0)</f>
        <v>0</v>
      </c>
      <c r="M502">
        <f>IF(AND($C502 = Temp!$I$1, $B502 = Temp!$A$16),$D502,0)</f>
        <v>0</v>
      </c>
      <c r="N502">
        <f>IF(AND($C502 = Temp!$J$1, $B502 = Temp!$A$16),$D502,0)</f>
        <v>0</v>
      </c>
      <c r="O502">
        <f>IF(AND($C502 = Temp!$K$1, $B502 = Temp!$A$16),$D502,0)</f>
        <v>0</v>
      </c>
    </row>
    <row r="503" spans="2:15" hidden="1" x14ac:dyDescent="0.2">
      <c r="B503" t="s">
        <v>396</v>
      </c>
      <c r="C503" s="4" t="s">
        <v>219</v>
      </c>
      <c r="D503" s="7">
        <v>4</v>
      </c>
      <c r="E503" s="7"/>
      <c r="F503">
        <f>IF(AND($C503 = Temp!$B$1, $B503 = Temp!$A$16),$D503,0)</f>
        <v>0</v>
      </c>
      <c r="G503">
        <f>IF(AND($C503 = Temp!$C$1, $B503 = Temp!$A$16),$D503,0)</f>
        <v>0</v>
      </c>
      <c r="H503">
        <f>IF(AND($C503 = Temp!$D$1, $B503 = Temp!$A$16),$D503,0)</f>
        <v>0</v>
      </c>
      <c r="I503">
        <f>IF(AND($C503 = Temp!$E$1, $B503 = Temp!$A$16),$D503,0)</f>
        <v>0</v>
      </c>
      <c r="J503">
        <f>IF(AND($C503 = Temp!$F$1, $B503 = Temp!$A$16),$D503,0)</f>
        <v>0</v>
      </c>
      <c r="K503">
        <f>IF(AND($C503 = Temp!$G$1, $B503 = Temp!$A$16),$D503,0)</f>
        <v>0</v>
      </c>
      <c r="L503">
        <f>IF(AND($C503 = Temp!$H$1, $B503 = Temp!$A$16),$D503,0)</f>
        <v>0</v>
      </c>
      <c r="M503">
        <f>IF(AND($C503 = Temp!$I$1, $B503 = Temp!$A$16),$D503,0)</f>
        <v>0</v>
      </c>
      <c r="N503">
        <f>IF(AND($C503 = Temp!$J$1, $B503 = Temp!$A$16),$D503,0)</f>
        <v>0</v>
      </c>
      <c r="O503">
        <f>IF(AND($C503 = Temp!$K$1, $B503 = Temp!$A$16),$D503,0)</f>
        <v>0</v>
      </c>
    </row>
    <row r="504" spans="2:15" hidden="1" x14ac:dyDescent="0.2">
      <c r="B504" t="s">
        <v>396</v>
      </c>
      <c r="C504" s="4" t="s">
        <v>219</v>
      </c>
      <c r="D504" s="7">
        <v>2</v>
      </c>
      <c r="E504" s="7"/>
      <c r="F504">
        <f>IF(AND($C504 = Temp!$B$1, $B504 = Temp!$A$16),$D504,0)</f>
        <v>0</v>
      </c>
      <c r="G504">
        <f>IF(AND($C504 = Temp!$C$1, $B504 = Temp!$A$16),$D504,0)</f>
        <v>0</v>
      </c>
      <c r="H504">
        <f>IF(AND($C504 = Temp!$D$1, $B504 = Temp!$A$16),$D504,0)</f>
        <v>0</v>
      </c>
      <c r="I504">
        <f>IF(AND($C504 = Temp!$E$1, $B504 = Temp!$A$16),$D504,0)</f>
        <v>0</v>
      </c>
      <c r="J504">
        <f>IF(AND($C504 = Temp!$F$1, $B504 = Temp!$A$16),$D504,0)</f>
        <v>0</v>
      </c>
      <c r="K504">
        <f>IF(AND($C504 = Temp!$G$1, $B504 = Temp!$A$16),$D504,0)</f>
        <v>0</v>
      </c>
      <c r="L504">
        <f>IF(AND($C504 = Temp!$H$1, $B504 = Temp!$A$16),$D504,0)</f>
        <v>0</v>
      </c>
      <c r="M504">
        <f>IF(AND($C504 = Temp!$I$1, $B504 = Temp!$A$16),$D504,0)</f>
        <v>0</v>
      </c>
      <c r="N504">
        <f>IF(AND($C504 = Temp!$J$1, $B504 = Temp!$A$16),$D504,0)</f>
        <v>0</v>
      </c>
      <c r="O504">
        <f>IF(AND($C504 = Temp!$K$1, $B504 = Temp!$A$16),$D504,0)</f>
        <v>0</v>
      </c>
    </row>
    <row r="505" spans="2:15" hidden="1" x14ac:dyDescent="0.2">
      <c r="B505" t="s">
        <v>396</v>
      </c>
      <c r="C505" s="4" t="s">
        <v>260</v>
      </c>
      <c r="D505" s="7">
        <v>1</v>
      </c>
      <c r="E505" s="7"/>
      <c r="F505">
        <f>IF(AND($C505 = Temp!$B$1, $B505 = Temp!$A$16),$D505,0)</f>
        <v>0</v>
      </c>
      <c r="G505">
        <f>IF(AND($C505 = Temp!$C$1, $B505 = Temp!$A$16),$D505,0)</f>
        <v>0</v>
      </c>
      <c r="H505">
        <f>IF(AND($C505 = Temp!$D$1, $B505 = Temp!$A$16),$D505,0)</f>
        <v>0</v>
      </c>
      <c r="I505">
        <f>IF(AND($C505 = Temp!$E$1, $B505 = Temp!$A$16),$D505,0)</f>
        <v>0</v>
      </c>
      <c r="J505">
        <f>IF(AND($C505 = Temp!$F$1, $B505 = Temp!$A$16),$D505,0)</f>
        <v>0</v>
      </c>
      <c r="K505">
        <f>IF(AND($C505 = Temp!$G$1, $B505 = Temp!$A$16),$D505,0)</f>
        <v>0</v>
      </c>
      <c r="L505">
        <f>IF(AND($C505 = Temp!$H$1, $B505 = Temp!$A$16),$D505,0)</f>
        <v>0</v>
      </c>
      <c r="M505">
        <f>IF(AND($C505 = Temp!$I$1, $B505 = Temp!$A$16),$D505,0)</f>
        <v>0</v>
      </c>
      <c r="N505">
        <f>IF(AND($C505 = Temp!$J$1, $B505 = Temp!$A$16),$D505,0)</f>
        <v>0</v>
      </c>
      <c r="O505">
        <f>IF(AND($C505 = Temp!$K$1, $B505 = Temp!$A$16),$D505,0)</f>
        <v>0</v>
      </c>
    </row>
    <row r="506" spans="2:15" hidden="1" x14ac:dyDescent="0.2">
      <c r="B506" t="s">
        <v>396</v>
      </c>
      <c r="C506" s="4" t="s">
        <v>219</v>
      </c>
      <c r="D506" s="7">
        <v>1</v>
      </c>
      <c r="E506" s="7"/>
      <c r="F506">
        <f>IF(AND($C506 = Temp!$B$1, $B506 = Temp!$A$16),$D506,0)</f>
        <v>0</v>
      </c>
      <c r="G506">
        <f>IF(AND($C506 = Temp!$C$1, $B506 = Temp!$A$16),$D506,0)</f>
        <v>0</v>
      </c>
      <c r="H506">
        <f>IF(AND($C506 = Temp!$D$1, $B506 = Temp!$A$16),$D506,0)</f>
        <v>0</v>
      </c>
      <c r="I506">
        <f>IF(AND($C506 = Temp!$E$1, $B506 = Temp!$A$16),$D506,0)</f>
        <v>0</v>
      </c>
      <c r="J506">
        <f>IF(AND($C506 = Temp!$F$1, $B506 = Temp!$A$16),$D506,0)</f>
        <v>0</v>
      </c>
      <c r="K506">
        <f>IF(AND($C506 = Temp!$G$1, $B506 = Temp!$A$16),$D506,0)</f>
        <v>0</v>
      </c>
      <c r="L506">
        <f>IF(AND($C506 = Temp!$H$1, $B506 = Temp!$A$16),$D506,0)</f>
        <v>0</v>
      </c>
      <c r="M506">
        <f>IF(AND($C506 = Temp!$I$1, $B506 = Temp!$A$16),$D506,0)</f>
        <v>0</v>
      </c>
      <c r="N506">
        <f>IF(AND($C506 = Temp!$J$1, $B506 = Temp!$A$16),$D506,0)</f>
        <v>0</v>
      </c>
      <c r="O506">
        <f>IF(AND($C506 = Temp!$K$1, $B506 = Temp!$A$16),$D506,0)</f>
        <v>0</v>
      </c>
    </row>
    <row r="507" spans="2:15" hidden="1" x14ac:dyDescent="0.2">
      <c r="B507" t="s">
        <v>396</v>
      </c>
      <c r="C507" s="4" t="s">
        <v>279</v>
      </c>
      <c r="D507" s="7">
        <v>1</v>
      </c>
      <c r="E507" s="7"/>
      <c r="F507">
        <f>IF(AND($C507 = Temp!$B$1, $B507 = Temp!$A$16),$D507,0)</f>
        <v>0</v>
      </c>
      <c r="G507">
        <f>IF(AND($C507 = Temp!$C$1, $B507 = Temp!$A$16),$D507,0)</f>
        <v>0</v>
      </c>
      <c r="H507">
        <f>IF(AND($C507 = Temp!$D$1, $B507 = Temp!$A$16),$D507,0)</f>
        <v>0</v>
      </c>
      <c r="I507">
        <f>IF(AND($C507 = Temp!$E$1, $B507 = Temp!$A$16),$D507,0)</f>
        <v>0</v>
      </c>
      <c r="J507">
        <f>IF(AND($C507 = Temp!$F$1, $B507 = Temp!$A$16),$D507,0)</f>
        <v>0</v>
      </c>
      <c r="K507">
        <f>IF(AND($C507 = Temp!$G$1, $B507 = Temp!$A$16),$D507,0)</f>
        <v>0</v>
      </c>
      <c r="L507">
        <f>IF(AND($C507 = Temp!$H$1, $B507 = Temp!$A$16),$D507,0)</f>
        <v>0</v>
      </c>
      <c r="M507">
        <f>IF(AND($C507 = Temp!$I$1, $B507 = Temp!$A$16),$D507,0)</f>
        <v>0</v>
      </c>
      <c r="N507">
        <f>IF(AND($C507 = Temp!$J$1, $B507 = Temp!$A$16),$D507,0)</f>
        <v>0</v>
      </c>
      <c r="O507">
        <f>IF(AND($C507 = Temp!$K$1, $B507 = Temp!$A$16),$D507,0)</f>
        <v>0</v>
      </c>
    </row>
    <row r="508" spans="2:15" hidden="1" x14ac:dyDescent="0.2">
      <c r="B508" t="s">
        <v>396</v>
      </c>
      <c r="C508" s="4" t="s">
        <v>279</v>
      </c>
      <c r="D508" s="7">
        <v>0.5</v>
      </c>
      <c r="E508" s="7"/>
      <c r="F508">
        <f>IF(AND($C508 = Temp!$B$1, $B508 = Temp!$A$16),$D508,0)</f>
        <v>0</v>
      </c>
      <c r="G508">
        <f>IF(AND($C508 = Temp!$C$1, $B508 = Temp!$A$16),$D508,0)</f>
        <v>0</v>
      </c>
      <c r="H508">
        <f>IF(AND($C508 = Temp!$D$1, $B508 = Temp!$A$16),$D508,0)</f>
        <v>0</v>
      </c>
      <c r="I508">
        <f>IF(AND($C508 = Temp!$E$1, $B508 = Temp!$A$16),$D508,0)</f>
        <v>0</v>
      </c>
      <c r="J508">
        <f>IF(AND($C508 = Temp!$F$1, $B508 = Temp!$A$16),$D508,0)</f>
        <v>0</v>
      </c>
      <c r="K508">
        <f>IF(AND($C508 = Temp!$G$1, $B508 = Temp!$A$16),$D508,0)</f>
        <v>0</v>
      </c>
      <c r="L508">
        <f>IF(AND($C508 = Temp!$H$1, $B508 = Temp!$A$16),$D508,0)</f>
        <v>0</v>
      </c>
      <c r="M508">
        <f>IF(AND($C508 = Temp!$I$1, $B508 = Temp!$A$16),$D508,0)</f>
        <v>0</v>
      </c>
      <c r="N508">
        <f>IF(AND($C508 = Temp!$J$1, $B508 = Temp!$A$16),$D508,0)</f>
        <v>0</v>
      </c>
      <c r="O508">
        <f>IF(AND($C508 = Temp!$K$1, $B508 = Temp!$A$16),$D508,0)</f>
        <v>0</v>
      </c>
    </row>
    <row r="509" spans="2:15" hidden="1" x14ac:dyDescent="0.2">
      <c r="B509" t="s">
        <v>396</v>
      </c>
      <c r="C509" s="4" t="s">
        <v>219</v>
      </c>
      <c r="D509" s="7">
        <v>1</v>
      </c>
      <c r="E509" s="7"/>
      <c r="F509">
        <f>IF(AND($C509 = Temp!$B$1, $B509 = Temp!$A$16),$D509,0)</f>
        <v>0</v>
      </c>
      <c r="G509">
        <f>IF(AND($C509 = Temp!$C$1, $B509 = Temp!$A$16),$D509,0)</f>
        <v>0</v>
      </c>
      <c r="H509">
        <f>IF(AND($C509 = Temp!$D$1, $B509 = Temp!$A$16),$D509,0)</f>
        <v>0</v>
      </c>
      <c r="I509">
        <f>IF(AND($C509 = Temp!$E$1, $B509 = Temp!$A$16),$D509,0)</f>
        <v>0</v>
      </c>
      <c r="J509">
        <f>IF(AND($C509 = Temp!$F$1, $B509 = Temp!$A$16),$D509,0)</f>
        <v>0</v>
      </c>
      <c r="K509">
        <f>IF(AND($C509 = Temp!$G$1, $B509 = Temp!$A$16),$D509,0)</f>
        <v>0</v>
      </c>
      <c r="L509">
        <f>IF(AND($C509 = Temp!$H$1, $B509 = Temp!$A$16),$D509,0)</f>
        <v>0</v>
      </c>
      <c r="M509">
        <f>IF(AND($C509 = Temp!$I$1, $B509 = Temp!$A$16),$D509,0)</f>
        <v>0</v>
      </c>
      <c r="N509">
        <f>IF(AND($C509 = Temp!$J$1, $B509 = Temp!$A$16),$D509,0)</f>
        <v>0</v>
      </c>
      <c r="O509">
        <f>IF(AND($C509 = Temp!$K$1, $B509 = Temp!$A$16),$D509,0)</f>
        <v>0</v>
      </c>
    </row>
    <row r="510" spans="2:15" hidden="1" x14ac:dyDescent="0.2">
      <c r="B510" t="s">
        <v>396</v>
      </c>
      <c r="C510" s="4" t="s">
        <v>219</v>
      </c>
      <c r="D510" s="7">
        <v>1</v>
      </c>
      <c r="E510" s="7"/>
      <c r="F510">
        <f>IF(AND($C510 = Temp!$B$1, $B510 = Temp!$A$16),$D510,0)</f>
        <v>0</v>
      </c>
      <c r="G510">
        <f>IF(AND($C510 = Temp!$C$1, $B510 = Temp!$A$16),$D510,0)</f>
        <v>0</v>
      </c>
      <c r="H510">
        <f>IF(AND($C510 = Temp!$D$1, $B510 = Temp!$A$16),$D510,0)</f>
        <v>0</v>
      </c>
      <c r="I510">
        <f>IF(AND($C510 = Temp!$E$1, $B510 = Temp!$A$16),$D510,0)</f>
        <v>0</v>
      </c>
      <c r="J510">
        <f>IF(AND($C510 = Temp!$F$1, $B510 = Temp!$A$16),$D510,0)</f>
        <v>0</v>
      </c>
      <c r="K510">
        <f>IF(AND($C510 = Temp!$G$1, $B510 = Temp!$A$16),$D510,0)</f>
        <v>0</v>
      </c>
      <c r="L510">
        <f>IF(AND($C510 = Temp!$H$1, $B510 = Temp!$A$16),$D510,0)</f>
        <v>0</v>
      </c>
      <c r="M510">
        <f>IF(AND($C510 = Temp!$I$1, $B510 = Temp!$A$16),$D510,0)</f>
        <v>0</v>
      </c>
      <c r="N510">
        <f>IF(AND($C510 = Temp!$J$1, $B510 = Temp!$A$16),$D510,0)</f>
        <v>0</v>
      </c>
      <c r="O510">
        <f>IF(AND($C510 = Temp!$K$1, $B510 = Temp!$A$16),$D510,0)</f>
        <v>0</v>
      </c>
    </row>
    <row r="511" spans="2:15" ht="15" hidden="1" x14ac:dyDescent="0.2">
      <c r="B511" t="s">
        <v>396</v>
      </c>
      <c r="C511" s="6" t="s">
        <v>219</v>
      </c>
      <c r="D511" s="7">
        <v>1</v>
      </c>
      <c r="E511" s="7"/>
      <c r="F511">
        <f>IF(AND($C511 = Temp!$B$1, $B511 = Temp!$A$16),$D511,0)</f>
        <v>0</v>
      </c>
      <c r="G511">
        <f>IF(AND($C511 = Temp!$C$1, $B511 = Temp!$A$16),$D511,0)</f>
        <v>0</v>
      </c>
      <c r="H511">
        <f>IF(AND($C511 = Temp!$D$1, $B511 = Temp!$A$16),$D511,0)</f>
        <v>0</v>
      </c>
      <c r="I511">
        <f>IF(AND($C511 = Temp!$E$1, $B511 = Temp!$A$16),$D511,0)</f>
        <v>0</v>
      </c>
      <c r="J511">
        <f>IF(AND($C511 = Temp!$F$1, $B511 = Temp!$A$16),$D511,0)</f>
        <v>0</v>
      </c>
      <c r="K511">
        <f>IF(AND($C511 = Temp!$G$1, $B511 = Temp!$A$16),$D511,0)</f>
        <v>0</v>
      </c>
      <c r="L511">
        <f>IF(AND($C511 = Temp!$H$1, $B511 = Temp!$A$16),$D511,0)</f>
        <v>0</v>
      </c>
      <c r="M511">
        <f>IF(AND($C511 = Temp!$I$1, $B511 = Temp!$A$16),$D511,0)</f>
        <v>0</v>
      </c>
      <c r="N511">
        <f>IF(AND($C511 = Temp!$J$1, $B511 = Temp!$A$16),$D511,0)</f>
        <v>0</v>
      </c>
      <c r="O511">
        <f>IF(AND($C511 = Temp!$K$1, $B511 = Temp!$A$16),$D511,0)</f>
        <v>0</v>
      </c>
    </row>
    <row r="512" spans="2:15" hidden="1" x14ac:dyDescent="0.2">
      <c r="B512" t="s">
        <v>396</v>
      </c>
      <c r="C512" s="4" t="s">
        <v>219</v>
      </c>
      <c r="D512" s="7">
        <v>1</v>
      </c>
      <c r="E512" s="7"/>
      <c r="F512">
        <f>IF(AND($C512 = Temp!$B$1, $B512 = Temp!$A$16),$D512,0)</f>
        <v>0</v>
      </c>
      <c r="G512">
        <f>IF(AND($C512 = Temp!$C$1, $B512 = Temp!$A$16),$D512,0)</f>
        <v>0</v>
      </c>
      <c r="H512">
        <f>IF(AND($C512 = Temp!$D$1, $B512 = Temp!$A$16),$D512,0)</f>
        <v>0</v>
      </c>
      <c r="I512">
        <f>IF(AND($C512 = Temp!$E$1, $B512 = Temp!$A$16),$D512,0)</f>
        <v>0</v>
      </c>
      <c r="J512">
        <f>IF(AND($C512 = Temp!$F$1, $B512 = Temp!$A$16),$D512,0)</f>
        <v>0</v>
      </c>
      <c r="K512">
        <f>IF(AND($C512 = Temp!$G$1, $B512 = Temp!$A$16),$D512,0)</f>
        <v>0</v>
      </c>
      <c r="L512">
        <f>IF(AND($C512 = Temp!$H$1, $B512 = Temp!$A$16),$D512,0)</f>
        <v>0</v>
      </c>
      <c r="M512">
        <f>IF(AND($C512 = Temp!$I$1, $B512 = Temp!$A$16),$D512,0)</f>
        <v>0</v>
      </c>
      <c r="N512">
        <f>IF(AND($C512 = Temp!$J$1, $B512 = Temp!$A$16),$D512,0)</f>
        <v>0</v>
      </c>
      <c r="O512">
        <f>IF(AND($C512 = Temp!$K$1, $B512 = Temp!$A$16),$D512,0)</f>
        <v>0</v>
      </c>
    </row>
    <row r="513" spans="2:15" hidden="1" x14ac:dyDescent="0.2">
      <c r="B513" t="s">
        <v>396</v>
      </c>
      <c r="C513" s="4" t="s">
        <v>279</v>
      </c>
      <c r="D513" s="7">
        <v>0.5</v>
      </c>
      <c r="E513" s="7"/>
      <c r="F513">
        <f>IF(AND($C513 = Temp!$B$1, $B513 = Temp!$A$16),$D513,0)</f>
        <v>0</v>
      </c>
      <c r="G513">
        <f>IF(AND($C513 = Temp!$C$1, $B513 = Temp!$A$16),$D513,0)</f>
        <v>0</v>
      </c>
      <c r="H513">
        <f>IF(AND($C513 = Temp!$D$1, $B513 = Temp!$A$16),$D513,0)</f>
        <v>0</v>
      </c>
      <c r="I513">
        <f>IF(AND($C513 = Temp!$E$1, $B513 = Temp!$A$16),$D513,0)</f>
        <v>0</v>
      </c>
      <c r="J513">
        <f>IF(AND($C513 = Temp!$F$1, $B513 = Temp!$A$16),$D513,0)</f>
        <v>0</v>
      </c>
      <c r="K513">
        <f>IF(AND($C513 = Temp!$G$1, $B513 = Temp!$A$16),$D513,0)</f>
        <v>0</v>
      </c>
      <c r="L513">
        <f>IF(AND($C513 = Temp!$H$1, $B513 = Temp!$A$16),$D513,0)</f>
        <v>0</v>
      </c>
      <c r="M513">
        <f>IF(AND($C513 = Temp!$I$1, $B513 = Temp!$A$16),$D513,0)</f>
        <v>0</v>
      </c>
      <c r="N513">
        <f>IF(AND($C513 = Temp!$J$1, $B513 = Temp!$A$16),$D513,0)</f>
        <v>0</v>
      </c>
      <c r="O513">
        <f>IF(AND($C513 = Temp!$K$1, $B513 = Temp!$A$16),$D513,0)</f>
        <v>0</v>
      </c>
    </row>
    <row r="514" spans="2:15" hidden="1" x14ac:dyDescent="0.2">
      <c r="B514" t="s">
        <v>396</v>
      </c>
      <c r="C514" s="4" t="s">
        <v>279</v>
      </c>
      <c r="D514" s="7">
        <v>1</v>
      </c>
      <c r="E514" s="7"/>
      <c r="F514">
        <f>IF(AND($C514 = Temp!$B$1, $B514 = Temp!$A$16),$D514,0)</f>
        <v>0</v>
      </c>
      <c r="G514">
        <f>IF(AND($C514 = Temp!$C$1, $B514 = Temp!$A$16),$D514,0)</f>
        <v>0</v>
      </c>
      <c r="H514">
        <f>IF(AND($C514 = Temp!$D$1, $B514 = Temp!$A$16),$D514,0)</f>
        <v>0</v>
      </c>
      <c r="I514">
        <f>IF(AND($C514 = Temp!$E$1, $B514 = Temp!$A$16),$D514,0)</f>
        <v>0</v>
      </c>
      <c r="J514">
        <f>IF(AND($C514 = Temp!$F$1, $B514 = Temp!$A$16),$D514,0)</f>
        <v>0</v>
      </c>
      <c r="K514">
        <f>IF(AND($C514 = Temp!$G$1, $B514 = Temp!$A$16),$D514,0)</f>
        <v>0</v>
      </c>
      <c r="L514">
        <f>IF(AND($C514 = Temp!$H$1, $B514 = Temp!$A$16),$D514,0)</f>
        <v>0</v>
      </c>
      <c r="M514">
        <f>IF(AND($C514 = Temp!$I$1, $B514 = Temp!$A$16),$D514,0)</f>
        <v>0</v>
      </c>
      <c r="N514">
        <f>IF(AND($C514 = Temp!$J$1, $B514 = Temp!$A$16),$D514,0)</f>
        <v>0</v>
      </c>
      <c r="O514">
        <f>IF(AND($C514 = Temp!$K$1, $B514 = Temp!$A$16),$D514,0)</f>
        <v>0</v>
      </c>
    </row>
    <row r="515" spans="2:15" hidden="1" x14ac:dyDescent="0.2">
      <c r="B515" t="s">
        <v>396</v>
      </c>
      <c r="C515" s="4" t="s">
        <v>279</v>
      </c>
      <c r="D515" s="7">
        <v>1</v>
      </c>
      <c r="E515" s="7"/>
      <c r="F515">
        <f>IF(AND($C515 = Temp!$B$1, $B515 = Temp!$A$16),$D515,0)</f>
        <v>0</v>
      </c>
      <c r="G515">
        <f>IF(AND($C515 = Temp!$C$1, $B515 = Temp!$A$16),$D515,0)</f>
        <v>0</v>
      </c>
      <c r="H515">
        <f>IF(AND($C515 = Temp!$D$1, $B515 = Temp!$A$16),$D515,0)</f>
        <v>0</v>
      </c>
      <c r="I515">
        <f>IF(AND($C515 = Temp!$E$1, $B515 = Temp!$A$16),$D515,0)</f>
        <v>0</v>
      </c>
      <c r="J515">
        <f>IF(AND($C515 = Temp!$F$1, $B515 = Temp!$A$16),$D515,0)</f>
        <v>0</v>
      </c>
      <c r="K515">
        <f>IF(AND($C515 = Temp!$G$1, $B515 = Temp!$A$16),$D515,0)</f>
        <v>0</v>
      </c>
      <c r="L515">
        <f>IF(AND($C515 = Temp!$H$1, $B515 = Temp!$A$16),$D515,0)</f>
        <v>0</v>
      </c>
      <c r="M515">
        <f>IF(AND($C515 = Temp!$I$1, $B515 = Temp!$A$16),$D515,0)</f>
        <v>0</v>
      </c>
      <c r="N515">
        <f>IF(AND($C515 = Temp!$J$1, $B515 = Temp!$A$16),$D515,0)</f>
        <v>0</v>
      </c>
      <c r="O515">
        <f>IF(AND($C515 = Temp!$K$1, $B515 = Temp!$A$16),$D515,0)</f>
        <v>0</v>
      </c>
    </row>
    <row r="516" spans="2:15" x14ac:dyDescent="0.2">
      <c r="B516" t="s">
        <v>396</v>
      </c>
      <c r="C516" s="4" t="s">
        <v>219</v>
      </c>
      <c r="D516" s="7">
        <v>1</v>
      </c>
      <c r="E516" s="7"/>
      <c r="F516">
        <f>IF(AND($C516 = Temp!$B$1, $B516 = Temp!$A$16),$D516,0)</f>
        <v>0</v>
      </c>
      <c r="G516">
        <f>IF(AND($C516 = Temp!$C$1, $B516 = Temp!$A$16),$D516,0)</f>
        <v>0</v>
      </c>
      <c r="H516">
        <f>IF(AND($C516 = Temp!$D$1, $B516 = Temp!$A$16),$D516,0)</f>
        <v>0</v>
      </c>
      <c r="I516">
        <f>IF(AND($C516 = Temp!$E$1, $B516 = Temp!$A$16),$D516,0)</f>
        <v>0</v>
      </c>
      <c r="J516">
        <f>IF(AND($C516 = Temp!$F$1, $B516 = Temp!$A$16),$D516,0)</f>
        <v>0</v>
      </c>
      <c r="K516">
        <f>IF(AND($C516 = Temp!$G$1, $B516 = Temp!$A$16),$D516,0)</f>
        <v>0</v>
      </c>
      <c r="L516">
        <f>IF(AND($C516 = Temp!$H$1, $B516 = Temp!$A$16),$D516,0)</f>
        <v>0</v>
      </c>
      <c r="M516">
        <f>IF(AND($C516 = Temp!$I$1, $B516 = Temp!$A$16),$D516,0)</f>
        <v>0</v>
      </c>
      <c r="N516">
        <f>IF(AND($C516 = Temp!$J$1, $B516 = Temp!$A$16),$D516,0)</f>
        <v>0</v>
      </c>
      <c r="O516">
        <f>IF(AND($C516 = Temp!$K$1, $B516 = Temp!$A$16),$D516,0)</f>
        <v>0</v>
      </c>
    </row>
    <row r="520" spans="2:15" x14ac:dyDescent="0.2">
      <c r="C520">
        <f>IF(AND($C2 = Temp!$B$1, $B2 = Temp!$A$16),$D2,0)</f>
        <v>0</v>
      </c>
    </row>
    <row r="521" spans="2:15" x14ac:dyDescent="0.2">
      <c r="C521">
        <f>IF(AND($C2 = Temp!$C$1, $B2 = Temp!$A$16),$D2,0)</f>
        <v>0</v>
      </c>
    </row>
    <row r="522" spans="2:15" x14ac:dyDescent="0.2">
      <c r="C522">
        <f>IF(AND($C2 = Temp!$D$1, $B2 = Temp!$A$16),$D2,0)</f>
        <v>0</v>
      </c>
    </row>
    <row r="523" spans="2:15" x14ac:dyDescent="0.2">
      <c r="C523">
        <f>IF(AND($C2 = Temp!$E$1, $B2 = Temp!$A$16),$D2,0)</f>
        <v>0</v>
      </c>
      <c r="F523" s="12">
        <f t="shared" ref="F523:O523" si="0">SUM(F2:F516)</f>
        <v>0</v>
      </c>
      <c r="G523" s="12">
        <f t="shared" si="0"/>
        <v>0</v>
      </c>
      <c r="H523" s="12">
        <f t="shared" si="0"/>
        <v>0</v>
      </c>
      <c r="I523" s="12">
        <f t="shared" si="0"/>
        <v>1</v>
      </c>
      <c r="J523" s="12">
        <f t="shared" si="0"/>
        <v>0</v>
      </c>
      <c r="K523" s="12">
        <f t="shared" si="0"/>
        <v>0</v>
      </c>
      <c r="L523" s="12">
        <f t="shared" si="0"/>
        <v>0</v>
      </c>
      <c r="M523" s="12">
        <f t="shared" si="0"/>
        <v>0.2</v>
      </c>
      <c r="N523" s="12">
        <f t="shared" si="0"/>
        <v>0</v>
      </c>
      <c r="O523" s="12">
        <f t="shared" si="0"/>
        <v>0</v>
      </c>
    </row>
    <row r="524" spans="2:15" x14ac:dyDescent="0.2">
      <c r="C524">
        <f>IF(AND($C2 = Temp!$F$1, $B2 = Temp!$A$16),$D2,0)</f>
        <v>0</v>
      </c>
    </row>
    <row r="525" spans="2:15" x14ac:dyDescent="0.2">
      <c r="C525">
        <f>IF(AND($C2 = Temp!$G$1, $B2 = Temp!$A$16),$D2,0)</f>
        <v>0</v>
      </c>
    </row>
    <row r="526" spans="2:15" x14ac:dyDescent="0.2">
      <c r="C526">
        <f>IF(AND($C2 = Temp!$H$1, $B2 = Temp!$A$16),$D2,0)</f>
        <v>0</v>
      </c>
    </row>
    <row r="527" spans="2:15" x14ac:dyDescent="0.2">
      <c r="C527">
        <f>IF(AND($C2 = Temp!$I$1, $B2 = Temp!$A$16),$D2,0)</f>
        <v>0</v>
      </c>
    </row>
    <row r="528" spans="2:15" x14ac:dyDescent="0.2">
      <c r="C528">
        <f>IF(AND($C2 = Temp!$J$1, $B2 = Temp!$A$16),$D2,0)</f>
        <v>0</v>
      </c>
    </row>
    <row r="529" spans="3:3" x14ac:dyDescent="0.2">
      <c r="C529">
        <f>IF(AND($C2 = Temp!$K$1, $B2 = Temp!$A$16),$D2,0)</f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C406:C516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63"/>
  <sheetViews>
    <sheetView workbookViewId="0">
      <selection activeCell="A2" sqref="A2:A63"/>
    </sheetView>
  </sheetViews>
  <sheetFormatPr defaultRowHeight="12.75" x14ac:dyDescent="0.2"/>
  <cols>
    <col min="1" max="1" width="56.42578125" bestFit="1" customWidth="1"/>
    <col min="2" max="2" width="10.140625" bestFit="1" customWidth="1"/>
    <col min="3" max="3" width="13.28515625" bestFit="1" customWidth="1"/>
    <col min="4" max="4" width="15.28515625" bestFit="1" customWidth="1"/>
    <col min="5" max="5" width="9.5703125" bestFit="1" customWidth="1"/>
    <col min="6" max="6" width="11.5703125" bestFit="1" customWidth="1"/>
    <col min="7" max="7" width="8" bestFit="1" customWidth="1"/>
    <col min="8" max="8" width="19" bestFit="1" customWidth="1"/>
    <col min="9" max="9" width="12.5703125" bestFit="1" customWidth="1"/>
    <col min="10" max="11" width="15.85546875" bestFit="1" customWidth="1"/>
  </cols>
  <sheetData>
    <row r="1" spans="1:11" ht="15" x14ac:dyDescent="0.2">
      <c r="A1" s="2" t="s">
        <v>452</v>
      </c>
      <c r="B1" s="9" t="s">
        <v>77</v>
      </c>
      <c r="C1" s="10" t="s">
        <v>15</v>
      </c>
      <c r="D1" s="10" t="s">
        <v>41</v>
      </c>
      <c r="E1" s="10" t="s">
        <v>219</v>
      </c>
      <c r="F1" s="9" t="s">
        <v>24</v>
      </c>
      <c r="G1" s="9" t="s">
        <v>260</v>
      </c>
      <c r="H1" s="10" t="s">
        <v>40</v>
      </c>
      <c r="I1" s="9" t="s">
        <v>261</v>
      </c>
      <c r="J1" s="9" t="s">
        <v>4</v>
      </c>
      <c r="K1" s="9" t="s">
        <v>279</v>
      </c>
    </row>
    <row r="2" spans="1:11" x14ac:dyDescent="0.2">
      <c r="A2" s="9" t="s">
        <v>423</v>
      </c>
      <c r="B2" s="13">
        <v>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1" x14ac:dyDescent="0.2">
      <c r="A3" s="9" t="s">
        <v>443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</row>
    <row r="4" spans="1:11" x14ac:dyDescent="0.2">
      <c r="A4" s="9" t="s">
        <v>447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</row>
    <row r="5" spans="1:11" x14ac:dyDescent="0.2">
      <c r="A5" s="9" t="s">
        <v>433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</row>
    <row r="6" spans="1:11" x14ac:dyDescent="0.2">
      <c r="A6" s="9" t="s">
        <v>437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</row>
    <row r="7" spans="1:11" x14ac:dyDescent="0.2">
      <c r="A7" s="9" t="s">
        <v>390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</row>
    <row r="8" spans="1:11" x14ac:dyDescent="0.2">
      <c r="A8" s="9" t="s">
        <v>430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</row>
    <row r="9" spans="1:11" x14ac:dyDescent="0.2">
      <c r="A9" s="9" t="s">
        <v>434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</row>
    <row r="10" spans="1:11" x14ac:dyDescent="0.2">
      <c r="A10" s="9" t="s">
        <v>436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</row>
    <row r="11" spans="1:11" x14ac:dyDescent="0.2">
      <c r="A11" s="9" t="s">
        <v>256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</row>
    <row r="12" spans="1:11" x14ac:dyDescent="0.2">
      <c r="A12" s="9" t="s">
        <v>435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</row>
    <row r="13" spans="1:11" x14ac:dyDescent="0.2">
      <c r="A13" s="9" t="s">
        <v>143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</row>
    <row r="14" spans="1:11" x14ac:dyDescent="0.2">
      <c r="A14" s="9" t="s">
        <v>373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</row>
    <row r="15" spans="1:11" x14ac:dyDescent="0.2">
      <c r="A15" s="9" t="s">
        <v>375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</row>
    <row r="16" spans="1:11" x14ac:dyDescent="0.2">
      <c r="A16" s="9" t="s">
        <v>376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</row>
    <row r="17" spans="1:13" x14ac:dyDescent="0.2">
      <c r="A17" s="9" t="s">
        <v>421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</row>
    <row r="18" spans="1:13" x14ac:dyDescent="0.2">
      <c r="A18" s="9" t="s">
        <v>128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</row>
    <row r="19" spans="1:13" x14ac:dyDescent="0.2">
      <c r="A19" s="9" t="s">
        <v>448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</row>
    <row r="20" spans="1:13" x14ac:dyDescent="0.2">
      <c r="A20" s="9" t="s">
        <v>126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</row>
    <row r="21" spans="1:13" x14ac:dyDescent="0.2">
      <c r="A21" s="9" t="s">
        <v>417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</row>
    <row r="22" spans="1:13" x14ac:dyDescent="0.2">
      <c r="A22" s="9" t="s">
        <v>422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</row>
    <row r="23" spans="1:13" x14ac:dyDescent="0.2">
      <c r="A23" s="9" t="s">
        <v>394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M23" s="4"/>
    </row>
    <row r="24" spans="1:13" x14ac:dyDescent="0.2">
      <c r="A24" s="9" t="s">
        <v>444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M24" s="4"/>
    </row>
    <row r="25" spans="1:13" x14ac:dyDescent="0.2">
      <c r="A25" s="9" t="s">
        <v>440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M25" s="4"/>
    </row>
    <row r="26" spans="1:13" x14ac:dyDescent="0.2">
      <c r="A26" s="9" t="s">
        <v>445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</row>
    <row r="27" spans="1:13" x14ac:dyDescent="0.2">
      <c r="A27" s="9" t="s">
        <v>406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</row>
    <row r="28" spans="1:13" x14ac:dyDescent="0.2">
      <c r="A28" s="9" t="s">
        <v>405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M28" s="4"/>
    </row>
    <row r="29" spans="1:13" x14ac:dyDescent="0.2">
      <c r="A29" s="9" t="s">
        <v>115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</row>
    <row r="30" spans="1:13" x14ac:dyDescent="0.2">
      <c r="A30" s="9" t="s">
        <v>231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</row>
    <row r="31" spans="1:13" x14ac:dyDescent="0.2">
      <c r="A31" s="9" t="s">
        <v>216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</row>
    <row r="32" spans="1:13" x14ac:dyDescent="0.2">
      <c r="A32" s="9" t="s">
        <v>427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</row>
    <row r="33" spans="1:11" x14ac:dyDescent="0.2">
      <c r="A33" s="9" t="s">
        <v>426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</row>
    <row r="34" spans="1:11" x14ac:dyDescent="0.2">
      <c r="A34" s="9" t="s">
        <v>428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</row>
    <row r="35" spans="1:11" x14ac:dyDescent="0.2">
      <c r="A35" s="9" t="s">
        <v>449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</row>
    <row r="36" spans="1:11" x14ac:dyDescent="0.2">
      <c r="A36" s="9" t="s">
        <v>450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</row>
    <row r="37" spans="1:11" x14ac:dyDescent="0.2">
      <c r="A37" s="9" t="s">
        <v>439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</row>
    <row r="38" spans="1:11" x14ac:dyDescent="0.2">
      <c r="A38" s="9" t="s">
        <v>425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</row>
    <row r="39" spans="1:11" x14ac:dyDescent="0.2">
      <c r="A39" s="9" t="s">
        <v>119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</row>
    <row r="40" spans="1:11" x14ac:dyDescent="0.2">
      <c r="A40" s="9" t="s">
        <v>438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</row>
    <row r="41" spans="1:11" x14ac:dyDescent="0.2">
      <c r="A41" s="9" t="s">
        <v>441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</row>
    <row r="42" spans="1:11" x14ac:dyDescent="0.2">
      <c r="A42" s="9" t="s">
        <v>419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</row>
    <row r="43" spans="1:11" x14ac:dyDescent="0.2">
      <c r="A43" s="9" t="s">
        <v>397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</row>
    <row r="44" spans="1:11" x14ac:dyDescent="0.2">
      <c r="A44" s="9" t="s">
        <v>60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</row>
    <row r="45" spans="1:11" x14ac:dyDescent="0.2">
      <c r="A45" s="9" t="s">
        <v>353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</row>
    <row r="46" spans="1:11" x14ac:dyDescent="0.2">
      <c r="A46" s="9" t="s">
        <v>0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</row>
    <row r="47" spans="1:11" x14ac:dyDescent="0.2">
      <c r="A47" s="9" t="s">
        <v>148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</row>
    <row r="48" spans="1:11" x14ac:dyDescent="0.2">
      <c r="A48" s="9" t="s">
        <v>262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</row>
    <row r="49" spans="1:11" x14ac:dyDescent="0.2">
      <c r="A49" s="9" t="s">
        <v>424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</row>
    <row r="50" spans="1:11" x14ac:dyDescent="0.2">
      <c r="A50" s="9" t="s">
        <v>415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</row>
    <row r="51" spans="1:11" x14ac:dyDescent="0.2">
      <c r="A51" s="9" t="s">
        <v>416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</row>
    <row r="52" spans="1:11" x14ac:dyDescent="0.2">
      <c r="A52" s="9" t="s">
        <v>429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</row>
    <row r="53" spans="1:11" x14ac:dyDescent="0.2">
      <c r="A53" s="9" t="s">
        <v>431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</row>
    <row r="54" spans="1:11" x14ac:dyDescent="0.2">
      <c r="A54" s="9" t="s">
        <v>432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</row>
    <row r="55" spans="1:11" x14ac:dyDescent="0.2">
      <c r="A55" s="9" t="s">
        <v>451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</row>
    <row r="56" spans="1:11" x14ac:dyDescent="0.2">
      <c r="A56" s="9" t="s">
        <v>446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</row>
    <row r="57" spans="1:11" x14ac:dyDescent="0.2">
      <c r="A57" s="9" t="s">
        <v>442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</row>
    <row r="58" spans="1:11" x14ac:dyDescent="0.2">
      <c r="A58" s="9" t="s">
        <v>418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</row>
    <row r="59" spans="1:11" x14ac:dyDescent="0.2">
      <c r="A59" s="9" t="s">
        <v>407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</row>
    <row r="60" spans="1:11" x14ac:dyDescent="0.2">
      <c r="A60" s="9" t="s">
        <v>399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</row>
    <row r="61" spans="1:11" x14ac:dyDescent="0.2">
      <c r="A61" s="9" t="s">
        <v>420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</row>
    <row r="62" spans="1:11" x14ac:dyDescent="0.2">
      <c r="A62" s="9" t="s">
        <v>280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</row>
    <row r="63" spans="1:11" x14ac:dyDescent="0.2">
      <c r="A63" s="9" t="s">
        <v>396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</row>
  </sheetData>
  <conditionalFormatting sqref="B2:K63">
    <cfRule type="cellIs" dxfId="72" priority="1" operator="notEqual">
      <formula>0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63"/>
  <sheetViews>
    <sheetView workbookViewId="0">
      <selection activeCell="H4" sqref="H4"/>
    </sheetView>
  </sheetViews>
  <sheetFormatPr defaultRowHeight="12.75" x14ac:dyDescent="0.2"/>
  <cols>
    <col min="1" max="1" width="56.42578125" bestFit="1" customWidth="1"/>
    <col min="2" max="2" width="10.140625" bestFit="1" customWidth="1"/>
    <col min="3" max="3" width="13.28515625" bestFit="1" customWidth="1"/>
    <col min="4" max="4" width="15.28515625" bestFit="1" customWidth="1"/>
    <col min="5" max="5" width="9.5703125" bestFit="1" customWidth="1"/>
    <col min="6" max="6" width="11.5703125" bestFit="1" customWidth="1"/>
    <col min="7" max="7" width="8" bestFit="1" customWidth="1"/>
    <col min="8" max="8" width="19" bestFit="1" customWidth="1"/>
    <col min="9" max="9" width="12.5703125" bestFit="1" customWidth="1"/>
    <col min="10" max="11" width="15.85546875" bestFit="1" customWidth="1"/>
  </cols>
  <sheetData>
    <row r="1" spans="1:11" ht="15" x14ac:dyDescent="0.2">
      <c r="A1" s="2" t="s">
        <v>452</v>
      </c>
      <c r="B1" s="9" t="s">
        <v>77</v>
      </c>
      <c r="C1" s="10" t="s">
        <v>15</v>
      </c>
      <c r="D1" s="10" t="s">
        <v>41</v>
      </c>
      <c r="E1" s="10" t="s">
        <v>219</v>
      </c>
      <c r="F1" s="9" t="s">
        <v>24</v>
      </c>
      <c r="G1" s="9" t="s">
        <v>260</v>
      </c>
      <c r="H1" s="10" t="s">
        <v>40</v>
      </c>
      <c r="I1" s="9" t="s">
        <v>261</v>
      </c>
      <c r="J1" s="9" t="s">
        <v>4</v>
      </c>
      <c r="K1" s="9" t="s">
        <v>279</v>
      </c>
    </row>
    <row r="2" spans="1:11" x14ac:dyDescent="0.2">
      <c r="A2" s="9" t="s">
        <v>423</v>
      </c>
      <c r="B2" s="13">
        <v>0.5</v>
      </c>
      <c r="C2" s="13">
        <v>11</v>
      </c>
      <c r="D2" s="13">
        <v>2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1" x14ac:dyDescent="0.2">
      <c r="A3" s="9" t="s">
        <v>443</v>
      </c>
      <c r="B3" s="13">
        <v>0</v>
      </c>
      <c r="C3" s="13">
        <v>0</v>
      </c>
      <c r="D3" s="13">
        <v>0</v>
      </c>
      <c r="E3" s="13">
        <v>4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</row>
    <row r="4" spans="1:11" x14ac:dyDescent="0.2">
      <c r="A4" s="9" t="s">
        <v>447</v>
      </c>
      <c r="B4" s="13">
        <v>0</v>
      </c>
      <c r="C4" s="13">
        <v>8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</row>
    <row r="5" spans="1:11" x14ac:dyDescent="0.2">
      <c r="A5" s="9" t="s">
        <v>433</v>
      </c>
      <c r="B5" s="13">
        <v>0</v>
      </c>
      <c r="C5" s="13">
        <v>0</v>
      </c>
      <c r="D5" s="13">
        <v>0</v>
      </c>
      <c r="E5" s="13">
        <v>0</v>
      </c>
      <c r="F5" s="13">
        <v>1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</row>
    <row r="6" spans="1:11" x14ac:dyDescent="0.2">
      <c r="A6" s="9" t="s">
        <v>437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1</v>
      </c>
      <c r="H6" s="9">
        <v>0</v>
      </c>
      <c r="I6" s="9">
        <v>0</v>
      </c>
      <c r="J6" s="9">
        <v>0</v>
      </c>
      <c r="K6" s="9">
        <v>0</v>
      </c>
    </row>
    <row r="7" spans="1:11" x14ac:dyDescent="0.2">
      <c r="A7" s="9" t="s">
        <v>390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1.25</v>
      </c>
      <c r="I7" s="9">
        <v>0</v>
      </c>
      <c r="J7" s="9">
        <v>0</v>
      </c>
      <c r="K7" s="9">
        <v>0</v>
      </c>
    </row>
    <row r="8" spans="1:11" x14ac:dyDescent="0.2">
      <c r="A8" s="9" t="s">
        <v>430</v>
      </c>
      <c r="B8" s="9">
        <v>0</v>
      </c>
      <c r="C8" s="9">
        <v>0</v>
      </c>
      <c r="D8" s="9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</row>
    <row r="9" spans="1:11" x14ac:dyDescent="0.2">
      <c r="A9" s="9" t="s">
        <v>434</v>
      </c>
      <c r="B9" s="9">
        <v>0</v>
      </c>
      <c r="C9" s="9">
        <v>0</v>
      </c>
      <c r="D9" s="9">
        <v>0</v>
      </c>
      <c r="E9" s="9">
        <v>0</v>
      </c>
      <c r="F9" s="9">
        <v>5</v>
      </c>
      <c r="G9" s="9">
        <v>0</v>
      </c>
      <c r="H9" s="9">
        <v>8.120000000000001</v>
      </c>
      <c r="I9" s="9">
        <v>0</v>
      </c>
      <c r="J9" s="9">
        <v>0</v>
      </c>
      <c r="K9" s="9">
        <v>0</v>
      </c>
    </row>
    <row r="10" spans="1:11" x14ac:dyDescent="0.2">
      <c r="A10" s="9" t="s">
        <v>436</v>
      </c>
      <c r="B10" s="9">
        <v>0</v>
      </c>
      <c r="C10" s="9">
        <v>0</v>
      </c>
      <c r="D10" s="9">
        <v>0</v>
      </c>
      <c r="E10" s="9">
        <v>4.5</v>
      </c>
      <c r="F10" s="9">
        <v>0</v>
      </c>
      <c r="G10" s="9">
        <v>0</v>
      </c>
      <c r="H10" s="9">
        <v>0</v>
      </c>
      <c r="I10" s="9">
        <v>2</v>
      </c>
      <c r="J10" s="9">
        <v>0</v>
      </c>
      <c r="K10" s="9">
        <v>0</v>
      </c>
    </row>
    <row r="11" spans="1:11" x14ac:dyDescent="0.2">
      <c r="A11" s="9" t="s">
        <v>256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2.5</v>
      </c>
      <c r="H11" s="9">
        <v>0</v>
      </c>
      <c r="I11" s="9">
        <v>0</v>
      </c>
      <c r="J11" s="9">
        <v>0</v>
      </c>
      <c r="K11" s="9">
        <v>0</v>
      </c>
    </row>
    <row r="12" spans="1:11" x14ac:dyDescent="0.2">
      <c r="A12" s="9" t="s">
        <v>435</v>
      </c>
      <c r="B12" s="9">
        <v>0</v>
      </c>
      <c r="C12" s="9">
        <v>0</v>
      </c>
      <c r="D12" s="9">
        <v>0</v>
      </c>
      <c r="E12" s="9">
        <v>3.5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</row>
    <row r="13" spans="1:11" x14ac:dyDescent="0.2">
      <c r="A13" s="9" t="s">
        <v>143</v>
      </c>
      <c r="B13" s="9">
        <v>15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0.5</v>
      </c>
      <c r="J13" s="9">
        <v>0</v>
      </c>
      <c r="K13" s="9">
        <v>0</v>
      </c>
    </row>
    <row r="14" spans="1:11" x14ac:dyDescent="0.2">
      <c r="A14" s="9" t="s">
        <v>373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0.5</v>
      </c>
      <c r="J14" s="9">
        <v>0</v>
      </c>
      <c r="K14" s="9">
        <v>0</v>
      </c>
    </row>
    <row r="15" spans="1:11" x14ac:dyDescent="0.2">
      <c r="A15" s="9" t="s">
        <v>375</v>
      </c>
      <c r="B15" s="9">
        <v>0</v>
      </c>
      <c r="C15" s="9">
        <v>0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</row>
    <row r="16" spans="1:11" x14ac:dyDescent="0.2">
      <c r="A16" s="9" t="s">
        <v>376</v>
      </c>
      <c r="B16" s="9">
        <v>0</v>
      </c>
      <c r="C16" s="9">
        <v>0</v>
      </c>
      <c r="D16" s="9">
        <v>0</v>
      </c>
      <c r="E16" s="9">
        <v>1</v>
      </c>
      <c r="F16" s="9">
        <v>0</v>
      </c>
      <c r="G16" s="9">
        <v>0</v>
      </c>
      <c r="H16" s="9">
        <v>0</v>
      </c>
      <c r="I16" s="9">
        <v>0.2</v>
      </c>
      <c r="J16" s="9">
        <v>0</v>
      </c>
      <c r="K16" s="9">
        <v>0</v>
      </c>
    </row>
    <row r="17" spans="1:13" x14ac:dyDescent="0.2">
      <c r="A17" s="9" t="s">
        <v>421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</row>
    <row r="18" spans="1:13" x14ac:dyDescent="0.2">
      <c r="A18" s="9" t="s">
        <v>128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</row>
    <row r="19" spans="1:13" x14ac:dyDescent="0.2">
      <c r="A19" s="9" t="s">
        <v>448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</row>
    <row r="20" spans="1:13" x14ac:dyDescent="0.2">
      <c r="A20" s="9" t="s">
        <v>126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</row>
    <row r="21" spans="1:13" x14ac:dyDescent="0.2">
      <c r="A21" s="9" t="s">
        <v>417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</row>
    <row r="22" spans="1:13" x14ac:dyDescent="0.2">
      <c r="A22" s="9" t="s">
        <v>422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</row>
    <row r="23" spans="1:13" x14ac:dyDescent="0.2">
      <c r="A23" s="9" t="s">
        <v>394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M23" s="4"/>
    </row>
    <row r="24" spans="1:13" x14ac:dyDescent="0.2">
      <c r="A24" s="9" t="s">
        <v>444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M24" s="4"/>
    </row>
    <row r="25" spans="1:13" x14ac:dyDescent="0.2">
      <c r="A25" s="9" t="s">
        <v>440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M25" s="4"/>
    </row>
    <row r="26" spans="1:13" x14ac:dyDescent="0.2">
      <c r="A26" s="9" t="s">
        <v>445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</row>
    <row r="27" spans="1:13" x14ac:dyDescent="0.2">
      <c r="A27" s="9" t="s">
        <v>406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</row>
    <row r="28" spans="1:13" x14ac:dyDescent="0.2">
      <c r="A28" s="9" t="s">
        <v>405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M28" s="4"/>
    </row>
    <row r="29" spans="1:13" x14ac:dyDescent="0.2">
      <c r="A29" s="9" t="s">
        <v>115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</row>
    <row r="30" spans="1:13" x14ac:dyDescent="0.2">
      <c r="A30" s="9" t="s">
        <v>231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</row>
    <row r="31" spans="1:13" x14ac:dyDescent="0.2">
      <c r="A31" s="9" t="s">
        <v>216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</row>
    <row r="32" spans="1:13" x14ac:dyDescent="0.2">
      <c r="A32" s="9" t="s">
        <v>427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">
      <c r="A33" s="9" t="s">
        <v>426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">
      <c r="A34" s="9" t="s">
        <v>428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">
      <c r="A35" s="9" t="s">
        <v>449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">
      <c r="A36" s="9" t="s">
        <v>450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">
      <c r="A37" s="9" t="s">
        <v>439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">
      <c r="A38" s="9" t="s">
        <v>425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">
      <c r="A39" s="9" t="s">
        <v>119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">
      <c r="A40" s="9" t="s">
        <v>438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">
      <c r="A41" s="9" t="s">
        <v>441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">
      <c r="A42" s="9" t="s">
        <v>419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">
      <c r="A43" s="9" t="s">
        <v>397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">
      <c r="A45" s="9" t="s">
        <v>353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">
      <c r="A46" s="9" t="s">
        <v>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">
      <c r="A47" s="9" t="s">
        <v>148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">
      <c r="A48" s="9" t="s">
        <v>262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</row>
    <row r="49" spans="1:11" x14ac:dyDescent="0.2">
      <c r="A49" s="9" t="s">
        <v>424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</row>
    <row r="50" spans="1:11" x14ac:dyDescent="0.2">
      <c r="A50" s="9" t="s">
        <v>415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</row>
    <row r="51" spans="1:11" x14ac:dyDescent="0.2">
      <c r="A51" s="9" t="s">
        <v>416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</row>
    <row r="52" spans="1:11" x14ac:dyDescent="0.2">
      <c r="A52" s="9" t="s">
        <v>429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</row>
    <row r="53" spans="1:11" x14ac:dyDescent="0.2">
      <c r="A53" s="9" t="s">
        <v>431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</row>
    <row r="54" spans="1:11" x14ac:dyDescent="0.2">
      <c r="A54" s="9" t="s">
        <v>432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</row>
    <row r="55" spans="1:11" x14ac:dyDescent="0.2">
      <c r="A55" s="9" t="s">
        <v>451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</row>
    <row r="56" spans="1:11" x14ac:dyDescent="0.2">
      <c r="A56" s="9" t="s">
        <v>446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</row>
    <row r="57" spans="1:11" x14ac:dyDescent="0.2">
      <c r="A57" s="9" t="s">
        <v>442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</row>
    <row r="58" spans="1:11" x14ac:dyDescent="0.2">
      <c r="A58" s="9" t="s">
        <v>418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</row>
    <row r="59" spans="1:11" x14ac:dyDescent="0.2">
      <c r="A59" s="9" t="s">
        <v>407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</row>
    <row r="60" spans="1:11" x14ac:dyDescent="0.2">
      <c r="A60" s="9" t="s">
        <v>399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</row>
    <row r="61" spans="1:11" x14ac:dyDescent="0.2">
      <c r="A61" s="9" t="s">
        <v>420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</row>
    <row r="62" spans="1:11" x14ac:dyDescent="0.2">
      <c r="A62" s="9" t="s">
        <v>280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</row>
    <row r="63" spans="1:11" x14ac:dyDescent="0.2">
      <c r="A63" s="9" t="s">
        <v>396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</row>
  </sheetData>
  <autoFilter ref="A1:A63">
    <sortState ref="A2:A63">
      <sortCondition ref="A2"/>
    </sortState>
  </autoFilter>
  <conditionalFormatting sqref="B2:K63">
    <cfRule type="cellIs" dxfId="71" priority="1" operator="notEqual">
      <formula>0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R520"/>
  <sheetViews>
    <sheetView topLeftCell="A22" workbookViewId="0">
      <selection activeCell="I14" sqref="I14"/>
    </sheetView>
  </sheetViews>
  <sheetFormatPr defaultRowHeight="12.75" x14ac:dyDescent="0.2"/>
  <sheetData>
    <row r="2" spans="1:18" x14ac:dyDescent="0.2">
      <c r="A2">
        <v>0</v>
      </c>
    </row>
    <row r="3" spans="1:18" x14ac:dyDescent="0.2">
      <c r="A3">
        <v>0</v>
      </c>
    </row>
    <row r="4" spans="1:18" ht="15" x14ac:dyDescent="0.2">
      <c r="A4">
        <v>0</v>
      </c>
      <c r="B4" s="2" t="s">
        <v>239</v>
      </c>
      <c r="C4" s="2" t="s">
        <v>240</v>
      </c>
      <c r="D4" s="2" t="s">
        <v>241</v>
      </c>
      <c r="E4" s="2" t="s">
        <v>242</v>
      </c>
      <c r="F4" s="2" t="s">
        <v>243</v>
      </c>
      <c r="G4" s="2" t="s">
        <v>244</v>
      </c>
      <c r="H4" s="2" t="s">
        <v>245</v>
      </c>
      <c r="I4" s="1" t="s">
        <v>246</v>
      </c>
      <c r="J4" s="3" t="s">
        <v>247</v>
      </c>
      <c r="K4" s="3" t="s">
        <v>248</v>
      </c>
      <c r="L4" s="3" t="s">
        <v>249</v>
      </c>
      <c r="M4" s="3" t="s">
        <v>250</v>
      </c>
      <c r="N4" s="3" t="s">
        <v>251</v>
      </c>
      <c r="O4" s="3" t="s">
        <v>252</v>
      </c>
      <c r="P4" s="3" t="s">
        <v>253</v>
      </c>
      <c r="Q4" s="3" t="s">
        <v>254</v>
      </c>
      <c r="R4" s="3" t="s">
        <v>255</v>
      </c>
    </row>
    <row r="5" spans="1:18" x14ac:dyDescent="0.2">
      <c r="A5">
        <v>0</v>
      </c>
      <c r="B5" t="s">
        <v>0</v>
      </c>
      <c r="C5">
        <v>1415974</v>
      </c>
      <c r="D5" t="s">
        <v>2</v>
      </c>
      <c r="E5" t="s">
        <v>3</v>
      </c>
      <c r="F5" t="s">
        <v>4</v>
      </c>
      <c r="G5">
        <v>2</v>
      </c>
    </row>
    <row r="6" spans="1:18" x14ac:dyDescent="0.2">
      <c r="A6">
        <v>0</v>
      </c>
      <c r="B6" t="s">
        <v>0</v>
      </c>
      <c r="C6">
        <v>1415974</v>
      </c>
      <c r="D6" t="s">
        <v>5</v>
      </c>
      <c r="E6" t="s">
        <v>3</v>
      </c>
      <c r="F6" t="s">
        <v>4</v>
      </c>
      <c r="G6">
        <v>0.5</v>
      </c>
    </row>
    <row r="7" spans="1:18" x14ac:dyDescent="0.2">
      <c r="A7">
        <v>0</v>
      </c>
      <c r="B7" t="s">
        <v>0</v>
      </c>
      <c r="C7">
        <v>1415974</v>
      </c>
      <c r="D7" t="s">
        <v>6</v>
      </c>
      <c r="E7" t="s">
        <v>3</v>
      </c>
      <c r="F7" t="s">
        <v>4</v>
      </c>
      <c r="G7">
        <v>0.5</v>
      </c>
    </row>
    <row r="8" spans="1:18" x14ac:dyDescent="0.2">
      <c r="A8">
        <v>0</v>
      </c>
      <c r="B8" t="s">
        <v>0</v>
      </c>
      <c r="C8">
        <v>1415974</v>
      </c>
      <c r="D8" t="s">
        <v>7</v>
      </c>
      <c r="E8" t="s">
        <v>3</v>
      </c>
      <c r="F8" t="s">
        <v>4</v>
      </c>
      <c r="G8">
        <v>1</v>
      </c>
    </row>
    <row r="9" spans="1:18" x14ac:dyDescent="0.2">
      <c r="A9">
        <v>0</v>
      </c>
      <c r="B9" t="s">
        <v>0</v>
      </c>
      <c r="C9">
        <v>1415974</v>
      </c>
      <c r="D9" t="s">
        <v>8</v>
      </c>
      <c r="E9" t="s">
        <v>3</v>
      </c>
      <c r="F9" t="s">
        <v>4</v>
      </c>
      <c r="G9">
        <v>1</v>
      </c>
    </row>
    <row r="10" spans="1:18" x14ac:dyDescent="0.2">
      <c r="A10">
        <v>0</v>
      </c>
      <c r="B10" t="s">
        <v>0</v>
      </c>
      <c r="C10">
        <v>1415974</v>
      </c>
      <c r="D10" t="s">
        <v>9</v>
      </c>
      <c r="E10" t="s">
        <v>3</v>
      </c>
      <c r="F10" t="s">
        <v>4</v>
      </c>
      <c r="G10">
        <v>1</v>
      </c>
    </row>
    <row r="11" spans="1:18" x14ac:dyDescent="0.2">
      <c r="A11">
        <v>0</v>
      </c>
      <c r="B11" t="s">
        <v>0</v>
      </c>
      <c r="C11">
        <v>1415974</v>
      </c>
      <c r="D11" t="s">
        <v>10</v>
      </c>
      <c r="E11" t="s">
        <v>3</v>
      </c>
      <c r="F11" t="s">
        <v>4</v>
      </c>
      <c r="G11">
        <v>1</v>
      </c>
    </row>
    <row r="12" spans="1:18" x14ac:dyDescent="0.2">
      <c r="B12" t="s">
        <v>0</v>
      </c>
      <c r="C12">
        <v>1415974</v>
      </c>
      <c r="D12" t="s">
        <v>11</v>
      </c>
      <c r="E12" t="s">
        <v>3</v>
      </c>
      <c r="F12" t="s">
        <v>4</v>
      </c>
      <c r="G12">
        <v>1</v>
      </c>
    </row>
    <row r="13" spans="1:18" x14ac:dyDescent="0.2">
      <c r="B13" t="s">
        <v>0</v>
      </c>
      <c r="C13">
        <v>1415974</v>
      </c>
      <c r="D13" t="s">
        <v>12</v>
      </c>
      <c r="E13" t="s">
        <v>3</v>
      </c>
      <c r="F13" t="s">
        <v>4</v>
      </c>
      <c r="G13">
        <v>1</v>
      </c>
    </row>
    <row r="14" spans="1:18" x14ac:dyDescent="0.2">
      <c r="B14" t="s">
        <v>0</v>
      </c>
      <c r="C14">
        <v>1415974</v>
      </c>
      <c r="D14" t="s">
        <v>13</v>
      </c>
      <c r="E14" t="s">
        <v>3</v>
      </c>
      <c r="F14" t="s">
        <v>4</v>
      </c>
      <c r="G14">
        <v>1</v>
      </c>
    </row>
    <row r="15" spans="1:18" x14ac:dyDescent="0.2">
      <c r="B15" t="s">
        <v>0</v>
      </c>
      <c r="C15">
        <v>1415974</v>
      </c>
      <c r="D15" t="s">
        <v>14</v>
      </c>
      <c r="E15" t="s">
        <v>3</v>
      </c>
      <c r="F15" t="s">
        <v>15</v>
      </c>
      <c r="G15">
        <v>2</v>
      </c>
    </row>
    <row r="16" spans="1:18" x14ac:dyDescent="0.2">
      <c r="B16" t="s">
        <v>0</v>
      </c>
      <c r="C16">
        <v>1415974</v>
      </c>
      <c r="D16" t="s">
        <v>16</v>
      </c>
      <c r="E16" t="s">
        <v>3</v>
      </c>
      <c r="F16" t="s">
        <v>15</v>
      </c>
      <c r="G16">
        <v>2</v>
      </c>
    </row>
    <row r="17" spans="2:7" x14ac:dyDescent="0.2">
      <c r="B17" t="s">
        <v>0</v>
      </c>
      <c r="C17">
        <v>1415974</v>
      </c>
      <c r="D17" t="s">
        <v>17</v>
      </c>
      <c r="E17" t="s">
        <v>3</v>
      </c>
      <c r="F17" t="s">
        <v>15</v>
      </c>
      <c r="G17">
        <v>2</v>
      </c>
    </row>
    <row r="18" spans="2:7" x14ac:dyDescent="0.2">
      <c r="B18" t="s">
        <v>0</v>
      </c>
      <c r="C18">
        <v>1415974</v>
      </c>
      <c r="D18" t="s">
        <v>18</v>
      </c>
      <c r="E18" t="s">
        <v>3</v>
      </c>
      <c r="F18" t="s">
        <v>15</v>
      </c>
      <c r="G18">
        <v>2</v>
      </c>
    </row>
    <row r="19" spans="2:7" x14ac:dyDescent="0.2">
      <c r="B19" t="s">
        <v>0</v>
      </c>
      <c r="C19">
        <v>1415974</v>
      </c>
      <c r="D19" t="s">
        <v>19</v>
      </c>
      <c r="E19" t="s">
        <v>3</v>
      </c>
      <c r="F19" t="s">
        <v>15</v>
      </c>
      <c r="G19">
        <v>1</v>
      </c>
    </row>
    <row r="20" spans="2:7" x14ac:dyDescent="0.2">
      <c r="B20" t="s">
        <v>0</v>
      </c>
      <c r="C20">
        <v>1415974</v>
      </c>
      <c r="D20" t="s">
        <v>20</v>
      </c>
      <c r="E20" t="s">
        <v>3</v>
      </c>
      <c r="F20" t="s">
        <v>15</v>
      </c>
      <c r="G20">
        <v>1</v>
      </c>
    </row>
    <row r="21" spans="2:7" x14ac:dyDescent="0.2">
      <c r="B21" t="s">
        <v>0</v>
      </c>
      <c r="C21">
        <v>1415974</v>
      </c>
      <c r="D21" t="s">
        <v>21</v>
      </c>
      <c r="E21" t="s">
        <v>3</v>
      </c>
      <c r="F21" t="s">
        <v>15</v>
      </c>
      <c r="G21">
        <v>1</v>
      </c>
    </row>
    <row r="22" spans="2:7" x14ac:dyDescent="0.2">
      <c r="B22" t="s">
        <v>0</v>
      </c>
      <c r="C22">
        <v>1415974</v>
      </c>
      <c r="D22" t="s">
        <v>22</v>
      </c>
      <c r="E22" t="s">
        <v>3</v>
      </c>
      <c r="F22" t="s">
        <v>15</v>
      </c>
      <c r="G22">
        <v>0</v>
      </c>
    </row>
    <row r="23" spans="2:7" x14ac:dyDescent="0.2">
      <c r="B23" t="s">
        <v>0</v>
      </c>
      <c r="C23">
        <v>1415974</v>
      </c>
      <c r="D23" t="s">
        <v>23</v>
      </c>
      <c r="E23" t="s">
        <v>3</v>
      </c>
      <c r="F23" t="s">
        <v>24</v>
      </c>
      <c r="G23">
        <v>1</v>
      </c>
    </row>
    <row r="24" spans="2:7" x14ac:dyDescent="0.2">
      <c r="B24" t="s">
        <v>0</v>
      </c>
      <c r="C24">
        <v>1415974</v>
      </c>
      <c r="D24" t="s">
        <v>25</v>
      </c>
      <c r="E24" t="s">
        <v>3</v>
      </c>
      <c r="F24" t="s">
        <v>24</v>
      </c>
      <c r="G24">
        <v>1</v>
      </c>
    </row>
    <row r="25" spans="2:7" x14ac:dyDescent="0.2">
      <c r="B25" t="s">
        <v>0</v>
      </c>
      <c r="C25">
        <v>1415974</v>
      </c>
      <c r="D25" t="s">
        <v>26</v>
      </c>
      <c r="E25" t="s">
        <v>3</v>
      </c>
      <c r="F25" t="s">
        <v>24</v>
      </c>
      <c r="G25">
        <v>0.1</v>
      </c>
    </row>
    <row r="26" spans="2:7" x14ac:dyDescent="0.2">
      <c r="B26" t="s">
        <v>27</v>
      </c>
      <c r="C26">
        <v>1416009</v>
      </c>
      <c r="D26" t="s">
        <v>28</v>
      </c>
      <c r="E26" t="s">
        <v>29</v>
      </c>
      <c r="F26" t="s">
        <v>24</v>
      </c>
      <c r="G26">
        <v>1</v>
      </c>
    </row>
    <row r="27" spans="2:7" x14ac:dyDescent="0.2">
      <c r="B27" t="s">
        <v>30</v>
      </c>
      <c r="C27">
        <v>1416093</v>
      </c>
      <c r="D27" t="s">
        <v>31</v>
      </c>
      <c r="E27" t="s">
        <v>32</v>
      </c>
      <c r="F27" t="s">
        <v>24</v>
      </c>
      <c r="G27">
        <v>0.2</v>
      </c>
    </row>
    <row r="28" spans="2:7" x14ac:dyDescent="0.2">
      <c r="B28" t="s">
        <v>30</v>
      </c>
      <c r="C28">
        <v>1416093</v>
      </c>
      <c r="D28" t="s">
        <v>33</v>
      </c>
      <c r="E28" t="s">
        <v>32</v>
      </c>
      <c r="F28" t="s">
        <v>24</v>
      </c>
      <c r="G28">
        <v>0.2</v>
      </c>
    </row>
    <row r="29" spans="2:7" x14ac:dyDescent="0.2">
      <c r="B29" t="s">
        <v>30</v>
      </c>
      <c r="C29">
        <v>1416093</v>
      </c>
      <c r="D29" t="s">
        <v>34</v>
      </c>
      <c r="E29" t="s">
        <v>32</v>
      </c>
      <c r="F29" t="s">
        <v>24</v>
      </c>
      <c r="G29">
        <v>0.1</v>
      </c>
    </row>
    <row r="30" spans="2:7" x14ac:dyDescent="0.2">
      <c r="B30" t="s">
        <v>30</v>
      </c>
      <c r="C30">
        <v>1416093</v>
      </c>
      <c r="D30" t="s">
        <v>35</v>
      </c>
      <c r="E30" t="s">
        <v>32</v>
      </c>
      <c r="F30" t="s">
        <v>24</v>
      </c>
      <c r="G30">
        <v>0.1</v>
      </c>
    </row>
    <row r="31" spans="2:7" x14ac:dyDescent="0.2">
      <c r="B31" t="s">
        <v>30</v>
      </c>
      <c r="C31">
        <v>1416093</v>
      </c>
      <c r="D31" t="s">
        <v>36</v>
      </c>
      <c r="E31" t="s">
        <v>32</v>
      </c>
      <c r="F31" t="s">
        <v>24</v>
      </c>
      <c r="G31">
        <v>1</v>
      </c>
    </row>
    <row r="32" spans="2:7" x14ac:dyDescent="0.2">
      <c r="B32" t="s">
        <v>30</v>
      </c>
      <c r="C32">
        <v>1416093</v>
      </c>
      <c r="D32" t="s">
        <v>37</v>
      </c>
      <c r="E32" t="s">
        <v>32</v>
      </c>
      <c r="F32" t="s">
        <v>24</v>
      </c>
      <c r="G32">
        <v>1</v>
      </c>
    </row>
    <row r="33" spans="2:7" x14ac:dyDescent="0.2">
      <c r="B33" t="s">
        <v>30</v>
      </c>
      <c r="C33">
        <v>1416093</v>
      </c>
      <c r="D33" t="s">
        <v>38</v>
      </c>
      <c r="E33" t="s">
        <v>32</v>
      </c>
      <c r="F33" t="s">
        <v>24</v>
      </c>
      <c r="G33">
        <v>0.1</v>
      </c>
    </row>
    <row r="34" spans="2:7" x14ac:dyDescent="0.2">
      <c r="B34" t="s">
        <v>39</v>
      </c>
      <c r="C34">
        <v>1416090</v>
      </c>
      <c r="D34" t="s">
        <v>31</v>
      </c>
      <c r="E34" t="s">
        <v>32</v>
      </c>
      <c r="F34" t="s">
        <v>40</v>
      </c>
      <c r="G34">
        <v>0.25</v>
      </c>
    </row>
    <row r="35" spans="2:7" x14ac:dyDescent="0.2">
      <c r="B35" t="s">
        <v>39</v>
      </c>
      <c r="C35">
        <v>1416090</v>
      </c>
      <c r="D35" t="s">
        <v>33</v>
      </c>
      <c r="E35" t="s">
        <v>32</v>
      </c>
      <c r="F35" t="s">
        <v>40</v>
      </c>
      <c r="G35">
        <v>0.12</v>
      </c>
    </row>
    <row r="36" spans="2:7" x14ac:dyDescent="0.2">
      <c r="B36" t="s">
        <v>39</v>
      </c>
      <c r="C36">
        <v>1416090</v>
      </c>
      <c r="D36" t="s">
        <v>34</v>
      </c>
      <c r="E36" t="s">
        <v>32</v>
      </c>
      <c r="F36" t="s">
        <v>40</v>
      </c>
      <c r="G36">
        <v>0.12</v>
      </c>
    </row>
    <row r="37" spans="2:7" x14ac:dyDescent="0.2">
      <c r="B37" t="s">
        <v>39</v>
      </c>
      <c r="C37">
        <v>1416090</v>
      </c>
      <c r="D37" t="s">
        <v>35</v>
      </c>
      <c r="E37" t="s">
        <v>32</v>
      </c>
      <c r="F37" t="s">
        <v>40</v>
      </c>
      <c r="G37">
        <v>0.25</v>
      </c>
    </row>
    <row r="38" spans="2:7" x14ac:dyDescent="0.2">
      <c r="B38" t="s">
        <v>39</v>
      </c>
      <c r="C38">
        <v>1416090</v>
      </c>
      <c r="D38" t="s">
        <v>36</v>
      </c>
      <c r="E38" t="s">
        <v>32</v>
      </c>
      <c r="F38" t="s">
        <v>24</v>
      </c>
      <c r="G38">
        <v>1</v>
      </c>
    </row>
    <row r="39" spans="2:7" x14ac:dyDescent="0.2">
      <c r="B39" t="s">
        <v>39</v>
      </c>
      <c r="C39">
        <v>1416090</v>
      </c>
      <c r="D39" t="s">
        <v>37</v>
      </c>
      <c r="E39" t="s">
        <v>32</v>
      </c>
      <c r="F39" t="s">
        <v>24</v>
      </c>
      <c r="G39">
        <v>1</v>
      </c>
    </row>
    <row r="40" spans="2:7" x14ac:dyDescent="0.2">
      <c r="B40" t="s">
        <v>39</v>
      </c>
      <c r="C40">
        <v>1416090</v>
      </c>
      <c r="D40" t="s">
        <v>38</v>
      </c>
      <c r="E40" t="s">
        <v>32</v>
      </c>
      <c r="F40" t="s">
        <v>24</v>
      </c>
      <c r="G40">
        <v>0.1</v>
      </c>
    </row>
    <row r="41" spans="2:7" x14ac:dyDescent="0.2">
      <c r="B41" t="s">
        <v>39</v>
      </c>
      <c r="C41">
        <v>1417373</v>
      </c>
      <c r="D41" t="s">
        <v>28</v>
      </c>
      <c r="E41" t="s">
        <v>32</v>
      </c>
      <c r="F41" t="s">
        <v>41</v>
      </c>
      <c r="G41">
        <v>2</v>
      </c>
    </row>
    <row r="42" spans="2:7" x14ac:dyDescent="0.2">
      <c r="B42" t="s">
        <v>39</v>
      </c>
      <c r="C42">
        <v>1417373</v>
      </c>
      <c r="D42" t="s">
        <v>42</v>
      </c>
      <c r="E42" t="s">
        <v>32</v>
      </c>
      <c r="F42" t="s">
        <v>41</v>
      </c>
      <c r="G42">
        <v>2</v>
      </c>
    </row>
    <row r="43" spans="2:7" x14ac:dyDescent="0.2">
      <c r="B43" t="s">
        <v>39</v>
      </c>
      <c r="C43">
        <v>1417373</v>
      </c>
      <c r="D43" t="s">
        <v>43</v>
      </c>
      <c r="E43" t="s">
        <v>32</v>
      </c>
      <c r="F43" t="s">
        <v>41</v>
      </c>
      <c r="G43">
        <v>2</v>
      </c>
    </row>
    <row r="44" spans="2:7" x14ac:dyDescent="0.2">
      <c r="B44" t="s">
        <v>39</v>
      </c>
      <c r="C44">
        <v>1417373</v>
      </c>
      <c r="D44" t="s">
        <v>44</v>
      </c>
      <c r="E44" t="s">
        <v>32</v>
      </c>
      <c r="F44" t="s">
        <v>41</v>
      </c>
      <c r="G44">
        <v>2.5</v>
      </c>
    </row>
    <row r="45" spans="2:7" x14ac:dyDescent="0.2">
      <c r="B45" t="s">
        <v>45</v>
      </c>
      <c r="C45">
        <v>1417493</v>
      </c>
      <c r="D45" t="s">
        <v>46</v>
      </c>
      <c r="E45" t="s">
        <v>47</v>
      </c>
      <c r="F45" t="s">
        <v>24</v>
      </c>
      <c r="G45">
        <v>1</v>
      </c>
    </row>
    <row r="46" spans="2:7" x14ac:dyDescent="0.2">
      <c r="B46" t="s">
        <v>45</v>
      </c>
      <c r="C46">
        <v>1417493</v>
      </c>
      <c r="D46" t="s">
        <v>48</v>
      </c>
      <c r="E46" t="s">
        <v>47</v>
      </c>
      <c r="F46" t="s">
        <v>24</v>
      </c>
      <c r="G46">
        <v>1</v>
      </c>
    </row>
    <row r="47" spans="2:7" x14ac:dyDescent="0.2">
      <c r="B47" t="s">
        <v>45</v>
      </c>
      <c r="C47">
        <v>1417493</v>
      </c>
      <c r="D47" t="s">
        <v>49</v>
      </c>
      <c r="E47" t="s">
        <v>47</v>
      </c>
      <c r="F47" t="s">
        <v>4</v>
      </c>
      <c r="G47">
        <v>6</v>
      </c>
    </row>
    <row r="48" spans="2:7" x14ac:dyDescent="0.2">
      <c r="B48" t="s">
        <v>45</v>
      </c>
      <c r="C48">
        <v>1417493</v>
      </c>
      <c r="D48" t="s">
        <v>50</v>
      </c>
      <c r="E48" t="s">
        <v>47</v>
      </c>
      <c r="F48" t="s">
        <v>24</v>
      </c>
      <c r="G48">
        <v>0.1</v>
      </c>
    </row>
    <row r="49" spans="2:7" x14ac:dyDescent="0.2">
      <c r="B49" t="s">
        <v>45</v>
      </c>
      <c r="C49">
        <v>1417493</v>
      </c>
      <c r="D49" t="s">
        <v>51</v>
      </c>
      <c r="E49" t="s">
        <v>47</v>
      </c>
      <c r="F49" t="s">
        <v>24</v>
      </c>
      <c r="G49">
        <v>6</v>
      </c>
    </row>
    <row r="50" spans="2:7" x14ac:dyDescent="0.2">
      <c r="B50" t="s">
        <v>45</v>
      </c>
      <c r="C50">
        <v>1417493</v>
      </c>
      <c r="D50" t="s">
        <v>52</v>
      </c>
      <c r="E50" t="s">
        <v>47</v>
      </c>
      <c r="F50" t="s">
        <v>41</v>
      </c>
      <c r="G50">
        <v>3</v>
      </c>
    </row>
    <row r="51" spans="2:7" x14ac:dyDescent="0.2">
      <c r="B51" t="s">
        <v>45</v>
      </c>
      <c r="C51">
        <v>1417493</v>
      </c>
      <c r="D51" t="s">
        <v>53</v>
      </c>
      <c r="E51" t="s">
        <v>47</v>
      </c>
      <c r="F51" t="s">
        <v>41</v>
      </c>
      <c r="G51">
        <v>6</v>
      </c>
    </row>
    <row r="52" spans="2:7" x14ac:dyDescent="0.2">
      <c r="B52" t="s">
        <v>45</v>
      </c>
      <c r="C52">
        <v>1417493</v>
      </c>
      <c r="D52" t="s">
        <v>54</v>
      </c>
      <c r="E52" t="s">
        <v>47</v>
      </c>
      <c r="F52" t="s">
        <v>41</v>
      </c>
      <c r="G52">
        <v>1</v>
      </c>
    </row>
    <row r="53" spans="2:7" x14ac:dyDescent="0.2">
      <c r="B53" t="s">
        <v>45</v>
      </c>
      <c r="C53">
        <v>1417493</v>
      </c>
      <c r="D53" t="s">
        <v>55</v>
      </c>
      <c r="E53" t="s">
        <v>47</v>
      </c>
      <c r="F53" t="s">
        <v>41</v>
      </c>
      <c r="G53">
        <v>3</v>
      </c>
    </row>
    <row r="54" spans="2:7" x14ac:dyDescent="0.2">
      <c r="B54" t="s">
        <v>45</v>
      </c>
      <c r="C54">
        <v>1417493</v>
      </c>
      <c r="D54" t="s">
        <v>56</v>
      </c>
      <c r="E54" t="s">
        <v>47</v>
      </c>
      <c r="F54" t="s">
        <v>41</v>
      </c>
      <c r="G54">
        <v>2</v>
      </c>
    </row>
    <row r="55" spans="2:7" x14ac:dyDescent="0.2">
      <c r="B55" t="s">
        <v>45</v>
      </c>
      <c r="C55">
        <v>1417493</v>
      </c>
      <c r="D55" t="s">
        <v>57</v>
      </c>
      <c r="E55" t="s">
        <v>47</v>
      </c>
      <c r="F55" t="s">
        <v>41</v>
      </c>
      <c r="G55">
        <v>3</v>
      </c>
    </row>
    <row r="56" spans="2:7" x14ac:dyDescent="0.2">
      <c r="B56" t="s">
        <v>45</v>
      </c>
      <c r="C56">
        <v>1417493</v>
      </c>
      <c r="D56" t="s">
        <v>58</v>
      </c>
      <c r="E56" t="s">
        <v>47</v>
      </c>
      <c r="F56" t="s">
        <v>15</v>
      </c>
      <c r="G56">
        <v>2</v>
      </c>
    </row>
    <row r="57" spans="2:7" x14ac:dyDescent="0.2">
      <c r="B57" t="s">
        <v>45</v>
      </c>
      <c r="C57">
        <v>1417493</v>
      </c>
      <c r="D57" t="s">
        <v>59</v>
      </c>
      <c r="E57" t="s">
        <v>47</v>
      </c>
      <c r="F57" t="s">
        <v>15</v>
      </c>
      <c r="G57">
        <v>1</v>
      </c>
    </row>
    <row r="58" spans="2:7" x14ac:dyDescent="0.2">
      <c r="B58" t="s">
        <v>60</v>
      </c>
      <c r="C58">
        <v>1416608</v>
      </c>
      <c r="D58" t="s">
        <v>61</v>
      </c>
      <c r="E58" t="s">
        <v>62</v>
      </c>
      <c r="F58" t="s">
        <v>15</v>
      </c>
      <c r="G58">
        <v>0.5</v>
      </c>
    </row>
    <row r="59" spans="2:7" x14ac:dyDescent="0.2">
      <c r="B59" t="s">
        <v>60</v>
      </c>
      <c r="C59">
        <v>1416608</v>
      </c>
      <c r="D59" t="s">
        <v>63</v>
      </c>
      <c r="E59" t="s">
        <v>62</v>
      </c>
      <c r="F59" t="s">
        <v>15</v>
      </c>
      <c r="G59">
        <v>0.5</v>
      </c>
    </row>
    <row r="60" spans="2:7" x14ac:dyDescent="0.2">
      <c r="B60" t="s">
        <v>60</v>
      </c>
      <c r="C60">
        <v>1416608</v>
      </c>
      <c r="D60" t="s">
        <v>64</v>
      </c>
      <c r="E60" t="s">
        <v>62</v>
      </c>
      <c r="F60" t="s">
        <v>15</v>
      </c>
      <c r="G60">
        <v>1</v>
      </c>
    </row>
    <row r="61" spans="2:7" x14ac:dyDescent="0.2">
      <c r="B61" t="s">
        <v>60</v>
      </c>
      <c r="C61">
        <v>1416608</v>
      </c>
      <c r="D61" t="s">
        <v>65</v>
      </c>
      <c r="E61" t="s">
        <v>62</v>
      </c>
      <c r="F61" t="s">
        <v>15</v>
      </c>
      <c r="G61">
        <v>1</v>
      </c>
    </row>
    <row r="62" spans="2:7" x14ac:dyDescent="0.2">
      <c r="B62" t="s">
        <v>60</v>
      </c>
      <c r="C62">
        <v>1416608</v>
      </c>
      <c r="D62" t="s">
        <v>66</v>
      </c>
      <c r="E62" t="s">
        <v>62</v>
      </c>
      <c r="F62" t="s">
        <v>15</v>
      </c>
      <c r="G62">
        <v>1</v>
      </c>
    </row>
    <row r="63" spans="2:7" x14ac:dyDescent="0.2">
      <c r="B63" t="s">
        <v>60</v>
      </c>
      <c r="C63">
        <v>1416608</v>
      </c>
      <c r="D63" t="s">
        <v>67</v>
      </c>
      <c r="E63" t="s">
        <v>62</v>
      </c>
      <c r="F63" t="s">
        <v>15</v>
      </c>
      <c r="G63">
        <v>1</v>
      </c>
    </row>
    <row r="64" spans="2:7" x14ac:dyDescent="0.2">
      <c r="B64" t="s">
        <v>60</v>
      </c>
      <c r="C64">
        <v>1416608</v>
      </c>
      <c r="D64" t="s">
        <v>68</v>
      </c>
      <c r="E64" t="s">
        <v>62</v>
      </c>
      <c r="F64" t="s">
        <v>15</v>
      </c>
      <c r="G64">
        <v>1</v>
      </c>
    </row>
    <row r="65" spans="2:7" x14ac:dyDescent="0.2">
      <c r="B65" t="s">
        <v>60</v>
      </c>
      <c r="C65">
        <v>1416608</v>
      </c>
      <c r="D65" t="s">
        <v>69</v>
      </c>
      <c r="E65" t="s">
        <v>62</v>
      </c>
      <c r="F65" t="s">
        <v>4</v>
      </c>
      <c r="G65">
        <v>1</v>
      </c>
    </row>
    <row r="66" spans="2:7" x14ac:dyDescent="0.2">
      <c r="B66" t="s">
        <v>60</v>
      </c>
      <c r="C66">
        <v>1416608</v>
      </c>
      <c r="D66" t="s">
        <v>70</v>
      </c>
      <c r="E66" t="s">
        <v>62</v>
      </c>
      <c r="F66" t="s">
        <v>4</v>
      </c>
      <c r="G66">
        <v>1</v>
      </c>
    </row>
    <row r="67" spans="2:7" x14ac:dyDescent="0.2">
      <c r="B67" t="s">
        <v>60</v>
      </c>
      <c r="C67">
        <v>1416608</v>
      </c>
      <c r="D67" t="s">
        <v>71</v>
      </c>
      <c r="E67" t="s">
        <v>62</v>
      </c>
      <c r="F67" t="s">
        <v>4</v>
      </c>
      <c r="G67">
        <v>1</v>
      </c>
    </row>
    <row r="68" spans="2:7" x14ac:dyDescent="0.2">
      <c r="B68" t="s">
        <v>60</v>
      </c>
      <c r="C68">
        <v>1416608</v>
      </c>
      <c r="D68" t="s">
        <v>72</v>
      </c>
      <c r="E68" t="s">
        <v>62</v>
      </c>
      <c r="F68" t="s">
        <v>4</v>
      </c>
      <c r="G68">
        <v>1</v>
      </c>
    </row>
    <row r="69" spans="2:7" x14ac:dyDescent="0.2">
      <c r="B69" t="s">
        <v>60</v>
      </c>
      <c r="C69">
        <v>1416608</v>
      </c>
      <c r="D69" t="s">
        <v>73</v>
      </c>
      <c r="E69" t="s">
        <v>62</v>
      </c>
      <c r="F69" t="s">
        <v>4</v>
      </c>
      <c r="G69">
        <v>1</v>
      </c>
    </row>
    <row r="70" spans="2:7" x14ac:dyDescent="0.2">
      <c r="B70" t="s">
        <v>60</v>
      </c>
      <c r="C70">
        <v>1416608</v>
      </c>
      <c r="D70" t="s">
        <v>74</v>
      </c>
      <c r="E70" t="s">
        <v>62</v>
      </c>
      <c r="F70" t="s">
        <v>4</v>
      </c>
      <c r="G70">
        <v>0</v>
      </c>
    </row>
    <row r="71" spans="2:7" x14ac:dyDescent="0.2">
      <c r="B71" t="s">
        <v>75</v>
      </c>
      <c r="C71">
        <v>1390624</v>
      </c>
      <c r="D71" t="s">
        <v>76</v>
      </c>
      <c r="E71" t="s">
        <v>1</v>
      </c>
      <c r="F71" t="s">
        <v>77</v>
      </c>
      <c r="G71">
        <v>0.25</v>
      </c>
    </row>
    <row r="72" spans="2:7" x14ac:dyDescent="0.2">
      <c r="B72" t="s">
        <v>75</v>
      </c>
      <c r="C72">
        <v>1390624</v>
      </c>
      <c r="D72" t="s">
        <v>78</v>
      </c>
      <c r="E72" t="s">
        <v>1</v>
      </c>
      <c r="F72" t="s">
        <v>77</v>
      </c>
      <c r="G72">
        <v>0</v>
      </c>
    </row>
    <row r="73" spans="2:7" x14ac:dyDescent="0.2">
      <c r="B73" t="s">
        <v>75</v>
      </c>
      <c r="C73">
        <v>1390624</v>
      </c>
      <c r="D73" t="s">
        <v>79</v>
      </c>
      <c r="E73" t="s">
        <v>1</v>
      </c>
      <c r="F73" t="s">
        <v>77</v>
      </c>
      <c r="G73">
        <v>0</v>
      </c>
    </row>
    <row r="74" spans="2:7" x14ac:dyDescent="0.2">
      <c r="B74" t="s">
        <v>75</v>
      </c>
      <c r="C74">
        <v>1390624</v>
      </c>
      <c r="D74" t="s">
        <v>80</v>
      </c>
      <c r="E74" t="s">
        <v>1</v>
      </c>
      <c r="F74" t="s">
        <v>77</v>
      </c>
      <c r="G74">
        <v>0</v>
      </c>
    </row>
    <row r="75" spans="2:7" x14ac:dyDescent="0.2">
      <c r="B75" t="s">
        <v>75</v>
      </c>
      <c r="C75">
        <v>1390624</v>
      </c>
      <c r="D75" t="s">
        <v>81</v>
      </c>
      <c r="E75" t="s">
        <v>1</v>
      </c>
      <c r="F75" t="s">
        <v>77</v>
      </c>
      <c r="G75">
        <v>0.25</v>
      </c>
    </row>
    <row r="76" spans="2:7" x14ac:dyDescent="0.2">
      <c r="B76" t="s">
        <v>75</v>
      </c>
      <c r="C76">
        <v>1390624</v>
      </c>
      <c r="D76" t="s">
        <v>82</v>
      </c>
      <c r="E76" t="s">
        <v>1</v>
      </c>
      <c r="F76" t="s">
        <v>77</v>
      </c>
      <c r="G76">
        <v>0.25</v>
      </c>
    </row>
    <row r="77" spans="2:7" x14ac:dyDescent="0.2">
      <c r="B77" t="s">
        <v>75</v>
      </c>
      <c r="C77">
        <v>1390624</v>
      </c>
      <c r="D77" t="s">
        <v>83</v>
      </c>
      <c r="E77" t="s">
        <v>1</v>
      </c>
      <c r="F77" t="s">
        <v>77</v>
      </c>
      <c r="G77">
        <v>0.25</v>
      </c>
    </row>
    <row r="78" spans="2:7" x14ac:dyDescent="0.2">
      <c r="B78" t="s">
        <v>75</v>
      </c>
      <c r="C78">
        <v>1390624</v>
      </c>
      <c r="D78" t="s">
        <v>84</v>
      </c>
      <c r="E78" t="s">
        <v>1</v>
      </c>
      <c r="F78" t="s">
        <v>77</v>
      </c>
      <c r="G78">
        <v>0.25</v>
      </c>
    </row>
    <row r="79" spans="2:7" x14ac:dyDescent="0.2">
      <c r="B79" t="s">
        <v>75</v>
      </c>
      <c r="C79">
        <v>1390624</v>
      </c>
      <c r="D79" t="s">
        <v>85</v>
      </c>
      <c r="E79" t="s">
        <v>1</v>
      </c>
      <c r="F79" t="s">
        <v>77</v>
      </c>
      <c r="G79">
        <v>0.25</v>
      </c>
    </row>
    <row r="80" spans="2:7" x14ac:dyDescent="0.2">
      <c r="B80" t="s">
        <v>75</v>
      </c>
      <c r="C80">
        <v>1390624</v>
      </c>
      <c r="D80" t="s">
        <v>86</v>
      </c>
      <c r="E80" t="s">
        <v>1</v>
      </c>
      <c r="F80" t="s">
        <v>77</v>
      </c>
      <c r="G80">
        <v>26</v>
      </c>
    </row>
    <row r="81" spans="2:7" x14ac:dyDescent="0.2">
      <c r="B81" t="s">
        <v>75</v>
      </c>
      <c r="C81">
        <v>1390624</v>
      </c>
      <c r="D81" t="s">
        <v>87</v>
      </c>
      <c r="E81" t="s">
        <v>1</v>
      </c>
      <c r="F81" t="s">
        <v>77</v>
      </c>
      <c r="G81">
        <v>0.25</v>
      </c>
    </row>
    <row r="82" spans="2:7" x14ac:dyDescent="0.2">
      <c r="B82" t="s">
        <v>75</v>
      </c>
      <c r="C82">
        <v>1390624</v>
      </c>
      <c r="D82" t="s">
        <v>88</v>
      </c>
      <c r="E82" t="s">
        <v>1</v>
      </c>
      <c r="F82" t="s">
        <v>77</v>
      </c>
      <c r="G82">
        <v>0</v>
      </c>
    </row>
    <row r="83" spans="2:7" x14ac:dyDescent="0.2">
      <c r="B83" t="s">
        <v>75</v>
      </c>
      <c r="C83">
        <v>1390624</v>
      </c>
      <c r="D83" t="s">
        <v>89</v>
      </c>
      <c r="E83" t="s">
        <v>1</v>
      </c>
      <c r="F83" t="s">
        <v>40</v>
      </c>
      <c r="G83">
        <v>0.1</v>
      </c>
    </row>
    <row r="84" spans="2:7" x14ac:dyDescent="0.2">
      <c r="B84" t="s">
        <v>75</v>
      </c>
      <c r="C84">
        <v>1390624</v>
      </c>
      <c r="D84" t="s">
        <v>90</v>
      </c>
      <c r="E84" t="s">
        <v>1</v>
      </c>
      <c r="F84" t="s">
        <v>40</v>
      </c>
      <c r="G84">
        <v>1</v>
      </c>
    </row>
    <row r="85" spans="2:7" x14ac:dyDescent="0.2">
      <c r="B85" t="s">
        <v>75</v>
      </c>
      <c r="C85">
        <v>1390624</v>
      </c>
      <c r="D85" t="s">
        <v>91</v>
      </c>
      <c r="E85" t="s">
        <v>1</v>
      </c>
      <c r="F85" t="s">
        <v>40</v>
      </c>
      <c r="G85">
        <v>0.5</v>
      </c>
    </row>
    <row r="86" spans="2:7" x14ac:dyDescent="0.2">
      <c r="B86" t="s">
        <v>75</v>
      </c>
      <c r="C86">
        <v>1390624</v>
      </c>
      <c r="D86" t="s">
        <v>92</v>
      </c>
      <c r="E86" t="s">
        <v>1</v>
      </c>
      <c r="F86" t="s">
        <v>40</v>
      </c>
      <c r="G86">
        <v>0.25</v>
      </c>
    </row>
    <row r="87" spans="2:7" x14ac:dyDescent="0.2">
      <c r="B87" t="s">
        <v>75</v>
      </c>
      <c r="C87">
        <v>1390624</v>
      </c>
      <c r="D87" t="s">
        <v>93</v>
      </c>
      <c r="E87" t="s">
        <v>1</v>
      </c>
      <c r="F87" t="s">
        <v>40</v>
      </c>
      <c r="G87">
        <v>0</v>
      </c>
    </row>
    <row r="88" spans="2:7" x14ac:dyDescent="0.2">
      <c r="B88" t="s">
        <v>75</v>
      </c>
      <c r="C88">
        <v>1390624</v>
      </c>
      <c r="D88" t="s">
        <v>94</v>
      </c>
      <c r="E88" t="s">
        <v>1</v>
      </c>
      <c r="F88" t="s">
        <v>40</v>
      </c>
      <c r="G88">
        <v>0.08</v>
      </c>
    </row>
    <row r="89" spans="2:7" x14ac:dyDescent="0.2">
      <c r="B89" t="s">
        <v>75</v>
      </c>
      <c r="C89">
        <v>1390624</v>
      </c>
      <c r="D89" t="s">
        <v>95</v>
      </c>
      <c r="E89" t="s">
        <v>1</v>
      </c>
      <c r="F89" t="s">
        <v>40</v>
      </c>
      <c r="G89">
        <v>0.12</v>
      </c>
    </row>
    <row r="90" spans="2:7" x14ac:dyDescent="0.2">
      <c r="B90" t="s">
        <v>75</v>
      </c>
      <c r="C90">
        <v>1390624</v>
      </c>
      <c r="D90" t="s">
        <v>96</v>
      </c>
      <c r="E90" t="s">
        <v>1</v>
      </c>
      <c r="F90" t="s">
        <v>40</v>
      </c>
      <c r="G90">
        <v>0.12</v>
      </c>
    </row>
    <row r="91" spans="2:7" x14ac:dyDescent="0.2">
      <c r="B91" t="s">
        <v>75</v>
      </c>
      <c r="C91">
        <v>1390624</v>
      </c>
      <c r="D91" t="s">
        <v>97</v>
      </c>
      <c r="E91" t="s">
        <v>1</v>
      </c>
      <c r="F91" t="s">
        <v>40</v>
      </c>
      <c r="G91">
        <v>0.12</v>
      </c>
    </row>
    <row r="92" spans="2:7" x14ac:dyDescent="0.2">
      <c r="B92" t="s">
        <v>75</v>
      </c>
      <c r="C92">
        <v>1390624</v>
      </c>
      <c r="D92" t="s">
        <v>98</v>
      </c>
      <c r="E92" t="s">
        <v>1</v>
      </c>
      <c r="F92" t="s">
        <v>40</v>
      </c>
      <c r="G92">
        <v>1</v>
      </c>
    </row>
    <row r="93" spans="2:7" x14ac:dyDescent="0.2">
      <c r="B93" t="s">
        <v>75</v>
      </c>
      <c r="C93">
        <v>1390624</v>
      </c>
      <c r="D93" t="s">
        <v>99</v>
      </c>
      <c r="E93" t="s">
        <v>1</v>
      </c>
      <c r="F93" t="s">
        <v>40</v>
      </c>
      <c r="G93">
        <v>0.25</v>
      </c>
    </row>
    <row r="94" spans="2:7" x14ac:dyDescent="0.2">
      <c r="B94" t="s">
        <v>75</v>
      </c>
      <c r="C94">
        <v>1390624</v>
      </c>
      <c r="D94" t="s">
        <v>100</v>
      </c>
      <c r="E94" t="s">
        <v>1</v>
      </c>
      <c r="F94" t="s">
        <v>40</v>
      </c>
      <c r="G94">
        <v>0</v>
      </c>
    </row>
    <row r="95" spans="2:7" x14ac:dyDescent="0.2">
      <c r="B95" t="s">
        <v>75</v>
      </c>
      <c r="C95">
        <v>1390624</v>
      </c>
      <c r="D95" t="s">
        <v>101</v>
      </c>
      <c r="E95" t="s">
        <v>1</v>
      </c>
      <c r="F95" t="s">
        <v>40</v>
      </c>
      <c r="G95">
        <v>0.5</v>
      </c>
    </row>
    <row r="96" spans="2:7" x14ac:dyDescent="0.2">
      <c r="B96" t="s">
        <v>75</v>
      </c>
      <c r="C96">
        <v>1390624</v>
      </c>
      <c r="D96" t="s">
        <v>102</v>
      </c>
      <c r="E96" t="s">
        <v>1</v>
      </c>
      <c r="F96" t="s">
        <v>40</v>
      </c>
      <c r="G96">
        <v>2</v>
      </c>
    </row>
    <row r="97" spans="2:7" x14ac:dyDescent="0.2">
      <c r="B97" t="s">
        <v>75</v>
      </c>
      <c r="C97">
        <v>1390624</v>
      </c>
      <c r="D97" t="s">
        <v>103</v>
      </c>
      <c r="E97" t="s">
        <v>1</v>
      </c>
      <c r="F97" t="s">
        <v>40</v>
      </c>
      <c r="G97">
        <v>0.08</v>
      </c>
    </row>
    <row r="98" spans="2:7" x14ac:dyDescent="0.2">
      <c r="B98" t="s">
        <v>75</v>
      </c>
      <c r="C98">
        <v>1390624</v>
      </c>
      <c r="D98" t="s">
        <v>104</v>
      </c>
      <c r="E98" t="s">
        <v>1</v>
      </c>
      <c r="F98" t="s">
        <v>40</v>
      </c>
      <c r="G98">
        <v>0.08</v>
      </c>
    </row>
    <row r="99" spans="2:7" x14ac:dyDescent="0.2">
      <c r="B99" t="s">
        <v>75</v>
      </c>
      <c r="C99">
        <v>1390624</v>
      </c>
      <c r="D99" t="s">
        <v>105</v>
      </c>
      <c r="E99" t="s">
        <v>1</v>
      </c>
      <c r="F99" t="s">
        <v>40</v>
      </c>
      <c r="G99">
        <v>1</v>
      </c>
    </row>
    <row r="100" spans="2:7" x14ac:dyDescent="0.2">
      <c r="B100" t="s">
        <v>75</v>
      </c>
      <c r="C100">
        <v>1390624</v>
      </c>
      <c r="D100" t="s">
        <v>106</v>
      </c>
      <c r="E100" t="s">
        <v>1</v>
      </c>
      <c r="F100" t="s">
        <v>40</v>
      </c>
      <c r="G100">
        <v>0.25</v>
      </c>
    </row>
    <row r="101" spans="2:7" x14ac:dyDescent="0.2">
      <c r="B101" t="s">
        <v>107</v>
      </c>
      <c r="C101">
        <v>1420664</v>
      </c>
      <c r="D101" t="s">
        <v>108</v>
      </c>
      <c r="E101" t="s">
        <v>47</v>
      </c>
      <c r="F101" t="s">
        <v>40</v>
      </c>
      <c r="G101">
        <v>0.75</v>
      </c>
    </row>
    <row r="102" spans="2:7" x14ac:dyDescent="0.2">
      <c r="B102" t="s">
        <v>109</v>
      </c>
      <c r="C102">
        <v>1414211</v>
      </c>
      <c r="D102" t="s">
        <v>110</v>
      </c>
      <c r="E102" t="s">
        <v>111</v>
      </c>
      <c r="F102" t="s">
        <v>40</v>
      </c>
      <c r="G102">
        <v>0.25</v>
      </c>
    </row>
    <row r="103" spans="2:7" x14ac:dyDescent="0.2">
      <c r="B103" t="s">
        <v>109</v>
      </c>
      <c r="C103">
        <v>1414211</v>
      </c>
      <c r="D103" t="s">
        <v>112</v>
      </c>
      <c r="E103" t="s">
        <v>111</v>
      </c>
      <c r="F103" t="s">
        <v>40</v>
      </c>
      <c r="G103">
        <v>0.12</v>
      </c>
    </row>
    <row r="104" spans="2:7" x14ac:dyDescent="0.2">
      <c r="B104" t="s">
        <v>109</v>
      </c>
      <c r="C104">
        <v>1414211</v>
      </c>
      <c r="D104" t="s">
        <v>113</v>
      </c>
      <c r="E104" t="s">
        <v>111</v>
      </c>
      <c r="F104" t="s">
        <v>40</v>
      </c>
      <c r="G104">
        <v>0.12</v>
      </c>
    </row>
    <row r="105" spans="2:7" x14ac:dyDescent="0.2">
      <c r="B105" t="s">
        <v>109</v>
      </c>
      <c r="C105">
        <v>1414211</v>
      </c>
      <c r="D105" t="s">
        <v>114</v>
      </c>
      <c r="E105" t="s">
        <v>111</v>
      </c>
      <c r="F105" t="s">
        <v>40</v>
      </c>
      <c r="G105">
        <v>0.12</v>
      </c>
    </row>
    <row r="106" spans="2:7" x14ac:dyDescent="0.2">
      <c r="B106" t="s">
        <v>115</v>
      </c>
      <c r="C106">
        <v>1414361</v>
      </c>
      <c r="D106" t="s">
        <v>116</v>
      </c>
      <c r="E106" t="s">
        <v>117</v>
      </c>
      <c r="F106" t="s">
        <v>40</v>
      </c>
      <c r="G106">
        <v>0.5</v>
      </c>
    </row>
    <row r="107" spans="2:7" x14ac:dyDescent="0.2">
      <c r="B107" t="s">
        <v>115</v>
      </c>
      <c r="C107">
        <v>1414361</v>
      </c>
      <c r="D107" t="s">
        <v>118</v>
      </c>
      <c r="E107" t="s">
        <v>117</v>
      </c>
      <c r="F107" t="s">
        <v>40</v>
      </c>
      <c r="G107">
        <v>1</v>
      </c>
    </row>
    <row r="108" spans="2:7" x14ac:dyDescent="0.2">
      <c r="B108" t="s">
        <v>119</v>
      </c>
      <c r="C108">
        <v>1416225</v>
      </c>
      <c r="D108" t="s">
        <v>120</v>
      </c>
      <c r="E108" t="s">
        <v>1</v>
      </c>
      <c r="F108" t="s">
        <v>15</v>
      </c>
      <c r="G108">
        <v>2</v>
      </c>
    </row>
    <row r="109" spans="2:7" x14ac:dyDescent="0.2">
      <c r="B109" t="s">
        <v>119</v>
      </c>
      <c r="C109">
        <v>1416225</v>
      </c>
      <c r="D109" t="s">
        <v>121</v>
      </c>
      <c r="E109" t="s">
        <v>1</v>
      </c>
      <c r="F109" t="s">
        <v>15</v>
      </c>
      <c r="G109">
        <v>2</v>
      </c>
    </row>
    <row r="110" spans="2:7" x14ac:dyDescent="0.2">
      <c r="B110" t="s">
        <v>122</v>
      </c>
      <c r="C110">
        <v>1417633</v>
      </c>
      <c r="D110" t="s">
        <v>123</v>
      </c>
      <c r="E110" t="s">
        <v>124</v>
      </c>
      <c r="F110" t="s">
        <v>15</v>
      </c>
      <c r="G110">
        <v>2</v>
      </c>
    </row>
    <row r="111" spans="2:7" x14ac:dyDescent="0.2">
      <c r="B111" t="s">
        <v>122</v>
      </c>
      <c r="C111">
        <v>1417633</v>
      </c>
      <c r="D111" t="s">
        <v>125</v>
      </c>
      <c r="E111" t="s">
        <v>124</v>
      </c>
      <c r="F111" t="s">
        <v>15</v>
      </c>
      <c r="G111">
        <v>2</v>
      </c>
    </row>
    <row r="112" spans="2:7" x14ac:dyDescent="0.2">
      <c r="B112" t="s">
        <v>126</v>
      </c>
      <c r="C112">
        <v>1413225</v>
      </c>
      <c r="D112" t="s">
        <v>73</v>
      </c>
      <c r="E112" t="s">
        <v>127</v>
      </c>
      <c r="F112" t="s">
        <v>24</v>
      </c>
      <c r="G112">
        <v>3</v>
      </c>
    </row>
    <row r="113" spans="2:7" x14ac:dyDescent="0.2">
      <c r="B113" t="s">
        <v>126</v>
      </c>
      <c r="C113">
        <v>1413225</v>
      </c>
      <c r="D113" t="s">
        <v>74</v>
      </c>
      <c r="E113" t="s">
        <v>127</v>
      </c>
      <c r="F113" t="s">
        <v>24</v>
      </c>
      <c r="G113">
        <v>0.1</v>
      </c>
    </row>
    <row r="114" spans="2:7" x14ac:dyDescent="0.2">
      <c r="B114" t="s">
        <v>126</v>
      </c>
      <c r="C114">
        <v>1413225</v>
      </c>
      <c r="D114" t="s">
        <v>66</v>
      </c>
      <c r="E114" t="s">
        <v>127</v>
      </c>
      <c r="F114" t="s">
        <v>24</v>
      </c>
      <c r="G114">
        <v>1</v>
      </c>
    </row>
    <row r="115" spans="2:7" x14ac:dyDescent="0.2">
      <c r="B115" t="s">
        <v>128</v>
      </c>
      <c r="C115">
        <v>1411690</v>
      </c>
      <c r="D115" t="s">
        <v>129</v>
      </c>
      <c r="E115" t="s">
        <v>1</v>
      </c>
      <c r="F115" t="s">
        <v>41</v>
      </c>
      <c r="G115">
        <v>3</v>
      </c>
    </row>
    <row r="116" spans="2:7" x14ac:dyDescent="0.2">
      <c r="B116" t="s">
        <v>128</v>
      </c>
      <c r="C116">
        <v>1411690</v>
      </c>
      <c r="D116" t="s">
        <v>130</v>
      </c>
      <c r="E116" t="s">
        <v>1</v>
      </c>
      <c r="F116" t="s">
        <v>77</v>
      </c>
      <c r="G116">
        <v>0.5</v>
      </c>
    </row>
    <row r="117" spans="2:7" x14ac:dyDescent="0.2">
      <c r="B117" t="s">
        <v>128</v>
      </c>
      <c r="C117">
        <v>1411690</v>
      </c>
      <c r="D117" t="s">
        <v>131</v>
      </c>
      <c r="E117" t="s">
        <v>1</v>
      </c>
      <c r="F117" t="s">
        <v>77</v>
      </c>
      <c r="G117">
        <v>0.5</v>
      </c>
    </row>
    <row r="118" spans="2:7" x14ac:dyDescent="0.2">
      <c r="B118" t="s">
        <v>128</v>
      </c>
      <c r="C118">
        <v>1411690</v>
      </c>
      <c r="D118" t="s">
        <v>132</v>
      </c>
      <c r="E118" t="s">
        <v>1</v>
      </c>
      <c r="F118" t="s">
        <v>4</v>
      </c>
      <c r="G118">
        <v>2</v>
      </c>
    </row>
    <row r="119" spans="2:7" x14ac:dyDescent="0.2">
      <c r="B119" t="s">
        <v>133</v>
      </c>
      <c r="C119">
        <v>1411700</v>
      </c>
      <c r="D119" t="s">
        <v>132</v>
      </c>
      <c r="E119" t="s">
        <v>134</v>
      </c>
      <c r="F119" t="s">
        <v>77</v>
      </c>
      <c r="G119">
        <v>0.25</v>
      </c>
    </row>
    <row r="120" spans="2:7" x14ac:dyDescent="0.2">
      <c r="B120" t="s">
        <v>135</v>
      </c>
      <c r="C120">
        <v>1392220</v>
      </c>
      <c r="D120" t="s">
        <v>136</v>
      </c>
      <c r="E120" t="s">
        <v>137</v>
      </c>
      <c r="F120" t="s">
        <v>77</v>
      </c>
      <c r="G120">
        <v>2</v>
      </c>
    </row>
    <row r="121" spans="2:7" x14ac:dyDescent="0.2">
      <c r="B121" t="s">
        <v>135</v>
      </c>
      <c r="C121">
        <v>1392220</v>
      </c>
      <c r="D121" t="s">
        <v>138</v>
      </c>
      <c r="E121" t="s">
        <v>137</v>
      </c>
      <c r="F121" t="s">
        <v>4</v>
      </c>
      <c r="G121">
        <v>14</v>
      </c>
    </row>
    <row r="122" spans="2:7" x14ac:dyDescent="0.2">
      <c r="B122" t="s">
        <v>139</v>
      </c>
      <c r="C122">
        <v>1409871</v>
      </c>
      <c r="D122" t="s">
        <v>140</v>
      </c>
      <c r="E122" t="s">
        <v>141</v>
      </c>
      <c r="F122" t="s">
        <v>77</v>
      </c>
      <c r="G122">
        <v>0.5</v>
      </c>
    </row>
    <row r="123" spans="2:7" x14ac:dyDescent="0.2">
      <c r="B123" t="s">
        <v>139</v>
      </c>
      <c r="C123">
        <v>1409871</v>
      </c>
      <c r="D123" t="s">
        <v>142</v>
      </c>
      <c r="E123" t="s">
        <v>141</v>
      </c>
      <c r="F123" t="s">
        <v>77</v>
      </c>
      <c r="G123">
        <v>0</v>
      </c>
    </row>
    <row r="124" spans="2:7" x14ac:dyDescent="0.2">
      <c r="B124" t="s">
        <v>143</v>
      </c>
      <c r="C124">
        <v>1416607</v>
      </c>
      <c r="D124" t="s">
        <v>61</v>
      </c>
      <c r="E124" t="s">
        <v>144</v>
      </c>
      <c r="F124" t="s">
        <v>77</v>
      </c>
      <c r="G124">
        <v>1</v>
      </c>
    </row>
    <row r="125" spans="2:7" x14ac:dyDescent="0.2">
      <c r="B125" t="s">
        <v>143</v>
      </c>
      <c r="C125">
        <v>1416607</v>
      </c>
      <c r="D125" t="s">
        <v>145</v>
      </c>
      <c r="E125" t="s">
        <v>144</v>
      </c>
      <c r="F125" t="s">
        <v>77</v>
      </c>
      <c r="G125">
        <v>0</v>
      </c>
    </row>
    <row r="126" spans="2:7" x14ac:dyDescent="0.2">
      <c r="B126" t="s">
        <v>143</v>
      </c>
      <c r="C126">
        <v>1416607</v>
      </c>
      <c r="D126" t="s">
        <v>64</v>
      </c>
      <c r="E126" t="s">
        <v>144</v>
      </c>
      <c r="F126" t="s">
        <v>77</v>
      </c>
      <c r="G126">
        <v>2</v>
      </c>
    </row>
    <row r="127" spans="2:7" x14ac:dyDescent="0.2">
      <c r="B127" t="s">
        <v>143</v>
      </c>
      <c r="C127">
        <v>1416607</v>
      </c>
      <c r="D127" t="s">
        <v>146</v>
      </c>
      <c r="E127" t="s">
        <v>144</v>
      </c>
      <c r="F127" t="s">
        <v>77</v>
      </c>
      <c r="G127">
        <v>1</v>
      </c>
    </row>
    <row r="128" spans="2:7" x14ac:dyDescent="0.2">
      <c r="B128" t="s">
        <v>143</v>
      </c>
      <c r="C128">
        <v>1416607</v>
      </c>
      <c r="D128" t="s">
        <v>63</v>
      </c>
      <c r="E128" t="s">
        <v>144</v>
      </c>
      <c r="F128" t="s">
        <v>77</v>
      </c>
      <c r="G128">
        <v>1</v>
      </c>
    </row>
    <row r="129" spans="2:7" x14ac:dyDescent="0.2">
      <c r="B129" t="s">
        <v>143</v>
      </c>
      <c r="C129">
        <v>1416607</v>
      </c>
      <c r="D129" t="s">
        <v>66</v>
      </c>
      <c r="E129" t="s">
        <v>144</v>
      </c>
      <c r="F129" t="s">
        <v>77</v>
      </c>
      <c r="G129">
        <v>2</v>
      </c>
    </row>
    <row r="130" spans="2:7" x14ac:dyDescent="0.2">
      <c r="B130" t="s">
        <v>143</v>
      </c>
      <c r="C130">
        <v>1416607</v>
      </c>
      <c r="D130" t="s">
        <v>67</v>
      </c>
      <c r="E130" t="s">
        <v>144</v>
      </c>
      <c r="F130" t="s">
        <v>77</v>
      </c>
      <c r="G130">
        <v>1</v>
      </c>
    </row>
    <row r="131" spans="2:7" x14ac:dyDescent="0.2">
      <c r="B131" t="s">
        <v>143</v>
      </c>
      <c r="C131">
        <v>1416607</v>
      </c>
      <c r="D131" t="s">
        <v>68</v>
      </c>
      <c r="E131" t="s">
        <v>144</v>
      </c>
      <c r="F131" t="s">
        <v>77</v>
      </c>
      <c r="G131">
        <v>1</v>
      </c>
    </row>
    <row r="132" spans="2:7" x14ac:dyDescent="0.2">
      <c r="B132" t="s">
        <v>143</v>
      </c>
      <c r="C132">
        <v>1416607</v>
      </c>
      <c r="D132" t="s">
        <v>147</v>
      </c>
      <c r="E132" t="s">
        <v>144</v>
      </c>
      <c r="F132" t="s">
        <v>77</v>
      </c>
      <c r="G132">
        <v>1</v>
      </c>
    </row>
    <row r="133" spans="2:7" x14ac:dyDescent="0.2">
      <c r="B133" t="s">
        <v>143</v>
      </c>
      <c r="C133">
        <v>1416607</v>
      </c>
      <c r="D133" t="s">
        <v>69</v>
      </c>
      <c r="E133" t="s">
        <v>144</v>
      </c>
      <c r="F133" t="s">
        <v>77</v>
      </c>
      <c r="G133">
        <v>2</v>
      </c>
    </row>
    <row r="134" spans="2:7" x14ac:dyDescent="0.2">
      <c r="B134" t="s">
        <v>143</v>
      </c>
      <c r="C134">
        <v>1416607</v>
      </c>
      <c r="D134" t="s">
        <v>71</v>
      </c>
      <c r="E134" t="s">
        <v>144</v>
      </c>
      <c r="F134" t="s">
        <v>77</v>
      </c>
      <c r="G134">
        <v>1</v>
      </c>
    </row>
    <row r="135" spans="2:7" x14ac:dyDescent="0.2">
      <c r="B135" t="s">
        <v>143</v>
      </c>
      <c r="C135">
        <v>1416607</v>
      </c>
      <c r="D135" t="s">
        <v>72</v>
      </c>
      <c r="E135" t="s">
        <v>144</v>
      </c>
      <c r="F135" t="s">
        <v>77</v>
      </c>
      <c r="G135">
        <v>1</v>
      </c>
    </row>
    <row r="136" spans="2:7" x14ac:dyDescent="0.2">
      <c r="B136" t="s">
        <v>143</v>
      </c>
      <c r="C136">
        <v>1416607</v>
      </c>
      <c r="D136" t="s">
        <v>73</v>
      </c>
      <c r="E136" t="s">
        <v>144</v>
      </c>
      <c r="F136" t="s">
        <v>77</v>
      </c>
      <c r="G136">
        <v>1</v>
      </c>
    </row>
    <row r="137" spans="2:7" x14ac:dyDescent="0.2">
      <c r="B137" t="s">
        <v>143</v>
      </c>
      <c r="C137">
        <v>1416607</v>
      </c>
      <c r="D137" t="s">
        <v>74</v>
      </c>
      <c r="E137" t="s">
        <v>144</v>
      </c>
      <c r="F137" t="s">
        <v>77</v>
      </c>
      <c r="G137">
        <v>0</v>
      </c>
    </row>
    <row r="138" spans="2:7" x14ac:dyDescent="0.2">
      <c r="B138" t="s">
        <v>148</v>
      </c>
      <c r="C138">
        <v>1416606</v>
      </c>
      <c r="D138" t="s">
        <v>61</v>
      </c>
      <c r="E138" t="s">
        <v>62</v>
      </c>
      <c r="F138" t="s">
        <v>41</v>
      </c>
      <c r="G138">
        <v>0.5</v>
      </c>
    </row>
    <row r="139" spans="2:7" x14ac:dyDescent="0.2">
      <c r="B139" t="s">
        <v>148</v>
      </c>
      <c r="C139">
        <v>1416606</v>
      </c>
      <c r="D139" t="s">
        <v>145</v>
      </c>
      <c r="E139" t="s">
        <v>62</v>
      </c>
      <c r="F139" t="s">
        <v>41</v>
      </c>
      <c r="G139">
        <v>0.12</v>
      </c>
    </row>
    <row r="140" spans="2:7" x14ac:dyDescent="0.2">
      <c r="B140" t="s">
        <v>148</v>
      </c>
      <c r="C140">
        <v>1416606</v>
      </c>
      <c r="D140" t="s">
        <v>64</v>
      </c>
      <c r="E140" t="s">
        <v>62</v>
      </c>
      <c r="F140" t="s">
        <v>41</v>
      </c>
      <c r="G140">
        <v>0.5</v>
      </c>
    </row>
    <row r="141" spans="2:7" x14ac:dyDescent="0.2">
      <c r="B141" t="s">
        <v>148</v>
      </c>
      <c r="C141">
        <v>1416606</v>
      </c>
      <c r="D141" t="s">
        <v>65</v>
      </c>
      <c r="E141" t="s">
        <v>62</v>
      </c>
      <c r="F141" t="s">
        <v>41</v>
      </c>
      <c r="G141">
        <v>0.5</v>
      </c>
    </row>
    <row r="142" spans="2:7" x14ac:dyDescent="0.2">
      <c r="B142" t="s">
        <v>148</v>
      </c>
      <c r="C142">
        <v>1416606</v>
      </c>
      <c r="D142" t="s">
        <v>66</v>
      </c>
      <c r="E142" t="s">
        <v>62</v>
      </c>
      <c r="F142" t="s">
        <v>41</v>
      </c>
      <c r="G142">
        <v>2</v>
      </c>
    </row>
    <row r="143" spans="2:7" x14ac:dyDescent="0.2">
      <c r="B143" t="s">
        <v>148</v>
      </c>
      <c r="C143">
        <v>1416606</v>
      </c>
      <c r="D143" t="s">
        <v>68</v>
      </c>
      <c r="E143" t="s">
        <v>62</v>
      </c>
      <c r="F143" t="s">
        <v>41</v>
      </c>
      <c r="G143">
        <v>0.5</v>
      </c>
    </row>
    <row r="144" spans="2:7" x14ac:dyDescent="0.2">
      <c r="B144" t="s">
        <v>148</v>
      </c>
      <c r="C144">
        <v>1416606</v>
      </c>
      <c r="D144" t="s">
        <v>147</v>
      </c>
      <c r="E144" t="s">
        <v>62</v>
      </c>
      <c r="F144" t="s">
        <v>41</v>
      </c>
      <c r="G144">
        <v>0.5</v>
      </c>
    </row>
    <row r="145" spans="2:7" x14ac:dyDescent="0.2">
      <c r="B145" t="s">
        <v>148</v>
      </c>
      <c r="C145">
        <v>1416606</v>
      </c>
      <c r="D145" t="s">
        <v>69</v>
      </c>
      <c r="E145" t="s">
        <v>62</v>
      </c>
      <c r="F145" t="s">
        <v>41</v>
      </c>
      <c r="G145">
        <v>2</v>
      </c>
    </row>
    <row r="146" spans="2:7" x14ac:dyDescent="0.2">
      <c r="B146" t="s">
        <v>148</v>
      </c>
      <c r="C146">
        <v>1416606</v>
      </c>
      <c r="D146" t="s">
        <v>71</v>
      </c>
      <c r="E146" t="s">
        <v>62</v>
      </c>
      <c r="F146" t="s">
        <v>41</v>
      </c>
      <c r="G146">
        <v>0.5</v>
      </c>
    </row>
    <row r="147" spans="2:7" x14ac:dyDescent="0.2">
      <c r="B147" t="s">
        <v>148</v>
      </c>
      <c r="C147">
        <v>1416606</v>
      </c>
      <c r="D147" t="s">
        <v>72</v>
      </c>
      <c r="E147" t="s">
        <v>62</v>
      </c>
      <c r="F147" t="s">
        <v>41</v>
      </c>
      <c r="G147">
        <v>0.5</v>
      </c>
    </row>
    <row r="148" spans="2:7" x14ac:dyDescent="0.2">
      <c r="B148" t="s">
        <v>148</v>
      </c>
      <c r="C148">
        <v>1416606</v>
      </c>
      <c r="D148" t="s">
        <v>73</v>
      </c>
      <c r="E148" t="s">
        <v>62</v>
      </c>
      <c r="F148" t="s">
        <v>41</v>
      </c>
      <c r="G148">
        <v>0.5</v>
      </c>
    </row>
    <row r="149" spans="2:7" x14ac:dyDescent="0.2">
      <c r="B149" t="s">
        <v>148</v>
      </c>
      <c r="C149">
        <v>1416606</v>
      </c>
      <c r="D149" t="s">
        <v>74</v>
      </c>
      <c r="E149" t="s">
        <v>62</v>
      </c>
      <c r="F149" t="s">
        <v>41</v>
      </c>
      <c r="G149">
        <v>0.5</v>
      </c>
    </row>
    <row r="150" spans="2:7" x14ac:dyDescent="0.2">
      <c r="B150" t="s">
        <v>149</v>
      </c>
      <c r="C150">
        <v>1372148</v>
      </c>
      <c r="D150" t="s">
        <v>150</v>
      </c>
      <c r="E150" t="s">
        <v>134</v>
      </c>
      <c r="F150" t="s">
        <v>77</v>
      </c>
      <c r="G150">
        <v>2</v>
      </c>
    </row>
    <row r="151" spans="2:7" x14ac:dyDescent="0.2">
      <c r="B151" t="s">
        <v>149</v>
      </c>
      <c r="C151">
        <v>1372148</v>
      </c>
      <c r="D151" t="s">
        <v>151</v>
      </c>
      <c r="E151" t="s">
        <v>134</v>
      </c>
      <c r="F151" t="s">
        <v>77</v>
      </c>
      <c r="G151">
        <v>4</v>
      </c>
    </row>
    <row r="152" spans="2:7" x14ac:dyDescent="0.2">
      <c r="B152" t="s">
        <v>149</v>
      </c>
      <c r="C152">
        <v>1372148</v>
      </c>
      <c r="D152" t="s">
        <v>152</v>
      </c>
      <c r="E152" t="s">
        <v>134</v>
      </c>
      <c r="F152" t="s">
        <v>77</v>
      </c>
      <c r="G152">
        <v>3</v>
      </c>
    </row>
    <row r="153" spans="2:7" x14ac:dyDescent="0.2">
      <c r="B153" t="s">
        <v>149</v>
      </c>
      <c r="C153">
        <v>1372148</v>
      </c>
      <c r="D153" t="s">
        <v>153</v>
      </c>
      <c r="E153" t="s">
        <v>134</v>
      </c>
      <c r="F153" t="s">
        <v>77</v>
      </c>
      <c r="G153">
        <v>4</v>
      </c>
    </row>
    <row r="154" spans="2:7" x14ac:dyDescent="0.2">
      <c r="B154" t="s">
        <v>149</v>
      </c>
      <c r="C154">
        <v>1372148</v>
      </c>
      <c r="D154" t="s">
        <v>154</v>
      </c>
      <c r="E154" t="s">
        <v>134</v>
      </c>
      <c r="F154" t="s">
        <v>77</v>
      </c>
      <c r="G154">
        <v>0.25</v>
      </c>
    </row>
    <row r="155" spans="2:7" x14ac:dyDescent="0.2">
      <c r="B155" t="s">
        <v>149</v>
      </c>
      <c r="C155">
        <v>1372148</v>
      </c>
      <c r="D155" t="s">
        <v>123</v>
      </c>
      <c r="E155" t="s">
        <v>134</v>
      </c>
      <c r="F155" t="s">
        <v>15</v>
      </c>
      <c r="G155">
        <v>0.5</v>
      </c>
    </row>
    <row r="156" spans="2:7" x14ac:dyDescent="0.2">
      <c r="B156" t="s">
        <v>149</v>
      </c>
      <c r="C156">
        <v>1372148</v>
      </c>
      <c r="D156" t="s">
        <v>155</v>
      </c>
      <c r="E156" t="s">
        <v>134</v>
      </c>
      <c r="F156" t="s">
        <v>77</v>
      </c>
      <c r="G156">
        <v>0.5</v>
      </c>
    </row>
    <row r="157" spans="2:7" x14ac:dyDescent="0.2">
      <c r="B157" t="s">
        <v>156</v>
      </c>
      <c r="C157">
        <v>1416483</v>
      </c>
      <c r="D157" t="s">
        <v>157</v>
      </c>
      <c r="E157" t="s">
        <v>158</v>
      </c>
      <c r="F157" t="s">
        <v>77</v>
      </c>
      <c r="G157">
        <v>5</v>
      </c>
    </row>
    <row r="158" spans="2:7" x14ac:dyDescent="0.2">
      <c r="B158" t="s">
        <v>156</v>
      </c>
      <c r="C158">
        <v>1416483</v>
      </c>
      <c r="D158" t="s">
        <v>159</v>
      </c>
      <c r="E158" t="s">
        <v>158</v>
      </c>
      <c r="F158" t="s">
        <v>40</v>
      </c>
      <c r="G158">
        <v>3</v>
      </c>
    </row>
    <row r="159" spans="2:7" x14ac:dyDescent="0.2">
      <c r="B159" t="s">
        <v>156</v>
      </c>
      <c r="C159">
        <v>1416214</v>
      </c>
      <c r="D159" t="s">
        <v>121</v>
      </c>
      <c r="E159" t="s">
        <v>158</v>
      </c>
      <c r="F159" t="s">
        <v>40</v>
      </c>
      <c r="G159">
        <v>1</v>
      </c>
    </row>
    <row r="160" spans="2:7" x14ac:dyDescent="0.2">
      <c r="B160" t="s">
        <v>156</v>
      </c>
      <c r="C160">
        <v>1416214</v>
      </c>
      <c r="D160" t="s">
        <v>120</v>
      </c>
      <c r="E160" t="s">
        <v>158</v>
      </c>
      <c r="F160" t="s">
        <v>40</v>
      </c>
      <c r="G160">
        <v>0.25</v>
      </c>
    </row>
    <row r="161" spans="2:7" x14ac:dyDescent="0.2">
      <c r="B161" t="s">
        <v>156</v>
      </c>
      <c r="C161">
        <v>1409385</v>
      </c>
      <c r="D161" t="s">
        <v>160</v>
      </c>
      <c r="E161" t="s">
        <v>158</v>
      </c>
      <c r="F161" t="s">
        <v>40</v>
      </c>
      <c r="G161">
        <v>3</v>
      </c>
    </row>
    <row r="162" spans="2:7" x14ac:dyDescent="0.2">
      <c r="B162" t="s">
        <v>156</v>
      </c>
      <c r="C162">
        <v>1409385</v>
      </c>
      <c r="D162" t="s">
        <v>161</v>
      </c>
      <c r="E162" t="s">
        <v>158</v>
      </c>
      <c r="F162" t="s">
        <v>40</v>
      </c>
      <c r="G162">
        <v>0.12</v>
      </c>
    </row>
    <row r="163" spans="2:7" x14ac:dyDescent="0.2">
      <c r="B163" t="s">
        <v>156</v>
      </c>
      <c r="C163">
        <v>1409385</v>
      </c>
      <c r="D163" t="s">
        <v>162</v>
      </c>
      <c r="E163" t="s">
        <v>158</v>
      </c>
      <c r="F163" t="s">
        <v>40</v>
      </c>
      <c r="G163">
        <v>3</v>
      </c>
    </row>
    <row r="164" spans="2:7" x14ac:dyDescent="0.2">
      <c r="B164" t="s">
        <v>163</v>
      </c>
      <c r="C164">
        <v>1418684</v>
      </c>
      <c r="D164" t="s">
        <v>123</v>
      </c>
      <c r="E164" t="s">
        <v>164</v>
      </c>
      <c r="F164" t="s">
        <v>40</v>
      </c>
      <c r="G164">
        <v>0.12</v>
      </c>
    </row>
    <row r="165" spans="2:7" x14ac:dyDescent="0.2">
      <c r="B165" t="s">
        <v>163</v>
      </c>
      <c r="C165">
        <v>1418684</v>
      </c>
      <c r="D165" t="s">
        <v>123</v>
      </c>
      <c r="E165" t="s">
        <v>164</v>
      </c>
      <c r="F165" t="s">
        <v>40</v>
      </c>
      <c r="G165">
        <v>0.12</v>
      </c>
    </row>
    <row r="166" spans="2:7" x14ac:dyDescent="0.2">
      <c r="B166" t="s">
        <v>163</v>
      </c>
      <c r="C166">
        <v>1418684</v>
      </c>
      <c r="D166" t="s">
        <v>123</v>
      </c>
      <c r="E166" t="s">
        <v>164</v>
      </c>
      <c r="F166" t="s">
        <v>40</v>
      </c>
      <c r="G166">
        <v>0.12</v>
      </c>
    </row>
    <row r="167" spans="2:7" x14ac:dyDescent="0.2">
      <c r="B167" t="s">
        <v>165</v>
      </c>
      <c r="C167">
        <v>1377406</v>
      </c>
      <c r="D167" t="s">
        <v>166</v>
      </c>
      <c r="E167" t="s">
        <v>167</v>
      </c>
      <c r="F167" t="s">
        <v>40</v>
      </c>
      <c r="G167">
        <v>0.25</v>
      </c>
    </row>
    <row r="168" spans="2:7" x14ac:dyDescent="0.2">
      <c r="B168" t="s">
        <v>165</v>
      </c>
      <c r="C168">
        <v>1377406</v>
      </c>
      <c r="D168" t="s">
        <v>168</v>
      </c>
      <c r="E168" t="s">
        <v>167</v>
      </c>
      <c r="F168" t="s">
        <v>40</v>
      </c>
      <c r="G168">
        <v>3</v>
      </c>
    </row>
    <row r="169" spans="2:7" x14ac:dyDescent="0.2">
      <c r="B169" t="s">
        <v>169</v>
      </c>
      <c r="C169">
        <v>1405296</v>
      </c>
      <c r="D169" t="s">
        <v>170</v>
      </c>
      <c r="E169" t="s">
        <v>158</v>
      </c>
      <c r="F169" t="s">
        <v>41</v>
      </c>
      <c r="G169">
        <v>5</v>
      </c>
    </row>
    <row r="170" spans="2:7" x14ac:dyDescent="0.2">
      <c r="B170" t="s">
        <v>169</v>
      </c>
      <c r="C170">
        <v>1405296</v>
      </c>
      <c r="D170" t="s">
        <v>171</v>
      </c>
      <c r="E170" t="s">
        <v>158</v>
      </c>
      <c r="F170" t="s">
        <v>24</v>
      </c>
    </row>
    <row r="171" spans="2:7" x14ac:dyDescent="0.2">
      <c r="B171" t="s">
        <v>172</v>
      </c>
      <c r="C171">
        <v>1417022</v>
      </c>
      <c r="D171" t="s">
        <v>173</v>
      </c>
      <c r="E171" t="s">
        <v>174</v>
      </c>
      <c r="F171" t="s">
        <v>24</v>
      </c>
      <c r="G171">
        <v>1</v>
      </c>
    </row>
    <row r="172" spans="2:7" x14ac:dyDescent="0.2">
      <c r="B172" t="s">
        <v>172</v>
      </c>
      <c r="C172">
        <v>1417022</v>
      </c>
      <c r="D172" t="s">
        <v>175</v>
      </c>
      <c r="E172" t="s">
        <v>174</v>
      </c>
      <c r="F172" t="s">
        <v>24</v>
      </c>
      <c r="G172">
        <v>1</v>
      </c>
    </row>
    <row r="173" spans="2:7" x14ac:dyDescent="0.2">
      <c r="B173" t="s">
        <v>172</v>
      </c>
      <c r="C173">
        <v>1417022</v>
      </c>
      <c r="D173" t="s">
        <v>171</v>
      </c>
      <c r="E173" t="s">
        <v>174</v>
      </c>
      <c r="F173" t="s">
        <v>24</v>
      </c>
      <c r="G173">
        <v>2</v>
      </c>
    </row>
    <row r="174" spans="2:7" x14ac:dyDescent="0.2">
      <c r="B174" t="s">
        <v>172</v>
      </c>
      <c r="C174">
        <v>1417022</v>
      </c>
      <c r="D174" t="s">
        <v>176</v>
      </c>
      <c r="E174" t="s">
        <v>174</v>
      </c>
      <c r="F174" t="s">
        <v>24</v>
      </c>
      <c r="G174">
        <v>2</v>
      </c>
    </row>
    <row r="175" spans="2:7" x14ac:dyDescent="0.2">
      <c r="B175" t="s">
        <v>177</v>
      </c>
      <c r="C175">
        <v>1414681</v>
      </c>
      <c r="D175" t="s">
        <v>178</v>
      </c>
      <c r="E175" t="s">
        <v>179</v>
      </c>
      <c r="F175" t="s">
        <v>24</v>
      </c>
      <c r="G175">
        <v>1</v>
      </c>
    </row>
    <row r="176" spans="2:7" x14ac:dyDescent="0.2">
      <c r="B176" t="s">
        <v>180</v>
      </c>
      <c r="C176">
        <v>1416204</v>
      </c>
      <c r="D176" t="s">
        <v>120</v>
      </c>
      <c r="E176" t="s">
        <v>164</v>
      </c>
      <c r="F176" t="s">
        <v>24</v>
      </c>
      <c r="G176">
        <v>1</v>
      </c>
    </row>
    <row r="177" spans="2:7" x14ac:dyDescent="0.2">
      <c r="B177" t="s">
        <v>180</v>
      </c>
      <c r="C177">
        <v>1416204</v>
      </c>
      <c r="D177" t="s">
        <v>121</v>
      </c>
      <c r="E177" t="s">
        <v>164</v>
      </c>
      <c r="F177" t="s">
        <v>24</v>
      </c>
      <c r="G177">
        <v>1</v>
      </c>
    </row>
    <row r="178" spans="2:7" x14ac:dyDescent="0.2">
      <c r="B178" t="s">
        <v>181</v>
      </c>
      <c r="C178">
        <v>1417780</v>
      </c>
      <c r="D178" t="s">
        <v>182</v>
      </c>
      <c r="E178" t="s">
        <v>183</v>
      </c>
      <c r="F178" t="s">
        <v>24</v>
      </c>
      <c r="G178">
        <v>1</v>
      </c>
    </row>
    <row r="179" spans="2:7" x14ac:dyDescent="0.2">
      <c r="B179" t="s">
        <v>181</v>
      </c>
      <c r="C179">
        <v>1417780</v>
      </c>
      <c r="D179" t="s">
        <v>184</v>
      </c>
      <c r="E179" t="s">
        <v>183</v>
      </c>
      <c r="F179" t="s">
        <v>24</v>
      </c>
      <c r="G179">
        <v>1</v>
      </c>
    </row>
    <row r="180" spans="2:7" x14ac:dyDescent="0.2">
      <c r="B180" t="s">
        <v>181</v>
      </c>
      <c r="C180">
        <v>1417780</v>
      </c>
      <c r="D180" t="s">
        <v>185</v>
      </c>
      <c r="E180" t="s">
        <v>183</v>
      </c>
      <c r="F180" t="s">
        <v>24</v>
      </c>
      <c r="G180">
        <v>1</v>
      </c>
    </row>
    <row r="181" spans="2:7" x14ac:dyDescent="0.2">
      <c r="B181" t="s">
        <v>181</v>
      </c>
      <c r="C181">
        <v>1417780</v>
      </c>
      <c r="D181" t="s">
        <v>186</v>
      </c>
      <c r="E181" t="s">
        <v>183</v>
      </c>
      <c r="F181" t="s">
        <v>24</v>
      </c>
      <c r="G181">
        <v>1</v>
      </c>
    </row>
    <row r="182" spans="2:7" x14ac:dyDescent="0.2">
      <c r="B182" t="s">
        <v>181</v>
      </c>
      <c r="C182">
        <v>1417780</v>
      </c>
      <c r="D182" t="s">
        <v>187</v>
      </c>
      <c r="E182" t="s">
        <v>183</v>
      </c>
      <c r="F182" t="s">
        <v>24</v>
      </c>
      <c r="G182">
        <v>0.1</v>
      </c>
    </row>
    <row r="183" spans="2:7" x14ac:dyDescent="0.2">
      <c r="B183" t="s">
        <v>181</v>
      </c>
      <c r="C183">
        <v>1417780</v>
      </c>
      <c r="D183" t="s">
        <v>188</v>
      </c>
      <c r="E183" t="s">
        <v>183</v>
      </c>
      <c r="F183" t="s">
        <v>24</v>
      </c>
      <c r="G183">
        <v>2</v>
      </c>
    </row>
    <row r="184" spans="2:7" x14ac:dyDescent="0.2">
      <c r="B184" t="s">
        <v>181</v>
      </c>
      <c r="C184">
        <v>1417780</v>
      </c>
      <c r="D184" t="s">
        <v>70</v>
      </c>
      <c r="E184" t="s">
        <v>183</v>
      </c>
      <c r="F184" t="s">
        <v>24</v>
      </c>
      <c r="G184">
        <v>0.1</v>
      </c>
    </row>
    <row r="185" spans="2:7" x14ac:dyDescent="0.2">
      <c r="B185" t="s">
        <v>189</v>
      </c>
      <c r="C185">
        <v>1423395</v>
      </c>
      <c r="D185" t="s">
        <v>190</v>
      </c>
      <c r="E185" t="s">
        <v>158</v>
      </c>
      <c r="F185" t="s">
        <v>24</v>
      </c>
      <c r="G185">
        <v>1</v>
      </c>
    </row>
    <row r="186" spans="2:7" x14ac:dyDescent="0.2">
      <c r="B186" t="s">
        <v>189</v>
      </c>
      <c r="C186">
        <v>1423395</v>
      </c>
      <c r="D186" t="s">
        <v>191</v>
      </c>
      <c r="E186" t="s">
        <v>158</v>
      </c>
      <c r="F186" t="s">
        <v>24</v>
      </c>
      <c r="G186">
        <v>2</v>
      </c>
    </row>
    <row r="187" spans="2:7" x14ac:dyDescent="0.2">
      <c r="B187" t="s">
        <v>189</v>
      </c>
      <c r="C187">
        <v>1423395</v>
      </c>
      <c r="D187" t="s">
        <v>192</v>
      </c>
      <c r="E187" t="s">
        <v>158</v>
      </c>
      <c r="F187" t="s">
        <v>24</v>
      </c>
      <c r="G187">
        <v>0.5</v>
      </c>
    </row>
    <row r="188" spans="2:7" x14ac:dyDescent="0.2">
      <c r="B188" t="s">
        <v>193</v>
      </c>
      <c r="C188">
        <v>1417738</v>
      </c>
      <c r="D188" t="s">
        <v>125</v>
      </c>
      <c r="E188" t="s">
        <v>134</v>
      </c>
      <c r="F188" t="s">
        <v>41</v>
      </c>
      <c r="G188">
        <v>2</v>
      </c>
    </row>
    <row r="189" spans="2:7" x14ac:dyDescent="0.2">
      <c r="B189" t="s">
        <v>194</v>
      </c>
      <c r="C189">
        <v>1423830</v>
      </c>
      <c r="D189" t="s">
        <v>195</v>
      </c>
      <c r="E189" t="s">
        <v>196</v>
      </c>
      <c r="F189" t="s">
        <v>15</v>
      </c>
      <c r="G189">
        <v>2</v>
      </c>
    </row>
    <row r="190" spans="2:7" x14ac:dyDescent="0.2">
      <c r="B190" t="s">
        <v>194</v>
      </c>
      <c r="C190">
        <v>1423830</v>
      </c>
      <c r="D190" t="s">
        <v>197</v>
      </c>
      <c r="E190" t="s">
        <v>196</v>
      </c>
      <c r="F190" t="s">
        <v>15</v>
      </c>
      <c r="G190">
        <v>2</v>
      </c>
    </row>
    <row r="191" spans="2:7" x14ac:dyDescent="0.2">
      <c r="B191" t="s">
        <v>194</v>
      </c>
      <c r="C191">
        <v>1423830</v>
      </c>
      <c r="D191" t="s">
        <v>198</v>
      </c>
      <c r="E191" t="s">
        <v>196</v>
      </c>
      <c r="F191" t="s">
        <v>15</v>
      </c>
      <c r="G191">
        <v>2</v>
      </c>
    </row>
    <row r="192" spans="2:7" x14ac:dyDescent="0.2">
      <c r="B192" t="s">
        <v>194</v>
      </c>
      <c r="C192">
        <v>1423830</v>
      </c>
      <c r="D192" t="s">
        <v>199</v>
      </c>
      <c r="E192" t="s">
        <v>196</v>
      </c>
      <c r="F192" t="s">
        <v>15</v>
      </c>
      <c r="G192">
        <v>2</v>
      </c>
    </row>
    <row r="193" spans="2:7" x14ac:dyDescent="0.2">
      <c r="B193" t="s">
        <v>194</v>
      </c>
      <c r="C193">
        <v>1423830</v>
      </c>
      <c r="D193" t="s">
        <v>200</v>
      </c>
      <c r="E193" t="s">
        <v>196</v>
      </c>
      <c r="F193" t="s">
        <v>15</v>
      </c>
      <c r="G193">
        <v>8</v>
      </c>
    </row>
    <row r="194" spans="2:7" x14ac:dyDescent="0.2">
      <c r="B194" t="s">
        <v>201</v>
      </c>
      <c r="C194">
        <v>1423829</v>
      </c>
      <c r="D194" t="s">
        <v>195</v>
      </c>
      <c r="E194" t="s">
        <v>196</v>
      </c>
      <c r="F194" t="s">
        <v>40</v>
      </c>
      <c r="G194">
        <v>3</v>
      </c>
    </row>
    <row r="195" spans="2:7" x14ac:dyDescent="0.2">
      <c r="B195" t="s">
        <v>201</v>
      </c>
      <c r="C195">
        <v>1423829</v>
      </c>
      <c r="D195" t="s">
        <v>197</v>
      </c>
      <c r="E195" t="s">
        <v>196</v>
      </c>
      <c r="F195" t="s">
        <v>40</v>
      </c>
      <c r="G195">
        <v>4</v>
      </c>
    </row>
    <row r="196" spans="2:7" x14ac:dyDescent="0.2">
      <c r="B196" t="s">
        <v>201</v>
      </c>
      <c r="C196">
        <v>1423829</v>
      </c>
      <c r="D196" t="s">
        <v>198</v>
      </c>
      <c r="E196" t="s">
        <v>196</v>
      </c>
      <c r="F196" t="s">
        <v>40</v>
      </c>
      <c r="G196">
        <v>0.12</v>
      </c>
    </row>
    <row r="197" spans="2:7" x14ac:dyDescent="0.2">
      <c r="B197" t="s">
        <v>201</v>
      </c>
      <c r="C197">
        <v>1423829</v>
      </c>
      <c r="D197" t="s">
        <v>199</v>
      </c>
      <c r="E197" t="s">
        <v>196</v>
      </c>
      <c r="F197" t="s">
        <v>40</v>
      </c>
      <c r="G197">
        <v>2</v>
      </c>
    </row>
    <row r="198" spans="2:7" x14ac:dyDescent="0.2">
      <c r="B198" t="s">
        <v>201</v>
      </c>
      <c r="C198">
        <v>1423829</v>
      </c>
      <c r="D198" t="s">
        <v>200</v>
      </c>
      <c r="E198" t="s">
        <v>196</v>
      </c>
      <c r="F198" t="s">
        <v>4</v>
      </c>
      <c r="G198">
        <v>3</v>
      </c>
    </row>
    <row r="199" spans="2:7" x14ac:dyDescent="0.2">
      <c r="B199" t="s">
        <v>202</v>
      </c>
      <c r="C199">
        <v>1423560</v>
      </c>
      <c r="D199" t="s">
        <v>203</v>
      </c>
      <c r="E199" t="s">
        <v>204</v>
      </c>
      <c r="F199" t="s">
        <v>24</v>
      </c>
      <c r="G199">
        <v>1</v>
      </c>
    </row>
    <row r="200" spans="2:7" x14ac:dyDescent="0.2">
      <c r="B200" t="s">
        <v>205</v>
      </c>
      <c r="C200">
        <v>1424417</v>
      </c>
      <c r="D200" t="s">
        <v>206</v>
      </c>
      <c r="E200" t="s">
        <v>207</v>
      </c>
      <c r="F200" t="s">
        <v>40</v>
      </c>
      <c r="G200">
        <v>2</v>
      </c>
    </row>
    <row r="201" spans="2:7" x14ac:dyDescent="0.2">
      <c r="B201" t="s">
        <v>205</v>
      </c>
      <c r="C201">
        <v>1424417</v>
      </c>
      <c r="D201" t="s">
        <v>208</v>
      </c>
      <c r="E201" t="s">
        <v>207</v>
      </c>
      <c r="F201" t="s">
        <v>40</v>
      </c>
      <c r="G201">
        <v>1</v>
      </c>
    </row>
    <row r="202" spans="2:7" x14ac:dyDescent="0.2">
      <c r="B202" t="s">
        <v>205</v>
      </c>
      <c r="C202">
        <v>1424417</v>
      </c>
      <c r="D202" t="s">
        <v>209</v>
      </c>
      <c r="E202" t="s">
        <v>207</v>
      </c>
      <c r="F202" t="s">
        <v>40</v>
      </c>
      <c r="G202">
        <v>2</v>
      </c>
    </row>
    <row r="203" spans="2:7" x14ac:dyDescent="0.2">
      <c r="B203" t="s">
        <v>205</v>
      </c>
      <c r="C203">
        <v>1424417</v>
      </c>
      <c r="D203" t="s">
        <v>210</v>
      </c>
      <c r="E203" t="s">
        <v>207</v>
      </c>
      <c r="F203" t="s">
        <v>40</v>
      </c>
      <c r="G203">
        <v>0.12</v>
      </c>
    </row>
    <row r="204" spans="2:7" x14ac:dyDescent="0.2">
      <c r="B204" t="s">
        <v>205</v>
      </c>
      <c r="C204">
        <v>1424417</v>
      </c>
      <c r="D204" t="s">
        <v>190</v>
      </c>
      <c r="E204" t="s">
        <v>207</v>
      </c>
      <c r="F204" t="s">
        <v>40</v>
      </c>
      <c r="G204">
        <v>1</v>
      </c>
    </row>
    <row r="205" spans="2:7" x14ac:dyDescent="0.2">
      <c r="B205" t="s">
        <v>205</v>
      </c>
      <c r="C205">
        <v>1424417</v>
      </c>
      <c r="D205" t="s">
        <v>191</v>
      </c>
      <c r="E205" t="s">
        <v>207</v>
      </c>
      <c r="F205" t="s">
        <v>40</v>
      </c>
      <c r="G205">
        <v>1</v>
      </c>
    </row>
    <row r="206" spans="2:7" x14ac:dyDescent="0.2">
      <c r="B206" t="s">
        <v>205</v>
      </c>
      <c r="C206">
        <v>1424417</v>
      </c>
      <c r="D206" t="s">
        <v>211</v>
      </c>
      <c r="E206" t="s">
        <v>207</v>
      </c>
      <c r="F206" t="s">
        <v>40</v>
      </c>
      <c r="G206">
        <v>1</v>
      </c>
    </row>
    <row r="207" spans="2:7" x14ac:dyDescent="0.2">
      <c r="B207" t="s">
        <v>205</v>
      </c>
      <c r="C207">
        <v>1424417</v>
      </c>
      <c r="D207" t="s">
        <v>212</v>
      </c>
      <c r="E207" t="s">
        <v>207</v>
      </c>
      <c r="F207" t="s">
        <v>24</v>
      </c>
      <c r="G207">
        <v>1</v>
      </c>
    </row>
    <row r="208" spans="2:7" x14ac:dyDescent="0.2">
      <c r="B208" t="s">
        <v>205</v>
      </c>
      <c r="C208">
        <v>1424417</v>
      </c>
      <c r="D208" t="s">
        <v>192</v>
      </c>
      <c r="E208" t="s">
        <v>207</v>
      </c>
      <c r="F208" t="s">
        <v>24</v>
      </c>
      <c r="G208">
        <v>1</v>
      </c>
    </row>
    <row r="209" spans="2:7" x14ac:dyDescent="0.2">
      <c r="B209" t="s">
        <v>205</v>
      </c>
      <c r="C209">
        <v>1424417</v>
      </c>
      <c r="D209" t="s">
        <v>213</v>
      </c>
      <c r="E209" t="s">
        <v>207</v>
      </c>
      <c r="F209" t="s">
        <v>24</v>
      </c>
      <c r="G209">
        <v>1</v>
      </c>
    </row>
    <row r="210" spans="2:7" x14ac:dyDescent="0.2">
      <c r="B210" t="s">
        <v>205</v>
      </c>
      <c r="C210">
        <v>1424417</v>
      </c>
      <c r="D210" t="s">
        <v>214</v>
      </c>
      <c r="E210" t="s">
        <v>207</v>
      </c>
      <c r="F210" t="s">
        <v>24</v>
      </c>
      <c r="G210">
        <v>1</v>
      </c>
    </row>
    <row r="211" spans="2:7" x14ac:dyDescent="0.2">
      <c r="B211" t="s">
        <v>205</v>
      </c>
      <c r="C211">
        <v>1424417</v>
      </c>
      <c r="D211" t="s">
        <v>215</v>
      </c>
      <c r="E211" t="s">
        <v>207</v>
      </c>
      <c r="F211" t="s">
        <v>24</v>
      </c>
      <c r="G211">
        <v>1</v>
      </c>
    </row>
    <row r="212" spans="2:7" x14ac:dyDescent="0.2">
      <c r="B212" t="s">
        <v>216</v>
      </c>
      <c r="C212">
        <v>1426302</v>
      </c>
      <c r="D212" t="s">
        <v>217</v>
      </c>
      <c r="E212" t="s">
        <v>218</v>
      </c>
      <c r="F212" t="s">
        <v>219</v>
      </c>
      <c r="G212">
        <v>2</v>
      </c>
    </row>
    <row r="213" spans="2:7" x14ac:dyDescent="0.2">
      <c r="B213" t="s">
        <v>216</v>
      </c>
      <c r="C213">
        <v>1426302</v>
      </c>
      <c r="D213" t="s">
        <v>220</v>
      </c>
      <c r="E213" t="s">
        <v>218</v>
      </c>
      <c r="F213" t="s">
        <v>219</v>
      </c>
      <c r="G213">
        <v>1</v>
      </c>
    </row>
    <row r="214" spans="2:7" x14ac:dyDescent="0.2">
      <c r="B214" t="s">
        <v>156</v>
      </c>
      <c r="C214">
        <v>1425475</v>
      </c>
      <c r="D214" t="s">
        <v>221</v>
      </c>
      <c r="E214" t="s">
        <v>158</v>
      </c>
      <c r="F214" t="s">
        <v>219</v>
      </c>
      <c r="G214">
        <v>1</v>
      </c>
    </row>
    <row r="215" spans="2:7" x14ac:dyDescent="0.2">
      <c r="B215" t="s">
        <v>156</v>
      </c>
      <c r="C215">
        <v>1425475</v>
      </c>
      <c r="D215" t="s">
        <v>221</v>
      </c>
      <c r="E215" t="s">
        <v>158</v>
      </c>
      <c r="F215" t="s">
        <v>219</v>
      </c>
      <c r="G215">
        <v>1</v>
      </c>
    </row>
    <row r="216" spans="2:7" x14ac:dyDescent="0.2">
      <c r="B216" t="s">
        <v>156</v>
      </c>
      <c r="C216">
        <v>1425475</v>
      </c>
      <c r="D216" t="s">
        <v>221</v>
      </c>
      <c r="E216" t="s">
        <v>158</v>
      </c>
      <c r="F216" t="s">
        <v>219</v>
      </c>
      <c r="G216">
        <v>1</v>
      </c>
    </row>
    <row r="217" spans="2:7" x14ac:dyDescent="0.2">
      <c r="B217" t="s">
        <v>156</v>
      </c>
      <c r="C217">
        <v>1425475</v>
      </c>
      <c r="D217" t="s">
        <v>221</v>
      </c>
      <c r="E217" t="s">
        <v>158</v>
      </c>
      <c r="F217" t="s">
        <v>219</v>
      </c>
      <c r="G217">
        <v>1</v>
      </c>
    </row>
    <row r="218" spans="2:7" x14ac:dyDescent="0.2">
      <c r="B218" t="s">
        <v>222</v>
      </c>
      <c r="C218">
        <v>1420442</v>
      </c>
      <c r="D218" t="s">
        <v>223</v>
      </c>
      <c r="E218" t="s">
        <v>224</v>
      </c>
      <c r="F218" t="s">
        <v>219</v>
      </c>
      <c r="G218">
        <v>0.5</v>
      </c>
    </row>
    <row r="219" spans="2:7" x14ac:dyDescent="0.2">
      <c r="B219" t="s">
        <v>222</v>
      </c>
      <c r="C219">
        <v>1420442</v>
      </c>
      <c r="D219" t="s">
        <v>225</v>
      </c>
      <c r="E219" t="s">
        <v>224</v>
      </c>
      <c r="F219" t="s">
        <v>219</v>
      </c>
      <c r="G219">
        <v>3</v>
      </c>
    </row>
    <row r="220" spans="2:7" x14ac:dyDescent="0.2">
      <c r="B220" t="s">
        <v>226</v>
      </c>
      <c r="C220">
        <v>1404793</v>
      </c>
      <c r="D220" t="s">
        <v>227</v>
      </c>
      <c r="E220" t="s">
        <v>228</v>
      </c>
      <c r="F220" t="s">
        <v>219</v>
      </c>
      <c r="G220">
        <v>8</v>
      </c>
    </row>
    <row r="221" spans="2:7" x14ac:dyDescent="0.2">
      <c r="B221" t="s">
        <v>226</v>
      </c>
      <c r="C221">
        <v>1404793</v>
      </c>
      <c r="D221" t="s">
        <v>229</v>
      </c>
      <c r="E221" t="s">
        <v>228</v>
      </c>
      <c r="F221" t="s">
        <v>219</v>
      </c>
      <c r="G221">
        <v>1</v>
      </c>
    </row>
    <row r="222" spans="2:7" x14ac:dyDescent="0.2">
      <c r="B222" t="s">
        <v>226</v>
      </c>
      <c r="C222">
        <v>1404793</v>
      </c>
      <c r="D222" t="s">
        <v>230</v>
      </c>
      <c r="E222" t="s">
        <v>228</v>
      </c>
      <c r="F222" t="s">
        <v>219</v>
      </c>
      <c r="G222">
        <v>1</v>
      </c>
    </row>
    <row r="223" spans="2:7" x14ac:dyDescent="0.2">
      <c r="B223" t="s">
        <v>231</v>
      </c>
      <c r="C223">
        <v>1428490</v>
      </c>
      <c r="D223" t="s">
        <v>232</v>
      </c>
      <c r="E223" t="s">
        <v>233</v>
      </c>
      <c r="F223" t="s">
        <v>219</v>
      </c>
      <c r="G223">
        <v>3</v>
      </c>
    </row>
    <row r="224" spans="2:7" x14ac:dyDescent="0.2">
      <c r="B224" t="s">
        <v>231</v>
      </c>
      <c r="C224">
        <v>1428490</v>
      </c>
      <c r="D224" t="s">
        <v>234</v>
      </c>
      <c r="E224" t="s">
        <v>233</v>
      </c>
      <c r="F224" t="s">
        <v>219</v>
      </c>
      <c r="G224">
        <v>3</v>
      </c>
    </row>
    <row r="225" spans="2:7" x14ac:dyDescent="0.2">
      <c r="B225" t="s">
        <v>231</v>
      </c>
      <c r="C225">
        <v>1428490</v>
      </c>
      <c r="D225" t="s">
        <v>235</v>
      </c>
      <c r="E225" t="s">
        <v>233</v>
      </c>
      <c r="F225" t="s">
        <v>219</v>
      </c>
      <c r="G225">
        <v>0.5</v>
      </c>
    </row>
    <row r="226" spans="2:7" x14ac:dyDescent="0.2">
      <c r="B226" t="s">
        <v>231</v>
      </c>
      <c r="C226">
        <v>1428477</v>
      </c>
      <c r="D226" t="s">
        <v>236</v>
      </c>
      <c r="E226" t="s">
        <v>233</v>
      </c>
      <c r="F226" t="s">
        <v>219</v>
      </c>
      <c r="G226">
        <v>0.5</v>
      </c>
    </row>
    <row r="227" spans="2:7" x14ac:dyDescent="0.2">
      <c r="B227" t="s">
        <v>231</v>
      </c>
      <c r="C227">
        <v>1428477</v>
      </c>
      <c r="D227" t="s">
        <v>237</v>
      </c>
      <c r="E227" t="s">
        <v>233</v>
      </c>
      <c r="F227" t="s">
        <v>219</v>
      </c>
      <c r="G227">
        <v>0.5</v>
      </c>
    </row>
    <row r="228" spans="2:7" x14ac:dyDescent="0.2">
      <c r="B228" t="s">
        <v>231</v>
      </c>
      <c r="C228">
        <v>1427716</v>
      </c>
      <c r="D228" t="s">
        <v>217</v>
      </c>
      <c r="E228" t="s">
        <v>233</v>
      </c>
      <c r="F228" t="s">
        <v>219</v>
      </c>
      <c r="G228">
        <v>0.5</v>
      </c>
    </row>
    <row r="229" spans="2:7" x14ac:dyDescent="0.2">
      <c r="B229" t="s">
        <v>231</v>
      </c>
      <c r="C229">
        <v>1427716</v>
      </c>
      <c r="D229" t="s">
        <v>238</v>
      </c>
      <c r="E229" t="s">
        <v>233</v>
      </c>
      <c r="F229" t="s">
        <v>219</v>
      </c>
      <c r="G229">
        <v>0.5</v>
      </c>
    </row>
    <row r="230" spans="2:7" x14ac:dyDescent="0.2">
      <c r="B230" t="s">
        <v>256</v>
      </c>
      <c r="C230">
        <v>1405783</v>
      </c>
      <c r="D230" t="s">
        <v>257</v>
      </c>
      <c r="F230" t="s">
        <v>260</v>
      </c>
      <c r="G230">
        <v>2.5</v>
      </c>
    </row>
    <row r="231" spans="2:7" x14ac:dyDescent="0.2">
      <c r="B231" t="s">
        <v>258</v>
      </c>
      <c r="C231">
        <v>1405633</v>
      </c>
      <c r="D231" t="s">
        <v>259</v>
      </c>
      <c r="F231" t="s">
        <v>219</v>
      </c>
      <c r="G231">
        <v>4.5</v>
      </c>
    </row>
    <row r="232" spans="2:7" x14ac:dyDescent="0.2">
      <c r="B232" t="s">
        <v>258</v>
      </c>
      <c r="C232">
        <v>1405633</v>
      </c>
      <c r="D232" t="s">
        <v>237</v>
      </c>
      <c r="F232" t="s">
        <v>261</v>
      </c>
      <c r="G232">
        <v>2</v>
      </c>
    </row>
    <row r="233" spans="2:7" x14ac:dyDescent="0.2">
      <c r="B233" t="s">
        <v>262</v>
      </c>
      <c r="C233">
        <v>1409332</v>
      </c>
      <c r="D233" t="s">
        <v>123</v>
      </c>
      <c r="F233" t="s">
        <v>219</v>
      </c>
      <c r="G233">
        <v>2</v>
      </c>
    </row>
    <row r="234" spans="2:7" x14ac:dyDescent="0.2">
      <c r="B234" t="s">
        <v>262</v>
      </c>
      <c r="C234">
        <v>1409332</v>
      </c>
      <c r="D234" t="s">
        <v>221</v>
      </c>
      <c r="F234" t="s">
        <v>261</v>
      </c>
      <c r="G234">
        <v>1</v>
      </c>
    </row>
    <row r="235" spans="2:7" x14ac:dyDescent="0.2">
      <c r="B235" t="s">
        <v>262</v>
      </c>
      <c r="C235">
        <v>1409332</v>
      </c>
      <c r="D235" t="s">
        <v>123</v>
      </c>
      <c r="F235" t="s">
        <v>219</v>
      </c>
      <c r="G235">
        <v>2</v>
      </c>
    </row>
    <row r="236" spans="2:7" x14ac:dyDescent="0.2">
      <c r="B236" t="s">
        <v>262</v>
      </c>
      <c r="C236">
        <v>1409332</v>
      </c>
      <c r="D236" t="s">
        <v>221</v>
      </c>
      <c r="F236" t="s">
        <v>261</v>
      </c>
      <c r="G236">
        <v>1</v>
      </c>
    </row>
    <row r="237" spans="2:7" x14ac:dyDescent="0.2">
      <c r="B237" t="s">
        <v>262</v>
      </c>
      <c r="C237">
        <v>1409332</v>
      </c>
      <c r="D237" t="s">
        <v>263</v>
      </c>
      <c r="F237" t="s">
        <v>260</v>
      </c>
      <c r="G237">
        <v>0.5</v>
      </c>
    </row>
    <row r="238" spans="2:7" x14ac:dyDescent="0.2">
      <c r="B238" t="s">
        <v>262</v>
      </c>
      <c r="C238">
        <v>1409332</v>
      </c>
      <c r="D238" t="s">
        <v>217</v>
      </c>
      <c r="F238" t="s">
        <v>261</v>
      </c>
      <c r="G238">
        <v>4</v>
      </c>
    </row>
    <row r="239" spans="2:7" x14ac:dyDescent="0.2">
      <c r="B239" t="s">
        <v>262</v>
      </c>
      <c r="C239">
        <v>1409332</v>
      </c>
      <c r="D239" t="s">
        <v>176</v>
      </c>
      <c r="F239" t="s">
        <v>261</v>
      </c>
      <c r="G239">
        <v>3</v>
      </c>
    </row>
    <row r="240" spans="2:7" x14ac:dyDescent="0.2">
      <c r="B240" t="s">
        <v>262</v>
      </c>
      <c r="C240">
        <v>1409394</v>
      </c>
      <c r="D240" t="s">
        <v>264</v>
      </c>
      <c r="F240" t="s">
        <v>279</v>
      </c>
      <c r="G240">
        <v>0.4</v>
      </c>
    </row>
    <row r="241" spans="2:7" x14ac:dyDescent="0.2">
      <c r="B241" t="s">
        <v>262</v>
      </c>
      <c r="C241">
        <v>1409394</v>
      </c>
      <c r="D241" t="s">
        <v>265</v>
      </c>
      <c r="F241" t="s">
        <v>279</v>
      </c>
      <c r="G241">
        <v>1.5</v>
      </c>
    </row>
    <row r="242" spans="2:7" x14ac:dyDescent="0.2">
      <c r="B242" t="s">
        <v>262</v>
      </c>
      <c r="C242">
        <v>1409394</v>
      </c>
      <c r="D242" t="s">
        <v>266</v>
      </c>
      <c r="F242" t="s">
        <v>279</v>
      </c>
      <c r="G242">
        <v>0</v>
      </c>
    </row>
    <row r="243" spans="2:7" x14ac:dyDescent="0.2">
      <c r="B243" t="s">
        <v>262</v>
      </c>
      <c r="C243">
        <v>1409394</v>
      </c>
      <c r="D243" t="s">
        <v>267</v>
      </c>
      <c r="F243" t="s">
        <v>279</v>
      </c>
      <c r="G243">
        <v>0.5</v>
      </c>
    </row>
    <row r="244" spans="2:7" x14ac:dyDescent="0.2">
      <c r="B244" t="s">
        <v>262</v>
      </c>
      <c r="C244">
        <v>1409394</v>
      </c>
      <c r="D244" t="s">
        <v>268</v>
      </c>
      <c r="F244" t="s">
        <v>279</v>
      </c>
      <c r="G244">
        <v>3.5</v>
      </c>
    </row>
    <row r="245" spans="2:7" x14ac:dyDescent="0.2">
      <c r="B245" t="s">
        <v>262</v>
      </c>
      <c r="C245">
        <v>1409394</v>
      </c>
      <c r="D245" t="s">
        <v>269</v>
      </c>
      <c r="F245" t="s">
        <v>279</v>
      </c>
      <c r="G245">
        <v>1</v>
      </c>
    </row>
    <row r="246" spans="2:7" x14ac:dyDescent="0.2">
      <c r="B246" t="s">
        <v>262</v>
      </c>
      <c r="C246">
        <v>1409394</v>
      </c>
      <c r="D246" t="s">
        <v>270</v>
      </c>
      <c r="F246" t="s">
        <v>279</v>
      </c>
      <c r="G246">
        <v>0.2</v>
      </c>
    </row>
    <row r="247" spans="2:7" x14ac:dyDescent="0.2">
      <c r="B247" t="s">
        <v>262</v>
      </c>
      <c r="C247">
        <v>1409394</v>
      </c>
      <c r="D247" t="s">
        <v>271</v>
      </c>
      <c r="F247" t="s">
        <v>279</v>
      </c>
      <c r="G247">
        <v>0.3</v>
      </c>
    </row>
    <row r="248" spans="2:7" x14ac:dyDescent="0.2">
      <c r="B248" t="s">
        <v>262</v>
      </c>
      <c r="C248">
        <v>1409394</v>
      </c>
      <c r="D248" t="s">
        <v>272</v>
      </c>
      <c r="F248" t="s">
        <v>279</v>
      </c>
      <c r="G248">
        <v>0.2</v>
      </c>
    </row>
    <row r="249" spans="2:7" x14ac:dyDescent="0.2">
      <c r="B249" t="s">
        <v>262</v>
      </c>
      <c r="C249">
        <v>1409394</v>
      </c>
      <c r="D249" t="s">
        <v>273</v>
      </c>
      <c r="F249" t="s">
        <v>279</v>
      </c>
      <c r="G249">
        <v>0.2</v>
      </c>
    </row>
    <row r="250" spans="2:7" x14ac:dyDescent="0.2">
      <c r="B250" t="s">
        <v>262</v>
      </c>
      <c r="C250">
        <v>1409394</v>
      </c>
      <c r="D250" t="s">
        <v>274</v>
      </c>
      <c r="F250" t="s">
        <v>279</v>
      </c>
      <c r="G250">
        <v>0.1</v>
      </c>
    </row>
    <row r="251" spans="2:7" x14ac:dyDescent="0.2">
      <c r="B251" t="s">
        <v>262</v>
      </c>
      <c r="C251">
        <v>1409394</v>
      </c>
      <c r="D251" t="s">
        <v>275</v>
      </c>
      <c r="F251" t="s">
        <v>279</v>
      </c>
      <c r="G251">
        <v>5</v>
      </c>
    </row>
    <row r="252" spans="2:7" x14ac:dyDescent="0.2">
      <c r="B252" t="s">
        <v>262</v>
      </c>
      <c r="C252">
        <v>1409394</v>
      </c>
      <c r="D252" t="s">
        <v>276</v>
      </c>
      <c r="F252" t="s">
        <v>261</v>
      </c>
      <c r="G252">
        <v>6</v>
      </c>
    </row>
    <row r="253" spans="2:7" x14ac:dyDescent="0.2">
      <c r="B253" t="s">
        <v>262</v>
      </c>
      <c r="C253">
        <v>1409394</v>
      </c>
      <c r="D253" t="s">
        <v>277</v>
      </c>
      <c r="F253" t="s">
        <v>260</v>
      </c>
      <c r="G253">
        <v>1</v>
      </c>
    </row>
    <row r="254" spans="2:7" x14ac:dyDescent="0.2">
      <c r="B254" t="s">
        <v>262</v>
      </c>
      <c r="C254">
        <v>1409394</v>
      </c>
      <c r="D254" t="s">
        <v>278</v>
      </c>
      <c r="F254" t="s">
        <v>279</v>
      </c>
      <c r="G254">
        <v>0.1</v>
      </c>
    </row>
    <row r="255" spans="2:7" x14ac:dyDescent="0.2">
      <c r="B255" t="s">
        <v>280</v>
      </c>
      <c r="C255">
        <v>1411876</v>
      </c>
      <c r="D255" t="s">
        <v>281</v>
      </c>
      <c r="F255" t="s">
        <v>279</v>
      </c>
      <c r="G255">
        <v>3</v>
      </c>
    </row>
    <row r="256" spans="2:7" x14ac:dyDescent="0.2">
      <c r="B256" t="s">
        <v>280</v>
      </c>
      <c r="C256">
        <v>1411876</v>
      </c>
      <c r="D256" t="s">
        <v>282</v>
      </c>
      <c r="F256" t="s">
        <v>219</v>
      </c>
      <c r="G256">
        <v>2</v>
      </c>
    </row>
    <row r="257" spans="2:7" x14ac:dyDescent="0.2">
      <c r="B257" t="s">
        <v>280</v>
      </c>
      <c r="C257">
        <v>1411876</v>
      </c>
      <c r="D257" t="s">
        <v>283</v>
      </c>
      <c r="F257" t="s">
        <v>219</v>
      </c>
      <c r="G257">
        <v>2</v>
      </c>
    </row>
    <row r="258" spans="2:7" x14ac:dyDescent="0.2">
      <c r="B258" t="s">
        <v>280</v>
      </c>
      <c r="C258">
        <v>1411876</v>
      </c>
      <c r="D258" t="s">
        <v>284</v>
      </c>
      <c r="F258" t="s">
        <v>219</v>
      </c>
      <c r="G258">
        <v>1</v>
      </c>
    </row>
    <row r="259" spans="2:7" x14ac:dyDescent="0.2">
      <c r="B259" t="s">
        <v>280</v>
      </c>
      <c r="C259">
        <v>1411876</v>
      </c>
      <c r="D259" t="s">
        <v>161</v>
      </c>
      <c r="F259" t="s">
        <v>219</v>
      </c>
      <c r="G259">
        <v>1</v>
      </c>
    </row>
    <row r="260" spans="2:7" x14ac:dyDescent="0.2">
      <c r="B260" t="s">
        <v>280</v>
      </c>
      <c r="C260">
        <v>1411876</v>
      </c>
      <c r="D260" t="s">
        <v>285</v>
      </c>
      <c r="F260" t="s">
        <v>219</v>
      </c>
      <c r="G260">
        <v>1</v>
      </c>
    </row>
    <row r="261" spans="2:7" x14ac:dyDescent="0.2">
      <c r="B261" t="s">
        <v>280</v>
      </c>
      <c r="C261">
        <v>1411876</v>
      </c>
      <c r="D261" t="s">
        <v>286</v>
      </c>
      <c r="F261" t="s">
        <v>219</v>
      </c>
      <c r="G261">
        <v>1</v>
      </c>
    </row>
    <row r="262" spans="2:7" x14ac:dyDescent="0.2">
      <c r="B262" t="s">
        <v>280</v>
      </c>
      <c r="C262">
        <v>1411876</v>
      </c>
      <c r="D262" t="s">
        <v>287</v>
      </c>
      <c r="F262" t="s">
        <v>219</v>
      </c>
      <c r="G262">
        <v>2</v>
      </c>
    </row>
    <row r="263" spans="2:7" x14ac:dyDescent="0.2">
      <c r="B263" t="s">
        <v>280</v>
      </c>
      <c r="C263">
        <v>1411876</v>
      </c>
      <c r="D263" t="s">
        <v>8</v>
      </c>
      <c r="F263" t="s">
        <v>219</v>
      </c>
      <c r="G263">
        <v>2</v>
      </c>
    </row>
    <row r="264" spans="2:7" x14ac:dyDescent="0.2">
      <c r="B264" t="s">
        <v>280</v>
      </c>
      <c r="C264">
        <v>1411876</v>
      </c>
      <c r="D264" t="s">
        <v>288</v>
      </c>
      <c r="F264" t="s">
        <v>219</v>
      </c>
      <c r="G264">
        <v>2</v>
      </c>
    </row>
    <row r="265" spans="2:7" x14ac:dyDescent="0.2">
      <c r="B265" t="s">
        <v>280</v>
      </c>
      <c r="C265">
        <v>1411876</v>
      </c>
      <c r="D265" t="s">
        <v>289</v>
      </c>
      <c r="F265" t="s">
        <v>219</v>
      </c>
      <c r="G265">
        <v>2</v>
      </c>
    </row>
    <row r="266" spans="2:7" x14ac:dyDescent="0.2">
      <c r="B266" t="s">
        <v>280</v>
      </c>
      <c r="C266">
        <v>1411876</v>
      </c>
      <c r="D266" t="s">
        <v>290</v>
      </c>
      <c r="F266" t="s">
        <v>219</v>
      </c>
      <c r="G266">
        <v>4</v>
      </c>
    </row>
    <row r="267" spans="2:7" x14ac:dyDescent="0.2">
      <c r="B267" t="s">
        <v>280</v>
      </c>
      <c r="C267">
        <v>1411876</v>
      </c>
      <c r="D267" t="s">
        <v>291</v>
      </c>
      <c r="F267" t="s">
        <v>219</v>
      </c>
      <c r="G267">
        <v>4</v>
      </c>
    </row>
    <row r="268" spans="2:7" x14ac:dyDescent="0.2">
      <c r="B268" t="s">
        <v>280</v>
      </c>
      <c r="C268">
        <v>1411876</v>
      </c>
      <c r="D268" t="s">
        <v>292</v>
      </c>
      <c r="F268" t="s">
        <v>279</v>
      </c>
      <c r="G268">
        <v>1</v>
      </c>
    </row>
    <row r="269" spans="2:7" x14ac:dyDescent="0.2">
      <c r="B269" t="s">
        <v>280</v>
      </c>
      <c r="C269">
        <v>1411876</v>
      </c>
      <c r="D269" t="s">
        <v>293</v>
      </c>
      <c r="F269" t="s">
        <v>279</v>
      </c>
      <c r="G269">
        <v>6</v>
      </c>
    </row>
    <row r="270" spans="2:7" x14ac:dyDescent="0.2">
      <c r="B270" t="s">
        <v>280</v>
      </c>
      <c r="C270">
        <v>1411876</v>
      </c>
      <c r="D270" t="s">
        <v>294</v>
      </c>
      <c r="F270" t="s">
        <v>279</v>
      </c>
      <c r="G270">
        <v>1</v>
      </c>
    </row>
    <row r="271" spans="2:7" x14ac:dyDescent="0.2">
      <c r="B271" t="s">
        <v>280</v>
      </c>
      <c r="C271">
        <v>1411876</v>
      </c>
      <c r="D271" t="s">
        <v>9</v>
      </c>
      <c r="F271" t="s">
        <v>279</v>
      </c>
      <c r="G271">
        <v>1</v>
      </c>
    </row>
    <row r="272" spans="2:7" x14ac:dyDescent="0.2">
      <c r="B272" t="s">
        <v>280</v>
      </c>
      <c r="C272">
        <v>1411876</v>
      </c>
      <c r="D272" t="s">
        <v>295</v>
      </c>
      <c r="F272" t="s">
        <v>279</v>
      </c>
      <c r="G272">
        <v>0.5</v>
      </c>
    </row>
    <row r="273" spans="2:7" x14ac:dyDescent="0.2">
      <c r="B273" t="s">
        <v>280</v>
      </c>
      <c r="C273">
        <v>1411876</v>
      </c>
      <c r="D273" t="s">
        <v>296</v>
      </c>
      <c r="F273" t="s">
        <v>279</v>
      </c>
      <c r="G273">
        <v>0.2</v>
      </c>
    </row>
    <row r="274" spans="2:7" x14ac:dyDescent="0.2">
      <c r="B274" t="s">
        <v>280</v>
      </c>
      <c r="C274">
        <v>1411876</v>
      </c>
      <c r="D274" t="s">
        <v>297</v>
      </c>
      <c r="F274" t="s">
        <v>279</v>
      </c>
      <c r="G274">
        <v>0.5</v>
      </c>
    </row>
    <row r="275" spans="2:7" x14ac:dyDescent="0.2">
      <c r="B275" t="s">
        <v>280</v>
      </c>
      <c r="C275">
        <v>1411876</v>
      </c>
      <c r="D275" t="s">
        <v>298</v>
      </c>
      <c r="F275" t="s">
        <v>279</v>
      </c>
      <c r="G275">
        <v>2</v>
      </c>
    </row>
    <row r="276" spans="2:7" x14ac:dyDescent="0.2">
      <c r="B276" t="s">
        <v>280</v>
      </c>
      <c r="C276">
        <v>1411876</v>
      </c>
      <c r="D276" t="s">
        <v>299</v>
      </c>
      <c r="F276" t="s">
        <v>279</v>
      </c>
      <c r="G276">
        <v>4</v>
      </c>
    </row>
    <row r="277" spans="2:7" x14ac:dyDescent="0.2">
      <c r="B277" t="s">
        <v>280</v>
      </c>
      <c r="C277">
        <v>1411876</v>
      </c>
      <c r="D277" t="s">
        <v>300</v>
      </c>
      <c r="F277" t="s">
        <v>279</v>
      </c>
      <c r="G277">
        <v>3</v>
      </c>
    </row>
    <row r="278" spans="2:7" x14ac:dyDescent="0.2">
      <c r="B278" t="s">
        <v>280</v>
      </c>
      <c r="C278">
        <v>1411876</v>
      </c>
      <c r="D278" t="s">
        <v>301</v>
      </c>
      <c r="F278" t="s">
        <v>279</v>
      </c>
      <c r="G278">
        <v>2</v>
      </c>
    </row>
    <row r="279" spans="2:7" x14ac:dyDescent="0.2">
      <c r="B279" t="s">
        <v>280</v>
      </c>
      <c r="C279">
        <v>1411876</v>
      </c>
      <c r="D279" t="s">
        <v>302</v>
      </c>
      <c r="F279" t="s">
        <v>279</v>
      </c>
      <c r="G279">
        <v>5</v>
      </c>
    </row>
    <row r="280" spans="2:7" x14ac:dyDescent="0.2">
      <c r="B280" t="s">
        <v>280</v>
      </c>
      <c r="C280">
        <v>1411876</v>
      </c>
      <c r="D280" t="s">
        <v>303</v>
      </c>
      <c r="F280" t="s">
        <v>279</v>
      </c>
      <c r="G280">
        <v>1</v>
      </c>
    </row>
    <row r="281" spans="2:7" x14ac:dyDescent="0.2">
      <c r="B281" t="s">
        <v>280</v>
      </c>
      <c r="C281">
        <v>1411876</v>
      </c>
      <c r="D281" t="s">
        <v>19</v>
      </c>
      <c r="F281" t="s">
        <v>279</v>
      </c>
      <c r="G281">
        <v>2</v>
      </c>
    </row>
    <row r="282" spans="2:7" x14ac:dyDescent="0.2">
      <c r="B282" t="s">
        <v>280</v>
      </c>
      <c r="C282">
        <v>1411876</v>
      </c>
      <c r="D282" t="s">
        <v>304</v>
      </c>
      <c r="F282" t="s">
        <v>260</v>
      </c>
      <c r="G282">
        <v>2</v>
      </c>
    </row>
    <row r="283" spans="2:7" x14ac:dyDescent="0.2">
      <c r="B283" t="s">
        <v>280</v>
      </c>
      <c r="C283">
        <v>1411876</v>
      </c>
      <c r="D283" t="s">
        <v>305</v>
      </c>
      <c r="F283" t="s">
        <v>261</v>
      </c>
      <c r="G283">
        <v>3</v>
      </c>
    </row>
    <row r="284" spans="2:7" x14ac:dyDescent="0.2">
      <c r="B284" t="s">
        <v>280</v>
      </c>
      <c r="C284">
        <v>1411876</v>
      </c>
      <c r="D284" t="s">
        <v>306</v>
      </c>
      <c r="F284" t="s">
        <v>261</v>
      </c>
      <c r="G284">
        <v>0.5</v>
      </c>
    </row>
    <row r="285" spans="2:7" x14ac:dyDescent="0.2">
      <c r="B285" t="s">
        <v>280</v>
      </c>
      <c r="C285">
        <v>1411876</v>
      </c>
      <c r="D285" t="s">
        <v>307</v>
      </c>
      <c r="F285" t="s">
        <v>261</v>
      </c>
      <c r="G285">
        <v>1.5</v>
      </c>
    </row>
    <row r="286" spans="2:7" x14ac:dyDescent="0.2">
      <c r="B286" t="s">
        <v>280</v>
      </c>
      <c r="C286">
        <v>1411876</v>
      </c>
      <c r="D286" t="s">
        <v>308</v>
      </c>
      <c r="F286" t="s">
        <v>261</v>
      </c>
      <c r="G286">
        <v>2.5</v>
      </c>
    </row>
    <row r="287" spans="2:7" x14ac:dyDescent="0.2">
      <c r="B287" t="s">
        <v>280</v>
      </c>
      <c r="C287">
        <v>1411876</v>
      </c>
      <c r="D287" t="s">
        <v>309</v>
      </c>
      <c r="F287" t="s">
        <v>261</v>
      </c>
      <c r="G287">
        <v>3</v>
      </c>
    </row>
    <row r="288" spans="2:7" x14ac:dyDescent="0.2">
      <c r="B288" t="s">
        <v>280</v>
      </c>
      <c r="C288">
        <v>1411876</v>
      </c>
      <c r="D288" t="s">
        <v>310</v>
      </c>
      <c r="F288" t="s">
        <v>261</v>
      </c>
      <c r="G288">
        <v>4</v>
      </c>
    </row>
    <row r="289" spans="2:7" x14ac:dyDescent="0.2">
      <c r="B289" t="s">
        <v>280</v>
      </c>
      <c r="C289">
        <v>1411876</v>
      </c>
      <c r="D289" t="s">
        <v>311</v>
      </c>
      <c r="F289" t="s">
        <v>261</v>
      </c>
      <c r="G289">
        <v>4</v>
      </c>
    </row>
    <row r="290" spans="2:7" x14ac:dyDescent="0.2">
      <c r="B290" t="s">
        <v>280</v>
      </c>
      <c r="C290">
        <v>1411876</v>
      </c>
      <c r="D290" t="s">
        <v>312</v>
      </c>
      <c r="F290" t="s">
        <v>261</v>
      </c>
      <c r="G290">
        <v>7</v>
      </c>
    </row>
    <row r="291" spans="2:7" x14ac:dyDescent="0.2">
      <c r="B291" t="s">
        <v>280</v>
      </c>
      <c r="C291">
        <v>1411876</v>
      </c>
      <c r="D291" t="s">
        <v>313</v>
      </c>
      <c r="F291" t="s">
        <v>260</v>
      </c>
      <c r="G291">
        <v>4</v>
      </c>
    </row>
    <row r="292" spans="2:7" x14ac:dyDescent="0.2">
      <c r="B292" t="s">
        <v>280</v>
      </c>
      <c r="C292">
        <v>1411876</v>
      </c>
      <c r="D292" t="s">
        <v>314</v>
      </c>
      <c r="F292" t="s">
        <v>260</v>
      </c>
      <c r="G292">
        <v>4.5</v>
      </c>
    </row>
    <row r="293" spans="2:7" x14ac:dyDescent="0.2">
      <c r="B293" t="s">
        <v>280</v>
      </c>
      <c r="C293">
        <v>1411876</v>
      </c>
      <c r="D293" t="s">
        <v>315</v>
      </c>
      <c r="F293" t="s">
        <v>260</v>
      </c>
      <c r="G293">
        <v>2.5</v>
      </c>
    </row>
    <row r="294" spans="2:7" x14ac:dyDescent="0.2">
      <c r="B294" t="s">
        <v>280</v>
      </c>
      <c r="C294">
        <v>1411876</v>
      </c>
      <c r="D294" t="s">
        <v>316</v>
      </c>
      <c r="F294" t="s">
        <v>261</v>
      </c>
      <c r="G294">
        <v>0.1</v>
      </c>
    </row>
    <row r="295" spans="2:7" x14ac:dyDescent="0.2">
      <c r="B295" t="s">
        <v>280</v>
      </c>
      <c r="C295">
        <v>1411876</v>
      </c>
      <c r="D295" t="s">
        <v>317</v>
      </c>
      <c r="F295" t="s">
        <v>260</v>
      </c>
      <c r="G295">
        <v>3</v>
      </c>
    </row>
    <row r="296" spans="2:7" x14ac:dyDescent="0.2">
      <c r="B296" t="s">
        <v>280</v>
      </c>
      <c r="C296">
        <v>1411876</v>
      </c>
      <c r="D296" t="s">
        <v>318</v>
      </c>
      <c r="F296" t="s">
        <v>260</v>
      </c>
      <c r="G296">
        <v>1</v>
      </c>
    </row>
    <row r="297" spans="2:7" x14ac:dyDescent="0.2">
      <c r="B297" t="s">
        <v>280</v>
      </c>
      <c r="C297">
        <v>1411876</v>
      </c>
      <c r="D297" t="s">
        <v>319</v>
      </c>
      <c r="F297" t="s">
        <v>260</v>
      </c>
      <c r="G297">
        <v>1.4</v>
      </c>
    </row>
    <row r="298" spans="2:7" x14ac:dyDescent="0.2">
      <c r="B298" t="s">
        <v>280</v>
      </c>
      <c r="C298">
        <v>1411876</v>
      </c>
      <c r="D298" t="s">
        <v>320</v>
      </c>
      <c r="F298" t="s">
        <v>261</v>
      </c>
      <c r="G298">
        <v>0.5</v>
      </c>
    </row>
    <row r="299" spans="2:7" x14ac:dyDescent="0.2">
      <c r="B299" t="s">
        <v>280</v>
      </c>
      <c r="C299">
        <v>1411876</v>
      </c>
      <c r="D299" t="s">
        <v>321</v>
      </c>
      <c r="F299" t="s">
        <v>261</v>
      </c>
      <c r="G299">
        <v>0.2</v>
      </c>
    </row>
    <row r="300" spans="2:7" x14ac:dyDescent="0.2">
      <c r="B300" t="s">
        <v>280</v>
      </c>
      <c r="C300">
        <v>1411876</v>
      </c>
      <c r="D300" t="s">
        <v>322</v>
      </c>
      <c r="F300" t="s">
        <v>261</v>
      </c>
      <c r="G300">
        <v>0.1</v>
      </c>
    </row>
    <row r="301" spans="2:7" x14ac:dyDescent="0.2">
      <c r="B301" t="s">
        <v>280</v>
      </c>
      <c r="C301">
        <v>1411876</v>
      </c>
      <c r="D301" t="s">
        <v>323</v>
      </c>
      <c r="F301" t="s">
        <v>260</v>
      </c>
      <c r="G301">
        <v>1</v>
      </c>
    </row>
    <row r="302" spans="2:7" x14ac:dyDescent="0.2">
      <c r="B302" t="s">
        <v>280</v>
      </c>
      <c r="C302">
        <v>1411876</v>
      </c>
      <c r="D302" t="s">
        <v>324</v>
      </c>
      <c r="F302" t="s">
        <v>260</v>
      </c>
      <c r="G302">
        <v>6</v>
      </c>
    </row>
    <row r="303" spans="2:7" x14ac:dyDescent="0.2">
      <c r="B303" t="s">
        <v>280</v>
      </c>
      <c r="C303">
        <v>1411876</v>
      </c>
      <c r="D303" t="s">
        <v>325</v>
      </c>
      <c r="F303" t="s">
        <v>260</v>
      </c>
      <c r="G303">
        <v>3</v>
      </c>
    </row>
    <row r="304" spans="2:7" x14ac:dyDescent="0.2">
      <c r="B304" t="s">
        <v>280</v>
      </c>
      <c r="C304">
        <v>1411876</v>
      </c>
      <c r="D304" t="s">
        <v>326</v>
      </c>
      <c r="F304" t="s">
        <v>260</v>
      </c>
      <c r="G304">
        <v>2</v>
      </c>
    </row>
    <row r="305" spans="2:7" x14ac:dyDescent="0.2">
      <c r="B305" t="s">
        <v>280</v>
      </c>
      <c r="C305">
        <v>1411876</v>
      </c>
      <c r="D305" t="s">
        <v>327</v>
      </c>
      <c r="F305" t="s">
        <v>260</v>
      </c>
      <c r="G305">
        <v>1</v>
      </c>
    </row>
    <row r="306" spans="2:7" x14ac:dyDescent="0.2">
      <c r="B306" t="s">
        <v>75</v>
      </c>
      <c r="C306">
        <v>1375671</v>
      </c>
      <c r="D306" t="s">
        <v>328</v>
      </c>
      <c r="F306" t="s">
        <v>219</v>
      </c>
      <c r="G306">
        <v>1</v>
      </c>
    </row>
    <row r="307" spans="2:7" x14ac:dyDescent="0.2">
      <c r="B307" t="s">
        <v>75</v>
      </c>
      <c r="C307">
        <v>1375671</v>
      </c>
      <c r="D307" t="s">
        <v>329</v>
      </c>
      <c r="F307" t="s">
        <v>219</v>
      </c>
      <c r="G307">
        <v>1</v>
      </c>
    </row>
    <row r="308" spans="2:7" x14ac:dyDescent="0.2">
      <c r="B308" t="s">
        <v>75</v>
      </c>
      <c r="C308">
        <v>1375671</v>
      </c>
      <c r="D308" t="s">
        <v>330</v>
      </c>
      <c r="F308" t="s">
        <v>219</v>
      </c>
      <c r="G308">
        <v>1</v>
      </c>
    </row>
    <row r="309" spans="2:7" x14ac:dyDescent="0.2">
      <c r="B309" t="s">
        <v>75</v>
      </c>
      <c r="C309">
        <v>1375671</v>
      </c>
      <c r="D309" t="s">
        <v>331</v>
      </c>
      <c r="F309" t="s">
        <v>219</v>
      </c>
      <c r="G309">
        <v>1</v>
      </c>
    </row>
    <row r="310" spans="2:7" x14ac:dyDescent="0.2">
      <c r="B310" t="s">
        <v>75</v>
      </c>
      <c r="C310">
        <v>1375671</v>
      </c>
      <c r="D310" t="s">
        <v>140</v>
      </c>
      <c r="F310" t="s">
        <v>219</v>
      </c>
      <c r="G310">
        <v>1</v>
      </c>
    </row>
    <row r="311" spans="2:7" x14ac:dyDescent="0.2">
      <c r="B311" t="s">
        <v>75</v>
      </c>
      <c r="C311">
        <v>1375671</v>
      </c>
      <c r="D311" t="s">
        <v>332</v>
      </c>
      <c r="F311" t="s">
        <v>279</v>
      </c>
      <c r="G311">
        <v>1</v>
      </c>
    </row>
    <row r="312" spans="2:7" x14ac:dyDescent="0.2">
      <c r="B312" t="s">
        <v>75</v>
      </c>
      <c r="C312">
        <v>1375671</v>
      </c>
      <c r="D312" t="s">
        <v>333</v>
      </c>
      <c r="F312" t="s">
        <v>279</v>
      </c>
      <c r="G312">
        <v>1</v>
      </c>
    </row>
    <row r="313" spans="2:7" x14ac:dyDescent="0.2">
      <c r="B313" t="s">
        <v>75</v>
      </c>
      <c r="C313">
        <v>1375671</v>
      </c>
      <c r="D313" t="s">
        <v>334</v>
      </c>
      <c r="F313" t="s">
        <v>279</v>
      </c>
      <c r="G313">
        <v>0.5</v>
      </c>
    </row>
    <row r="314" spans="2:7" x14ac:dyDescent="0.2">
      <c r="B314" t="s">
        <v>75</v>
      </c>
      <c r="C314">
        <v>1375671</v>
      </c>
      <c r="D314" t="s">
        <v>335</v>
      </c>
      <c r="F314" t="s">
        <v>279</v>
      </c>
      <c r="G314">
        <v>0.5</v>
      </c>
    </row>
    <row r="315" spans="2:7" x14ac:dyDescent="0.2">
      <c r="B315" t="s">
        <v>75</v>
      </c>
      <c r="C315">
        <v>1375671</v>
      </c>
      <c r="D315" t="s">
        <v>336</v>
      </c>
      <c r="F315" t="s">
        <v>261</v>
      </c>
      <c r="G315">
        <v>0.5</v>
      </c>
    </row>
    <row r="316" spans="2:7" x14ac:dyDescent="0.2">
      <c r="B316" t="s">
        <v>75</v>
      </c>
      <c r="C316">
        <v>1375671</v>
      </c>
      <c r="D316" t="s">
        <v>7</v>
      </c>
      <c r="F316" t="s">
        <v>261</v>
      </c>
      <c r="G316">
        <v>0.5</v>
      </c>
    </row>
    <row r="317" spans="2:7" x14ac:dyDescent="0.2">
      <c r="B317" t="s">
        <v>75</v>
      </c>
      <c r="C317">
        <v>1375671</v>
      </c>
      <c r="D317" t="s">
        <v>64</v>
      </c>
      <c r="F317" t="s">
        <v>261</v>
      </c>
      <c r="G317">
        <v>2</v>
      </c>
    </row>
    <row r="318" spans="2:7" x14ac:dyDescent="0.2">
      <c r="B318" t="s">
        <v>75</v>
      </c>
      <c r="C318">
        <v>1375671</v>
      </c>
      <c r="D318" t="s">
        <v>9</v>
      </c>
      <c r="F318" t="s">
        <v>261</v>
      </c>
      <c r="G318">
        <v>1</v>
      </c>
    </row>
    <row r="319" spans="2:7" x14ac:dyDescent="0.2">
      <c r="B319" t="s">
        <v>75</v>
      </c>
      <c r="C319">
        <v>1375671</v>
      </c>
      <c r="D319" t="s">
        <v>337</v>
      </c>
      <c r="F319" t="s">
        <v>260</v>
      </c>
      <c r="G319">
        <v>0.2</v>
      </c>
    </row>
    <row r="320" spans="2:7" x14ac:dyDescent="0.2">
      <c r="B320" t="s">
        <v>75</v>
      </c>
      <c r="C320">
        <v>1375671</v>
      </c>
      <c r="D320" t="s">
        <v>338</v>
      </c>
      <c r="F320" t="s">
        <v>260</v>
      </c>
      <c r="G320">
        <v>1</v>
      </c>
    </row>
    <row r="321" spans="2:7" x14ac:dyDescent="0.2">
      <c r="B321" t="s">
        <v>75</v>
      </c>
      <c r="C321">
        <v>1375671</v>
      </c>
      <c r="D321" t="s">
        <v>295</v>
      </c>
      <c r="F321" t="s">
        <v>260</v>
      </c>
      <c r="G321">
        <v>0.5</v>
      </c>
    </row>
    <row r="322" spans="2:7" x14ac:dyDescent="0.2">
      <c r="B322" t="s">
        <v>75</v>
      </c>
      <c r="C322">
        <v>1375671</v>
      </c>
      <c r="D322" t="s">
        <v>67</v>
      </c>
      <c r="F322" t="s">
        <v>260</v>
      </c>
      <c r="G322">
        <v>1</v>
      </c>
    </row>
    <row r="323" spans="2:7" x14ac:dyDescent="0.2">
      <c r="B323" t="s">
        <v>75</v>
      </c>
      <c r="C323">
        <v>1375671</v>
      </c>
      <c r="D323" t="s">
        <v>12</v>
      </c>
      <c r="F323" t="s">
        <v>219</v>
      </c>
      <c r="G323">
        <v>1</v>
      </c>
    </row>
    <row r="324" spans="2:7" x14ac:dyDescent="0.2">
      <c r="B324" t="s">
        <v>75</v>
      </c>
      <c r="C324">
        <v>1375671</v>
      </c>
      <c r="D324" t="s">
        <v>339</v>
      </c>
      <c r="F324" t="s">
        <v>219</v>
      </c>
      <c r="G324">
        <v>1</v>
      </c>
    </row>
    <row r="325" spans="2:7" x14ac:dyDescent="0.2">
      <c r="B325" t="s">
        <v>75</v>
      </c>
      <c r="C325">
        <v>1375671</v>
      </c>
      <c r="D325" t="s">
        <v>160</v>
      </c>
      <c r="F325" t="s">
        <v>219</v>
      </c>
      <c r="G325">
        <v>1</v>
      </c>
    </row>
    <row r="326" spans="2:7" x14ac:dyDescent="0.2">
      <c r="B326" t="s">
        <v>75</v>
      </c>
      <c r="C326">
        <v>1375671</v>
      </c>
      <c r="D326" t="s">
        <v>259</v>
      </c>
      <c r="F326" t="s">
        <v>219</v>
      </c>
      <c r="G326">
        <v>1</v>
      </c>
    </row>
    <row r="327" spans="2:7" x14ac:dyDescent="0.2">
      <c r="B327" t="s">
        <v>75</v>
      </c>
      <c r="C327">
        <v>1375671</v>
      </c>
      <c r="D327" t="s">
        <v>72</v>
      </c>
      <c r="F327" t="s">
        <v>219</v>
      </c>
      <c r="G327">
        <v>1</v>
      </c>
    </row>
    <row r="328" spans="2:7" x14ac:dyDescent="0.2">
      <c r="B328" t="s">
        <v>75</v>
      </c>
      <c r="C328">
        <v>1375671</v>
      </c>
      <c r="D328" t="s">
        <v>340</v>
      </c>
      <c r="F328" t="s">
        <v>279</v>
      </c>
      <c r="G328">
        <v>5</v>
      </c>
    </row>
    <row r="329" spans="2:7" x14ac:dyDescent="0.2">
      <c r="B329" t="s">
        <v>75</v>
      </c>
      <c r="C329">
        <v>1375671</v>
      </c>
      <c r="D329" t="s">
        <v>8</v>
      </c>
      <c r="F329" t="s">
        <v>279</v>
      </c>
      <c r="G329">
        <v>1</v>
      </c>
    </row>
    <row r="330" spans="2:7" x14ac:dyDescent="0.2">
      <c r="B330" t="s">
        <v>75</v>
      </c>
      <c r="C330">
        <v>1375671</v>
      </c>
      <c r="D330" t="s">
        <v>63</v>
      </c>
      <c r="F330" t="s">
        <v>279</v>
      </c>
      <c r="G330">
        <v>1</v>
      </c>
    </row>
    <row r="331" spans="2:7" x14ac:dyDescent="0.2">
      <c r="B331" t="s">
        <v>75</v>
      </c>
      <c r="C331">
        <v>1375671</v>
      </c>
      <c r="D331" t="s">
        <v>68</v>
      </c>
      <c r="F331" t="s">
        <v>279</v>
      </c>
      <c r="G331">
        <v>2</v>
      </c>
    </row>
    <row r="332" spans="2:7" x14ac:dyDescent="0.2">
      <c r="B332" t="s">
        <v>75</v>
      </c>
      <c r="C332">
        <v>1375671</v>
      </c>
      <c r="D332" t="s">
        <v>341</v>
      </c>
      <c r="F332" t="s">
        <v>261</v>
      </c>
      <c r="G332">
        <v>0.2</v>
      </c>
    </row>
    <row r="333" spans="2:7" x14ac:dyDescent="0.2">
      <c r="B333" t="s">
        <v>75</v>
      </c>
      <c r="C333">
        <v>1375671</v>
      </c>
      <c r="D333" t="s">
        <v>11</v>
      </c>
      <c r="F333" t="s">
        <v>219</v>
      </c>
      <c r="G333">
        <v>1</v>
      </c>
    </row>
    <row r="334" spans="2:7" x14ac:dyDescent="0.2">
      <c r="B334" t="s">
        <v>75</v>
      </c>
      <c r="C334">
        <v>1375671</v>
      </c>
      <c r="D334" t="s">
        <v>13</v>
      </c>
      <c r="F334" t="s">
        <v>261</v>
      </c>
      <c r="G334">
        <v>3</v>
      </c>
    </row>
    <row r="335" spans="2:7" x14ac:dyDescent="0.2">
      <c r="B335" t="s">
        <v>75</v>
      </c>
      <c r="C335">
        <v>1375671</v>
      </c>
      <c r="D335" t="s">
        <v>69</v>
      </c>
      <c r="F335" t="s">
        <v>261</v>
      </c>
      <c r="G335">
        <v>4</v>
      </c>
    </row>
    <row r="336" spans="2:7" x14ac:dyDescent="0.2">
      <c r="B336" t="s">
        <v>75</v>
      </c>
      <c r="C336">
        <v>1375671</v>
      </c>
      <c r="D336" t="s">
        <v>70</v>
      </c>
      <c r="F336" t="s">
        <v>261</v>
      </c>
      <c r="G336">
        <v>1</v>
      </c>
    </row>
    <row r="337" spans="2:7" x14ac:dyDescent="0.2">
      <c r="B337" t="s">
        <v>75</v>
      </c>
      <c r="C337">
        <v>1375671</v>
      </c>
      <c r="D337" t="s">
        <v>342</v>
      </c>
      <c r="F337" t="s">
        <v>261</v>
      </c>
      <c r="G337">
        <v>1</v>
      </c>
    </row>
    <row r="338" spans="2:7" x14ac:dyDescent="0.2">
      <c r="B338" t="s">
        <v>75</v>
      </c>
      <c r="C338">
        <v>1375671</v>
      </c>
      <c r="D338" t="s">
        <v>14</v>
      </c>
      <c r="F338" t="s">
        <v>260</v>
      </c>
      <c r="G338">
        <v>1</v>
      </c>
    </row>
    <row r="339" spans="2:7" x14ac:dyDescent="0.2">
      <c r="B339" t="s">
        <v>75</v>
      </c>
      <c r="C339">
        <v>1375671</v>
      </c>
      <c r="D339" t="s">
        <v>16</v>
      </c>
      <c r="F339" t="s">
        <v>260</v>
      </c>
      <c r="G339">
        <v>1</v>
      </c>
    </row>
    <row r="340" spans="2:7" x14ac:dyDescent="0.2">
      <c r="B340" t="s">
        <v>75</v>
      </c>
      <c r="C340">
        <v>1375671</v>
      </c>
      <c r="D340" t="s">
        <v>121</v>
      </c>
      <c r="F340" t="s">
        <v>261</v>
      </c>
      <c r="G340">
        <v>2</v>
      </c>
    </row>
    <row r="341" spans="2:7" x14ac:dyDescent="0.2">
      <c r="B341" t="s">
        <v>75</v>
      </c>
      <c r="C341">
        <v>1375671</v>
      </c>
      <c r="D341" t="s">
        <v>17</v>
      </c>
      <c r="F341" t="s">
        <v>261</v>
      </c>
      <c r="G341">
        <v>2</v>
      </c>
    </row>
    <row r="342" spans="2:7" x14ac:dyDescent="0.2">
      <c r="B342" t="s">
        <v>75</v>
      </c>
      <c r="C342">
        <v>1375671</v>
      </c>
      <c r="D342" t="s">
        <v>120</v>
      </c>
      <c r="F342" t="s">
        <v>260</v>
      </c>
      <c r="G342">
        <v>1</v>
      </c>
    </row>
    <row r="343" spans="2:7" x14ac:dyDescent="0.2">
      <c r="B343" t="s">
        <v>75</v>
      </c>
      <c r="C343">
        <v>1375671</v>
      </c>
      <c r="D343" t="s">
        <v>18</v>
      </c>
      <c r="F343" t="s">
        <v>260</v>
      </c>
      <c r="G343">
        <v>0.5</v>
      </c>
    </row>
    <row r="344" spans="2:7" x14ac:dyDescent="0.2">
      <c r="B344" t="s">
        <v>75</v>
      </c>
      <c r="C344">
        <v>1375671</v>
      </c>
      <c r="D344" t="s">
        <v>19</v>
      </c>
      <c r="F344" t="s">
        <v>260</v>
      </c>
      <c r="G344">
        <v>0.5</v>
      </c>
    </row>
    <row r="345" spans="2:7" x14ac:dyDescent="0.2">
      <c r="B345" t="s">
        <v>75</v>
      </c>
      <c r="C345">
        <v>1375671</v>
      </c>
      <c r="D345" t="s">
        <v>66</v>
      </c>
      <c r="F345" t="s">
        <v>260</v>
      </c>
      <c r="G345">
        <v>0.5</v>
      </c>
    </row>
    <row r="346" spans="2:7" x14ac:dyDescent="0.2">
      <c r="B346" t="s">
        <v>75</v>
      </c>
      <c r="C346">
        <v>1375671</v>
      </c>
      <c r="D346" t="s">
        <v>10</v>
      </c>
      <c r="F346" t="s">
        <v>260</v>
      </c>
      <c r="G346">
        <v>0.5</v>
      </c>
    </row>
    <row r="347" spans="2:7" x14ac:dyDescent="0.2">
      <c r="B347" t="s">
        <v>75</v>
      </c>
      <c r="C347">
        <v>1375671</v>
      </c>
      <c r="D347" t="s">
        <v>71</v>
      </c>
      <c r="F347" t="s">
        <v>260</v>
      </c>
      <c r="G347">
        <v>0.5</v>
      </c>
    </row>
    <row r="348" spans="2:7" x14ac:dyDescent="0.2">
      <c r="B348" t="s">
        <v>75</v>
      </c>
      <c r="C348">
        <v>1375671</v>
      </c>
      <c r="D348" t="s">
        <v>161</v>
      </c>
      <c r="F348" t="s">
        <v>219</v>
      </c>
      <c r="G348">
        <v>1</v>
      </c>
    </row>
    <row r="349" spans="2:7" x14ac:dyDescent="0.2">
      <c r="B349" t="s">
        <v>75</v>
      </c>
      <c r="C349">
        <v>1375671</v>
      </c>
      <c r="D349" t="s">
        <v>285</v>
      </c>
      <c r="F349" t="s">
        <v>279</v>
      </c>
      <c r="G349">
        <v>0.5</v>
      </c>
    </row>
    <row r="350" spans="2:7" x14ac:dyDescent="0.2">
      <c r="B350" t="s">
        <v>75</v>
      </c>
      <c r="C350">
        <v>1375671</v>
      </c>
      <c r="D350" t="s">
        <v>343</v>
      </c>
      <c r="F350" t="s">
        <v>261</v>
      </c>
      <c r="G350">
        <v>0.5</v>
      </c>
    </row>
    <row r="351" spans="2:7" x14ac:dyDescent="0.2">
      <c r="B351" t="s">
        <v>75</v>
      </c>
      <c r="C351">
        <v>1375671</v>
      </c>
      <c r="D351" t="s">
        <v>344</v>
      </c>
      <c r="F351" t="s">
        <v>279</v>
      </c>
      <c r="G351">
        <v>0.5</v>
      </c>
    </row>
    <row r="352" spans="2:7" x14ac:dyDescent="0.2">
      <c r="B352" t="s">
        <v>75</v>
      </c>
      <c r="C352">
        <v>1375671</v>
      </c>
      <c r="D352" t="s">
        <v>287</v>
      </c>
      <c r="F352" t="s">
        <v>260</v>
      </c>
      <c r="G352">
        <v>0.5</v>
      </c>
    </row>
    <row r="353" spans="2:7" x14ac:dyDescent="0.2">
      <c r="B353" t="s">
        <v>75</v>
      </c>
      <c r="C353">
        <v>1375671</v>
      </c>
      <c r="D353" t="s">
        <v>345</v>
      </c>
      <c r="F353" t="s">
        <v>260</v>
      </c>
      <c r="G353">
        <v>0.7</v>
      </c>
    </row>
    <row r="354" spans="2:7" x14ac:dyDescent="0.2">
      <c r="B354" t="s">
        <v>75</v>
      </c>
      <c r="C354">
        <v>1375671</v>
      </c>
      <c r="D354" t="s">
        <v>346</v>
      </c>
      <c r="F354" t="s">
        <v>260</v>
      </c>
      <c r="G354">
        <v>0.7</v>
      </c>
    </row>
    <row r="355" spans="2:7" x14ac:dyDescent="0.2">
      <c r="B355" t="s">
        <v>75</v>
      </c>
      <c r="C355">
        <v>1375671</v>
      </c>
      <c r="D355" t="s">
        <v>347</v>
      </c>
      <c r="F355" t="s">
        <v>261</v>
      </c>
      <c r="G355">
        <v>0.5</v>
      </c>
    </row>
    <row r="356" spans="2:7" x14ac:dyDescent="0.2">
      <c r="B356" t="s">
        <v>75</v>
      </c>
      <c r="C356">
        <v>1375671</v>
      </c>
      <c r="D356" t="s">
        <v>348</v>
      </c>
      <c r="F356" t="s">
        <v>219</v>
      </c>
      <c r="G356">
        <v>1</v>
      </c>
    </row>
    <row r="357" spans="2:7" x14ac:dyDescent="0.2">
      <c r="B357" t="s">
        <v>75</v>
      </c>
      <c r="C357">
        <v>1375671</v>
      </c>
      <c r="D357" t="s">
        <v>237</v>
      </c>
      <c r="F357" t="s">
        <v>279</v>
      </c>
      <c r="G357">
        <v>0.5</v>
      </c>
    </row>
    <row r="358" spans="2:7" x14ac:dyDescent="0.2">
      <c r="B358" t="s">
        <v>75</v>
      </c>
      <c r="C358">
        <v>1375671</v>
      </c>
      <c r="D358" t="s">
        <v>162</v>
      </c>
      <c r="F358" t="s">
        <v>279</v>
      </c>
      <c r="G358">
        <v>2</v>
      </c>
    </row>
    <row r="359" spans="2:7" x14ac:dyDescent="0.2">
      <c r="B359" t="s">
        <v>75</v>
      </c>
      <c r="C359">
        <v>1375671</v>
      </c>
      <c r="D359" t="s">
        <v>349</v>
      </c>
      <c r="F359" t="s">
        <v>260</v>
      </c>
      <c r="G359">
        <v>0.5</v>
      </c>
    </row>
    <row r="360" spans="2:7" x14ac:dyDescent="0.2">
      <c r="B360" t="s">
        <v>75</v>
      </c>
      <c r="C360">
        <v>1375671</v>
      </c>
      <c r="D360" t="s">
        <v>297</v>
      </c>
      <c r="F360" t="s">
        <v>219</v>
      </c>
      <c r="G360">
        <v>1</v>
      </c>
    </row>
    <row r="361" spans="2:7" x14ac:dyDescent="0.2">
      <c r="B361" t="s">
        <v>75</v>
      </c>
      <c r="C361">
        <v>1375671</v>
      </c>
      <c r="D361" t="s">
        <v>350</v>
      </c>
      <c r="F361" t="s">
        <v>261</v>
      </c>
      <c r="G361">
        <v>1</v>
      </c>
    </row>
    <row r="362" spans="2:7" x14ac:dyDescent="0.2">
      <c r="B362" t="s">
        <v>75</v>
      </c>
      <c r="C362">
        <v>1375671</v>
      </c>
      <c r="D362" t="s">
        <v>351</v>
      </c>
      <c r="F362" t="s">
        <v>279</v>
      </c>
      <c r="G362">
        <v>0.5</v>
      </c>
    </row>
    <row r="363" spans="2:7" x14ac:dyDescent="0.2">
      <c r="B363" t="s">
        <v>75</v>
      </c>
      <c r="C363">
        <v>1375671</v>
      </c>
      <c r="D363" t="s">
        <v>352</v>
      </c>
      <c r="F363" t="s">
        <v>279</v>
      </c>
      <c r="G363">
        <v>0.5</v>
      </c>
    </row>
    <row r="364" spans="2:7" x14ac:dyDescent="0.2">
      <c r="B364" t="s">
        <v>353</v>
      </c>
      <c r="C364">
        <v>1412462</v>
      </c>
      <c r="D364" t="s">
        <v>64</v>
      </c>
      <c r="F364" t="s">
        <v>261</v>
      </c>
      <c r="G364">
        <v>1</v>
      </c>
    </row>
    <row r="365" spans="2:7" x14ac:dyDescent="0.2">
      <c r="B365" t="s">
        <v>353</v>
      </c>
      <c r="C365">
        <v>1412462</v>
      </c>
      <c r="D365" t="s">
        <v>354</v>
      </c>
      <c r="F365" t="s">
        <v>261</v>
      </c>
      <c r="G365">
        <v>0.2</v>
      </c>
    </row>
    <row r="366" spans="2:7" x14ac:dyDescent="0.2">
      <c r="B366" t="s">
        <v>353</v>
      </c>
      <c r="C366">
        <v>1412462</v>
      </c>
      <c r="D366" t="s">
        <v>8</v>
      </c>
      <c r="F366" t="s">
        <v>261</v>
      </c>
      <c r="G366">
        <v>0.2</v>
      </c>
    </row>
    <row r="367" spans="2:7" x14ac:dyDescent="0.2">
      <c r="B367" t="s">
        <v>353</v>
      </c>
      <c r="C367">
        <v>1412462</v>
      </c>
      <c r="D367" t="s">
        <v>337</v>
      </c>
      <c r="F367" t="s">
        <v>261</v>
      </c>
      <c r="G367">
        <v>1</v>
      </c>
    </row>
    <row r="368" spans="2:7" x14ac:dyDescent="0.2">
      <c r="B368" t="s">
        <v>353</v>
      </c>
      <c r="C368">
        <v>1412462</v>
      </c>
      <c r="D368" t="s">
        <v>63</v>
      </c>
      <c r="F368" t="s">
        <v>279</v>
      </c>
      <c r="G368">
        <v>1</v>
      </c>
    </row>
    <row r="369" spans="2:7" x14ac:dyDescent="0.2">
      <c r="B369" t="s">
        <v>353</v>
      </c>
      <c r="C369">
        <v>1412462</v>
      </c>
      <c r="D369" t="s">
        <v>295</v>
      </c>
      <c r="F369" t="s">
        <v>279</v>
      </c>
      <c r="G369">
        <v>0.5</v>
      </c>
    </row>
    <row r="370" spans="2:7" x14ac:dyDescent="0.2">
      <c r="B370" t="s">
        <v>353</v>
      </c>
      <c r="C370">
        <v>1412462</v>
      </c>
      <c r="D370" t="s">
        <v>68</v>
      </c>
      <c r="F370" t="s">
        <v>279</v>
      </c>
      <c r="G370">
        <v>2</v>
      </c>
    </row>
    <row r="371" spans="2:7" x14ac:dyDescent="0.2">
      <c r="B371" t="s">
        <v>353</v>
      </c>
      <c r="C371">
        <v>1412462</v>
      </c>
      <c r="D371" t="s">
        <v>355</v>
      </c>
      <c r="F371" t="s">
        <v>279</v>
      </c>
      <c r="G371">
        <v>0.5</v>
      </c>
    </row>
    <row r="372" spans="2:7" x14ac:dyDescent="0.2">
      <c r="B372" t="s">
        <v>353</v>
      </c>
      <c r="C372">
        <v>1412462</v>
      </c>
      <c r="D372" t="s">
        <v>12</v>
      </c>
      <c r="F372" t="s">
        <v>279</v>
      </c>
      <c r="G372">
        <v>1</v>
      </c>
    </row>
    <row r="373" spans="2:7" x14ac:dyDescent="0.2">
      <c r="B373" t="s">
        <v>353</v>
      </c>
      <c r="C373">
        <v>1412462</v>
      </c>
      <c r="D373" t="s">
        <v>18</v>
      </c>
      <c r="F373" t="s">
        <v>260</v>
      </c>
      <c r="G373">
        <v>0.5</v>
      </c>
    </row>
    <row r="374" spans="2:7" x14ac:dyDescent="0.2">
      <c r="B374" t="s">
        <v>353</v>
      </c>
      <c r="C374">
        <v>1412462</v>
      </c>
      <c r="D374" t="s">
        <v>259</v>
      </c>
      <c r="F374" t="s">
        <v>279</v>
      </c>
      <c r="G374">
        <v>2</v>
      </c>
    </row>
    <row r="375" spans="2:7" x14ac:dyDescent="0.2">
      <c r="B375" t="s">
        <v>353</v>
      </c>
      <c r="C375">
        <v>1412462</v>
      </c>
      <c r="D375" t="s">
        <v>237</v>
      </c>
      <c r="F375" t="s">
        <v>261</v>
      </c>
      <c r="G375">
        <v>0.5</v>
      </c>
    </row>
    <row r="376" spans="2:7" x14ac:dyDescent="0.2">
      <c r="B376" t="s">
        <v>353</v>
      </c>
      <c r="C376">
        <v>1412476</v>
      </c>
      <c r="D376" t="s">
        <v>356</v>
      </c>
      <c r="F376" t="s">
        <v>261</v>
      </c>
      <c r="G376">
        <v>0.1</v>
      </c>
    </row>
    <row r="377" spans="2:7" x14ac:dyDescent="0.2">
      <c r="B377" t="s">
        <v>353</v>
      </c>
      <c r="C377">
        <v>1412476</v>
      </c>
      <c r="D377" t="s">
        <v>357</v>
      </c>
      <c r="F377" t="s">
        <v>260</v>
      </c>
      <c r="G377">
        <v>0.5</v>
      </c>
    </row>
    <row r="378" spans="2:7" x14ac:dyDescent="0.2">
      <c r="B378" t="s">
        <v>353</v>
      </c>
      <c r="C378">
        <v>1412476</v>
      </c>
      <c r="D378" t="s">
        <v>358</v>
      </c>
      <c r="F378" t="s">
        <v>260</v>
      </c>
      <c r="G378">
        <v>0.5</v>
      </c>
    </row>
    <row r="379" spans="2:7" x14ac:dyDescent="0.2">
      <c r="B379" t="s">
        <v>353</v>
      </c>
      <c r="C379">
        <v>1414275</v>
      </c>
      <c r="D379" t="s">
        <v>21</v>
      </c>
      <c r="F379" t="s">
        <v>260</v>
      </c>
      <c r="G379">
        <v>0.5</v>
      </c>
    </row>
    <row r="380" spans="2:7" x14ac:dyDescent="0.2">
      <c r="B380" t="s">
        <v>353</v>
      </c>
      <c r="C380">
        <v>1414275</v>
      </c>
      <c r="D380" t="s">
        <v>217</v>
      </c>
      <c r="F380" t="s">
        <v>260</v>
      </c>
      <c r="G380">
        <v>0.5</v>
      </c>
    </row>
    <row r="381" spans="2:7" x14ac:dyDescent="0.2">
      <c r="B381" t="s">
        <v>353</v>
      </c>
      <c r="C381">
        <v>1414275</v>
      </c>
      <c r="D381" t="s">
        <v>26</v>
      </c>
      <c r="F381" t="s">
        <v>261</v>
      </c>
      <c r="G381">
        <v>0.05</v>
      </c>
    </row>
    <row r="382" spans="2:7" x14ac:dyDescent="0.2">
      <c r="B382" t="s">
        <v>30</v>
      </c>
      <c r="C382">
        <v>1419102</v>
      </c>
      <c r="D382" t="s">
        <v>359</v>
      </c>
      <c r="F382" t="s">
        <v>260</v>
      </c>
      <c r="G382">
        <v>3</v>
      </c>
    </row>
    <row r="383" spans="2:7" x14ac:dyDescent="0.2">
      <c r="B383" t="s">
        <v>30</v>
      </c>
      <c r="C383">
        <v>1419102</v>
      </c>
      <c r="D383" t="s">
        <v>360</v>
      </c>
      <c r="F383" t="s">
        <v>219</v>
      </c>
      <c r="G383">
        <v>2</v>
      </c>
    </row>
    <row r="384" spans="2:7" x14ac:dyDescent="0.2">
      <c r="B384" t="s">
        <v>201</v>
      </c>
      <c r="C384">
        <v>1421044</v>
      </c>
      <c r="D384" t="s">
        <v>361</v>
      </c>
      <c r="F384" t="s">
        <v>219</v>
      </c>
      <c r="G384">
        <v>3</v>
      </c>
    </row>
    <row r="385" spans="2:7" x14ac:dyDescent="0.2">
      <c r="B385" t="s">
        <v>201</v>
      </c>
      <c r="C385">
        <v>1421052</v>
      </c>
      <c r="D385" t="s">
        <v>361</v>
      </c>
      <c r="F385" t="s">
        <v>219</v>
      </c>
      <c r="G385">
        <v>3</v>
      </c>
    </row>
    <row r="386" spans="2:7" x14ac:dyDescent="0.2">
      <c r="B386" t="s">
        <v>362</v>
      </c>
      <c r="C386">
        <v>1413019</v>
      </c>
      <c r="D386" t="s">
        <v>363</v>
      </c>
      <c r="F386" t="s">
        <v>260</v>
      </c>
      <c r="G386">
        <v>1</v>
      </c>
    </row>
    <row r="387" spans="2:7" x14ac:dyDescent="0.2">
      <c r="B387" t="s">
        <v>172</v>
      </c>
      <c r="C387">
        <v>1423192</v>
      </c>
      <c r="D387" t="s">
        <v>364</v>
      </c>
      <c r="F387" t="s">
        <v>279</v>
      </c>
      <c r="G387">
        <v>10</v>
      </c>
    </row>
    <row r="388" spans="2:7" x14ac:dyDescent="0.2">
      <c r="B388" t="s">
        <v>365</v>
      </c>
      <c r="C388">
        <v>1424050</v>
      </c>
      <c r="D388" t="s">
        <v>366</v>
      </c>
      <c r="F388" t="s">
        <v>261</v>
      </c>
      <c r="G388">
        <v>2</v>
      </c>
    </row>
    <row r="389" spans="2:7" x14ac:dyDescent="0.2">
      <c r="B389" t="s">
        <v>365</v>
      </c>
      <c r="C389">
        <v>1423277</v>
      </c>
      <c r="D389" t="s">
        <v>367</v>
      </c>
      <c r="F389" t="s">
        <v>260</v>
      </c>
      <c r="G389">
        <v>1</v>
      </c>
    </row>
    <row r="390" spans="2:7" x14ac:dyDescent="0.2">
      <c r="B390" t="s">
        <v>365</v>
      </c>
      <c r="C390">
        <v>1423277</v>
      </c>
      <c r="D390" t="s">
        <v>368</v>
      </c>
      <c r="F390" t="s">
        <v>260</v>
      </c>
      <c r="G390">
        <v>0.5</v>
      </c>
    </row>
    <row r="391" spans="2:7" x14ac:dyDescent="0.2">
      <c r="B391" t="s">
        <v>369</v>
      </c>
      <c r="C391">
        <v>1405925</v>
      </c>
      <c r="D391" t="s">
        <v>370</v>
      </c>
      <c r="F391" t="s">
        <v>260</v>
      </c>
      <c r="G391">
        <v>1</v>
      </c>
    </row>
    <row r="392" spans="2:7" x14ac:dyDescent="0.2">
      <c r="B392" t="s">
        <v>226</v>
      </c>
      <c r="C392">
        <v>1369164</v>
      </c>
      <c r="D392" t="s">
        <v>371</v>
      </c>
      <c r="F392" t="s">
        <v>219</v>
      </c>
      <c r="G392">
        <v>2</v>
      </c>
    </row>
    <row r="393" spans="2:7" x14ac:dyDescent="0.2">
      <c r="B393" t="s">
        <v>143</v>
      </c>
      <c r="C393">
        <v>1416607</v>
      </c>
      <c r="D393" t="s">
        <v>372</v>
      </c>
      <c r="F393" t="s">
        <v>261</v>
      </c>
      <c r="G393">
        <v>0.5</v>
      </c>
    </row>
    <row r="394" spans="2:7" x14ac:dyDescent="0.2">
      <c r="B394" t="s">
        <v>373</v>
      </c>
      <c r="C394">
        <v>1416607</v>
      </c>
      <c r="D394" t="s">
        <v>374</v>
      </c>
      <c r="F394" t="s">
        <v>261</v>
      </c>
      <c r="G394">
        <v>0.5</v>
      </c>
    </row>
    <row r="395" spans="2:7" x14ac:dyDescent="0.2">
      <c r="B395" t="s">
        <v>375</v>
      </c>
      <c r="C395">
        <v>1416607</v>
      </c>
      <c r="D395" t="s">
        <v>259</v>
      </c>
      <c r="F395" t="s">
        <v>219</v>
      </c>
      <c r="G395">
        <v>1</v>
      </c>
    </row>
    <row r="396" spans="2:7" x14ac:dyDescent="0.2">
      <c r="B396" t="s">
        <v>376</v>
      </c>
      <c r="C396">
        <v>1416607</v>
      </c>
      <c r="D396" t="s">
        <v>377</v>
      </c>
      <c r="F396" t="s">
        <v>261</v>
      </c>
      <c r="G396">
        <v>0.2</v>
      </c>
    </row>
    <row r="397" spans="2:7" x14ac:dyDescent="0.2">
      <c r="B397" t="s">
        <v>376</v>
      </c>
      <c r="C397">
        <v>1416607</v>
      </c>
      <c r="D397" t="s">
        <v>146</v>
      </c>
      <c r="F397" t="s">
        <v>219</v>
      </c>
      <c r="G397">
        <v>1</v>
      </c>
    </row>
    <row r="398" spans="2:7" x14ac:dyDescent="0.2">
      <c r="B398" t="s">
        <v>148</v>
      </c>
      <c r="C398">
        <v>1416606</v>
      </c>
      <c r="D398" t="s">
        <v>372</v>
      </c>
      <c r="F398" t="s">
        <v>261</v>
      </c>
      <c r="G398">
        <v>0.5</v>
      </c>
    </row>
    <row r="399" spans="2:7" x14ac:dyDescent="0.2">
      <c r="B399" t="s">
        <v>148</v>
      </c>
      <c r="C399">
        <v>1416606</v>
      </c>
      <c r="D399" t="s">
        <v>378</v>
      </c>
      <c r="F399" t="s">
        <v>261</v>
      </c>
      <c r="G399">
        <v>2</v>
      </c>
    </row>
    <row r="400" spans="2:7" x14ac:dyDescent="0.2">
      <c r="B400" t="s">
        <v>148</v>
      </c>
      <c r="C400">
        <v>1416606</v>
      </c>
      <c r="D400" t="s">
        <v>259</v>
      </c>
      <c r="F400" t="s">
        <v>261</v>
      </c>
      <c r="G400">
        <v>2</v>
      </c>
    </row>
    <row r="401" spans="2:7" x14ac:dyDescent="0.2">
      <c r="B401" t="s">
        <v>148</v>
      </c>
      <c r="C401">
        <v>1416606</v>
      </c>
      <c r="D401" t="s">
        <v>379</v>
      </c>
      <c r="F401" t="s">
        <v>260</v>
      </c>
      <c r="G401">
        <v>0.3</v>
      </c>
    </row>
    <row r="402" spans="2:7" x14ac:dyDescent="0.2">
      <c r="B402" t="s">
        <v>148</v>
      </c>
      <c r="C402">
        <v>1416606</v>
      </c>
      <c r="D402" t="s">
        <v>63</v>
      </c>
      <c r="F402" t="s">
        <v>219</v>
      </c>
      <c r="G402">
        <v>1</v>
      </c>
    </row>
    <row r="403" spans="2:7" x14ac:dyDescent="0.2">
      <c r="B403" t="s">
        <v>148</v>
      </c>
      <c r="C403">
        <v>1416606</v>
      </c>
      <c r="D403" t="s">
        <v>67</v>
      </c>
      <c r="F403" t="s">
        <v>219</v>
      </c>
      <c r="G403">
        <v>1</v>
      </c>
    </row>
    <row r="404" spans="2:7" x14ac:dyDescent="0.2">
      <c r="B404" t="s">
        <v>380</v>
      </c>
      <c r="C404">
        <v>1434762</v>
      </c>
      <c r="D404" t="s">
        <v>381</v>
      </c>
      <c r="F404" t="s">
        <v>261</v>
      </c>
      <c r="G404">
        <v>7</v>
      </c>
    </row>
    <row r="405" spans="2:7" x14ac:dyDescent="0.2">
      <c r="B405" t="s">
        <v>156</v>
      </c>
      <c r="C405">
        <v>1434832</v>
      </c>
      <c r="D405" t="s">
        <v>382</v>
      </c>
      <c r="F405" t="s">
        <v>260</v>
      </c>
      <c r="G405">
        <v>3</v>
      </c>
    </row>
    <row r="406" spans="2:7" x14ac:dyDescent="0.2">
      <c r="B406" t="s">
        <v>383</v>
      </c>
      <c r="C406">
        <v>1439139</v>
      </c>
      <c r="D406" t="s">
        <v>384</v>
      </c>
      <c r="F406" t="s">
        <v>279</v>
      </c>
      <c r="G406">
        <v>4</v>
      </c>
    </row>
    <row r="407" spans="2:7" x14ac:dyDescent="0.2">
      <c r="B407" t="s">
        <v>385</v>
      </c>
      <c r="C407">
        <v>1439139</v>
      </c>
      <c r="D407" t="s">
        <v>386</v>
      </c>
      <c r="F407" t="s">
        <v>219</v>
      </c>
      <c r="G407">
        <v>4</v>
      </c>
    </row>
    <row r="408" spans="2:7" x14ac:dyDescent="0.2">
      <c r="B408" t="s">
        <v>156</v>
      </c>
      <c r="C408">
        <v>1434955</v>
      </c>
      <c r="D408" t="s">
        <v>387</v>
      </c>
      <c r="F408" t="s">
        <v>261</v>
      </c>
      <c r="G408">
        <v>6</v>
      </c>
    </row>
    <row r="409" spans="2:7" x14ac:dyDescent="0.2">
      <c r="B409" t="s">
        <v>156</v>
      </c>
      <c r="C409">
        <v>1434955</v>
      </c>
      <c r="D409" t="s">
        <v>388</v>
      </c>
      <c r="F409" t="s">
        <v>261</v>
      </c>
      <c r="G409">
        <v>4</v>
      </c>
    </row>
    <row r="410" spans="2:7" x14ac:dyDescent="0.2">
      <c r="B410" t="s">
        <v>389</v>
      </c>
      <c r="F410" s="4" t="s">
        <v>40</v>
      </c>
      <c r="G410" s="4">
        <v>2</v>
      </c>
    </row>
    <row r="411" spans="2:7" x14ac:dyDescent="0.2">
      <c r="B411" t="s">
        <v>389</v>
      </c>
      <c r="F411" s="4" t="s">
        <v>40</v>
      </c>
      <c r="G411" s="4">
        <v>1</v>
      </c>
    </row>
    <row r="412" spans="2:7" x14ac:dyDescent="0.2">
      <c r="B412" t="s">
        <v>389</v>
      </c>
      <c r="F412" s="4" t="s">
        <v>40</v>
      </c>
      <c r="G412" s="4">
        <v>2</v>
      </c>
    </row>
    <row r="413" spans="2:7" x14ac:dyDescent="0.2">
      <c r="B413" t="s">
        <v>389</v>
      </c>
      <c r="F413" s="4" t="s">
        <v>40</v>
      </c>
      <c r="G413" s="4">
        <v>2</v>
      </c>
    </row>
    <row r="414" spans="2:7" x14ac:dyDescent="0.2">
      <c r="B414" t="s">
        <v>389</v>
      </c>
      <c r="F414" s="4" t="s">
        <v>15</v>
      </c>
      <c r="G414" s="4">
        <v>1</v>
      </c>
    </row>
    <row r="415" spans="2:7" x14ac:dyDescent="0.2">
      <c r="B415" t="s">
        <v>389</v>
      </c>
      <c r="F415" s="4" t="s">
        <v>15</v>
      </c>
      <c r="G415" s="4">
        <v>2</v>
      </c>
    </row>
    <row r="416" spans="2:7" x14ac:dyDescent="0.2">
      <c r="B416" t="s">
        <v>389</v>
      </c>
      <c r="F416" s="4" t="s">
        <v>15</v>
      </c>
      <c r="G416" s="4">
        <v>2</v>
      </c>
    </row>
    <row r="417" spans="2:7" x14ac:dyDescent="0.2">
      <c r="B417" t="s">
        <v>139</v>
      </c>
      <c r="F417" s="4" t="s">
        <v>15</v>
      </c>
      <c r="G417" s="4">
        <v>1</v>
      </c>
    </row>
    <row r="418" spans="2:7" x14ac:dyDescent="0.2">
      <c r="B418" t="s">
        <v>139</v>
      </c>
      <c r="F418" s="4" t="s">
        <v>15</v>
      </c>
      <c r="G418" s="4">
        <v>2</v>
      </c>
    </row>
    <row r="419" spans="2:7" x14ac:dyDescent="0.2">
      <c r="B419" t="s">
        <v>139</v>
      </c>
      <c r="F419" s="4" t="s">
        <v>15</v>
      </c>
      <c r="G419" s="4">
        <v>4</v>
      </c>
    </row>
    <row r="420" spans="2:7" x14ac:dyDescent="0.2">
      <c r="B420" t="s">
        <v>139</v>
      </c>
      <c r="F420" s="4" t="s">
        <v>41</v>
      </c>
      <c r="G420" s="4">
        <v>2</v>
      </c>
    </row>
    <row r="421" spans="2:7" x14ac:dyDescent="0.2">
      <c r="B421" t="s">
        <v>390</v>
      </c>
      <c r="F421" s="4" t="s">
        <v>40</v>
      </c>
      <c r="G421" s="4">
        <v>0.1</v>
      </c>
    </row>
    <row r="422" spans="2:7" x14ac:dyDescent="0.2">
      <c r="B422" t="s">
        <v>390</v>
      </c>
      <c r="F422" s="4" t="s">
        <v>40</v>
      </c>
      <c r="G422" s="4">
        <v>0.15</v>
      </c>
    </row>
    <row r="423" spans="2:7" x14ac:dyDescent="0.2">
      <c r="B423" t="s">
        <v>390</v>
      </c>
      <c r="F423" s="4" t="s">
        <v>40</v>
      </c>
      <c r="G423" s="4">
        <v>1</v>
      </c>
    </row>
    <row r="424" spans="2:7" x14ac:dyDescent="0.2">
      <c r="B424" t="s">
        <v>391</v>
      </c>
      <c r="F424" s="4" t="s">
        <v>40</v>
      </c>
      <c r="G424" s="4">
        <v>1</v>
      </c>
    </row>
    <row r="425" spans="2:7" x14ac:dyDescent="0.2">
      <c r="B425" t="s">
        <v>391</v>
      </c>
      <c r="F425" s="4" t="s">
        <v>40</v>
      </c>
      <c r="G425" s="4">
        <v>0.5</v>
      </c>
    </row>
    <row r="426" spans="2:7" x14ac:dyDescent="0.2">
      <c r="B426" t="s">
        <v>392</v>
      </c>
      <c r="F426" s="4" t="s">
        <v>41</v>
      </c>
      <c r="G426" s="4">
        <v>1</v>
      </c>
    </row>
    <row r="427" spans="2:7" x14ac:dyDescent="0.2">
      <c r="B427" t="s">
        <v>392</v>
      </c>
      <c r="F427" s="4" t="s">
        <v>41</v>
      </c>
      <c r="G427" s="4">
        <v>1</v>
      </c>
    </row>
    <row r="428" spans="2:7" ht="15" x14ac:dyDescent="0.2">
      <c r="B428" t="s">
        <v>156</v>
      </c>
      <c r="F428" s="4" t="s">
        <v>40</v>
      </c>
      <c r="G428" s="5">
        <v>2</v>
      </c>
    </row>
    <row r="429" spans="2:7" x14ac:dyDescent="0.2">
      <c r="B429" t="s">
        <v>391</v>
      </c>
      <c r="F429" s="4" t="s">
        <v>40</v>
      </c>
      <c r="G429" s="4">
        <v>2</v>
      </c>
    </row>
    <row r="430" spans="2:7" x14ac:dyDescent="0.2">
      <c r="B430" t="s">
        <v>393</v>
      </c>
      <c r="F430" s="4" t="s">
        <v>219</v>
      </c>
      <c r="G430" s="4">
        <v>4</v>
      </c>
    </row>
    <row r="431" spans="2:7" x14ac:dyDescent="0.2">
      <c r="B431" t="s">
        <v>394</v>
      </c>
      <c r="F431" s="4" t="s">
        <v>261</v>
      </c>
      <c r="G431" s="4">
        <v>8</v>
      </c>
    </row>
    <row r="432" spans="2:7" x14ac:dyDescent="0.2">
      <c r="B432" t="s">
        <v>394</v>
      </c>
      <c r="F432" s="4" t="s">
        <v>260</v>
      </c>
      <c r="G432" s="4">
        <v>3</v>
      </c>
    </row>
    <row r="433" spans="2:7" x14ac:dyDescent="0.2">
      <c r="B433" t="s">
        <v>395</v>
      </c>
      <c r="F433" s="4" t="s">
        <v>279</v>
      </c>
      <c r="G433" s="4">
        <v>1</v>
      </c>
    </row>
    <row r="434" spans="2:7" x14ac:dyDescent="0.2">
      <c r="B434" t="s">
        <v>395</v>
      </c>
      <c r="F434" s="4" t="s">
        <v>279</v>
      </c>
      <c r="G434" s="4">
        <v>8</v>
      </c>
    </row>
    <row r="435" spans="2:7" x14ac:dyDescent="0.2">
      <c r="B435" t="s">
        <v>395</v>
      </c>
      <c r="F435" s="4" t="s">
        <v>219</v>
      </c>
      <c r="G435" s="4">
        <v>4</v>
      </c>
    </row>
    <row r="436" spans="2:7" x14ac:dyDescent="0.2">
      <c r="B436" t="s">
        <v>395</v>
      </c>
      <c r="F436" s="4" t="s">
        <v>261</v>
      </c>
      <c r="G436" s="4">
        <v>0.5</v>
      </c>
    </row>
    <row r="437" spans="2:7" ht="15" x14ac:dyDescent="0.2">
      <c r="B437" t="s">
        <v>396</v>
      </c>
      <c r="F437" s="6" t="s">
        <v>219</v>
      </c>
      <c r="G437" s="4">
        <v>1</v>
      </c>
    </row>
    <row r="438" spans="2:7" x14ac:dyDescent="0.2">
      <c r="B438" t="s">
        <v>396</v>
      </c>
      <c r="F438" s="4" t="s">
        <v>261</v>
      </c>
      <c r="G438" s="4">
        <v>0.5</v>
      </c>
    </row>
    <row r="439" spans="2:7" x14ac:dyDescent="0.2">
      <c r="B439" t="s">
        <v>396</v>
      </c>
      <c r="F439" s="4" t="s">
        <v>261</v>
      </c>
      <c r="G439" s="4">
        <v>0.2</v>
      </c>
    </row>
    <row r="440" spans="2:7" x14ac:dyDescent="0.2">
      <c r="B440" t="s">
        <v>396</v>
      </c>
      <c r="F440" s="4" t="s">
        <v>279</v>
      </c>
      <c r="G440" s="4">
        <v>1</v>
      </c>
    </row>
    <row r="441" spans="2:7" x14ac:dyDescent="0.2">
      <c r="B441" t="s">
        <v>396</v>
      </c>
      <c r="F441" s="4" t="s">
        <v>260</v>
      </c>
      <c r="G441" s="4">
        <v>1</v>
      </c>
    </row>
    <row r="442" spans="2:7" ht="15" x14ac:dyDescent="0.2">
      <c r="B442" t="s">
        <v>396</v>
      </c>
      <c r="F442" s="6" t="s">
        <v>219</v>
      </c>
      <c r="G442" s="4">
        <v>1</v>
      </c>
    </row>
    <row r="443" spans="2:7" x14ac:dyDescent="0.2">
      <c r="B443" t="s">
        <v>396</v>
      </c>
      <c r="F443" s="4" t="s">
        <v>260</v>
      </c>
      <c r="G443" s="4">
        <v>1</v>
      </c>
    </row>
    <row r="444" spans="2:7" x14ac:dyDescent="0.2">
      <c r="B444" t="s">
        <v>396</v>
      </c>
      <c r="F444" s="4" t="s">
        <v>260</v>
      </c>
      <c r="G444" s="4">
        <v>2</v>
      </c>
    </row>
    <row r="445" spans="2:7" x14ac:dyDescent="0.2">
      <c r="B445" t="s">
        <v>396</v>
      </c>
      <c r="F445" s="4" t="s">
        <v>279</v>
      </c>
      <c r="G445" s="4">
        <v>1</v>
      </c>
    </row>
    <row r="446" spans="2:7" x14ac:dyDescent="0.2">
      <c r="B446" t="s">
        <v>396</v>
      </c>
      <c r="F446" s="4" t="s">
        <v>260</v>
      </c>
      <c r="G446" s="4">
        <v>3</v>
      </c>
    </row>
    <row r="447" spans="2:7" x14ac:dyDescent="0.2">
      <c r="B447" t="s">
        <v>396</v>
      </c>
      <c r="F447" s="4" t="s">
        <v>260</v>
      </c>
      <c r="G447" s="4">
        <v>6</v>
      </c>
    </row>
    <row r="448" spans="2:7" x14ac:dyDescent="0.2">
      <c r="B448" t="s">
        <v>396</v>
      </c>
      <c r="F448" s="4" t="s">
        <v>261</v>
      </c>
      <c r="G448" s="4">
        <v>5</v>
      </c>
    </row>
    <row r="449" spans="2:7" x14ac:dyDescent="0.2">
      <c r="B449" t="s">
        <v>396</v>
      </c>
      <c r="F449" s="4" t="s">
        <v>219</v>
      </c>
      <c r="G449" s="4">
        <v>6</v>
      </c>
    </row>
    <row r="450" spans="2:7" x14ac:dyDescent="0.2">
      <c r="B450" t="s">
        <v>396</v>
      </c>
      <c r="F450" s="4" t="s">
        <v>279</v>
      </c>
      <c r="G450" s="4">
        <v>2</v>
      </c>
    </row>
    <row r="451" spans="2:7" x14ac:dyDescent="0.2">
      <c r="B451" t="s">
        <v>396</v>
      </c>
      <c r="F451" s="4" t="s">
        <v>279</v>
      </c>
      <c r="G451" s="4">
        <f>0.4</f>
        <v>0.4</v>
      </c>
    </row>
    <row r="452" spans="2:7" x14ac:dyDescent="0.2">
      <c r="B452" t="s">
        <v>396</v>
      </c>
      <c r="F452" s="4" t="s">
        <v>279</v>
      </c>
      <c r="G452" s="4">
        <v>2</v>
      </c>
    </row>
    <row r="453" spans="2:7" x14ac:dyDescent="0.2">
      <c r="B453" t="s">
        <v>396</v>
      </c>
      <c r="F453" s="4" t="s">
        <v>279</v>
      </c>
      <c r="G453" s="4">
        <v>1.5</v>
      </c>
    </row>
    <row r="454" spans="2:7" x14ac:dyDescent="0.2">
      <c r="B454" t="s">
        <v>396</v>
      </c>
      <c r="F454" s="4" t="s">
        <v>279</v>
      </c>
      <c r="G454" s="4">
        <v>3</v>
      </c>
    </row>
    <row r="455" spans="2:7" x14ac:dyDescent="0.2">
      <c r="B455" t="s">
        <v>396</v>
      </c>
      <c r="F455" s="4" t="s">
        <v>279</v>
      </c>
      <c r="G455" s="4">
        <v>0.5</v>
      </c>
    </row>
    <row r="456" spans="2:7" x14ac:dyDescent="0.2">
      <c r="B456" t="s">
        <v>396</v>
      </c>
      <c r="F456" s="4" t="s">
        <v>261</v>
      </c>
      <c r="G456" s="4">
        <v>1.8</v>
      </c>
    </row>
    <row r="457" spans="2:7" x14ac:dyDescent="0.2">
      <c r="B457" t="s">
        <v>396</v>
      </c>
      <c r="F457" s="4" t="s">
        <v>261</v>
      </c>
      <c r="G457" s="4">
        <v>2</v>
      </c>
    </row>
    <row r="458" spans="2:7" x14ac:dyDescent="0.2">
      <c r="B458" t="s">
        <v>396</v>
      </c>
      <c r="F458" s="4" t="s">
        <v>261</v>
      </c>
      <c r="G458" s="4">
        <v>3</v>
      </c>
    </row>
    <row r="459" spans="2:7" x14ac:dyDescent="0.2">
      <c r="B459" t="s">
        <v>396</v>
      </c>
      <c r="F459" s="4" t="s">
        <v>219</v>
      </c>
      <c r="G459" s="4">
        <v>2</v>
      </c>
    </row>
    <row r="460" spans="2:7" x14ac:dyDescent="0.2">
      <c r="B460" t="s">
        <v>396</v>
      </c>
      <c r="F460" s="4" t="s">
        <v>219</v>
      </c>
      <c r="G460" s="4">
        <v>4</v>
      </c>
    </row>
    <row r="461" spans="2:7" x14ac:dyDescent="0.2">
      <c r="B461" t="s">
        <v>396</v>
      </c>
      <c r="F461" s="4" t="s">
        <v>219</v>
      </c>
      <c r="G461" s="4">
        <v>2</v>
      </c>
    </row>
    <row r="462" spans="2:7" x14ac:dyDescent="0.2">
      <c r="B462" t="s">
        <v>396</v>
      </c>
      <c r="F462" s="4" t="s">
        <v>260</v>
      </c>
      <c r="G462" s="4">
        <v>1</v>
      </c>
    </row>
    <row r="463" spans="2:7" x14ac:dyDescent="0.2">
      <c r="B463" t="s">
        <v>396</v>
      </c>
      <c r="F463" s="4" t="s">
        <v>219</v>
      </c>
      <c r="G463" s="4">
        <v>1</v>
      </c>
    </row>
    <row r="464" spans="2:7" x14ac:dyDescent="0.2">
      <c r="B464" t="s">
        <v>396</v>
      </c>
      <c r="F464" s="4" t="s">
        <v>279</v>
      </c>
      <c r="G464" s="4">
        <v>1</v>
      </c>
    </row>
    <row r="465" spans="2:7" x14ac:dyDescent="0.2">
      <c r="B465" t="s">
        <v>396</v>
      </c>
      <c r="F465" s="4" t="s">
        <v>279</v>
      </c>
      <c r="G465" s="4">
        <v>0.5</v>
      </c>
    </row>
    <row r="466" spans="2:7" x14ac:dyDescent="0.2">
      <c r="B466" t="s">
        <v>396</v>
      </c>
      <c r="F466" s="4" t="s">
        <v>219</v>
      </c>
      <c r="G466" s="4">
        <v>1</v>
      </c>
    </row>
    <row r="467" spans="2:7" x14ac:dyDescent="0.2">
      <c r="B467" t="s">
        <v>396</v>
      </c>
      <c r="F467" s="4" t="s">
        <v>219</v>
      </c>
      <c r="G467" s="4">
        <v>1</v>
      </c>
    </row>
    <row r="468" spans="2:7" ht="15" x14ac:dyDescent="0.2">
      <c r="B468" t="s">
        <v>396</v>
      </c>
      <c r="F468" s="6" t="s">
        <v>219</v>
      </c>
      <c r="G468" s="4">
        <v>1</v>
      </c>
    </row>
    <row r="469" spans="2:7" x14ac:dyDescent="0.2">
      <c r="B469" t="s">
        <v>396</v>
      </c>
      <c r="F469" s="4" t="s">
        <v>219</v>
      </c>
      <c r="G469" s="4">
        <v>1</v>
      </c>
    </row>
    <row r="470" spans="2:7" x14ac:dyDescent="0.2">
      <c r="B470" t="s">
        <v>396</v>
      </c>
      <c r="F470" s="4" t="s">
        <v>279</v>
      </c>
      <c r="G470" s="4">
        <v>0.5</v>
      </c>
    </row>
    <row r="471" spans="2:7" x14ac:dyDescent="0.2">
      <c r="B471" t="s">
        <v>396</v>
      </c>
      <c r="F471" s="4" t="s">
        <v>279</v>
      </c>
      <c r="G471" s="4">
        <v>1</v>
      </c>
    </row>
    <row r="472" spans="2:7" x14ac:dyDescent="0.2">
      <c r="B472" t="s">
        <v>396</v>
      </c>
      <c r="F472" s="4" t="s">
        <v>279</v>
      </c>
      <c r="G472" s="4">
        <v>1</v>
      </c>
    </row>
    <row r="473" spans="2:7" x14ac:dyDescent="0.2">
      <c r="B473" t="s">
        <v>396</v>
      </c>
      <c r="F473" s="4" t="s">
        <v>219</v>
      </c>
      <c r="G473" s="4">
        <v>1</v>
      </c>
    </row>
    <row r="474" spans="2:7" x14ac:dyDescent="0.2">
      <c r="B474" t="s">
        <v>397</v>
      </c>
      <c r="F474" s="4" t="s">
        <v>279</v>
      </c>
      <c r="G474" s="4">
        <v>1</v>
      </c>
    </row>
    <row r="475" spans="2:7" x14ac:dyDescent="0.2">
      <c r="B475" t="s">
        <v>398</v>
      </c>
      <c r="F475" s="4" t="s">
        <v>261</v>
      </c>
      <c r="G475" s="4">
        <v>3</v>
      </c>
    </row>
    <row r="476" spans="2:7" x14ac:dyDescent="0.2">
      <c r="B476" t="s">
        <v>399</v>
      </c>
      <c r="F476" s="4" t="s">
        <v>15</v>
      </c>
      <c r="G476" s="4">
        <v>2</v>
      </c>
    </row>
    <row r="477" spans="2:7" x14ac:dyDescent="0.2">
      <c r="B477" t="s">
        <v>399</v>
      </c>
      <c r="F477" s="4" t="s">
        <v>15</v>
      </c>
      <c r="G477" s="4">
        <v>1</v>
      </c>
    </row>
    <row r="478" spans="2:7" x14ac:dyDescent="0.2">
      <c r="B478" t="s">
        <v>400</v>
      </c>
      <c r="F478" s="4" t="s">
        <v>15</v>
      </c>
      <c r="G478" s="4">
        <v>4</v>
      </c>
    </row>
    <row r="479" spans="2:7" x14ac:dyDescent="0.2">
      <c r="B479" t="s">
        <v>401</v>
      </c>
      <c r="F479" s="4" t="s">
        <v>15</v>
      </c>
      <c r="G479" s="4">
        <v>4</v>
      </c>
    </row>
    <row r="480" spans="2:7" x14ac:dyDescent="0.2">
      <c r="B480" t="s">
        <v>401</v>
      </c>
      <c r="F480" s="4" t="s">
        <v>15</v>
      </c>
      <c r="G480" s="4">
        <v>4</v>
      </c>
    </row>
    <row r="481" spans="2:7" x14ac:dyDescent="0.2">
      <c r="B481" t="s">
        <v>402</v>
      </c>
      <c r="F481" s="4" t="s">
        <v>4</v>
      </c>
      <c r="G481" s="4">
        <v>2</v>
      </c>
    </row>
    <row r="482" spans="2:7" x14ac:dyDescent="0.2">
      <c r="B482" t="s">
        <v>402</v>
      </c>
      <c r="F482" s="4" t="s">
        <v>41</v>
      </c>
      <c r="G482" s="4">
        <v>0.5</v>
      </c>
    </row>
    <row r="483" spans="2:7" x14ac:dyDescent="0.2">
      <c r="B483" t="s">
        <v>402</v>
      </c>
      <c r="F483" s="4" t="s">
        <v>41</v>
      </c>
      <c r="G483" s="4">
        <v>0.5</v>
      </c>
    </row>
    <row r="484" spans="2:7" x14ac:dyDescent="0.2">
      <c r="B484" t="s">
        <v>402</v>
      </c>
      <c r="F484" s="4" t="s">
        <v>41</v>
      </c>
      <c r="G484" s="4">
        <v>0.5</v>
      </c>
    </row>
    <row r="485" spans="2:7" x14ac:dyDescent="0.2">
      <c r="B485" t="s">
        <v>402</v>
      </c>
      <c r="F485" s="4" t="s">
        <v>4</v>
      </c>
      <c r="G485" s="4">
        <v>1</v>
      </c>
    </row>
    <row r="486" spans="2:7" x14ac:dyDescent="0.2">
      <c r="B486" t="s">
        <v>402</v>
      </c>
      <c r="F486" s="4" t="s">
        <v>40</v>
      </c>
      <c r="G486" s="4">
        <v>0.5</v>
      </c>
    </row>
    <row r="487" spans="2:7" x14ac:dyDescent="0.2">
      <c r="B487" t="s">
        <v>402</v>
      </c>
      <c r="F487" s="4" t="s">
        <v>40</v>
      </c>
      <c r="G487" s="4">
        <v>0.5</v>
      </c>
    </row>
    <row r="488" spans="2:7" x14ac:dyDescent="0.2">
      <c r="B488" t="s">
        <v>402</v>
      </c>
      <c r="F488" s="4" t="s">
        <v>40</v>
      </c>
      <c r="G488" s="4">
        <v>2</v>
      </c>
    </row>
    <row r="489" spans="2:7" x14ac:dyDescent="0.2">
      <c r="B489" t="s">
        <v>402</v>
      </c>
      <c r="F489" s="4" t="s">
        <v>40</v>
      </c>
      <c r="G489" s="4">
        <v>1</v>
      </c>
    </row>
    <row r="490" spans="2:7" x14ac:dyDescent="0.2">
      <c r="B490" t="s">
        <v>402</v>
      </c>
      <c r="F490" s="4" t="s">
        <v>4</v>
      </c>
      <c r="G490" s="4">
        <v>1</v>
      </c>
    </row>
    <row r="491" spans="2:7" x14ac:dyDescent="0.2">
      <c r="B491" t="s">
        <v>402</v>
      </c>
      <c r="F491" s="4" t="s">
        <v>4</v>
      </c>
      <c r="G491" s="4">
        <v>2</v>
      </c>
    </row>
    <row r="492" spans="2:7" x14ac:dyDescent="0.2">
      <c r="B492" t="s">
        <v>391</v>
      </c>
      <c r="F492" s="4" t="s">
        <v>261</v>
      </c>
      <c r="G492" s="4">
        <v>16</v>
      </c>
    </row>
    <row r="493" spans="2:7" x14ac:dyDescent="0.2">
      <c r="B493" t="s">
        <v>403</v>
      </c>
      <c r="F493" s="4" t="s">
        <v>279</v>
      </c>
      <c r="G493" s="4">
        <v>3</v>
      </c>
    </row>
    <row r="494" spans="2:7" x14ac:dyDescent="0.2">
      <c r="B494" t="s">
        <v>403</v>
      </c>
      <c r="F494" s="4" t="s">
        <v>260</v>
      </c>
      <c r="G494" s="4">
        <v>4</v>
      </c>
    </row>
    <row r="495" spans="2:7" x14ac:dyDescent="0.2">
      <c r="B495" t="s">
        <v>404</v>
      </c>
      <c r="F495" s="4" t="s">
        <v>260</v>
      </c>
      <c r="G495" s="4">
        <v>0.5</v>
      </c>
    </row>
    <row r="496" spans="2:7" x14ac:dyDescent="0.2">
      <c r="B496" t="s">
        <v>156</v>
      </c>
      <c r="F496" s="4" t="s">
        <v>260</v>
      </c>
      <c r="G496" s="4">
        <v>0.5</v>
      </c>
    </row>
    <row r="497" spans="2:7" x14ac:dyDescent="0.2">
      <c r="B497" t="s">
        <v>156</v>
      </c>
      <c r="F497" s="4" t="s">
        <v>279</v>
      </c>
      <c r="G497" s="4">
        <v>1</v>
      </c>
    </row>
    <row r="498" spans="2:7" x14ac:dyDescent="0.2">
      <c r="B498" t="s">
        <v>156</v>
      </c>
      <c r="F498" s="4" t="s">
        <v>279</v>
      </c>
      <c r="G498" s="4">
        <v>8</v>
      </c>
    </row>
    <row r="499" spans="2:7" x14ac:dyDescent="0.2">
      <c r="B499" t="s">
        <v>156</v>
      </c>
      <c r="F499" s="4" t="s">
        <v>261</v>
      </c>
      <c r="G499" s="4">
        <v>8</v>
      </c>
    </row>
    <row r="500" spans="2:7" x14ac:dyDescent="0.2">
      <c r="B500" t="s">
        <v>156</v>
      </c>
      <c r="F500" s="4" t="s">
        <v>279</v>
      </c>
      <c r="G500" s="4">
        <v>1</v>
      </c>
    </row>
    <row r="501" spans="2:7" x14ac:dyDescent="0.2">
      <c r="B501" t="s">
        <v>156</v>
      </c>
      <c r="F501" s="4" t="s">
        <v>279</v>
      </c>
      <c r="G501" s="4">
        <v>2</v>
      </c>
    </row>
    <row r="502" spans="2:7" x14ac:dyDescent="0.2">
      <c r="B502" t="s">
        <v>156</v>
      </c>
      <c r="F502" s="4" t="s">
        <v>260</v>
      </c>
      <c r="G502" s="4">
        <v>1</v>
      </c>
    </row>
    <row r="503" spans="2:7" x14ac:dyDescent="0.2">
      <c r="B503" t="s">
        <v>156</v>
      </c>
      <c r="F503" s="4" t="s">
        <v>219</v>
      </c>
      <c r="G503" s="4">
        <v>16</v>
      </c>
    </row>
    <row r="504" spans="2:7" x14ac:dyDescent="0.2">
      <c r="B504" t="s">
        <v>156</v>
      </c>
      <c r="F504" s="4" t="s">
        <v>279</v>
      </c>
      <c r="G504" s="4">
        <v>1</v>
      </c>
    </row>
    <row r="505" spans="2:7" x14ac:dyDescent="0.2">
      <c r="B505" t="s">
        <v>405</v>
      </c>
      <c r="F505" s="4" t="s">
        <v>40</v>
      </c>
      <c r="G505" s="4">
        <v>0.12</v>
      </c>
    </row>
    <row r="506" spans="2:7" x14ac:dyDescent="0.2">
      <c r="B506" t="s">
        <v>406</v>
      </c>
      <c r="F506" s="4" t="s">
        <v>40</v>
      </c>
      <c r="G506" s="4">
        <v>1</v>
      </c>
    </row>
    <row r="507" spans="2:7" x14ac:dyDescent="0.2">
      <c r="B507" t="s">
        <v>406</v>
      </c>
      <c r="F507" s="4" t="s">
        <v>40</v>
      </c>
      <c r="G507" s="4">
        <v>1</v>
      </c>
    </row>
    <row r="508" spans="2:7" x14ac:dyDescent="0.2">
      <c r="B508" t="s">
        <v>398</v>
      </c>
      <c r="F508" s="4" t="s">
        <v>40</v>
      </c>
      <c r="G508" s="4">
        <v>2</v>
      </c>
    </row>
    <row r="509" spans="2:7" x14ac:dyDescent="0.2">
      <c r="B509" t="s">
        <v>398</v>
      </c>
      <c r="F509" s="4" t="s">
        <v>40</v>
      </c>
      <c r="G509" s="4">
        <v>1.5</v>
      </c>
    </row>
    <row r="510" spans="2:7" x14ac:dyDescent="0.2">
      <c r="B510" t="s">
        <v>398</v>
      </c>
      <c r="F510" s="4" t="s">
        <v>41</v>
      </c>
      <c r="G510" s="4">
        <v>4</v>
      </c>
    </row>
    <row r="511" spans="2:7" x14ac:dyDescent="0.2">
      <c r="B511" t="s">
        <v>398</v>
      </c>
      <c r="F511" s="4" t="s">
        <v>41</v>
      </c>
      <c r="G511" s="4">
        <v>1</v>
      </c>
    </row>
    <row r="512" spans="2:7" x14ac:dyDescent="0.2">
      <c r="B512" t="s">
        <v>398</v>
      </c>
      <c r="F512" s="4" t="s">
        <v>41</v>
      </c>
      <c r="G512" s="4">
        <v>2</v>
      </c>
    </row>
    <row r="513" spans="2:7" x14ac:dyDescent="0.2">
      <c r="B513" t="s">
        <v>398</v>
      </c>
      <c r="F513" s="4" t="s">
        <v>4</v>
      </c>
      <c r="G513" s="4">
        <v>8</v>
      </c>
    </row>
    <row r="514" spans="2:7" x14ac:dyDescent="0.2">
      <c r="B514" t="s">
        <v>139</v>
      </c>
      <c r="F514" s="4" t="s">
        <v>15</v>
      </c>
      <c r="G514" s="4">
        <v>4</v>
      </c>
    </row>
    <row r="515" spans="2:7" x14ac:dyDescent="0.2">
      <c r="B515" t="s">
        <v>407</v>
      </c>
      <c r="F515" s="4" t="s">
        <v>41</v>
      </c>
      <c r="G515" s="4">
        <v>0.5</v>
      </c>
    </row>
    <row r="516" spans="2:7" x14ac:dyDescent="0.2">
      <c r="B516" t="s">
        <v>404</v>
      </c>
      <c r="F516" s="4" t="s">
        <v>4</v>
      </c>
      <c r="G516" s="4">
        <v>5</v>
      </c>
    </row>
    <row r="517" spans="2:7" x14ac:dyDescent="0.2">
      <c r="B517" t="s">
        <v>404</v>
      </c>
      <c r="F517" s="4" t="s">
        <v>40</v>
      </c>
      <c r="G517" s="4">
        <v>0.15</v>
      </c>
    </row>
    <row r="518" spans="2:7" x14ac:dyDescent="0.2">
      <c r="B518" t="s">
        <v>408</v>
      </c>
      <c r="F518" s="4" t="s">
        <v>40</v>
      </c>
      <c r="G518" s="4">
        <v>0.12</v>
      </c>
    </row>
    <row r="519" spans="2:7" x14ac:dyDescent="0.2">
      <c r="B519" t="s">
        <v>408</v>
      </c>
      <c r="F519" s="4" t="s">
        <v>41</v>
      </c>
      <c r="G519" s="4">
        <v>0.5</v>
      </c>
    </row>
    <row r="520" spans="2:7" x14ac:dyDescent="0.2">
      <c r="B520" t="s">
        <v>409</v>
      </c>
      <c r="F520" s="4" t="s">
        <v>40</v>
      </c>
      <c r="G520" s="4">
        <v>0.12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F410:F520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2:AN554"/>
  <sheetViews>
    <sheetView workbookViewId="0">
      <selection activeCell="J20" sqref="A1:XFD1048576"/>
    </sheetView>
  </sheetViews>
  <sheetFormatPr defaultRowHeight="12.75" x14ac:dyDescent="0.2"/>
  <cols>
    <col min="27" max="27" width="17.28515625" bestFit="1" customWidth="1"/>
    <col min="28" max="28" width="12.5703125" bestFit="1" customWidth="1"/>
    <col min="29" max="29" width="12.85546875" bestFit="1" customWidth="1"/>
    <col min="30" max="30" width="12" bestFit="1" customWidth="1"/>
    <col min="31" max="32" width="11" bestFit="1" customWidth="1"/>
  </cols>
  <sheetData>
    <row r="2" spans="2:40" ht="15" x14ac:dyDescent="0.2">
      <c r="B2" s="2" t="s">
        <v>454</v>
      </c>
      <c r="C2" s="2" t="s">
        <v>455</v>
      </c>
      <c r="D2" s="2" t="s">
        <v>456</v>
      </c>
      <c r="E2" s="2" t="s">
        <v>239</v>
      </c>
      <c r="F2" s="2" t="s">
        <v>457</v>
      </c>
      <c r="G2" s="2" t="s">
        <v>240</v>
      </c>
      <c r="H2" s="2" t="s">
        <v>458</v>
      </c>
      <c r="I2" s="2" t="s">
        <v>241</v>
      </c>
      <c r="J2" s="2" t="s">
        <v>459</v>
      </c>
      <c r="K2" s="2" t="s">
        <v>460</v>
      </c>
      <c r="L2" s="2" t="s">
        <v>461</v>
      </c>
      <c r="M2" s="2" t="s">
        <v>242</v>
      </c>
      <c r="N2" s="2" t="s">
        <v>243</v>
      </c>
      <c r="O2" s="2" t="s">
        <v>244</v>
      </c>
      <c r="P2" s="2" t="s">
        <v>245</v>
      </c>
      <c r="Q2" s="1" t="s">
        <v>246</v>
      </c>
      <c r="R2" s="3" t="s">
        <v>247</v>
      </c>
      <c r="S2" s="3" t="s">
        <v>248</v>
      </c>
      <c r="T2" s="3" t="s">
        <v>249</v>
      </c>
      <c r="U2" s="3" t="s">
        <v>250</v>
      </c>
      <c r="V2" s="3" t="s">
        <v>251</v>
      </c>
      <c r="W2" s="3" t="s">
        <v>252</v>
      </c>
      <c r="X2" s="3" t="s">
        <v>253</v>
      </c>
      <c r="Y2" s="3" t="s">
        <v>254</v>
      </c>
      <c r="Z2" s="3" t="s">
        <v>255</v>
      </c>
      <c r="AA2" s="3" t="s">
        <v>462</v>
      </c>
      <c r="AB2" s="3" t="s">
        <v>463</v>
      </c>
      <c r="AC2" s="3" t="s">
        <v>464</v>
      </c>
      <c r="AD2" s="3" t="s">
        <v>465</v>
      </c>
      <c r="AE2" s="2" t="s">
        <v>466</v>
      </c>
      <c r="AF2" s="2" t="s">
        <v>467</v>
      </c>
      <c r="AG2" s="2" t="s">
        <v>468</v>
      </c>
      <c r="AH2" s="2" t="s">
        <v>469</v>
      </c>
      <c r="AI2" s="2" t="s">
        <v>470</v>
      </c>
      <c r="AJ2" s="3" t="s">
        <v>471</v>
      </c>
      <c r="AK2" s="2" t="s">
        <v>472</v>
      </c>
      <c r="AL2" s="3" t="s">
        <v>473</v>
      </c>
      <c r="AM2" s="3" t="s">
        <v>474</v>
      </c>
      <c r="AN2" s="3" t="s">
        <v>475</v>
      </c>
    </row>
    <row r="3" spans="2:40" ht="15" x14ac:dyDescent="0.2">
      <c r="B3" s="18">
        <v>70</v>
      </c>
      <c r="C3" s="16">
        <v>20200414</v>
      </c>
      <c r="D3" s="10" t="s">
        <v>476</v>
      </c>
      <c r="E3" s="10" t="s">
        <v>0</v>
      </c>
      <c r="F3" s="19" t="s">
        <v>477</v>
      </c>
      <c r="G3" s="19">
        <v>1415974</v>
      </c>
      <c r="H3" s="20" t="s">
        <v>1</v>
      </c>
      <c r="I3" s="10" t="s">
        <v>2</v>
      </c>
      <c r="J3" s="20" t="s">
        <v>1</v>
      </c>
      <c r="K3" s="10" t="s">
        <v>478</v>
      </c>
      <c r="L3" s="10">
        <v>80433</v>
      </c>
      <c r="M3" s="10" t="s">
        <v>3</v>
      </c>
      <c r="N3" s="10" t="s">
        <v>479</v>
      </c>
      <c r="O3" s="19" t="s">
        <v>1</v>
      </c>
      <c r="P3" s="19" t="s">
        <v>480</v>
      </c>
      <c r="Q3" s="21"/>
      <c r="R3" s="20" t="s">
        <v>1</v>
      </c>
      <c r="S3" s="10" t="s">
        <v>4</v>
      </c>
      <c r="T3" s="10"/>
      <c r="U3" s="10"/>
      <c r="V3" s="10">
        <v>62</v>
      </c>
      <c r="W3" s="10">
        <v>62</v>
      </c>
      <c r="X3" s="10">
        <v>62</v>
      </c>
      <c r="Y3" s="10">
        <v>1.1000000000000001</v>
      </c>
      <c r="Z3" s="10">
        <v>2</v>
      </c>
      <c r="AA3" s="10" t="s">
        <v>481</v>
      </c>
      <c r="AB3" s="22">
        <v>43938</v>
      </c>
      <c r="AC3" s="22">
        <v>43935</v>
      </c>
      <c r="AD3" s="22">
        <v>43938</v>
      </c>
      <c r="AE3" s="22">
        <v>43935</v>
      </c>
      <c r="AF3" s="22">
        <v>43935</v>
      </c>
      <c r="AG3" s="23" t="s">
        <v>482</v>
      </c>
      <c r="AH3" s="24">
        <v>1</v>
      </c>
      <c r="AI3" s="24">
        <v>1</v>
      </c>
      <c r="AJ3" s="24">
        <v>1</v>
      </c>
      <c r="AK3" s="23" t="s">
        <v>483</v>
      </c>
      <c r="AL3" s="10"/>
      <c r="AM3" s="10"/>
      <c r="AN3" s="10"/>
    </row>
    <row r="4" spans="2:40" ht="15" x14ac:dyDescent="0.2">
      <c r="B4" s="18">
        <v>71</v>
      </c>
      <c r="C4" s="16">
        <v>20200414</v>
      </c>
      <c r="D4" s="10" t="s">
        <v>476</v>
      </c>
      <c r="E4" s="10" t="s">
        <v>0</v>
      </c>
      <c r="F4" s="19" t="s">
        <v>484</v>
      </c>
      <c r="G4" s="19">
        <v>1415974</v>
      </c>
      <c r="H4" s="20" t="s">
        <v>1</v>
      </c>
      <c r="I4" s="10" t="s">
        <v>5</v>
      </c>
      <c r="J4" s="20" t="s">
        <v>1</v>
      </c>
      <c r="K4" s="10" t="s">
        <v>478</v>
      </c>
      <c r="L4" s="10">
        <v>80433</v>
      </c>
      <c r="M4" s="10" t="s">
        <v>3</v>
      </c>
      <c r="N4" s="10" t="s">
        <v>479</v>
      </c>
      <c r="O4" s="19" t="s">
        <v>1</v>
      </c>
      <c r="P4" s="19" t="s">
        <v>480</v>
      </c>
      <c r="Q4" s="21"/>
      <c r="R4" s="20" t="s">
        <v>1</v>
      </c>
      <c r="S4" s="10" t="s">
        <v>4</v>
      </c>
      <c r="T4" s="10"/>
      <c r="U4" s="10"/>
      <c r="V4" s="10">
        <v>22</v>
      </c>
      <c r="W4" s="10">
        <v>22</v>
      </c>
      <c r="X4" s="10">
        <v>22</v>
      </c>
      <c r="Y4" s="10">
        <v>0.39</v>
      </c>
      <c r="Z4" s="10">
        <v>0.5</v>
      </c>
      <c r="AA4" s="10" t="s">
        <v>481</v>
      </c>
      <c r="AB4" s="22">
        <v>43938</v>
      </c>
      <c r="AC4" s="22">
        <v>43935</v>
      </c>
      <c r="AD4" s="22">
        <v>43938</v>
      </c>
      <c r="AE4" s="22">
        <v>43936</v>
      </c>
      <c r="AF4" s="22">
        <v>43936</v>
      </c>
      <c r="AG4" s="23" t="s">
        <v>482</v>
      </c>
      <c r="AH4" s="24">
        <v>1</v>
      </c>
      <c r="AI4" s="24">
        <v>1</v>
      </c>
      <c r="AJ4" s="24">
        <v>1</v>
      </c>
      <c r="AK4" s="23" t="s">
        <v>483</v>
      </c>
      <c r="AL4" s="10"/>
      <c r="AM4" s="10"/>
      <c r="AN4" s="10"/>
    </row>
    <row r="5" spans="2:40" ht="15" x14ac:dyDescent="0.2">
      <c r="B5" s="18">
        <v>72</v>
      </c>
      <c r="C5" s="16">
        <v>20200414</v>
      </c>
      <c r="D5" s="10" t="s">
        <v>476</v>
      </c>
      <c r="E5" s="10" t="s">
        <v>0</v>
      </c>
      <c r="F5" s="19" t="s">
        <v>485</v>
      </c>
      <c r="G5" s="19">
        <v>1415974</v>
      </c>
      <c r="H5" s="20" t="s">
        <v>1</v>
      </c>
      <c r="I5" s="10" t="s">
        <v>6</v>
      </c>
      <c r="J5" s="20" t="s">
        <v>1</v>
      </c>
      <c r="K5" s="10" t="s">
        <v>478</v>
      </c>
      <c r="L5" s="10">
        <v>80433</v>
      </c>
      <c r="M5" s="10" t="s">
        <v>3</v>
      </c>
      <c r="N5" s="10" t="s">
        <v>479</v>
      </c>
      <c r="O5" s="19" t="s">
        <v>1</v>
      </c>
      <c r="P5" s="19" t="s">
        <v>480</v>
      </c>
      <c r="Q5" s="21"/>
      <c r="R5" s="20" t="s">
        <v>1</v>
      </c>
      <c r="S5" s="10" t="s">
        <v>4</v>
      </c>
      <c r="T5" s="10"/>
      <c r="U5" s="10"/>
      <c r="V5" s="10">
        <v>26</v>
      </c>
      <c r="W5" s="10">
        <v>26</v>
      </c>
      <c r="X5" s="10">
        <v>26</v>
      </c>
      <c r="Y5" s="10">
        <v>0.46</v>
      </c>
      <c r="Z5" s="10">
        <v>0.5</v>
      </c>
      <c r="AA5" s="10" t="s">
        <v>481</v>
      </c>
      <c r="AB5" s="22">
        <v>43938</v>
      </c>
      <c r="AC5" s="22">
        <v>43935</v>
      </c>
      <c r="AD5" s="22">
        <v>43938</v>
      </c>
      <c r="AE5" s="22">
        <v>43936</v>
      </c>
      <c r="AF5" s="22">
        <v>43936</v>
      </c>
      <c r="AG5" s="23" t="s">
        <v>482</v>
      </c>
      <c r="AH5" s="24">
        <v>1</v>
      </c>
      <c r="AI5" s="24">
        <v>1</v>
      </c>
      <c r="AJ5" s="24">
        <v>1</v>
      </c>
      <c r="AK5" s="23" t="s">
        <v>483</v>
      </c>
      <c r="AL5" s="10"/>
      <c r="AM5" s="10"/>
      <c r="AN5" s="10"/>
    </row>
    <row r="6" spans="2:40" ht="15" x14ac:dyDescent="0.2">
      <c r="B6" s="18">
        <v>73</v>
      </c>
      <c r="C6" s="16">
        <v>20200414</v>
      </c>
      <c r="D6" s="10" t="s">
        <v>476</v>
      </c>
      <c r="E6" s="10" t="s">
        <v>0</v>
      </c>
      <c r="F6" s="19" t="s">
        <v>486</v>
      </c>
      <c r="G6" s="19">
        <v>1415974</v>
      </c>
      <c r="H6" s="20" t="s">
        <v>1</v>
      </c>
      <c r="I6" s="10" t="s">
        <v>7</v>
      </c>
      <c r="J6" s="20" t="s">
        <v>1</v>
      </c>
      <c r="K6" s="10" t="s">
        <v>478</v>
      </c>
      <c r="L6" s="10">
        <v>80433</v>
      </c>
      <c r="M6" s="10" t="s">
        <v>3</v>
      </c>
      <c r="N6" s="10" t="s">
        <v>479</v>
      </c>
      <c r="O6" s="19" t="s">
        <v>1</v>
      </c>
      <c r="P6" s="19" t="s">
        <v>480</v>
      </c>
      <c r="Q6" s="21"/>
      <c r="R6" s="20" t="s">
        <v>1</v>
      </c>
      <c r="S6" s="10" t="s">
        <v>4</v>
      </c>
      <c r="T6" s="10"/>
      <c r="U6" s="10"/>
      <c r="V6" s="10">
        <v>35</v>
      </c>
      <c r="W6" s="10">
        <v>35</v>
      </c>
      <c r="X6" s="10">
        <v>35</v>
      </c>
      <c r="Y6" s="10">
        <v>0.62</v>
      </c>
      <c r="Z6" s="10">
        <v>1</v>
      </c>
      <c r="AA6" s="10" t="s">
        <v>481</v>
      </c>
      <c r="AB6" s="22">
        <v>43938</v>
      </c>
      <c r="AC6" s="22">
        <v>43935</v>
      </c>
      <c r="AD6" s="22">
        <v>43938</v>
      </c>
      <c r="AE6" s="22">
        <v>43936</v>
      </c>
      <c r="AF6" s="22">
        <v>43936</v>
      </c>
      <c r="AG6" s="23" t="s">
        <v>482</v>
      </c>
      <c r="AH6" s="24">
        <v>1</v>
      </c>
      <c r="AI6" s="24">
        <v>1</v>
      </c>
      <c r="AJ6" s="24">
        <v>1</v>
      </c>
      <c r="AK6" s="23" t="s">
        <v>483</v>
      </c>
      <c r="AL6" s="10"/>
      <c r="AM6" s="10"/>
      <c r="AN6" s="10"/>
    </row>
    <row r="7" spans="2:40" ht="15" x14ac:dyDescent="0.2">
      <c r="B7" s="18">
        <v>74</v>
      </c>
      <c r="C7" s="16">
        <v>20200414</v>
      </c>
      <c r="D7" s="10" t="s">
        <v>476</v>
      </c>
      <c r="E7" s="10" t="s">
        <v>0</v>
      </c>
      <c r="F7" s="19" t="s">
        <v>487</v>
      </c>
      <c r="G7" s="19">
        <v>1415974</v>
      </c>
      <c r="H7" s="20" t="s">
        <v>1</v>
      </c>
      <c r="I7" s="10" t="s">
        <v>8</v>
      </c>
      <c r="J7" s="20" t="s">
        <v>1</v>
      </c>
      <c r="K7" s="10" t="s">
        <v>478</v>
      </c>
      <c r="L7" s="10">
        <v>80433</v>
      </c>
      <c r="M7" s="10" t="s">
        <v>3</v>
      </c>
      <c r="N7" s="10" t="s">
        <v>479</v>
      </c>
      <c r="O7" s="19" t="s">
        <v>1</v>
      </c>
      <c r="P7" s="19" t="s">
        <v>480</v>
      </c>
      <c r="Q7" s="21"/>
      <c r="R7" s="20" t="s">
        <v>1</v>
      </c>
      <c r="S7" s="10" t="s">
        <v>4</v>
      </c>
      <c r="T7" s="10"/>
      <c r="U7" s="10"/>
      <c r="V7" s="10">
        <v>101</v>
      </c>
      <c r="W7" s="10">
        <v>101</v>
      </c>
      <c r="X7" s="10">
        <v>101</v>
      </c>
      <c r="Y7" s="10">
        <v>1.79</v>
      </c>
      <c r="Z7" s="10">
        <v>1</v>
      </c>
      <c r="AA7" s="10" t="s">
        <v>481</v>
      </c>
      <c r="AB7" s="22">
        <v>43938</v>
      </c>
      <c r="AC7" s="22">
        <v>43935</v>
      </c>
      <c r="AD7" s="22">
        <v>43938</v>
      </c>
      <c r="AE7" s="22">
        <v>43936</v>
      </c>
      <c r="AF7" s="22">
        <v>43936</v>
      </c>
      <c r="AG7" s="23" t="s">
        <v>482</v>
      </c>
      <c r="AH7" s="24">
        <v>1</v>
      </c>
      <c r="AI7" s="24">
        <v>1</v>
      </c>
      <c r="AJ7" s="24">
        <v>1</v>
      </c>
      <c r="AK7" s="23" t="s">
        <v>483</v>
      </c>
      <c r="AL7" s="10"/>
      <c r="AM7" s="10"/>
      <c r="AN7" s="10"/>
    </row>
    <row r="8" spans="2:40" ht="15" x14ac:dyDescent="0.2">
      <c r="B8" s="18">
        <v>75</v>
      </c>
      <c r="C8" s="16">
        <v>20200414</v>
      </c>
      <c r="D8" s="10" t="s">
        <v>476</v>
      </c>
      <c r="E8" s="10" t="s">
        <v>0</v>
      </c>
      <c r="F8" s="19" t="s">
        <v>486</v>
      </c>
      <c r="G8" s="19">
        <v>1415974</v>
      </c>
      <c r="H8" s="20" t="s">
        <v>1</v>
      </c>
      <c r="I8" s="10" t="s">
        <v>9</v>
      </c>
      <c r="J8" s="20" t="s">
        <v>1</v>
      </c>
      <c r="K8" s="10" t="s">
        <v>478</v>
      </c>
      <c r="L8" s="10">
        <v>80433</v>
      </c>
      <c r="M8" s="10" t="s">
        <v>3</v>
      </c>
      <c r="N8" s="10" t="s">
        <v>479</v>
      </c>
      <c r="O8" s="19" t="s">
        <v>1</v>
      </c>
      <c r="P8" s="19" t="s">
        <v>480</v>
      </c>
      <c r="Q8" s="21"/>
      <c r="R8" s="20" t="s">
        <v>1</v>
      </c>
      <c r="S8" s="10" t="s">
        <v>4</v>
      </c>
      <c r="T8" s="10"/>
      <c r="U8" s="10"/>
      <c r="V8" s="10">
        <v>67</v>
      </c>
      <c r="W8" s="10">
        <v>67</v>
      </c>
      <c r="X8" s="10">
        <v>67</v>
      </c>
      <c r="Y8" s="10">
        <v>1.19</v>
      </c>
      <c r="Z8" s="10">
        <v>1</v>
      </c>
      <c r="AA8" s="10" t="s">
        <v>481</v>
      </c>
      <c r="AB8" s="22">
        <v>43938</v>
      </c>
      <c r="AC8" s="22">
        <v>43935</v>
      </c>
      <c r="AD8" s="22">
        <v>43938</v>
      </c>
      <c r="AE8" s="22">
        <v>43936</v>
      </c>
      <c r="AF8" s="22">
        <v>43936</v>
      </c>
      <c r="AG8" s="23" t="s">
        <v>482</v>
      </c>
      <c r="AH8" s="24">
        <v>1</v>
      </c>
      <c r="AI8" s="24">
        <v>1</v>
      </c>
      <c r="AJ8" s="24">
        <v>1</v>
      </c>
      <c r="AK8" s="23" t="s">
        <v>483</v>
      </c>
      <c r="AL8" s="10"/>
      <c r="AM8" s="10"/>
      <c r="AN8" s="10"/>
    </row>
    <row r="9" spans="2:40" ht="15" x14ac:dyDescent="0.2">
      <c r="B9" s="18">
        <v>76</v>
      </c>
      <c r="C9" s="16">
        <v>20200414</v>
      </c>
      <c r="D9" s="10" t="s">
        <v>476</v>
      </c>
      <c r="E9" s="10" t="s">
        <v>0</v>
      </c>
      <c r="F9" s="19" t="s">
        <v>488</v>
      </c>
      <c r="G9" s="19">
        <v>1415974</v>
      </c>
      <c r="H9" s="20" t="s">
        <v>1</v>
      </c>
      <c r="I9" s="10" t="s">
        <v>10</v>
      </c>
      <c r="J9" s="20" t="s">
        <v>1</v>
      </c>
      <c r="K9" s="10" t="s">
        <v>478</v>
      </c>
      <c r="L9" s="10">
        <v>80433</v>
      </c>
      <c r="M9" s="10" t="s">
        <v>3</v>
      </c>
      <c r="N9" s="10" t="s">
        <v>479</v>
      </c>
      <c r="O9" s="19" t="s">
        <v>1</v>
      </c>
      <c r="P9" s="19" t="s">
        <v>480</v>
      </c>
      <c r="Q9" s="21"/>
      <c r="R9" s="20" t="s">
        <v>1</v>
      </c>
      <c r="S9" s="10" t="s">
        <v>4</v>
      </c>
      <c r="T9" s="10"/>
      <c r="U9" s="10"/>
      <c r="V9" s="10">
        <v>137</v>
      </c>
      <c r="W9" s="10">
        <v>137</v>
      </c>
      <c r="X9" s="10">
        <v>137</v>
      </c>
      <c r="Y9" s="10">
        <v>2.4300000000000002</v>
      </c>
      <c r="Z9" s="10">
        <v>1</v>
      </c>
      <c r="AA9" s="10" t="s">
        <v>481</v>
      </c>
      <c r="AB9" s="22">
        <v>43938</v>
      </c>
      <c r="AC9" s="22">
        <v>43935</v>
      </c>
      <c r="AD9" s="22">
        <v>43938</v>
      </c>
      <c r="AE9" s="22">
        <v>43936</v>
      </c>
      <c r="AF9" s="22">
        <v>43936</v>
      </c>
      <c r="AG9" s="23" t="s">
        <v>482</v>
      </c>
      <c r="AH9" s="24">
        <v>1</v>
      </c>
      <c r="AI9" s="24">
        <v>1</v>
      </c>
      <c r="AJ9" s="24">
        <v>1</v>
      </c>
      <c r="AK9" s="23" t="s">
        <v>483</v>
      </c>
      <c r="AL9" s="10"/>
      <c r="AM9" s="10"/>
      <c r="AN9" s="10"/>
    </row>
    <row r="10" spans="2:40" ht="15" x14ac:dyDescent="0.2">
      <c r="B10" s="18">
        <v>77</v>
      </c>
      <c r="C10" s="16">
        <v>20200414</v>
      </c>
      <c r="D10" s="10" t="s">
        <v>476</v>
      </c>
      <c r="E10" s="10" t="s">
        <v>0</v>
      </c>
      <c r="F10" s="19" t="s">
        <v>487</v>
      </c>
      <c r="G10" s="19">
        <v>1415974</v>
      </c>
      <c r="H10" s="20" t="s">
        <v>1</v>
      </c>
      <c r="I10" s="10" t="s">
        <v>11</v>
      </c>
      <c r="J10" s="20" t="s">
        <v>1</v>
      </c>
      <c r="K10" s="10" t="s">
        <v>478</v>
      </c>
      <c r="L10" s="10">
        <v>80433</v>
      </c>
      <c r="M10" s="10" t="s">
        <v>3</v>
      </c>
      <c r="N10" s="10" t="s">
        <v>479</v>
      </c>
      <c r="O10" s="19" t="s">
        <v>1</v>
      </c>
      <c r="P10" s="19" t="s">
        <v>480</v>
      </c>
      <c r="Q10" s="21"/>
      <c r="R10" s="20" t="s">
        <v>1</v>
      </c>
      <c r="S10" s="10" t="s">
        <v>4</v>
      </c>
      <c r="T10" s="10"/>
      <c r="U10" s="10"/>
      <c r="V10" s="10">
        <v>160</v>
      </c>
      <c r="W10" s="10">
        <v>160</v>
      </c>
      <c r="X10" s="10">
        <v>160</v>
      </c>
      <c r="Y10" s="10">
        <v>2.84</v>
      </c>
      <c r="Z10" s="10">
        <v>1</v>
      </c>
      <c r="AA10" s="10" t="s">
        <v>481</v>
      </c>
      <c r="AB10" s="22">
        <v>43938</v>
      </c>
      <c r="AC10" s="22">
        <v>43935</v>
      </c>
      <c r="AD10" s="22">
        <v>43938</v>
      </c>
      <c r="AE10" s="22">
        <v>43936</v>
      </c>
      <c r="AF10" s="22">
        <v>43936</v>
      </c>
      <c r="AG10" s="23" t="s">
        <v>482</v>
      </c>
      <c r="AH10" s="24">
        <v>1</v>
      </c>
      <c r="AI10" s="24">
        <v>1</v>
      </c>
      <c r="AJ10" s="24">
        <v>1</v>
      </c>
      <c r="AK10" s="23" t="s">
        <v>483</v>
      </c>
      <c r="AL10" s="10"/>
      <c r="AM10" s="10"/>
      <c r="AN10" s="10"/>
    </row>
    <row r="11" spans="2:40" ht="15" x14ac:dyDescent="0.2">
      <c r="B11" s="18">
        <v>78</v>
      </c>
      <c r="C11" s="16">
        <v>20200414</v>
      </c>
      <c r="D11" s="10" t="s">
        <v>476</v>
      </c>
      <c r="E11" s="10" t="s">
        <v>0</v>
      </c>
      <c r="F11" s="19" t="s">
        <v>486</v>
      </c>
      <c r="G11" s="19">
        <v>1415974</v>
      </c>
      <c r="H11" s="20" t="s">
        <v>1</v>
      </c>
      <c r="I11" s="10" t="s">
        <v>12</v>
      </c>
      <c r="J11" s="20" t="s">
        <v>1</v>
      </c>
      <c r="K11" s="10" t="s">
        <v>478</v>
      </c>
      <c r="L11" s="10">
        <v>80433</v>
      </c>
      <c r="M11" s="10" t="s">
        <v>3</v>
      </c>
      <c r="N11" s="10" t="s">
        <v>479</v>
      </c>
      <c r="O11" s="19" t="s">
        <v>1</v>
      </c>
      <c r="P11" s="19" t="s">
        <v>480</v>
      </c>
      <c r="Q11" s="21"/>
      <c r="R11" s="20" t="s">
        <v>1</v>
      </c>
      <c r="S11" s="10" t="s">
        <v>4</v>
      </c>
      <c r="T11" s="10"/>
      <c r="U11" s="10"/>
      <c r="V11" s="10">
        <v>138</v>
      </c>
      <c r="W11" s="10">
        <v>138</v>
      </c>
      <c r="X11" s="10">
        <v>138</v>
      </c>
      <c r="Y11" s="10">
        <v>2.4500000000000002</v>
      </c>
      <c r="Z11" s="10">
        <v>1</v>
      </c>
      <c r="AA11" s="10" t="s">
        <v>481</v>
      </c>
      <c r="AB11" s="22">
        <v>43938</v>
      </c>
      <c r="AC11" s="22">
        <v>43935</v>
      </c>
      <c r="AD11" s="22">
        <v>43938</v>
      </c>
      <c r="AE11" s="22">
        <v>43936</v>
      </c>
      <c r="AF11" s="22">
        <v>43936</v>
      </c>
      <c r="AG11" s="23" t="s">
        <v>482</v>
      </c>
      <c r="AH11" s="24">
        <v>1</v>
      </c>
      <c r="AI11" s="24">
        <v>1</v>
      </c>
      <c r="AJ11" s="24">
        <v>1</v>
      </c>
      <c r="AK11" s="23" t="s">
        <v>483</v>
      </c>
      <c r="AL11" s="10"/>
      <c r="AM11" s="10"/>
      <c r="AN11" s="10"/>
    </row>
    <row r="12" spans="2:40" ht="15" x14ac:dyDescent="0.2">
      <c r="B12" s="18">
        <v>79</v>
      </c>
      <c r="C12" s="16">
        <v>20200414</v>
      </c>
      <c r="D12" s="10" t="s">
        <v>476</v>
      </c>
      <c r="E12" s="10" t="s">
        <v>0</v>
      </c>
      <c r="F12" s="19" t="s">
        <v>487</v>
      </c>
      <c r="G12" s="19">
        <v>1415974</v>
      </c>
      <c r="H12" s="20" t="s">
        <v>1</v>
      </c>
      <c r="I12" s="10" t="s">
        <v>13</v>
      </c>
      <c r="J12" s="20" t="s">
        <v>1</v>
      </c>
      <c r="K12" s="10" t="s">
        <v>478</v>
      </c>
      <c r="L12" s="10">
        <v>80433</v>
      </c>
      <c r="M12" s="10" t="s">
        <v>3</v>
      </c>
      <c r="N12" s="10" t="s">
        <v>479</v>
      </c>
      <c r="O12" s="19" t="s">
        <v>1</v>
      </c>
      <c r="P12" s="19" t="s">
        <v>480</v>
      </c>
      <c r="Q12" s="21"/>
      <c r="R12" s="20" t="s">
        <v>1</v>
      </c>
      <c r="S12" s="10" t="s">
        <v>4</v>
      </c>
      <c r="T12" s="10"/>
      <c r="U12" s="10"/>
      <c r="V12" s="10">
        <v>188</v>
      </c>
      <c r="W12" s="10">
        <v>188</v>
      </c>
      <c r="X12" s="10">
        <v>188</v>
      </c>
      <c r="Y12" s="10">
        <v>3.34</v>
      </c>
      <c r="Z12" s="10">
        <v>1</v>
      </c>
      <c r="AA12" s="10" t="s">
        <v>481</v>
      </c>
      <c r="AB12" s="22">
        <v>43938</v>
      </c>
      <c r="AC12" s="22">
        <v>43935</v>
      </c>
      <c r="AD12" s="22">
        <v>43938</v>
      </c>
      <c r="AE12" s="22">
        <v>43936</v>
      </c>
      <c r="AF12" s="22">
        <v>43936</v>
      </c>
      <c r="AG12" s="23" t="s">
        <v>482</v>
      </c>
      <c r="AH12" s="24">
        <v>1</v>
      </c>
      <c r="AI12" s="24">
        <v>1</v>
      </c>
      <c r="AJ12" s="24">
        <v>1</v>
      </c>
      <c r="AK12" s="23" t="s">
        <v>483</v>
      </c>
      <c r="AL12" s="10"/>
      <c r="AM12" s="10"/>
      <c r="AN12" s="10"/>
    </row>
    <row r="13" spans="2:40" ht="15" x14ac:dyDescent="0.2">
      <c r="B13" s="18">
        <v>80</v>
      </c>
      <c r="C13" s="16">
        <v>20200414</v>
      </c>
      <c r="D13" s="10" t="s">
        <v>476</v>
      </c>
      <c r="E13" s="10" t="s">
        <v>0</v>
      </c>
      <c r="F13" s="19" t="s">
        <v>487</v>
      </c>
      <c r="G13" s="19">
        <v>1415974</v>
      </c>
      <c r="H13" s="20" t="s">
        <v>1</v>
      </c>
      <c r="I13" s="10" t="s">
        <v>14</v>
      </c>
      <c r="J13" s="20" t="s">
        <v>1</v>
      </c>
      <c r="K13" s="10" t="s">
        <v>478</v>
      </c>
      <c r="L13" s="10">
        <v>80433</v>
      </c>
      <c r="M13" s="10" t="s">
        <v>3</v>
      </c>
      <c r="N13" s="10" t="s">
        <v>479</v>
      </c>
      <c r="O13" s="19" t="s">
        <v>1</v>
      </c>
      <c r="P13" s="19" t="s">
        <v>480</v>
      </c>
      <c r="Q13" s="21"/>
      <c r="R13" s="20" t="s">
        <v>1</v>
      </c>
      <c r="S13" s="10" t="s">
        <v>15</v>
      </c>
      <c r="T13" s="10"/>
      <c r="U13" s="10"/>
      <c r="V13" s="10">
        <v>189</v>
      </c>
      <c r="W13" s="10">
        <v>189</v>
      </c>
      <c r="X13" s="10">
        <v>189</v>
      </c>
      <c r="Y13" s="10">
        <v>3.36</v>
      </c>
      <c r="Z13" s="10">
        <v>2</v>
      </c>
      <c r="AA13" s="10" t="s">
        <v>481</v>
      </c>
      <c r="AB13" s="22">
        <v>43938</v>
      </c>
      <c r="AC13" s="22">
        <v>43935</v>
      </c>
      <c r="AD13" s="22">
        <v>43938</v>
      </c>
      <c r="AE13" s="22">
        <v>43935</v>
      </c>
      <c r="AF13" s="22">
        <v>43935</v>
      </c>
      <c r="AG13" s="23" t="s">
        <v>482</v>
      </c>
      <c r="AH13" s="24">
        <v>1</v>
      </c>
      <c r="AI13" s="24">
        <v>1</v>
      </c>
      <c r="AJ13" s="24">
        <v>1</v>
      </c>
      <c r="AK13" s="23" t="s">
        <v>483</v>
      </c>
      <c r="AL13" s="10"/>
      <c r="AM13" s="10"/>
      <c r="AN13" s="10"/>
    </row>
    <row r="14" spans="2:40" ht="15" x14ac:dyDescent="0.2">
      <c r="B14" s="18">
        <v>81</v>
      </c>
      <c r="C14" s="16">
        <v>20200414</v>
      </c>
      <c r="D14" s="10" t="s">
        <v>476</v>
      </c>
      <c r="E14" s="10" t="s">
        <v>0</v>
      </c>
      <c r="F14" s="19" t="s">
        <v>487</v>
      </c>
      <c r="G14" s="19">
        <v>1415974</v>
      </c>
      <c r="H14" s="20" t="s">
        <v>1</v>
      </c>
      <c r="I14" s="10" t="s">
        <v>16</v>
      </c>
      <c r="J14" s="20" t="s">
        <v>1</v>
      </c>
      <c r="K14" s="10" t="s">
        <v>478</v>
      </c>
      <c r="L14" s="10">
        <v>80433</v>
      </c>
      <c r="M14" s="10" t="s">
        <v>3</v>
      </c>
      <c r="N14" s="10" t="s">
        <v>479</v>
      </c>
      <c r="O14" s="19" t="s">
        <v>1</v>
      </c>
      <c r="P14" s="19" t="s">
        <v>480</v>
      </c>
      <c r="Q14" s="21"/>
      <c r="R14" s="20" t="s">
        <v>1</v>
      </c>
      <c r="S14" s="10" t="s">
        <v>15</v>
      </c>
      <c r="T14" s="10"/>
      <c r="U14" s="10"/>
      <c r="V14" s="10">
        <v>173</v>
      </c>
      <c r="W14" s="10">
        <v>173</v>
      </c>
      <c r="X14" s="10">
        <v>173</v>
      </c>
      <c r="Y14" s="10">
        <v>3.07</v>
      </c>
      <c r="Z14" s="10">
        <v>2</v>
      </c>
      <c r="AA14" s="10" t="s">
        <v>481</v>
      </c>
      <c r="AB14" s="22">
        <v>43938</v>
      </c>
      <c r="AC14" s="22">
        <v>43935</v>
      </c>
      <c r="AD14" s="22">
        <v>43938</v>
      </c>
      <c r="AE14" s="22">
        <v>43935</v>
      </c>
      <c r="AF14" s="22">
        <v>43935</v>
      </c>
      <c r="AG14" s="23" t="s">
        <v>482</v>
      </c>
      <c r="AH14" s="24">
        <v>1</v>
      </c>
      <c r="AI14" s="24">
        <v>1</v>
      </c>
      <c r="AJ14" s="24">
        <v>1</v>
      </c>
      <c r="AK14" s="23" t="s">
        <v>483</v>
      </c>
      <c r="AL14" s="10"/>
      <c r="AM14" s="10"/>
      <c r="AN14" s="10"/>
    </row>
    <row r="15" spans="2:40" ht="15" x14ac:dyDescent="0.2">
      <c r="B15" s="18">
        <v>82</v>
      </c>
      <c r="C15" s="16">
        <v>20200414</v>
      </c>
      <c r="D15" s="10" t="s">
        <v>476</v>
      </c>
      <c r="E15" s="10" t="s">
        <v>0</v>
      </c>
      <c r="F15" s="19" t="s">
        <v>487</v>
      </c>
      <c r="G15" s="19">
        <v>1415974</v>
      </c>
      <c r="H15" s="20" t="s">
        <v>1</v>
      </c>
      <c r="I15" s="10" t="s">
        <v>17</v>
      </c>
      <c r="J15" s="20" t="s">
        <v>1</v>
      </c>
      <c r="K15" s="10" t="s">
        <v>478</v>
      </c>
      <c r="L15" s="10">
        <v>80433</v>
      </c>
      <c r="M15" s="10" t="s">
        <v>3</v>
      </c>
      <c r="N15" s="10" t="s">
        <v>479</v>
      </c>
      <c r="O15" s="19" t="s">
        <v>1</v>
      </c>
      <c r="P15" s="19" t="s">
        <v>480</v>
      </c>
      <c r="Q15" s="21"/>
      <c r="R15" s="20" t="s">
        <v>1</v>
      </c>
      <c r="S15" s="10" t="s">
        <v>15</v>
      </c>
      <c r="T15" s="10"/>
      <c r="U15" s="10"/>
      <c r="V15" s="10">
        <v>176</v>
      </c>
      <c r="W15" s="10">
        <v>176</v>
      </c>
      <c r="X15" s="10">
        <v>176</v>
      </c>
      <c r="Y15" s="10">
        <v>3.12</v>
      </c>
      <c r="Z15" s="10">
        <v>2</v>
      </c>
      <c r="AA15" s="10" t="s">
        <v>481</v>
      </c>
      <c r="AB15" s="22">
        <v>43938</v>
      </c>
      <c r="AC15" s="22">
        <v>43935</v>
      </c>
      <c r="AD15" s="22">
        <v>43938</v>
      </c>
      <c r="AE15" s="22">
        <v>43935</v>
      </c>
      <c r="AF15" s="22">
        <v>43935</v>
      </c>
      <c r="AG15" s="23" t="s">
        <v>489</v>
      </c>
      <c r="AH15" s="24">
        <v>0.98</v>
      </c>
      <c r="AI15" s="24">
        <v>0.97</v>
      </c>
      <c r="AJ15" s="24">
        <v>1</v>
      </c>
      <c r="AK15" s="23" t="s">
        <v>490</v>
      </c>
      <c r="AL15" s="10" t="s">
        <v>491</v>
      </c>
      <c r="AM15" s="10"/>
      <c r="AN15" s="10" t="s">
        <v>492</v>
      </c>
    </row>
    <row r="16" spans="2:40" ht="15" x14ac:dyDescent="0.2">
      <c r="B16" s="18">
        <v>83</v>
      </c>
      <c r="C16" s="16">
        <v>20200414</v>
      </c>
      <c r="D16" s="10" t="s">
        <v>476</v>
      </c>
      <c r="E16" s="10" t="s">
        <v>0</v>
      </c>
      <c r="F16" s="19" t="s">
        <v>487</v>
      </c>
      <c r="G16" s="19">
        <v>1415974</v>
      </c>
      <c r="H16" s="20" t="s">
        <v>1</v>
      </c>
      <c r="I16" s="10" t="s">
        <v>18</v>
      </c>
      <c r="J16" s="20" t="s">
        <v>1</v>
      </c>
      <c r="K16" s="10" t="s">
        <v>478</v>
      </c>
      <c r="L16" s="10">
        <v>80433</v>
      </c>
      <c r="M16" s="10" t="s">
        <v>3</v>
      </c>
      <c r="N16" s="10" t="s">
        <v>479</v>
      </c>
      <c r="O16" s="19" t="s">
        <v>1</v>
      </c>
      <c r="P16" s="19" t="s">
        <v>480</v>
      </c>
      <c r="Q16" s="21"/>
      <c r="R16" s="20" t="s">
        <v>1</v>
      </c>
      <c r="S16" s="10" t="s">
        <v>15</v>
      </c>
      <c r="T16" s="10"/>
      <c r="U16" s="10"/>
      <c r="V16" s="10">
        <v>239</v>
      </c>
      <c r="W16" s="10">
        <v>239</v>
      </c>
      <c r="X16" s="10">
        <v>239</v>
      </c>
      <c r="Y16" s="10">
        <v>4.24</v>
      </c>
      <c r="Z16" s="10">
        <v>2</v>
      </c>
      <c r="AA16" s="10" t="s">
        <v>481</v>
      </c>
      <c r="AB16" s="22">
        <v>43938</v>
      </c>
      <c r="AC16" s="22">
        <v>43935</v>
      </c>
      <c r="AD16" s="22">
        <v>43938</v>
      </c>
      <c r="AE16" s="22">
        <v>43936</v>
      </c>
      <c r="AF16" s="22">
        <v>43936</v>
      </c>
      <c r="AG16" s="23" t="s">
        <v>482</v>
      </c>
      <c r="AH16" s="24">
        <v>1</v>
      </c>
      <c r="AI16" s="24">
        <v>1</v>
      </c>
      <c r="AJ16" s="24">
        <v>1</v>
      </c>
      <c r="AK16" s="23" t="s">
        <v>483</v>
      </c>
      <c r="AL16" s="10"/>
      <c r="AM16" s="10"/>
      <c r="AN16" s="10"/>
    </row>
    <row r="17" spans="2:40" ht="15" x14ac:dyDescent="0.2">
      <c r="B17" s="18">
        <v>84</v>
      </c>
      <c r="C17" s="16">
        <v>20200414</v>
      </c>
      <c r="D17" s="10" t="s">
        <v>476</v>
      </c>
      <c r="E17" s="10" t="s">
        <v>0</v>
      </c>
      <c r="F17" s="19" t="s">
        <v>487</v>
      </c>
      <c r="G17" s="19">
        <v>1415974</v>
      </c>
      <c r="H17" s="20" t="s">
        <v>1</v>
      </c>
      <c r="I17" s="10" t="s">
        <v>19</v>
      </c>
      <c r="J17" s="20" t="s">
        <v>1</v>
      </c>
      <c r="K17" s="10" t="s">
        <v>478</v>
      </c>
      <c r="L17" s="10">
        <v>80433</v>
      </c>
      <c r="M17" s="10" t="s">
        <v>3</v>
      </c>
      <c r="N17" s="10" t="s">
        <v>479</v>
      </c>
      <c r="O17" s="19" t="s">
        <v>1</v>
      </c>
      <c r="P17" s="19" t="s">
        <v>480</v>
      </c>
      <c r="Q17" s="21"/>
      <c r="R17" s="20" t="s">
        <v>1</v>
      </c>
      <c r="S17" s="10" t="s">
        <v>15</v>
      </c>
      <c r="T17" s="10"/>
      <c r="U17" s="10"/>
      <c r="V17" s="10">
        <v>237</v>
      </c>
      <c r="W17" s="10">
        <v>237</v>
      </c>
      <c r="X17" s="10">
        <v>237</v>
      </c>
      <c r="Y17" s="10">
        <v>4.21</v>
      </c>
      <c r="Z17" s="10">
        <v>1</v>
      </c>
      <c r="AA17" s="10" t="s">
        <v>481</v>
      </c>
      <c r="AB17" s="22">
        <v>43938</v>
      </c>
      <c r="AC17" s="22">
        <v>43935</v>
      </c>
      <c r="AD17" s="22">
        <v>43938</v>
      </c>
      <c r="AE17" s="22">
        <v>43936</v>
      </c>
      <c r="AF17" s="22">
        <v>43936</v>
      </c>
      <c r="AG17" s="23" t="s">
        <v>482</v>
      </c>
      <c r="AH17" s="24">
        <v>1</v>
      </c>
      <c r="AI17" s="24">
        <v>1</v>
      </c>
      <c r="AJ17" s="24">
        <v>1</v>
      </c>
      <c r="AK17" s="23" t="s">
        <v>483</v>
      </c>
      <c r="AL17" s="10"/>
      <c r="AM17" s="10"/>
      <c r="AN17" s="10"/>
    </row>
    <row r="18" spans="2:40" ht="15" x14ac:dyDescent="0.2">
      <c r="B18" s="18">
        <v>85</v>
      </c>
      <c r="C18" s="16">
        <v>20200414</v>
      </c>
      <c r="D18" s="10" t="s">
        <v>476</v>
      </c>
      <c r="E18" s="10" t="s">
        <v>0</v>
      </c>
      <c r="F18" s="19" t="s">
        <v>493</v>
      </c>
      <c r="G18" s="19">
        <v>1415974</v>
      </c>
      <c r="H18" s="20" t="s">
        <v>1</v>
      </c>
      <c r="I18" s="10" t="s">
        <v>20</v>
      </c>
      <c r="J18" s="20" t="s">
        <v>1</v>
      </c>
      <c r="K18" s="10" t="s">
        <v>478</v>
      </c>
      <c r="L18" s="10">
        <v>80433</v>
      </c>
      <c r="M18" s="10" t="s">
        <v>3</v>
      </c>
      <c r="N18" s="10" t="s">
        <v>479</v>
      </c>
      <c r="O18" s="19" t="s">
        <v>1</v>
      </c>
      <c r="P18" s="19" t="s">
        <v>480</v>
      </c>
      <c r="Q18" s="21"/>
      <c r="R18" s="20" t="s">
        <v>1</v>
      </c>
      <c r="S18" s="10" t="s">
        <v>15</v>
      </c>
      <c r="T18" s="10"/>
      <c r="U18" s="10"/>
      <c r="V18" s="10">
        <v>8</v>
      </c>
      <c r="W18" s="10">
        <v>8</v>
      </c>
      <c r="X18" s="10">
        <v>8</v>
      </c>
      <c r="Y18" s="10">
        <v>0.14000000000000001</v>
      </c>
      <c r="Z18" s="10">
        <v>1</v>
      </c>
      <c r="AA18" s="10" t="s">
        <v>481</v>
      </c>
      <c r="AB18" s="22">
        <v>43938</v>
      </c>
      <c r="AC18" s="22">
        <v>43935</v>
      </c>
      <c r="AD18" s="22">
        <v>43938</v>
      </c>
      <c r="AE18" s="22">
        <v>43936</v>
      </c>
      <c r="AF18" s="22">
        <v>43936</v>
      </c>
      <c r="AG18" s="23" t="s">
        <v>482</v>
      </c>
      <c r="AH18" s="24">
        <v>1</v>
      </c>
      <c r="AI18" s="24">
        <v>1</v>
      </c>
      <c r="AJ18" s="24">
        <v>1</v>
      </c>
      <c r="AK18" s="23" t="s">
        <v>483</v>
      </c>
      <c r="AL18" s="10"/>
      <c r="AM18" s="10"/>
      <c r="AN18" s="10"/>
    </row>
    <row r="19" spans="2:40" ht="15" x14ac:dyDescent="0.2">
      <c r="B19" s="18">
        <v>86</v>
      </c>
      <c r="C19" s="16">
        <v>20200414</v>
      </c>
      <c r="D19" s="10" t="s">
        <v>476</v>
      </c>
      <c r="E19" s="10" t="s">
        <v>0</v>
      </c>
      <c r="F19" s="19" t="s">
        <v>494</v>
      </c>
      <c r="G19" s="19">
        <v>1415974</v>
      </c>
      <c r="H19" s="20" t="s">
        <v>1</v>
      </c>
      <c r="I19" s="10" t="s">
        <v>21</v>
      </c>
      <c r="J19" s="20" t="s">
        <v>1</v>
      </c>
      <c r="K19" s="10" t="s">
        <v>478</v>
      </c>
      <c r="L19" s="10">
        <v>80433</v>
      </c>
      <c r="M19" s="10" t="s">
        <v>3</v>
      </c>
      <c r="N19" s="10" t="s">
        <v>479</v>
      </c>
      <c r="O19" s="19" t="s">
        <v>1</v>
      </c>
      <c r="P19" s="19" t="s">
        <v>480</v>
      </c>
      <c r="Q19" s="21"/>
      <c r="R19" s="20" t="s">
        <v>1</v>
      </c>
      <c r="S19" s="10" t="s">
        <v>15</v>
      </c>
      <c r="T19" s="10"/>
      <c r="U19" s="10"/>
      <c r="V19" s="10">
        <v>165</v>
      </c>
      <c r="W19" s="10">
        <v>165</v>
      </c>
      <c r="X19" s="10">
        <v>165</v>
      </c>
      <c r="Y19" s="10">
        <v>2.93</v>
      </c>
      <c r="Z19" s="10">
        <v>1</v>
      </c>
      <c r="AA19" s="10" t="s">
        <v>481</v>
      </c>
      <c r="AB19" s="22">
        <v>43938</v>
      </c>
      <c r="AC19" s="22">
        <v>43935</v>
      </c>
      <c r="AD19" s="22">
        <v>43938</v>
      </c>
      <c r="AE19" s="22">
        <v>43936</v>
      </c>
      <c r="AF19" s="22">
        <v>43936</v>
      </c>
      <c r="AG19" s="23" t="s">
        <v>482</v>
      </c>
      <c r="AH19" s="24">
        <v>1</v>
      </c>
      <c r="AI19" s="24">
        <v>1</v>
      </c>
      <c r="AJ19" s="24">
        <v>1</v>
      </c>
      <c r="AK19" s="23" t="s">
        <v>483</v>
      </c>
      <c r="AL19" s="10"/>
      <c r="AM19" s="10"/>
      <c r="AN19" s="10"/>
    </row>
    <row r="20" spans="2:40" ht="15" x14ac:dyDescent="0.2">
      <c r="B20" s="18">
        <v>87</v>
      </c>
      <c r="C20" s="16">
        <v>20200414</v>
      </c>
      <c r="D20" s="10" t="s">
        <v>476</v>
      </c>
      <c r="E20" s="10" t="s">
        <v>0</v>
      </c>
      <c r="F20" s="19" t="s">
        <v>495</v>
      </c>
      <c r="G20" s="19">
        <v>1415974</v>
      </c>
      <c r="H20" s="20" t="s">
        <v>1</v>
      </c>
      <c r="I20" s="10" t="s">
        <v>22</v>
      </c>
      <c r="J20" s="20" t="s">
        <v>1</v>
      </c>
      <c r="K20" s="10" t="s">
        <v>478</v>
      </c>
      <c r="L20" s="10">
        <v>80433</v>
      </c>
      <c r="M20" s="10" t="s">
        <v>3</v>
      </c>
      <c r="N20" s="10" t="s">
        <v>479</v>
      </c>
      <c r="O20" s="19" t="s">
        <v>1</v>
      </c>
      <c r="P20" s="19" t="s">
        <v>480</v>
      </c>
      <c r="Q20" s="21"/>
      <c r="R20" s="20" t="s">
        <v>1</v>
      </c>
      <c r="S20" s="10" t="s">
        <v>15</v>
      </c>
      <c r="T20" s="10"/>
      <c r="U20" s="10"/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 t="s">
        <v>481</v>
      </c>
      <c r="AB20" s="22">
        <v>43938</v>
      </c>
      <c r="AC20" s="22">
        <v>43935</v>
      </c>
      <c r="AD20" s="22">
        <v>43938</v>
      </c>
      <c r="AE20" s="22">
        <v>43936</v>
      </c>
      <c r="AF20" s="22">
        <v>43936</v>
      </c>
      <c r="AG20" s="23" t="s">
        <v>482</v>
      </c>
      <c r="AH20" s="25" t="s">
        <v>1</v>
      </c>
      <c r="AI20" s="25" t="s">
        <v>1</v>
      </c>
      <c r="AJ20" s="25" t="s">
        <v>1</v>
      </c>
      <c r="AK20" s="23" t="s">
        <v>483</v>
      </c>
      <c r="AL20" s="10"/>
      <c r="AM20" s="10"/>
      <c r="AN20" s="10" t="s">
        <v>496</v>
      </c>
    </row>
    <row r="21" spans="2:40" ht="15" x14ac:dyDescent="0.2">
      <c r="B21" s="18">
        <v>88</v>
      </c>
      <c r="C21" s="16">
        <v>20200414</v>
      </c>
      <c r="D21" s="10" t="s">
        <v>476</v>
      </c>
      <c r="E21" s="10" t="s">
        <v>0</v>
      </c>
      <c r="F21" s="19" t="s">
        <v>497</v>
      </c>
      <c r="G21" s="19">
        <v>1415974</v>
      </c>
      <c r="H21" s="20" t="s">
        <v>1</v>
      </c>
      <c r="I21" s="10" t="s">
        <v>23</v>
      </c>
      <c r="J21" s="20" t="s">
        <v>1</v>
      </c>
      <c r="K21" s="10" t="s">
        <v>478</v>
      </c>
      <c r="L21" s="10">
        <v>80433</v>
      </c>
      <c r="M21" s="10" t="s">
        <v>3</v>
      </c>
      <c r="N21" s="10" t="s">
        <v>479</v>
      </c>
      <c r="O21" s="19" t="s">
        <v>1</v>
      </c>
      <c r="P21" s="19" t="s">
        <v>480</v>
      </c>
      <c r="Q21" s="21"/>
      <c r="R21" s="20" t="s">
        <v>1</v>
      </c>
      <c r="S21" s="10" t="s">
        <v>24</v>
      </c>
      <c r="T21" s="10"/>
      <c r="U21" s="10"/>
      <c r="V21" s="10">
        <v>12</v>
      </c>
      <c r="W21" s="10">
        <v>12</v>
      </c>
      <c r="X21" s="10">
        <v>12</v>
      </c>
      <c r="Y21" s="10">
        <v>0.21</v>
      </c>
      <c r="Z21" s="10">
        <v>1</v>
      </c>
      <c r="AA21" s="10" t="s">
        <v>481</v>
      </c>
      <c r="AB21" s="22">
        <v>43938</v>
      </c>
      <c r="AC21" s="22">
        <v>43935</v>
      </c>
      <c r="AD21" s="22">
        <v>43938</v>
      </c>
      <c r="AE21" s="22">
        <v>43936</v>
      </c>
      <c r="AF21" s="22">
        <v>43936</v>
      </c>
      <c r="AG21" s="23" t="s">
        <v>482</v>
      </c>
      <c r="AH21" s="25" t="s">
        <v>1</v>
      </c>
      <c r="AI21" s="25" t="s">
        <v>1</v>
      </c>
      <c r="AJ21" s="25" t="s">
        <v>1</v>
      </c>
      <c r="AK21" s="23" t="s">
        <v>483</v>
      </c>
      <c r="AL21" s="10"/>
      <c r="AM21" s="10"/>
      <c r="AN21" s="10" t="s">
        <v>496</v>
      </c>
    </row>
    <row r="22" spans="2:40" ht="15" x14ac:dyDescent="0.2">
      <c r="B22" s="18">
        <v>89</v>
      </c>
      <c r="C22" s="16">
        <v>20200414</v>
      </c>
      <c r="D22" s="10" t="s">
        <v>476</v>
      </c>
      <c r="E22" s="10" t="s">
        <v>0</v>
      </c>
      <c r="F22" s="19" t="s">
        <v>497</v>
      </c>
      <c r="G22" s="19">
        <v>1415974</v>
      </c>
      <c r="H22" s="20" t="s">
        <v>1</v>
      </c>
      <c r="I22" s="10" t="s">
        <v>25</v>
      </c>
      <c r="J22" s="20" t="s">
        <v>1</v>
      </c>
      <c r="K22" s="10" t="s">
        <v>478</v>
      </c>
      <c r="L22" s="10">
        <v>80433</v>
      </c>
      <c r="M22" s="10" t="s">
        <v>3</v>
      </c>
      <c r="N22" s="10" t="s">
        <v>479</v>
      </c>
      <c r="O22" s="19" t="s">
        <v>1</v>
      </c>
      <c r="P22" s="19" t="s">
        <v>480</v>
      </c>
      <c r="Q22" s="21"/>
      <c r="R22" s="20" t="s">
        <v>1</v>
      </c>
      <c r="S22" s="10" t="s">
        <v>24</v>
      </c>
      <c r="T22" s="10"/>
      <c r="U22" s="10"/>
      <c r="V22" s="10">
        <v>37</v>
      </c>
      <c r="W22" s="10">
        <v>37</v>
      </c>
      <c r="X22" s="10">
        <v>37</v>
      </c>
      <c r="Y22" s="10">
        <v>0.65</v>
      </c>
      <c r="Z22" s="10">
        <v>1</v>
      </c>
      <c r="AA22" s="10" t="s">
        <v>481</v>
      </c>
      <c r="AB22" s="22">
        <v>43938</v>
      </c>
      <c r="AC22" s="22">
        <v>43935</v>
      </c>
      <c r="AD22" s="22">
        <v>43938</v>
      </c>
      <c r="AE22" s="22">
        <v>43936</v>
      </c>
      <c r="AF22" s="22">
        <v>43936</v>
      </c>
      <c r="AG22" s="23" t="s">
        <v>482</v>
      </c>
      <c r="AH22" s="24">
        <v>1</v>
      </c>
      <c r="AI22" s="24">
        <v>1</v>
      </c>
      <c r="AJ22" s="24">
        <v>1</v>
      </c>
      <c r="AK22" s="23" t="s">
        <v>483</v>
      </c>
      <c r="AL22" s="10"/>
      <c r="AM22" s="10"/>
      <c r="AN22" s="10"/>
    </row>
    <row r="23" spans="2:40" ht="15" x14ac:dyDescent="0.2">
      <c r="B23" s="18">
        <v>90</v>
      </c>
      <c r="C23" s="16">
        <v>20200414</v>
      </c>
      <c r="D23" s="10" t="s">
        <v>476</v>
      </c>
      <c r="E23" s="10" t="s">
        <v>0</v>
      </c>
      <c r="F23" s="19" t="s">
        <v>498</v>
      </c>
      <c r="G23" s="19">
        <v>1415974</v>
      </c>
      <c r="H23" s="20" t="s">
        <v>1</v>
      </c>
      <c r="I23" s="10" t="s">
        <v>26</v>
      </c>
      <c r="J23" s="20" t="s">
        <v>1</v>
      </c>
      <c r="K23" s="10" t="s">
        <v>478</v>
      </c>
      <c r="L23" s="10">
        <v>80433</v>
      </c>
      <c r="M23" s="10" t="s">
        <v>3</v>
      </c>
      <c r="N23" s="10" t="s">
        <v>479</v>
      </c>
      <c r="O23" s="19" t="s">
        <v>1</v>
      </c>
      <c r="P23" s="19" t="s">
        <v>480</v>
      </c>
      <c r="Q23" s="21"/>
      <c r="R23" s="20" t="s">
        <v>1</v>
      </c>
      <c r="S23" s="10" t="s">
        <v>24</v>
      </c>
      <c r="T23" s="10"/>
      <c r="U23" s="10"/>
      <c r="V23" s="10">
        <v>3</v>
      </c>
      <c r="W23" s="10">
        <v>3</v>
      </c>
      <c r="X23" s="10">
        <v>3</v>
      </c>
      <c r="Y23" s="10">
        <v>0.05</v>
      </c>
      <c r="Z23" s="10">
        <v>0.1</v>
      </c>
      <c r="AA23" s="10" t="s">
        <v>481</v>
      </c>
      <c r="AB23" s="22">
        <v>43938</v>
      </c>
      <c r="AC23" s="22">
        <v>43935</v>
      </c>
      <c r="AD23" s="22">
        <v>43938</v>
      </c>
      <c r="AE23" s="22">
        <v>43936</v>
      </c>
      <c r="AF23" s="22">
        <v>43936</v>
      </c>
      <c r="AG23" s="23" t="s">
        <v>482</v>
      </c>
      <c r="AH23" s="25" t="s">
        <v>1</v>
      </c>
      <c r="AI23" s="25" t="s">
        <v>1</v>
      </c>
      <c r="AJ23" s="25" t="s">
        <v>1</v>
      </c>
      <c r="AK23" s="23" t="s">
        <v>483</v>
      </c>
      <c r="AL23" s="10"/>
      <c r="AM23" s="10"/>
      <c r="AN23" s="10" t="s">
        <v>496</v>
      </c>
    </row>
    <row r="24" spans="2:40" ht="15" x14ac:dyDescent="0.2">
      <c r="B24" s="26">
        <v>91</v>
      </c>
      <c r="C24" s="16">
        <v>20200414</v>
      </c>
      <c r="D24" s="10" t="s">
        <v>476</v>
      </c>
      <c r="E24" s="10" t="s">
        <v>27</v>
      </c>
      <c r="F24" s="19" t="s">
        <v>499</v>
      </c>
      <c r="G24" s="19">
        <v>1416009</v>
      </c>
      <c r="H24" s="20" t="s">
        <v>1</v>
      </c>
      <c r="I24" s="10" t="s">
        <v>28</v>
      </c>
      <c r="J24" s="20" t="s">
        <v>1</v>
      </c>
      <c r="K24" s="10" t="s">
        <v>478</v>
      </c>
      <c r="L24" s="10">
        <v>80426</v>
      </c>
      <c r="M24" s="10" t="s">
        <v>29</v>
      </c>
      <c r="N24" s="10" t="s">
        <v>500</v>
      </c>
      <c r="O24" s="19" t="s">
        <v>1</v>
      </c>
      <c r="P24" s="19" t="s">
        <v>501</v>
      </c>
      <c r="Q24" s="21"/>
      <c r="R24" s="20" t="s">
        <v>1</v>
      </c>
      <c r="S24" s="10" t="s">
        <v>24</v>
      </c>
      <c r="T24" s="10"/>
      <c r="U24" s="10"/>
      <c r="V24" s="10">
        <v>322</v>
      </c>
      <c r="W24" s="10">
        <v>322</v>
      </c>
      <c r="X24" s="10">
        <v>322</v>
      </c>
      <c r="Y24" s="10">
        <v>5.72</v>
      </c>
      <c r="Z24" s="10">
        <v>1</v>
      </c>
      <c r="AA24" s="10" t="s">
        <v>481</v>
      </c>
      <c r="AB24" s="22">
        <v>43938</v>
      </c>
      <c r="AC24" s="22">
        <v>43935</v>
      </c>
      <c r="AD24" s="22">
        <v>43938</v>
      </c>
      <c r="AE24" s="22">
        <v>43936</v>
      </c>
      <c r="AF24" s="22">
        <v>43936</v>
      </c>
      <c r="AG24" s="23" t="s">
        <v>482</v>
      </c>
      <c r="AH24" s="24">
        <v>1</v>
      </c>
      <c r="AI24" s="24">
        <v>1</v>
      </c>
      <c r="AJ24" s="24">
        <v>1</v>
      </c>
      <c r="AK24" s="23" t="s">
        <v>483</v>
      </c>
      <c r="AL24" s="10"/>
      <c r="AM24" s="10"/>
      <c r="AN24" s="10"/>
    </row>
    <row r="25" spans="2:40" ht="15" x14ac:dyDescent="0.2">
      <c r="B25" s="26">
        <v>92</v>
      </c>
      <c r="C25" s="16">
        <v>20200414</v>
      </c>
      <c r="D25" s="10" t="s">
        <v>476</v>
      </c>
      <c r="E25" s="10" t="s">
        <v>30</v>
      </c>
      <c r="F25" s="19" t="s">
        <v>502</v>
      </c>
      <c r="G25" s="19">
        <v>1416093</v>
      </c>
      <c r="H25" s="20" t="s">
        <v>1</v>
      </c>
      <c r="I25" s="10" t="s">
        <v>31</v>
      </c>
      <c r="J25" s="20" t="s">
        <v>1</v>
      </c>
      <c r="K25" s="10" t="s">
        <v>478</v>
      </c>
      <c r="L25" s="10">
        <v>80426</v>
      </c>
      <c r="M25" s="10" t="s">
        <v>32</v>
      </c>
      <c r="N25" s="10" t="s">
        <v>500</v>
      </c>
      <c r="O25" s="19" t="s">
        <v>1</v>
      </c>
      <c r="P25" s="19" t="s">
        <v>503</v>
      </c>
      <c r="Q25" s="21"/>
      <c r="R25" s="20" t="s">
        <v>1</v>
      </c>
      <c r="S25" s="10" t="s">
        <v>24</v>
      </c>
      <c r="T25" s="10"/>
      <c r="U25" s="10"/>
      <c r="V25" s="10">
        <v>25</v>
      </c>
      <c r="W25" s="10">
        <v>25</v>
      </c>
      <c r="X25" s="10">
        <v>25</v>
      </c>
      <c r="Y25" s="10">
        <v>0.44</v>
      </c>
      <c r="Z25" s="10">
        <v>0.2</v>
      </c>
      <c r="AA25" s="10" t="s">
        <v>481</v>
      </c>
      <c r="AB25" s="22">
        <v>43938</v>
      </c>
      <c r="AC25" s="22">
        <v>43935</v>
      </c>
      <c r="AD25" s="22">
        <v>43938</v>
      </c>
      <c r="AE25" s="22">
        <v>43936</v>
      </c>
      <c r="AF25" s="22">
        <v>43936</v>
      </c>
      <c r="AG25" s="23" t="s">
        <v>482</v>
      </c>
      <c r="AH25" s="24">
        <v>1</v>
      </c>
      <c r="AI25" s="24">
        <v>1</v>
      </c>
      <c r="AJ25" s="24">
        <v>1</v>
      </c>
      <c r="AK25" s="23" t="s">
        <v>483</v>
      </c>
      <c r="AL25" s="10"/>
      <c r="AM25" s="10"/>
      <c r="AN25" s="10"/>
    </row>
    <row r="26" spans="2:40" ht="15" x14ac:dyDescent="0.2">
      <c r="B26" s="26">
        <v>93</v>
      </c>
      <c r="C26" s="16">
        <v>20200414</v>
      </c>
      <c r="D26" s="10" t="s">
        <v>476</v>
      </c>
      <c r="E26" s="10" t="s">
        <v>30</v>
      </c>
      <c r="F26" s="19" t="s">
        <v>502</v>
      </c>
      <c r="G26" s="19">
        <v>1416093</v>
      </c>
      <c r="H26" s="20" t="s">
        <v>1</v>
      </c>
      <c r="I26" s="10" t="s">
        <v>33</v>
      </c>
      <c r="J26" s="20" t="s">
        <v>1</v>
      </c>
      <c r="K26" s="10" t="s">
        <v>478</v>
      </c>
      <c r="L26" s="10">
        <v>80426</v>
      </c>
      <c r="M26" s="10" t="s">
        <v>32</v>
      </c>
      <c r="N26" s="10" t="s">
        <v>500</v>
      </c>
      <c r="O26" s="19" t="s">
        <v>1</v>
      </c>
      <c r="P26" s="19" t="s">
        <v>503</v>
      </c>
      <c r="Q26" s="21"/>
      <c r="R26" s="20" t="s">
        <v>1</v>
      </c>
      <c r="S26" s="10" t="s">
        <v>24</v>
      </c>
      <c r="T26" s="10"/>
      <c r="U26" s="10"/>
      <c r="V26" s="10">
        <v>28</v>
      </c>
      <c r="W26" s="10">
        <v>28</v>
      </c>
      <c r="X26" s="10">
        <v>28</v>
      </c>
      <c r="Y26" s="10">
        <v>0.49</v>
      </c>
      <c r="Z26" s="10">
        <v>0.2</v>
      </c>
      <c r="AA26" s="10" t="s">
        <v>481</v>
      </c>
      <c r="AB26" s="22">
        <v>43938</v>
      </c>
      <c r="AC26" s="22">
        <v>43935</v>
      </c>
      <c r="AD26" s="22">
        <v>43938</v>
      </c>
      <c r="AE26" s="22">
        <v>43936</v>
      </c>
      <c r="AF26" s="22">
        <v>43936</v>
      </c>
      <c r="AG26" s="23" t="s">
        <v>482</v>
      </c>
      <c r="AH26" s="24">
        <v>1</v>
      </c>
      <c r="AI26" s="24">
        <v>1</v>
      </c>
      <c r="AJ26" s="24">
        <v>1</v>
      </c>
      <c r="AK26" s="23" t="s">
        <v>483</v>
      </c>
      <c r="AL26" s="10"/>
      <c r="AM26" s="10"/>
      <c r="AN26" s="10"/>
    </row>
    <row r="27" spans="2:40" ht="15" x14ac:dyDescent="0.2">
      <c r="B27" s="26">
        <v>94</v>
      </c>
      <c r="C27" s="16">
        <v>20200414</v>
      </c>
      <c r="D27" s="10" t="s">
        <v>476</v>
      </c>
      <c r="E27" s="10" t="s">
        <v>30</v>
      </c>
      <c r="F27" s="19" t="s">
        <v>502</v>
      </c>
      <c r="G27" s="19">
        <v>1416093</v>
      </c>
      <c r="H27" s="20" t="s">
        <v>1</v>
      </c>
      <c r="I27" s="10" t="s">
        <v>34</v>
      </c>
      <c r="J27" s="20" t="s">
        <v>1</v>
      </c>
      <c r="K27" s="10" t="s">
        <v>478</v>
      </c>
      <c r="L27" s="10">
        <v>80426</v>
      </c>
      <c r="M27" s="10" t="s">
        <v>32</v>
      </c>
      <c r="N27" s="10" t="s">
        <v>500</v>
      </c>
      <c r="O27" s="19" t="s">
        <v>1</v>
      </c>
      <c r="P27" s="19" t="s">
        <v>503</v>
      </c>
      <c r="Q27" s="21"/>
      <c r="R27" s="20" t="s">
        <v>1</v>
      </c>
      <c r="S27" s="10" t="s">
        <v>24</v>
      </c>
      <c r="T27" s="10"/>
      <c r="U27" s="10"/>
      <c r="V27" s="10">
        <v>46</v>
      </c>
      <c r="W27" s="10">
        <v>46</v>
      </c>
      <c r="X27" s="10">
        <v>46</v>
      </c>
      <c r="Y27" s="10">
        <v>0.81</v>
      </c>
      <c r="Z27" s="10">
        <v>0.1</v>
      </c>
      <c r="AA27" s="10" t="s">
        <v>481</v>
      </c>
      <c r="AB27" s="22">
        <v>43938</v>
      </c>
      <c r="AC27" s="22">
        <v>43935</v>
      </c>
      <c r="AD27" s="22">
        <v>43938</v>
      </c>
      <c r="AE27" s="22">
        <v>43936</v>
      </c>
      <c r="AF27" s="22">
        <v>43936</v>
      </c>
      <c r="AG27" s="23" t="s">
        <v>482</v>
      </c>
      <c r="AH27" s="24">
        <v>1</v>
      </c>
      <c r="AI27" s="24">
        <v>1</v>
      </c>
      <c r="AJ27" s="24">
        <v>1</v>
      </c>
      <c r="AK27" s="23" t="s">
        <v>483</v>
      </c>
      <c r="AL27" s="10"/>
      <c r="AM27" s="10"/>
      <c r="AN27" s="10"/>
    </row>
    <row r="28" spans="2:40" ht="15" x14ac:dyDescent="0.2">
      <c r="B28" s="26">
        <v>95</v>
      </c>
      <c r="C28" s="16">
        <v>20200414</v>
      </c>
      <c r="D28" s="10" t="s">
        <v>476</v>
      </c>
      <c r="E28" s="10" t="s">
        <v>30</v>
      </c>
      <c r="F28" s="19" t="s">
        <v>502</v>
      </c>
      <c r="G28" s="19">
        <v>1416093</v>
      </c>
      <c r="H28" s="20" t="s">
        <v>1</v>
      </c>
      <c r="I28" s="10" t="s">
        <v>35</v>
      </c>
      <c r="J28" s="20" t="s">
        <v>1</v>
      </c>
      <c r="K28" s="10" t="s">
        <v>478</v>
      </c>
      <c r="L28" s="10">
        <v>80426</v>
      </c>
      <c r="M28" s="10" t="s">
        <v>32</v>
      </c>
      <c r="N28" s="10" t="s">
        <v>500</v>
      </c>
      <c r="O28" s="19" t="s">
        <v>1</v>
      </c>
      <c r="P28" s="19" t="s">
        <v>503</v>
      </c>
      <c r="Q28" s="21"/>
      <c r="R28" s="20" t="s">
        <v>1</v>
      </c>
      <c r="S28" s="10" t="s">
        <v>24</v>
      </c>
      <c r="T28" s="10"/>
      <c r="U28" s="10"/>
      <c r="V28" s="10">
        <v>31</v>
      </c>
      <c r="W28" s="10">
        <v>31</v>
      </c>
      <c r="X28" s="10">
        <v>31</v>
      </c>
      <c r="Y28" s="10">
        <v>0.55000000000000004</v>
      </c>
      <c r="Z28" s="10">
        <v>0.1</v>
      </c>
      <c r="AA28" s="10" t="s">
        <v>481</v>
      </c>
      <c r="AB28" s="22">
        <v>43938</v>
      </c>
      <c r="AC28" s="22">
        <v>43935</v>
      </c>
      <c r="AD28" s="22">
        <v>43938</v>
      </c>
      <c r="AE28" s="22">
        <v>43936</v>
      </c>
      <c r="AF28" s="22">
        <v>43936</v>
      </c>
      <c r="AG28" s="23" t="s">
        <v>482</v>
      </c>
      <c r="AH28" s="24">
        <v>1</v>
      </c>
      <c r="AI28" s="24">
        <v>1</v>
      </c>
      <c r="AJ28" s="24">
        <v>1</v>
      </c>
      <c r="AK28" s="23" t="s">
        <v>483</v>
      </c>
      <c r="AL28" s="10"/>
      <c r="AM28" s="10"/>
      <c r="AN28" s="10"/>
    </row>
    <row r="29" spans="2:40" ht="15" x14ac:dyDescent="0.2">
      <c r="B29" s="26">
        <v>96</v>
      </c>
      <c r="C29" s="16">
        <v>20200414</v>
      </c>
      <c r="D29" s="10" t="s">
        <v>476</v>
      </c>
      <c r="E29" s="10" t="s">
        <v>30</v>
      </c>
      <c r="F29" s="19" t="s">
        <v>502</v>
      </c>
      <c r="G29" s="19">
        <v>1416093</v>
      </c>
      <c r="H29" s="20" t="s">
        <v>1</v>
      </c>
      <c r="I29" s="10" t="s">
        <v>36</v>
      </c>
      <c r="J29" s="20" t="s">
        <v>1</v>
      </c>
      <c r="K29" s="10" t="s">
        <v>478</v>
      </c>
      <c r="L29" s="10">
        <v>80426</v>
      </c>
      <c r="M29" s="10" t="s">
        <v>32</v>
      </c>
      <c r="N29" s="10" t="s">
        <v>500</v>
      </c>
      <c r="O29" s="19" t="s">
        <v>1</v>
      </c>
      <c r="P29" s="19" t="s">
        <v>503</v>
      </c>
      <c r="Q29" s="21"/>
      <c r="R29" s="20" t="s">
        <v>1</v>
      </c>
      <c r="S29" s="10" t="s">
        <v>24</v>
      </c>
      <c r="T29" s="10"/>
      <c r="U29" s="10"/>
      <c r="V29" s="10">
        <v>102</v>
      </c>
      <c r="W29" s="10">
        <v>102</v>
      </c>
      <c r="X29" s="10">
        <v>102</v>
      </c>
      <c r="Y29" s="10">
        <v>1.81</v>
      </c>
      <c r="Z29" s="10">
        <v>1</v>
      </c>
      <c r="AA29" s="10" t="s">
        <v>481</v>
      </c>
      <c r="AB29" s="22">
        <v>43938</v>
      </c>
      <c r="AC29" s="22">
        <v>43935</v>
      </c>
      <c r="AD29" s="22">
        <v>43938</v>
      </c>
      <c r="AE29" s="22">
        <v>43936</v>
      </c>
      <c r="AF29" s="22">
        <v>43936</v>
      </c>
      <c r="AG29" s="23" t="s">
        <v>482</v>
      </c>
      <c r="AH29" s="24">
        <v>1</v>
      </c>
      <c r="AI29" s="24">
        <v>1</v>
      </c>
      <c r="AJ29" s="24">
        <v>1</v>
      </c>
      <c r="AK29" s="23" t="s">
        <v>483</v>
      </c>
      <c r="AL29" s="10"/>
      <c r="AM29" s="10"/>
      <c r="AN29" s="10"/>
    </row>
    <row r="30" spans="2:40" ht="15" x14ac:dyDescent="0.2">
      <c r="B30" s="26">
        <v>97</v>
      </c>
      <c r="C30" s="16">
        <v>20200414</v>
      </c>
      <c r="D30" s="10" t="s">
        <v>476</v>
      </c>
      <c r="E30" s="10" t="s">
        <v>30</v>
      </c>
      <c r="F30" s="19" t="s">
        <v>502</v>
      </c>
      <c r="G30" s="19">
        <v>1416093</v>
      </c>
      <c r="H30" s="20" t="s">
        <v>1</v>
      </c>
      <c r="I30" s="10" t="s">
        <v>37</v>
      </c>
      <c r="J30" s="20" t="s">
        <v>1</v>
      </c>
      <c r="K30" s="10" t="s">
        <v>478</v>
      </c>
      <c r="L30" s="10">
        <v>80426</v>
      </c>
      <c r="M30" s="10" t="s">
        <v>32</v>
      </c>
      <c r="N30" s="10" t="s">
        <v>500</v>
      </c>
      <c r="O30" s="19" t="s">
        <v>1</v>
      </c>
      <c r="P30" s="19" t="s">
        <v>503</v>
      </c>
      <c r="Q30" s="21"/>
      <c r="R30" s="20" t="s">
        <v>1</v>
      </c>
      <c r="S30" s="10" t="s">
        <v>24</v>
      </c>
      <c r="T30" s="10"/>
      <c r="U30" s="10"/>
      <c r="V30" s="10">
        <v>66</v>
      </c>
      <c r="W30" s="10">
        <v>66</v>
      </c>
      <c r="X30" s="10">
        <v>66</v>
      </c>
      <c r="Y30" s="10">
        <v>1.17</v>
      </c>
      <c r="Z30" s="10">
        <v>1</v>
      </c>
      <c r="AA30" s="10" t="s">
        <v>481</v>
      </c>
      <c r="AB30" s="22">
        <v>43938</v>
      </c>
      <c r="AC30" s="22">
        <v>43935</v>
      </c>
      <c r="AD30" s="22">
        <v>43938</v>
      </c>
      <c r="AE30" s="22">
        <v>43936</v>
      </c>
      <c r="AF30" s="22">
        <v>43936</v>
      </c>
      <c r="AG30" s="23" t="s">
        <v>482</v>
      </c>
      <c r="AH30" s="24">
        <v>1</v>
      </c>
      <c r="AI30" s="24">
        <v>1</v>
      </c>
      <c r="AJ30" s="24">
        <v>1</v>
      </c>
      <c r="AK30" s="23" t="s">
        <v>483</v>
      </c>
      <c r="AL30" s="10"/>
      <c r="AM30" s="10"/>
      <c r="AN30" s="10"/>
    </row>
    <row r="31" spans="2:40" ht="15" x14ac:dyDescent="0.2">
      <c r="B31" s="26">
        <v>98</v>
      </c>
      <c r="C31" s="16">
        <v>20200414</v>
      </c>
      <c r="D31" s="10" t="s">
        <v>476</v>
      </c>
      <c r="E31" s="10" t="s">
        <v>30</v>
      </c>
      <c r="F31" s="19" t="s">
        <v>504</v>
      </c>
      <c r="G31" s="19">
        <v>1416093</v>
      </c>
      <c r="H31" s="20" t="s">
        <v>1</v>
      </c>
      <c r="I31" s="27" t="s">
        <v>38</v>
      </c>
      <c r="J31" s="20" t="s">
        <v>1</v>
      </c>
      <c r="K31" s="10" t="s">
        <v>478</v>
      </c>
      <c r="L31" s="10">
        <v>80426</v>
      </c>
      <c r="M31" s="10" t="s">
        <v>32</v>
      </c>
      <c r="N31" s="10" t="s">
        <v>500</v>
      </c>
      <c r="O31" s="19" t="s">
        <v>1</v>
      </c>
      <c r="P31" s="19" t="s">
        <v>503</v>
      </c>
      <c r="Q31" s="21"/>
      <c r="R31" s="20" t="s">
        <v>1</v>
      </c>
      <c r="S31" s="10" t="s">
        <v>24</v>
      </c>
      <c r="T31" s="10"/>
      <c r="U31" s="10"/>
      <c r="V31" s="10">
        <v>19</v>
      </c>
      <c r="W31" s="10">
        <v>19</v>
      </c>
      <c r="X31" s="10">
        <v>19</v>
      </c>
      <c r="Y31" s="10">
        <v>0.33</v>
      </c>
      <c r="Z31" s="10">
        <v>0.1</v>
      </c>
      <c r="AA31" s="10" t="s">
        <v>481</v>
      </c>
      <c r="AB31" s="22">
        <v>43938</v>
      </c>
      <c r="AC31" s="22">
        <v>43935</v>
      </c>
      <c r="AD31" s="22">
        <v>43938</v>
      </c>
      <c r="AE31" s="22">
        <v>43936</v>
      </c>
      <c r="AF31" s="22">
        <v>43936</v>
      </c>
      <c r="AG31" s="23" t="s">
        <v>482</v>
      </c>
      <c r="AH31" s="25" t="s">
        <v>1</v>
      </c>
      <c r="AI31" s="25" t="s">
        <v>1</v>
      </c>
      <c r="AJ31" s="25" t="s">
        <v>1</v>
      </c>
      <c r="AK31" s="23" t="s">
        <v>483</v>
      </c>
      <c r="AL31" s="10"/>
      <c r="AM31" s="10"/>
      <c r="AN31" s="10" t="s">
        <v>496</v>
      </c>
    </row>
    <row r="32" spans="2:40" ht="15" x14ac:dyDescent="0.2">
      <c r="B32" s="28">
        <v>99</v>
      </c>
      <c r="C32" s="16">
        <v>20200414</v>
      </c>
      <c r="D32" s="10" t="s">
        <v>476</v>
      </c>
      <c r="E32" s="10" t="s">
        <v>39</v>
      </c>
      <c r="F32" s="19" t="s">
        <v>505</v>
      </c>
      <c r="G32" s="19">
        <v>1416090</v>
      </c>
      <c r="H32" s="20" t="s">
        <v>1</v>
      </c>
      <c r="I32" s="10" t="s">
        <v>31</v>
      </c>
      <c r="J32" s="20" t="s">
        <v>1</v>
      </c>
      <c r="K32" s="10" t="s">
        <v>478</v>
      </c>
      <c r="L32" s="10">
        <v>80428</v>
      </c>
      <c r="M32" s="10" t="s">
        <v>32</v>
      </c>
      <c r="N32" s="10" t="s">
        <v>506</v>
      </c>
      <c r="O32" s="19" t="s">
        <v>1</v>
      </c>
      <c r="P32" s="19" t="s">
        <v>503</v>
      </c>
      <c r="Q32" s="21"/>
      <c r="R32" s="20" t="s">
        <v>1</v>
      </c>
      <c r="S32" s="10" t="s">
        <v>40</v>
      </c>
      <c r="T32" s="10"/>
      <c r="U32" s="10"/>
      <c r="V32" s="10">
        <v>25</v>
      </c>
      <c r="W32" s="10">
        <v>25</v>
      </c>
      <c r="X32" s="10">
        <v>25</v>
      </c>
      <c r="Y32" s="10">
        <v>0.44</v>
      </c>
      <c r="Z32" s="10">
        <v>0.25</v>
      </c>
      <c r="AA32" s="10" t="s">
        <v>481</v>
      </c>
      <c r="AB32" s="22">
        <v>43938</v>
      </c>
      <c r="AC32" s="22">
        <v>43935</v>
      </c>
      <c r="AD32" s="22">
        <v>43938</v>
      </c>
      <c r="AE32" s="22">
        <v>43938</v>
      </c>
      <c r="AF32" s="22">
        <v>43938</v>
      </c>
      <c r="AG32" s="23" t="s">
        <v>482</v>
      </c>
      <c r="AH32" s="24">
        <v>1</v>
      </c>
      <c r="AI32" s="24">
        <v>1</v>
      </c>
      <c r="AJ32" s="24">
        <v>1</v>
      </c>
      <c r="AK32" s="23" t="s">
        <v>483</v>
      </c>
      <c r="AL32" s="10"/>
      <c r="AM32" s="10"/>
      <c r="AN32" s="10"/>
    </row>
    <row r="33" spans="2:40" ht="15" x14ac:dyDescent="0.2">
      <c r="B33" s="28">
        <v>100</v>
      </c>
      <c r="C33" s="16">
        <v>20200414</v>
      </c>
      <c r="D33" s="10" t="s">
        <v>476</v>
      </c>
      <c r="E33" s="10" t="s">
        <v>39</v>
      </c>
      <c r="F33" s="19" t="s">
        <v>505</v>
      </c>
      <c r="G33" s="19">
        <v>1416090</v>
      </c>
      <c r="H33" s="20" t="s">
        <v>1</v>
      </c>
      <c r="I33" s="10" t="s">
        <v>33</v>
      </c>
      <c r="J33" s="20" t="s">
        <v>1</v>
      </c>
      <c r="K33" s="10" t="s">
        <v>478</v>
      </c>
      <c r="L33" s="10">
        <v>80428</v>
      </c>
      <c r="M33" s="10" t="s">
        <v>32</v>
      </c>
      <c r="N33" s="10" t="s">
        <v>506</v>
      </c>
      <c r="O33" s="19" t="s">
        <v>1</v>
      </c>
      <c r="P33" s="19" t="s">
        <v>503</v>
      </c>
      <c r="Q33" s="21"/>
      <c r="R33" s="20" t="s">
        <v>1</v>
      </c>
      <c r="S33" s="10" t="s">
        <v>40</v>
      </c>
      <c r="T33" s="10"/>
      <c r="U33" s="10"/>
      <c r="V33" s="10">
        <v>28</v>
      </c>
      <c r="W33" s="10">
        <v>28</v>
      </c>
      <c r="X33" s="10">
        <v>28</v>
      </c>
      <c r="Y33" s="10">
        <v>0.49</v>
      </c>
      <c r="Z33" s="10">
        <v>0.12</v>
      </c>
      <c r="AA33" s="10" t="s">
        <v>481</v>
      </c>
      <c r="AB33" s="22">
        <v>43938</v>
      </c>
      <c r="AC33" s="22">
        <v>43935</v>
      </c>
      <c r="AD33" s="22">
        <v>43938</v>
      </c>
      <c r="AE33" s="22">
        <v>43938</v>
      </c>
      <c r="AF33" s="22">
        <v>43938</v>
      </c>
      <c r="AG33" s="23" t="s">
        <v>482</v>
      </c>
      <c r="AH33" s="24">
        <v>1</v>
      </c>
      <c r="AI33" s="24">
        <v>1</v>
      </c>
      <c r="AJ33" s="24">
        <v>1</v>
      </c>
      <c r="AK33" s="23" t="s">
        <v>483</v>
      </c>
      <c r="AL33" s="10"/>
      <c r="AM33" s="10"/>
      <c r="AN33" s="10"/>
    </row>
    <row r="34" spans="2:40" ht="15" x14ac:dyDescent="0.2">
      <c r="B34" s="28">
        <v>101</v>
      </c>
      <c r="C34" s="16">
        <v>20200414</v>
      </c>
      <c r="D34" s="10" t="s">
        <v>476</v>
      </c>
      <c r="E34" s="10" t="s">
        <v>39</v>
      </c>
      <c r="F34" s="19" t="s">
        <v>505</v>
      </c>
      <c r="G34" s="19">
        <v>1416090</v>
      </c>
      <c r="H34" s="20" t="s">
        <v>1</v>
      </c>
      <c r="I34" s="10" t="s">
        <v>34</v>
      </c>
      <c r="J34" s="20" t="s">
        <v>1</v>
      </c>
      <c r="K34" s="10" t="s">
        <v>478</v>
      </c>
      <c r="L34" s="10">
        <v>80428</v>
      </c>
      <c r="M34" s="10" t="s">
        <v>32</v>
      </c>
      <c r="N34" s="10" t="s">
        <v>506</v>
      </c>
      <c r="O34" s="19" t="s">
        <v>1</v>
      </c>
      <c r="P34" s="19" t="s">
        <v>503</v>
      </c>
      <c r="Q34" s="21"/>
      <c r="R34" s="20" t="s">
        <v>1</v>
      </c>
      <c r="S34" s="10" t="s">
        <v>40</v>
      </c>
      <c r="T34" s="10"/>
      <c r="U34" s="10"/>
      <c r="V34" s="10">
        <v>46</v>
      </c>
      <c r="W34" s="10">
        <v>46</v>
      </c>
      <c r="X34" s="10">
        <v>46</v>
      </c>
      <c r="Y34" s="10">
        <v>0.81</v>
      </c>
      <c r="Z34" s="10">
        <v>0.12</v>
      </c>
      <c r="AA34" s="10" t="s">
        <v>481</v>
      </c>
      <c r="AB34" s="22">
        <v>43938</v>
      </c>
      <c r="AC34" s="22">
        <v>43935</v>
      </c>
      <c r="AD34" s="22">
        <v>43938</v>
      </c>
      <c r="AE34" s="22">
        <v>43938</v>
      </c>
      <c r="AF34" s="22">
        <v>43938</v>
      </c>
      <c r="AG34" s="23" t="s">
        <v>482</v>
      </c>
      <c r="AH34" s="24">
        <v>1</v>
      </c>
      <c r="AI34" s="24">
        <v>1</v>
      </c>
      <c r="AJ34" s="24">
        <v>1</v>
      </c>
      <c r="AK34" s="23" t="s">
        <v>483</v>
      </c>
      <c r="AL34" s="10"/>
      <c r="AM34" s="10"/>
      <c r="AN34" s="10"/>
    </row>
    <row r="35" spans="2:40" ht="15" x14ac:dyDescent="0.2">
      <c r="B35" s="28">
        <v>102</v>
      </c>
      <c r="C35" s="16">
        <v>20200414</v>
      </c>
      <c r="D35" s="10" t="s">
        <v>476</v>
      </c>
      <c r="E35" s="10" t="s">
        <v>39</v>
      </c>
      <c r="F35" s="19" t="s">
        <v>505</v>
      </c>
      <c r="G35" s="19">
        <v>1416090</v>
      </c>
      <c r="H35" s="20" t="s">
        <v>1</v>
      </c>
      <c r="I35" s="10" t="s">
        <v>35</v>
      </c>
      <c r="J35" s="20" t="s">
        <v>1</v>
      </c>
      <c r="K35" s="10" t="s">
        <v>478</v>
      </c>
      <c r="L35" s="10">
        <v>80428</v>
      </c>
      <c r="M35" s="10" t="s">
        <v>32</v>
      </c>
      <c r="N35" s="10" t="s">
        <v>506</v>
      </c>
      <c r="O35" s="19" t="s">
        <v>1</v>
      </c>
      <c r="P35" s="19" t="s">
        <v>503</v>
      </c>
      <c r="Q35" s="21"/>
      <c r="R35" s="20" t="s">
        <v>1</v>
      </c>
      <c r="S35" s="10" t="s">
        <v>40</v>
      </c>
      <c r="T35" s="10"/>
      <c r="U35" s="10"/>
      <c r="V35" s="10">
        <v>31</v>
      </c>
      <c r="W35" s="10">
        <v>31</v>
      </c>
      <c r="X35" s="10">
        <v>31</v>
      </c>
      <c r="Y35" s="10">
        <v>0.55000000000000004</v>
      </c>
      <c r="Z35" s="10">
        <v>0.25</v>
      </c>
      <c r="AA35" s="10" t="s">
        <v>481</v>
      </c>
      <c r="AB35" s="22">
        <v>43938</v>
      </c>
      <c r="AC35" s="22">
        <v>43935</v>
      </c>
      <c r="AD35" s="22">
        <v>43938</v>
      </c>
      <c r="AE35" s="22">
        <v>43938</v>
      </c>
      <c r="AF35" s="22">
        <v>43938</v>
      </c>
      <c r="AG35" s="23" t="s">
        <v>482</v>
      </c>
      <c r="AH35" s="24">
        <v>1</v>
      </c>
      <c r="AI35" s="24">
        <v>1</v>
      </c>
      <c r="AJ35" s="24">
        <v>1</v>
      </c>
      <c r="AK35" s="23" t="s">
        <v>483</v>
      </c>
      <c r="AL35" s="10"/>
      <c r="AM35" s="10"/>
      <c r="AN35" s="10"/>
    </row>
    <row r="36" spans="2:40" ht="15" x14ac:dyDescent="0.2">
      <c r="B36" s="28">
        <v>103</v>
      </c>
      <c r="C36" s="16">
        <v>20200414</v>
      </c>
      <c r="D36" s="10" t="s">
        <v>476</v>
      </c>
      <c r="E36" s="10" t="s">
        <v>39</v>
      </c>
      <c r="F36" s="19" t="s">
        <v>505</v>
      </c>
      <c r="G36" s="19">
        <v>1416090</v>
      </c>
      <c r="H36" s="20" t="s">
        <v>1</v>
      </c>
      <c r="I36" s="10" t="s">
        <v>36</v>
      </c>
      <c r="J36" s="20" t="s">
        <v>1</v>
      </c>
      <c r="K36" s="10" t="s">
        <v>478</v>
      </c>
      <c r="L36" s="10">
        <v>80428</v>
      </c>
      <c r="M36" s="10" t="s">
        <v>32</v>
      </c>
      <c r="N36" s="10" t="s">
        <v>506</v>
      </c>
      <c r="O36" s="19" t="s">
        <v>1</v>
      </c>
      <c r="P36" s="19" t="s">
        <v>503</v>
      </c>
      <c r="Q36" s="21"/>
      <c r="R36" s="20" t="s">
        <v>1</v>
      </c>
      <c r="S36" s="10" t="s">
        <v>24</v>
      </c>
      <c r="T36" s="10"/>
      <c r="U36" s="10"/>
      <c r="V36" s="10">
        <v>102</v>
      </c>
      <c r="W36" s="10">
        <v>102</v>
      </c>
      <c r="X36" s="10">
        <v>102</v>
      </c>
      <c r="Y36" s="10">
        <v>1.81</v>
      </c>
      <c r="Z36" s="10">
        <v>1</v>
      </c>
      <c r="AA36" s="10" t="s">
        <v>481</v>
      </c>
      <c r="AB36" s="22">
        <v>43938</v>
      </c>
      <c r="AC36" s="22">
        <v>43935</v>
      </c>
      <c r="AD36" s="22">
        <v>43938</v>
      </c>
      <c r="AE36" s="22">
        <v>43936</v>
      </c>
      <c r="AF36" s="22">
        <v>43936</v>
      </c>
      <c r="AG36" s="23" t="s">
        <v>482</v>
      </c>
      <c r="AH36" s="24">
        <v>1</v>
      </c>
      <c r="AI36" s="24">
        <v>1</v>
      </c>
      <c r="AJ36" s="24">
        <v>1</v>
      </c>
      <c r="AK36" s="23" t="s">
        <v>483</v>
      </c>
      <c r="AL36" s="10"/>
      <c r="AM36" s="10"/>
      <c r="AN36" s="10"/>
    </row>
    <row r="37" spans="2:40" ht="15" x14ac:dyDescent="0.2">
      <c r="B37" s="28">
        <v>104</v>
      </c>
      <c r="C37" s="16">
        <v>20200414</v>
      </c>
      <c r="D37" s="10" t="s">
        <v>476</v>
      </c>
      <c r="E37" s="10" t="s">
        <v>39</v>
      </c>
      <c r="F37" s="19" t="s">
        <v>505</v>
      </c>
      <c r="G37" s="19">
        <v>1416090</v>
      </c>
      <c r="H37" s="20" t="s">
        <v>1</v>
      </c>
      <c r="I37" s="10" t="s">
        <v>37</v>
      </c>
      <c r="J37" s="20" t="s">
        <v>1</v>
      </c>
      <c r="K37" s="10" t="s">
        <v>478</v>
      </c>
      <c r="L37" s="10">
        <v>80428</v>
      </c>
      <c r="M37" s="10" t="s">
        <v>32</v>
      </c>
      <c r="N37" s="10" t="s">
        <v>506</v>
      </c>
      <c r="O37" s="19" t="s">
        <v>1</v>
      </c>
      <c r="P37" s="19" t="s">
        <v>503</v>
      </c>
      <c r="Q37" s="21"/>
      <c r="R37" s="20" t="s">
        <v>1</v>
      </c>
      <c r="S37" s="10" t="s">
        <v>24</v>
      </c>
      <c r="T37" s="10"/>
      <c r="U37" s="10"/>
      <c r="V37" s="10">
        <v>66</v>
      </c>
      <c r="W37" s="10">
        <v>66</v>
      </c>
      <c r="X37" s="10">
        <v>66</v>
      </c>
      <c r="Y37" s="10">
        <v>1.17</v>
      </c>
      <c r="Z37" s="10">
        <v>1</v>
      </c>
      <c r="AA37" s="10" t="s">
        <v>481</v>
      </c>
      <c r="AB37" s="22">
        <v>43938</v>
      </c>
      <c r="AC37" s="22">
        <v>43935</v>
      </c>
      <c r="AD37" s="22">
        <v>43938</v>
      </c>
      <c r="AE37" s="22">
        <v>43936</v>
      </c>
      <c r="AF37" s="22">
        <v>43936</v>
      </c>
      <c r="AG37" s="23" t="s">
        <v>482</v>
      </c>
      <c r="AH37" s="24">
        <v>1</v>
      </c>
      <c r="AI37" s="24">
        <v>1</v>
      </c>
      <c r="AJ37" s="24">
        <v>1</v>
      </c>
      <c r="AK37" s="23" t="s">
        <v>483</v>
      </c>
      <c r="AL37" s="10"/>
      <c r="AM37" s="10"/>
      <c r="AN37" s="10"/>
    </row>
    <row r="38" spans="2:40" ht="15" x14ac:dyDescent="0.2">
      <c r="B38" s="28">
        <v>105</v>
      </c>
      <c r="C38" s="16">
        <v>20200414</v>
      </c>
      <c r="D38" s="10" t="s">
        <v>476</v>
      </c>
      <c r="E38" s="10" t="s">
        <v>39</v>
      </c>
      <c r="F38" s="19" t="s">
        <v>507</v>
      </c>
      <c r="G38" s="19">
        <v>1416090</v>
      </c>
      <c r="H38" s="20" t="s">
        <v>1</v>
      </c>
      <c r="I38" s="10" t="s">
        <v>38</v>
      </c>
      <c r="J38" s="20" t="s">
        <v>1</v>
      </c>
      <c r="K38" s="10" t="s">
        <v>478</v>
      </c>
      <c r="L38" s="10">
        <v>80428</v>
      </c>
      <c r="M38" s="10" t="s">
        <v>32</v>
      </c>
      <c r="N38" s="10" t="s">
        <v>506</v>
      </c>
      <c r="O38" s="19" t="s">
        <v>1</v>
      </c>
      <c r="P38" s="19" t="s">
        <v>503</v>
      </c>
      <c r="Q38" s="21"/>
      <c r="R38" s="20" t="s">
        <v>1</v>
      </c>
      <c r="S38" s="10" t="s">
        <v>24</v>
      </c>
      <c r="T38" s="10"/>
      <c r="U38" s="10"/>
      <c r="V38" s="10">
        <v>19</v>
      </c>
      <c r="W38" s="10">
        <v>19</v>
      </c>
      <c r="X38" s="10">
        <v>19</v>
      </c>
      <c r="Y38" s="10">
        <v>0.33</v>
      </c>
      <c r="Z38" s="10">
        <v>0.1</v>
      </c>
      <c r="AA38" s="10" t="s">
        <v>481</v>
      </c>
      <c r="AB38" s="22">
        <v>43938</v>
      </c>
      <c r="AC38" s="22">
        <v>43935</v>
      </c>
      <c r="AD38" s="22">
        <v>43938</v>
      </c>
      <c r="AE38" s="22">
        <v>43936</v>
      </c>
      <c r="AF38" s="22">
        <v>43936</v>
      </c>
      <c r="AG38" s="23" t="s">
        <v>482</v>
      </c>
      <c r="AH38" s="24" t="s">
        <v>1</v>
      </c>
      <c r="AI38" s="24" t="s">
        <v>1</v>
      </c>
      <c r="AJ38" s="24" t="s">
        <v>1</v>
      </c>
      <c r="AK38" s="23" t="s">
        <v>483</v>
      </c>
      <c r="AL38" s="10"/>
      <c r="AM38" s="10"/>
      <c r="AN38" s="10" t="s">
        <v>496</v>
      </c>
    </row>
    <row r="39" spans="2:40" ht="15" x14ac:dyDescent="0.2">
      <c r="B39" s="28">
        <v>106</v>
      </c>
      <c r="C39" s="16">
        <v>20200414</v>
      </c>
      <c r="D39" s="10" t="s">
        <v>476</v>
      </c>
      <c r="E39" s="10" t="s">
        <v>39</v>
      </c>
      <c r="F39" s="19" t="s">
        <v>508</v>
      </c>
      <c r="G39" s="19">
        <v>1417373</v>
      </c>
      <c r="H39" s="20" t="s">
        <v>1</v>
      </c>
      <c r="I39" s="10" t="s">
        <v>28</v>
      </c>
      <c r="J39" s="20" t="s">
        <v>1</v>
      </c>
      <c r="K39" s="10" t="s">
        <v>478</v>
      </c>
      <c r="L39" s="10">
        <v>80428</v>
      </c>
      <c r="M39" s="10" t="s">
        <v>32</v>
      </c>
      <c r="N39" s="10" t="s">
        <v>506</v>
      </c>
      <c r="O39" s="19" t="s">
        <v>1</v>
      </c>
      <c r="P39" s="19" t="s">
        <v>509</v>
      </c>
      <c r="Q39" s="21"/>
      <c r="R39" s="20" t="s">
        <v>1</v>
      </c>
      <c r="S39" s="10" t="s">
        <v>41</v>
      </c>
      <c r="T39" s="10"/>
      <c r="U39" s="10"/>
      <c r="V39" s="10">
        <v>322</v>
      </c>
      <c r="W39" s="10">
        <v>322</v>
      </c>
      <c r="X39" s="10">
        <v>322</v>
      </c>
      <c r="Y39" s="10">
        <v>5.72</v>
      </c>
      <c r="Z39" s="10">
        <v>2</v>
      </c>
      <c r="AA39" s="10" t="s">
        <v>481</v>
      </c>
      <c r="AB39" s="22">
        <v>43938</v>
      </c>
      <c r="AC39" s="22">
        <v>43935</v>
      </c>
      <c r="AD39" s="22">
        <v>43938</v>
      </c>
      <c r="AE39" s="22">
        <v>43935</v>
      </c>
      <c r="AF39" s="22">
        <v>43935</v>
      </c>
      <c r="AG39" s="23" t="s">
        <v>482</v>
      </c>
      <c r="AH39" s="24">
        <v>1</v>
      </c>
      <c r="AI39" s="24">
        <v>1</v>
      </c>
      <c r="AJ39" s="24">
        <v>1</v>
      </c>
      <c r="AK39" s="23" t="s">
        <v>483</v>
      </c>
      <c r="AL39" s="10"/>
      <c r="AM39" s="10"/>
      <c r="AN39" s="10"/>
    </row>
    <row r="40" spans="2:40" ht="15" x14ac:dyDescent="0.2">
      <c r="B40" s="28">
        <v>107</v>
      </c>
      <c r="C40" s="16">
        <v>20200414</v>
      </c>
      <c r="D40" s="10" t="s">
        <v>476</v>
      </c>
      <c r="E40" s="10" t="s">
        <v>39</v>
      </c>
      <c r="F40" s="19" t="s">
        <v>510</v>
      </c>
      <c r="G40" s="19">
        <v>1417373</v>
      </c>
      <c r="H40" s="20" t="s">
        <v>1</v>
      </c>
      <c r="I40" s="10" t="s">
        <v>42</v>
      </c>
      <c r="J40" s="20" t="s">
        <v>1</v>
      </c>
      <c r="K40" s="10" t="s">
        <v>478</v>
      </c>
      <c r="L40" s="10">
        <v>80428</v>
      </c>
      <c r="M40" s="10" t="s">
        <v>32</v>
      </c>
      <c r="N40" s="10" t="s">
        <v>506</v>
      </c>
      <c r="O40" s="19" t="s">
        <v>1</v>
      </c>
      <c r="P40" s="19" t="s">
        <v>509</v>
      </c>
      <c r="Q40" s="21"/>
      <c r="R40" s="20" t="s">
        <v>1</v>
      </c>
      <c r="S40" s="10" t="s">
        <v>41</v>
      </c>
      <c r="T40" s="10"/>
      <c r="U40" s="10"/>
      <c r="V40" s="10">
        <v>268</v>
      </c>
      <c r="W40" s="10">
        <v>268</v>
      </c>
      <c r="X40" s="10">
        <v>268</v>
      </c>
      <c r="Y40" s="10">
        <v>4.76</v>
      </c>
      <c r="Z40" s="10">
        <v>2</v>
      </c>
      <c r="AA40" s="10" t="s">
        <v>481</v>
      </c>
      <c r="AB40" s="22">
        <v>43938</v>
      </c>
      <c r="AC40" s="22">
        <v>43935</v>
      </c>
      <c r="AD40" s="22">
        <v>43938</v>
      </c>
      <c r="AE40" s="22">
        <v>43936</v>
      </c>
      <c r="AF40" s="22">
        <v>43936</v>
      </c>
      <c r="AG40" s="23" t="s">
        <v>482</v>
      </c>
      <c r="AH40" s="24">
        <v>1</v>
      </c>
      <c r="AI40" s="24">
        <v>1</v>
      </c>
      <c r="AJ40" s="24">
        <v>1</v>
      </c>
      <c r="AK40" s="23" t="s">
        <v>483</v>
      </c>
      <c r="AL40" s="10"/>
      <c r="AM40" s="10"/>
      <c r="AN40" s="10"/>
    </row>
    <row r="41" spans="2:40" ht="15" x14ac:dyDescent="0.2">
      <c r="B41" s="28">
        <v>108</v>
      </c>
      <c r="C41" s="16">
        <v>20200414</v>
      </c>
      <c r="D41" s="10" t="s">
        <v>476</v>
      </c>
      <c r="E41" s="10" t="s">
        <v>39</v>
      </c>
      <c r="F41" s="19" t="s">
        <v>510</v>
      </c>
      <c r="G41" s="19">
        <v>1417373</v>
      </c>
      <c r="H41" s="20" t="s">
        <v>1</v>
      </c>
      <c r="I41" s="10" t="s">
        <v>43</v>
      </c>
      <c r="J41" s="20" t="s">
        <v>1</v>
      </c>
      <c r="K41" s="10" t="s">
        <v>478</v>
      </c>
      <c r="L41" s="10">
        <v>80428</v>
      </c>
      <c r="M41" s="10" t="s">
        <v>32</v>
      </c>
      <c r="N41" s="10" t="s">
        <v>506</v>
      </c>
      <c r="O41" s="19" t="s">
        <v>1</v>
      </c>
      <c r="P41" s="19" t="s">
        <v>509</v>
      </c>
      <c r="Q41" s="21"/>
      <c r="R41" s="20" t="s">
        <v>1</v>
      </c>
      <c r="S41" s="10" t="s">
        <v>41</v>
      </c>
      <c r="T41" s="10"/>
      <c r="U41" s="10"/>
      <c r="V41" s="10">
        <v>275</v>
      </c>
      <c r="W41" s="10">
        <v>275</v>
      </c>
      <c r="X41" s="10">
        <v>275</v>
      </c>
      <c r="Y41" s="10">
        <v>4.88</v>
      </c>
      <c r="Z41" s="10">
        <v>2</v>
      </c>
      <c r="AA41" s="10" t="s">
        <v>481</v>
      </c>
      <c r="AB41" s="22">
        <v>43938</v>
      </c>
      <c r="AC41" s="22">
        <v>43935</v>
      </c>
      <c r="AD41" s="22">
        <v>43938</v>
      </c>
      <c r="AE41" s="22">
        <v>43936</v>
      </c>
      <c r="AF41" s="22">
        <v>43936</v>
      </c>
      <c r="AG41" s="23" t="s">
        <v>482</v>
      </c>
      <c r="AH41" s="24">
        <v>1</v>
      </c>
      <c r="AI41" s="24">
        <v>1</v>
      </c>
      <c r="AJ41" s="24">
        <v>1</v>
      </c>
      <c r="AK41" s="23" t="s">
        <v>483</v>
      </c>
      <c r="AL41" s="10"/>
      <c r="AM41" s="10"/>
      <c r="AN41" s="10"/>
    </row>
    <row r="42" spans="2:40" ht="15" x14ac:dyDescent="0.2">
      <c r="B42" s="28">
        <v>109</v>
      </c>
      <c r="C42" s="16">
        <v>20200414</v>
      </c>
      <c r="D42" s="10" t="s">
        <v>476</v>
      </c>
      <c r="E42" s="10" t="s">
        <v>39</v>
      </c>
      <c r="F42" s="19" t="s">
        <v>510</v>
      </c>
      <c r="G42" s="19">
        <v>1417373</v>
      </c>
      <c r="H42" s="20" t="s">
        <v>1</v>
      </c>
      <c r="I42" s="10" t="s">
        <v>44</v>
      </c>
      <c r="J42" s="20" t="s">
        <v>1</v>
      </c>
      <c r="K42" s="10" t="s">
        <v>478</v>
      </c>
      <c r="L42" s="10">
        <v>80428</v>
      </c>
      <c r="M42" s="10" t="s">
        <v>32</v>
      </c>
      <c r="N42" s="10" t="s">
        <v>506</v>
      </c>
      <c r="O42" s="19" t="s">
        <v>1</v>
      </c>
      <c r="P42" s="19" t="s">
        <v>509</v>
      </c>
      <c r="Q42" s="21"/>
      <c r="R42" s="20" t="s">
        <v>1</v>
      </c>
      <c r="S42" s="10" t="s">
        <v>41</v>
      </c>
      <c r="T42" s="10"/>
      <c r="U42" s="10"/>
      <c r="V42" s="10">
        <v>267</v>
      </c>
      <c r="W42" s="10">
        <v>267</v>
      </c>
      <c r="X42" s="10">
        <v>267</v>
      </c>
      <c r="Y42" s="10">
        <v>4.74</v>
      </c>
      <c r="Z42" s="10">
        <v>2.5</v>
      </c>
      <c r="AA42" s="10" t="s">
        <v>481</v>
      </c>
      <c r="AB42" s="22">
        <v>43938</v>
      </c>
      <c r="AC42" s="22">
        <v>43935</v>
      </c>
      <c r="AD42" s="22">
        <v>43938</v>
      </c>
      <c r="AE42" s="22">
        <v>43936</v>
      </c>
      <c r="AF42" s="22">
        <v>43936</v>
      </c>
      <c r="AG42" s="23" t="s">
        <v>482</v>
      </c>
      <c r="AH42" s="24">
        <v>1</v>
      </c>
      <c r="AI42" s="24">
        <v>1</v>
      </c>
      <c r="AJ42" s="24">
        <v>1</v>
      </c>
      <c r="AK42" s="23" t="s">
        <v>483</v>
      </c>
      <c r="AL42" s="10"/>
      <c r="AM42" s="10"/>
      <c r="AN42" s="10"/>
    </row>
    <row r="43" spans="2:40" ht="15" x14ac:dyDescent="0.2">
      <c r="B43" s="29">
        <v>110</v>
      </c>
      <c r="C43" s="16">
        <v>20200414</v>
      </c>
      <c r="D43" s="10" t="s">
        <v>476</v>
      </c>
      <c r="E43" s="10" t="s">
        <v>45</v>
      </c>
      <c r="F43" s="19" t="s">
        <v>511</v>
      </c>
      <c r="G43" s="19">
        <v>1417493</v>
      </c>
      <c r="H43" s="20" t="s">
        <v>1</v>
      </c>
      <c r="I43" s="10" t="s">
        <v>46</v>
      </c>
      <c r="J43" s="20" t="s">
        <v>1</v>
      </c>
      <c r="K43" s="10" t="s">
        <v>478</v>
      </c>
      <c r="L43" s="19" t="s">
        <v>483</v>
      </c>
      <c r="M43" s="10" t="s">
        <v>47</v>
      </c>
      <c r="N43" s="10" t="s">
        <v>512</v>
      </c>
      <c r="O43" s="19" t="s">
        <v>1</v>
      </c>
      <c r="P43" s="19" t="s">
        <v>513</v>
      </c>
      <c r="Q43" s="21"/>
      <c r="R43" s="20" t="s">
        <v>1</v>
      </c>
      <c r="S43" s="10" t="s">
        <v>24</v>
      </c>
      <c r="T43" s="10"/>
      <c r="U43" s="10"/>
      <c r="V43" s="10">
        <v>200</v>
      </c>
      <c r="W43" s="10">
        <v>200</v>
      </c>
      <c r="X43" s="10">
        <v>200</v>
      </c>
      <c r="Y43" s="10">
        <v>3.55</v>
      </c>
      <c r="Z43" s="10">
        <v>1</v>
      </c>
      <c r="AA43" s="10" t="s">
        <v>481</v>
      </c>
      <c r="AB43" s="22">
        <v>43938</v>
      </c>
      <c r="AC43" s="22">
        <v>43935</v>
      </c>
      <c r="AD43" s="22">
        <v>43938</v>
      </c>
      <c r="AE43" s="22">
        <v>43936</v>
      </c>
      <c r="AF43" s="22">
        <v>43936</v>
      </c>
      <c r="AG43" s="23" t="s">
        <v>482</v>
      </c>
      <c r="AH43" s="24">
        <v>1</v>
      </c>
      <c r="AI43" s="24">
        <v>1</v>
      </c>
      <c r="AJ43" s="24">
        <v>1</v>
      </c>
      <c r="AK43" s="23" t="s">
        <v>483</v>
      </c>
      <c r="AL43" s="10"/>
      <c r="AM43" s="10"/>
      <c r="AN43" s="10"/>
    </row>
    <row r="44" spans="2:40" ht="15" x14ac:dyDescent="0.2">
      <c r="B44" s="29">
        <v>111</v>
      </c>
      <c r="C44" s="16">
        <v>20200414</v>
      </c>
      <c r="D44" s="10" t="s">
        <v>476</v>
      </c>
      <c r="E44" s="10" t="s">
        <v>45</v>
      </c>
      <c r="F44" s="19" t="s">
        <v>511</v>
      </c>
      <c r="G44" s="19">
        <v>1417493</v>
      </c>
      <c r="H44" s="20" t="s">
        <v>1</v>
      </c>
      <c r="I44" s="10" t="s">
        <v>48</v>
      </c>
      <c r="J44" s="20" t="s">
        <v>1</v>
      </c>
      <c r="K44" s="10" t="s">
        <v>478</v>
      </c>
      <c r="L44" s="19" t="s">
        <v>483</v>
      </c>
      <c r="M44" s="10" t="s">
        <v>47</v>
      </c>
      <c r="N44" s="10" t="s">
        <v>512</v>
      </c>
      <c r="O44" s="19" t="s">
        <v>1</v>
      </c>
      <c r="P44" s="19" t="s">
        <v>513</v>
      </c>
      <c r="Q44" s="21"/>
      <c r="R44" s="20" t="s">
        <v>1</v>
      </c>
      <c r="S44" s="10" t="s">
        <v>24</v>
      </c>
      <c r="T44" s="10"/>
      <c r="U44" s="10"/>
      <c r="V44" s="10">
        <v>137</v>
      </c>
      <c r="W44" s="10">
        <v>137</v>
      </c>
      <c r="X44" s="10">
        <v>137</v>
      </c>
      <c r="Y44" s="10">
        <v>2.4300000000000002</v>
      </c>
      <c r="Z44" s="10">
        <v>1</v>
      </c>
      <c r="AA44" s="10" t="s">
        <v>481</v>
      </c>
      <c r="AB44" s="22">
        <v>43938</v>
      </c>
      <c r="AC44" s="22">
        <v>43935</v>
      </c>
      <c r="AD44" s="22">
        <v>43938</v>
      </c>
      <c r="AE44" s="22">
        <v>43936</v>
      </c>
      <c r="AF44" s="22">
        <v>43936</v>
      </c>
      <c r="AG44" s="23" t="s">
        <v>482</v>
      </c>
      <c r="AH44" s="24">
        <v>1</v>
      </c>
      <c r="AI44" s="24">
        <v>1</v>
      </c>
      <c r="AJ44" s="24">
        <v>1</v>
      </c>
      <c r="AK44" s="23" t="s">
        <v>483</v>
      </c>
      <c r="AL44" s="10"/>
      <c r="AM44" s="10"/>
      <c r="AN44" s="10"/>
    </row>
    <row r="45" spans="2:40" ht="15" x14ac:dyDescent="0.2">
      <c r="B45" s="29">
        <v>112</v>
      </c>
      <c r="C45" s="16">
        <v>20200414</v>
      </c>
      <c r="D45" s="10" t="s">
        <v>476</v>
      </c>
      <c r="E45" s="10" t="s">
        <v>45</v>
      </c>
      <c r="F45" s="19" t="s">
        <v>511</v>
      </c>
      <c r="G45" s="19">
        <v>1417493</v>
      </c>
      <c r="H45" s="20" t="s">
        <v>1</v>
      </c>
      <c r="I45" s="10" t="s">
        <v>49</v>
      </c>
      <c r="J45" s="20" t="s">
        <v>1</v>
      </c>
      <c r="K45" s="10" t="s">
        <v>478</v>
      </c>
      <c r="L45" s="19" t="s">
        <v>483</v>
      </c>
      <c r="M45" s="10" t="s">
        <v>47</v>
      </c>
      <c r="N45" s="10" t="s">
        <v>512</v>
      </c>
      <c r="O45" s="19" t="s">
        <v>1</v>
      </c>
      <c r="P45" s="19" t="s">
        <v>513</v>
      </c>
      <c r="Q45" s="21"/>
      <c r="R45" s="20" t="s">
        <v>1</v>
      </c>
      <c r="S45" s="10" t="s">
        <v>4</v>
      </c>
      <c r="T45" s="10"/>
      <c r="U45" s="10"/>
      <c r="V45" s="10">
        <v>343</v>
      </c>
      <c r="W45" s="10">
        <v>343</v>
      </c>
      <c r="X45" s="10">
        <v>343</v>
      </c>
      <c r="Y45" s="10">
        <v>6.09</v>
      </c>
      <c r="Z45" s="10">
        <v>6</v>
      </c>
      <c r="AA45" s="10" t="s">
        <v>481</v>
      </c>
      <c r="AB45" s="22">
        <v>43938</v>
      </c>
      <c r="AC45" s="22">
        <v>43935</v>
      </c>
      <c r="AD45" s="22">
        <v>43938</v>
      </c>
      <c r="AE45" s="22">
        <v>43938</v>
      </c>
      <c r="AF45" s="22">
        <v>43938</v>
      </c>
      <c r="AG45" s="23" t="s">
        <v>489</v>
      </c>
      <c r="AH45" s="24">
        <v>0.97</v>
      </c>
      <c r="AI45" s="24">
        <v>0.97</v>
      </c>
      <c r="AJ45" s="24">
        <v>0.81</v>
      </c>
      <c r="AK45" s="23" t="s">
        <v>490</v>
      </c>
      <c r="AL45" s="10" t="s">
        <v>514</v>
      </c>
      <c r="AM45" s="10"/>
      <c r="AN45" s="10" t="s">
        <v>492</v>
      </c>
    </row>
    <row r="46" spans="2:40" ht="15" x14ac:dyDescent="0.2">
      <c r="B46" s="29">
        <v>113</v>
      </c>
      <c r="C46" s="16">
        <v>20200414</v>
      </c>
      <c r="D46" s="10" t="s">
        <v>476</v>
      </c>
      <c r="E46" s="10" t="s">
        <v>45</v>
      </c>
      <c r="F46" s="19" t="s">
        <v>511</v>
      </c>
      <c r="G46" s="19">
        <v>1417493</v>
      </c>
      <c r="H46" s="20" t="s">
        <v>1</v>
      </c>
      <c r="I46" s="10" t="s">
        <v>50</v>
      </c>
      <c r="J46" s="20" t="s">
        <v>1</v>
      </c>
      <c r="K46" s="10" t="s">
        <v>478</v>
      </c>
      <c r="L46" s="19" t="s">
        <v>483</v>
      </c>
      <c r="M46" s="10" t="s">
        <v>47</v>
      </c>
      <c r="N46" s="10" t="s">
        <v>512</v>
      </c>
      <c r="O46" s="19" t="s">
        <v>1</v>
      </c>
      <c r="P46" s="19" t="s">
        <v>513</v>
      </c>
      <c r="Q46" s="21"/>
      <c r="R46" s="20" t="s">
        <v>1</v>
      </c>
      <c r="S46" s="10" t="s">
        <v>24</v>
      </c>
      <c r="T46" s="10"/>
      <c r="U46" s="10"/>
      <c r="V46" s="10">
        <v>36</v>
      </c>
      <c r="W46" s="10">
        <v>36</v>
      </c>
      <c r="X46" s="10">
        <v>36</v>
      </c>
      <c r="Y46" s="10">
        <v>0.64</v>
      </c>
      <c r="Z46" s="10">
        <v>0.1</v>
      </c>
      <c r="AA46" s="10" t="s">
        <v>481</v>
      </c>
      <c r="AB46" s="22">
        <v>43938</v>
      </c>
      <c r="AC46" s="22">
        <v>43935</v>
      </c>
      <c r="AD46" s="22">
        <v>43938</v>
      </c>
      <c r="AE46" s="22">
        <v>43936</v>
      </c>
      <c r="AF46" s="22">
        <v>43936</v>
      </c>
      <c r="AG46" s="23" t="s">
        <v>482</v>
      </c>
      <c r="AH46" s="24">
        <v>1</v>
      </c>
      <c r="AI46" s="24">
        <v>1</v>
      </c>
      <c r="AJ46" s="24">
        <v>1</v>
      </c>
      <c r="AK46" s="23" t="s">
        <v>483</v>
      </c>
      <c r="AL46" s="10"/>
      <c r="AM46" s="10"/>
      <c r="AN46" s="10"/>
    </row>
    <row r="47" spans="2:40" ht="15" x14ac:dyDescent="0.2">
      <c r="B47" s="29">
        <v>114</v>
      </c>
      <c r="C47" s="16">
        <v>20200414</v>
      </c>
      <c r="D47" s="10" t="s">
        <v>476</v>
      </c>
      <c r="E47" s="10" t="s">
        <v>45</v>
      </c>
      <c r="F47" s="19" t="s">
        <v>511</v>
      </c>
      <c r="G47" s="19">
        <v>1417493</v>
      </c>
      <c r="H47" s="20" t="s">
        <v>1</v>
      </c>
      <c r="I47" s="10" t="s">
        <v>51</v>
      </c>
      <c r="J47" s="20" t="s">
        <v>1</v>
      </c>
      <c r="K47" s="10" t="s">
        <v>478</v>
      </c>
      <c r="L47" s="19" t="s">
        <v>483</v>
      </c>
      <c r="M47" s="10" t="s">
        <v>47</v>
      </c>
      <c r="N47" s="10" t="s">
        <v>512</v>
      </c>
      <c r="O47" s="19" t="s">
        <v>1</v>
      </c>
      <c r="P47" s="19" t="s">
        <v>513</v>
      </c>
      <c r="Q47" s="21"/>
      <c r="R47" s="20" t="s">
        <v>1</v>
      </c>
      <c r="S47" s="10" t="s">
        <v>24</v>
      </c>
      <c r="T47" s="10"/>
      <c r="U47" s="10"/>
      <c r="V47" s="10">
        <v>225</v>
      </c>
      <c r="W47" s="10">
        <v>225</v>
      </c>
      <c r="X47" s="10">
        <v>225</v>
      </c>
      <c r="Y47" s="10">
        <v>4</v>
      </c>
      <c r="Z47" s="10">
        <v>6</v>
      </c>
      <c r="AA47" s="10" t="s">
        <v>481</v>
      </c>
      <c r="AB47" s="22">
        <v>43938</v>
      </c>
      <c r="AC47" s="22">
        <v>43935</v>
      </c>
      <c r="AD47" s="22">
        <v>43938</v>
      </c>
      <c r="AE47" s="22">
        <v>43936</v>
      </c>
      <c r="AF47" s="22">
        <v>43936</v>
      </c>
      <c r="AG47" s="23" t="s">
        <v>489</v>
      </c>
      <c r="AH47" s="24">
        <v>0.98</v>
      </c>
      <c r="AI47" s="24">
        <v>0.92</v>
      </c>
      <c r="AJ47" s="24">
        <v>0.33</v>
      </c>
      <c r="AK47" s="23" t="s">
        <v>490</v>
      </c>
      <c r="AL47" s="10" t="s">
        <v>515</v>
      </c>
      <c r="AM47" s="10"/>
      <c r="AN47" s="10" t="s">
        <v>492</v>
      </c>
    </row>
    <row r="48" spans="2:40" ht="15" x14ac:dyDescent="0.2">
      <c r="B48" s="29">
        <v>115</v>
      </c>
      <c r="C48" s="16">
        <v>20200414</v>
      </c>
      <c r="D48" s="10" t="s">
        <v>476</v>
      </c>
      <c r="E48" s="10" t="s">
        <v>45</v>
      </c>
      <c r="F48" s="19" t="s">
        <v>511</v>
      </c>
      <c r="G48" s="19">
        <v>1417493</v>
      </c>
      <c r="H48" s="20" t="s">
        <v>1</v>
      </c>
      <c r="I48" s="10" t="s">
        <v>52</v>
      </c>
      <c r="J48" s="20" t="s">
        <v>1</v>
      </c>
      <c r="K48" s="10" t="s">
        <v>478</v>
      </c>
      <c r="L48" s="19" t="s">
        <v>483</v>
      </c>
      <c r="M48" s="10" t="s">
        <v>47</v>
      </c>
      <c r="N48" s="10" t="s">
        <v>512</v>
      </c>
      <c r="O48" s="19" t="s">
        <v>1</v>
      </c>
      <c r="P48" s="19" t="s">
        <v>513</v>
      </c>
      <c r="Q48" s="21"/>
      <c r="R48" s="20" t="s">
        <v>1</v>
      </c>
      <c r="S48" s="10" t="s">
        <v>41</v>
      </c>
      <c r="T48" s="10"/>
      <c r="U48" s="10"/>
      <c r="V48" s="10">
        <v>194</v>
      </c>
      <c r="W48" s="10">
        <v>194</v>
      </c>
      <c r="X48" s="10">
        <v>194</v>
      </c>
      <c r="Y48" s="10">
        <v>3.44</v>
      </c>
      <c r="Z48" s="10">
        <v>3</v>
      </c>
      <c r="AA48" s="10" t="s">
        <v>481</v>
      </c>
      <c r="AB48" s="22">
        <v>43938</v>
      </c>
      <c r="AC48" s="22">
        <v>43935</v>
      </c>
      <c r="AD48" s="22">
        <v>43938</v>
      </c>
      <c r="AE48" s="22">
        <v>43936</v>
      </c>
      <c r="AF48" s="22">
        <v>43936</v>
      </c>
      <c r="AG48" s="23" t="s">
        <v>482</v>
      </c>
      <c r="AH48" s="24">
        <v>1</v>
      </c>
      <c r="AI48" s="24">
        <v>1</v>
      </c>
      <c r="AJ48" s="24">
        <v>1</v>
      </c>
      <c r="AK48" s="23" t="s">
        <v>483</v>
      </c>
      <c r="AL48" s="10"/>
      <c r="AM48" s="10"/>
      <c r="AN48" s="10"/>
    </row>
    <row r="49" spans="2:40" ht="15" x14ac:dyDescent="0.2">
      <c r="B49" s="29">
        <v>116</v>
      </c>
      <c r="C49" s="16">
        <v>20200414</v>
      </c>
      <c r="D49" s="10" t="s">
        <v>476</v>
      </c>
      <c r="E49" s="10" t="s">
        <v>45</v>
      </c>
      <c r="F49" s="19" t="s">
        <v>511</v>
      </c>
      <c r="G49" s="19">
        <v>1417493</v>
      </c>
      <c r="H49" s="20" t="s">
        <v>1</v>
      </c>
      <c r="I49" s="10" t="s">
        <v>53</v>
      </c>
      <c r="J49" s="20" t="s">
        <v>1</v>
      </c>
      <c r="K49" s="10" t="s">
        <v>478</v>
      </c>
      <c r="L49" s="19" t="s">
        <v>483</v>
      </c>
      <c r="M49" s="10" t="s">
        <v>47</v>
      </c>
      <c r="N49" s="10" t="s">
        <v>512</v>
      </c>
      <c r="O49" s="19" t="s">
        <v>1</v>
      </c>
      <c r="P49" s="19" t="s">
        <v>513</v>
      </c>
      <c r="Q49" s="21"/>
      <c r="R49" s="20" t="s">
        <v>1</v>
      </c>
      <c r="S49" s="10" t="s">
        <v>41</v>
      </c>
      <c r="T49" s="10"/>
      <c r="U49" s="10"/>
      <c r="V49" s="10">
        <v>321</v>
      </c>
      <c r="W49" s="10">
        <v>321</v>
      </c>
      <c r="X49" s="10">
        <v>321</v>
      </c>
      <c r="Y49" s="10">
        <v>5.7</v>
      </c>
      <c r="Z49" s="10">
        <v>6</v>
      </c>
      <c r="AA49" s="10" t="s">
        <v>481</v>
      </c>
      <c r="AB49" s="22">
        <v>43938</v>
      </c>
      <c r="AC49" s="22">
        <v>43935</v>
      </c>
      <c r="AD49" s="22">
        <v>43938</v>
      </c>
      <c r="AE49" s="22">
        <v>43937</v>
      </c>
      <c r="AF49" s="22">
        <v>43937</v>
      </c>
      <c r="AG49" s="23" t="s">
        <v>482</v>
      </c>
      <c r="AH49" s="24">
        <v>1</v>
      </c>
      <c r="AI49" s="24">
        <v>1</v>
      </c>
      <c r="AJ49" s="24">
        <v>1</v>
      </c>
      <c r="AK49" s="23" t="s">
        <v>483</v>
      </c>
      <c r="AL49" s="10"/>
      <c r="AM49" s="10"/>
      <c r="AN49" s="10"/>
    </row>
    <row r="50" spans="2:40" ht="15" x14ac:dyDescent="0.2">
      <c r="B50" s="29">
        <v>117</v>
      </c>
      <c r="C50" s="16">
        <v>20200414</v>
      </c>
      <c r="D50" s="10" t="s">
        <v>476</v>
      </c>
      <c r="E50" s="10" t="s">
        <v>45</v>
      </c>
      <c r="F50" s="19" t="s">
        <v>511</v>
      </c>
      <c r="G50" s="19">
        <v>1417493</v>
      </c>
      <c r="H50" s="20" t="s">
        <v>1</v>
      </c>
      <c r="I50" s="10" t="s">
        <v>54</v>
      </c>
      <c r="J50" s="20" t="s">
        <v>1</v>
      </c>
      <c r="K50" s="10" t="s">
        <v>478</v>
      </c>
      <c r="L50" s="19" t="s">
        <v>483</v>
      </c>
      <c r="M50" s="10" t="s">
        <v>47</v>
      </c>
      <c r="N50" s="10" t="s">
        <v>512</v>
      </c>
      <c r="O50" s="19" t="s">
        <v>1</v>
      </c>
      <c r="P50" s="19" t="s">
        <v>513</v>
      </c>
      <c r="Q50" s="21"/>
      <c r="R50" s="20" t="s">
        <v>1</v>
      </c>
      <c r="S50" s="10" t="s">
        <v>41</v>
      </c>
      <c r="T50" s="10"/>
      <c r="U50" s="10"/>
      <c r="V50" s="10">
        <v>52</v>
      </c>
      <c r="W50" s="10">
        <v>52</v>
      </c>
      <c r="X50" s="10">
        <v>52</v>
      </c>
      <c r="Y50" s="10">
        <v>0.92</v>
      </c>
      <c r="Z50" s="10">
        <v>1</v>
      </c>
      <c r="AA50" s="10" t="s">
        <v>481</v>
      </c>
      <c r="AB50" s="22">
        <v>43938</v>
      </c>
      <c r="AC50" s="22">
        <v>43935</v>
      </c>
      <c r="AD50" s="22">
        <v>43938</v>
      </c>
      <c r="AE50" s="22">
        <v>43938</v>
      </c>
      <c r="AF50" s="22">
        <v>43938</v>
      </c>
      <c r="AG50" s="23" t="s">
        <v>482</v>
      </c>
      <c r="AH50" s="24">
        <v>1</v>
      </c>
      <c r="AI50" s="24">
        <v>1</v>
      </c>
      <c r="AJ50" s="24">
        <v>1</v>
      </c>
      <c r="AK50" s="23" t="s">
        <v>483</v>
      </c>
      <c r="AL50" s="10"/>
      <c r="AM50" s="10"/>
      <c r="AN50" s="10"/>
    </row>
    <row r="51" spans="2:40" ht="15" x14ac:dyDescent="0.2">
      <c r="B51" s="29">
        <v>118</v>
      </c>
      <c r="C51" s="16">
        <v>20200414</v>
      </c>
      <c r="D51" s="10" t="s">
        <v>476</v>
      </c>
      <c r="E51" s="10" t="s">
        <v>45</v>
      </c>
      <c r="F51" s="19" t="s">
        <v>511</v>
      </c>
      <c r="G51" s="19">
        <v>1417493</v>
      </c>
      <c r="H51" s="20" t="s">
        <v>1</v>
      </c>
      <c r="I51" s="10" t="s">
        <v>55</v>
      </c>
      <c r="J51" s="20" t="s">
        <v>1</v>
      </c>
      <c r="K51" s="10" t="s">
        <v>478</v>
      </c>
      <c r="L51" s="19" t="s">
        <v>483</v>
      </c>
      <c r="M51" s="10" t="s">
        <v>47</v>
      </c>
      <c r="N51" s="10" t="s">
        <v>512</v>
      </c>
      <c r="O51" s="19" t="s">
        <v>1</v>
      </c>
      <c r="P51" s="19" t="s">
        <v>513</v>
      </c>
      <c r="Q51" s="21"/>
      <c r="R51" s="20" t="s">
        <v>1</v>
      </c>
      <c r="S51" s="10" t="s">
        <v>41</v>
      </c>
      <c r="T51" s="10"/>
      <c r="U51" s="10"/>
      <c r="V51" s="10">
        <v>209</v>
      </c>
      <c r="W51" s="10">
        <v>209</v>
      </c>
      <c r="X51" s="10">
        <v>209</v>
      </c>
      <c r="Y51" s="10">
        <v>3.71</v>
      </c>
      <c r="Z51" s="10">
        <v>3</v>
      </c>
      <c r="AA51" s="10" t="s">
        <v>481</v>
      </c>
      <c r="AB51" s="22">
        <v>43938</v>
      </c>
      <c r="AC51" s="22">
        <v>43935</v>
      </c>
      <c r="AD51" s="22">
        <v>43938</v>
      </c>
      <c r="AE51" s="22">
        <v>43938</v>
      </c>
      <c r="AF51" s="22">
        <v>43938</v>
      </c>
      <c r="AG51" s="23" t="s">
        <v>489</v>
      </c>
      <c r="AH51" s="24">
        <v>1</v>
      </c>
      <c r="AI51" s="24">
        <v>1</v>
      </c>
      <c r="AJ51" s="24">
        <v>0.75</v>
      </c>
      <c r="AK51" s="23" t="s">
        <v>490</v>
      </c>
      <c r="AL51" s="30" t="s">
        <v>516</v>
      </c>
      <c r="AM51" s="10"/>
      <c r="AN51" s="10" t="s">
        <v>492</v>
      </c>
    </row>
    <row r="52" spans="2:40" ht="15" x14ac:dyDescent="0.2">
      <c r="B52" s="29">
        <v>119</v>
      </c>
      <c r="C52" s="16">
        <v>20200414</v>
      </c>
      <c r="D52" s="10" t="s">
        <v>476</v>
      </c>
      <c r="E52" s="10" t="s">
        <v>45</v>
      </c>
      <c r="F52" s="19" t="s">
        <v>511</v>
      </c>
      <c r="G52" s="19">
        <v>1417493</v>
      </c>
      <c r="H52" s="20" t="s">
        <v>1</v>
      </c>
      <c r="I52" s="10" t="s">
        <v>56</v>
      </c>
      <c r="J52" s="20" t="s">
        <v>1</v>
      </c>
      <c r="K52" s="10" t="s">
        <v>478</v>
      </c>
      <c r="L52" s="19" t="s">
        <v>483</v>
      </c>
      <c r="M52" s="10" t="s">
        <v>47</v>
      </c>
      <c r="N52" s="10" t="s">
        <v>512</v>
      </c>
      <c r="O52" s="19" t="s">
        <v>1</v>
      </c>
      <c r="P52" s="19" t="s">
        <v>513</v>
      </c>
      <c r="Q52" s="21"/>
      <c r="R52" s="20" t="s">
        <v>1</v>
      </c>
      <c r="S52" s="10" t="s">
        <v>41</v>
      </c>
      <c r="T52" s="10"/>
      <c r="U52" s="10"/>
      <c r="V52" s="10">
        <v>67</v>
      </c>
      <c r="W52" s="10">
        <v>67</v>
      </c>
      <c r="X52" s="10">
        <v>67</v>
      </c>
      <c r="Y52" s="10">
        <v>1.19</v>
      </c>
      <c r="Z52" s="10">
        <v>2</v>
      </c>
      <c r="AA52" s="10" t="s">
        <v>481</v>
      </c>
      <c r="AB52" s="22">
        <v>43938</v>
      </c>
      <c r="AC52" s="22">
        <v>43935</v>
      </c>
      <c r="AD52" s="22">
        <v>43938</v>
      </c>
      <c r="AE52" s="22">
        <v>43938</v>
      </c>
      <c r="AF52" s="22">
        <v>43938</v>
      </c>
      <c r="AG52" s="23" t="s">
        <v>482</v>
      </c>
      <c r="AH52" s="24">
        <v>1</v>
      </c>
      <c r="AI52" s="24">
        <v>1</v>
      </c>
      <c r="AJ52" s="24">
        <v>1</v>
      </c>
      <c r="AK52" s="23" t="s">
        <v>483</v>
      </c>
      <c r="AL52" s="10"/>
      <c r="AM52" s="10"/>
      <c r="AN52" s="10"/>
    </row>
    <row r="53" spans="2:40" ht="15" x14ac:dyDescent="0.2">
      <c r="B53" s="29">
        <v>120</v>
      </c>
      <c r="C53" s="16">
        <v>20200414</v>
      </c>
      <c r="D53" s="10" t="s">
        <v>476</v>
      </c>
      <c r="E53" s="10" t="s">
        <v>45</v>
      </c>
      <c r="F53" s="19" t="s">
        <v>511</v>
      </c>
      <c r="G53" s="19">
        <v>1417493</v>
      </c>
      <c r="H53" s="20" t="s">
        <v>1</v>
      </c>
      <c r="I53" s="10" t="s">
        <v>57</v>
      </c>
      <c r="J53" s="20" t="s">
        <v>1</v>
      </c>
      <c r="K53" s="10" t="s">
        <v>478</v>
      </c>
      <c r="L53" s="19" t="s">
        <v>483</v>
      </c>
      <c r="M53" s="10" t="s">
        <v>47</v>
      </c>
      <c r="N53" s="10" t="s">
        <v>512</v>
      </c>
      <c r="O53" s="19" t="s">
        <v>1</v>
      </c>
      <c r="P53" s="19" t="s">
        <v>513</v>
      </c>
      <c r="Q53" s="21"/>
      <c r="R53" s="20" t="s">
        <v>1</v>
      </c>
      <c r="S53" s="10" t="s">
        <v>41</v>
      </c>
      <c r="T53" s="10"/>
      <c r="U53" s="10"/>
      <c r="V53" s="10">
        <v>202</v>
      </c>
      <c r="W53" s="10">
        <v>202</v>
      </c>
      <c r="X53" s="10">
        <v>202</v>
      </c>
      <c r="Y53" s="10">
        <v>3.59</v>
      </c>
      <c r="Z53" s="10">
        <v>3</v>
      </c>
      <c r="AA53" s="10" t="s">
        <v>481</v>
      </c>
      <c r="AB53" s="22">
        <v>43938</v>
      </c>
      <c r="AC53" s="22">
        <v>43935</v>
      </c>
      <c r="AD53" s="22">
        <v>43938</v>
      </c>
      <c r="AE53" s="22">
        <v>43938</v>
      </c>
      <c r="AF53" s="22">
        <v>43938</v>
      </c>
      <c r="AG53" s="23" t="s">
        <v>482</v>
      </c>
      <c r="AH53" s="24">
        <v>1</v>
      </c>
      <c r="AI53" s="24">
        <v>1</v>
      </c>
      <c r="AJ53" s="24">
        <v>1</v>
      </c>
      <c r="AK53" s="23" t="s">
        <v>483</v>
      </c>
      <c r="AL53" s="10"/>
      <c r="AM53" s="10"/>
      <c r="AN53" s="10"/>
    </row>
    <row r="54" spans="2:40" ht="15" x14ac:dyDescent="0.2">
      <c r="B54" s="29">
        <v>121</v>
      </c>
      <c r="C54" s="16">
        <v>20200414</v>
      </c>
      <c r="D54" s="10" t="s">
        <v>476</v>
      </c>
      <c r="E54" s="10" t="s">
        <v>45</v>
      </c>
      <c r="F54" s="19" t="s">
        <v>511</v>
      </c>
      <c r="G54" s="19">
        <v>1417493</v>
      </c>
      <c r="H54" s="20" t="s">
        <v>1</v>
      </c>
      <c r="I54" s="10" t="s">
        <v>58</v>
      </c>
      <c r="J54" s="20" t="s">
        <v>1</v>
      </c>
      <c r="K54" s="10" t="s">
        <v>478</v>
      </c>
      <c r="L54" s="19" t="s">
        <v>483</v>
      </c>
      <c r="M54" s="10" t="s">
        <v>47</v>
      </c>
      <c r="N54" s="10" t="s">
        <v>512</v>
      </c>
      <c r="O54" s="19" t="s">
        <v>1</v>
      </c>
      <c r="P54" s="19" t="s">
        <v>513</v>
      </c>
      <c r="Q54" s="21"/>
      <c r="R54" s="20" t="s">
        <v>1</v>
      </c>
      <c r="S54" s="10" t="s">
        <v>15</v>
      </c>
      <c r="T54" s="10"/>
      <c r="U54" s="10"/>
      <c r="V54" s="10">
        <v>133</v>
      </c>
      <c r="W54" s="10">
        <v>133</v>
      </c>
      <c r="X54" s="10">
        <v>133</v>
      </c>
      <c r="Y54" s="10">
        <v>2.36</v>
      </c>
      <c r="Z54" s="10">
        <v>2</v>
      </c>
      <c r="AA54" s="10" t="s">
        <v>481</v>
      </c>
      <c r="AB54" s="22">
        <v>43938</v>
      </c>
      <c r="AC54" s="22">
        <v>43935</v>
      </c>
      <c r="AD54" s="22">
        <v>43938</v>
      </c>
      <c r="AE54" s="22">
        <v>43937</v>
      </c>
      <c r="AF54" s="22">
        <v>43937</v>
      </c>
      <c r="AG54" s="23" t="s">
        <v>482</v>
      </c>
      <c r="AH54" s="24">
        <v>1</v>
      </c>
      <c r="AI54" s="24">
        <v>1</v>
      </c>
      <c r="AJ54" s="24">
        <v>1</v>
      </c>
      <c r="AK54" s="23" t="s">
        <v>483</v>
      </c>
      <c r="AL54" s="10"/>
      <c r="AM54" s="10"/>
      <c r="AN54" s="10"/>
    </row>
    <row r="55" spans="2:40" ht="15" x14ac:dyDescent="0.2">
      <c r="B55" s="29">
        <v>122</v>
      </c>
      <c r="C55" s="16">
        <v>20200414</v>
      </c>
      <c r="D55" s="10" t="s">
        <v>476</v>
      </c>
      <c r="E55" s="10" t="s">
        <v>45</v>
      </c>
      <c r="F55" s="19" t="s">
        <v>511</v>
      </c>
      <c r="G55" s="19">
        <v>1417493</v>
      </c>
      <c r="H55" s="20" t="s">
        <v>1</v>
      </c>
      <c r="I55" s="10" t="s">
        <v>59</v>
      </c>
      <c r="J55" s="20" t="s">
        <v>1</v>
      </c>
      <c r="K55" s="10" t="s">
        <v>478</v>
      </c>
      <c r="L55" s="19" t="s">
        <v>483</v>
      </c>
      <c r="M55" s="10" t="s">
        <v>47</v>
      </c>
      <c r="N55" s="10" t="s">
        <v>512</v>
      </c>
      <c r="O55" s="19" t="s">
        <v>1</v>
      </c>
      <c r="P55" s="19" t="s">
        <v>513</v>
      </c>
      <c r="Q55" s="21"/>
      <c r="R55" s="20" t="s">
        <v>1</v>
      </c>
      <c r="S55" s="10" t="s">
        <v>15</v>
      </c>
      <c r="T55" s="10"/>
      <c r="U55" s="10"/>
      <c r="V55" s="10">
        <v>141</v>
      </c>
      <c r="W55" s="10">
        <v>141</v>
      </c>
      <c r="X55" s="10">
        <v>141</v>
      </c>
      <c r="Y55" s="10">
        <v>2.5</v>
      </c>
      <c r="Z55" s="10">
        <v>1</v>
      </c>
      <c r="AA55" s="10" t="s">
        <v>481</v>
      </c>
      <c r="AB55" s="22">
        <v>43938</v>
      </c>
      <c r="AC55" s="22">
        <v>43935</v>
      </c>
      <c r="AD55" s="22">
        <v>43938</v>
      </c>
      <c r="AE55" s="22">
        <v>43937</v>
      </c>
      <c r="AF55" s="22">
        <v>43937</v>
      </c>
      <c r="AG55" s="23" t="s">
        <v>482</v>
      </c>
      <c r="AH55" s="24">
        <v>1</v>
      </c>
      <c r="AI55" s="24">
        <v>1</v>
      </c>
      <c r="AJ55" s="24">
        <v>1</v>
      </c>
      <c r="AK55" s="23" t="s">
        <v>483</v>
      </c>
      <c r="AL55" s="10"/>
      <c r="AM55" s="10"/>
      <c r="AN55" s="10"/>
    </row>
    <row r="56" spans="2:40" ht="15" x14ac:dyDescent="0.2">
      <c r="B56" s="31">
        <v>123</v>
      </c>
      <c r="C56" s="16">
        <v>20200414</v>
      </c>
      <c r="D56" s="10" t="s">
        <v>476</v>
      </c>
      <c r="E56" s="10" t="s">
        <v>60</v>
      </c>
      <c r="F56" s="19" t="s">
        <v>517</v>
      </c>
      <c r="G56" s="19">
        <v>1416608</v>
      </c>
      <c r="H56" s="20" t="s">
        <v>1</v>
      </c>
      <c r="I56" s="10" t="s">
        <v>61</v>
      </c>
      <c r="J56" s="20" t="s">
        <v>1</v>
      </c>
      <c r="K56" s="10" t="s">
        <v>478</v>
      </c>
      <c r="L56" s="19">
        <v>81003</v>
      </c>
      <c r="M56" s="10" t="s">
        <v>62</v>
      </c>
      <c r="N56" s="10" t="s">
        <v>479</v>
      </c>
      <c r="O56" s="19" t="s">
        <v>1</v>
      </c>
      <c r="P56" s="19" t="s">
        <v>518</v>
      </c>
      <c r="Q56" s="21"/>
      <c r="R56" s="20" t="s">
        <v>1</v>
      </c>
      <c r="S56" s="10" t="s">
        <v>15</v>
      </c>
      <c r="T56" s="10"/>
      <c r="U56" s="10"/>
      <c r="V56" s="10">
        <v>84</v>
      </c>
      <c r="W56" s="10">
        <v>84</v>
      </c>
      <c r="X56" s="10">
        <v>84</v>
      </c>
      <c r="Y56" s="10">
        <v>1.49</v>
      </c>
      <c r="Z56" s="10">
        <v>0.5</v>
      </c>
      <c r="AA56" s="10" t="s">
        <v>481</v>
      </c>
      <c r="AB56" s="22">
        <v>43938</v>
      </c>
      <c r="AC56" s="22">
        <v>43935</v>
      </c>
      <c r="AD56" s="22">
        <v>43938</v>
      </c>
      <c r="AE56" s="22">
        <v>43936</v>
      </c>
      <c r="AF56" s="22">
        <v>43936</v>
      </c>
      <c r="AG56" s="23" t="s">
        <v>482</v>
      </c>
      <c r="AH56" s="24">
        <v>1</v>
      </c>
      <c r="AI56" s="24">
        <v>1</v>
      </c>
      <c r="AJ56" s="24">
        <v>1</v>
      </c>
      <c r="AK56" s="23" t="s">
        <v>483</v>
      </c>
      <c r="AL56" s="10"/>
      <c r="AM56" s="10"/>
      <c r="AN56" s="10"/>
    </row>
    <row r="57" spans="2:40" ht="15" x14ac:dyDescent="0.2">
      <c r="B57" s="31">
        <v>124</v>
      </c>
      <c r="C57" s="16">
        <v>20200414</v>
      </c>
      <c r="D57" s="10" t="s">
        <v>476</v>
      </c>
      <c r="E57" s="10" t="s">
        <v>60</v>
      </c>
      <c r="F57" s="19" t="s">
        <v>517</v>
      </c>
      <c r="G57" s="19">
        <v>1416608</v>
      </c>
      <c r="H57" s="20" t="s">
        <v>1</v>
      </c>
      <c r="I57" s="10" t="s">
        <v>63</v>
      </c>
      <c r="J57" s="20" t="s">
        <v>1</v>
      </c>
      <c r="K57" s="10" t="s">
        <v>478</v>
      </c>
      <c r="L57" s="19">
        <v>81003</v>
      </c>
      <c r="M57" s="10" t="s">
        <v>62</v>
      </c>
      <c r="N57" s="10" t="s">
        <v>479</v>
      </c>
      <c r="O57" s="19" t="s">
        <v>1</v>
      </c>
      <c r="P57" s="19" t="s">
        <v>518</v>
      </c>
      <c r="Q57" s="21"/>
      <c r="R57" s="20" t="s">
        <v>1</v>
      </c>
      <c r="S57" s="10" t="s">
        <v>15</v>
      </c>
      <c r="T57" s="10"/>
      <c r="U57" s="10"/>
      <c r="V57" s="10">
        <v>106</v>
      </c>
      <c r="W57" s="10">
        <v>106</v>
      </c>
      <c r="X57" s="10">
        <v>106</v>
      </c>
      <c r="Y57" s="10">
        <v>1.88</v>
      </c>
      <c r="Z57" s="10">
        <v>0.5</v>
      </c>
      <c r="AA57" s="10" t="s">
        <v>481</v>
      </c>
      <c r="AB57" s="22">
        <v>43938</v>
      </c>
      <c r="AC57" s="22">
        <v>43935</v>
      </c>
      <c r="AD57" s="22">
        <v>43938</v>
      </c>
      <c r="AE57" s="22">
        <v>43936</v>
      </c>
      <c r="AF57" s="22">
        <v>43936</v>
      </c>
      <c r="AG57" s="23" t="s">
        <v>482</v>
      </c>
      <c r="AH57" s="24">
        <v>1</v>
      </c>
      <c r="AI57" s="24">
        <v>1</v>
      </c>
      <c r="AJ57" s="24">
        <v>1</v>
      </c>
      <c r="AK57" s="23" t="s">
        <v>483</v>
      </c>
      <c r="AL57" s="10"/>
      <c r="AM57" s="10"/>
      <c r="AN57" s="10"/>
    </row>
    <row r="58" spans="2:40" ht="15" x14ac:dyDescent="0.2">
      <c r="B58" s="31">
        <v>125</v>
      </c>
      <c r="C58" s="16">
        <v>20200414</v>
      </c>
      <c r="D58" s="10" t="s">
        <v>476</v>
      </c>
      <c r="E58" s="10" t="s">
        <v>60</v>
      </c>
      <c r="F58" s="19" t="s">
        <v>517</v>
      </c>
      <c r="G58" s="19">
        <v>1416608</v>
      </c>
      <c r="H58" s="20" t="s">
        <v>1</v>
      </c>
      <c r="I58" s="10" t="s">
        <v>64</v>
      </c>
      <c r="J58" s="20" t="s">
        <v>1</v>
      </c>
      <c r="K58" s="10" t="s">
        <v>478</v>
      </c>
      <c r="L58" s="19">
        <v>81003</v>
      </c>
      <c r="M58" s="10" t="s">
        <v>62</v>
      </c>
      <c r="N58" s="10" t="s">
        <v>479</v>
      </c>
      <c r="O58" s="19" t="s">
        <v>1</v>
      </c>
      <c r="P58" s="19" t="s">
        <v>518</v>
      </c>
      <c r="Q58" s="21"/>
      <c r="R58" s="20" t="s">
        <v>1</v>
      </c>
      <c r="S58" s="10" t="s">
        <v>15</v>
      </c>
      <c r="T58" s="10"/>
      <c r="U58" s="10"/>
      <c r="V58" s="10">
        <v>259</v>
      </c>
      <c r="W58" s="10">
        <v>259</v>
      </c>
      <c r="X58" s="10">
        <v>259</v>
      </c>
      <c r="Y58" s="10">
        <v>4.5999999999999996</v>
      </c>
      <c r="Z58" s="10">
        <v>1</v>
      </c>
      <c r="AA58" s="10" t="s">
        <v>481</v>
      </c>
      <c r="AB58" s="22">
        <v>43938</v>
      </c>
      <c r="AC58" s="22">
        <v>43935</v>
      </c>
      <c r="AD58" s="22">
        <v>43938</v>
      </c>
      <c r="AE58" s="22">
        <v>43937</v>
      </c>
      <c r="AF58" s="22">
        <v>43937</v>
      </c>
      <c r="AG58" s="23" t="s">
        <v>489</v>
      </c>
      <c r="AH58" s="24">
        <v>1</v>
      </c>
      <c r="AI58" s="24">
        <v>1</v>
      </c>
      <c r="AJ58" s="24">
        <v>0.94</v>
      </c>
      <c r="AK58" s="23" t="s">
        <v>490</v>
      </c>
      <c r="AL58" s="10" t="s">
        <v>519</v>
      </c>
      <c r="AM58" s="10"/>
      <c r="AN58" s="10" t="s">
        <v>492</v>
      </c>
    </row>
    <row r="59" spans="2:40" ht="15" x14ac:dyDescent="0.2">
      <c r="B59" s="31">
        <v>126</v>
      </c>
      <c r="C59" s="16">
        <v>20200414</v>
      </c>
      <c r="D59" s="10" t="s">
        <v>476</v>
      </c>
      <c r="E59" s="10" t="s">
        <v>60</v>
      </c>
      <c r="F59" s="19" t="s">
        <v>517</v>
      </c>
      <c r="G59" s="19">
        <v>1416608</v>
      </c>
      <c r="H59" s="20" t="s">
        <v>1</v>
      </c>
      <c r="I59" s="10" t="s">
        <v>65</v>
      </c>
      <c r="J59" s="20" t="s">
        <v>1</v>
      </c>
      <c r="K59" s="10" t="s">
        <v>478</v>
      </c>
      <c r="L59" s="19">
        <v>81003</v>
      </c>
      <c r="M59" s="10" t="s">
        <v>62</v>
      </c>
      <c r="N59" s="10" t="s">
        <v>479</v>
      </c>
      <c r="O59" s="19" t="s">
        <v>1</v>
      </c>
      <c r="P59" s="19" t="s">
        <v>518</v>
      </c>
      <c r="Q59" s="21"/>
      <c r="R59" s="20" t="s">
        <v>1</v>
      </c>
      <c r="S59" s="10" t="s">
        <v>15</v>
      </c>
      <c r="T59" s="10"/>
      <c r="U59" s="10"/>
      <c r="V59" s="10">
        <v>140</v>
      </c>
      <c r="W59" s="10">
        <v>140</v>
      </c>
      <c r="X59" s="10">
        <v>140</v>
      </c>
      <c r="Y59" s="10">
        <v>2.48</v>
      </c>
      <c r="Z59" s="10">
        <v>1</v>
      </c>
      <c r="AA59" s="10" t="s">
        <v>481</v>
      </c>
      <c r="AB59" s="22">
        <v>43938</v>
      </c>
      <c r="AC59" s="22">
        <v>43935</v>
      </c>
      <c r="AD59" s="22">
        <v>43938</v>
      </c>
      <c r="AE59" s="22">
        <v>43937</v>
      </c>
      <c r="AF59" s="22">
        <v>43937</v>
      </c>
      <c r="AG59" s="23" t="s">
        <v>482</v>
      </c>
      <c r="AH59" s="24">
        <v>1</v>
      </c>
      <c r="AI59" s="24">
        <v>1</v>
      </c>
      <c r="AJ59" s="24">
        <v>1</v>
      </c>
      <c r="AK59" s="23" t="s">
        <v>483</v>
      </c>
      <c r="AL59" s="10"/>
      <c r="AM59" s="10"/>
      <c r="AN59" s="10"/>
    </row>
    <row r="60" spans="2:40" ht="15" x14ac:dyDescent="0.2">
      <c r="B60" s="31">
        <v>127</v>
      </c>
      <c r="C60" s="16">
        <v>20200414</v>
      </c>
      <c r="D60" s="10" t="s">
        <v>476</v>
      </c>
      <c r="E60" s="10" t="s">
        <v>60</v>
      </c>
      <c r="F60" s="19" t="s">
        <v>517</v>
      </c>
      <c r="G60" s="19">
        <v>1416608</v>
      </c>
      <c r="H60" s="20" t="s">
        <v>1</v>
      </c>
      <c r="I60" s="10" t="s">
        <v>66</v>
      </c>
      <c r="J60" s="20" t="s">
        <v>1</v>
      </c>
      <c r="K60" s="10" t="s">
        <v>478</v>
      </c>
      <c r="L60" s="19">
        <v>81003</v>
      </c>
      <c r="M60" s="10" t="s">
        <v>62</v>
      </c>
      <c r="N60" s="10" t="s">
        <v>479</v>
      </c>
      <c r="O60" s="19" t="s">
        <v>1</v>
      </c>
      <c r="P60" s="19" t="s">
        <v>518</v>
      </c>
      <c r="Q60" s="21"/>
      <c r="R60" s="20" t="s">
        <v>1</v>
      </c>
      <c r="S60" s="10" t="s">
        <v>15</v>
      </c>
      <c r="T60" s="10"/>
      <c r="U60" s="10"/>
      <c r="V60" s="10">
        <v>77</v>
      </c>
      <c r="W60" s="10">
        <v>77</v>
      </c>
      <c r="X60" s="10">
        <v>77</v>
      </c>
      <c r="Y60" s="10">
        <v>1.36</v>
      </c>
      <c r="Z60" s="10">
        <v>1</v>
      </c>
      <c r="AA60" s="10" t="s">
        <v>481</v>
      </c>
      <c r="AB60" s="22">
        <v>43938</v>
      </c>
      <c r="AC60" s="22">
        <v>43935</v>
      </c>
      <c r="AD60" s="22">
        <v>43938</v>
      </c>
      <c r="AE60" s="22">
        <v>43937</v>
      </c>
      <c r="AF60" s="22">
        <v>43937</v>
      </c>
      <c r="AG60" s="23" t="s">
        <v>482</v>
      </c>
      <c r="AH60" s="24">
        <v>1</v>
      </c>
      <c r="AI60" s="24">
        <v>1</v>
      </c>
      <c r="AJ60" s="24">
        <v>1</v>
      </c>
      <c r="AK60" s="23" t="s">
        <v>483</v>
      </c>
      <c r="AL60" s="10"/>
      <c r="AM60" s="10"/>
      <c r="AN60" s="10"/>
    </row>
    <row r="61" spans="2:40" ht="15" x14ac:dyDescent="0.2">
      <c r="B61" s="31">
        <v>128</v>
      </c>
      <c r="C61" s="16">
        <v>20200414</v>
      </c>
      <c r="D61" s="10" t="s">
        <v>476</v>
      </c>
      <c r="E61" s="10" t="s">
        <v>60</v>
      </c>
      <c r="F61" s="19" t="s">
        <v>517</v>
      </c>
      <c r="G61" s="19">
        <v>1416608</v>
      </c>
      <c r="H61" s="20" t="s">
        <v>1</v>
      </c>
      <c r="I61" s="10" t="s">
        <v>67</v>
      </c>
      <c r="J61" s="20" t="s">
        <v>1</v>
      </c>
      <c r="K61" s="10" t="s">
        <v>478</v>
      </c>
      <c r="L61" s="19">
        <v>81003</v>
      </c>
      <c r="M61" s="10" t="s">
        <v>62</v>
      </c>
      <c r="N61" s="10" t="s">
        <v>479</v>
      </c>
      <c r="O61" s="19" t="s">
        <v>1</v>
      </c>
      <c r="P61" s="19" t="s">
        <v>518</v>
      </c>
      <c r="Q61" s="21"/>
      <c r="R61" s="20" t="s">
        <v>1</v>
      </c>
      <c r="S61" s="10" t="s">
        <v>15</v>
      </c>
      <c r="T61" s="10"/>
      <c r="U61" s="10"/>
      <c r="V61" s="10">
        <v>53</v>
      </c>
      <c r="W61" s="10">
        <v>53</v>
      </c>
      <c r="X61" s="10">
        <v>53</v>
      </c>
      <c r="Y61" s="10">
        <v>0.94</v>
      </c>
      <c r="Z61" s="10">
        <v>1</v>
      </c>
      <c r="AA61" s="10" t="s">
        <v>481</v>
      </c>
      <c r="AB61" s="22">
        <v>43938</v>
      </c>
      <c r="AC61" s="22">
        <v>43935</v>
      </c>
      <c r="AD61" s="22">
        <v>43938</v>
      </c>
      <c r="AE61" s="22">
        <v>43937</v>
      </c>
      <c r="AF61" s="22">
        <v>43937</v>
      </c>
      <c r="AG61" s="23" t="s">
        <v>489</v>
      </c>
      <c r="AH61" s="24">
        <v>1</v>
      </c>
      <c r="AI61" s="24">
        <v>1</v>
      </c>
      <c r="AJ61" s="24">
        <v>1</v>
      </c>
      <c r="AK61" s="23" t="s">
        <v>490</v>
      </c>
      <c r="AL61" s="10"/>
      <c r="AM61" s="10" t="s">
        <v>520</v>
      </c>
      <c r="AN61" s="10" t="s">
        <v>492</v>
      </c>
    </row>
    <row r="62" spans="2:40" ht="15" x14ac:dyDescent="0.2">
      <c r="B62" s="31">
        <v>129</v>
      </c>
      <c r="C62" s="16">
        <v>20200414</v>
      </c>
      <c r="D62" s="10" t="s">
        <v>476</v>
      </c>
      <c r="E62" s="10" t="s">
        <v>60</v>
      </c>
      <c r="F62" s="19" t="s">
        <v>517</v>
      </c>
      <c r="G62" s="19">
        <v>1416608</v>
      </c>
      <c r="H62" s="20" t="s">
        <v>1</v>
      </c>
      <c r="I62" s="10" t="s">
        <v>68</v>
      </c>
      <c r="J62" s="20" t="s">
        <v>1</v>
      </c>
      <c r="K62" s="10" t="s">
        <v>478</v>
      </c>
      <c r="L62" s="19">
        <v>81003</v>
      </c>
      <c r="M62" s="10" t="s">
        <v>62</v>
      </c>
      <c r="N62" s="10" t="s">
        <v>479</v>
      </c>
      <c r="O62" s="19" t="s">
        <v>1</v>
      </c>
      <c r="P62" s="19" t="s">
        <v>518</v>
      </c>
      <c r="Q62" s="21"/>
      <c r="R62" s="20" t="s">
        <v>1</v>
      </c>
      <c r="S62" s="10" t="s">
        <v>15</v>
      </c>
      <c r="T62" s="10"/>
      <c r="U62" s="10"/>
      <c r="V62" s="10">
        <v>160</v>
      </c>
      <c r="W62" s="10">
        <v>160</v>
      </c>
      <c r="X62" s="10">
        <v>160</v>
      </c>
      <c r="Y62" s="10">
        <v>2.84</v>
      </c>
      <c r="Z62" s="10">
        <v>1</v>
      </c>
      <c r="AA62" s="10" t="s">
        <v>481</v>
      </c>
      <c r="AB62" s="22">
        <v>43938</v>
      </c>
      <c r="AC62" s="22">
        <v>43935</v>
      </c>
      <c r="AD62" s="22">
        <v>43938</v>
      </c>
      <c r="AE62" s="22">
        <v>43937</v>
      </c>
      <c r="AF62" s="22">
        <v>43937</v>
      </c>
      <c r="AG62" s="23" t="s">
        <v>482</v>
      </c>
      <c r="AH62" s="24">
        <v>1</v>
      </c>
      <c r="AI62" s="24">
        <v>1</v>
      </c>
      <c r="AJ62" s="24">
        <v>1</v>
      </c>
      <c r="AK62" s="23" t="s">
        <v>483</v>
      </c>
      <c r="AL62" s="10"/>
      <c r="AM62" s="10"/>
      <c r="AN62" s="10"/>
    </row>
    <row r="63" spans="2:40" ht="15" x14ac:dyDescent="0.2">
      <c r="B63" s="31">
        <v>130</v>
      </c>
      <c r="C63" s="16">
        <v>20200414</v>
      </c>
      <c r="D63" s="10" t="s">
        <v>476</v>
      </c>
      <c r="E63" s="10" t="s">
        <v>60</v>
      </c>
      <c r="F63" s="19" t="s">
        <v>517</v>
      </c>
      <c r="G63" s="19">
        <v>1416608</v>
      </c>
      <c r="H63" s="20" t="s">
        <v>1</v>
      </c>
      <c r="I63" s="10" t="s">
        <v>69</v>
      </c>
      <c r="J63" s="20" t="s">
        <v>1</v>
      </c>
      <c r="K63" s="10" t="s">
        <v>478</v>
      </c>
      <c r="L63" s="19">
        <v>81003</v>
      </c>
      <c r="M63" s="10" t="s">
        <v>62</v>
      </c>
      <c r="N63" s="10" t="s">
        <v>479</v>
      </c>
      <c r="O63" s="19" t="s">
        <v>1</v>
      </c>
      <c r="P63" s="19" t="s">
        <v>518</v>
      </c>
      <c r="Q63" s="21"/>
      <c r="R63" s="20" t="s">
        <v>1</v>
      </c>
      <c r="S63" s="10" t="s">
        <v>4</v>
      </c>
      <c r="T63" s="10"/>
      <c r="U63" s="10"/>
      <c r="V63" s="10">
        <v>436</v>
      </c>
      <c r="W63" s="10">
        <v>436</v>
      </c>
      <c r="X63" s="10">
        <v>436</v>
      </c>
      <c r="Y63" s="10">
        <v>7.75</v>
      </c>
      <c r="Z63" s="10">
        <v>1</v>
      </c>
      <c r="AA63" s="10" t="s">
        <v>481</v>
      </c>
      <c r="AB63" s="22">
        <v>43938</v>
      </c>
      <c r="AC63" s="22">
        <v>43935</v>
      </c>
      <c r="AD63" s="22">
        <v>43938</v>
      </c>
      <c r="AE63" s="22">
        <v>43937</v>
      </c>
      <c r="AF63" s="22">
        <v>43937</v>
      </c>
      <c r="AG63" s="23" t="s">
        <v>482</v>
      </c>
      <c r="AH63" s="24">
        <v>1</v>
      </c>
      <c r="AI63" s="24">
        <v>1</v>
      </c>
      <c r="AJ63" s="24">
        <v>1</v>
      </c>
      <c r="AK63" s="23" t="s">
        <v>483</v>
      </c>
      <c r="AL63" s="10"/>
      <c r="AM63" s="10"/>
      <c r="AN63" s="10"/>
    </row>
    <row r="64" spans="2:40" ht="15" x14ac:dyDescent="0.2">
      <c r="B64" s="31">
        <v>131</v>
      </c>
      <c r="C64" s="16">
        <v>20200414</v>
      </c>
      <c r="D64" s="10" t="s">
        <v>476</v>
      </c>
      <c r="E64" s="10" t="s">
        <v>60</v>
      </c>
      <c r="F64" s="19" t="s">
        <v>517</v>
      </c>
      <c r="G64" s="19">
        <v>1416608</v>
      </c>
      <c r="H64" s="20" t="s">
        <v>1</v>
      </c>
      <c r="I64" s="10" t="s">
        <v>70</v>
      </c>
      <c r="J64" s="20" t="s">
        <v>1</v>
      </c>
      <c r="K64" s="10" t="s">
        <v>478</v>
      </c>
      <c r="L64" s="19">
        <v>81003</v>
      </c>
      <c r="M64" s="10" t="s">
        <v>62</v>
      </c>
      <c r="N64" s="10" t="s">
        <v>479</v>
      </c>
      <c r="O64" s="19" t="s">
        <v>1</v>
      </c>
      <c r="P64" s="19" t="s">
        <v>518</v>
      </c>
      <c r="Q64" s="21"/>
      <c r="R64" s="20" t="s">
        <v>1</v>
      </c>
      <c r="S64" s="10" t="s">
        <v>4</v>
      </c>
      <c r="T64" s="10"/>
      <c r="U64" s="10"/>
      <c r="V64" s="10">
        <v>55</v>
      </c>
      <c r="W64" s="10">
        <v>55</v>
      </c>
      <c r="X64" s="10">
        <v>55</v>
      </c>
      <c r="Y64" s="10">
        <v>0.97</v>
      </c>
      <c r="Z64" s="10">
        <v>1</v>
      </c>
      <c r="AA64" s="10" t="s">
        <v>481</v>
      </c>
      <c r="AB64" s="22">
        <v>43938</v>
      </c>
      <c r="AC64" s="22">
        <v>43935</v>
      </c>
      <c r="AD64" s="22">
        <v>43938</v>
      </c>
      <c r="AE64" s="22">
        <v>43937</v>
      </c>
      <c r="AF64" s="22">
        <v>43937</v>
      </c>
      <c r="AG64" s="23" t="s">
        <v>482</v>
      </c>
      <c r="AH64" s="24">
        <v>1</v>
      </c>
      <c r="AI64" s="24">
        <v>1</v>
      </c>
      <c r="AJ64" s="24">
        <v>1</v>
      </c>
      <c r="AK64" s="23" t="s">
        <v>483</v>
      </c>
      <c r="AL64" s="10"/>
      <c r="AM64" s="10"/>
      <c r="AN64" s="10"/>
    </row>
    <row r="65" spans="2:40" ht="15" x14ac:dyDescent="0.2">
      <c r="B65" s="31">
        <v>132</v>
      </c>
      <c r="C65" s="16">
        <v>20200414</v>
      </c>
      <c r="D65" s="10" t="s">
        <v>476</v>
      </c>
      <c r="E65" s="10" t="s">
        <v>60</v>
      </c>
      <c r="F65" s="19" t="s">
        <v>517</v>
      </c>
      <c r="G65" s="19">
        <v>1416608</v>
      </c>
      <c r="H65" s="20" t="s">
        <v>1</v>
      </c>
      <c r="I65" s="10" t="s">
        <v>71</v>
      </c>
      <c r="J65" s="20" t="s">
        <v>1</v>
      </c>
      <c r="K65" s="10" t="s">
        <v>478</v>
      </c>
      <c r="L65" s="19">
        <v>81003</v>
      </c>
      <c r="M65" s="10" t="s">
        <v>62</v>
      </c>
      <c r="N65" s="10" t="s">
        <v>479</v>
      </c>
      <c r="O65" s="19" t="s">
        <v>1</v>
      </c>
      <c r="P65" s="19" t="s">
        <v>518</v>
      </c>
      <c r="Q65" s="21"/>
      <c r="R65" s="20" t="s">
        <v>1</v>
      </c>
      <c r="S65" s="10" t="s">
        <v>4</v>
      </c>
      <c r="T65" s="10"/>
      <c r="U65" s="10"/>
      <c r="V65" s="10">
        <v>200</v>
      </c>
      <c r="W65" s="10">
        <v>200</v>
      </c>
      <c r="X65" s="10">
        <v>200</v>
      </c>
      <c r="Y65" s="10">
        <v>3.55</v>
      </c>
      <c r="Z65" s="10">
        <v>1</v>
      </c>
      <c r="AA65" s="10" t="s">
        <v>481</v>
      </c>
      <c r="AB65" s="22">
        <v>43938</v>
      </c>
      <c r="AC65" s="22">
        <v>43935</v>
      </c>
      <c r="AD65" s="22">
        <v>43938</v>
      </c>
      <c r="AE65" s="22">
        <v>43937</v>
      </c>
      <c r="AF65" s="22">
        <v>43937</v>
      </c>
      <c r="AG65" s="23" t="s">
        <v>482</v>
      </c>
      <c r="AH65" s="24">
        <v>1</v>
      </c>
      <c r="AI65" s="24">
        <v>1</v>
      </c>
      <c r="AJ65" s="24">
        <v>1</v>
      </c>
      <c r="AK65" s="23" t="s">
        <v>483</v>
      </c>
      <c r="AL65" s="10"/>
      <c r="AM65" s="10"/>
      <c r="AN65" s="10"/>
    </row>
    <row r="66" spans="2:40" ht="15" x14ac:dyDescent="0.2">
      <c r="B66" s="31">
        <v>133</v>
      </c>
      <c r="C66" s="16">
        <v>20200414</v>
      </c>
      <c r="D66" s="10" t="s">
        <v>476</v>
      </c>
      <c r="E66" s="10" t="s">
        <v>60</v>
      </c>
      <c r="F66" s="19" t="s">
        <v>517</v>
      </c>
      <c r="G66" s="19">
        <v>1416608</v>
      </c>
      <c r="H66" s="20" t="s">
        <v>1</v>
      </c>
      <c r="I66" s="10" t="s">
        <v>72</v>
      </c>
      <c r="J66" s="20" t="s">
        <v>1</v>
      </c>
      <c r="K66" s="10" t="s">
        <v>478</v>
      </c>
      <c r="L66" s="19">
        <v>81003</v>
      </c>
      <c r="M66" s="10" t="s">
        <v>62</v>
      </c>
      <c r="N66" s="10" t="s">
        <v>479</v>
      </c>
      <c r="O66" s="19" t="s">
        <v>1</v>
      </c>
      <c r="P66" s="19" t="s">
        <v>518</v>
      </c>
      <c r="Q66" s="21"/>
      <c r="R66" s="20" t="s">
        <v>1</v>
      </c>
      <c r="S66" s="10" t="s">
        <v>4</v>
      </c>
      <c r="T66" s="10"/>
      <c r="U66" s="10"/>
      <c r="V66" s="10">
        <v>130</v>
      </c>
      <c r="W66" s="10">
        <v>130</v>
      </c>
      <c r="X66" s="10">
        <v>130</v>
      </c>
      <c r="Y66" s="10">
        <v>2.31</v>
      </c>
      <c r="Z66" s="10">
        <v>1</v>
      </c>
      <c r="AA66" s="10" t="s">
        <v>481</v>
      </c>
      <c r="AB66" s="22">
        <v>43938</v>
      </c>
      <c r="AC66" s="22">
        <v>43935</v>
      </c>
      <c r="AD66" s="22">
        <v>43938</v>
      </c>
      <c r="AE66" s="22">
        <v>43937</v>
      </c>
      <c r="AF66" s="22">
        <v>43937</v>
      </c>
      <c r="AG66" s="23" t="s">
        <v>482</v>
      </c>
      <c r="AH66" s="24">
        <v>1</v>
      </c>
      <c r="AI66" s="24">
        <v>1</v>
      </c>
      <c r="AJ66" s="24">
        <v>1</v>
      </c>
      <c r="AK66" s="23" t="s">
        <v>483</v>
      </c>
      <c r="AL66" s="10"/>
      <c r="AM66" s="10"/>
      <c r="AN66" s="10"/>
    </row>
    <row r="67" spans="2:40" ht="15" x14ac:dyDescent="0.2">
      <c r="B67" s="31">
        <v>134</v>
      </c>
      <c r="C67" s="16">
        <v>20200414</v>
      </c>
      <c r="D67" s="10" t="s">
        <v>476</v>
      </c>
      <c r="E67" s="10" t="s">
        <v>60</v>
      </c>
      <c r="F67" s="19" t="s">
        <v>517</v>
      </c>
      <c r="G67" s="19">
        <v>1416608</v>
      </c>
      <c r="H67" s="20" t="s">
        <v>1</v>
      </c>
      <c r="I67" s="10" t="s">
        <v>73</v>
      </c>
      <c r="J67" s="20" t="s">
        <v>1</v>
      </c>
      <c r="K67" s="10" t="s">
        <v>478</v>
      </c>
      <c r="L67" s="19">
        <v>81003</v>
      </c>
      <c r="M67" s="10" t="s">
        <v>62</v>
      </c>
      <c r="N67" s="10" t="s">
        <v>479</v>
      </c>
      <c r="O67" s="19" t="s">
        <v>1</v>
      </c>
      <c r="P67" s="19" t="s">
        <v>518</v>
      </c>
      <c r="Q67" s="21"/>
      <c r="R67" s="20" t="s">
        <v>1</v>
      </c>
      <c r="S67" s="10" t="s">
        <v>4</v>
      </c>
      <c r="T67" s="10"/>
      <c r="U67" s="10"/>
      <c r="V67" s="10">
        <v>199</v>
      </c>
      <c r="W67" s="10">
        <v>199</v>
      </c>
      <c r="X67" s="10">
        <v>199</v>
      </c>
      <c r="Y67" s="10">
        <v>3.53</v>
      </c>
      <c r="Z67" s="10">
        <v>1</v>
      </c>
      <c r="AA67" s="10" t="s">
        <v>481</v>
      </c>
      <c r="AB67" s="22">
        <v>43938</v>
      </c>
      <c r="AC67" s="22">
        <v>43935</v>
      </c>
      <c r="AD67" s="22">
        <v>43938</v>
      </c>
      <c r="AE67" s="22">
        <v>43937</v>
      </c>
      <c r="AF67" s="22">
        <v>43937</v>
      </c>
      <c r="AG67" s="23" t="s">
        <v>482</v>
      </c>
      <c r="AH67" s="24">
        <v>1</v>
      </c>
      <c r="AI67" s="24">
        <v>1</v>
      </c>
      <c r="AJ67" s="24">
        <v>1</v>
      </c>
      <c r="AK67" s="23" t="s">
        <v>483</v>
      </c>
      <c r="AL67" s="10"/>
      <c r="AM67" s="10"/>
      <c r="AN67" s="10"/>
    </row>
    <row r="68" spans="2:40" ht="15" x14ac:dyDescent="0.2">
      <c r="B68" s="31">
        <v>135</v>
      </c>
      <c r="C68" s="16">
        <v>20200414</v>
      </c>
      <c r="D68" s="10" t="s">
        <v>476</v>
      </c>
      <c r="E68" s="10" t="s">
        <v>60</v>
      </c>
      <c r="F68" s="19" t="s">
        <v>517</v>
      </c>
      <c r="G68" s="19">
        <v>1416608</v>
      </c>
      <c r="H68" s="20" t="s">
        <v>1</v>
      </c>
      <c r="I68" s="10" t="s">
        <v>74</v>
      </c>
      <c r="J68" s="20" t="s">
        <v>1</v>
      </c>
      <c r="K68" s="10" t="s">
        <v>478</v>
      </c>
      <c r="L68" s="19">
        <v>81003</v>
      </c>
      <c r="M68" s="10" t="s">
        <v>62</v>
      </c>
      <c r="N68" s="10" t="s">
        <v>479</v>
      </c>
      <c r="O68" s="19" t="s">
        <v>1</v>
      </c>
      <c r="P68" s="19" t="s">
        <v>518</v>
      </c>
      <c r="Q68" s="21"/>
      <c r="R68" s="20" t="s">
        <v>1</v>
      </c>
      <c r="S68" s="10" t="s">
        <v>4</v>
      </c>
      <c r="T68" s="10"/>
      <c r="U68" s="10"/>
      <c r="V68" s="10">
        <v>6</v>
      </c>
      <c r="W68" s="10">
        <v>6</v>
      </c>
      <c r="X68" s="10">
        <v>6</v>
      </c>
      <c r="Y68" s="10">
        <v>0.1</v>
      </c>
      <c r="Z68" s="10">
        <v>0</v>
      </c>
      <c r="AA68" s="10" t="s">
        <v>481</v>
      </c>
      <c r="AB68" s="22">
        <v>43938</v>
      </c>
      <c r="AC68" s="22">
        <v>43935</v>
      </c>
      <c r="AD68" s="22">
        <v>43938</v>
      </c>
      <c r="AE68" s="22">
        <v>43937</v>
      </c>
      <c r="AF68" s="22">
        <v>43937</v>
      </c>
      <c r="AG68" s="23" t="s">
        <v>482</v>
      </c>
      <c r="AH68" s="25" t="s">
        <v>1</v>
      </c>
      <c r="AI68" s="25" t="s">
        <v>1</v>
      </c>
      <c r="AJ68" s="25" t="s">
        <v>1</v>
      </c>
      <c r="AK68" s="23" t="s">
        <v>483</v>
      </c>
      <c r="AL68" s="10"/>
      <c r="AM68" s="10"/>
      <c r="AN68" s="10" t="s">
        <v>496</v>
      </c>
    </row>
    <row r="69" spans="2:40" ht="15" x14ac:dyDescent="0.2">
      <c r="B69" s="32">
        <v>136</v>
      </c>
      <c r="C69" s="16">
        <v>20200414</v>
      </c>
      <c r="D69" s="10" t="s">
        <v>476</v>
      </c>
      <c r="E69" s="10" t="s">
        <v>75</v>
      </c>
      <c r="F69" s="19" t="s">
        <v>521</v>
      </c>
      <c r="G69" s="19">
        <v>1390624</v>
      </c>
      <c r="H69" s="20" t="s">
        <v>1</v>
      </c>
      <c r="I69" s="10" t="s">
        <v>76</v>
      </c>
      <c r="J69" s="20" t="s">
        <v>1</v>
      </c>
      <c r="K69" s="10" t="s">
        <v>478</v>
      </c>
      <c r="L69" s="10">
        <v>81728</v>
      </c>
      <c r="M69" s="10" t="s">
        <v>1</v>
      </c>
      <c r="N69" s="10" t="s">
        <v>522</v>
      </c>
      <c r="O69" s="19" t="s">
        <v>1</v>
      </c>
      <c r="P69" s="19" t="s">
        <v>523</v>
      </c>
      <c r="Q69" s="21"/>
      <c r="R69" s="20" t="s">
        <v>1</v>
      </c>
      <c r="S69" s="10" t="s">
        <v>77</v>
      </c>
      <c r="T69" s="10"/>
      <c r="U69" s="10"/>
      <c r="V69" s="10">
        <v>60</v>
      </c>
      <c r="W69" s="10">
        <v>60</v>
      </c>
      <c r="X69" s="10">
        <v>60</v>
      </c>
      <c r="Y69" s="10">
        <v>1.06</v>
      </c>
      <c r="Z69" s="10">
        <v>0.25</v>
      </c>
      <c r="AA69" s="10" t="s">
        <v>481</v>
      </c>
      <c r="AB69" s="22">
        <v>43938</v>
      </c>
      <c r="AC69" s="22">
        <v>43935</v>
      </c>
      <c r="AD69" s="22">
        <v>43938</v>
      </c>
      <c r="AE69" s="22">
        <v>43935</v>
      </c>
      <c r="AF69" s="22">
        <v>43935</v>
      </c>
      <c r="AG69" s="23" t="s">
        <v>482</v>
      </c>
      <c r="AH69" s="24">
        <v>1</v>
      </c>
      <c r="AI69" s="24">
        <v>1</v>
      </c>
      <c r="AJ69" s="24">
        <v>1</v>
      </c>
      <c r="AK69" s="23" t="s">
        <v>483</v>
      </c>
      <c r="AL69" s="10"/>
      <c r="AM69" s="10"/>
      <c r="AN69" s="10"/>
    </row>
    <row r="70" spans="2:40" ht="15" x14ac:dyDescent="0.2">
      <c r="B70" s="32">
        <v>137</v>
      </c>
      <c r="C70" s="16">
        <v>20200414</v>
      </c>
      <c r="D70" s="10" t="s">
        <v>476</v>
      </c>
      <c r="E70" s="10" t="s">
        <v>75</v>
      </c>
      <c r="F70" s="19" t="s">
        <v>524</v>
      </c>
      <c r="G70" s="19">
        <v>1390624</v>
      </c>
      <c r="H70" s="20" t="s">
        <v>1</v>
      </c>
      <c r="I70" s="10" t="s">
        <v>78</v>
      </c>
      <c r="J70" s="20" t="s">
        <v>1</v>
      </c>
      <c r="K70" s="10" t="s">
        <v>478</v>
      </c>
      <c r="L70" s="10">
        <v>81728</v>
      </c>
      <c r="M70" s="10" t="s">
        <v>1</v>
      </c>
      <c r="N70" s="10" t="s">
        <v>522</v>
      </c>
      <c r="O70" s="19" t="s">
        <v>1</v>
      </c>
      <c r="P70" s="19" t="s">
        <v>523</v>
      </c>
      <c r="Q70" s="21"/>
      <c r="R70" s="20" t="s">
        <v>1</v>
      </c>
      <c r="S70" s="10" t="s">
        <v>77</v>
      </c>
      <c r="T70" s="10"/>
      <c r="U70" s="10"/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 t="s">
        <v>481</v>
      </c>
      <c r="AB70" s="22">
        <v>43938</v>
      </c>
      <c r="AC70" s="22">
        <v>43935</v>
      </c>
      <c r="AD70" s="22">
        <v>43938</v>
      </c>
      <c r="AE70" s="22">
        <v>43935</v>
      </c>
      <c r="AF70" s="22">
        <v>43935</v>
      </c>
      <c r="AG70" s="23" t="s">
        <v>482</v>
      </c>
      <c r="AH70" s="25" t="s">
        <v>1</v>
      </c>
      <c r="AI70" s="25" t="s">
        <v>1</v>
      </c>
      <c r="AJ70" s="25" t="s">
        <v>1</v>
      </c>
      <c r="AK70" s="23" t="s">
        <v>483</v>
      </c>
      <c r="AL70" s="10"/>
      <c r="AM70" s="10"/>
      <c r="AN70" s="10" t="s">
        <v>496</v>
      </c>
    </row>
    <row r="71" spans="2:40" ht="15" x14ac:dyDescent="0.2">
      <c r="B71" s="32">
        <v>138</v>
      </c>
      <c r="C71" s="16">
        <v>20200414</v>
      </c>
      <c r="D71" s="10" t="s">
        <v>476</v>
      </c>
      <c r="E71" s="10" t="s">
        <v>75</v>
      </c>
      <c r="F71" s="19" t="s">
        <v>524</v>
      </c>
      <c r="G71" s="19">
        <v>1390624</v>
      </c>
      <c r="H71" s="20" t="s">
        <v>1</v>
      </c>
      <c r="I71" s="10" t="s">
        <v>79</v>
      </c>
      <c r="J71" s="20" t="s">
        <v>1</v>
      </c>
      <c r="K71" s="10" t="s">
        <v>478</v>
      </c>
      <c r="L71" s="10">
        <v>81728</v>
      </c>
      <c r="M71" s="10" t="s">
        <v>1</v>
      </c>
      <c r="N71" s="10" t="s">
        <v>522</v>
      </c>
      <c r="O71" s="19" t="s">
        <v>1</v>
      </c>
      <c r="P71" s="19" t="s">
        <v>523</v>
      </c>
      <c r="Q71" s="21"/>
      <c r="R71" s="20" t="s">
        <v>1</v>
      </c>
      <c r="S71" s="10" t="s">
        <v>77</v>
      </c>
      <c r="T71" s="10"/>
      <c r="U71" s="10"/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 t="s">
        <v>481</v>
      </c>
      <c r="AB71" s="22">
        <v>43938</v>
      </c>
      <c r="AC71" s="22">
        <v>43936</v>
      </c>
      <c r="AD71" s="22">
        <v>43938</v>
      </c>
      <c r="AE71" s="22">
        <v>43935</v>
      </c>
      <c r="AF71" s="22">
        <v>43935</v>
      </c>
      <c r="AG71" s="23" t="s">
        <v>482</v>
      </c>
      <c r="AH71" s="25" t="s">
        <v>1</v>
      </c>
      <c r="AI71" s="25" t="s">
        <v>1</v>
      </c>
      <c r="AJ71" s="25" t="s">
        <v>1</v>
      </c>
      <c r="AK71" s="23" t="s">
        <v>483</v>
      </c>
      <c r="AL71" s="10"/>
      <c r="AM71" s="10"/>
      <c r="AN71" s="10" t="s">
        <v>496</v>
      </c>
    </row>
    <row r="72" spans="2:40" ht="15" x14ac:dyDescent="0.2">
      <c r="B72" s="32">
        <v>139</v>
      </c>
      <c r="C72" s="16">
        <v>20200414</v>
      </c>
      <c r="D72" s="10" t="s">
        <v>476</v>
      </c>
      <c r="E72" s="10" t="s">
        <v>75</v>
      </c>
      <c r="F72" s="19" t="s">
        <v>525</v>
      </c>
      <c r="G72" s="19">
        <v>1390624</v>
      </c>
      <c r="H72" s="20" t="s">
        <v>1</v>
      </c>
      <c r="I72" s="10" t="s">
        <v>80</v>
      </c>
      <c r="J72" s="20" t="s">
        <v>1</v>
      </c>
      <c r="K72" s="10" t="s">
        <v>478</v>
      </c>
      <c r="L72" s="10">
        <v>81728</v>
      </c>
      <c r="M72" s="10" t="s">
        <v>1</v>
      </c>
      <c r="N72" s="10" t="s">
        <v>522</v>
      </c>
      <c r="O72" s="19" t="s">
        <v>1</v>
      </c>
      <c r="P72" s="19" t="s">
        <v>523</v>
      </c>
      <c r="Q72" s="21"/>
      <c r="R72" s="20" t="s">
        <v>1</v>
      </c>
      <c r="S72" s="10" t="s">
        <v>77</v>
      </c>
      <c r="T72" s="10"/>
      <c r="U72" s="10"/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 t="s">
        <v>481</v>
      </c>
      <c r="AB72" s="22">
        <v>43938</v>
      </c>
      <c r="AC72" s="22">
        <v>43937</v>
      </c>
      <c r="AD72" s="22">
        <v>43938</v>
      </c>
      <c r="AE72" s="22">
        <v>43935</v>
      </c>
      <c r="AF72" s="22">
        <v>43935</v>
      </c>
      <c r="AG72" s="23" t="s">
        <v>482</v>
      </c>
      <c r="AH72" s="25" t="s">
        <v>1</v>
      </c>
      <c r="AI72" s="25" t="s">
        <v>1</v>
      </c>
      <c r="AJ72" s="25" t="s">
        <v>1</v>
      </c>
      <c r="AK72" s="23" t="s">
        <v>483</v>
      </c>
      <c r="AL72" s="10"/>
      <c r="AM72" s="10"/>
      <c r="AN72" s="10" t="s">
        <v>496</v>
      </c>
    </row>
    <row r="73" spans="2:40" ht="15" x14ac:dyDescent="0.2">
      <c r="B73" s="32">
        <v>140</v>
      </c>
      <c r="C73" s="16">
        <v>20200414</v>
      </c>
      <c r="D73" s="10" t="s">
        <v>476</v>
      </c>
      <c r="E73" s="10" t="s">
        <v>75</v>
      </c>
      <c r="F73" s="19" t="s">
        <v>525</v>
      </c>
      <c r="G73" s="19">
        <v>1390624</v>
      </c>
      <c r="H73" s="20" t="s">
        <v>1</v>
      </c>
      <c r="I73" s="10" t="s">
        <v>81</v>
      </c>
      <c r="J73" s="20" t="s">
        <v>1</v>
      </c>
      <c r="K73" s="10" t="s">
        <v>478</v>
      </c>
      <c r="L73" s="10">
        <v>81728</v>
      </c>
      <c r="M73" s="10" t="s">
        <v>1</v>
      </c>
      <c r="N73" s="10" t="s">
        <v>522</v>
      </c>
      <c r="O73" s="19" t="s">
        <v>1</v>
      </c>
      <c r="P73" s="19" t="s">
        <v>523</v>
      </c>
      <c r="Q73" s="21"/>
      <c r="R73" s="20" t="s">
        <v>1</v>
      </c>
      <c r="S73" s="10" t="s">
        <v>77</v>
      </c>
      <c r="T73" s="10"/>
      <c r="U73" s="10"/>
      <c r="V73" s="10">
        <v>5</v>
      </c>
      <c r="W73" s="10">
        <v>5</v>
      </c>
      <c r="X73" s="10">
        <v>5</v>
      </c>
      <c r="Y73" s="10">
        <v>0.08</v>
      </c>
      <c r="Z73" s="10">
        <v>0.25</v>
      </c>
      <c r="AA73" s="10" t="s">
        <v>481</v>
      </c>
      <c r="AB73" s="22">
        <v>43938</v>
      </c>
      <c r="AC73" s="22">
        <v>43935</v>
      </c>
      <c r="AD73" s="22">
        <v>43938</v>
      </c>
      <c r="AE73" s="22">
        <v>43935</v>
      </c>
      <c r="AF73" s="22">
        <v>43935</v>
      </c>
      <c r="AG73" s="23" t="s">
        <v>482</v>
      </c>
      <c r="AH73" s="24">
        <v>1</v>
      </c>
      <c r="AI73" s="24">
        <v>1</v>
      </c>
      <c r="AJ73" s="24">
        <v>1</v>
      </c>
      <c r="AK73" s="23" t="s">
        <v>483</v>
      </c>
      <c r="AL73" s="10"/>
      <c r="AM73" s="10"/>
      <c r="AN73" s="10"/>
    </row>
    <row r="74" spans="2:40" ht="15" x14ac:dyDescent="0.2">
      <c r="B74" s="32">
        <v>141</v>
      </c>
      <c r="C74" s="16">
        <v>20200414</v>
      </c>
      <c r="D74" s="10" t="s">
        <v>476</v>
      </c>
      <c r="E74" s="10" t="s">
        <v>75</v>
      </c>
      <c r="F74" s="19" t="s">
        <v>525</v>
      </c>
      <c r="G74" s="19">
        <v>1390624</v>
      </c>
      <c r="H74" s="20" t="s">
        <v>1</v>
      </c>
      <c r="I74" s="10" t="s">
        <v>82</v>
      </c>
      <c r="J74" s="20" t="s">
        <v>1</v>
      </c>
      <c r="K74" s="10" t="s">
        <v>478</v>
      </c>
      <c r="L74" s="10">
        <v>81728</v>
      </c>
      <c r="M74" s="10" t="s">
        <v>1</v>
      </c>
      <c r="N74" s="10" t="s">
        <v>522</v>
      </c>
      <c r="O74" s="19" t="s">
        <v>1</v>
      </c>
      <c r="P74" s="19" t="s">
        <v>523</v>
      </c>
      <c r="Q74" s="21"/>
      <c r="R74" s="20" t="s">
        <v>1</v>
      </c>
      <c r="S74" s="10" t="s">
        <v>77</v>
      </c>
      <c r="T74" s="10"/>
      <c r="U74" s="10"/>
      <c r="V74" s="10">
        <v>13</v>
      </c>
      <c r="W74" s="10">
        <v>13</v>
      </c>
      <c r="X74" s="10">
        <v>13</v>
      </c>
      <c r="Y74" s="10">
        <v>0.23</v>
      </c>
      <c r="Z74" s="10">
        <v>0.25</v>
      </c>
      <c r="AA74" s="10" t="s">
        <v>481</v>
      </c>
      <c r="AB74" s="22">
        <v>43938</v>
      </c>
      <c r="AC74" s="22">
        <v>43935</v>
      </c>
      <c r="AD74" s="22">
        <v>43938</v>
      </c>
      <c r="AE74" s="22">
        <v>43935</v>
      </c>
      <c r="AF74" s="22">
        <v>43935</v>
      </c>
      <c r="AG74" s="23" t="s">
        <v>482</v>
      </c>
      <c r="AH74" s="24">
        <v>1</v>
      </c>
      <c r="AI74" s="24">
        <v>1</v>
      </c>
      <c r="AJ74" s="24">
        <v>1</v>
      </c>
      <c r="AK74" s="23" t="s">
        <v>483</v>
      </c>
      <c r="AL74" s="10"/>
      <c r="AM74" s="10"/>
      <c r="AN74" s="10"/>
    </row>
    <row r="75" spans="2:40" ht="15" x14ac:dyDescent="0.2">
      <c r="B75" s="32">
        <v>142</v>
      </c>
      <c r="C75" s="16">
        <v>20200414</v>
      </c>
      <c r="D75" s="10" t="s">
        <v>476</v>
      </c>
      <c r="E75" s="10" t="s">
        <v>75</v>
      </c>
      <c r="F75" s="19" t="s">
        <v>525</v>
      </c>
      <c r="G75" s="19">
        <v>1390624</v>
      </c>
      <c r="H75" s="20" t="s">
        <v>1</v>
      </c>
      <c r="I75" s="10" t="s">
        <v>83</v>
      </c>
      <c r="J75" s="20" t="s">
        <v>1</v>
      </c>
      <c r="K75" s="10" t="s">
        <v>478</v>
      </c>
      <c r="L75" s="10">
        <v>81728</v>
      </c>
      <c r="M75" s="10" t="s">
        <v>1</v>
      </c>
      <c r="N75" s="10" t="s">
        <v>522</v>
      </c>
      <c r="O75" s="19" t="s">
        <v>1</v>
      </c>
      <c r="P75" s="19" t="s">
        <v>523</v>
      </c>
      <c r="Q75" s="21"/>
      <c r="R75" s="20" t="s">
        <v>1</v>
      </c>
      <c r="S75" s="10" t="s">
        <v>77</v>
      </c>
      <c r="T75" s="10"/>
      <c r="U75" s="10"/>
      <c r="V75" s="10">
        <v>4</v>
      </c>
      <c r="W75" s="10">
        <v>4</v>
      </c>
      <c r="X75" s="10">
        <v>4</v>
      </c>
      <c r="Y75" s="10">
        <v>7.0000000000000007E-2</v>
      </c>
      <c r="Z75" s="10">
        <v>0.25</v>
      </c>
      <c r="AA75" s="10" t="s">
        <v>481</v>
      </c>
      <c r="AB75" s="22">
        <v>43938</v>
      </c>
      <c r="AC75" s="22">
        <v>43935</v>
      </c>
      <c r="AD75" s="22">
        <v>43938</v>
      </c>
      <c r="AE75" s="22">
        <v>43935</v>
      </c>
      <c r="AF75" s="22">
        <v>43935</v>
      </c>
      <c r="AG75" s="23" t="s">
        <v>482</v>
      </c>
      <c r="AH75" s="24">
        <v>1</v>
      </c>
      <c r="AI75" s="24">
        <v>1</v>
      </c>
      <c r="AJ75" s="24">
        <v>1</v>
      </c>
      <c r="AK75" s="23" t="s">
        <v>483</v>
      </c>
      <c r="AL75" s="10"/>
      <c r="AM75" s="10"/>
      <c r="AN75" s="10"/>
    </row>
    <row r="76" spans="2:40" ht="15" x14ac:dyDescent="0.2">
      <c r="B76" s="32">
        <v>143</v>
      </c>
      <c r="C76" s="16">
        <v>20200414</v>
      </c>
      <c r="D76" s="10" t="s">
        <v>476</v>
      </c>
      <c r="E76" s="10" t="s">
        <v>75</v>
      </c>
      <c r="F76" s="19" t="s">
        <v>526</v>
      </c>
      <c r="G76" s="19">
        <v>1390624</v>
      </c>
      <c r="H76" s="20" t="s">
        <v>1</v>
      </c>
      <c r="I76" s="10" t="s">
        <v>84</v>
      </c>
      <c r="J76" s="20" t="s">
        <v>1</v>
      </c>
      <c r="K76" s="10" t="s">
        <v>478</v>
      </c>
      <c r="L76" s="10">
        <v>81728</v>
      </c>
      <c r="M76" s="10" t="s">
        <v>1</v>
      </c>
      <c r="N76" s="10" t="s">
        <v>522</v>
      </c>
      <c r="O76" s="19" t="s">
        <v>1</v>
      </c>
      <c r="P76" s="19" t="s">
        <v>523</v>
      </c>
      <c r="Q76" s="21"/>
      <c r="R76" s="20" t="s">
        <v>1</v>
      </c>
      <c r="S76" s="10" t="s">
        <v>77</v>
      </c>
      <c r="T76" s="10"/>
      <c r="U76" s="10"/>
      <c r="V76" s="10">
        <v>329</v>
      </c>
      <c r="W76" s="10">
        <v>329</v>
      </c>
      <c r="X76" s="10">
        <v>329</v>
      </c>
      <c r="Y76" s="10">
        <v>5.84</v>
      </c>
      <c r="Z76" s="10">
        <v>0.25</v>
      </c>
      <c r="AA76" s="10" t="s">
        <v>481</v>
      </c>
      <c r="AB76" s="22">
        <v>43938</v>
      </c>
      <c r="AC76" s="22">
        <v>43935</v>
      </c>
      <c r="AD76" s="22">
        <v>43938</v>
      </c>
      <c r="AE76" s="22">
        <v>43935</v>
      </c>
      <c r="AF76" s="22">
        <v>43935</v>
      </c>
      <c r="AG76" s="23" t="s">
        <v>482</v>
      </c>
      <c r="AH76" s="24">
        <v>1</v>
      </c>
      <c r="AI76" s="24">
        <v>1</v>
      </c>
      <c r="AJ76" s="24">
        <v>1</v>
      </c>
      <c r="AK76" s="23" t="s">
        <v>483</v>
      </c>
      <c r="AL76" s="10"/>
      <c r="AM76" s="10"/>
      <c r="AN76" s="10"/>
    </row>
    <row r="77" spans="2:40" ht="15" x14ac:dyDescent="0.2">
      <c r="B77" s="32">
        <v>144</v>
      </c>
      <c r="C77" s="16">
        <v>20200414</v>
      </c>
      <c r="D77" s="10" t="s">
        <v>476</v>
      </c>
      <c r="E77" s="10" t="s">
        <v>75</v>
      </c>
      <c r="F77" s="19" t="s">
        <v>526</v>
      </c>
      <c r="G77" s="19">
        <v>1390624</v>
      </c>
      <c r="H77" s="20" t="s">
        <v>1</v>
      </c>
      <c r="I77" s="10" t="s">
        <v>85</v>
      </c>
      <c r="J77" s="20" t="s">
        <v>1</v>
      </c>
      <c r="K77" s="10" t="s">
        <v>478</v>
      </c>
      <c r="L77" s="10">
        <v>81728</v>
      </c>
      <c r="M77" s="10" t="s">
        <v>1</v>
      </c>
      <c r="N77" s="10" t="s">
        <v>522</v>
      </c>
      <c r="O77" s="19" t="s">
        <v>1</v>
      </c>
      <c r="P77" s="19" t="s">
        <v>523</v>
      </c>
      <c r="Q77" s="21"/>
      <c r="R77" s="20" t="s">
        <v>1</v>
      </c>
      <c r="S77" s="10" t="s">
        <v>77</v>
      </c>
      <c r="T77" s="10"/>
      <c r="U77" s="10"/>
      <c r="V77" s="10">
        <v>96</v>
      </c>
      <c r="W77" s="10">
        <v>96</v>
      </c>
      <c r="X77" s="10">
        <v>96</v>
      </c>
      <c r="Y77" s="10">
        <v>1.7</v>
      </c>
      <c r="Z77" s="10">
        <v>0.25</v>
      </c>
      <c r="AA77" s="10" t="s">
        <v>481</v>
      </c>
      <c r="AB77" s="22">
        <v>43938</v>
      </c>
      <c r="AC77" s="22">
        <v>43935</v>
      </c>
      <c r="AD77" s="22">
        <v>43938</v>
      </c>
      <c r="AE77" s="22">
        <v>43935</v>
      </c>
      <c r="AF77" s="22">
        <v>43935</v>
      </c>
      <c r="AG77" s="23" t="s">
        <v>482</v>
      </c>
      <c r="AH77" s="24">
        <v>1</v>
      </c>
      <c r="AI77" s="24">
        <v>1</v>
      </c>
      <c r="AJ77" s="24">
        <v>1</v>
      </c>
      <c r="AK77" s="23" t="s">
        <v>483</v>
      </c>
      <c r="AL77" s="10"/>
      <c r="AM77" s="10"/>
      <c r="AN77" s="10"/>
    </row>
    <row r="78" spans="2:40" ht="15" x14ac:dyDescent="0.2">
      <c r="B78" s="32">
        <v>145</v>
      </c>
      <c r="C78" s="16">
        <v>20200414</v>
      </c>
      <c r="D78" s="10" t="s">
        <v>476</v>
      </c>
      <c r="E78" s="10" t="s">
        <v>75</v>
      </c>
      <c r="F78" s="19" t="s">
        <v>526</v>
      </c>
      <c r="G78" s="19">
        <v>1390624</v>
      </c>
      <c r="H78" s="20" t="s">
        <v>1</v>
      </c>
      <c r="I78" s="10" t="s">
        <v>86</v>
      </c>
      <c r="J78" s="20" t="s">
        <v>1</v>
      </c>
      <c r="K78" s="10" t="s">
        <v>478</v>
      </c>
      <c r="L78" s="10">
        <v>81728</v>
      </c>
      <c r="M78" s="10" t="s">
        <v>1</v>
      </c>
      <c r="N78" s="10" t="s">
        <v>522</v>
      </c>
      <c r="O78" s="19" t="s">
        <v>1</v>
      </c>
      <c r="P78" s="19" t="s">
        <v>523</v>
      </c>
      <c r="Q78" s="21"/>
      <c r="R78" s="20" t="s">
        <v>1</v>
      </c>
      <c r="S78" s="10" t="s">
        <v>77</v>
      </c>
      <c r="T78" s="10"/>
      <c r="U78" s="10"/>
      <c r="V78" s="10">
        <v>518</v>
      </c>
      <c r="W78" s="10">
        <v>518</v>
      </c>
      <c r="X78" s="10">
        <v>518</v>
      </c>
      <c r="Y78" s="10">
        <v>9.1999999999999993</v>
      </c>
      <c r="Z78" s="10">
        <v>26</v>
      </c>
      <c r="AA78" s="10" t="s">
        <v>481</v>
      </c>
      <c r="AB78" s="22">
        <v>43938</v>
      </c>
      <c r="AC78" s="22">
        <v>43935</v>
      </c>
      <c r="AD78" s="22">
        <v>43938</v>
      </c>
      <c r="AE78" s="22">
        <v>43935</v>
      </c>
      <c r="AF78" s="22">
        <v>43938</v>
      </c>
      <c r="AG78" s="23" t="s">
        <v>489</v>
      </c>
      <c r="AH78" s="24">
        <v>0.98</v>
      </c>
      <c r="AI78" s="24">
        <v>0.99</v>
      </c>
      <c r="AJ78" s="24">
        <v>1</v>
      </c>
      <c r="AK78" s="23" t="s">
        <v>490</v>
      </c>
      <c r="AL78" s="10" t="s">
        <v>527</v>
      </c>
      <c r="AM78" s="10"/>
      <c r="AN78" s="10" t="s">
        <v>492</v>
      </c>
    </row>
    <row r="79" spans="2:40" ht="15" x14ac:dyDescent="0.2">
      <c r="B79" s="32">
        <v>146</v>
      </c>
      <c r="C79" s="16">
        <v>20200414</v>
      </c>
      <c r="D79" s="10" t="s">
        <v>476</v>
      </c>
      <c r="E79" s="10" t="s">
        <v>75</v>
      </c>
      <c r="F79" s="19" t="s">
        <v>526</v>
      </c>
      <c r="G79" s="19">
        <v>1390624</v>
      </c>
      <c r="H79" s="20" t="s">
        <v>1</v>
      </c>
      <c r="I79" s="10" t="s">
        <v>87</v>
      </c>
      <c r="J79" s="20" t="s">
        <v>1</v>
      </c>
      <c r="K79" s="10" t="s">
        <v>478</v>
      </c>
      <c r="L79" s="10">
        <v>81728</v>
      </c>
      <c r="M79" s="10" t="s">
        <v>1</v>
      </c>
      <c r="N79" s="10" t="s">
        <v>522</v>
      </c>
      <c r="O79" s="19" t="s">
        <v>1</v>
      </c>
      <c r="P79" s="19" t="s">
        <v>523</v>
      </c>
      <c r="Q79" s="21"/>
      <c r="R79" s="20" t="s">
        <v>1</v>
      </c>
      <c r="S79" s="10" t="s">
        <v>77</v>
      </c>
      <c r="T79" s="10"/>
      <c r="U79" s="10"/>
      <c r="V79" s="10">
        <v>51</v>
      </c>
      <c r="W79" s="10">
        <v>51</v>
      </c>
      <c r="X79" s="10">
        <v>51</v>
      </c>
      <c r="Y79" s="10">
        <v>0.9</v>
      </c>
      <c r="Z79" s="10">
        <v>0.25</v>
      </c>
      <c r="AA79" s="10" t="s">
        <v>481</v>
      </c>
      <c r="AB79" s="22">
        <v>43938</v>
      </c>
      <c r="AC79" s="22">
        <v>43935</v>
      </c>
      <c r="AD79" s="22">
        <v>43938</v>
      </c>
      <c r="AE79" s="22">
        <v>43935</v>
      </c>
      <c r="AF79" s="22">
        <v>43935</v>
      </c>
      <c r="AG79" s="23" t="s">
        <v>482</v>
      </c>
      <c r="AH79" s="24">
        <v>1</v>
      </c>
      <c r="AI79" s="24">
        <v>1</v>
      </c>
      <c r="AJ79" s="24">
        <v>1</v>
      </c>
      <c r="AK79" s="23" t="s">
        <v>483</v>
      </c>
      <c r="AL79" s="10"/>
      <c r="AM79" s="10"/>
      <c r="AN79" s="10"/>
    </row>
    <row r="80" spans="2:40" ht="15" x14ac:dyDescent="0.2">
      <c r="B80" s="32">
        <v>147</v>
      </c>
      <c r="C80" s="16">
        <v>20200414</v>
      </c>
      <c r="D80" s="10" t="s">
        <v>476</v>
      </c>
      <c r="E80" s="10" t="s">
        <v>75</v>
      </c>
      <c r="F80" s="19" t="s">
        <v>526</v>
      </c>
      <c r="G80" s="19">
        <v>1390624</v>
      </c>
      <c r="H80" s="20" t="s">
        <v>1</v>
      </c>
      <c r="I80" s="10" t="s">
        <v>88</v>
      </c>
      <c r="J80" s="20" t="s">
        <v>1</v>
      </c>
      <c r="K80" s="10" t="s">
        <v>478</v>
      </c>
      <c r="L80" s="10">
        <v>81728</v>
      </c>
      <c r="M80" s="10" t="s">
        <v>1</v>
      </c>
      <c r="N80" s="10" t="s">
        <v>522</v>
      </c>
      <c r="O80" s="19" t="s">
        <v>1</v>
      </c>
      <c r="P80" s="19" t="s">
        <v>523</v>
      </c>
      <c r="Q80" s="21"/>
      <c r="R80" s="20" t="s">
        <v>1</v>
      </c>
      <c r="S80" s="10" t="s">
        <v>77</v>
      </c>
      <c r="T80" s="10"/>
      <c r="U80" s="10"/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 t="s">
        <v>481</v>
      </c>
      <c r="AB80" s="22">
        <v>43938</v>
      </c>
      <c r="AC80" s="22">
        <v>43935</v>
      </c>
      <c r="AD80" s="22">
        <v>43938</v>
      </c>
      <c r="AE80" s="22">
        <v>43935</v>
      </c>
      <c r="AF80" s="22">
        <v>43935</v>
      </c>
      <c r="AG80" s="23" t="s">
        <v>482</v>
      </c>
      <c r="AH80" s="25" t="s">
        <v>1</v>
      </c>
      <c r="AI80" s="25" t="s">
        <v>1</v>
      </c>
      <c r="AJ80" s="25" t="s">
        <v>1</v>
      </c>
      <c r="AK80" s="23" t="s">
        <v>483</v>
      </c>
      <c r="AL80" s="33"/>
      <c r="AM80" s="10"/>
      <c r="AN80" s="10" t="s">
        <v>496</v>
      </c>
    </row>
    <row r="81" spans="2:40" ht="15" x14ac:dyDescent="0.2">
      <c r="B81" s="32">
        <v>148</v>
      </c>
      <c r="C81" s="16">
        <v>20200414</v>
      </c>
      <c r="D81" s="10" t="s">
        <v>476</v>
      </c>
      <c r="E81" s="10" t="s">
        <v>75</v>
      </c>
      <c r="F81" s="19" t="s">
        <v>526</v>
      </c>
      <c r="G81" s="19">
        <v>1390624</v>
      </c>
      <c r="H81" s="20" t="s">
        <v>1</v>
      </c>
      <c r="I81" s="10" t="s">
        <v>89</v>
      </c>
      <c r="J81" s="20" t="s">
        <v>1</v>
      </c>
      <c r="K81" s="10" t="s">
        <v>478</v>
      </c>
      <c r="L81" s="10">
        <v>81728</v>
      </c>
      <c r="M81" s="10" t="s">
        <v>1</v>
      </c>
      <c r="N81" s="10" t="s">
        <v>522</v>
      </c>
      <c r="O81" s="19" t="s">
        <v>1</v>
      </c>
      <c r="P81" s="19" t="s">
        <v>523</v>
      </c>
      <c r="Q81" s="21"/>
      <c r="R81" s="20" t="s">
        <v>1</v>
      </c>
      <c r="S81" s="10" t="s">
        <v>40</v>
      </c>
      <c r="T81" s="10"/>
      <c r="U81" s="10"/>
      <c r="V81" s="10">
        <v>7</v>
      </c>
      <c r="W81" s="10">
        <v>7</v>
      </c>
      <c r="X81" s="10">
        <v>7</v>
      </c>
      <c r="Y81" s="10">
        <v>0.12</v>
      </c>
      <c r="Z81" s="10">
        <v>0.1</v>
      </c>
      <c r="AA81" s="10" t="s">
        <v>481</v>
      </c>
      <c r="AB81" s="22">
        <v>43938</v>
      </c>
      <c r="AC81" s="22">
        <v>43935</v>
      </c>
      <c r="AD81" s="22">
        <v>43938</v>
      </c>
      <c r="AE81" s="22">
        <v>43935</v>
      </c>
      <c r="AF81" s="22">
        <v>43935</v>
      </c>
      <c r="AG81" s="23" t="s">
        <v>482</v>
      </c>
      <c r="AH81" s="24">
        <v>1</v>
      </c>
      <c r="AI81" s="24">
        <v>1</v>
      </c>
      <c r="AJ81" s="24">
        <v>1</v>
      </c>
      <c r="AK81" s="23" t="s">
        <v>483</v>
      </c>
      <c r="AL81" s="10"/>
      <c r="AM81" s="10"/>
      <c r="AN81" s="10"/>
    </row>
    <row r="82" spans="2:40" ht="15" x14ac:dyDescent="0.2">
      <c r="B82" s="32">
        <v>149</v>
      </c>
      <c r="C82" s="16">
        <v>20200414</v>
      </c>
      <c r="D82" s="10" t="s">
        <v>476</v>
      </c>
      <c r="E82" s="10" t="s">
        <v>75</v>
      </c>
      <c r="F82" s="19" t="s">
        <v>526</v>
      </c>
      <c r="G82" s="19">
        <v>1390624</v>
      </c>
      <c r="H82" s="20" t="s">
        <v>1</v>
      </c>
      <c r="I82" s="10" t="s">
        <v>90</v>
      </c>
      <c r="J82" s="20" t="s">
        <v>1</v>
      </c>
      <c r="K82" s="10" t="s">
        <v>478</v>
      </c>
      <c r="L82" s="10">
        <v>81728</v>
      </c>
      <c r="M82" s="10" t="s">
        <v>1</v>
      </c>
      <c r="N82" s="10" t="s">
        <v>522</v>
      </c>
      <c r="O82" s="19" t="s">
        <v>1</v>
      </c>
      <c r="P82" s="19" t="s">
        <v>523</v>
      </c>
      <c r="Q82" s="21"/>
      <c r="R82" s="20" t="s">
        <v>1</v>
      </c>
      <c r="S82" s="10" t="s">
        <v>40</v>
      </c>
      <c r="T82" s="10"/>
      <c r="U82" s="10"/>
      <c r="V82" s="10">
        <v>78</v>
      </c>
      <c r="W82" s="10">
        <v>78</v>
      </c>
      <c r="X82" s="10">
        <v>78</v>
      </c>
      <c r="Y82" s="10">
        <v>1.38</v>
      </c>
      <c r="Z82" s="10">
        <v>1</v>
      </c>
      <c r="AA82" s="10" t="s">
        <v>481</v>
      </c>
      <c r="AB82" s="22">
        <v>43938</v>
      </c>
      <c r="AC82" s="22">
        <v>43935</v>
      </c>
      <c r="AD82" s="22">
        <v>43938</v>
      </c>
      <c r="AE82" s="22">
        <v>43935</v>
      </c>
      <c r="AF82" s="22">
        <v>43935</v>
      </c>
      <c r="AG82" s="23" t="s">
        <v>482</v>
      </c>
      <c r="AH82" s="24">
        <v>1</v>
      </c>
      <c r="AI82" s="24">
        <v>1</v>
      </c>
      <c r="AJ82" s="24">
        <v>1</v>
      </c>
      <c r="AK82" s="23" t="s">
        <v>483</v>
      </c>
      <c r="AL82" s="10"/>
      <c r="AM82" s="10"/>
      <c r="AN82" s="10"/>
    </row>
    <row r="83" spans="2:40" ht="15" x14ac:dyDescent="0.2">
      <c r="B83" s="32">
        <v>150</v>
      </c>
      <c r="C83" s="16">
        <v>20200414</v>
      </c>
      <c r="D83" s="10" t="s">
        <v>476</v>
      </c>
      <c r="E83" s="10" t="s">
        <v>75</v>
      </c>
      <c r="F83" s="19" t="s">
        <v>526</v>
      </c>
      <c r="G83" s="19">
        <v>1390624</v>
      </c>
      <c r="H83" s="20" t="s">
        <v>1</v>
      </c>
      <c r="I83" s="10" t="s">
        <v>91</v>
      </c>
      <c r="J83" s="20" t="s">
        <v>1</v>
      </c>
      <c r="K83" s="10" t="s">
        <v>478</v>
      </c>
      <c r="L83" s="10">
        <v>81728</v>
      </c>
      <c r="M83" s="10" t="s">
        <v>1</v>
      </c>
      <c r="N83" s="10" t="s">
        <v>522</v>
      </c>
      <c r="O83" s="19" t="s">
        <v>1</v>
      </c>
      <c r="P83" s="19" t="s">
        <v>523</v>
      </c>
      <c r="Q83" s="21"/>
      <c r="R83" s="20" t="s">
        <v>1</v>
      </c>
      <c r="S83" s="10" t="s">
        <v>40</v>
      </c>
      <c r="T83" s="10"/>
      <c r="U83" s="10"/>
      <c r="V83" s="10">
        <v>24</v>
      </c>
      <c r="W83" s="10">
        <v>24</v>
      </c>
      <c r="X83" s="10">
        <v>24</v>
      </c>
      <c r="Y83" s="10">
        <v>0.42</v>
      </c>
      <c r="Z83" s="10">
        <v>0.5</v>
      </c>
      <c r="AA83" s="10" t="s">
        <v>481</v>
      </c>
      <c r="AB83" s="22">
        <v>43938</v>
      </c>
      <c r="AC83" s="22">
        <v>43935</v>
      </c>
      <c r="AD83" s="22">
        <v>43938</v>
      </c>
      <c r="AE83" s="22">
        <v>43935</v>
      </c>
      <c r="AF83" s="22">
        <v>43935</v>
      </c>
      <c r="AG83" s="23" t="s">
        <v>482</v>
      </c>
      <c r="AH83" s="24">
        <v>1</v>
      </c>
      <c r="AI83" s="24">
        <v>1</v>
      </c>
      <c r="AJ83" s="24">
        <v>1</v>
      </c>
      <c r="AK83" s="23" t="s">
        <v>483</v>
      </c>
      <c r="AL83" s="10"/>
      <c r="AM83" s="10"/>
      <c r="AN83" s="10"/>
    </row>
    <row r="84" spans="2:40" ht="15" x14ac:dyDescent="0.2">
      <c r="B84" s="32">
        <v>151</v>
      </c>
      <c r="C84" s="16">
        <v>20200414</v>
      </c>
      <c r="D84" s="10" t="s">
        <v>476</v>
      </c>
      <c r="E84" s="10" t="s">
        <v>75</v>
      </c>
      <c r="F84" s="19" t="s">
        <v>528</v>
      </c>
      <c r="G84" s="19">
        <v>1390624</v>
      </c>
      <c r="H84" s="20" t="s">
        <v>1</v>
      </c>
      <c r="I84" s="10" t="s">
        <v>92</v>
      </c>
      <c r="J84" s="20" t="s">
        <v>1</v>
      </c>
      <c r="K84" s="10" t="s">
        <v>478</v>
      </c>
      <c r="L84" s="10">
        <v>81728</v>
      </c>
      <c r="M84" s="10" t="s">
        <v>1</v>
      </c>
      <c r="N84" s="10" t="s">
        <v>522</v>
      </c>
      <c r="O84" s="19" t="s">
        <v>1</v>
      </c>
      <c r="P84" s="19" t="s">
        <v>523</v>
      </c>
      <c r="Q84" s="21"/>
      <c r="R84" s="20" t="s">
        <v>1</v>
      </c>
      <c r="S84" s="10" t="s">
        <v>40</v>
      </c>
      <c r="T84" s="10"/>
      <c r="U84" s="10"/>
      <c r="V84" s="10">
        <v>12</v>
      </c>
      <c r="W84" s="10">
        <v>12</v>
      </c>
      <c r="X84" s="10">
        <v>12</v>
      </c>
      <c r="Y84" s="10">
        <v>0.21</v>
      </c>
      <c r="Z84" s="10">
        <v>0.25</v>
      </c>
      <c r="AA84" s="10" t="s">
        <v>481</v>
      </c>
      <c r="AB84" s="22">
        <v>43938</v>
      </c>
      <c r="AC84" s="22">
        <v>43935</v>
      </c>
      <c r="AD84" s="22">
        <v>43938</v>
      </c>
      <c r="AE84" s="22">
        <v>43935</v>
      </c>
      <c r="AF84" s="22">
        <v>43935</v>
      </c>
      <c r="AG84" s="23" t="s">
        <v>482</v>
      </c>
      <c r="AH84" s="24">
        <v>1</v>
      </c>
      <c r="AI84" s="24">
        <v>1</v>
      </c>
      <c r="AJ84" s="24">
        <v>1</v>
      </c>
      <c r="AK84" s="23" t="s">
        <v>483</v>
      </c>
      <c r="AL84" s="10"/>
      <c r="AM84" s="10"/>
      <c r="AN84" s="10"/>
    </row>
    <row r="85" spans="2:40" ht="15" x14ac:dyDescent="0.2">
      <c r="B85" s="32">
        <v>152</v>
      </c>
      <c r="C85" s="16">
        <v>20200414</v>
      </c>
      <c r="D85" s="10" t="s">
        <v>476</v>
      </c>
      <c r="E85" s="10" t="s">
        <v>75</v>
      </c>
      <c r="F85" s="19" t="s">
        <v>528</v>
      </c>
      <c r="G85" s="19">
        <v>1390624</v>
      </c>
      <c r="H85" s="20" t="s">
        <v>1</v>
      </c>
      <c r="I85" s="10" t="s">
        <v>93</v>
      </c>
      <c r="J85" s="20" t="s">
        <v>1</v>
      </c>
      <c r="K85" s="10" t="s">
        <v>478</v>
      </c>
      <c r="L85" s="10">
        <v>81728</v>
      </c>
      <c r="M85" s="10" t="s">
        <v>1</v>
      </c>
      <c r="N85" s="10" t="s">
        <v>522</v>
      </c>
      <c r="O85" s="19" t="s">
        <v>1</v>
      </c>
      <c r="P85" s="19" t="s">
        <v>523</v>
      </c>
      <c r="Q85" s="21"/>
      <c r="R85" s="20" t="s">
        <v>1</v>
      </c>
      <c r="S85" s="10" t="s">
        <v>40</v>
      </c>
      <c r="T85" s="10"/>
      <c r="U85" s="10"/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 t="s">
        <v>481</v>
      </c>
      <c r="AB85" s="22">
        <v>43938</v>
      </c>
      <c r="AC85" s="22">
        <v>43935</v>
      </c>
      <c r="AD85" s="22">
        <v>43938</v>
      </c>
      <c r="AE85" s="22">
        <v>43935</v>
      </c>
      <c r="AF85" s="22">
        <v>43935</v>
      </c>
      <c r="AG85" s="23" t="s">
        <v>482</v>
      </c>
      <c r="AH85" s="25" t="s">
        <v>1</v>
      </c>
      <c r="AI85" s="25" t="s">
        <v>1</v>
      </c>
      <c r="AJ85" s="25" t="s">
        <v>1</v>
      </c>
      <c r="AK85" s="23" t="s">
        <v>483</v>
      </c>
      <c r="AL85" s="10"/>
      <c r="AM85" s="10"/>
      <c r="AN85" s="10" t="s">
        <v>496</v>
      </c>
    </row>
    <row r="86" spans="2:40" ht="15" x14ac:dyDescent="0.2">
      <c r="B86" s="32">
        <v>153</v>
      </c>
      <c r="C86" s="16">
        <v>20200414</v>
      </c>
      <c r="D86" s="10" t="s">
        <v>476</v>
      </c>
      <c r="E86" s="10" t="s">
        <v>75</v>
      </c>
      <c r="F86" s="19" t="s">
        <v>528</v>
      </c>
      <c r="G86" s="19">
        <v>1390624</v>
      </c>
      <c r="H86" s="20" t="s">
        <v>1</v>
      </c>
      <c r="I86" s="10" t="s">
        <v>94</v>
      </c>
      <c r="J86" s="20" t="s">
        <v>1</v>
      </c>
      <c r="K86" s="10" t="s">
        <v>478</v>
      </c>
      <c r="L86" s="10">
        <v>81728</v>
      </c>
      <c r="M86" s="10" t="s">
        <v>1</v>
      </c>
      <c r="N86" s="10" t="s">
        <v>522</v>
      </c>
      <c r="O86" s="19" t="s">
        <v>1</v>
      </c>
      <c r="P86" s="19" t="s">
        <v>523</v>
      </c>
      <c r="Q86" s="21"/>
      <c r="R86" s="20" t="s">
        <v>1</v>
      </c>
      <c r="S86" s="10" t="s">
        <v>40</v>
      </c>
      <c r="T86" s="10"/>
      <c r="U86" s="10"/>
      <c r="V86" s="10">
        <v>5</v>
      </c>
      <c r="W86" s="10">
        <v>5</v>
      </c>
      <c r="X86" s="10">
        <v>5</v>
      </c>
      <c r="Y86" s="10">
        <v>0.08</v>
      </c>
      <c r="Z86" s="10">
        <v>0.08</v>
      </c>
      <c r="AA86" s="10" t="s">
        <v>481</v>
      </c>
      <c r="AB86" s="22">
        <v>43938</v>
      </c>
      <c r="AC86" s="22">
        <v>43935</v>
      </c>
      <c r="AD86" s="22">
        <v>43938</v>
      </c>
      <c r="AE86" s="22">
        <v>43935</v>
      </c>
      <c r="AF86" s="22">
        <v>43935</v>
      </c>
      <c r="AG86" s="23" t="s">
        <v>482</v>
      </c>
      <c r="AH86" s="24">
        <v>1</v>
      </c>
      <c r="AI86" s="24">
        <v>1</v>
      </c>
      <c r="AJ86" s="24">
        <v>1</v>
      </c>
      <c r="AK86" s="23" t="s">
        <v>483</v>
      </c>
      <c r="AL86" s="10"/>
      <c r="AM86" s="10"/>
      <c r="AN86" s="10"/>
    </row>
    <row r="87" spans="2:40" ht="15" x14ac:dyDescent="0.2">
      <c r="B87" s="32">
        <v>154</v>
      </c>
      <c r="C87" s="16">
        <v>20200414</v>
      </c>
      <c r="D87" s="10" t="s">
        <v>476</v>
      </c>
      <c r="E87" s="10" t="s">
        <v>75</v>
      </c>
      <c r="F87" s="19" t="s">
        <v>529</v>
      </c>
      <c r="G87" s="19">
        <v>1390624</v>
      </c>
      <c r="H87" s="20" t="s">
        <v>1</v>
      </c>
      <c r="I87" s="10" t="s">
        <v>95</v>
      </c>
      <c r="J87" s="20" t="s">
        <v>1</v>
      </c>
      <c r="K87" s="10" t="s">
        <v>478</v>
      </c>
      <c r="L87" s="10">
        <v>81728</v>
      </c>
      <c r="M87" s="10" t="s">
        <v>1</v>
      </c>
      <c r="N87" s="10" t="s">
        <v>522</v>
      </c>
      <c r="O87" s="19" t="s">
        <v>1</v>
      </c>
      <c r="P87" s="19" t="s">
        <v>523</v>
      </c>
      <c r="Q87" s="21"/>
      <c r="R87" s="20" t="s">
        <v>1</v>
      </c>
      <c r="S87" s="10" t="s">
        <v>40</v>
      </c>
      <c r="T87" s="10"/>
      <c r="U87" s="10"/>
      <c r="V87" s="10">
        <v>8</v>
      </c>
      <c r="W87" s="10">
        <v>8</v>
      </c>
      <c r="X87" s="10">
        <v>8</v>
      </c>
      <c r="Y87" s="10">
        <v>0.14000000000000001</v>
      </c>
      <c r="Z87" s="10">
        <v>0.12</v>
      </c>
      <c r="AA87" s="10" t="s">
        <v>481</v>
      </c>
      <c r="AB87" s="22">
        <v>43938</v>
      </c>
      <c r="AC87" s="22">
        <v>43935</v>
      </c>
      <c r="AD87" s="22">
        <v>43938</v>
      </c>
      <c r="AE87" s="22">
        <v>43935</v>
      </c>
      <c r="AF87" s="22">
        <v>43935</v>
      </c>
      <c r="AG87" s="23" t="s">
        <v>482</v>
      </c>
      <c r="AH87" s="24">
        <v>1</v>
      </c>
      <c r="AI87" s="24">
        <v>1</v>
      </c>
      <c r="AJ87" s="24">
        <v>1</v>
      </c>
      <c r="AK87" s="23" t="s">
        <v>483</v>
      </c>
      <c r="AL87" s="10"/>
      <c r="AM87" s="10"/>
      <c r="AN87" s="10"/>
    </row>
    <row r="88" spans="2:40" ht="15" x14ac:dyDescent="0.2">
      <c r="B88" s="32">
        <v>155</v>
      </c>
      <c r="C88" s="16">
        <v>20200414</v>
      </c>
      <c r="D88" s="10" t="s">
        <v>476</v>
      </c>
      <c r="E88" s="10" t="s">
        <v>75</v>
      </c>
      <c r="F88" s="19" t="s">
        <v>529</v>
      </c>
      <c r="G88" s="19">
        <v>1390624</v>
      </c>
      <c r="H88" s="20" t="s">
        <v>1</v>
      </c>
      <c r="I88" s="10" t="s">
        <v>96</v>
      </c>
      <c r="J88" s="20" t="s">
        <v>1</v>
      </c>
      <c r="K88" s="10" t="s">
        <v>478</v>
      </c>
      <c r="L88" s="10">
        <v>81728</v>
      </c>
      <c r="M88" s="10" t="s">
        <v>1</v>
      </c>
      <c r="N88" s="10" t="s">
        <v>522</v>
      </c>
      <c r="O88" s="19" t="s">
        <v>1</v>
      </c>
      <c r="P88" s="19" t="s">
        <v>523</v>
      </c>
      <c r="Q88" s="21"/>
      <c r="R88" s="20" t="s">
        <v>1</v>
      </c>
      <c r="S88" s="10" t="s">
        <v>40</v>
      </c>
      <c r="T88" s="10"/>
      <c r="U88" s="10"/>
      <c r="V88" s="10">
        <v>5</v>
      </c>
      <c r="W88" s="10">
        <v>5</v>
      </c>
      <c r="X88" s="10">
        <v>5</v>
      </c>
      <c r="Y88" s="10">
        <v>0.08</v>
      </c>
      <c r="Z88" s="10">
        <v>0.12</v>
      </c>
      <c r="AA88" s="10" t="s">
        <v>481</v>
      </c>
      <c r="AB88" s="22">
        <v>43938</v>
      </c>
      <c r="AC88" s="22">
        <v>43935</v>
      </c>
      <c r="AD88" s="22">
        <v>43938</v>
      </c>
      <c r="AE88" s="22">
        <v>43935</v>
      </c>
      <c r="AF88" s="22">
        <v>43935</v>
      </c>
      <c r="AG88" s="23" t="s">
        <v>482</v>
      </c>
      <c r="AH88" s="24">
        <v>1</v>
      </c>
      <c r="AI88" s="24">
        <v>1</v>
      </c>
      <c r="AJ88" s="24">
        <v>1</v>
      </c>
      <c r="AK88" s="23" t="s">
        <v>483</v>
      </c>
      <c r="AL88" s="10"/>
      <c r="AM88" s="10"/>
      <c r="AN88" s="10"/>
    </row>
    <row r="89" spans="2:40" ht="15" x14ac:dyDescent="0.2">
      <c r="B89" s="32">
        <v>156</v>
      </c>
      <c r="C89" s="16">
        <v>20200414</v>
      </c>
      <c r="D89" s="10" t="s">
        <v>476</v>
      </c>
      <c r="E89" s="10" t="s">
        <v>75</v>
      </c>
      <c r="F89" s="19" t="s">
        <v>529</v>
      </c>
      <c r="G89" s="19">
        <v>1390624</v>
      </c>
      <c r="H89" s="20" t="s">
        <v>1</v>
      </c>
      <c r="I89" s="10" t="s">
        <v>97</v>
      </c>
      <c r="J89" s="20" t="s">
        <v>1</v>
      </c>
      <c r="K89" s="10" t="s">
        <v>478</v>
      </c>
      <c r="L89" s="10">
        <v>81728</v>
      </c>
      <c r="M89" s="10" t="s">
        <v>1</v>
      </c>
      <c r="N89" s="10" t="s">
        <v>522</v>
      </c>
      <c r="O89" s="19" t="s">
        <v>1</v>
      </c>
      <c r="P89" s="19" t="s">
        <v>523</v>
      </c>
      <c r="Q89" s="21"/>
      <c r="R89" s="20" t="s">
        <v>1</v>
      </c>
      <c r="S89" s="10" t="s">
        <v>40</v>
      </c>
      <c r="T89" s="10"/>
      <c r="U89" s="10"/>
      <c r="V89" s="10">
        <v>10</v>
      </c>
      <c r="W89" s="10">
        <v>10</v>
      </c>
      <c r="X89" s="10">
        <v>10</v>
      </c>
      <c r="Y89" s="10">
        <v>0.17</v>
      </c>
      <c r="Z89" s="10">
        <v>0.12</v>
      </c>
      <c r="AA89" s="10" t="s">
        <v>481</v>
      </c>
      <c r="AB89" s="22">
        <v>43938</v>
      </c>
      <c r="AC89" s="22">
        <v>43935</v>
      </c>
      <c r="AD89" s="22">
        <v>43938</v>
      </c>
      <c r="AE89" s="22">
        <v>43935</v>
      </c>
      <c r="AF89" s="22">
        <v>43935</v>
      </c>
      <c r="AG89" s="23" t="s">
        <v>482</v>
      </c>
      <c r="AH89" s="24">
        <v>1</v>
      </c>
      <c r="AI89" s="24">
        <v>1</v>
      </c>
      <c r="AJ89" s="24">
        <v>1</v>
      </c>
      <c r="AK89" s="23" t="s">
        <v>483</v>
      </c>
      <c r="AL89" s="10"/>
      <c r="AM89" s="10"/>
      <c r="AN89" s="10"/>
    </row>
    <row r="90" spans="2:40" ht="15" x14ac:dyDescent="0.2">
      <c r="B90" s="32">
        <v>157</v>
      </c>
      <c r="C90" s="16">
        <v>20200414</v>
      </c>
      <c r="D90" s="10" t="s">
        <v>476</v>
      </c>
      <c r="E90" s="10" t="s">
        <v>75</v>
      </c>
      <c r="F90" s="19" t="s">
        <v>530</v>
      </c>
      <c r="G90" s="19">
        <v>1390624</v>
      </c>
      <c r="H90" s="20" t="s">
        <v>1</v>
      </c>
      <c r="I90" s="10" t="s">
        <v>98</v>
      </c>
      <c r="J90" s="20" t="s">
        <v>1</v>
      </c>
      <c r="K90" s="10" t="s">
        <v>478</v>
      </c>
      <c r="L90" s="10">
        <v>81728</v>
      </c>
      <c r="M90" s="10" t="s">
        <v>1</v>
      </c>
      <c r="N90" s="10" t="s">
        <v>522</v>
      </c>
      <c r="O90" s="19" t="s">
        <v>1</v>
      </c>
      <c r="P90" s="19" t="s">
        <v>523</v>
      </c>
      <c r="Q90" s="21"/>
      <c r="R90" s="20" t="s">
        <v>1</v>
      </c>
      <c r="S90" s="10" t="s">
        <v>40</v>
      </c>
      <c r="T90" s="10"/>
      <c r="U90" s="10"/>
      <c r="V90" s="10">
        <v>52</v>
      </c>
      <c r="W90" s="10">
        <v>52</v>
      </c>
      <c r="X90" s="10">
        <v>52</v>
      </c>
      <c r="Y90" s="10">
        <v>0.92</v>
      </c>
      <c r="Z90" s="10">
        <v>1</v>
      </c>
      <c r="AA90" s="10" t="s">
        <v>481</v>
      </c>
      <c r="AB90" s="22">
        <v>43938</v>
      </c>
      <c r="AC90" s="22">
        <v>43935</v>
      </c>
      <c r="AD90" s="22">
        <v>43938</v>
      </c>
      <c r="AE90" s="22">
        <v>43935</v>
      </c>
      <c r="AF90" s="22">
        <v>43935</v>
      </c>
      <c r="AG90" s="23" t="s">
        <v>482</v>
      </c>
      <c r="AH90" s="24">
        <v>1</v>
      </c>
      <c r="AI90" s="24">
        <v>1</v>
      </c>
      <c r="AJ90" s="24">
        <v>1</v>
      </c>
      <c r="AK90" s="23" t="s">
        <v>483</v>
      </c>
      <c r="AL90" s="10"/>
      <c r="AM90" s="10"/>
      <c r="AN90" s="10"/>
    </row>
    <row r="91" spans="2:40" ht="165.75" x14ac:dyDescent="0.2">
      <c r="B91" s="32">
        <v>158</v>
      </c>
      <c r="C91" s="16">
        <v>20200414</v>
      </c>
      <c r="D91" s="10" t="s">
        <v>476</v>
      </c>
      <c r="E91" s="10" t="s">
        <v>75</v>
      </c>
      <c r="F91" s="19" t="s">
        <v>531</v>
      </c>
      <c r="G91" s="19">
        <v>1390624</v>
      </c>
      <c r="H91" s="20" t="s">
        <v>1</v>
      </c>
      <c r="I91" s="10" t="s">
        <v>99</v>
      </c>
      <c r="J91" s="20" t="s">
        <v>1</v>
      </c>
      <c r="K91" s="10" t="s">
        <v>478</v>
      </c>
      <c r="L91" s="10">
        <v>81728</v>
      </c>
      <c r="M91" s="10" t="s">
        <v>1</v>
      </c>
      <c r="N91" s="10" t="s">
        <v>522</v>
      </c>
      <c r="O91" s="19" t="s">
        <v>1</v>
      </c>
      <c r="P91" s="19" t="s">
        <v>523</v>
      </c>
      <c r="Q91" s="21"/>
      <c r="R91" s="20" t="s">
        <v>1</v>
      </c>
      <c r="S91" s="10" t="s">
        <v>40</v>
      </c>
      <c r="T91" s="10"/>
      <c r="U91" s="10"/>
      <c r="V91" s="10">
        <v>18</v>
      </c>
      <c r="W91" s="10">
        <v>18</v>
      </c>
      <c r="X91" s="10">
        <v>18</v>
      </c>
      <c r="Y91" s="10">
        <v>0.32</v>
      </c>
      <c r="Z91" s="10">
        <v>0.25</v>
      </c>
      <c r="AA91" s="10" t="s">
        <v>481</v>
      </c>
      <c r="AB91" s="22">
        <v>43938</v>
      </c>
      <c r="AC91" s="22">
        <v>43935</v>
      </c>
      <c r="AD91" s="22">
        <v>43938</v>
      </c>
      <c r="AE91" s="22">
        <v>43935</v>
      </c>
      <c r="AF91" s="22">
        <v>43935</v>
      </c>
      <c r="AG91" s="23" t="s">
        <v>489</v>
      </c>
      <c r="AH91" s="24">
        <v>0.83</v>
      </c>
      <c r="AI91" s="24">
        <v>0.5</v>
      </c>
      <c r="AJ91" s="24">
        <v>1</v>
      </c>
      <c r="AK91" s="23" t="s">
        <v>490</v>
      </c>
      <c r="AL91" s="10" t="s">
        <v>532</v>
      </c>
      <c r="AM91" s="10"/>
      <c r="AN91" s="34" t="s">
        <v>533</v>
      </c>
    </row>
    <row r="92" spans="2:40" ht="15" x14ac:dyDescent="0.2">
      <c r="B92" s="32">
        <v>159</v>
      </c>
      <c r="C92" s="16">
        <v>20200414</v>
      </c>
      <c r="D92" s="10" t="s">
        <v>476</v>
      </c>
      <c r="E92" s="10" t="s">
        <v>75</v>
      </c>
      <c r="F92" s="19" t="s">
        <v>531</v>
      </c>
      <c r="G92" s="19">
        <v>1390624</v>
      </c>
      <c r="H92" s="20" t="s">
        <v>1</v>
      </c>
      <c r="I92" s="10" t="s">
        <v>100</v>
      </c>
      <c r="J92" s="20" t="s">
        <v>1</v>
      </c>
      <c r="K92" s="10" t="s">
        <v>478</v>
      </c>
      <c r="L92" s="10">
        <v>81728</v>
      </c>
      <c r="M92" s="10" t="s">
        <v>1</v>
      </c>
      <c r="N92" s="10" t="s">
        <v>522</v>
      </c>
      <c r="O92" s="19" t="s">
        <v>1</v>
      </c>
      <c r="P92" s="19" t="s">
        <v>523</v>
      </c>
      <c r="Q92" s="21"/>
      <c r="R92" s="20" t="s">
        <v>1</v>
      </c>
      <c r="S92" s="10" t="s">
        <v>40</v>
      </c>
      <c r="T92" s="10"/>
      <c r="U92" s="10"/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 t="s">
        <v>481</v>
      </c>
      <c r="AB92" s="22">
        <v>43938</v>
      </c>
      <c r="AC92" s="22">
        <v>43935</v>
      </c>
      <c r="AD92" s="22">
        <v>43938</v>
      </c>
      <c r="AE92" s="22">
        <v>43935</v>
      </c>
      <c r="AF92" s="22">
        <v>43935</v>
      </c>
      <c r="AG92" s="23" t="s">
        <v>482</v>
      </c>
      <c r="AH92" s="25" t="s">
        <v>1</v>
      </c>
      <c r="AI92" s="25" t="s">
        <v>1</v>
      </c>
      <c r="AJ92" s="25" t="s">
        <v>1</v>
      </c>
      <c r="AK92" s="23" t="s">
        <v>483</v>
      </c>
      <c r="AL92" s="10"/>
      <c r="AM92" s="10"/>
      <c r="AN92" s="10" t="s">
        <v>496</v>
      </c>
    </row>
    <row r="93" spans="2:40" ht="165.75" x14ac:dyDescent="0.2">
      <c r="B93" s="32">
        <v>160</v>
      </c>
      <c r="C93" s="16">
        <v>20200414</v>
      </c>
      <c r="D93" s="10" t="s">
        <v>476</v>
      </c>
      <c r="E93" s="10" t="s">
        <v>75</v>
      </c>
      <c r="F93" s="19" t="s">
        <v>534</v>
      </c>
      <c r="G93" s="19">
        <v>1390624</v>
      </c>
      <c r="H93" s="20" t="s">
        <v>1</v>
      </c>
      <c r="I93" s="10" t="s">
        <v>101</v>
      </c>
      <c r="J93" s="20" t="s">
        <v>1</v>
      </c>
      <c r="K93" s="10" t="s">
        <v>478</v>
      </c>
      <c r="L93" s="10">
        <v>81728</v>
      </c>
      <c r="M93" s="10" t="s">
        <v>1</v>
      </c>
      <c r="N93" s="10" t="s">
        <v>522</v>
      </c>
      <c r="O93" s="19" t="s">
        <v>1</v>
      </c>
      <c r="P93" s="19" t="s">
        <v>523</v>
      </c>
      <c r="Q93" s="21"/>
      <c r="R93" s="20" t="s">
        <v>1</v>
      </c>
      <c r="S93" s="10" t="s">
        <v>40</v>
      </c>
      <c r="T93" s="10"/>
      <c r="U93" s="10"/>
      <c r="V93" s="10">
        <v>47</v>
      </c>
      <c r="W93" s="10">
        <v>47</v>
      </c>
      <c r="X93" s="10">
        <v>47</v>
      </c>
      <c r="Y93" s="10">
        <v>0.83</v>
      </c>
      <c r="Z93" s="10">
        <v>0.5</v>
      </c>
      <c r="AA93" s="10" t="s">
        <v>481</v>
      </c>
      <c r="AB93" s="22">
        <v>43938</v>
      </c>
      <c r="AC93" s="22">
        <v>43935</v>
      </c>
      <c r="AD93" s="22">
        <v>43938</v>
      </c>
      <c r="AE93" s="22">
        <v>43935</v>
      </c>
      <c r="AF93" s="22">
        <v>43935</v>
      </c>
      <c r="AG93" s="23" t="s">
        <v>489</v>
      </c>
      <c r="AH93" s="24">
        <v>1</v>
      </c>
      <c r="AI93" s="24">
        <v>0.91</v>
      </c>
      <c r="AJ93" s="24">
        <v>1</v>
      </c>
      <c r="AK93" s="23" t="s">
        <v>490</v>
      </c>
      <c r="AL93" s="10" t="s">
        <v>535</v>
      </c>
      <c r="AM93" s="10"/>
      <c r="AN93" s="34" t="s">
        <v>536</v>
      </c>
    </row>
    <row r="94" spans="2:40" ht="15" x14ac:dyDescent="0.2">
      <c r="B94" s="32">
        <v>161</v>
      </c>
      <c r="C94" s="16">
        <v>20200414</v>
      </c>
      <c r="D94" s="10" t="s">
        <v>476</v>
      </c>
      <c r="E94" s="10" t="s">
        <v>75</v>
      </c>
      <c r="F94" s="19" t="s">
        <v>534</v>
      </c>
      <c r="G94" s="19">
        <v>1390624</v>
      </c>
      <c r="H94" s="20" t="s">
        <v>1</v>
      </c>
      <c r="I94" s="10" t="s">
        <v>102</v>
      </c>
      <c r="J94" s="20" t="s">
        <v>1</v>
      </c>
      <c r="K94" s="10" t="s">
        <v>478</v>
      </c>
      <c r="L94" s="10">
        <v>81728</v>
      </c>
      <c r="M94" s="10" t="s">
        <v>1</v>
      </c>
      <c r="N94" s="10" t="s">
        <v>522</v>
      </c>
      <c r="O94" s="19" t="s">
        <v>1</v>
      </c>
      <c r="P94" s="19" t="s">
        <v>523</v>
      </c>
      <c r="Q94" s="21"/>
      <c r="R94" s="20" t="s">
        <v>1</v>
      </c>
      <c r="S94" s="10" t="s">
        <v>40</v>
      </c>
      <c r="T94" s="10"/>
      <c r="U94" s="10"/>
      <c r="V94" s="10">
        <v>101</v>
      </c>
      <c r="W94" s="10">
        <v>101</v>
      </c>
      <c r="X94" s="10">
        <v>101</v>
      </c>
      <c r="Y94" s="10">
        <v>1.79</v>
      </c>
      <c r="Z94" s="10">
        <v>2</v>
      </c>
      <c r="AA94" s="10" t="s">
        <v>481</v>
      </c>
      <c r="AB94" s="22">
        <v>43938</v>
      </c>
      <c r="AC94" s="22">
        <v>43935</v>
      </c>
      <c r="AD94" s="22">
        <v>43938</v>
      </c>
      <c r="AE94" s="22">
        <v>43935</v>
      </c>
      <c r="AF94" s="22">
        <v>43936</v>
      </c>
      <c r="AG94" s="23" t="s">
        <v>482</v>
      </c>
      <c r="AH94" s="24">
        <v>1</v>
      </c>
      <c r="AI94" s="24">
        <v>1</v>
      </c>
      <c r="AJ94" s="24">
        <v>1</v>
      </c>
      <c r="AK94" s="23" t="s">
        <v>483</v>
      </c>
      <c r="AL94" s="10"/>
      <c r="AM94" s="10"/>
      <c r="AN94" s="10"/>
    </row>
    <row r="95" spans="2:40" ht="15" x14ac:dyDescent="0.2">
      <c r="B95" s="32">
        <v>162</v>
      </c>
      <c r="C95" s="16">
        <v>20200414</v>
      </c>
      <c r="D95" s="10" t="s">
        <v>476</v>
      </c>
      <c r="E95" s="10" t="s">
        <v>75</v>
      </c>
      <c r="F95" s="19" t="s">
        <v>534</v>
      </c>
      <c r="G95" s="19">
        <v>1390624</v>
      </c>
      <c r="H95" s="20" t="s">
        <v>1</v>
      </c>
      <c r="I95" s="10" t="s">
        <v>103</v>
      </c>
      <c r="J95" s="20" t="s">
        <v>1</v>
      </c>
      <c r="K95" s="10" t="s">
        <v>478</v>
      </c>
      <c r="L95" s="10">
        <v>81728</v>
      </c>
      <c r="M95" s="10" t="s">
        <v>1</v>
      </c>
      <c r="N95" s="10" t="s">
        <v>522</v>
      </c>
      <c r="O95" s="19" t="s">
        <v>1</v>
      </c>
      <c r="P95" s="19" t="s">
        <v>523</v>
      </c>
      <c r="Q95" s="21"/>
      <c r="R95" s="20" t="s">
        <v>1</v>
      </c>
      <c r="S95" s="10" t="s">
        <v>40</v>
      </c>
      <c r="T95" s="10"/>
      <c r="U95" s="10"/>
      <c r="V95" s="10">
        <v>7</v>
      </c>
      <c r="W95" s="10">
        <v>7</v>
      </c>
      <c r="X95" s="10">
        <v>7</v>
      </c>
      <c r="Y95" s="10">
        <v>0.12</v>
      </c>
      <c r="Z95" s="10">
        <v>0.08</v>
      </c>
      <c r="AA95" s="10" t="s">
        <v>481</v>
      </c>
      <c r="AB95" s="22">
        <v>43938</v>
      </c>
      <c r="AC95" s="22">
        <v>43935</v>
      </c>
      <c r="AD95" s="22">
        <v>43938</v>
      </c>
      <c r="AE95" s="22">
        <v>43935</v>
      </c>
      <c r="AF95" s="22">
        <v>43936</v>
      </c>
      <c r="AG95" s="23" t="s">
        <v>482</v>
      </c>
      <c r="AH95" s="24">
        <v>1</v>
      </c>
      <c r="AI95" s="24">
        <v>1</v>
      </c>
      <c r="AJ95" s="24">
        <v>1</v>
      </c>
      <c r="AK95" s="23" t="s">
        <v>483</v>
      </c>
      <c r="AL95" s="10"/>
      <c r="AM95" s="10"/>
      <c r="AN95" s="10"/>
    </row>
    <row r="96" spans="2:40" ht="15" x14ac:dyDescent="0.2">
      <c r="B96" s="32">
        <v>163</v>
      </c>
      <c r="C96" s="16">
        <v>20200414</v>
      </c>
      <c r="D96" s="10" t="s">
        <v>476</v>
      </c>
      <c r="E96" s="10" t="s">
        <v>75</v>
      </c>
      <c r="F96" s="19" t="s">
        <v>534</v>
      </c>
      <c r="G96" s="19">
        <v>1390624</v>
      </c>
      <c r="H96" s="20" t="s">
        <v>1</v>
      </c>
      <c r="I96" s="10" t="s">
        <v>104</v>
      </c>
      <c r="J96" s="20" t="s">
        <v>1</v>
      </c>
      <c r="K96" s="10" t="s">
        <v>478</v>
      </c>
      <c r="L96" s="10">
        <v>81728</v>
      </c>
      <c r="M96" s="10" t="s">
        <v>1</v>
      </c>
      <c r="N96" s="10" t="s">
        <v>522</v>
      </c>
      <c r="O96" s="19" t="s">
        <v>1</v>
      </c>
      <c r="P96" s="19" t="s">
        <v>523</v>
      </c>
      <c r="Q96" s="21"/>
      <c r="R96" s="20" t="s">
        <v>1</v>
      </c>
      <c r="S96" s="10" t="s">
        <v>40</v>
      </c>
      <c r="T96" s="10"/>
      <c r="U96" s="10"/>
      <c r="V96" s="10">
        <v>5</v>
      </c>
      <c r="W96" s="10">
        <v>5</v>
      </c>
      <c r="X96" s="10">
        <v>5</v>
      </c>
      <c r="Y96" s="10">
        <v>0.08</v>
      </c>
      <c r="Z96" s="10">
        <v>0.08</v>
      </c>
      <c r="AA96" s="10" t="s">
        <v>481</v>
      </c>
      <c r="AB96" s="22">
        <v>43938</v>
      </c>
      <c r="AC96" s="22">
        <v>43935</v>
      </c>
      <c r="AD96" s="22">
        <v>43938</v>
      </c>
      <c r="AE96" s="22">
        <v>43935</v>
      </c>
      <c r="AF96" s="22">
        <v>43936</v>
      </c>
      <c r="AG96" s="23" t="s">
        <v>482</v>
      </c>
      <c r="AH96" s="24">
        <v>1</v>
      </c>
      <c r="AI96" s="24">
        <v>1</v>
      </c>
      <c r="AJ96" s="24">
        <v>1</v>
      </c>
      <c r="AK96" s="23" t="s">
        <v>483</v>
      </c>
      <c r="AL96" s="10"/>
      <c r="AM96" s="10"/>
      <c r="AN96" s="10"/>
    </row>
    <row r="97" spans="2:40" ht="15" x14ac:dyDescent="0.2">
      <c r="B97" s="32">
        <v>164</v>
      </c>
      <c r="C97" s="16">
        <v>20200414</v>
      </c>
      <c r="D97" s="10" t="s">
        <v>476</v>
      </c>
      <c r="E97" s="10" t="s">
        <v>75</v>
      </c>
      <c r="F97" s="19" t="s">
        <v>534</v>
      </c>
      <c r="G97" s="19">
        <v>1390624</v>
      </c>
      <c r="H97" s="20" t="s">
        <v>1</v>
      </c>
      <c r="I97" s="10" t="s">
        <v>105</v>
      </c>
      <c r="J97" s="20" t="s">
        <v>1</v>
      </c>
      <c r="K97" s="10" t="s">
        <v>478</v>
      </c>
      <c r="L97" s="10">
        <v>81728</v>
      </c>
      <c r="M97" s="10" t="s">
        <v>1</v>
      </c>
      <c r="N97" s="10" t="s">
        <v>522</v>
      </c>
      <c r="O97" s="19" t="s">
        <v>1</v>
      </c>
      <c r="P97" s="19" t="s">
        <v>523</v>
      </c>
      <c r="Q97" s="21"/>
      <c r="R97" s="20" t="s">
        <v>1</v>
      </c>
      <c r="S97" s="10" t="s">
        <v>40</v>
      </c>
      <c r="T97" s="10"/>
      <c r="U97" s="10"/>
      <c r="V97" s="10">
        <v>58</v>
      </c>
      <c r="W97" s="10">
        <v>58</v>
      </c>
      <c r="X97" s="10">
        <v>58</v>
      </c>
      <c r="Y97" s="10">
        <v>1.03</v>
      </c>
      <c r="Z97" s="10">
        <v>1</v>
      </c>
      <c r="AA97" s="10" t="s">
        <v>481</v>
      </c>
      <c r="AB97" s="22">
        <v>43938</v>
      </c>
      <c r="AC97" s="22">
        <v>43935</v>
      </c>
      <c r="AD97" s="22">
        <v>43938</v>
      </c>
      <c r="AE97" s="22">
        <v>43935</v>
      </c>
      <c r="AF97" s="22">
        <v>43936</v>
      </c>
      <c r="AG97" s="23" t="s">
        <v>482</v>
      </c>
      <c r="AH97" s="24">
        <v>1</v>
      </c>
      <c r="AI97" s="24">
        <v>1</v>
      </c>
      <c r="AJ97" s="24">
        <v>1</v>
      </c>
      <c r="AK97" s="23" t="s">
        <v>483</v>
      </c>
      <c r="AL97" s="10"/>
      <c r="AM97" s="10"/>
      <c r="AN97" s="10"/>
    </row>
    <row r="98" spans="2:40" ht="15" x14ac:dyDescent="0.2">
      <c r="B98" s="32">
        <v>165</v>
      </c>
      <c r="C98" s="16">
        <v>20200414</v>
      </c>
      <c r="D98" s="10" t="s">
        <v>476</v>
      </c>
      <c r="E98" s="10" t="s">
        <v>75</v>
      </c>
      <c r="F98" s="19" t="s">
        <v>534</v>
      </c>
      <c r="G98" s="19">
        <v>1390624</v>
      </c>
      <c r="H98" s="20" t="s">
        <v>1</v>
      </c>
      <c r="I98" s="10" t="s">
        <v>106</v>
      </c>
      <c r="J98" s="20" t="s">
        <v>1</v>
      </c>
      <c r="K98" s="10" t="s">
        <v>478</v>
      </c>
      <c r="L98" s="10">
        <v>81728</v>
      </c>
      <c r="M98" s="10" t="s">
        <v>1</v>
      </c>
      <c r="N98" s="10" t="s">
        <v>522</v>
      </c>
      <c r="O98" s="19" t="s">
        <v>1</v>
      </c>
      <c r="P98" s="19" t="s">
        <v>523</v>
      </c>
      <c r="Q98" s="21"/>
      <c r="R98" s="20" t="s">
        <v>1</v>
      </c>
      <c r="S98" s="10" t="s">
        <v>40</v>
      </c>
      <c r="T98" s="10"/>
      <c r="U98" s="10"/>
      <c r="V98" s="10">
        <v>13</v>
      </c>
      <c r="W98" s="10">
        <v>13</v>
      </c>
      <c r="X98" s="10">
        <v>13</v>
      </c>
      <c r="Y98" s="10">
        <v>0.23</v>
      </c>
      <c r="Z98" s="10">
        <v>0.25</v>
      </c>
      <c r="AA98" s="10" t="s">
        <v>481</v>
      </c>
      <c r="AB98" s="22">
        <v>43938</v>
      </c>
      <c r="AC98" s="22">
        <v>43935</v>
      </c>
      <c r="AD98" s="22">
        <v>43938</v>
      </c>
      <c r="AE98" s="22">
        <v>43935</v>
      </c>
      <c r="AF98" s="22">
        <v>43936</v>
      </c>
      <c r="AG98" s="23" t="s">
        <v>482</v>
      </c>
      <c r="AH98" s="24">
        <v>1</v>
      </c>
      <c r="AI98" s="24">
        <v>1</v>
      </c>
      <c r="AJ98" s="24">
        <v>1</v>
      </c>
      <c r="AK98" s="23" t="s">
        <v>483</v>
      </c>
      <c r="AL98" s="10"/>
      <c r="AM98" s="10"/>
      <c r="AN98" s="10"/>
    </row>
    <row r="99" spans="2:40" ht="15" x14ac:dyDescent="0.2">
      <c r="B99" s="35">
        <v>166</v>
      </c>
      <c r="C99" s="16">
        <v>20200415</v>
      </c>
      <c r="D99" s="10" t="s">
        <v>476</v>
      </c>
      <c r="E99" s="10" t="s">
        <v>107</v>
      </c>
      <c r="F99" s="19" t="s">
        <v>537</v>
      </c>
      <c r="G99" s="19">
        <v>1420664</v>
      </c>
      <c r="H99" s="20" t="s">
        <v>1</v>
      </c>
      <c r="I99" s="10" t="s">
        <v>108</v>
      </c>
      <c r="J99" s="20" t="s">
        <v>1</v>
      </c>
      <c r="K99" s="10" t="s">
        <v>478</v>
      </c>
      <c r="L99" s="10" t="s">
        <v>538</v>
      </c>
      <c r="M99" s="10" t="s">
        <v>47</v>
      </c>
      <c r="N99" s="10" t="s">
        <v>539</v>
      </c>
      <c r="O99" s="19" t="s">
        <v>1</v>
      </c>
      <c r="P99" s="19" t="s">
        <v>540</v>
      </c>
      <c r="Q99" s="21"/>
      <c r="R99" s="20" t="s">
        <v>1</v>
      </c>
      <c r="S99" s="10" t="s">
        <v>40</v>
      </c>
      <c r="T99" s="10"/>
      <c r="U99" s="10"/>
      <c r="V99" s="10">
        <v>74</v>
      </c>
      <c r="W99" s="10">
        <v>74</v>
      </c>
      <c r="X99" s="10">
        <v>74</v>
      </c>
      <c r="Y99" s="10">
        <v>1.31</v>
      </c>
      <c r="Z99" s="10">
        <v>0.75</v>
      </c>
      <c r="AA99" s="10" t="s">
        <v>481</v>
      </c>
      <c r="AB99" s="22">
        <v>43938</v>
      </c>
      <c r="AC99" s="22">
        <v>43936</v>
      </c>
      <c r="AD99" s="22">
        <v>43938</v>
      </c>
      <c r="AE99" s="22">
        <v>43936</v>
      </c>
      <c r="AF99" s="22">
        <v>43936</v>
      </c>
      <c r="AG99" s="23" t="s">
        <v>482</v>
      </c>
      <c r="AH99" s="24">
        <v>1</v>
      </c>
      <c r="AI99" s="24">
        <v>1</v>
      </c>
      <c r="AJ99" s="24">
        <v>1</v>
      </c>
      <c r="AK99" s="23" t="s">
        <v>483</v>
      </c>
      <c r="AL99" s="10"/>
      <c r="AM99" s="10"/>
      <c r="AN99" s="10"/>
    </row>
    <row r="100" spans="2:40" ht="15" x14ac:dyDescent="0.2">
      <c r="B100" s="36">
        <v>167</v>
      </c>
      <c r="C100" s="16">
        <v>20200416</v>
      </c>
      <c r="D100" s="10" t="s">
        <v>476</v>
      </c>
      <c r="E100" s="10" t="s">
        <v>109</v>
      </c>
      <c r="F100" s="19" t="s">
        <v>541</v>
      </c>
      <c r="G100" s="19">
        <v>1414211</v>
      </c>
      <c r="H100" s="20" t="s">
        <v>1</v>
      </c>
      <c r="I100" s="10" t="s">
        <v>110</v>
      </c>
      <c r="J100" s="20" t="s">
        <v>1</v>
      </c>
      <c r="K100" s="10" t="s">
        <v>478</v>
      </c>
      <c r="L100" s="19" t="s">
        <v>483</v>
      </c>
      <c r="M100" s="10" t="s">
        <v>111</v>
      </c>
      <c r="N100" s="10" t="s">
        <v>542</v>
      </c>
      <c r="O100" s="19" t="s">
        <v>1</v>
      </c>
      <c r="P100" s="19" t="s">
        <v>543</v>
      </c>
      <c r="Q100" s="21"/>
      <c r="R100" s="20" t="s">
        <v>1</v>
      </c>
      <c r="S100" s="10" t="s">
        <v>40</v>
      </c>
      <c r="T100" s="10"/>
      <c r="U100" s="10"/>
      <c r="V100" s="10">
        <v>14</v>
      </c>
      <c r="W100" s="10">
        <v>14</v>
      </c>
      <c r="X100" s="10">
        <v>14</v>
      </c>
      <c r="Y100" s="10">
        <v>0.24</v>
      </c>
      <c r="Z100" s="10">
        <v>0.25</v>
      </c>
      <c r="AA100" s="10" t="s">
        <v>481</v>
      </c>
      <c r="AB100" s="22">
        <v>43938</v>
      </c>
      <c r="AC100" s="22">
        <v>43937</v>
      </c>
      <c r="AD100" s="22">
        <v>43938</v>
      </c>
      <c r="AE100" s="22">
        <v>43937</v>
      </c>
      <c r="AF100" s="22">
        <v>43937</v>
      </c>
      <c r="AG100" s="23" t="s">
        <v>482</v>
      </c>
      <c r="AH100" s="24">
        <v>1</v>
      </c>
      <c r="AI100" s="24">
        <v>1</v>
      </c>
      <c r="AJ100" s="24">
        <v>1</v>
      </c>
      <c r="AK100" s="23" t="s">
        <v>483</v>
      </c>
      <c r="AL100" s="10"/>
      <c r="AM100" s="10"/>
      <c r="AN100" s="10"/>
    </row>
    <row r="101" spans="2:40" ht="15" x14ac:dyDescent="0.2">
      <c r="B101" s="36">
        <v>168</v>
      </c>
      <c r="C101" s="16">
        <v>20200416</v>
      </c>
      <c r="D101" s="10" t="s">
        <v>476</v>
      </c>
      <c r="E101" s="10" t="s">
        <v>109</v>
      </c>
      <c r="F101" s="19" t="s">
        <v>544</v>
      </c>
      <c r="G101" s="19">
        <v>1414211</v>
      </c>
      <c r="H101" s="20" t="s">
        <v>1</v>
      </c>
      <c r="I101" s="10" t="s">
        <v>112</v>
      </c>
      <c r="J101" s="20" t="s">
        <v>1</v>
      </c>
      <c r="K101" s="10" t="s">
        <v>478</v>
      </c>
      <c r="L101" s="19" t="s">
        <v>483</v>
      </c>
      <c r="M101" s="10" t="s">
        <v>111</v>
      </c>
      <c r="N101" s="10" t="s">
        <v>542</v>
      </c>
      <c r="O101" s="19" t="s">
        <v>1</v>
      </c>
      <c r="P101" s="19" t="s">
        <v>543</v>
      </c>
      <c r="Q101" s="21"/>
      <c r="R101" s="20" t="s">
        <v>1</v>
      </c>
      <c r="S101" s="10" t="s">
        <v>40</v>
      </c>
      <c r="T101" s="10"/>
      <c r="U101" s="10"/>
      <c r="V101" s="10">
        <v>14</v>
      </c>
      <c r="W101" s="10">
        <v>14</v>
      </c>
      <c r="X101" s="10">
        <v>14</v>
      </c>
      <c r="Y101" s="10">
        <v>0.24</v>
      </c>
      <c r="Z101" s="10">
        <v>0.12</v>
      </c>
      <c r="AA101" s="10" t="s">
        <v>481</v>
      </c>
      <c r="AB101" s="22">
        <v>43938</v>
      </c>
      <c r="AC101" s="22">
        <v>43937</v>
      </c>
      <c r="AD101" s="22">
        <v>43938</v>
      </c>
      <c r="AE101" s="22">
        <v>43937</v>
      </c>
      <c r="AF101" s="22">
        <v>43937</v>
      </c>
      <c r="AG101" s="23" t="s">
        <v>482</v>
      </c>
      <c r="AH101" s="24">
        <v>1</v>
      </c>
      <c r="AI101" s="24">
        <v>1</v>
      </c>
      <c r="AJ101" s="24">
        <v>1</v>
      </c>
      <c r="AK101" s="23" t="s">
        <v>483</v>
      </c>
      <c r="AL101" s="10"/>
      <c r="AM101" s="10"/>
      <c r="AN101" s="10"/>
    </row>
    <row r="102" spans="2:40" ht="15" x14ac:dyDescent="0.2">
      <c r="B102" s="36">
        <v>169</v>
      </c>
      <c r="C102" s="16">
        <v>20200416</v>
      </c>
      <c r="D102" s="10" t="s">
        <v>476</v>
      </c>
      <c r="E102" s="10" t="s">
        <v>109</v>
      </c>
      <c r="F102" s="19" t="s">
        <v>545</v>
      </c>
      <c r="G102" s="19">
        <v>1414211</v>
      </c>
      <c r="H102" s="20" t="s">
        <v>1</v>
      </c>
      <c r="I102" s="10" t="s">
        <v>113</v>
      </c>
      <c r="J102" s="20" t="s">
        <v>1</v>
      </c>
      <c r="K102" s="10" t="s">
        <v>478</v>
      </c>
      <c r="L102" s="19" t="s">
        <v>483</v>
      </c>
      <c r="M102" s="10" t="s">
        <v>111</v>
      </c>
      <c r="N102" s="10" t="s">
        <v>542</v>
      </c>
      <c r="O102" s="19" t="s">
        <v>1</v>
      </c>
      <c r="P102" s="19" t="s">
        <v>543</v>
      </c>
      <c r="Q102" s="21"/>
      <c r="R102" s="20" t="s">
        <v>1</v>
      </c>
      <c r="S102" s="10" t="s">
        <v>40</v>
      </c>
      <c r="T102" s="10"/>
      <c r="U102" s="10"/>
      <c r="V102" s="10">
        <v>13</v>
      </c>
      <c r="W102" s="10">
        <v>13</v>
      </c>
      <c r="X102" s="10">
        <v>13</v>
      </c>
      <c r="Y102" s="10">
        <v>0.23</v>
      </c>
      <c r="Z102" s="10">
        <v>0.12</v>
      </c>
      <c r="AA102" s="10" t="s">
        <v>481</v>
      </c>
      <c r="AB102" s="22">
        <v>43938</v>
      </c>
      <c r="AC102" s="22">
        <v>43937</v>
      </c>
      <c r="AD102" s="22">
        <v>43938</v>
      </c>
      <c r="AE102" s="22">
        <v>43937</v>
      </c>
      <c r="AF102" s="22">
        <v>43937</v>
      </c>
      <c r="AG102" s="23" t="s">
        <v>482</v>
      </c>
      <c r="AH102" s="24">
        <v>1</v>
      </c>
      <c r="AI102" s="24">
        <v>1</v>
      </c>
      <c r="AJ102" s="24">
        <v>1</v>
      </c>
      <c r="AK102" s="23" t="s">
        <v>483</v>
      </c>
      <c r="AL102" s="10"/>
      <c r="AM102" s="10"/>
      <c r="AN102" s="10"/>
    </row>
    <row r="103" spans="2:40" ht="15" x14ac:dyDescent="0.2">
      <c r="B103" s="36">
        <v>170</v>
      </c>
      <c r="C103" s="16">
        <v>20200416</v>
      </c>
      <c r="D103" s="10" t="s">
        <v>476</v>
      </c>
      <c r="E103" s="10" t="s">
        <v>109</v>
      </c>
      <c r="F103" s="19" t="s">
        <v>546</v>
      </c>
      <c r="G103" s="19">
        <v>1414211</v>
      </c>
      <c r="H103" s="20" t="s">
        <v>1</v>
      </c>
      <c r="I103" s="10" t="s">
        <v>114</v>
      </c>
      <c r="J103" s="20" t="s">
        <v>1</v>
      </c>
      <c r="K103" s="10" t="s">
        <v>478</v>
      </c>
      <c r="L103" s="19" t="s">
        <v>483</v>
      </c>
      <c r="M103" s="10" t="s">
        <v>111</v>
      </c>
      <c r="N103" s="10" t="s">
        <v>542</v>
      </c>
      <c r="O103" s="19" t="s">
        <v>1</v>
      </c>
      <c r="P103" s="19" t="s">
        <v>543</v>
      </c>
      <c r="Q103" s="21"/>
      <c r="R103" s="20" t="s">
        <v>1</v>
      </c>
      <c r="S103" s="10" t="s">
        <v>40</v>
      </c>
      <c r="T103" s="10"/>
      <c r="U103" s="10"/>
      <c r="V103" s="10">
        <v>13</v>
      </c>
      <c r="W103" s="10">
        <v>13</v>
      </c>
      <c r="X103" s="10">
        <v>13</v>
      </c>
      <c r="Y103" s="10">
        <v>0.23</v>
      </c>
      <c r="Z103" s="10">
        <v>0.12</v>
      </c>
      <c r="AA103" s="10" t="s">
        <v>481</v>
      </c>
      <c r="AB103" s="22">
        <v>43938</v>
      </c>
      <c r="AC103" s="22">
        <v>43937</v>
      </c>
      <c r="AD103" s="22">
        <v>43938</v>
      </c>
      <c r="AE103" s="22">
        <v>43937</v>
      </c>
      <c r="AF103" s="22">
        <v>43937</v>
      </c>
      <c r="AG103" s="23" t="s">
        <v>482</v>
      </c>
      <c r="AH103" s="24">
        <v>1</v>
      </c>
      <c r="AI103" s="24">
        <v>1</v>
      </c>
      <c r="AJ103" s="24">
        <v>1</v>
      </c>
      <c r="AK103" s="23" t="s">
        <v>483</v>
      </c>
      <c r="AL103" s="10"/>
      <c r="AM103" s="10"/>
      <c r="AN103" s="10"/>
    </row>
    <row r="104" spans="2:40" ht="15" x14ac:dyDescent="0.2">
      <c r="B104" s="37">
        <v>171</v>
      </c>
      <c r="C104" s="16">
        <v>20200416</v>
      </c>
      <c r="D104" s="10" t="s">
        <v>476</v>
      </c>
      <c r="E104" s="10" t="s">
        <v>115</v>
      </c>
      <c r="F104" s="19" t="s">
        <v>547</v>
      </c>
      <c r="G104" s="19">
        <v>1414361</v>
      </c>
      <c r="H104" s="20" t="s">
        <v>1</v>
      </c>
      <c r="I104" s="10" t="s">
        <v>116</v>
      </c>
      <c r="J104" s="20" t="s">
        <v>1</v>
      </c>
      <c r="K104" s="1" t="s">
        <v>548</v>
      </c>
      <c r="L104" s="19" t="s">
        <v>483</v>
      </c>
      <c r="M104" s="10" t="s">
        <v>117</v>
      </c>
      <c r="N104" s="10" t="s">
        <v>549</v>
      </c>
      <c r="O104" s="19" t="s">
        <v>1</v>
      </c>
      <c r="P104" s="19" t="s">
        <v>550</v>
      </c>
      <c r="Q104" s="21"/>
      <c r="R104" s="20" t="s">
        <v>1</v>
      </c>
      <c r="S104" s="10" t="s">
        <v>40</v>
      </c>
      <c r="T104" s="10"/>
      <c r="U104" s="10"/>
      <c r="V104" s="10">
        <v>28</v>
      </c>
      <c r="W104" s="10">
        <v>28</v>
      </c>
      <c r="X104" s="10">
        <v>28</v>
      </c>
      <c r="Y104" s="10">
        <v>0.49</v>
      </c>
      <c r="Z104" s="10">
        <v>0.5</v>
      </c>
      <c r="AA104" s="10" t="s">
        <v>481</v>
      </c>
      <c r="AB104" s="22">
        <v>43938</v>
      </c>
      <c r="AC104" s="22">
        <v>43937</v>
      </c>
      <c r="AD104" s="22">
        <v>43938</v>
      </c>
      <c r="AE104" s="22">
        <v>43937</v>
      </c>
      <c r="AF104" s="22">
        <v>43937</v>
      </c>
      <c r="AG104" s="23" t="s">
        <v>482</v>
      </c>
      <c r="AH104" s="24">
        <v>1</v>
      </c>
      <c r="AI104" s="24">
        <v>1</v>
      </c>
      <c r="AJ104" s="24">
        <v>1</v>
      </c>
      <c r="AK104" s="23" t="s">
        <v>483</v>
      </c>
      <c r="AL104" s="10"/>
      <c r="AM104" s="10"/>
      <c r="AN104" s="10"/>
    </row>
    <row r="105" spans="2:40" ht="15" x14ac:dyDescent="0.2">
      <c r="B105" s="37">
        <v>172</v>
      </c>
      <c r="C105" s="16">
        <v>20200416</v>
      </c>
      <c r="D105" s="10" t="s">
        <v>476</v>
      </c>
      <c r="E105" s="10" t="s">
        <v>115</v>
      </c>
      <c r="F105" s="19" t="s">
        <v>551</v>
      </c>
      <c r="G105" s="19">
        <v>1414361</v>
      </c>
      <c r="H105" s="20" t="s">
        <v>1</v>
      </c>
      <c r="I105" s="10" t="s">
        <v>118</v>
      </c>
      <c r="J105" s="20" t="s">
        <v>1</v>
      </c>
      <c r="K105" s="1" t="s">
        <v>548</v>
      </c>
      <c r="L105" s="19" t="s">
        <v>483</v>
      </c>
      <c r="M105" s="10" t="s">
        <v>117</v>
      </c>
      <c r="N105" s="10" t="s">
        <v>549</v>
      </c>
      <c r="O105" s="19" t="s">
        <v>1</v>
      </c>
      <c r="P105" s="19" t="s">
        <v>550</v>
      </c>
      <c r="Q105" s="21"/>
      <c r="R105" s="20" t="s">
        <v>1</v>
      </c>
      <c r="S105" s="10" t="s">
        <v>40</v>
      </c>
      <c r="T105" s="10"/>
      <c r="U105" s="10"/>
      <c r="V105" s="10">
        <v>50</v>
      </c>
      <c r="W105" s="10">
        <v>50</v>
      </c>
      <c r="X105" s="10">
        <v>50</v>
      </c>
      <c r="Y105" s="10">
        <v>0.88</v>
      </c>
      <c r="Z105" s="10">
        <v>1</v>
      </c>
      <c r="AA105" s="10" t="s">
        <v>481</v>
      </c>
      <c r="AB105" s="22">
        <v>43938</v>
      </c>
      <c r="AC105" s="22">
        <v>43937</v>
      </c>
      <c r="AD105" s="22">
        <v>43938</v>
      </c>
      <c r="AE105" s="22">
        <v>43937</v>
      </c>
      <c r="AF105" s="22">
        <v>43937</v>
      </c>
      <c r="AG105" s="23" t="s">
        <v>482</v>
      </c>
      <c r="AH105" s="24">
        <v>1</v>
      </c>
      <c r="AI105" s="24">
        <v>1</v>
      </c>
      <c r="AJ105" s="24">
        <v>1</v>
      </c>
      <c r="AK105" s="23" t="s">
        <v>483</v>
      </c>
      <c r="AL105" s="10"/>
      <c r="AM105" s="10"/>
      <c r="AN105" s="10"/>
    </row>
    <row r="106" spans="2:40" ht="15" x14ac:dyDescent="0.2">
      <c r="B106" s="38">
        <v>173</v>
      </c>
      <c r="C106" s="16">
        <v>20200416</v>
      </c>
      <c r="D106" s="10" t="s">
        <v>476</v>
      </c>
      <c r="E106" s="10" t="s">
        <v>119</v>
      </c>
      <c r="F106" s="19" t="s">
        <v>552</v>
      </c>
      <c r="G106" s="19">
        <v>1416225</v>
      </c>
      <c r="H106" s="20" t="s">
        <v>1</v>
      </c>
      <c r="I106" s="10" t="s">
        <v>120</v>
      </c>
      <c r="J106" s="20" t="s">
        <v>1</v>
      </c>
      <c r="K106" s="10" t="s">
        <v>478</v>
      </c>
      <c r="L106" s="10">
        <v>80412</v>
      </c>
      <c r="M106" s="10" t="s">
        <v>1</v>
      </c>
      <c r="N106" s="10" t="s">
        <v>553</v>
      </c>
      <c r="O106" s="19" t="s">
        <v>1</v>
      </c>
      <c r="P106" s="19" t="s">
        <v>554</v>
      </c>
      <c r="Q106" s="21"/>
      <c r="R106" s="20" t="s">
        <v>1</v>
      </c>
      <c r="S106" s="10" t="s">
        <v>15</v>
      </c>
      <c r="T106" s="10"/>
      <c r="U106" s="10"/>
      <c r="V106" s="10">
        <v>116</v>
      </c>
      <c r="W106" s="10">
        <v>116</v>
      </c>
      <c r="X106" s="10">
        <v>116</v>
      </c>
      <c r="Y106" s="10">
        <v>2.06</v>
      </c>
      <c r="Z106" s="10">
        <v>2</v>
      </c>
      <c r="AA106" s="10" t="s">
        <v>481</v>
      </c>
      <c r="AB106" s="22">
        <v>43938</v>
      </c>
      <c r="AC106" s="22">
        <v>43937</v>
      </c>
      <c r="AD106" s="22">
        <v>43938</v>
      </c>
      <c r="AE106" s="22">
        <v>43938</v>
      </c>
      <c r="AF106" s="22">
        <v>43938</v>
      </c>
      <c r="AG106" s="23" t="s">
        <v>482</v>
      </c>
      <c r="AH106" s="24">
        <v>1</v>
      </c>
      <c r="AI106" s="24">
        <v>1</v>
      </c>
      <c r="AJ106" s="24">
        <v>1</v>
      </c>
      <c r="AK106" s="23" t="s">
        <v>483</v>
      </c>
      <c r="AL106" s="10"/>
      <c r="AM106" s="10"/>
      <c r="AN106" s="10"/>
    </row>
    <row r="107" spans="2:40" ht="15" x14ac:dyDescent="0.2">
      <c r="B107" s="38">
        <v>174</v>
      </c>
      <c r="C107" s="16">
        <v>20200416</v>
      </c>
      <c r="D107" s="10" t="s">
        <v>476</v>
      </c>
      <c r="E107" s="10" t="s">
        <v>119</v>
      </c>
      <c r="F107" s="19" t="s">
        <v>555</v>
      </c>
      <c r="G107" s="19">
        <v>1416225</v>
      </c>
      <c r="H107" s="20" t="s">
        <v>1</v>
      </c>
      <c r="I107" s="10" t="s">
        <v>121</v>
      </c>
      <c r="J107" s="20" t="s">
        <v>1</v>
      </c>
      <c r="K107" s="10" t="s">
        <v>478</v>
      </c>
      <c r="L107" s="10">
        <v>80412</v>
      </c>
      <c r="M107" s="10" t="s">
        <v>1</v>
      </c>
      <c r="N107" s="10" t="s">
        <v>553</v>
      </c>
      <c r="O107" s="19" t="s">
        <v>1</v>
      </c>
      <c r="P107" s="19" t="s">
        <v>554</v>
      </c>
      <c r="Q107" s="21"/>
      <c r="R107" s="20" t="s">
        <v>1</v>
      </c>
      <c r="S107" s="10" t="s">
        <v>15</v>
      </c>
      <c r="T107" s="10"/>
      <c r="U107" s="10"/>
      <c r="V107" s="10">
        <v>119</v>
      </c>
      <c r="W107" s="10">
        <v>119</v>
      </c>
      <c r="X107" s="10">
        <v>119</v>
      </c>
      <c r="Y107" s="10">
        <v>2.11</v>
      </c>
      <c r="Z107" s="10">
        <v>2</v>
      </c>
      <c r="AA107" s="10" t="s">
        <v>481</v>
      </c>
      <c r="AB107" s="22">
        <v>43938</v>
      </c>
      <c r="AC107" s="22">
        <v>43937</v>
      </c>
      <c r="AD107" s="22">
        <v>43938</v>
      </c>
      <c r="AE107" s="22">
        <v>43938</v>
      </c>
      <c r="AF107" s="22">
        <v>43938</v>
      </c>
      <c r="AG107" s="23" t="s">
        <v>482</v>
      </c>
      <c r="AH107" s="24">
        <v>1</v>
      </c>
      <c r="AI107" s="24">
        <v>1</v>
      </c>
      <c r="AJ107" s="24">
        <v>1</v>
      </c>
      <c r="AK107" s="23" t="s">
        <v>483</v>
      </c>
      <c r="AL107" s="10"/>
      <c r="AM107" s="10"/>
      <c r="AN107" s="10"/>
    </row>
    <row r="108" spans="2:40" ht="15" x14ac:dyDescent="0.2">
      <c r="B108" s="38">
        <v>175</v>
      </c>
      <c r="C108" s="16">
        <v>20200416</v>
      </c>
      <c r="D108" s="10" t="s">
        <v>476</v>
      </c>
      <c r="E108" s="10" t="s">
        <v>122</v>
      </c>
      <c r="F108" s="19" t="s">
        <v>556</v>
      </c>
      <c r="G108" s="19">
        <v>1417633</v>
      </c>
      <c r="H108" s="20" t="s">
        <v>1</v>
      </c>
      <c r="I108" s="10" t="s">
        <v>123</v>
      </c>
      <c r="J108" s="20" t="s">
        <v>1</v>
      </c>
      <c r="K108" s="10" t="s">
        <v>478</v>
      </c>
      <c r="L108" s="19">
        <v>82105</v>
      </c>
      <c r="M108" s="10" t="s">
        <v>124</v>
      </c>
      <c r="N108" s="10" t="s">
        <v>557</v>
      </c>
      <c r="O108" s="19" t="s">
        <v>1</v>
      </c>
      <c r="P108" s="19" t="s">
        <v>558</v>
      </c>
      <c r="Q108" s="21"/>
      <c r="R108" s="20" t="s">
        <v>1</v>
      </c>
      <c r="S108" s="10" t="s">
        <v>15</v>
      </c>
      <c r="T108" s="10"/>
      <c r="U108" s="10"/>
      <c r="V108" s="10">
        <v>55</v>
      </c>
      <c r="W108" s="39">
        <v>394</v>
      </c>
      <c r="X108" s="10">
        <v>394</v>
      </c>
      <c r="Y108" s="10">
        <v>7</v>
      </c>
      <c r="Z108" s="10">
        <v>2</v>
      </c>
      <c r="AA108" s="10" t="s">
        <v>481</v>
      </c>
      <c r="AB108" s="22">
        <v>43938</v>
      </c>
      <c r="AC108" s="22">
        <v>43937</v>
      </c>
      <c r="AD108" s="22">
        <v>43938</v>
      </c>
      <c r="AE108" s="22">
        <v>43938</v>
      </c>
      <c r="AF108" s="22">
        <v>43938</v>
      </c>
      <c r="AG108" s="23" t="s">
        <v>482</v>
      </c>
      <c r="AH108" s="24">
        <v>1</v>
      </c>
      <c r="AI108" s="24">
        <v>1</v>
      </c>
      <c r="AJ108" s="24">
        <v>1</v>
      </c>
      <c r="AK108" s="23" t="s">
        <v>483</v>
      </c>
      <c r="AL108" s="10"/>
      <c r="AM108" s="10"/>
      <c r="AN108" s="10" t="s">
        <v>559</v>
      </c>
    </row>
    <row r="109" spans="2:40" ht="15" x14ac:dyDescent="0.2">
      <c r="B109" s="38">
        <v>176</v>
      </c>
      <c r="C109" s="16">
        <v>20200416</v>
      </c>
      <c r="D109" s="10" t="s">
        <v>476</v>
      </c>
      <c r="E109" s="10" t="s">
        <v>122</v>
      </c>
      <c r="F109" s="19" t="s">
        <v>560</v>
      </c>
      <c r="G109" s="19">
        <v>1417633</v>
      </c>
      <c r="H109" s="20" t="s">
        <v>1</v>
      </c>
      <c r="I109" s="10" t="s">
        <v>125</v>
      </c>
      <c r="J109" s="20" t="s">
        <v>1</v>
      </c>
      <c r="K109" s="10" t="s">
        <v>478</v>
      </c>
      <c r="L109" s="19">
        <v>82105</v>
      </c>
      <c r="M109" s="10" t="s">
        <v>124</v>
      </c>
      <c r="N109" s="10" t="s">
        <v>557</v>
      </c>
      <c r="O109" s="19" t="s">
        <v>1</v>
      </c>
      <c r="P109" s="19" t="s">
        <v>558</v>
      </c>
      <c r="Q109" s="21"/>
      <c r="R109" s="20" t="s">
        <v>1</v>
      </c>
      <c r="S109" s="10" t="s">
        <v>15</v>
      </c>
      <c r="T109" s="10"/>
      <c r="U109" s="10"/>
      <c r="V109" s="10">
        <v>21</v>
      </c>
      <c r="W109" s="10">
        <v>21</v>
      </c>
      <c r="X109" s="10">
        <v>21</v>
      </c>
      <c r="Y109" s="10">
        <v>0.37</v>
      </c>
      <c r="Z109" s="10">
        <v>2</v>
      </c>
      <c r="AA109" s="10" t="s">
        <v>481</v>
      </c>
      <c r="AB109" s="22">
        <v>43938</v>
      </c>
      <c r="AC109" s="22">
        <v>43937</v>
      </c>
      <c r="AD109" s="22">
        <v>43938</v>
      </c>
      <c r="AE109" s="22">
        <v>43938</v>
      </c>
      <c r="AF109" s="22">
        <v>43938</v>
      </c>
      <c r="AG109" s="23" t="s">
        <v>482</v>
      </c>
      <c r="AH109" s="24">
        <v>1</v>
      </c>
      <c r="AI109" s="24">
        <v>1</v>
      </c>
      <c r="AJ109" s="24">
        <v>1</v>
      </c>
      <c r="AK109" s="23" t="s">
        <v>483</v>
      </c>
      <c r="AL109" s="10"/>
      <c r="AM109" s="10"/>
      <c r="AN109" s="10"/>
    </row>
    <row r="110" spans="2:40" ht="15" x14ac:dyDescent="0.2">
      <c r="B110" s="40">
        <v>177</v>
      </c>
      <c r="C110" s="21">
        <v>20200416</v>
      </c>
      <c r="D110" s="21" t="s">
        <v>476</v>
      </c>
      <c r="E110" s="21" t="s">
        <v>126</v>
      </c>
      <c r="F110" s="41" t="s">
        <v>561</v>
      </c>
      <c r="G110" s="41">
        <v>1413225</v>
      </c>
      <c r="H110" s="20" t="s">
        <v>1</v>
      </c>
      <c r="I110" s="10" t="s">
        <v>73</v>
      </c>
      <c r="J110" s="20" t="s">
        <v>1</v>
      </c>
      <c r="K110" s="10" t="s">
        <v>478</v>
      </c>
      <c r="L110" s="19">
        <v>80329</v>
      </c>
      <c r="M110" s="10" t="s">
        <v>127</v>
      </c>
      <c r="N110" s="10" t="s">
        <v>562</v>
      </c>
      <c r="O110" s="19" t="s">
        <v>1</v>
      </c>
      <c r="P110" s="19" t="s">
        <v>563</v>
      </c>
      <c r="Q110" s="21"/>
      <c r="R110" s="20"/>
      <c r="S110" s="10" t="s">
        <v>24</v>
      </c>
      <c r="T110" s="10"/>
      <c r="U110" s="10"/>
      <c r="V110" s="10">
        <v>199</v>
      </c>
      <c r="W110" s="10">
        <v>199</v>
      </c>
      <c r="X110" s="10">
        <v>199</v>
      </c>
      <c r="Y110" s="10">
        <v>3.53</v>
      </c>
      <c r="Z110" s="10">
        <v>3</v>
      </c>
      <c r="AA110" s="10" t="s">
        <v>481</v>
      </c>
      <c r="AB110" s="22">
        <v>43938</v>
      </c>
      <c r="AC110" s="22">
        <v>43937</v>
      </c>
      <c r="AD110" s="22">
        <v>43938</v>
      </c>
      <c r="AE110" s="22">
        <v>43938</v>
      </c>
      <c r="AF110" s="22">
        <v>43938</v>
      </c>
      <c r="AG110" s="23" t="s">
        <v>482</v>
      </c>
      <c r="AH110" s="24">
        <v>1</v>
      </c>
      <c r="AI110" s="24">
        <v>1</v>
      </c>
      <c r="AJ110" s="24">
        <v>1</v>
      </c>
      <c r="AK110" s="23" t="s">
        <v>483</v>
      </c>
      <c r="AL110" s="10"/>
      <c r="AM110" s="10"/>
      <c r="AN110" s="10"/>
    </row>
    <row r="111" spans="2:40" ht="15" x14ac:dyDescent="0.2">
      <c r="B111" s="40">
        <v>178</v>
      </c>
      <c r="C111" s="21">
        <v>20200416</v>
      </c>
      <c r="D111" s="21" t="s">
        <v>476</v>
      </c>
      <c r="E111" s="21" t="s">
        <v>126</v>
      </c>
      <c r="F111" s="41" t="s">
        <v>561</v>
      </c>
      <c r="G111" s="41">
        <v>1413225</v>
      </c>
      <c r="H111" s="20" t="s">
        <v>1</v>
      </c>
      <c r="I111" s="10" t="s">
        <v>74</v>
      </c>
      <c r="J111" s="20" t="s">
        <v>1</v>
      </c>
      <c r="K111" s="10" t="s">
        <v>478</v>
      </c>
      <c r="L111" s="19">
        <v>80329</v>
      </c>
      <c r="M111" s="10" t="s">
        <v>127</v>
      </c>
      <c r="N111" s="10" t="s">
        <v>562</v>
      </c>
      <c r="O111" s="19" t="s">
        <v>1</v>
      </c>
      <c r="P111" s="19" t="s">
        <v>563</v>
      </c>
      <c r="Q111" s="21"/>
      <c r="R111" s="20"/>
      <c r="S111" s="10" t="s">
        <v>24</v>
      </c>
      <c r="T111" s="10"/>
      <c r="U111" s="10"/>
      <c r="V111" s="10">
        <v>6</v>
      </c>
      <c r="W111" s="10">
        <v>6</v>
      </c>
      <c r="X111" s="10">
        <v>6</v>
      </c>
      <c r="Y111" s="10">
        <v>0.1</v>
      </c>
      <c r="Z111" s="10">
        <v>0.1</v>
      </c>
      <c r="AA111" s="10" t="s">
        <v>481</v>
      </c>
      <c r="AB111" s="22">
        <v>43938</v>
      </c>
      <c r="AC111" s="22">
        <v>43937</v>
      </c>
      <c r="AD111" s="22">
        <v>43938</v>
      </c>
      <c r="AE111" s="22">
        <v>43938</v>
      </c>
      <c r="AF111" s="22">
        <v>43938</v>
      </c>
      <c r="AG111" s="23" t="s">
        <v>482</v>
      </c>
      <c r="AH111" s="25" t="s">
        <v>1</v>
      </c>
      <c r="AI111" s="25" t="s">
        <v>1</v>
      </c>
      <c r="AJ111" s="25" t="s">
        <v>1</v>
      </c>
      <c r="AK111" s="23" t="s">
        <v>483</v>
      </c>
      <c r="AL111" s="10"/>
      <c r="AM111" s="10"/>
      <c r="AN111" s="10" t="s">
        <v>496</v>
      </c>
    </row>
    <row r="112" spans="2:40" ht="15" x14ac:dyDescent="0.2">
      <c r="B112" s="40">
        <v>179</v>
      </c>
      <c r="C112" s="21">
        <v>20200416</v>
      </c>
      <c r="D112" s="21" t="s">
        <v>476</v>
      </c>
      <c r="E112" s="21" t="s">
        <v>126</v>
      </c>
      <c r="F112" s="41" t="s">
        <v>561</v>
      </c>
      <c r="G112" s="41">
        <v>1413225</v>
      </c>
      <c r="H112" s="20" t="s">
        <v>1</v>
      </c>
      <c r="I112" s="10" t="s">
        <v>66</v>
      </c>
      <c r="J112" s="20" t="s">
        <v>1</v>
      </c>
      <c r="K112" s="10" t="s">
        <v>478</v>
      </c>
      <c r="L112" s="19">
        <v>80329</v>
      </c>
      <c r="M112" s="10" t="s">
        <v>127</v>
      </c>
      <c r="N112" s="10" t="s">
        <v>562</v>
      </c>
      <c r="O112" s="19" t="s">
        <v>1</v>
      </c>
      <c r="P112" s="19" t="s">
        <v>563</v>
      </c>
      <c r="Q112" s="21"/>
      <c r="R112" s="20"/>
      <c r="S112" s="10" t="s">
        <v>24</v>
      </c>
      <c r="T112" s="10"/>
      <c r="U112" s="10"/>
      <c r="V112" s="10">
        <v>72</v>
      </c>
      <c r="W112" s="10">
        <v>72</v>
      </c>
      <c r="X112" s="10">
        <v>72</v>
      </c>
      <c r="Y112" s="10">
        <v>1.28</v>
      </c>
      <c r="Z112" s="10">
        <v>1</v>
      </c>
      <c r="AA112" s="10" t="s">
        <v>481</v>
      </c>
      <c r="AB112" s="22">
        <v>43938</v>
      </c>
      <c r="AC112" s="22">
        <v>43937</v>
      </c>
      <c r="AD112" s="22">
        <v>43938</v>
      </c>
      <c r="AE112" s="22">
        <v>43938</v>
      </c>
      <c r="AF112" s="22">
        <v>43938</v>
      </c>
      <c r="AG112" s="23" t="s">
        <v>482</v>
      </c>
      <c r="AH112" s="24">
        <v>1</v>
      </c>
      <c r="AI112" s="24">
        <v>1</v>
      </c>
      <c r="AJ112" s="24">
        <v>1</v>
      </c>
      <c r="AK112" s="23" t="s">
        <v>483</v>
      </c>
      <c r="AL112" s="10"/>
      <c r="AM112" s="10"/>
      <c r="AN112" s="10"/>
    </row>
    <row r="113" spans="2:40" ht="15" x14ac:dyDescent="0.2">
      <c r="B113" s="42">
        <v>180</v>
      </c>
      <c r="C113" s="16" t="s">
        <v>564</v>
      </c>
      <c r="D113" s="10" t="s">
        <v>476</v>
      </c>
      <c r="E113" s="10" t="s">
        <v>128</v>
      </c>
      <c r="F113" s="43" t="s">
        <v>565</v>
      </c>
      <c r="G113" s="19">
        <v>1411690</v>
      </c>
      <c r="H113" s="20" t="s">
        <v>1</v>
      </c>
      <c r="I113" s="10" t="s">
        <v>129</v>
      </c>
      <c r="J113" s="20" t="s">
        <v>1</v>
      </c>
      <c r="K113" s="10" t="s">
        <v>478</v>
      </c>
      <c r="L113" s="10">
        <v>81519</v>
      </c>
      <c r="M113" s="10" t="s">
        <v>1</v>
      </c>
      <c r="N113" s="10" t="s">
        <v>566</v>
      </c>
      <c r="O113" s="19" t="s">
        <v>1</v>
      </c>
      <c r="P113" s="19" t="s">
        <v>563</v>
      </c>
      <c r="Q113" s="21"/>
      <c r="R113" s="20" t="s">
        <v>1</v>
      </c>
      <c r="S113" s="10" t="s">
        <v>41</v>
      </c>
      <c r="T113" s="10"/>
      <c r="U113" s="10"/>
      <c r="V113" s="10">
        <v>1434</v>
      </c>
      <c r="W113" s="10">
        <v>1434</v>
      </c>
      <c r="X113" s="10">
        <v>1434</v>
      </c>
      <c r="Y113" s="10">
        <v>25.49</v>
      </c>
      <c r="Z113" s="10">
        <v>3</v>
      </c>
      <c r="AA113" s="10" t="s">
        <v>481</v>
      </c>
      <c r="AB113" s="44">
        <v>43945</v>
      </c>
      <c r="AC113" s="22">
        <v>43941</v>
      </c>
      <c r="AD113" s="22">
        <v>43945</v>
      </c>
      <c r="AE113" s="22">
        <v>43943</v>
      </c>
      <c r="AF113" s="22">
        <v>43943</v>
      </c>
      <c r="AG113" s="23" t="s">
        <v>489</v>
      </c>
      <c r="AH113" s="24">
        <v>1</v>
      </c>
      <c r="AI113" s="24">
        <v>0.99</v>
      </c>
      <c r="AJ113" s="45">
        <v>0.96</v>
      </c>
      <c r="AK113" s="23" t="s">
        <v>490</v>
      </c>
      <c r="AL113" s="30" t="s">
        <v>567</v>
      </c>
      <c r="AM113" s="10"/>
      <c r="AN113" s="10" t="s">
        <v>492</v>
      </c>
    </row>
    <row r="114" spans="2:40" ht="15" x14ac:dyDescent="0.2">
      <c r="B114" s="42">
        <v>181</v>
      </c>
      <c r="C114" s="16" t="s">
        <v>564</v>
      </c>
      <c r="D114" s="10" t="s">
        <v>476</v>
      </c>
      <c r="E114" s="10" t="s">
        <v>128</v>
      </c>
      <c r="F114" s="43" t="s">
        <v>568</v>
      </c>
      <c r="G114" s="19">
        <v>1411690</v>
      </c>
      <c r="H114" s="20" t="s">
        <v>1</v>
      </c>
      <c r="I114" s="10" t="s">
        <v>130</v>
      </c>
      <c r="J114" s="20" t="s">
        <v>1</v>
      </c>
      <c r="K114" s="10" t="s">
        <v>478</v>
      </c>
      <c r="L114" s="10">
        <v>81519</v>
      </c>
      <c r="M114" s="10" t="s">
        <v>1</v>
      </c>
      <c r="N114" s="10" t="s">
        <v>566</v>
      </c>
      <c r="O114" s="19" t="s">
        <v>1</v>
      </c>
      <c r="P114" s="19" t="s">
        <v>563</v>
      </c>
      <c r="Q114" s="21"/>
      <c r="R114" s="20" t="s">
        <v>1</v>
      </c>
      <c r="S114" s="10" t="s">
        <v>77</v>
      </c>
      <c r="T114" s="10"/>
      <c r="U114" s="10"/>
      <c r="V114" s="10">
        <v>75</v>
      </c>
      <c r="W114" s="10">
        <v>75</v>
      </c>
      <c r="X114" s="10">
        <v>75</v>
      </c>
      <c r="Y114" s="10">
        <v>1.33</v>
      </c>
      <c r="Z114" s="10">
        <v>0.5</v>
      </c>
      <c r="AA114" s="10" t="s">
        <v>481</v>
      </c>
      <c r="AB114" s="44">
        <v>43945</v>
      </c>
      <c r="AC114" s="22">
        <v>43941</v>
      </c>
      <c r="AD114" s="22">
        <v>43945</v>
      </c>
      <c r="AE114" s="22">
        <v>43944</v>
      </c>
      <c r="AF114" s="22">
        <v>43944</v>
      </c>
      <c r="AG114" s="23" t="s">
        <v>482</v>
      </c>
      <c r="AH114" s="24">
        <v>1</v>
      </c>
      <c r="AI114" s="24">
        <v>1</v>
      </c>
      <c r="AJ114" s="24">
        <v>1</v>
      </c>
      <c r="AK114" s="23" t="s">
        <v>483</v>
      </c>
      <c r="AL114" s="10"/>
      <c r="AM114" s="10"/>
      <c r="AN114" s="10"/>
    </row>
    <row r="115" spans="2:40" ht="15" x14ac:dyDescent="0.2">
      <c r="B115" s="42">
        <v>182</v>
      </c>
      <c r="C115" s="15" t="s">
        <v>564</v>
      </c>
      <c r="D115" s="15" t="s">
        <v>476</v>
      </c>
      <c r="E115" s="15" t="s">
        <v>128</v>
      </c>
      <c r="F115" s="46" t="s">
        <v>569</v>
      </c>
      <c r="G115" s="47">
        <v>1411690</v>
      </c>
      <c r="H115" s="20" t="s">
        <v>1</v>
      </c>
      <c r="I115" s="15" t="s">
        <v>131</v>
      </c>
      <c r="J115" s="20" t="s">
        <v>1</v>
      </c>
      <c r="K115" s="15" t="s">
        <v>478</v>
      </c>
      <c r="L115" s="15">
        <v>81519</v>
      </c>
      <c r="M115" s="15" t="s">
        <v>1</v>
      </c>
      <c r="N115" s="15" t="s">
        <v>566</v>
      </c>
      <c r="O115" s="47" t="s">
        <v>1</v>
      </c>
      <c r="P115" s="47" t="s">
        <v>563</v>
      </c>
      <c r="Q115" s="21"/>
      <c r="R115" s="20" t="s">
        <v>1</v>
      </c>
      <c r="S115" s="15" t="s">
        <v>77</v>
      </c>
      <c r="T115" s="15"/>
      <c r="U115" s="15"/>
      <c r="V115" s="15">
        <v>166</v>
      </c>
      <c r="W115" s="15">
        <v>166</v>
      </c>
      <c r="X115" s="15">
        <v>166</v>
      </c>
      <c r="Y115" s="15">
        <v>2.95</v>
      </c>
      <c r="Z115" s="16">
        <v>0.5</v>
      </c>
      <c r="AA115" s="10" t="s">
        <v>481</v>
      </c>
      <c r="AB115" s="44">
        <v>43945</v>
      </c>
      <c r="AC115" s="22">
        <v>43941</v>
      </c>
      <c r="AD115" s="48">
        <v>43945</v>
      </c>
      <c r="AE115" s="49">
        <v>43944</v>
      </c>
      <c r="AF115" s="49">
        <v>43944</v>
      </c>
      <c r="AG115" s="50" t="s">
        <v>482</v>
      </c>
      <c r="AH115" s="45">
        <v>1</v>
      </c>
      <c r="AI115" s="45">
        <v>1</v>
      </c>
      <c r="AJ115" s="45">
        <v>1</v>
      </c>
      <c r="AK115" s="23" t="s">
        <v>483</v>
      </c>
      <c r="AL115" s="15"/>
      <c r="AM115" s="15"/>
      <c r="AN115" s="15"/>
    </row>
    <row r="116" spans="2:40" ht="15" x14ac:dyDescent="0.2">
      <c r="B116" s="42">
        <v>183</v>
      </c>
      <c r="C116" s="16" t="s">
        <v>564</v>
      </c>
      <c r="D116" s="10" t="s">
        <v>476</v>
      </c>
      <c r="E116" s="10" t="s">
        <v>128</v>
      </c>
      <c r="F116" s="43" t="s">
        <v>570</v>
      </c>
      <c r="G116" s="19">
        <v>1411690</v>
      </c>
      <c r="H116" s="20" t="s">
        <v>1</v>
      </c>
      <c r="I116" s="10" t="s">
        <v>132</v>
      </c>
      <c r="J116" s="20" t="s">
        <v>1</v>
      </c>
      <c r="K116" s="10" t="s">
        <v>478</v>
      </c>
      <c r="L116" s="10">
        <v>81519</v>
      </c>
      <c r="M116" s="10" t="s">
        <v>1</v>
      </c>
      <c r="N116" s="10" t="s">
        <v>566</v>
      </c>
      <c r="O116" s="19" t="s">
        <v>1</v>
      </c>
      <c r="P116" s="19" t="s">
        <v>563</v>
      </c>
      <c r="Q116" s="21"/>
      <c r="R116" s="20" t="s">
        <v>1</v>
      </c>
      <c r="S116" s="10" t="s">
        <v>4</v>
      </c>
      <c r="T116" s="10"/>
      <c r="U116" s="10"/>
      <c r="V116" s="10">
        <v>46</v>
      </c>
      <c r="W116" s="10">
        <v>46</v>
      </c>
      <c r="X116" s="10">
        <v>46</v>
      </c>
      <c r="Y116" s="10">
        <v>0.81</v>
      </c>
      <c r="Z116" s="10">
        <v>2</v>
      </c>
      <c r="AA116" s="10" t="s">
        <v>481</v>
      </c>
      <c r="AB116" s="44">
        <v>43945</v>
      </c>
      <c r="AC116" s="22">
        <v>43941</v>
      </c>
      <c r="AD116" s="22">
        <v>43945</v>
      </c>
      <c r="AE116" s="22">
        <v>43944</v>
      </c>
      <c r="AF116" s="22">
        <v>43944</v>
      </c>
      <c r="AG116" s="23" t="s">
        <v>482</v>
      </c>
      <c r="AH116" s="24">
        <v>1</v>
      </c>
      <c r="AI116" s="24">
        <v>1</v>
      </c>
      <c r="AJ116" s="24">
        <v>1</v>
      </c>
      <c r="AK116" s="23" t="s">
        <v>483</v>
      </c>
      <c r="AL116" s="10"/>
      <c r="AM116" s="10"/>
      <c r="AN116" s="10"/>
    </row>
    <row r="117" spans="2:40" ht="15" x14ac:dyDescent="0.2">
      <c r="B117" s="42">
        <v>184</v>
      </c>
      <c r="C117" s="16" t="s">
        <v>564</v>
      </c>
      <c r="D117" s="10" t="s">
        <v>476</v>
      </c>
      <c r="E117" s="10" t="s">
        <v>133</v>
      </c>
      <c r="F117" s="43" t="s">
        <v>571</v>
      </c>
      <c r="G117" s="19">
        <v>1411700</v>
      </c>
      <c r="H117" s="20" t="s">
        <v>1</v>
      </c>
      <c r="I117" s="10" t="s">
        <v>132</v>
      </c>
      <c r="J117" s="20" t="s">
        <v>1</v>
      </c>
      <c r="K117" s="10" t="s">
        <v>478</v>
      </c>
      <c r="L117" s="10">
        <v>81518</v>
      </c>
      <c r="M117" s="10" t="s">
        <v>134</v>
      </c>
      <c r="N117" s="51" t="s">
        <v>572</v>
      </c>
      <c r="O117" s="19" t="s">
        <v>1</v>
      </c>
      <c r="P117" s="19" t="s">
        <v>563</v>
      </c>
      <c r="Q117" s="21"/>
      <c r="R117" s="20" t="s">
        <v>1</v>
      </c>
      <c r="S117" s="10" t="s">
        <v>77</v>
      </c>
      <c r="T117" s="10"/>
      <c r="U117" s="10"/>
      <c r="V117" s="10">
        <v>9</v>
      </c>
      <c r="W117" s="21">
        <v>60</v>
      </c>
      <c r="X117" s="10">
        <v>60</v>
      </c>
      <c r="Y117" s="10">
        <v>1.06</v>
      </c>
      <c r="Z117" s="10">
        <v>0.25</v>
      </c>
      <c r="AA117" s="10" t="s">
        <v>481</v>
      </c>
      <c r="AB117" s="44">
        <v>43945</v>
      </c>
      <c r="AC117" s="22">
        <v>43941</v>
      </c>
      <c r="AD117" s="22">
        <v>43945</v>
      </c>
      <c r="AE117" s="22">
        <v>43944</v>
      </c>
      <c r="AF117" s="22">
        <v>43944</v>
      </c>
      <c r="AG117" s="23" t="s">
        <v>482</v>
      </c>
      <c r="AH117" s="24">
        <v>1</v>
      </c>
      <c r="AI117" s="24">
        <v>1</v>
      </c>
      <c r="AJ117" s="24">
        <v>1</v>
      </c>
      <c r="AK117" s="23" t="s">
        <v>483</v>
      </c>
      <c r="AL117" s="10"/>
      <c r="AM117" s="10"/>
      <c r="AN117" s="10" t="s">
        <v>573</v>
      </c>
    </row>
    <row r="118" spans="2:40" ht="15" x14ac:dyDescent="0.2">
      <c r="B118" s="42">
        <v>185</v>
      </c>
      <c r="C118" s="16" t="s">
        <v>564</v>
      </c>
      <c r="D118" s="16" t="s">
        <v>476</v>
      </c>
      <c r="E118" s="16" t="s">
        <v>135</v>
      </c>
      <c r="F118" s="2" t="s">
        <v>574</v>
      </c>
      <c r="G118" s="52">
        <v>1392220</v>
      </c>
      <c r="H118" s="20" t="s">
        <v>1</v>
      </c>
      <c r="I118" s="16" t="s">
        <v>136</v>
      </c>
      <c r="J118" s="20" t="s">
        <v>1</v>
      </c>
      <c r="K118" s="10" t="s">
        <v>478</v>
      </c>
      <c r="L118" s="16" t="s">
        <v>483</v>
      </c>
      <c r="M118" s="16" t="s">
        <v>137</v>
      </c>
      <c r="N118" s="53" t="s">
        <v>575</v>
      </c>
      <c r="O118" s="19" t="s">
        <v>1</v>
      </c>
      <c r="P118" s="52" t="s">
        <v>576</v>
      </c>
      <c r="Q118" s="21"/>
      <c r="R118" s="20" t="s">
        <v>1</v>
      </c>
      <c r="S118" s="16" t="s">
        <v>77</v>
      </c>
      <c r="T118" s="16"/>
      <c r="U118" s="16"/>
      <c r="V118" s="16">
        <v>221</v>
      </c>
      <c r="W118" s="16">
        <v>221</v>
      </c>
      <c r="X118" s="16">
        <v>221</v>
      </c>
      <c r="Y118" s="16">
        <v>3.92</v>
      </c>
      <c r="Z118" s="16">
        <v>2</v>
      </c>
      <c r="AA118" s="16" t="s">
        <v>481</v>
      </c>
      <c r="AB118" s="49">
        <v>43942</v>
      </c>
      <c r="AC118" s="22">
        <v>43941</v>
      </c>
      <c r="AD118" s="49">
        <v>43942</v>
      </c>
      <c r="AE118" s="49">
        <v>43941</v>
      </c>
      <c r="AF118" s="49">
        <v>43941</v>
      </c>
      <c r="AG118" s="23" t="s">
        <v>482</v>
      </c>
      <c r="AH118" s="45">
        <v>1</v>
      </c>
      <c r="AI118" s="45">
        <v>1</v>
      </c>
      <c r="AJ118" s="45">
        <v>1</v>
      </c>
      <c r="AK118" s="23" t="s">
        <v>483</v>
      </c>
      <c r="AL118" s="16"/>
      <c r="AM118" s="16"/>
      <c r="AN118" s="16"/>
    </row>
    <row r="119" spans="2:40" ht="15" x14ac:dyDescent="0.2">
      <c r="B119" s="42">
        <v>186</v>
      </c>
      <c r="C119" s="16" t="s">
        <v>564</v>
      </c>
      <c r="D119" s="10" t="s">
        <v>476</v>
      </c>
      <c r="E119" s="10" t="s">
        <v>135</v>
      </c>
      <c r="F119" s="2" t="s">
        <v>577</v>
      </c>
      <c r="G119" s="19">
        <v>1392220</v>
      </c>
      <c r="H119" s="20" t="s">
        <v>1</v>
      </c>
      <c r="I119" s="10" t="s">
        <v>138</v>
      </c>
      <c r="J119" s="20" t="s">
        <v>1</v>
      </c>
      <c r="K119" s="10" t="s">
        <v>478</v>
      </c>
      <c r="L119" s="10" t="s">
        <v>483</v>
      </c>
      <c r="M119" s="10" t="s">
        <v>137</v>
      </c>
      <c r="N119" s="10" t="s">
        <v>575</v>
      </c>
      <c r="O119" s="19" t="s">
        <v>1</v>
      </c>
      <c r="P119" s="19" t="s">
        <v>576</v>
      </c>
      <c r="Q119" s="21"/>
      <c r="R119" s="20" t="s">
        <v>1</v>
      </c>
      <c r="S119" s="10" t="s">
        <v>4</v>
      </c>
      <c r="T119" s="10"/>
      <c r="U119" s="10"/>
      <c r="V119" s="10">
        <v>919</v>
      </c>
      <c r="W119" s="10">
        <v>919</v>
      </c>
      <c r="X119" s="16">
        <v>919</v>
      </c>
      <c r="Y119" s="10">
        <v>16.329999999999998</v>
      </c>
      <c r="Z119" s="10">
        <v>14</v>
      </c>
      <c r="AA119" s="10" t="s">
        <v>481</v>
      </c>
      <c r="AB119" s="49">
        <v>43942</v>
      </c>
      <c r="AC119" s="22">
        <v>43941</v>
      </c>
      <c r="AD119" s="22">
        <v>43942</v>
      </c>
      <c r="AE119" s="49">
        <v>43941</v>
      </c>
      <c r="AF119" s="22">
        <v>43942</v>
      </c>
      <c r="AG119" s="23" t="s">
        <v>489</v>
      </c>
      <c r="AH119" s="24">
        <v>1</v>
      </c>
      <c r="AI119" s="24">
        <v>1</v>
      </c>
      <c r="AJ119" s="24">
        <v>0.98</v>
      </c>
      <c r="AK119" s="23" t="s">
        <v>490</v>
      </c>
      <c r="AL119" s="10" t="s">
        <v>578</v>
      </c>
      <c r="AM119" s="10"/>
      <c r="AN119" s="10" t="s">
        <v>492</v>
      </c>
    </row>
    <row r="120" spans="2:40" ht="15" x14ac:dyDescent="0.2">
      <c r="B120" s="42">
        <v>187</v>
      </c>
      <c r="C120" s="16" t="s">
        <v>564</v>
      </c>
      <c r="D120" s="16" t="s">
        <v>476</v>
      </c>
      <c r="E120" s="16" t="s">
        <v>139</v>
      </c>
      <c r="F120" s="54" t="s">
        <v>579</v>
      </c>
      <c r="G120" s="52">
        <v>1409871</v>
      </c>
      <c r="H120" s="20" t="s">
        <v>1</v>
      </c>
      <c r="I120" s="16" t="s">
        <v>140</v>
      </c>
      <c r="J120" s="20" t="s">
        <v>1</v>
      </c>
      <c r="K120" s="16" t="s">
        <v>478</v>
      </c>
      <c r="L120" s="16">
        <v>82225</v>
      </c>
      <c r="M120" s="16" t="s">
        <v>141</v>
      </c>
      <c r="N120" s="16" t="s">
        <v>580</v>
      </c>
      <c r="O120" s="52" t="s">
        <v>1</v>
      </c>
      <c r="P120" s="52" t="s">
        <v>581</v>
      </c>
      <c r="Q120" s="21"/>
      <c r="R120" s="20" t="s">
        <v>1</v>
      </c>
      <c r="S120" s="16" t="s">
        <v>77</v>
      </c>
      <c r="T120" s="16"/>
      <c r="U120" s="16"/>
      <c r="V120" s="16">
        <v>101</v>
      </c>
      <c r="W120" s="16">
        <v>101</v>
      </c>
      <c r="X120" s="16">
        <v>101</v>
      </c>
      <c r="Y120" s="16">
        <v>1.79</v>
      </c>
      <c r="Z120" s="16">
        <v>0.5</v>
      </c>
      <c r="AA120" s="16" t="s">
        <v>481</v>
      </c>
      <c r="AB120" s="49">
        <v>43942</v>
      </c>
      <c r="AC120" s="22">
        <v>43941</v>
      </c>
      <c r="AD120" s="49">
        <v>43942</v>
      </c>
      <c r="AE120" s="49">
        <v>43941</v>
      </c>
      <c r="AF120" s="49">
        <v>43941</v>
      </c>
      <c r="AG120" s="23" t="s">
        <v>482</v>
      </c>
      <c r="AH120" s="45">
        <v>1</v>
      </c>
      <c r="AI120" s="45">
        <v>1</v>
      </c>
      <c r="AJ120" s="45">
        <v>1</v>
      </c>
      <c r="AK120" s="23" t="s">
        <v>483</v>
      </c>
      <c r="AL120" s="16"/>
      <c r="AM120" s="16"/>
      <c r="AN120" s="16" t="s">
        <v>582</v>
      </c>
    </row>
    <row r="121" spans="2:40" ht="15" x14ac:dyDescent="0.2">
      <c r="B121" s="42">
        <v>188</v>
      </c>
      <c r="C121" s="16" t="s">
        <v>564</v>
      </c>
      <c r="D121" s="10" t="s">
        <v>476</v>
      </c>
      <c r="E121" s="10" t="s">
        <v>139</v>
      </c>
      <c r="F121" s="54" t="s">
        <v>583</v>
      </c>
      <c r="G121" s="19">
        <v>1409871</v>
      </c>
      <c r="H121" s="20" t="s">
        <v>1</v>
      </c>
      <c r="I121" s="10" t="s">
        <v>142</v>
      </c>
      <c r="J121" s="20" t="s">
        <v>1</v>
      </c>
      <c r="K121" s="10" t="s">
        <v>478</v>
      </c>
      <c r="L121" s="10">
        <v>82225</v>
      </c>
      <c r="M121" s="10" t="s">
        <v>141</v>
      </c>
      <c r="N121" s="10" t="s">
        <v>580</v>
      </c>
      <c r="O121" s="19" t="s">
        <v>1</v>
      </c>
      <c r="P121" s="19" t="s">
        <v>581</v>
      </c>
      <c r="Q121" s="21"/>
      <c r="R121" s="20" t="s">
        <v>1</v>
      </c>
      <c r="S121" s="10" t="s">
        <v>77</v>
      </c>
      <c r="T121" s="10"/>
      <c r="U121" s="10"/>
      <c r="V121" s="10">
        <v>51</v>
      </c>
      <c r="W121" s="10">
        <v>51</v>
      </c>
      <c r="X121" s="16">
        <v>51</v>
      </c>
      <c r="Y121" s="10">
        <v>0.9</v>
      </c>
      <c r="Z121" s="10">
        <v>0</v>
      </c>
      <c r="AA121" s="10" t="s">
        <v>481</v>
      </c>
      <c r="AB121" s="49">
        <v>43942</v>
      </c>
      <c r="AC121" s="22">
        <v>43941</v>
      </c>
      <c r="AD121" s="22">
        <v>43942</v>
      </c>
      <c r="AE121" s="22">
        <v>43941</v>
      </c>
      <c r="AF121" s="22">
        <v>43941</v>
      </c>
      <c r="AG121" s="23" t="s">
        <v>482</v>
      </c>
      <c r="AH121" s="25" t="s">
        <v>1</v>
      </c>
      <c r="AI121" s="25" t="s">
        <v>1</v>
      </c>
      <c r="AJ121" s="25" t="s">
        <v>1</v>
      </c>
      <c r="AK121" s="23" t="s">
        <v>483</v>
      </c>
      <c r="AL121" s="10"/>
      <c r="AM121" s="10"/>
      <c r="AN121" s="10" t="s">
        <v>496</v>
      </c>
    </row>
    <row r="122" spans="2:40" ht="15" x14ac:dyDescent="0.2">
      <c r="B122" s="42">
        <v>189</v>
      </c>
      <c r="C122" s="16" t="s">
        <v>564</v>
      </c>
      <c r="D122" s="10" t="s">
        <v>476</v>
      </c>
      <c r="E122" s="10" t="s">
        <v>143</v>
      </c>
      <c r="F122" s="2" t="s">
        <v>584</v>
      </c>
      <c r="G122" s="19">
        <v>1416607</v>
      </c>
      <c r="H122" s="20" t="s">
        <v>1</v>
      </c>
      <c r="I122" s="10" t="s">
        <v>61</v>
      </c>
      <c r="J122" s="20" t="s">
        <v>1</v>
      </c>
      <c r="K122" s="10" t="s">
        <v>478</v>
      </c>
      <c r="L122" s="10" t="s">
        <v>585</v>
      </c>
      <c r="M122" s="10" t="s">
        <v>144</v>
      </c>
      <c r="N122" s="10" t="s">
        <v>586</v>
      </c>
      <c r="O122" s="19" t="s">
        <v>1</v>
      </c>
      <c r="P122" s="19" t="s">
        <v>518</v>
      </c>
      <c r="Q122" s="21"/>
      <c r="R122" s="20" t="s">
        <v>1</v>
      </c>
      <c r="S122" s="10" t="s">
        <v>77</v>
      </c>
      <c r="T122" s="10"/>
      <c r="U122" s="10"/>
      <c r="V122" s="10">
        <v>84</v>
      </c>
      <c r="W122" s="10">
        <v>84</v>
      </c>
      <c r="X122" s="10">
        <v>84</v>
      </c>
      <c r="Y122" s="10">
        <v>1.49</v>
      </c>
      <c r="Z122" s="10">
        <v>1</v>
      </c>
      <c r="AA122" s="10" t="s">
        <v>481</v>
      </c>
      <c r="AB122" s="22">
        <v>43950</v>
      </c>
      <c r="AC122" s="22">
        <v>43941</v>
      </c>
      <c r="AD122" s="22">
        <v>43951</v>
      </c>
      <c r="AE122" s="22">
        <v>43944</v>
      </c>
      <c r="AF122" s="22">
        <v>43944</v>
      </c>
      <c r="AG122" s="23" t="s">
        <v>482</v>
      </c>
      <c r="AH122" s="24">
        <v>1</v>
      </c>
      <c r="AI122" s="24">
        <v>1</v>
      </c>
      <c r="AJ122" s="24">
        <v>1</v>
      </c>
      <c r="AK122" s="23" t="s">
        <v>483</v>
      </c>
      <c r="AL122" s="10"/>
      <c r="AM122" s="10"/>
      <c r="AN122" s="10"/>
    </row>
    <row r="123" spans="2:40" ht="15" x14ac:dyDescent="0.2">
      <c r="B123" s="42">
        <v>190</v>
      </c>
      <c r="C123" s="16" t="s">
        <v>564</v>
      </c>
      <c r="D123" s="10" t="s">
        <v>476</v>
      </c>
      <c r="E123" s="10" t="s">
        <v>143</v>
      </c>
      <c r="F123" s="2" t="s">
        <v>587</v>
      </c>
      <c r="G123" s="19">
        <v>1416607</v>
      </c>
      <c r="H123" s="20" t="s">
        <v>1</v>
      </c>
      <c r="I123" s="10" t="s">
        <v>145</v>
      </c>
      <c r="J123" s="20" t="s">
        <v>1</v>
      </c>
      <c r="K123" s="10" t="s">
        <v>478</v>
      </c>
      <c r="L123" s="10" t="s">
        <v>585</v>
      </c>
      <c r="M123" s="10" t="s">
        <v>144</v>
      </c>
      <c r="N123" s="10" t="s">
        <v>586</v>
      </c>
      <c r="O123" s="19" t="s">
        <v>1</v>
      </c>
      <c r="P123" s="19" t="s">
        <v>518</v>
      </c>
      <c r="Q123" s="21"/>
      <c r="R123" s="20" t="s">
        <v>1</v>
      </c>
      <c r="S123" s="10" t="s">
        <v>77</v>
      </c>
      <c r="T123" s="10"/>
      <c r="U123" s="10"/>
      <c r="V123" s="10">
        <v>7</v>
      </c>
      <c r="W123" s="16">
        <v>7</v>
      </c>
      <c r="X123" s="10">
        <v>7</v>
      </c>
      <c r="Y123" s="10">
        <v>0.12</v>
      </c>
      <c r="Z123" s="10">
        <v>0</v>
      </c>
      <c r="AA123" s="10" t="s">
        <v>481</v>
      </c>
      <c r="AB123" s="22">
        <v>43950</v>
      </c>
      <c r="AC123" s="22">
        <v>43941</v>
      </c>
      <c r="AD123" s="22">
        <v>43951</v>
      </c>
      <c r="AE123" s="22">
        <v>43944</v>
      </c>
      <c r="AF123" s="22">
        <v>43944</v>
      </c>
      <c r="AG123" s="23" t="s">
        <v>482</v>
      </c>
      <c r="AH123" s="24" t="s">
        <v>1</v>
      </c>
      <c r="AI123" s="24" t="s">
        <v>1</v>
      </c>
      <c r="AJ123" s="24" t="s">
        <v>1</v>
      </c>
      <c r="AK123" s="23" t="s">
        <v>483</v>
      </c>
      <c r="AL123" s="10"/>
      <c r="AM123" s="10"/>
      <c r="AN123" s="10" t="s">
        <v>588</v>
      </c>
    </row>
    <row r="124" spans="2:40" ht="15" x14ac:dyDescent="0.2">
      <c r="B124" s="42">
        <v>191</v>
      </c>
      <c r="C124" s="16" t="s">
        <v>564</v>
      </c>
      <c r="D124" s="10" t="s">
        <v>476</v>
      </c>
      <c r="E124" s="10" t="s">
        <v>143</v>
      </c>
      <c r="F124" s="2" t="s">
        <v>589</v>
      </c>
      <c r="G124" s="19">
        <v>1416607</v>
      </c>
      <c r="H124" s="20" t="s">
        <v>1</v>
      </c>
      <c r="I124" s="10" t="s">
        <v>64</v>
      </c>
      <c r="J124" s="20" t="s">
        <v>1</v>
      </c>
      <c r="K124" s="10" t="s">
        <v>478</v>
      </c>
      <c r="L124" s="10" t="s">
        <v>585</v>
      </c>
      <c r="M124" s="10" t="s">
        <v>144</v>
      </c>
      <c r="N124" s="10" t="s">
        <v>586</v>
      </c>
      <c r="O124" s="19" t="s">
        <v>1</v>
      </c>
      <c r="P124" s="19" t="s">
        <v>518</v>
      </c>
      <c r="Q124" s="21"/>
      <c r="R124" s="20" t="s">
        <v>1</v>
      </c>
      <c r="S124" s="10" t="s">
        <v>77</v>
      </c>
      <c r="T124" s="10"/>
      <c r="U124" s="10"/>
      <c r="V124" s="10">
        <v>259</v>
      </c>
      <c r="W124" s="10">
        <v>259</v>
      </c>
      <c r="X124" s="10">
        <v>259</v>
      </c>
      <c r="Y124" s="10">
        <v>4.5999999999999996</v>
      </c>
      <c r="Z124" s="10">
        <v>2</v>
      </c>
      <c r="AA124" s="10" t="s">
        <v>481</v>
      </c>
      <c r="AB124" s="22">
        <v>43950</v>
      </c>
      <c r="AC124" s="22">
        <v>43941</v>
      </c>
      <c r="AD124" s="22">
        <v>43951</v>
      </c>
      <c r="AE124" s="22">
        <v>43944</v>
      </c>
      <c r="AF124" s="22">
        <v>43944</v>
      </c>
      <c r="AG124" s="23" t="s">
        <v>489</v>
      </c>
      <c r="AH124" s="24">
        <v>1</v>
      </c>
      <c r="AI124" s="24">
        <v>1</v>
      </c>
      <c r="AJ124" s="24">
        <v>0.88</v>
      </c>
      <c r="AK124" s="23" t="s">
        <v>490</v>
      </c>
      <c r="AL124" s="10" t="s">
        <v>590</v>
      </c>
      <c r="AM124" s="10"/>
      <c r="AN124" s="10" t="s">
        <v>492</v>
      </c>
    </row>
    <row r="125" spans="2:40" ht="15" x14ac:dyDescent="0.2">
      <c r="B125" s="42">
        <v>192</v>
      </c>
      <c r="C125" s="16" t="s">
        <v>564</v>
      </c>
      <c r="D125" s="10" t="s">
        <v>476</v>
      </c>
      <c r="E125" s="10" t="s">
        <v>143</v>
      </c>
      <c r="F125" s="2" t="s">
        <v>591</v>
      </c>
      <c r="G125" s="19">
        <v>1416607</v>
      </c>
      <c r="H125" s="20" t="s">
        <v>1</v>
      </c>
      <c r="I125" s="10" t="s">
        <v>146</v>
      </c>
      <c r="J125" s="20" t="s">
        <v>1</v>
      </c>
      <c r="K125" s="10" t="s">
        <v>478</v>
      </c>
      <c r="L125" s="10" t="s">
        <v>585</v>
      </c>
      <c r="M125" s="10" t="s">
        <v>144</v>
      </c>
      <c r="N125" s="10" t="s">
        <v>586</v>
      </c>
      <c r="O125" s="19" t="s">
        <v>1</v>
      </c>
      <c r="P125" s="19" t="s">
        <v>518</v>
      </c>
      <c r="Q125" s="21"/>
      <c r="R125" s="20" t="s">
        <v>1</v>
      </c>
      <c r="S125" s="10" t="s">
        <v>77</v>
      </c>
      <c r="T125" s="10"/>
      <c r="U125" s="10"/>
      <c r="V125" s="10">
        <v>135</v>
      </c>
      <c r="W125" s="10">
        <v>135</v>
      </c>
      <c r="X125" s="10">
        <v>135</v>
      </c>
      <c r="Y125" s="10">
        <v>2.4</v>
      </c>
      <c r="Z125" s="10">
        <v>1</v>
      </c>
      <c r="AA125" s="10" t="s">
        <v>481</v>
      </c>
      <c r="AB125" s="22">
        <v>43950</v>
      </c>
      <c r="AC125" s="22">
        <v>43941</v>
      </c>
      <c r="AD125" s="22">
        <v>43951</v>
      </c>
      <c r="AE125" s="22">
        <v>43944</v>
      </c>
      <c r="AF125" s="22">
        <v>43944</v>
      </c>
      <c r="AG125" s="23" t="s">
        <v>482</v>
      </c>
      <c r="AH125" s="24">
        <v>1</v>
      </c>
      <c r="AI125" s="24">
        <v>1</v>
      </c>
      <c r="AJ125" s="24">
        <v>1</v>
      </c>
      <c r="AK125" s="23" t="s">
        <v>483</v>
      </c>
      <c r="AL125" s="10"/>
      <c r="AM125" s="10"/>
      <c r="AN125" s="10"/>
    </row>
    <row r="126" spans="2:40" ht="15" x14ac:dyDescent="0.2">
      <c r="B126" s="42">
        <v>193</v>
      </c>
      <c r="C126" s="16" t="s">
        <v>564</v>
      </c>
      <c r="D126" s="10" t="s">
        <v>476</v>
      </c>
      <c r="E126" s="10" t="s">
        <v>143</v>
      </c>
      <c r="F126" s="2" t="s">
        <v>592</v>
      </c>
      <c r="G126" s="19">
        <v>1416607</v>
      </c>
      <c r="H126" s="20" t="s">
        <v>1</v>
      </c>
      <c r="I126" s="10" t="s">
        <v>63</v>
      </c>
      <c r="J126" s="20" t="s">
        <v>1</v>
      </c>
      <c r="K126" s="10" t="s">
        <v>478</v>
      </c>
      <c r="L126" s="10" t="s">
        <v>585</v>
      </c>
      <c r="M126" s="10" t="s">
        <v>144</v>
      </c>
      <c r="N126" s="10" t="s">
        <v>586</v>
      </c>
      <c r="O126" s="19" t="s">
        <v>1</v>
      </c>
      <c r="P126" s="19" t="s">
        <v>518</v>
      </c>
      <c r="Q126" s="21"/>
      <c r="R126" s="20" t="s">
        <v>1</v>
      </c>
      <c r="S126" s="10" t="s">
        <v>77</v>
      </c>
      <c r="T126" s="10"/>
      <c r="U126" s="10"/>
      <c r="V126" s="10">
        <v>82</v>
      </c>
      <c r="W126" s="10">
        <v>82</v>
      </c>
      <c r="X126" s="10">
        <v>82</v>
      </c>
      <c r="Y126" s="10">
        <v>1.45</v>
      </c>
      <c r="Z126" s="10">
        <v>1</v>
      </c>
      <c r="AA126" s="10" t="s">
        <v>481</v>
      </c>
      <c r="AB126" s="22">
        <v>43950</v>
      </c>
      <c r="AC126" s="22">
        <v>43941</v>
      </c>
      <c r="AD126" s="22">
        <v>43951</v>
      </c>
      <c r="AE126" s="22">
        <v>43944</v>
      </c>
      <c r="AF126" s="22">
        <v>43944</v>
      </c>
      <c r="AG126" s="23" t="s">
        <v>482</v>
      </c>
      <c r="AH126" s="24">
        <v>1</v>
      </c>
      <c r="AI126" s="24">
        <v>1</v>
      </c>
      <c r="AJ126" s="24">
        <v>1</v>
      </c>
      <c r="AK126" s="23" t="s">
        <v>483</v>
      </c>
      <c r="AL126" s="10"/>
      <c r="AM126" s="10"/>
      <c r="AN126" s="10"/>
    </row>
    <row r="127" spans="2:40" ht="15" x14ac:dyDescent="0.2">
      <c r="B127" s="42">
        <v>194</v>
      </c>
      <c r="C127" s="16" t="s">
        <v>564</v>
      </c>
      <c r="D127" s="10" t="s">
        <v>476</v>
      </c>
      <c r="E127" s="10" t="s">
        <v>143</v>
      </c>
      <c r="F127" s="2" t="s">
        <v>593</v>
      </c>
      <c r="G127" s="19">
        <v>1416607</v>
      </c>
      <c r="H127" s="20" t="s">
        <v>1</v>
      </c>
      <c r="I127" s="10" t="s">
        <v>66</v>
      </c>
      <c r="J127" s="20" t="s">
        <v>1</v>
      </c>
      <c r="K127" s="10" t="s">
        <v>478</v>
      </c>
      <c r="L127" s="10" t="s">
        <v>585</v>
      </c>
      <c r="M127" s="10" t="s">
        <v>144</v>
      </c>
      <c r="N127" s="10" t="s">
        <v>586</v>
      </c>
      <c r="O127" s="19" t="s">
        <v>1</v>
      </c>
      <c r="P127" s="19" t="s">
        <v>518</v>
      </c>
      <c r="Q127" s="21"/>
      <c r="R127" s="20" t="s">
        <v>1</v>
      </c>
      <c r="S127" s="10" t="s">
        <v>77</v>
      </c>
      <c r="T127" s="10"/>
      <c r="U127" s="10"/>
      <c r="V127" s="10">
        <v>313</v>
      </c>
      <c r="W127" s="10">
        <v>313</v>
      </c>
      <c r="X127" s="10">
        <v>313</v>
      </c>
      <c r="Y127" s="10">
        <v>5.56</v>
      </c>
      <c r="Z127" s="10">
        <v>2</v>
      </c>
      <c r="AA127" s="10" t="s">
        <v>481</v>
      </c>
      <c r="AB127" s="22">
        <v>43950</v>
      </c>
      <c r="AC127" s="22">
        <v>43941</v>
      </c>
      <c r="AD127" s="22">
        <v>43951</v>
      </c>
      <c r="AE127" s="22">
        <v>43944</v>
      </c>
      <c r="AF127" s="22">
        <v>43944</v>
      </c>
      <c r="AG127" s="23" t="s">
        <v>482</v>
      </c>
      <c r="AH127" s="24">
        <v>1</v>
      </c>
      <c r="AI127" s="24">
        <v>1</v>
      </c>
      <c r="AJ127" s="24">
        <v>1</v>
      </c>
      <c r="AK127" s="23" t="s">
        <v>483</v>
      </c>
      <c r="AL127" s="10"/>
      <c r="AM127" s="10"/>
      <c r="AN127" s="10"/>
    </row>
    <row r="128" spans="2:40" ht="15" x14ac:dyDescent="0.2">
      <c r="B128" s="42">
        <v>195</v>
      </c>
      <c r="C128" s="16" t="s">
        <v>564</v>
      </c>
      <c r="D128" s="10" t="s">
        <v>476</v>
      </c>
      <c r="E128" s="10" t="s">
        <v>143</v>
      </c>
      <c r="F128" s="2" t="s">
        <v>594</v>
      </c>
      <c r="G128" s="19">
        <v>1416607</v>
      </c>
      <c r="H128" s="20" t="s">
        <v>1</v>
      </c>
      <c r="I128" s="10" t="s">
        <v>67</v>
      </c>
      <c r="J128" s="20" t="s">
        <v>1</v>
      </c>
      <c r="K128" s="10" t="s">
        <v>478</v>
      </c>
      <c r="L128" s="10" t="s">
        <v>585</v>
      </c>
      <c r="M128" s="10" t="s">
        <v>144</v>
      </c>
      <c r="N128" s="10" t="s">
        <v>586</v>
      </c>
      <c r="O128" s="19" t="s">
        <v>1</v>
      </c>
      <c r="P128" s="19" t="s">
        <v>518</v>
      </c>
      <c r="Q128" s="21"/>
      <c r="R128" s="20" t="s">
        <v>1</v>
      </c>
      <c r="S128" s="10" t="s">
        <v>77</v>
      </c>
      <c r="T128" s="10"/>
      <c r="U128" s="10"/>
      <c r="V128" s="10">
        <v>54</v>
      </c>
      <c r="W128" s="10">
        <v>54</v>
      </c>
      <c r="X128" s="10">
        <v>54</v>
      </c>
      <c r="Y128" s="10">
        <v>0.96</v>
      </c>
      <c r="Z128" s="10">
        <v>1</v>
      </c>
      <c r="AA128" s="10" t="s">
        <v>481</v>
      </c>
      <c r="AB128" s="22">
        <v>43950</v>
      </c>
      <c r="AC128" s="22">
        <v>43941</v>
      </c>
      <c r="AD128" s="22">
        <v>43951</v>
      </c>
      <c r="AE128" s="22">
        <v>43944</v>
      </c>
      <c r="AF128" s="22">
        <v>43944</v>
      </c>
      <c r="AG128" s="23" t="s">
        <v>482</v>
      </c>
      <c r="AH128" s="24">
        <v>1</v>
      </c>
      <c r="AI128" s="24">
        <v>1</v>
      </c>
      <c r="AJ128" s="24">
        <v>1</v>
      </c>
      <c r="AK128" s="23" t="s">
        <v>483</v>
      </c>
      <c r="AL128" s="10"/>
      <c r="AM128" s="10"/>
      <c r="AN128" s="10"/>
    </row>
    <row r="129" spans="2:40" ht="15" x14ac:dyDescent="0.2">
      <c r="B129" s="42">
        <v>196</v>
      </c>
      <c r="C129" s="16" t="s">
        <v>564</v>
      </c>
      <c r="D129" s="10" t="s">
        <v>476</v>
      </c>
      <c r="E129" s="10" t="s">
        <v>143</v>
      </c>
      <c r="F129" s="2" t="s">
        <v>595</v>
      </c>
      <c r="G129" s="19">
        <v>1416607</v>
      </c>
      <c r="H129" s="20" t="s">
        <v>1</v>
      </c>
      <c r="I129" s="10" t="s">
        <v>68</v>
      </c>
      <c r="J129" s="20" t="s">
        <v>1</v>
      </c>
      <c r="K129" s="10" t="s">
        <v>478</v>
      </c>
      <c r="L129" s="10" t="s">
        <v>585</v>
      </c>
      <c r="M129" s="10" t="s">
        <v>144</v>
      </c>
      <c r="N129" s="10" t="s">
        <v>586</v>
      </c>
      <c r="O129" s="19" t="s">
        <v>1</v>
      </c>
      <c r="P129" s="19" t="s">
        <v>518</v>
      </c>
      <c r="Q129" s="21"/>
      <c r="R129" s="20" t="s">
        <v>1</v>
      </c>
      <c r="S129" s="10" t="s">
        <v>77</v>
      </c>
      <c r="T129" s="10"/>
      <c r="U129" s="10"/>
      <c r="V129" s="10">
        <v>144</v>
      </c>
      <c r="W129" s="10">
        <v>144</v>
      </c>
      <c r="X129" s="10">
        <v>144</v>
      </c>
      <c r="Y129" s="10">
        <v>2.56</v>
      </c>
      <c r="Z129" s="10">
        <v>1</v>
      </c>
      <c r="AA129" s="10" t="s">
        <v>481</v>
      </c>
      <c r="AB129" s="22">
        <v>43950</v>
      </c>
      <c r="AC129" s="22">
        <v>43941</v>
      </c>
      <c r="AD129" s="22">
        <v>43951</v>
      </c>
      <c r="AE129" s="22">
        <v>43945</v>
      </c>
      <c r="AF129" s="22">
        <v>43945</v>
      </c>
      <c r="AG129" s="23" t="s">
        <v>482</v>
      </c>
      <c r="AH129" s="24">
        <v>1</v>
      </c>
      <c r="AI129" s="24">
        <v>1</v>
      </c>
      <c r="AJ129" s="24">
        <v>1</v>
      </c>
      <c r="AK129" s="23" t="s">
        <v>483</v>
      </c>
      <c r="AL129" s="10"/>
      <c r="AM129" s="10"/>
      <c r="AN129" s="10"/>
    </row>
    <row r="130" spans="2:40" ht="15" x14ac:dyDescent="0.2">
      <c r="B130" s="42">
        <v>197</v>
      </c>
      <c r="C130" s="16" t="s">
        <v>564</v>
      </c>
      <c r="D130" s="10" t="s">
        <v>476</v>
      </c>
      <c r="E130" s="10" t="s">
        <v>143</v>
      </c>
      <c r="F130" s="2" t="s">
        <v>596</v>
      </c>
      <c r="G130" s="19">
        <v>1416607</v>
      </c>
      <c r="H130" s="20" t="s">
        <v>1</v>
      </c>
      <c r="I130" s="10" t="s">
        <v>147</v>
      </c>
      <c r="J130" s="20" t="s">
        <v>1</v>
      </c>
      <c r="K130" s="10" t="s">
        <v>478</v>
      </c>
      <c r="L130" s="10" t="s">
        <v>585</v>
      </c>
      <c r="M130" s="10" t="s">
        <v>144</v>
      </c>
      <c r="N130" s="10" t="s">
        <v>586</v>
      </c>
      <c r="O130" s="19" t="s">
        <v>1</v>
      </c>
      <c r="P130" s="19" t="s">
        <v>518</v>
      </c>
      <c r="Q130" s="21"/>
      <c r="R130" s="20" t="s">
        <v>1</v>
      </c>
      <c r="S130" s="10" t="s">
        <v>77</v>
      </c>
      <c r="T130" s="10"/>
      <c r="U130" s="10"/>
      <c r="V130" s="10">
        <v>59</v>
      </c>
      <c r="W130" s="10">
        <v>59</v>
      </c>
      <c r="X130" s="10">
        <v>59</v>
      </c>
      <c r="Y130" s="10">
        <v>1.04</v>
      </c>
      <c r="Z130" s="10">
        <v>1</v>
      </c>
      <c r="AA130" s="10" t="s">
        <v>481</v>
      </c>
      <c r="AB130" s="22">
        <v>43950</v>
      </c>
      <c r="AC130" s="22">
        <v>43941</v>
      </c>
      <c r="AD130" s="22">
        <v>43951</v>
      </c>
      <c r="AE130" s="22">
        <v>43945</v>
      </c>
      <c r="AF130" s="22">
        <v>43945</v>
      </c>
      <c r="AG130" s="23" t="s">
        <v>482</v>
      </c>
      <c r="AH130" s="24">
        <v>1</v>
      </c>
      <c r="AI130" s="24">
        <v>1</v>
      </c>
      <c r="AJ130" s="24">
        <v>1</v>
      </c>
      <c r="AK130" s="23" t="s">
        <v>483</v>
      </c>
      <c r="AL130" s="10"/>
      <c r="AM130" s="10"/>
      <c r="AN130" s="10"/>
    </row>
    <row r="131" spans="2:40" ht="15" x14ac:dyDescent="0.2">
      <c r="B131" s="42">
        <v>198</v>
      </c>
      <c r="C131" s="16" t="s">
        <v>564</v>
      </c>
      <c r="D131" s="10" t="s">
        <v>476</v>
      </c>
      <c r="E131" s="10" t="s">
        <v>143</v>
      </c>
      <c r="F131" s="2" t="s">
        <v>597</v>
      </c>
      <c r="G131" s="19">
        <v>1416607</v>
      </c>
      <c r="H131" s="20" t="s">
        <v>1</v>
      </c>
      <c r="I131" s="10" t="s">
        <v>69</v>
      </c>
      <c r="J131" s="20" t="s">
        <v>1</v>
      </c>
      <c r="K131" s="10" t="s">
        <v>478</v>
      </c>
      <c r="L131" s="10" t="s">
        <v>585</v>
      </c>
      <c r="M131" s="10" t="s">
        <v>144</v>
      </c>
      <c r="N131" s="10" t="s">
        <v>586</v>
      </c>
      <c r="O131" s="19" t="s">
        <v>1</v>
      </c>
      <c r="P131" s="19" t="s">
        <v>518</v>
      </c>
      <c r="Q131" s="21"/>
      <c r="R131" s="20" t="s">
        <v>1</v>
      </c>
      <c r="S131" s="10" t="s">
        <v>77</v>
      </c>
      <c r="T131" s="10"/>
      <c r="U131" s="10"/>
      <c r="V131" s="10">
        <v>354</v>
      </c>
      <c r="W131" s="10">
        <v>354</v>
      </c>
      <c r="X131" s="10">
        <v>354</v>
      </c>
      <c r="Y131" s="10">
        <v>6.29</v>
      </c>
      <c r="Z131" s="10">
        <v>2</v>
      </c>
      <c r="AA131" s="10" t="s">
        <v>481</v>
      </c>
      <c r="AB131" s="22">
        <v>43950</v>
      </c>
      <c r="AC131" s="22">
        <v>43941</v>
      </c>
      <c r="AD131" s="22">
        <v>43951</v>
      </c>
      <c r="AE131" s="22">
        <v>43945</v>
      </c>
      <c r="AF131" s="22">
        <v>43945</v>
      </c>
      <c r="AG131" s="23" t="s">
        <v>482</v>
      </c>
      <c r="AH131" s="24">
        <v>1</v>
      </c>
      <c r="AI131" s="24">
        <v>1</v>
      </c>
      <c r="AJ131" s="24">
        <v>1</v>
      </c>
      <c r="AK131" s="23" t="s">
        <v>483</v>
      </c>
      <c r="AL131" s="10"/>
      <c r="AM131" s="10"/>
      <c r="AN131" s="10"/>
    </row>
    <row r="132" spans="2:40" ht="15" x14ac:dyDescent="0.2">
      <c r="B132" s="42">
        <v>199</v>
      </c>
      <c r="C132" s="16" t="s">
        <v>564</v>
      </c>
      <c r="D132" s="10" t="s">
        <v>476</v>
      </c>
      <c r="E132" s="10" t="s">
        <v>143</v>
      </c>
      <c r="F132" s="2" t="s">
        <v>598</v>
      </c>
      <c r="G132" s="19">
        <v>1416607</v>
      </c>
      <c r="H132" s="20" t="s">
        <v>1</v>
      </c>
      <c r="I132" s="10" t="s">
        <v>71</v>
      </c>
      <c r="J132" s="20" t="s">
        <v>1</v>
      </c>
      <c r="K132" s="10" t="s">
        <v>478</v>
      </c>
      <c r="L132" s="10" t="s">
        <v>585</v>
      </c>
      <c r="M132" s="10" t="s">
        <v>144</v>
      </c>
      <c r="N132" s="10" t="s">
        <v>586</v>
      </c>
      <c r="O132" s="19" t="s">
        <v>1</v>
      </c>
      <c r="P132" s="19" t="s">
        <v>518</v>
      </c>
      <c r="Q132" s="21"/>
      <c r="R132" s="20" t="s">
        <v>1</v>
      </c>
      <c r="S132" s="10" t="s">
        <v>77</v>
      </c>
      <c r="T132" s="10"/>
      <c r="U132" s="10"/>
      <c r="V132" s="10">
        <v>186</v>
      </c>
      <c r="W132" s="10">
        <v>186</v>
      </c>
      <c r="X132" s="10">
        <v>186</v>
      </c>
      <c r="Y132" s="10">
        <v>3.3</v>
      </c>
      <c r="Z132" s="10">
        <v>1</v>
      </c>
      <c r="AA132" s="10" t="s">
        <v>481</v>
      </c>
      <c r="AB132" s="22">
        <v>43950</v>
      </c>
      <c r="AC132" s="22">
        <v>43941</v>
      </c>
      <c r="AD132" s="22">
        <v>43951</v>
      </c>
      <c r="AE132" s="22">
        <v>43945</v>
      </c>
      <c r="AF132" s="22">
        <v>43945</v>
      </c>
      <c r="AG132" s="23" t="s">
        <v>482</v>
      </c>
      <c r="AH132" s="24">
        <v>1</v>
      </c>
      <c r="AI132" s="24">
        <v>1</v>
      </c>
      <c r="AJ132" s="24">
        <v>1</v>
      </c>
      <c r="AK132" s="23" t="s">
        <v>483</v>
      </c>
      <c r="AL132" s="10"/>
      <c r="AM132" s="10"/>
      <c r="AN132" s="10"/>
    </row>
    <row r="133" spans="2:40" ht="15" x14ac:dyDescent="0.2">
      <c r="B133" s="42">
        <v>200</v>
      </c>
      <c r="C133" s="16" t="s">
        <v>564</v>
      </c>
      <c r="D133" s="10" t="s">
        <v>476</v>
      </c>
      <c r="E133" s="10" t="s">
        <v>143</v>
      </c>
      <c r="F133" s="2" t="s">
        <v>599</v>
      </c>
      <c r="G133" s="19">
        <v>1416607</v>
      </c>
      <c r="H133" s="20" t="s">
        <v>1</v>
      </c>
      <c r="I133" s="10" t="s">
        <v>72</v>
      </c>
      <c r="J133" s="20" t="s">
        <v>1</v>
      </c>
      <c r="K133" s="10" t="s">
        <v>478</v>
      </c>
      <c r="L133" s="10" t="s">
        <v>585</v>
      </c>
      <c r="M133" s="10" t="s">
        <v>144</v>
      </c>
      <c r="N133" s="10" t="s">
        <v>586</v>
      </c>
      <c r="O133" s="19" t="s">
        <v>1</v>
      </c>
      <c r="P133" s="19" t="s">
        <v>518</v>
      </c>
      <c r="Q133" s="21"/>
      <c r="R133" s="20" t="s">
        <v>1</v>
      </c>
      <c r="S133" s="10" t="s">
        <v>77</v>
      </c>
      <c r="T133" s="10"/>
      <c r="U133" s="10"/>
      <c r="V133" s="10">
        <v>159</v>
      </c>
      <c r="W133" s="10">
        <v>159</v>
      </c>
      <c r="X133" s="10">
        <v>159</v>
      </c>
      <c r="Y133" s="10">
        <v>2.82</v>
      </c>
      <c r="Z133" s="10">
        <v>1</v>
      </c>
      <c r="AA133" s="10" t="s">
        <v>481</v>
      </c>
      <c r="AB133" s="22">
        <v>43950</v>
      </c>
      <c r="AC133" s="22">
        <v>43941</v>
      </c>
      <c r="AD133" s="22">
        <v>43951</v>
      </c>
      <c r="AE133" s="22">
        <v>43945</v>
      </c>
      <c r="AF133" s="22">
        <v>43945</v>
      </c>
      <c r="AG133" s="23" t="s">
        <v>482</v>
      </c>
      <c r="AH133" s="24">
        <v>1</v>
      </c>
      <c r="AI133" s="24">
        <v>1</v>
      </c>
      <c r="AJ133" s="24">
        <v>1</v>
      </c>
      <c r="AK133" s="23" t="s">
        <v>483</v>
      </c>
      <c r="AL133" s="10"/>
      <c r="AM133" s="10"/>
      <c r="AN133" s="10"/>
    </row>
    <row r="134" spans="2:40" ht="15" x14ac:dyDescent="0.2">
      <c r="B134" s="42">
        <v>201</v>
      </c>
      <c r="C134" s="16" t="s">
        <v>564</v>
      </c>
      <c r="D134" s="10" t="s">
        <v>476</v>
      </c>
      <c r="E134" s="10" t="s">
        <v>143</v>
      </c>
      <c r="F134" s="2" t="s">
        <v>600</v>
      </c>
      <c r="G134" s="19">
        <v>1416607</v>
      </c>
      <c r="H134" s="20" t="s">
        <v>1</v>
      </c>
      <c r="I134" s="10" t="s">
        <v>73</v>
      </c>
      <c r="J134" s="20" t="s">
        <v>1</v>
      </c>
      <c r="K134" s="10" t="s">
        <v>478</v>
      </c>
      <c r="L134" s="10" t="s">
        <v>585</v>
      </c>
      <c r="M134" s="10" t="s">
        <v>144</v>
      </c>
      <c r="N134" s="10" t="s">
        <v>586</v>
      </c>
      <c r="O134" s="19" t="s">
        <v>1</v>
      </c>
      <c r="P134" s="19" t="s">
        <v>518</v>
      </c>
      <c r="Q134" s="21"/>
      <c r="R134" s="20" t="s">
        <v>1</v>
      </c>
      <c r="S134" s="10" t="s">
        <v>77</v>
      </c>
      <c r="T134" s="10"/>
      <c r="U134" s="10"/>
      <c r="V134" s="10">
        <v>199</v>
      </c>
      <c r="W134" s="10">
        <v>199</v>
      </c>
      <c r="X134" s="10">
        <v>199</v>
      </c>
      <c r="Y134" s="10">
        <v>3.53</v>
      </c>
      <c r="Z134" s="10">
        <v>1</v>
      </c>
      <c r="AA134" s="10" t="s">
        <v>481</v>
      </c>
      <c r="AB134" s="22">
        <v>43950</v>
      </c>
      <c r="AC134" s="22">
        <v>43941</v>
      </c>
      <c r="AD134" s="22">
        <v>43951</v>
      </c>
      <c r="AE134" s="22">
        <v>43945</v>
      </c>
      <c r="AF134" s="22">
        <v>43945</v>
      </c>
      <c r="AG134" s="23" t="s">
        <v>482</v>
      </c>
      <c r="AH134" s="24">
        <v>1</v>
      </c>
      <c r="AI134" s="24">
        <v>1</v>
      </c>
      <c r="AJ134" s="24">
        <v>1</v>
      </c>
      <c r="AK134" s="23" t="s">
        <v>483</v>
      </c>
      <c r="AL134" s="10"/>
      <c r="AM134" s="10"/>
      <c r="AN134" s="10"/>
    </row>
    <row r="135" spans="2:40" ht="15" x14ac:dyDescent="0.2">
      <c r="B135" s="42">
        <v>202</v>
      </c>
      <c r="C135" s="16" t="s">
        <v>564</v>
      </c>
      <c r="D135" s="10" t="s">
        <v>476</v>
      </c>
      <c r="E135" s="10" t="s">
        <v>143</v>
      </c>
      <c r="F135" s="2" t="s">
        <v>601</v>
      </c>
      <c r="G135" s="19">
        <v>1416607</v>
      </c>
      <c r="H135" s="20" t="s">
        <v>1</v>
      </c>
      <c r="I135" s="10" t="s">
        <v>74</v>
      </c>
      <c r="J135" s="20" t="s">
        <v>1</v>
      </c>
      <c r="K135" s="10" t="s">
        <v>478</v>
      </c>
      <c r="L135" s="10" t="s">
        <v>585</v>
      </c>
      <c r="M135" s="10" t="s">
        <v>144</v>
      </c>
      <c r="N135" s="10" t="s">
        <v>586</v>
      </c>
      <c r="O135" s="19" t="s">
        <v>1</v>
      </c>
      <c r="P135" s="19" t="s">
        <v>518</v>
      </c>
      <c r="Q135" s="21"/>
      <c r="R135" s="20" t="s">
        <v>1</v>
      </c>
      <c r="S135" s="10" t="s">
        <v>77</v>
      </c>
      <c r="T135" s="10"/>
      <c r="U135" s="10"/>
      <c r="V135" s="10">
        <v>6</v>
      </c>
      <c r="W135" s="16">
        <v>6</v>
      </c>
      <c r="X135" s="10">
        <v>6</v>
      </c>
      <c r="Y135" s="10">
        <v>0.1</v>
      </c>
      <c r="Z135" s="10">
        <v>0</v>
      </c>
      <c r="AA135" s="10" t="s">
        <v>481</v>
      </c>
      <c r="AB135" s="22">
        <v>43950</v>
      </c>
      <c r="AC135" s="22">
        <v>43941</v>
      </c>
      <c r="AD135" s="22">
        <v>43951</v>
      </c>
      <c r="AE135" s="22">
        <v>43945</v>
      </c>
      <c r="AF135" s="22">
        <v>43945</v>
      </c>
      <c r="AG135" s="23" t="s">
        <v>482</v>
      </c>
      <c r="AH135" s="24" t="s">
        <v>1</v>
      </c>
      <c r="AI135" s="24" t="s">
        <v>1</v>
      </c>
      <c r="AJ135" s="24" t="s">
        <v>1</v>
      </c>
      <c r="AK135" s="23" t="s">
        <v>483</v>
      </c>
      <c r="AL135" s="10"/>
      <c r="AM135" s="10"/>
      <c r="AN135" s="10" t="s">
        <v>588</v>
      </c>
    </row>
    <row r="136" spans="2:40" ht="15" x14ac:dyDescent="0.2">
      <c r="B136" s="42">
        <v>203</v>
      </c>
      <c r="C136" s="16" t="s">
        <v>564</v>
      </c>
      <c r="D136" s="10" t="s">
        <v>476</v>
      </c>
      <c r="E136" s="10" t="s">
        <v>148</v>
      </c>
      <c r="F136" s="2" t="s">
        <v>602</v>
      </c>
      <c r="G136" s="19">
        <v>1416606</v>
      </c>
      <c r="H136" s="20" t="s">
        <v>1</v>
      </c>
      <c r="I136" s="10" t="s">
        <v>61</v>
      </c>
      <c r="J136" s="20" t="s">
        <v>1</v>
      </c>
      <c r="K136" s="10" t="s">
        <v>478</v>
      </c>
      <c r="L136" s="10" t="s">
        <v>603</v>
      </c>
      <c r="M136" s="10" t="s">
        <v>62</v>
      </c>
      <c r="N136" s="10" t="s">
        <v>604</v>
      </c>
      <c r="O136" s="19" t="s">
        <v>1</v>
      </c>
      <c r="P136" s="19" t="s">
        <v>518</v>
      </c>
      <c r="Q136" s="21"/>
      <c r="R136" s="20" t="s">
        <v>1</v>
      </c>
      <c r="S136" s="10" t="s">
        <v>41</v>
      </c>
      <c r="T136" s="10"/>
      <c r="U136" s="10"/>
      <c r="V136" s="10">
        <v>84</v>
      </c>
      <c r="W136" s="10">
        <v>84</v>
      </c>
      <c r="X136" s="10">
        <v>84</v>
      </c>
      <c r="Y136" s="10">
        <v>1.49</v>
      </c>
      <c r="Z136" s="10">
        <v>0.5</v>
      </c>
      <c r="AA136" s="10" t="s">
        <v>481</v>
      </c>
      <c r="AB136" s="22">
        <v>43950</v>
      </c>
      <c r="AC136" s="22">
        <v>43941</v>
      </c>
      <c r="AD136" s="22">
        <v>43951</v>
      </c>
      <c r="AE136" s="22">
        <v>43945</v>
      </c>
      <c r="AF136" s="22">
        <v>43945</v>
      </c>
      <c r="AG136" s="23" t="s">
        <v>482</v>
      </c>
      <c r="AH136" s="24">
        <v>1</v>
      </c>
      <c r="AI136" s="24">
        <v>1</v>
      </c>
      <c r="AJ136" s="24">
        <v>1</v>
      </c>
      <c r="AK136" s="23" t="s">
        <v>483</v>
      </c>
      <c r="AL136" s="10"/>
      <c r="AM136" s="10"/>
      <c r="AN136" s="10"/>
    </row>
    <row r="137" spans="2:40" ht="15" x14ac:dyDescent="0.2">
      <c r="B137" s="42">
        <v>204</v>
      </c>
      <c r="C137" s="16" t="s">
        <v>564</v>
      </c>
      <c r="D137" s="10" t="s">
        <v>476</v>
      </c>
      <c r="E137" s="10" t="s">
        <v>148</v>
      </c>
      <c r="F137" s="2" t="s">
        <v>605</v>
      </c>
      <c r="G137" s="19">
        <v>1416606</v>
      </c>
      <c r="H137" s="20" t="s">
        <v>1</v>
      </c>
      <c r="I137" s="10" t="s">
        <v>145</v>
      </c>
      <c r="J137" s="20" t="s">
        <v>1</v>
      </c>
      <c r="K137" s="10" t="s">
        <v>478</v>
      </c>
      <c r="L137" s="10" t="s">
        <v>603</v>
      </c>
      <c r="M137" s="10" t="s">
        <v>62</v>
      </c>
      <c r="N137" s="10" t="s">
        <v>604</v>
      </c>
      <c r="O137" s="19" t="s">
        <v>1</v>
      </c>
      <c r="P137" s="19" t="s">
        <v>518</v>
      </c>
      <c r="Q137" s="21"/>
      <c r="R137" s="20" t="s">
        <v>1</v>
      </c>
      <c r="S137" s="10" t="s">
        <v>41</v>
      </c>
      <c r="T137" s="10"/>
      <c r="U137" s="10"/>
      <c r="V137" s="10">
        <v>7</v>
      </c>
      <c r="W137" s="10">
        <v>7</v>
      </c>
      <c r="X137" s="10">
        <v>7</v>
      </c>
      <c r="Y137" s="10">
        <v>0.12</v>
      </c>
      <c r="Z137" s="10">
        <v>0.12</v>
      </c>
      <c r="AA137" s="10" t="s">
        <v>481</v>
      </c>
      <c r="AB137" s="22">
        <v>43950</v>
      </c>
      <c r="AC137" s="22">
        <v>43941</v>
      </c>
      <c r="AD137" s="22">
        <v>43951</v>
      </c>
      <c r="AE137" s="22">
        <v>43945</v>
      </c>
      <c r="AF137" s="22">
        <v>43945</v>
      </c>
      <c r="AG137" s="23" t="s">
        <v>482</v>
      </c>
      <c r="AH137" s="24" t="s">
        <v>1</v>
      </c>
      <c r="AI137" s="24" t="s">
        <v>1</v>
      </c>
      <c r="AJ137" s="24" t="s">
        <v>1</v>
      </c>
      <c r="AK137" s="23" t="s">
        <v>483</v>
      </c>
      <c r="AL137" s="10"/>
      <c r="AM137" s="10"/>
      <c r="AN137" s="10"/>
    </row>
    <row r="138" spans="2:40" ht="15" x14ac:dyDescent="0.2">
      <c r="B138" s="42">
        <v>205</v>
      </c>
      <c r="C138" s="16" t="s">
        <v>564</v>
      </c>
      <c r="D138" s="10" t="s">
        <v>476</v>
      </c>
      <c r="E138" s="10" t="s">
        <v>148</v>
      </c>
      <c r="F138" s="2" t="s">
        <v>606</v>
      </c>
      <c r="G138" s="19">
        <v>1416606</v>
      </c>
      <c r="H138" s="20" t="s">
        <v>1</v>
      </c>
      <c r="I138" s="10" t="s">
        <v>64</v>
      </c>
      <c r="J138" s="20" t="s">
        <v>1</v>
      </c>
      <c r="K138" s="10" t="s">
        <v>478</v>
      </c>
      <c r="L138" s="10" t="s">
        <v>603</v>
      </c>
      <c r="M138" s="10" t="s">
        <v>62</v>
      </c>
      <c r="N138" s="10" t="s">
        <v>604</v>
      </c>
      <c r="O138" s="19" t="s">
        <v>1</v>
      </c>
      <c r="P138" s="19" t="s">
        <v>518</v>
      </c>
      <c r="Q138" s="21"/>
      <c r="R138" s="20" t="s">
        <v>1</v>
      </c>
      <c r="S138" s="10" t="s">
        <v>41</v>
      </c>
      <c r="T138" s="10"/>
      <c r="U138" s="10"/>
      <c r="V138" s="10">
        <v>259</v>
      </c>
      <c r="W138" s="10">
        <v>259</v>
      </c>
      <c r="X138" s="10">
        <v>259</v>
      </c>
      <c r="Y138" s="10">
        <v>4.5999999999999996</v>
      </c>
      <c r="Z138" s="10">
        <v>0.5</v>
      </c>
      <c r="AA138" s="10" t="s">
        <v>481</v>
      </c>
      <c r="AB138" s="22">
        <v>43950</v>
      </c>
      <c r="AC138" s="22">
        <v>43941</v>
      </c>
      <c r="AD138" s="22">
        <v>43951</v>
      </c>
      <c r="AE138" s="22">
        <v>43945</v>
      </c>
      <c r="AF138" s="22">
        <v>43945</v>
      </c>
      <c r="AG138" s="23" t="s">
        <v>489</v>
      </c>
      <c r="AH138" s="24">
        <v>1</v>
      </c>
      <c r="AI138" s="24">
        <v>1</v>
      </c>
      <c r="AJ138" s="24">
        <v>0.87</v>
      </c>
      <c r="AK138" s="23" t="s">
        <v>490</v>
      </c>
      <c r="AL138" s="10" t="s">
        <v>607</v>
      </c>
      <c r="AM138" s="10"/>
      <c r="AN138" s="10" t="s">
        <v>492</v>
      </c>
    </row>
    <row r="139" spans="2:40" ht="15" x14ac:dyDescent="0.2">
      <c r="B139" s="42">
        <v>206</v>
      </c>
      <c r="C139" s="16" t="s">
        <v>564</v>
      </c>
      <c r="D139" s="10" t="s">
        <v>476</v>
      </c>
      <c r="E139" s="10" t="s">
        <v>148</v>
      </c>
      <c r="F139" s="2" t="s">
        <v>608</v>
      </c>
      <c r="G139" s="19">
        <v>1416606</v>
      </c>
      <c r="H139" s="20" t="s">
        <v>1</v>
      </c>
      <c r="I139" s="10" t="s">
        <v>65</v>
      </c>
      <c r="J139" s="20" t="s">
        <v>1</v>
      </c>
      <c r="K139" s="10" t="s">
        <v>478</v>
      </c>
      <c r="L139" s="10" t="s">
        <v>603</v>
      </c>
      <c r="M139" s="10" t="s">
        <v>62</v>
      </c>
      <c r="N139" s="10" t="s">
        <v>604</v>
      </c>
      <c r="O139" s="19" t="s">
        <v>1</v>
      </c>
      <c r="P139" s="19" t="s">
        <v>518</v>
      </c>
      <c r="Q139" s="21"/>
      <c r="R139" s="20" t="s">
        <v>1</v>
      </c>
      <c r="S139" s="10" t="s">
        <v>41</v>
      </c>
      <c r="T139" s="10"/>
      <c r="U139" s="10"/>
      <c r="V139" s="10">
        <v>140</v>
      </c>
      <c r="W139" s="10">
        <v>140</v>
      </c>
      <c r="X139" s="10">
        <v>140</v>
      </c>
      <c r="Y139" s="10">
        <v>2.48</v>
      </c>
      <c r="Z139" s="10">
        <v>0.5</v>
      </c>
      <c r="AA139" s="10" t="s">
        <v>481</v>
      </c>
      <c r="AB139" s="22">
        <v>43950</v>
      </c>
      <c r="AC139" s="22">
        <v>43941</v>
      </c>
      <c r="AD139" s="22">
        <v>43951</v>
      </c>
      <c r="AE139" s="22">
        <v>43945</v>
      </c>
      <c r="AF139" s="22">
        <v>43945</v>
      </c>
      <c r="AG139" s="23" t="s">
        <v>482</v>
      </c>
      <c r="AH139" s="24">
        <v>1</v>
      </c>
      <c r="AI139" s="24">
        <v>1</v>
      </c>
      <c r="AJ139" s="24">
        <v>1</v>
      </c>
      <c r="AK139" s="23" t="s">
        <v>483</v>
      </c>
      <c r="AL139" s="10"/>
      <c r="AM139" s="10"/>
      <c r="AN139" s="10"/>
    </row>
    <row r="140" spans="2:40" ht="15" x14ac:dyDescent="0.2">
      <c r="B140" s="42">
        <v>207</v>
      </c>
      <c r="C140" s="16" t="s">
        <v>564</v>
      </c>
      <c r="D140" s="10" t="s">
        <v>476</v>
      </c>
      <c r="E140" s="10" t="s">
        <v>148</v>
      </c>
      <c r="F140" s="2" t="s">
        <v>609</v>
      </c>
      <c r="G140" s="19">
        <v>1416606</v>
      </c>
      <c r="H140" s="20" t="s">
        <v>1</v>
      </c>
      <c r="I140" s="10" t="s">
        <v>66</v>
      </c>
      <c r="J140" s="20" t="s">
        <v>1</v>
      </c>
      <c r="K140" s="10" t="s">
        <v>478</v>
      </c>
      <c r="L140" s="10" t="s">
        <v>603</v>
      </c>
      <c r="M140" s="10" t="s">
        <v>62</v>
      </c>
      <c r="N140" s="10" t="s">
        <v>604</v>
      </c>
      <c r="O140" s="19" t="s">
        <v>1</v>
      </c>
      <c r="P140" s="19" t="s">
        <v>518</v>
      </c>
      <c r="Q140" s="21"/>
      <c r="R140" s="20" t="s">
        <v>1</v>
      </c>
      <c r="S140" s="10" t="s">
        <v>41</v>
      </c>
      <c r="T140" s="10"/>
      <c r="U140" s="10"/>
      <c r="V140" s="10">
        <v>313</v>
      </c>
      <c r="W140" s="10">
        <v>313</v>
      </c>
      <c r="X140" s="10">
        <v>313</v>
      </c>
      <c r="Y140" s="10">
        <v>5.56</v>
      </c>
      <c r="Z140" s="10">
        <v>2</v>
      </c>
      <c r="AA140" s="10" t="s">
        <v>481</v>
      </c>
      <c r="AB140" s="22">
        <v>43950</v>
      </c>
      <c r="AC140" s="22">
        <v>43941</v>
      </c>
      <c r="AD140" s="22">
        <v>43951</v>
      </c>
      <c r="AE140" s="22">
        <v>43945</v>
      </c>
      <c r="AF140" s="22">
        <v>43945</v>
      </c>
      <c r="AG140" s="23" t="s">
        <v>482</v>
      </c>
      <c r="AH140" s="24">
        <v>1</v>
      </c>
      <c r="AI140" s="24">
        <v>1</v>
      </c>
      <c r="AJ140" s="24">
        <v>1</v>
      </c>
      <c r="AK140" s="23" t="s">
        <v>483</v>
      </c>
      <c r="AL140" s="10"/>
      <c r="AM140" s="10"/>
      <c r="AN140" s="10"/>
    </row>
    <row r="141" spans="2:40" ht="15" x14ac:dyDescent="0.2">
      <c r="B141" s="42">
        <v>208</v>
      </c>
      <c r="C141" s="16" t="s">
        <v>564</v>
      </c>
      <c r="D141" s="10" t="s">
        <v>476</v>
      </c>
      <c r="E141" s="10" t="s">
        <v>148</v>
      </c>
      <c r="F141" s="2" t="s">
        <v>610</v>
      </c>
      <c r="G141" s="19">
        <v>1416606</v>
      </c>
      <c r="H141" s="20" t="s">
        <v>1</v>
      </c>
      <c r="I141" s="10" t="s">
        <v>68</v>
      </c>
      <c r="J141" s="20" t="s">
        <v>1</v>
      </c>
      <c r="K141" s="10" t="s">
        <v>478</v>
      </c>
      <c r="L141" s="10" t="s">
        <v>603</v>
      </c>
      <c r="M141" s="10" t="s">
        <v>62</v>
      </c>
      <c r="N141" s="10" t="s">
        <v>604</v>
      </c>
      <c r="O141" s="19" t="s">
        <v>1</v>
      </c>
      <c r="P141" s="19" t="s">
        <v>518</v>
      </c>
      <c r="Q141" s="21"/>
      <c r="R141" s="20" t="s">
        <v>1</v>
      </c>
      <c r="S141" s="10" t="s">
        <v>41</v>
      </c>
      <c r="T141" s="10"/>
      <c r="U141" s="10"/>
      <c r="V141" s="10">
        <v>144</v>
      </c>
      <c r="W141" s="10">
        <v>144</v>
      </c>
      <c r="X141" s="10">
        <v>144</v>
      </c>
      <c r="Y141" s="10">
        <v>2.56</v>
      </c>
      <c r="Z141" s="10">
        <v>0.5</v>
      </c>
      <c r="AA141" s="10" t="s">
        <v>481</v>
      </c>
      <c r="AB141" s="22">
        <v>43950</v>
      </c>
      <c r="AC141" s="22">
        <v>43941</v>
      </c>
      <c r="AD141" s="22">
        <v>43951</v>
      </c>
      <c r="AE141" s="22">
        <v>43945</v>
      </c>
      <c r="AF141" s="22">
        <v>43945</v>
      </c>
      <c r="AG141" s="23" t="s">
        <v>482</v>
      </c>
      <c r="AH141" s="24">
        <v>1</v>
      </c>
      <c r="AI141" s="24">
        <v>1</v>
      </c>
      <c r="AJ141" s="24">
        <v>1</v>
      </c>
      <c r="AK141" s="23" t="s">
        <v>483</v>
      </c>
      <c r="AL141" s="10"/>
      <c r="AM141" s="10"/>
      <c r="AN141" s="10"/>
    </row>
    <row r="142" spans="2:40" ht="15" x14ac:dyDescent="0.2">
      <c r="B142" s="42">
        <v>209</v>
      </c>
      <c r="C142" s="16" t="s">
        <v>564</v>
      </c>
      <c r="D142" s="10" t="s">
        <v>476</v>
      </c>
      <c r="E142" s="10" t="s">
        <v>148</v>
      </c>
      <c r="F142" s="2" t="s">
        <v>611</v>
      </c>
      <c r="G142" s="19">
        <v>1416606</v>
      </c>
      <c r="H142" s="20" t="s">
        <v>1</v>
      </c>
      <c r="I142" s="10" t="s">
        <v>147</v>
      </c>
      <c r="J142" s="20" t="s">
        <v>1</v>
      </c>
      <c r="K142" s="10" t="s">
        <v>478</v>
      </c>
      <c r="L142" s="10" t="s">
        <v>603</v>
      </c>
      <c r="M142" s="10" t="s">
        <v>62</v>
      </c>
      <c r="N142" s="10" t="s">
        <v>604</v>
      </c>
      <c r="O142" s="19" t="s">
        <v>1</v>
      </c>
      <c r="P142" s="19" t="s">
        <v>518</v>
      </c>
      <c r="Q142" s="21"/>
      <c r="R142" s="20" t="s">
        <v>1</v>
      </c>
      <c r="S142" s="10" t="s">
        <v>41</v>
      </c>
      <c r="T142" s="10"/>
      <c r="U142" s="10"/>
      <c r="V142" s="10">
        <v>59</v>
      </c>
      <c r="W142" s="10">
        <v>59</v>
      </c>
      <c r="X142" s="10">
        <v>59</v>
      </c>
      <c r="Y142" s="10">
        <v>1.04</v>
      </c>
      <c r="Z142" s="10">
        <v>0.5</v>
      </c>
      <c r="AA142" s="10" t="s">
        <v>481</v>
      </c>
      <c r="AB142" s="22">
        <v>43950</v>
      </c>
      <c r="AC142" s="22">
        <v>43941</v>
      </c>
      <c r="AD142" s="22">
        <v>43951</v>
      </c>
      <c r="AE142" s="22">
        <v>43945</v>
      </c>
      <c r="AF142" s="22">
        <v>43945</v>
      </c>
      <c r="AG142" s="23" t="s">
        <v>482</v>
      </c>
      <c r="AH142" s="24">
        <v>1</v>
      </c>
      <c r="AI142" s="24">
        <v>1</v>
      </c>
      <c r="AJ142" s="24">
        <v>1</v>
      </c>
      <c r="AK142" s="23" t="s">
        <v>483</v>
      </c>
      <c r="AL142" s="10"/>
      <c r="AM142" s="10"/>
      <c r="AN142" s="10"/>
    </row>
    <row r="143" spans="2:40" ht="15" x14ac:dyDescent="0.2">
      <c r="B143" s="42">
        <v>210</v>
      </c>
      <c r="C143" s="16" t="s">
        <v>564</v>
      </c>
      <c r="D143" s="10" t="s">
        <v>476</v>
      </c>
      <c r="E143" s="10" t="s">
        <v>148</v>
      </c>
      <c r="F143" s="2" t="s">
        <v>612</v>
      </c>
      <c r="G143" s="19">
        <v>1416606</v>
      </c>
      <c r="H143" s="20" t="s">
        <v>1</v>
      </c>
      <c r="I143" s="10" t="s">
        <v>69</v>
      </c>
      <c r="J143" s="20" t="s">
        <v>1</v>
      </c>
      <c r="K143" s="10" t="s">
        <v>478</v>
      </c>
      <c r="L143" s="10" t="s">
        <v>603</v>
      </c>
      <c r="M143" s="10" t="s">
        <v>62</v>
      </c>
      <c r="N143" s="10" t="s">
        <v>604</v>
      </c>
      <c r="O143" s="19" t="s">
        <v>1</v>
      </c>
      <c r="P143" s="19" t="s">
        <v>518</v>
      </c>
      <c r="Q143" s="21"/>
      <c r="R143" s="20" t="s">
        <v>1</v>
      </c>
      <c r="S143" s="10" t="s">
        <v>41</v>
      </c>
      <c r="T143" s="10"/>
      <c r="U143" s="10"/>
      <c r="V143" s="10">
        <v>354</v>
      </c>
      <c r="W143" s="10">
        <v>354</v>
      </c>
      <c r="X143" s="10">
        <v>354</v>
      </c>
      <c r="Y143" s="10">
        <v>6.29</v>
      </c>
      <c r="Z143" s="10">
        <v>2</v>
      </c>
      <c r="AA143" s="10" t="s">
        <v>481</v>
      </c>
      <c r="AB143" s="22">
        <v>43950</v>
      </c>
      <c r="AC143" s="22">
        <v>43941</v>
      </c>
      <c r="AD143" s="22">
        <v>43951</v>
      </c>
      <c r="AE143" s="22">
        <v>43945</v>
      </c>
      <c r="AF143" s="22">
        <v>43945</v>
      </c>
      <c r="AG143" s="23" t="s">
        <v>482</v>
      </c>
      <c r="AH143" s="24">
        <v>1</v>
      </c>
      <c r="AI143" s="24">
        <v>1</v>
      </c>
      <c r="AJ143" s="24">
        <v>1</v>
      </c>
      <c r="AK143" s="23" t="s">
        <v>483</v>
      </c>
      <c r="AL143" s="10"/>
      <c r="AM143" s="10"/>
      <c r="AN143" s="10"/>
    </row>
    <row r="144" spans="2:40" ht="15" x14ac:dyDescent="0.2">
      <c r="B144" s="42">
        <v>211</v>
      </c>
      <c r="C144" s="16" t="s">
        <v>564</v>
      </c>
      <c r="D144" s="10" t="s">
        <v>476</v>
      </c>
      <c r="E144" s="10" t="s">
        <v>148</v>
      </c>
      <c r="F144" s="2" t="s">
        <v>613</v>
      </c>
      <c r="G144" s="19">
        <v>1416606</v>
      </c>
      <c r="H144" s="20" t="s">
        <v>1</v>
      </c>
      <c r="I144" s="10" t="s">
        <v>71</v>
      </c>
      <c r="J144" s="20" t="s">
        <v>1</v>
      </c>
      <c r="K144" s="10" t="s">
        <v>478</v>
      </c>
      <c r="L144" s="10" t="s">
        <v>603</v>
      </c>
      <c r="M144" s="10" t="s">
        <v>62</v>
      </c>
      <c r="N144" s="10" t="s">
        <v>604</v>
      </c>
      <c r="O144" s="19" t="s">
        <v>1</v>
      </c>
      <c r="P144" s="19" t="s">
        <v>518</v>
      </c>
      <c r="Q144" s="21"/>
      <c r="R144" s="20" t="s">
        <v>1</v>
      </c>
      <c r="S144" s="10" t="s">
        <v>41</v>
      </c>
      <c r="T144" s="10"/>
      <c r="U144" s="10"/>
      <c r="V144" s="10">
        <v>186</v>
      </c>
      <c r="W144" s="10">
        <v>186</v>
      </c>
      <c r="X144" s="10">
        <v>186</v>
      </c>
      <c r="Y144" s="10">
        <v>3.3</v>
      </c>
      <c r="Z144" s="10">
        <v>0.5</v>
      </c>
      <c r="AA144" s="10" t="s">
        <v>481</v>
      </c>
      <c r="AB144" s="22">
        <v>43950</v>
      </c>
      <c r="AC144" s="22">
        <v>43941</v>
      </c>
      <c r="AD144" s="22">
        <v>43951</v>
      </c>
      <c r="AE144" s="22">
        <v>43945</v>
      </c>
      <c r="AF144" s="22">
        <v>43945</v>
      </c>
      <c r="AG144" s="23" t="s">
        <v>482</v>
      </c>
      <c r="AH144" s="24">
        <v>1</v>
      </c>
      <c r="AI144" s="24">
        <v>1</v>
      </c>
      <c r="AJ144" s="24">
        <v>1</v>
      </c>
      <c r="AK144" s="23" t="s">
        <v>483</v>
      </c>
      <c r="AL144" s="10"/>
      <c r="AM144" s="10"/>
      <c r="AN144" s="10"/>
    </row>
    <row r="145" spans="2:40" ht="15" x14ac:dyDescent="0.2">
      <c r="B145" s="42">
        <v>212</v>
      </c>
      <c r="C145" s="16" t="s">
        <v>564</v>
      </c>
      <c r="D145" s="10" t="s">
        <v>476</v>
      </c>
      <c r="E145" s="10" t="s">
        <v>148</v>
      </c>
      <c r="F145" s="2" t="s">
        <v>614</v>
      </c>
      <c r="G145" s="19">
        <v>1416606</v>
      </c>
      <c r="H145" s="20" t="s">
        <v>1</v>
      </c>
      <c r="I145" s="10" t="s">
        <v>72</v>
      </c>
      <c r="J145" s="20" t="s">
        <v>1</v>
      </c>
      <c r="K145" s="10" t="s">
        <v>478</v>
      </c>
      <c r="L145" s="10" t="s">
        <v>603</v>
      </c>
      <c r="M145" s="10" t="s">
        <v>62</v>
      </c>
      <c r="N145" s="10" t="s">
        <v>604</v>
      </c>
      <c r="O145" s="19" t="s">
        <v>1</v>
      </c>
      <c r="P145" s="19" t="s">
        <v>518</v>
      </c>
      <c r="Q145" s="21"/>
      <c r="R145" s="20" t="s">
        <v>1</v>
      </c>
      <c r="S145" s="10" t="s">
        <v>41</v>
      </c>
      <c r="T145" s="10"/>
      <c r="U145" s="10"/>
      <c r="V145" s="10">
        <v>159</v>
      </c>
      <c r="W145" s="10">
        <v>159</v>
      </c>
      <c r="X145" s="10">
        <v>159</v>
      </c>
      <c r="Y145" s="10">
        <v>2.82</v>
      </c>
      <c r="Z145" s="10">
        <v>0.5</v>
      </c>
      <c r="AA145" s="10" t="s">
        <v>481</v>
      </c>
      <c r="AB145" s="22">
        <v>43950</v>
      </c>
      <c r="AC145" s="22">
        <v>43941</v>
      </c>
      <c r="AD145" s="22">
        <v>43951</v>
      </c>
      <c r="AE145" s="22">
        <v>43945</v>
      </c>
      <c r="AF145" s="22">
        <v>43945</v>
      </c>
      <c r="AG145" s="23" t="s">
        <v>482</v>
      </c>
      <c r="AH145" s="24">
        <v>1</v>
      </c>
      <c r="AI145" s="24">
        <v>1</v>
      </c>
      <c r="AJ145" s="24">
        <v>1</v>
      </c>
      <c r="AK145" s="23" t="s">
        <v>483</v>
      </c>
      <c r="AL145" s="10"/>
      <c r="AM145" s="10"/>
      <c r="AN145" s="10"/>
    </row>
    <row r="146" spans="2:40" ht="15" x14ac:dyDescent="0.2">
      <c r="B146" s="42">
        <v>213</v>
      </c>
      <c r="C146" s="16" t="s">
        <v>564</v>
      </c>
      <c r="D146" s="10" t="s">
        <v>476</v>
      </c>
      <c r="E146" s="10" t="s">
        <v>148</v>
      </c>
      <c r="F146" s="2" t="s">
        <v>615</v>
      </c>
      <c r="G146" s="19">
        <v>1416606</v>
      </c>
      <c r="H146" s="20" t="s">
        <v>1</v>
      </c>
      <c r="I146" s="10" t="s">
        <v>73</v>
      </c>
      <c r="J146" s="20" t="s">
        <v>1</v>
      </c>
      <c r="K146" s="10" t="s">
        <v>478</v>
      </c>
      <c r="L146" s="10" t="s">
        <v>603</v>
      </c>
      <c r="M146" s="10" t="s">
        <v>62</v>
      </c>
      <c r="N146" s="10" t="s">
        <v>604</v>
      </c>
      <c r="O146" s="19" t="s">
        <v>1</v>
      </c>
      <c r="P146" s="19" t="s">
        <v>518</v>
      </c>
      <c r="Q146" s="21"/>
      <c r="R146" s="20" t="s">
        <v>1</v>
      </c>
      <c r="S146" s="10" t="s">
        <v>41</v>
      </c>
      <c r="T146" s="10"/>
      <c r="U146" s="10"/>
      <c r="V146" s="10">
        <v>199</v>
      </c>
      <c r="W146" s="10">
        <v>199</v>
      </c>
      <c r="X146" s="10">
        <v>199</v>
      </c>
      <c r="Y146" s="10">
        <v>3.53</v>
      </c>
      <c r="Z146" s="10">
        <v>0.5</v>
      </c>
      <c r="AA146" s="10" t="s">
        <v>481</v>
      </c>
      <c r="AB146" s="22">
        <v>43950</v>
      </c>
      <c r="AC146" s="22">
        <v>43941</v>
      </c>
      <c r="AD146" s="22">
        <v>43951</v>
      </c>
      <c r="AE146" s="22">
        <v>43945</v>
      </c>
      <c r="AF146" s="22">
        <v>43945</v>
      </c>
      <c r="AG146" s="23" t="s">
        <v>482</v>
      </c>
      <c r="AH146" s="24">
        <v>1</v>
      </c>
      <c r="AI146" s="24">
        <v>1</v>
      </c>
      <c r="AJ146" s="24">
        <v>1</v>
      </c>
      <c r="AK146" s="23" t="s">
        <v>483</v>
      </c>
      <c r="AL146" s="10"/>
      <c r="AM146" s="10"/>
      <c r="AN146" s="10"/>
    </row>
    <row r="147" spans="2:40" ht="15" x14ac:dyDescent="0.2">
      <c r="B147" s="42">
        <v>214</v>
      </c>
      <c r="C147" s="16" t="s">
        <v>564</v>
      </c>
      <c r="D147" s="10" t="s">
        <v>476</v>
      </c>
      <c r="E147" s="10" t="s">
        <v>148</v>
      </c>
      <c r="F147" s="2" t="s">
        <v>616</v>
      </c>
      <c r="G147" s="19">
        <v>1416606</v>
      </c>
      <c r="H147" s="20" t="s">
        <v>1</v>
      </c>
      <c r="I147" s="10" t="s">
        <v>74</v>
      </c>
      <c r="J147" s="20" t="s">
        <v>1</v>
      </c>
      <c r="K147" s="10" t="s">
        <v>478</v>
      </c>
      <c r="L147" s="10" t="s">
        <v>603</v>
      </c>
      <c r="M147" s="10" t="s">
        <v>62</v>
      </c>
      <c r="N147" s="10" t="s">
        <v>604</v>
      </c>
      <c r="O147" s="19" t="s">
        <v>1</v>
      </c>
      <c r="P147" s="19" t="s">
        <v>518</v>
      </c>
      <c r="Q147" s="21"/>
      <c r="R147" s="20" t="s">
        <v>1</v>
      </c>
      <c r="S147" s="10" t="s">
        <v>41</v>
      </c>
      <c r="T147" s="10"/>
      <c r="U147" s="10"/>
      <c r="V147" s="10">
        <v>6</v>
      </c>
      <c r="W147" s="10">
        <v>6</v>
      </c>
      <c r="X147" s="10">
        <v>6</v>
      </c>
      <c r="Y147" s="10">
        <v>0.1</v>
      </c>
      <c r="Z147" s="10">
        <v>0.5</v>
      </c>
      <c r="AA147" s="10" t="s">
        <v>481</v>
      </c>
      <c r="AB147" s="22">
        <v>43950</v>
      </c>
      <c r="AC147" s="22">
        <v>43941</v>
      </c>
      <c r="AD147" s="22">
        <v>43951</v>
      </c>
      <c r="AE147" s="22">
        <v>43945</v>
      </c>
      <c r="AF147" s="22">
        <v>43945</v>
      </c>
      <c r="AG147" s="23" t="s">
        <v>482</v>
      </c>
      <c r="AH147" s="24" t="s">
        <v>1</v>
      </c>
      <c r="AI147" s="24" t="s">
        <v>1</v>
      </c>
      <c r="AJ147" s="24" t="s">
        <v>1</v>
      </c>
      <c r="AK147" s="23" t="s">
        <v>483</v>
      </c>
      <c r="AL147" s="10"/>
      <c r="AM147" s="10"/>
      <c r="AN147" s="10"/>
    </row>
    <row r="148" spans="2:40" ht="15" x14ac:dyDescent="0.2">
      <c r="B148" s="42">
        <v>215</v>
      </c>
      <c r="C148" s="16" t="s">
        <v>564</v>
      </c>
      <c r="D148" s="16" t="s">
        <v>476</v>
      </c>
      <c r="E148" s="16" t="s">
        <v>149</v>
      </c>
      <c r="F148" s="3" t="s">
        <v>617</v>
      </c>
      <c r="G148" s="52">
        <v>1372148</v>
      </c>
      <c r="H148" s="20" t="s">
        <v>1</v>
      </c>
      <c r="I148" s="16" t="s">
        <v>150</v>
      </c>
      <c r="J148" s="20" t="s">
        <v>1</v>
      </c>
      <c r="K148" s="16" t="s">
        <v>478</v>
      </c>
      <c r="L148" s="16" t="s">
        <v>483</v>
      </c>
      <c r="M148" s="16" t="s">
        <v>134</v>
      </c>
      <c r="N148" s="16" t="s">
        <v>618</v>
      </c>
      <c r="O148" s="52" t="s">
        <v>1</v>
      </c>
      <c r="P148" s="52" t="s">
        <v>619</v>
      </c>
      <c r="Q148" s="21"/>
      <c r="R148" s="20" t="s">
        <v>1</v>
      </c>
      <c r="S148" s="16" t="s">
        <v>77</v>
      </c>
      <c r="T148" s="16"/>
      <c r="U148" s="16"/>
      <c r="V148" s="16">
        <v>90</v>
      </c>
      <c r="W148" s="16">
        <v>90</v>
      </c>
      <c r="X148" s="10">
        <v>90</v>
      </c>
      <c r="Y148" s="16">
        <v>1.6</v>
      </c>
      <c r="Z148" s="16">
        <v>2</v>
      </c>
      <c r="AA148" s="16" t="s">
        <v>481</v>
      </c>
      <c r="AB148" s="22">
        <v>43943</v>
      </c>
      <c r="AC148" s="22">
        <v>43941</v>
      </c>
      <c r="AD148" s="49">
        <v>43943</v>
      </c>
      <c r="AE148" s="49">
        <v>43942</v>
      </c>
      <c r="AF148" s="49">
        <v>43942</v>
      </c>
      <c r="AG148" s="23" t="s">
        <v>482</v>
      </c>
      <c r="AH148" s="45">
        <v>1</v>
      </c>
      <c r="AI148" s="45">
        <v>1</v>
      </c>
      <c r="AJ148" s="45">
        <v>1</v>
      </c>
      <c r="AK148" s="23" t="s">
        <v>483</v>
      </c>
      <c r="AL148" s="16"/>
      <c r="AM148" s="16"/>
      <c r="AN148" s="16"/>
    </row>
    <row r="149" spans="2:40" ht="15" x14ac:dyDescent="0.2">
      <c r="B149" s="42">
        <v>216</v>
      </c>
      <c r="C149" s="16" t="s">
        <v>564</v>
      </c>
      <c r="D149" s="16" t="s">
        <v>476</v>
      </c>
      <c r="E149" s="16" t="s">
        <v>149</v>
      </c>
      <c r="F149" s="3" t="s">
        <v>620</v>
      </c>
      <c r="G149" s="52">
        <v>1372148</v>
      </c>
      <c r="H149" s="20" t="s">
        <v>1</v>
      </c>
      <c r="I149" s="16" t="s">
        <v>151</v>
      </c>
      <c r="J149" s="20" t="s">
        <v>1</v>
      </c>
      <c r="K149" s="16" t="s">
        <v>478</v>
      </c>
      <c r="L149" s="16" t="s">
        <v>483</v>
      </c>
      <c r="M149" s="16" t="s">
        <v>134</v>
      </c>
      <c r="N149" s="16" t="s">
        <v>618</v>
      </c>
      <c r="O149" s="52" t="s">
        <v>1</v>
      </c>
      <c r="P149" s="52" t="s">
        <v>619</v>
      </c>
      <c r="Q149" s="21"/>
      <c r="R149" s="20" t="s">
        <v>1</v>
      </c>
      <c r="S149" s="16" t="s">
        <v>77</v>
      </c>
      <c r="T149" s="16"/>
      <c r="U149" s="16"/>
      <c r="V149" s="16">
        <v>212</v>
      </c>
      <c r="W149" s="16">
        <v>212</v>
      </c>
      <c r="X149" s="10">
        <v>212</v>
      </c>
      <c r="Y149" s="16">
        <v>3.76</v>
      </c>
      <c r="Z149" s="16">
        <v>4</v>
      </c>
      <c r="AA149" s="16" t="s">
        <v>481</v>
      </c>
      <c r="AB149" s="22">
        <v>43943</v>
      </c>
      <c r="AC149" s="22">
        <v>43941</v>
      </c>
      <c r="AD149" s="49">
        <v>43943</v>
      </c>
      <c r="AE149" s="49">
        <v>43942</v>
      </c>
      <c r="AF149" s="49">
        <v>43942</v>
      </c>
      <c r="AG149" s="23" t="s">
        <v>482</v>
      </c>
      <c r="AH149" s="45">
        <v>1</v>
      </c>
      <c r="AI149" s="45">
        <v>1</v>
      </c>
      <c r="AJ149" s="45">
        <v>1</v>
      </c>
      <c r="AK149" s="23" t="s">
        <v>483</v>
      </c>
      <c r="AL149" s="16"/>
      <c r="AM149" s="16"/>
      <c r="AN149" s="16"/>
    </row>
    <row r="150" spans="2:40" ht="15" x14ac:dyDescent="0.2">
      <c r="B150" s="42">
        <v>217</v>
      </c>
      <c r="C150" s="16" t="s">
        <v>564</v>
      </c>
      <c r="D150" s="16" t="s">
        <v>476</v>
      </c>
      <c r="E150" s="16" t="s">
        <v>149</v>
      </c>
      <c r="F150" s="3" t="s">
        <v>621</v>
      </c>
      <c r="G150" s="52">
        <v>1372148</v>
      </c>
      <c r="H150" s="20" t="s">
        <v>1</v>
      </c>
      <c r="I150" s="16" t="s">
        <v>152</v>
      </c>
      <c r="J150" s="20" t="s">
        <v>1</v>
      </c>
      <c r="K150" s="16" t="s">
        <v>478</v>
      </c>
      <c r="L150" s="16" t="s">
        <v>483</v>
      </c>
      <c r="M150" s="16" t="s">
        <v>134</v>
      </c>
      <c r="N150" s="16" t="s">
        <v>618</v>
      </c>
      <c r="O150" s="52" t="s">
        <v>1</v>
      </c>
      <c r="P150" s="52" t="s">
        <v>619</v>
      </c>
      <c r="Q150" s="21"/>
      <c r="R150" s="20" t="s">
        <v>1</v>
      </c>
      <c r="S150" s="16" t="s">
        <v>77</v>
      </c>
      <c r="T150" s="16"/>
      <c r="U150" s="16"/>
      <c r="V150" s="16">
        <v>361</v>
      </c>
      <c r="W150" s="16">
        <v>361</v>
      </c>
      <c r="X150" s="10">
        <v>361</v>
      </c>
      <c r="Y150" s="16">
        <v>6.41</v>
      </c>
      <c r="Z150" s="16">
        <v>3</v>
      </c>
      <c r="AA150" s="16" t="s">
        <v>481</v>
      </c>
      <c r="AB150" s="22">
        <v>43943</v>
      </c>
      <c r="AC150" s="22">
        <v>43941</v>
      </c>
      <c r="AD150" s="49">
        <v>43943</v>
      </c>
      <c r="AE150" s="49">
        <v>43942</v>
      </c>
      <c r="AF150" s="49">
        <v>43942</v>
      </c>
      <c r="AG150" s="23" t="s">
        <v>482</v>
      </c>
      <c r="AH150" s="45">
        <v>1</v>
      </c>
      <c r="AI150" s="45">
        <v>1</v>
      </c>
      <c r="AJ150" s="45">
        <v>1</v>
      </c>
      <c r="AK150" s="23" t="s">
        <v>483</v>
      </c>
      <c r="AL150" s="16"/>
      <c r="AM150" s="16"/>
      <c r="AN150" s="16"/>
    </row>
    <row r="151" spans="2:40" ht="15" x14ac:dyDescent="0.2">
      <c r="B151" s="42">
        <v>218</v>
      </c>
      <c r="C151" s="16" t="s">
        <v>564</v>
      </c>
      <c r="D151" s="10" t="s">
        <v>476</v>
      </c>
      <c r="E151" s="10" t="s">
        <v>149</v>
      </c>
      <c r="F151" s="2" t="s">
        <v>622</v>
      </c>
      <c r="G151" s="19">
        <v>1372148</v>
      </c>
      <c r="H151" s="20" t="s">
        <v>1</v>
      </c>
      <c r="I151" s="10" t="s">
        <v>153</v>
      </c>
      <c r="J151" s="20" t="s">
        <v>1</v>
      </c>
      <c r="K151" s="10" t="s">
        <v>478</v>
      </c>
      <c r="L151" s="10" t="s">
        <v>483</v>
      </c>
      <c r="M151" s="10" t="s">
        <v>134</v>
      </c>
      <c r="N151" s="10" t="s">
        <v>618</v>
      </c>
      <c r="O151" s="19" t="s">
        <v>1</v>
      </c>
      <c r="P151" s="19" t="s">
        <v>619</v>
      </c>
      <c r="Q151" s="21"/>
      <c r="R151" s="20" t="s">
        <v>1</v>
      </c>
      <c r="S151" s="10" t="s">
        <v>77</v>
      </c>
      <c r="T151" s="10"/>
      <c r="U151" s="10"/>
      <c r="V151" s="10">
        <v>437</v>
      </c>
      <c r="W151" s="10">
        <v>437</v>
      </c>
      <c r="X151" s="10">
        <v>437</v>
      </c>
      <c r="Y151" s="10">
        <v>7.76</v>
      </c>
      <c r="Z151" s="10">
        <v>4</v>
      </c>
      <c r="AA151" s="16" t="s">
        <v>481</v>
      </c>
      <c r="AB151" s="22">
        <v>43943</v>
      </c>
      <c r="AC151" s="22">
        <v>43941</v>
      </c>
      <c r="AD151" s="22">
        <v>43943</v>
      </c>
      <c r="AE151" s="22">
        <v>43943</v>
      </c>
      <c r="AF151" s="22">
        <v>43943</v>
      </c>
      <c r="AG151" s="23" t="s">
        <v>482</v>
      </c>
      <c r="AH151" s="24">
        <v>1</v>
      </c>
      <c r="AI151" s="24">
        <v>1</v>
      </c>
      <c r="AJ151" s="24">
        <v>1</v>
      </c>
      <c r="AK151" s="23" t="s">
        <v>483</v>
      </c>
      <c r="AL151" s="10"/>
      <c r="AM151" s="10"/>
      <c r="AN151" s="10"/>
    </row>
    <row r="152" spans="2:40" ht="15" x14ac:dyDescent="0.2">
      <c r="B152" s="42">
        <v>219</v>
      </c>
      <c r="C152" s="16" t="s">
        <v>564</v>
      </c>
      <c r="D152" s="10" t="s">
        <v>476</v>
      </c>
      <c r="E152" s="10" t="s">
        <v>149</v>
      </c>
      <c r="F152" s="2" t="s">
        <v>623</v>
      </c>
      <c r="G152" s="19">
        <v>1372148</v>
      </c>
      <c r="H152" s="20" t="s">
        <v>1</v>
      </c>
      <c r="I152" s="10" t="s">
        <v>154</v>
      </c>
      <c r="J152" s="20" t="s">
        <v>1</v>
      </c>
      <c r="K152" s="10" t="s">
        <v>478</v>
      </c>
      <c r="L152" s="10" t="s">
        <v>483</v>
      </c>
      <c r="M152" s="10" t="s">
        <v>134</v>
      </c>
      <c r="N152" s="10" t="s">
        <v>618</v>
      </c>
      <c r="O152" s="19" t="s">
        <v>1</v>
      </c>
      <c r="P152" s="19" t="s">
        <v>619</v>
      </c>
      <c r="Q152" s="21"/>
      <c r="R152" s="20" t="s">
        <v>1</v>
      </c>
      <c r="S152" s="10" t="s">
        <v>77</v>
      </c>
      <c r="T152" s="10"/>
      <c r="U152" s="10"/>
      <c r="V152" s="10">
        <v>32</v>
      </c>
      <c r="W152" s="10">
        <v>32</v>
      </c>
      <c r="X152" s="10">
        <v>32</v>
      </c>
      <c r="Y152" s="10">
        <v>0.56000000000000005</v>
      </c>
      <c r="Z152" s="10">
        <v>0.25</v>
      </c>
      <c r="AA152" s="16" t="s">
        <v>481</v>
      </c>
      <c r="AB152" s="22">
        <v>43943</v>
      </c>
      <c r="AC152" s="22">
        <v>43941</v>
      </c>
      <c r="AD152" s="22">
        <v>43943</v>
      </c>
      <c r="AE152" s="22">
        <v>43943</v>
      </c>
      <c r="AF152" s="22">
        <v>43943</v>
      </c>
      <c r="AG152" s="23" t="s">
        <v>482</v>
      </c>
      <c r="AH152" s="24">
        <v>1</v>
      </c>
      <c r="AI152" s="24">
        <v>1</v>
      </c>
      <c r="AJ152" s="24">
        <v>1</v>
      </c>
      <c r="AK152" s="23" t="s">
        <v>483</v>
      </c>
      <c r="AL152" s="10"/>
      <c r="AM152" s="10"/>
      <c r="AN152" s="10"/>
    </row>
    <row r="153" spans="2:40" ht="15" x14ac:dyDescent="0.2">
      <c r="B153" s="42">
        <v>220</v>
      </c>
      <c r="C153" s="16" t="s">
        <v>564</v>
      </c>
      <c r="D153" s="10" t="s">
        <v>476</v>
      </c>
      <c r="E153" s="10" t="s">
        <v>149</v>
      </c>
      <c r="F153" s="2" t="s">
        <v>624</v>
      </c>
      <c r="G153" s="19">
        <v>1372148</v>
      </c>
      <c r="H153" s="20" t="s">
        <v>1</v>
      </c>
      <c r="I153" s="10" t="s">
        <v>123</v>
      </c>
      <c r="J153" s="20" t="s">
        <v>1</v>
      </c>
      <c r="K153" s="10" t="s">
        <v>478</v>
      </c>
      <c r="L153" s="10" t="s">
        <v>483</v>
      </c>
      <c r="M153" s="10" t="s">
        <v>134</v>
      </c>
      <c r="N153" s="10" t="s">
        <v>618</v>
      </c>
      <c r="O153" s="19" t="s">
        <v>1</v>
      </c>
      <c r="P153" s="19" t="s">
        <v>619</v>
      </c>
      <c r="Q153" s="21"/>
      <c r="R153" s="20" t="s">
        <v>1</v>
      </c>
      <c r="S153" s="10" t="s">
        <v>15</v>
      </c>
      <c r="T153" s="10"/>
      <c r="U153" s="10"/>
      <c r="V153" s="10">
        <v>997</v>
      </c>
      <c r="W153" s="16">
        <v>30</v>
      </c>
      <c r="X153" s="10">
        <v>30</v>
      </c>
      <c r="Y153" s="10">
        <v>0.53</v>
      </c>
      <c r="Z153" s="10">
        <v>0.5</v>
      </c>
      <c r="AA153" s="16" t="s">
        <v>481</v>
      </c>
      <c r="AB153" s="22">
        <v>43943</v>
      </c>
      <c r="AC153" s="22">
        <v>43941</v>
      </c>
      <c r="AD153" s="22">
        <v>43943</v>
      </c>
      <c r="AE153" s="22">
        <v>43941</v>
      </c>
      <c r="AF153" s="22">
        <v>43941</v>
      </c>
      <c r="AG153" s="23" t="s">
        <v>482</v>
      </c>
      <c r="AH153" s="24">
        <v>1</v>
      </c>
      <c r="AI153" s="24">
        <v>1</v>
      </c>
      <c r="AJ153" s="24">
        <v>1</v>
      </c>
      <c r="AK153" s="23" t="s">
        <v>483</v>
      </c>
      <c r="AL153" s="10"/>
      <c r="AM153" s="10"/>
      <c r="AN153" s="10" t="s">
        <v>625</v>
      </c>
    </row>
    <row r="154" spans="2:40" ht="15" x14ac:dyDescent="0.2">
      <c r="B154" s="42">
        <v>221</v>
      </c>
      <c r="C154" s="16" t="s">
        <v>564</v>
      </c>
      <c r="D154" s="10" t="s">
        <v>476</v>
      </c>
      <c r="E154" s="10" t="s">
        <v>149</v>
      </c>
      <c r="F154" s="2" t="s">
        <v>626</v>
      </c>
      <c r="G154" s="19">
        <v>1372148</v>
      </c>
      <c r="H154" s="20" t="s">
        <v>1</v>
      </c>
      <c r="I154" s="10" t="s">
        <v>155</v>
      </c>
      <c r="J154" s="20" t="s">
        <v>1</v>
      </c>
      <c r="K154" s="10" t="s">
        <v>478</v>
      </c>
      <c r="L154" s="10" t="s">
        <v>483</v>
      </c>
      <c r="M154" s="10" t="s">
        <v>134</v>
      </c>
      <c r="N154" s="10" t="s">
        <v>618</v>
      </c>
      <c r="O154" s="19" t="s">
        <v>1</v>
      </c>
      <c r="P154" s="19" t="s">
        <v>619</v>
      </c>
      <c r="Q154" s="21"/>
      <c r="R154" s="20" t="s">
        <v>1</v>
      </c>
      <c r="S154" s="10" t="s">
        <v>77</v>
      </c>
      <c r="T154" s="10"/>
      <c r="U154" s="10"/>
      <c r="V154" s="10">
        <v>99</v>
      </c>
      <c r="W154" s="10">
        <v>99</v>
      </c>
      <c r="X154" s="10">
        <v>99</v>
      </c>
      <c r="Y154" s="10">
        <v>1.76</v>
      </c>
      <c r="Z154" s="10">
        <v>0.5</v>
      </c>
      <c r="AA154" s="16" t="s">
        <v>481</v>
      </c>
      <c r="AB154" s="22">
        <v>43943</v>
      </c>
      <c r="AC154" s="22">
        <v>43941</v>
      </c>
      <c r="AD154" s="22">
        <v>43943</v>
      </c>
      <c r="AE154" s="22">
        <v>43943</v>
      </c>
      <c r="AF154" s="22">
        <v>43943</v>
      </c>
      <c r="AG154" s="23" t="s">
        <v>482</v>
      </c>
      <c r="AH154" s="24">
        <v>1</v>
      </c>
      <c r="AI154" s="24">
        <v>1</v>
      </c>
      <c r="AJ154" s="24">
        <v>1</v>
      </c>
      <c r="AK154" s="23" t="s">
        <v>483</v>
      </c>
      <c r="AL154" s="10"/>
      <c r="AM154" s="10"/>
      <c r="AN154" s="10"/>
    </row>
    <row r="155" spans="2:40" ht="15" x14ac:dyDescent="0.2">
      <c r="B155" s="42">
        <v>222</v>
      </c>
      <c r="C155" s="16" t="s">
        <v>564</v>
      </c>
      <c r="D155" s="10" t="s">
        <v>476</v>
      </c>
      <c r="E155" s="10" t="s">
        <v>156</v>
      </c>
      <c r="F155" s="2" t="s">
        <v>627</v>
      </c>
      <c r="G155" s="19">
        <v>1416483</v>
      </c>
      <c r="H155" s="20" t="s">
        <v>1</v>
      </c>
      <c r="I155" s="10" t="s">
        <v>157</v>
      </c>
      <c r="J155" s="20" t="s">
        <v>1</v>
      </c>
      <c r="K155" s="10" t="s">
        <v>478</v>
      </c>
      <c r="L155" s="10" t="s">
        <v>628</v>
      </c>
      <c r="M155" s="10" t="s">
        <v>158</v>
      </c>
      <c r="N155" s="10" t="s">
        <v>629</v>
      </c>
      <c r="O155" s="19" t="s">
        <v>1</v>
      </c>
      <c r="P155" s="19" t="s">
        <v>630</v>
      </c>
      <c r="Q155" s="21"/>
      <c r="R155" s="20" t="s">
        <v>1</v>
      </c>
      <c r="S155" s="10" t="s">
        <v>77</v>
      </c>
      <c r="T155" s="10"/>
      <c r="U155" s="10"/>
      <c r="V155" s="10">
        <v>368</v>
      </c>
      <c r="W155" s="10">
        <v>368</v>
      </c>
      <c r="X155" s="10">
        <v>368</v>
      </c>
      <c r="Y155" s="10">
        <v>6.54</v>
      </c>
      <c r="Z155" s="10">
        <v>5</v>
      </c>
      <c r="AA155" s="16" t="s">
        <v>481</v>
      </c>
      <c r="AB155" s="22">
        <v>43943</v>
      </c>
      <c r="AC155" s="22">
        <v>43941</v>
      </c>
      <c r="AD155" s="22">
        <v>43943</v>
      </c>
      <c r="AE155" s="22">
        <v>43943</v>
      </c>
      <c r="AF155" s="22">
        <v>43943</v>
      </c>
      <c r="AG155" s="23" t="s">
        <v>482</v>
      </c>
      <c r="AH155" s="24">
        <v>1</v>
      </c>
      <c r="AI155" s="24">
        <v>1</v>
      </c>
      <c r="AJ155" s="24">
        <v>1</v>
      </c>
      <c r="AK155" s="23" t="s">
        <v>483</v>
      </c>
      <c r="AL155" s="10"/>
      <c r="AM155" s="10"/>
      <c r="AN155" s="10"/>
    </row>
    <row r="156" spans="2:40" ht="15" x14ac:dyDescent="0.2">
      <c r="B156" s="42">
        <v>223</v>
      </c>
      <c r="C156" s="16" t="s">
        <v>564</v>
      </c>
      <c r="D156" s="10" t="s">
        <v>476</v>
      </c>
      <c r="E156" s="10" t="s">
        <v>156</v>
      </c>
      <c r="F156" s="2" t="s">
        <v>631</v>
      </c>
      <c r="G156" s="19">
        <v>1416483</v>
      </c>
      <c r="H156" s="20" t="s">
        <v>1</v>
      </c>
      <c r="I156" s="15" t="s">
        <v>159</v>
      </c>
      <c r="J156" s="20" t="s">
        <v>1</v>
      </c>
      <c r="K156" s="10" t="s">
        <v>478</v>
      </c>
      <c r="L156" s="10" t="s">
        <v>628</v>
      </c>
      <c r="M156" s="10" t="s">
        <v>158</v>
      </c>
      <c r="N156" s="10" t="s">
        <v>629</v>
      </c>
      <c r="O156" s="19" t="s">
        <v>1</v>
      </c>
      <c r="P156" s="19" t="s">
        <v>630</v>
      </c>
      <c r="Q156" s="21"/>
      <c r="R156" s="20" t="s">
        <v>1</v>
      </c>
      <c r="S156" s="10" t="s">
        <v>40</v>
      </c>
      <c r="T156" s="10"/>
      <c r="U156" s="10"/>
      <c r="V156" s="10">
        <v>332</v>
      </c>
      <c r="W156" s="21">
        <v>636</v>
      </c>
      <c r="X156" s="10">
        <v>636</v>
      </c>
      <c r="Y156" s="10">
        <v>11.3</v>
      </c>
      <c r="Z156" s="10">
        <v>3</v>
      </c>
      <c r="AA156" s="16" t="s">
        <v>481</v>
      </c>
      <c r="AB156" s="22">
        <v>43943</v>
      </c>
      <c r="AC156" s="22">
        <v>43941</v>
      </c>
      <c r="AD156" s="22">
        <v>43943</v>
      </c>
      <c r="AE156" s="22">
        <v>43941</v>
      </c>
      <c r="AF156" s="22">
        <v>43941</v>
      </c>
      <c r="AG156" s="23" t="s">
        <v>482</v>
      </c>
      <c r="AH156" s="24">
        <v>1</v>
      </c>
      <c r="AI156" s="24">
        <v>1</v>
      </c>
      <c r="AJ156" s="24">
        <v>1</v>
      </c>
      <c r="AK156" s="23" t="s">
        <v>483</v>
      </c>
      <c r="AL156" s="10"/>
      <c r="AM156" s="10"/>
      <c r="AN156" s="10" t="s">
        <v>632</v>
      </c>
    </row>
    <row r="157" spans="2:40" ht="15" x14ac:dyDescent="0.2">
      <c r="B157" s="42">
        <v>224</v>
      </c>
      <c r="C157" s="16" t="s">
        <v>564</v>
      </c>
      <c r="D157" s="10" t="s">
        <v>476</v>
      </c>
      <c r="E157" s="10" t="s">
        <v>156</v>
      </c>
      <c r="F157" s="2" t="s">
        <v>633</v>
      </c>
      <c r="G157" s="19">
        <v>1416214</v>
      </c>
      <c r="H157" s="20" t="s">
        <v>1</v>
      </c>
      <c r="I157" s="15" t="s">
        <v>121</v>
      </c>
      <c r="J157" s="20" t="s">
        <v>1</v>
      </c>
      <c r="K157" s="10" t="s">
        <v>478</v>
      </c>
      <c r="L157" s="10">
        <v>81262</v>
      </c>
      <c r="M157" s="10" t="s">
        <v>158</v>
      </c>
      <c r="N157" s="10" t="s">
        <v>629</v>
      </c>
      <c r="O157" s="19" t="s">
        <v>1</v>
      </c>
      <c r="P157" s="19" t="s">
        <v>554</v>
      </c>
      <c r="Q157" s="21"/>
      <c r="R157" s="20" t="s">
        <v>1</v>
      </c>
      <c r="S157" s="10" t="s">
        <v>40</v>
      </c>
      <c r="T157" s="10"/>
      <c r="U157" s="10"/>
      <c r="V157" s="10">
        <v>125</v>
      </c>
      <c r="W157" s="55">
        <v>125</v>
      </c>
      <c r="X157" s="10">
        <v>125</v>
      </c>
      <c r="Y157" s="17">
        <v>2.2200000000000002</v>
      </c>
      <c r="Z157" s="17">
        <v>1</v>
      </c>
      <c r="AA157" s="16" t="s">
        <v>481</v>
      </c>
      <c r="AB157" s="22">
        <v>43943</v>
      </c>
      <c r="AC157" s="22">
        <v>43941</v>
      </c>
      <c r="AD157" s="56">
        <v>43943</v>
      </c>
      <c r="AE157" s="56">
        <v>43941</v>
      </c>
      <c r="AF157" s="56">
        <v>43941</v>
      </c>
      <c r="AG157" s="23" t="s">
        <v>482</v>
      </c>
      <c r="AH157" s="57">
        <v>1</v>
      </c>
      <c r="AI157" s="57">
        <v>1</v>
      </c>
      <c r="AJ157" s="57">
        <v>1</v>
      </c>
      <c r="AK157" s="58" t="s">
        <v>483</v>
      </c>
      <c r="AL157" s="10"/>
      <c r="AM157" s="10"/>
      <c r="AN157" s="10"/>
    </row>
    <row r="158" spans="2:40" ht="15" x14ac:dyDescent="0.2">
      <c r="B158" s="42">
        <v>225</v>
      </c>
      <c r="C158" s="16" t="s">
        <v>564</v>
      </c>
      <c r="D158" s="10" t="s">
        <v>476</v>
      </c>
      <c r="E158" s="10" t="s">
        <v>156</v>
      </c>
      <c r="F158" s="2" t="s">
        <v>634</v>
      </c>
      <c r="G158" s="19">
        <v>1416214</v>
      </c>
      <c r="H158" s="20" t="s">
        <v>1</v>
      </c>
      <c r="I158" s="15" t="s">
        <v>120</v>
      </c>
      <c r="J158" s="20" t="s">
        <v>1</v>
      </c>
      <c r="K158" s="10" t="s">
        <v>478</v>
      </c>
      <c r="L158" s="10">
        <v>81262</v>
      </c>
      <c r="M158" s="10" t="s">
        <v>158</v>
      </c>
      <c r="N158" s="10" t="s">
        <v>629</v>
      </c>
      <c r="O158" s="19" t="s">
        <v>1</v>
      </c>
      <c r="P158" s="19" t="s">
        <v>554</v>
      </c>
      <c r="Q158" s="21"/>
      <c r="R158" s="20" t="s">
        <v>1</v>
      </c>
      <c r="S158" s="10" t="s">
        <v>40</v>
      </c>
      <c r="T158" s="10"/>
      <c r="U158" s="10"/>
      <c r="V158" s="10">
        <v>129</v>
      </c>
      <c r="W158" s="10">
        <v>129</v>
      </c>
      <c r="X158" s="10">
        <v>129</v>
      </c>
      <c r="Y158" s="10">
        <v>2.29</v>
      </c>
      <c r="Z158" s="10">
        <v>0.25</v>
      </c>
      <c r="AA158" s="16" t="s">
        <v>481</v>
      </c>
      <c r="AB158" s="22">
        <v>43943</v>
      </c>
      <c r="AC158" s="22">
        <v>43941</v>
      </c>
      <c r="AD158" s="22">
        <v>43943</v>
      </c>
      <c r="AE158" s="22">
        <v>43942</v>
      </c>
      <c r="AF158" s="22">
        <v>43942</v>
      </c>
      <c r="AG158" s="23" t="s">
        <v>482</v>
      </c>
      <c r="AH158" s="24">
        <v>1</v>
      </c>
      <c r="AI158" s="24">
        <v>1</v>
      </c>
      <c r="AJ158" s="24">
        <v>1</v>
      </c>
      <c r="AK158" s="23" t="s">
        <v>483</v>
      </c>
      <c r="AL158" s="10"/>
      <c r="AM158" s="10"/>
      <c r="AN158" s="10"/>
    </row>
    <row r="159" spans="2:40" ht="15" x14ac:dyDescent="0.2">
      <c r="B159" s="42">
        <v>226</v>
      </c>
      <c r="C159" s="16" t="s">
        <v>564</v>
      </c>
      <c r="D159" s="10" t="s">
        <v>476</v>
      </c>
      <c r="E159" s="10" t="s">
        <v>156</v>
      </c>
      <c r="F159" s="2" t="s">
        <v>635</v>
      </c>
      <c r="G159" s="19">
        <v>1409385</v>
      </c>
      <c r="H159" s="20" t="s">
        <v>1</v>
      </c>
      <c r="I159" s="15" t="s">
        <v>160</v>
      </c>
      <c r="J159" s="20" t="s">
        <v>1</v>
      </c>
      <c r="K159" s="10" t="s">
        <v>478</v>
      </c>
      <c r="L159" s="10">
        <v>81262</v>
      </c>
      <c r="M159" s="10" t="s">
        <v>158</v>
      </c>
      <c r="N159" s="10" t="s">
        <v>629</v>
      </c>
      <c r="O159" s="19" t="s">
        <v>1</v>
      </c>
      <c r="P159" s="19" t="s">
        <v>554</v>
      </c>
      <c r="Q159" s="21"/>
      <c r="R159" s="20" t="s">
        <v>1</v>
      </c>
      <c r="S159" s="10" t="s">
        <v>40</v>
      </c>
      <c r="T159" s="10"/>
      <c r="U159" s="10"/>
      <c r="V159" s="10">
        <v>229</v>
      </c>
      <c r="W159" s="21">
        <v>489</v>
      </c>
      <c r="X159" s="10">
        <v>489</v>
      </c>
      <c r="Y159" s="10">
        <v>8.69</v>
      </c>
      <c r="Z159" s="10">
        <v>3</v>
      </c>
      <c r="AA159" s="16" t="s">
        <v>481</v>
      </c>
      <c r="AB159" s="22">
        <v>43943</v>
      </c>
      <c r="AC159" s="22">
        <v>43941</v>
      </c>
      <c r="AD159" s="22">
        <v>43943</v>
      </c>
      <c r="AE159" s="22">
        <v>43942</v>
      </c>
      <c r="AF159" s="22">
        <v>43942</v>
      </c>
      <c r="AG159" s="23" t="s">
        <v>482</v>
      </c>
      <c r="AH159" s="24">
        <v>1</v>
      </c>
      <c r="AI159" s="24">
        <v>1</v>
      </c>
      <c r="AJ159" s="24">
        <v>1</v>
      </c>
      <c r="AK159" s="23" t="s">
        <v>483</v>
      </c>
      <c r="AL159" s="10"/>
      <c r="AM159" s="10"/>
      <c r="AN159" s="10" t="s">
        <v>636</v>
      </c>
    </row>
    <row r="160" spans="2:40" ht="15" x14ac:dyDescent="0.2">
      <c r="B160" s="42">
        <v>227</v>
      </c>
      <c r="C160" s="16" t="s">
        <v>564</v>
      </c>
      <c r="D160" s="10" t="s">
        <v>476</v>
      </c>
      <c r="E160" s="10" t="s">
        <v>156</v>
      </c>
      <c r="F160" s="2" t="s">
        <v>637</v>
      </c>
      <c r="G160" s="19">
        <v>1409385</v>
      </c>
      <c r="H160" s="20" t="s">
        <v>1</v>
      </c>
      <c r="I160" s="15" t="s">
        <v>161</v>
      </c>
      <c r="J160" s="20" t="s">
        <v>1</v>
      </c>
      <c r="K160" s="10" t="s">
        <v>478</v>
      </c>
      <c r="L160" s="10">
        <v>81262</v>
      </c>
      <c r="M160" s="10" t="s">
        <v>158</v>
      </c>
      <c r="N160" s="10" t="s">
        <v>629</v>
      </c>
      <c r="O160" s="19" t="s">
        <v>1</v>
      </c>
      <c r="P160" s="19" t="s">
        <v>554</v>
      </c>
      <c r="Q160" s="21"/>
      <c r="R160" s="20" t="s">
        <v>1</v>
      </c>
      <c r="S160" s="10" t="s">
        <v>40</v>
      </c>
      <c r="T160" s="10"/>
      <c r="U160" s="10"/>
      <c r="V160" s="10">
        <v>37</v>
      </c>
      <c r="W160" s="10">
        <v>37</v>
      </c>
      <c r="X160" s="10">
        <v>37</v>
      </c>
      <c r="Y160" s="10">
        <v>0.65</v>
      </c>
      <c r="Z160" s="10">
        <v>0.12</v>
      </c>
      <c r="AA160" s="16" t="s">
        <v>481</v>
      </c>
      <c r="AB160" s="22">
        <v>43943</v>
      </c>
      <c r="AC160" s="22">
        <v>43941</v>
      </c>
      <c r="AD160" s="22">
        <v>43943</v>
      </c>
      <c r="AE160" s="22">
        <v>43942</v>
      </c>
      <c r="AF160" s="22">
        <v>43942</v>
      </c>
      <c r="AG160" s="23" t="s">
        <v>482</v>
      </c>
      <c r="AH160" s="24">
        <v>1</v>
      </c>
      <c r="AI160" s="24">
        <v>1</v>
      </c>
      <c r="AJ160" s="24">
        <v>1</v>
      </c>
      <c r="AK160" s="23" t="s">
        <v>483</v>
      </c>
      <c r="AL160" s="10"/>
      <c r="AM160" s="10"/>
      <c r="AN160" s="10"/>
    </row>
    <row r="161" spans="2:40" ht="15" x14ac:dyDescent="0.2">
      <c r="B161" s="42">
        <v>228</v>
      </c>
      <c r="C161" s="16" t="s">
        <v>564</v>
      </c>
      <c r="D161" s="10" t="s">
        <v>476</v>
      </c>
      <c r="E161" s="10" t="s">
        <v>156</v>
      </c>
      <c r="F161" s="2" t="s">
        <v>638</v>
      </c>
      <c r="G161" s="19">
        <v>1409385</v>
      </c>
      <c r="H161" s="20" t="s">
        <v>1</v>
      </c>
      <c r="I161" s="15" t="s">
        <v>162</v>
      </c>
      <c r="J161" s="20" t="s">
        <v>1</v>
      </c>
      <c r="K161" s="10" t="s">
        <v>478</v>
      </c>
      <c r="L161" s="10">
        <v>81262</v>
      </c>
      <c r="M161" s="10" t="s">
        <v>158</v>
      </c>
      <c r="N161" s="10" t="s">
        <v>629</v>
      </c>
      <c r="O161" s="19" t="s">
        <v>1</v>
      </c>
      <c r="P161" s="19" t="s">
        <v>554</v>
      </c>
      <c r="Q161" s="21"/>
      <c r="R161" s="20" t="s">
        <v>1</v>
      </c>
      <c r="S161" s="10" t="s">
        <v>40</v>
      </c>
      <c r="T161" s="10"/>
      <c r="U161" s="10"/>
      <c r="V161" s="10">
        <v>488</v>
      </c>
      <c r="W161" s="59">
        <v>488</v>
      </c>
      <c r="X161" s="10">
        <v>488</v>
      </c>
      <c r="Y161" s="10">
        <v>8.67</v>
      </c>
      <c r="Z161" s="10">
        <v>3</v>
      </c>
      <c r="AA161" s="16" t="s">
        <v>481</v>
      </c>
      <c r="AB161" s="22">
        <v>43943</v>
      </c>
      <c r="AC161" s="22">
        <v>43941</v>
      </c>
      <c r="AD161" s="22">
        <v>43943</v>
      </c>
      <c r="AE161" s="22">
        <v>43942</v>
      </c>
      <c r="AF161" s="22">
        <v>43943</v>
      </c>
      <c r="AG161" s="23" t="s">
        <v>482</v>
      </c>
      <c r="AH161" s="24">
        <v>1</v>
      </c>
      <c r="AI161" s="24">
        <v>1</v>
      </c>
      <c r="AJ161" s="24">
        <v>1</v>
      </c>
      <c r="AK161" s="23" t="s">
        <v>483</v>
      </c>
      <c r="AL161" s="10"/>
      <c r="AM161" s="10"/>
      <c r="AN161" s="10"/>
    </row>
    <row r="162" spans="2:40" ht="15" x14ac:dyDescent="0.2">
      <c r="B162" s="42">
        <v>229</v>
      </c>
      <c r="C162" s="16" t="s">
        <v>564</v>
      </c>
      <c r="D162" s="10" t="s">
        <v>476</v>
      </c>
      <c r="E162" s="10" t="s">
        <v>163</v>
      </c>
      <c r="F162" s="2" t="s">
        <v>639</v>
      </c>
      <c r="G162" s="19">
        <v>1418684</v>
      </c>
      <c r="H162" s="20" t="s">
        <v>1</v>
      </c>
      <c r="I162" s="15" t="s">
        <v>123</v>
      </c>
      <c r="J162" s="20" t="s">
        <v>1</v>
      </c>
      <c r="K162" s="10" t="s">
        <v>478</v>
      </c>
      <c r="L162" s="10" t="s">
        <v>640</v>
      </c>
      <c r="M162" s="10" t="s">
        <v>164</v>
      </c>
      <c r="N162" s="10" t="s">
        <v>641</v>
      </c>
      <c r="O162" s="19" t="s">
        <v>1</v>
      </c>
      <c r="P162" s="19" t="s">
        <v>642</v>
      </c>
      <c r="Q162" s="21"/>
      <c r="R162" s="20" t="s">
        <v>1</v>
      </c>
      <c r="S162" s="10" t="s">
        <v>40</v>
      </c>
      <c r="T162" s="10"/>
      <c r="U162" s="10"/>
      <c r="V162" s="10">
        <v>55</v>
      </c>
      <c r="W162" s="10">
        <v>55</v>
      </c>
      <c r="X162" s="10">
        <v>55</v>
      </c>
      <c r="Y162" s="10">
        <v>0.97</v>
      </c>
      <c r="Z162" s="10">
        <v>0.12</v>
      </c>
      <c r="AA162" s="16" t="s">
        <v>481</v>
      </c>
      <c r="AB162" s="22">
        <v>43943</v>
      </c>
      <c r="AC162" s="22">
        <v>43941</v>
      </c>
      <c r="AD162" s="22">
        <v>43943</v>
      </c>
      <c r="AE162" s="22">
        <v>43943</v>
      </c>
      <c r="AF162" s="22">
        <v>43943</v>
      </c>
      <c r="AG162" s="23" t="s">
        <v>482</v>
      </c>
      <c r="AH162" s="24">
        <v>1</v>
      </c>
      <c r="AI162" s="24">
        <v>1</v>
      </c>
      <c r="AJ162" s="24">
        <v>1</v>
      </c>
      <c r="AK162" s="23" t="s">
        <v>483</v>
      </c>
      <c r="AL162" s="10"/>
      <c r="AM162" s="10"/>
      <c r="AN162" s="10"/>
    </row>
    <row r="163" spans="2:40" ht="15" x14ac:dyDescent="0.2">
      <c r="B163" s="42">
        <v>230</v>
      </c>
      <c r="C163" s="16" t="s">
        <v>564</v>
      </c>
      <c r="D163" s="10" t="s">
        <v>476</v>
      </c>
      <c r="E163" s="10" t="s">
        <v>163</v>
      </c>
      <c r="F163" s="2" t="s">
        <v>643</v>
      </c>
      <c r="G163" s="19">
        <v>1418684</v>
      </c>
      <c r="H163" s="20" t="s">
        <v>1</v>
      </c>
      <c r="I163" s="15" t="s">
        <v>123</v>
      </c>
      <c r="J163" s="20" t="s">
        <v>1</v>
      </c>
      <c r="K163" s="10" t="s">
        <v>478</v>
      </c>
      <c r="L163" s="10" t="s">
        <v>640</v>
      </c>
      <c r="M163" s="10" t="s">
        <v>164</v>
      </c>
      <c r="N163" s="10" t="s">
        <v>641</v>
      </c>
      <c r="O163" s="19" t="s">
        <v>1</v>
      </c>
      <c r="P163" s="19" t="s">
        <v>642</v>
      </c>
      <c r="Q163" s="21"/>
      <c r="R163" s="20" t="s">
        <v>1</v>
      </c>
      <c r="S163" s="10" t="s">
        <v>40</v>
      </c>
      <c r="T163" s="10"/>
      <c r="U163" s="10"/>
      <c r="V163" s="10">
        <v>55</v>
      </c>
      <c r="W163" s="10">
        <v>55</v>
      </c>
      <c r="X163" s="10">
        <v>55</v>
      </c>
      <c r="Y163" s="10">
        <v>0.97</v>
      </c>
      <c r="Z163" s="10">
        <v>0.12</v>
      </c>
      <c r="AA163" s="16" t="s">
        <v>481</v>
      </c>
      <c r="AB163" s="22">
        <v>43943</v>
      </c>
      <c r="AC163" s="22">
        <v>43941</v>
      </c>
      <c r="AD163" s="22">
        <v>43943</v>
      </c>
      <c r="AE163" s="22">
        <v>43943</v>
      </c>
      <c r="AF163" s="22">
        <v>43943</v>
      </c>
      <c r="AG163" s="23" t="s">
        <v>482</v>
      </c>
      <c r="AH163" s="24">
        <v>1</v>
      </c>
      <c r="AI163" s="24">
        <v>1</v>
      </c>
      <c r="AJ163" s="24">
        <v>1</v>
      </c>
      <c r="AK163" s="23" t="s">
        <v>483</v>
      </c>
      <c r="AL163" s="10"/>
      <c r="AM163" s="10"/>
      <c r="AN163" s="10"/>
    </row>
    <row r="164" spans="2:40" ht="15" x14ac:dyDescent="0.2">
      <c r="B164" s="42">
        <v>231</v>
      </c>
      <c r="C164" s="16" t="s">
        <v>564</v>
      </c>
      <c r="D164" s="10" t="s">
        <v>476</v>
      </c>
      <c r="E164" s="10" t="s">
        <v>163</v>
      </c>
      <c r="F164" s="2" t="s">
        <v>644</v>
      </c>
      <c r="G164" s="19">
        <v>1418684</v>
      </c>
      <c r="H164" s="20" t="s">
        <v>1</v>
      </c>
      <c r="I164" s="15" t="s">
        <v>123</v>
      </c>
      <c r="J164" s="20" t="s">
        <v>1</v>
      </c>
      <c r="K164" s="10" t="s">
        <v>478</v>
      </c>
      <c r="L164" s="10" t="s">
        <v>640</v>
      </c>
      <c r="M164" s="10" t="s">
        <v>164</v>
      </c>
      <c r="N164" s="10" t="s">
        <v>641</v>
      </c>
      <c r="O164" s="19" t="s">
        <v>1</v>
      </c>
      <c r="P164" s="19" t="s">
        <v>642</v>
      </c>
      <c r="Q164" s="21"/>
      <c r="R164" s="20" t="s">
        <v>1</v>
      </c>
      <c r="S164" s="10" t="s">
        <v>40</v>
      </c>
      <c r="T164" s="10"/>
      <c r="U164" s="10"/>
      <c r="V164" s="10">
        <v>55</v>
      </c>
      <c r="W164" s="10">
        <v>55</v>
      </c>
      <c r="X164" s="10">
        <v>55</v>
      </c>
      <c r="Y164" s="10">
        <v>0.97</v>
      </c>
      <c r="Z164" s="10">
        <v>0.12</v>
      </c>
      <c r="AA164" s="16" t="s">
        <v>481</v>
      </c>
      <c r="AB164" s="22">
        <v>43943</v>
      </c>
      <c r="AC164" s="22">
        <v>43941</v>
      </c>
      <c r="AD164" s="22">
        <v>43943</v>
      </c>
      <c r="AE164" s="22">
        <v>43943</v>
      </c>
      <c r="AF164" s="22">
        <v>43943</v>
      </c>
      <c r="AG164" s="23" t="s">
        <v>482</v>
      </c>
      <c r="AH164" s="24">
        <v>1</v>
      </c>
      <c r="AI164" s="24">
        <v>1</v>
      </c>
      <c r="AJ164" s="24">
        <v>1</v>
      </c>
      <c r="AK164" s="23" t="s">
        <v>483</v>
      </c>
      <c r="AL164" s="10"/>
      <c r="AM164" s="10"/>
      <c r="AN164" s="10"/>
    </row>
    <row r="165" spans="2:40" ht="15" x14ac:dyDescent="0.2">
      <c r="B165" s="42">
        <v>232</v>
      </c>
      <c r="C165" s="16" t="s">
        <v>564</v>
      </c>
      <c r="D165" s="10" t="s">
        <v>476</v>
      </c>
      <c r="E165" s="10" t="s">
        <v>165</v>
      </c>
      <c r="F165" s="2" t="s">
        <v>645</v>
      </c>
      <c r="G165" s="19">
        <v>1377406</v>
      </c>
      <c r="H165" s="20" t="s">
        <v>1</v>
      </c>
      <c r="I165" s="15" t="s">
        <v>166</v>
      </c>
      <c r="J165" s="20" t="s">
        <v>1</v>
      </c>
      <c r="K165" s="10" t="s">
        <v>478</v>
      </c>
      <c r="L165" s="10">
        <v>99202</v>
      </c>
      <c r="M165" s="10" t="s">
        <v>167</v>
      </c>
      <c r="N165" s="10" t="s">
        <v>641</v>
      </c>
      <c r="O165" s="19" t="s">
        <v>1</v>
      </c>
      <c r="P165" s="19" t="s">
        <v>646</v>
      </c>
      <c r="Q165" s="21"/>
      <c r="R165" s="20" t="s">
        <v>1</v>
      </c>
      <c r="S165" s="10" t="s">
        <v>40</v>
      </c>
      <c r="T165" s="10"/>
      <c r="U165" s="10"/>
      <c r="V165" s="10">
        <v>19</v>
      </c>
      <c r="W165" s="10">
        <v>19</v>
      </c>
      <c r="X165" s="10">
        <v>19</v>
      </c>
      <c r="Y165" s="10">
        <v>0.33</v>
      </c>
      <c r="Z165" s="10">
        <v>0.25</v>
      </c>
      <c r="AA165" s="16" t="s">
        <v>481</v>
      </c>
      <c r="AB165" s="22">
        <v>43943</v>
      </c>
      <c r="AC165" s="22">
        <v>43941</v>
      </c>
      <c r="AD165" s="22">
        <v>43943</v>
      </c>
      <c r="AE165" s="22">
        <v>43943</v>
      </c>
      <c r="AF165" s="22">
        <v>43943</v>
      </c>
      <c r="AG165" s="23" t="s">
        <v>482</v>
      </c>
      <c r="AH165" s="24">
        <v>1</v>
      </c>
      <c r="AI165" s="24">
        <v>1</v>
      </c>
      <c r="AJ165" s="24">
        <v>1</v>
      </c>
      <c r="AK165" s="23" t="s">
        <v>483</v>
      </c>
      <c r="AL165" s="10"/>
      <c r="AM165" s="10"/>
      <c r="AN165" s="10"/>
    </row>
    <row r="166" spans="2:40" ht="15" x14ac:dyDescent="0.2">
      <c r="B166" s="42">
        <v>233</v>
      </c>
      <c r="C166" s="16" t="s">
        <v>564</v>
      </c>
      <c r="D166" s="10" t="s">
        <v>476</v>
      </c>
      <c r="E166" s="10" t="s">
        <v>165</v>
      </c>
      <c r="F166" s="2" t="s">
        <v>647</v>
      </c>
      <c r="G166" s="19">
        <v>1377406</v>
      </c>
      <c r="H166" s="20" t="s">
        <v>1</v>
      </c>
      <c r="I166" s="15" t="s">
        <v>168</v>
      </c>
      <c r="J166" s="20" t="s">
        <v>1</v>
      </c>
      <c r="K166" s="10" t="s">
        <v>478</v>
      </c>
      <c r="L166" s="10">
        <v>99202</v>
      </c>
      <c r="M166" s="10" t="s">
        <v>167</v>
      </c>
      <c r="N166" s="10" t="s">
        <v>641</v>
      </c>
      <c r="O166" s="19" t="s">
        <v>1</v>
      </c>
      <c r="P166" s="19" t="s">
        <v>646</v>
      </c>
      <c r="Q166" s="21"/>
      <c r="R166" s="20" t="s">
        <v>1</v>
      </c>
      <c r="S166" s="10" t="s">
        <v>40</v>
      </c>
      <c r="T166" s="10"/>
      <c r="U166" s="10"/>
      <c r="V166" s="10">
        <v>244</v>
      </c>
      <c r="W166" s="10">
        <v>244</v>
      </c>
      <c r="X166" s="10">
        <v>244</v>
      </c>
      <c r="Y166" s="10">
        <v>4.33</v>
      </c>
      <c r="Z166" s="10">
        <v>3</v>
      </c>
      <c r="AA166" s="16" t="s">
        <v>481</v>
      </c>
      <c r="AB166" s="22">
        <v>43943</v>
      </c>
      <c r="AC166" s="22">
        <v>43941</v>
      </c>
      <c r="AD166" s="22">
        <v>43943</v>
      </c>
      <c r="AE166" s="22">
        <v>43943</v>
      </c>
      <c r="AF166" s="22">
        <v>43943</v>
      </c>
      <c r="AG166" s="23" t="s">
        <v>482</v>
      </c>
      <c r="AH166" s="24">
        <v>1</v>
      </c>
      <c r="AI166" s="24">
        <v>1</v>
      </c>
      <c r="AJ166" s="24">
        <v>1</v>
      </c>
      <c r="AK166" s="23" t="s">
        <v>483</v>
      </c>
      <c r="AL166" s="10"/>
      <c r="AM166" s="10"/>
      <c r="AN166" s="10"/>
    </row>
    <row r="167" spans="2:40" ht="15" x14ac:dyDescent="0.2">
      <c r="B167" s="42">
        <v>234</v>
      </c>
      <c r="C167" s="16" t="s">
        <v>564</v>
      </c>
      <c r="D167" s="10" t="s">
        <v>476</v>
      </c>
      <c r="E167" s="39" t="s">
        <v>169</v>
      </c>
      <c r="F167" s="33"/>
      <c r="G167" s="19">
        <v>1405296</v>
      </c>
      <c r="H167" s="20" t="s">
        <v>1</v>
      </c>
      <c r="I167" s="10" t="s">
        <v>170</v>
      </c>
      <c r="J167" s="20" t="s">
        <v>1</v>
      </c>
      <c r="K167" s="10" t="s">
        <v>478</v>
      </c>
      <c r="L167" s="10" t="s">
        <v>483</v>
      </c>
      <c r="M167" s="10" t="s">
        <v>158</v>
      </c>
      <c r="N167" s="10" t="s">
        <v>575</v>
      </c>
      <c r="O167" s="19" t="s">
        <v>1</v>
      </c>
      <c r="P167" s="19" t="s">
        <v>576</v>
      </c>
      <c r="Q167" s="21"/>
      <c r="R167" s="20" t="s">
        <v>1</v>
      </c>
      <c r="S167" s="10" t="s">
        <v>41</v>
      </c>
      <c r="T167" s="10"/>
      <c r="U167" s="10"/>
      <c r="V167" s="10">
        <v>803</v>
      </c>
      <c r="W167" s="10">
        <v>803</v>
      </c>
      <c r="X167" s="10">
        <v>803</v>
      </c>
      <c r="Y167" s="10">
        <v>14.27</v>
      </c>
      <c r="Z167" s="10">
        <v>5</v>
      </c>
      <c r="AA167" s="10" t="s">
        <v>481</v>
      </c>
      <c r="AB167" s="49">
        <v>43942</v>
      </c>
      <c r="AC167" s="22">
        <v>43941</v>
      </c>
      <c r="AD167" s="22">
        <v>43942</v>
      </c>
      <c r="AE167" s="22">
        <v>43941</v>
      </c>
      <c r="AF167" s="22">
        <v>43942</v>
      </c>
      <c r="AG167" s="23" t="s">
        <v>489</v>
      </c>
      <c r="AH167" s="24">
        <v>1</v>
      </c>
      <c r="AI167" s="24">
        <v>1</v>
      </c>
      <c r="AJ167" s="24">
        <v>0.9</v>
      </c>
      <c r="AK167" s="23" t="s">
        <v>490</v>
      </c>
      <c r="AL167" s="10" t="s">
        <v>648</v>
      </c>
      <c r="AM167" s="10"/>
      <c r="AN167" s="10" t="s">
        <v>492</v>
      </c>
    </row>
    <row r="168" spans="2:40" ht="15" x14ac:dyDescent="0.2">
      <c r="B168" s="60">
        <v>235</v>
      </c>
      <c r="C168" s="61" t="s">
        <v>564</v>
      </c>
      <c r="D168" s="61" t="s">
        <v>476</v>
      </c>
      <c r="E168" s="61" t="s">
        <v>169</v>
      </c>
      <c r="F168" s="62"/>
      <c r="G168" s="20">
        <v>1405296</v>
      </c>
      <c r="H168" s="20" t="s">
        <v>1</v>
      </c>
      <c r="I168" s="61" t="s">
        <v>171</v>
      </c>
      <c r="J168" s="20" t="s">
        <v>1</v>
      </c>
      <c r="K168" s="61" t="s">
        <v>478</v>
      </c>
      <c r="L168" s="61" t="s">
        <v>483</v>
      </c>
      <c r="M168" s="61" t="s">
        <v>158</v>
      </c>
      <c r="N168" s="61" t="s">
        <v>575</v>
      </c>
      <c r="O168" s="20" t="s">
        <v>1</v>
      </c>
      <c r="P168" s="20" t="s">
        <v>576</v>
      </c>
      <c r="Q168" s="61"/>
      <c r="R168" s="20" t="s">
        <v>1</v>
      </c>
      <c r="S168" s="61"/>
      <c r="T168" s="61"/>
      <c r="U168" s="61"/>
      <c r="V168" s="61"/>
      <c r="W168" s="61"/>
      <c r="X168" s="61"/>
      <c r="Y168" s="61"/>
      <c r="Z168" s="61"/>
      <c r="AA168" s="61"/>
      <c r="AB168" s="63"/>
      <c r="AC168" s="63"/>
      <c r="AD168" s="63"/>
      <c r="AE168" s="63"/>
      <c r="AF168" s="63"/>
      <c r="AG168" s="60"/>
      <c r="AH168" s="64"/>
      <c r="AI168" s="64"/>
      <c r="AJ168" s="64"/>
      <c r="AK168" s="60"/>
      <c r="AL168" s="61"/>
      <c r="AM168" s="61"/>
      <c r="AN168" s="65" t="s">
        <v>649</v>
      </c>
    </row>
    <row r="169" spans="2:40" ht="15" x14ac:dyDescent="0.2">
      <c r="B169" s="42">
        <v>236</v>
      </c>
      <c r="C169" s="16" t="s">
        <v>564</v>
      </c>
      <c r="D169" s="10" t="s">
        <v>476</v>
      </c>
      <c r="E169" s="39" t="s">
        <v>172</v>
      </c>
      <c r="F169" s="33"/>
      <c r="G169" s="19">
        <v>1417022</v>
      </c>
      <c r="H169" s="20" t="s">
        <v>1</v>
      </c>
      <c r="I169" s="10" t="s">
        <v>173</v>
      </c>
      <c r="J169" s="20" t="s">
        <v>1</v>
      </c>
      <c r="K169" s="10" t="s">
        <v>478</v>
      </c>
      <c r="L169" s="10" t="s">
        <v>483</v>
      </c>
      <c r="M169" s="10" t="s">
        <v>174</v>
      </c>
      <c r="N169" s="10" t="s">
        <v>575</v>
      </c>
      <c r="O169" s="19" t="s">
        <v>1</v>
      </c>
      <c r="P169" s="19" t="s">
        <v>576</v>
      </c>
      <c r="Q169" s="21"/>
      <c r="R169" s="20" t="s">
        <v>1</v>
      </c>
      <c r="S169" s="10" t="s">
        <v>24</v>
      </c>
      <c r="T169" s="10"/>
      <c r="U169" s="10"/>
      <c r="V169" s="10">
        <v>259</v>
      </c>
      <c r="W169" s="10">
        <v>259</v>
      </c>
      <c r="X169" s="10">
        <v>259</v>
      </c>
      <c r="Y169" s="10">
        <v>4.5999999999999996</v>
      </c>
      <c r="Z169" s="10">
        <v>1</v>
      </c>
      <c r="AA169" s="10" t="s">
        <v>481</v>
      </c>
      <c r="AB169" s="49">
        <v>43942</v>
      </c>
      <c r="AC169" s="22">
        <v>43941</v>
      </c>
      <c r="AD169" s="22">
        <v>43942</v>
      </c>
      <c r="AE169" s="22">
        <v>43941</v>
      </c>
      <c r="AF169" s="22">
        <v>43941</v>
      </c>
      <c r="AG169" s="23" t="s">
        <v>489</v>
      </c>
      <c r="AH169" s="24">
        <v>1</v>
      </c>
      <c r="AI169" s="24">
        <v>1</v>
      </c>
      <c r="AJ169" s="24">
        <v>0.94</v>
      </c>
      <c r="AK169" s="23" t="s">
        <v>650</v>
      </c>
      <c r="AL169" s="10" t="s">
        <v>651</v>
      </c>
      <c r="AM169" s="10"/>
      <c r="AN169" s="10" t="s">
        <v>652</v>
      </c>
    </row>
    <row r="170" spans="2:40" ht="15" x14ac:dyDescent="0.2">
      <c r="B170" s="42">
        <v>237</v>
      </c>
      <c r="C170" s="16" t="s">
        <v>564</v>
      </c>
      <c r="D170" s="10" t="s">
        <v>476</v>
      </c>
      <c r="E170" s="39" t="s">
        <v>172</v>
      </c>
      <c r="F170" s="33"/>
      <c r="G170" s="19">
        <v>1417022</v>
      </c>
      <c r="H170" s="20" t="s">
        <v>1</v>
      </c>
      <c r="I170" s="10" t="s">
        <v>175</v>
      </c>
      <c r="J170" s="20" t="s">
        <v>1</v>
      </c>
      <c r="K170" s="10" t="s">
        <v>478</v>
      </c>
      <c r="L170" s="10" t="s">
        <v>483</v>
      </c>
      <c r="M170" s="10" t="s">
        <v>174</v>
      </c>
      <c r="N170" s="10" t="s">
        <v>575</v>
      </c>
      <c r="O170" s="19" t="s">
        <v>1</v>
      </c>
      <c r="P170" s="19" t="s">
        <v>576</v>
      </c>
      <c r="Q170" s="21"/>
      <c r="R170" s="20" t="s">
        <v>1</v>
      </c>
      <c r="S170" s="10" t="s">
        <v>24</v>
      </c>
      <c r="T170" s="10"/>
      <c r="U170" s="10"/>
      <c r="V170" s="10">
        <v>85</v>
      </c>
      <c r="W170" s="10">
        <v>85</v>
      </c>
      <c r="X170" s="10">
        <v>85</v>
      </c>
      <c r="Y170" s="10">
        <v>1.51</v>
      </c>
      <c r="Z170" s="10">
        <v>1</v>
      </c>
      <c r="AA170" s="10" t="s">
        <v>481</v>
      </c>
      <c r="AB170" s="49">
        <v>43942</v>
      </c>
      <c r="AC170" s="22">
        <v>43941</v>
      </c>
      <c r="AD170" s="22">
        <v>43942</v>
      </c>
      <c r="AE170" s="22">
        <v>43942</v>
      </c>
      <c r="AF170" s="22">
        <v>43942</v>
      </c>
      <c r="AG170" s="23" t="s">
        <v>482</v>
      </c>
      <c r="AH170" s="24">
        <v>1</v>
      </c>
      <c r="AI170" s="24">
        <v>1</v>
      </c>
      <c r="AJ170" s="24">
        <v>1</v>
      </c>
      <c r="AK170" s="23" t="s">
        <v>483</v>
      </c>
      <c r="AL170" s="10"/>
      <c r="AM170" s="10"/>
      <c r="AN170" s="10"/>
    </row>
    <row r="171" spans="2:40" ht="15" x14ac:dyDescent="0.2">
      <c r="B171" s="42">
        <v>238</v>
      </c>
      <c r="C171" s="16" t="s">
        <v>564</v>
      </c>
      <c r="D171" s="10" t="s">
        <v>476</v>
      </c>
      <c r="E171" s="39" t="s">
        <v>172</v>
      </c>
      <c r="F171" s="33"/>
      <c r="G171" s="19">
        <v>1417022</v>
      </c>
      <c r="H171" s="20" t="s">
        <v>1</v>
      </c>
      <c r="I171" s="10" t="s">
        <v>171</v>
      </c>
      <c r="J171" s="20" t="s">
        <v>1</v>
      </c>
      <c r="K171" s="10" t="s">
        <v>478</v>
      </c>
      <c r="L171" s="10" t="s">
        <v>483</v>
      </c>
      <c r="M171" s="10" t="s">
        <v>174</v>
      </c>
      <c r="N171" s="10" t="s">
        <v>575</v>
      </c>
      <c r="O171" s="19" t="s">
        <v>1</v>
      </c>
      <c r="P171" s="19" t="s">
        <v>576</v>
      </c>
      <c r="Q171" s="21"/>
      <c r="R171" s="20" t="s">
        <v>1</v>
      </c>
      <c r="S171" s="10" t="s">
        <v>24</v>
      </c>
      <c r="T171" s="10"/>
      <c r="U171" s="10"/>
      <c r="V171" s="10">
        <v>208</v>
      </c>
      <c r="W171" s="10">
        <v>208</v>
      </c>
      <c r="X171" s="10">
        <v>208</v>
      </c>
      <c r="Y171" s="10">
        <v>3.69</v>
      </c>
      <c r="Z171" s="10">
        <v>2</v>
      </c>
      <c r="AA171" s="10" t="s">
        <v>481</v>
      </c>
      <c r="AB171" s="49">
        <v>43942</v>
      </c>
      <c r="AC171" s="22">
        <v>43941</v>
      </c>
      <c r="AD171" s="22">
        <v>43942</v>
      </c>
      <c r="AE171" s="22">
        <v>43942</v>
      </c>
      <c r="AF171" s="22">
        <v>43942</v>
      </c>
      <c r="AG171" s="23" t="s">
        <v>482</v>
      </c>
      <c r="AH171" s="24">
        <v>1</v>
      </c>
      <c r="AI171" s="24">
        <v>1</v>
      </c>
      <c r="AJ171" s="24">
        <v>1</v>
      </c>
      <c r="AK171" s="23" t="s">
        <v>483</v>
      </c>
      <c r="AL171" s="10"/>
      <c r="AM171" s="10"/>
      <c r="AN171" s="66" t="s">
        <v>653</v>
      </c>
    </row>
    <row r="172" spans="2:40" ht="15" x14ac:dyDescent="0.2">
      <c r="B172" s="42">
        <v>239</v>
      </c>
      <c r="C172" s="16" t="s">
        <v>564</v>
      </c>
      <c r="D172" s="10" t="s">
        <v>476</v>
      </c>
      <c r="E172" s="39" t="s">
        <v>172</v>
      </c>
      <c r="F172" s="33"/>
      <c r="G172" s="19">
        <v>1417022</v>
      </c>
      <c r="H172" s="20" t="s">
        <v>1</v>
      </c>
      <c r="I172" s="10" t="s">
        <v>176</v>
      </c>
      <c r="J172" s="20" t="s">
        <v>1</v>
      </c>
      <c r="K172" s="10" t="s">
        <v>478</v>
      </c>
      <c r="L172" s="10" t="s">
        <v>483</v>
      </c>
      <c r="M172" s="10" t="s">
        <v>174</v>
      </c>
      <c r="N172" s="10" t="s">
        <v>575</v>
      </c>
      <c r="O172" s="19" t="s">
        <v>1</v>
      </c>
      <c r="P172" s="19" t="s">
        <v>576</v>
      </c>
      <c r="Q172" s="21"/>
      <c r="R172" s="20" t="s">
        <v>1</v>
      </c>
      <c r="S172" s="10" t="s">
        <v>24</v>
      </c>
      <c r="T172" s="10"/>
      <c r="U172" s="10"/>
      <c r="V172" s="10">
        <v>321</v>
      </c>
      <c r="W172" s="10">
        <v>321</v>
      </c>
      <c r="X172" s="10">
        <v>321</v>
      </c>
      <c r="Y172" s="10">
        <v>5.7</v>
      </c>
      <c r="Z172" s="10">
        <v>2</v>
      </c>
      <c r="AA172" s="10" t="s">
        <v>481</v>
      </c>
      <c r="AB172" s="49">
        <v>43942</v>
      </c>
      <c r="AC172" s="22">
        <v>43941</v>
      </c>
      <c r="AD172" s="22">
        <v>43942</v>
      </c>
      <c r="AE172" s="22">
        <v>43941</v>
      </c>
      <c r="AF172" s="22">
        <v>43941</v>
      </c>
      <c r="AG172" s="23" t="s">
        <v>482</v>
      </c>
      <c r="AH172" s="24">
        <v>1</v>
      </c>
      <c r="AI172" s="24">
        <v>1</v>
      </c>
      <c r="AJ172" s="24">
        <v>1</v>
      </c>
      <c r="AK172" s="23" t="s">
        <v>483</v>
      </c>
      <c r="AL172" s="10"/>
      <c r="AM172" s="10"/>
      <c r="AN172" s="10"/>
    </row>
    <row r="173" spans="2:40" ht="15" x14ac:dyDescent="0.2">
      <c r="B173" s="42">
        <v>240</v>
      </c>
      <c r="C173" s="16" t="s">
        <v>564</v>
      </c>
      <c r="D173" s="10" t="s">
        <v>476</v>
      </c>
      <c r="E173" s="10" t="s">
        <v>177</v>
      </c>
      <c r="F173" s="43" t="s">
        <v>654</v>
      </c>
      <c r="G173" s="19">
        <v>1414681</v>
      </c>
      <c r="H173" s="20" t="s">
        <v>1</v>
      </c>
      <c r="I173" s="10" t="s">
        <v>178</v>
      </c>
      <c r="J173" s="20" t="s">
        <v>1</v>
      </c>
      <c r="K173" s="10" t="s">
        <v>478</v>
      </c>
      <c r="L173" s="10">
        <v>81728</v>
      </c>
      <c r="M173" s="10" t="s">
        <v>179</v>
      </c>
      <c r="N173" s="10" t="s">
        <v>522</v>
      </c>
      <c r="O173" s="19" t="s">
        <v>1</v>
      </c>
      <c r="P173" s="19" t="s">
        <v>655</v>
      </c>
      <c r="Q173" s="21"/>
      <c r="R173" s="20" t="s">
        <v>1</v>
      </c>
      <c r="S173" s="10" t="s">
        <v>24</v>
      </c>
      <c r="T173" s="10"/>
      <c r="U173" s="10"/>
      <c r="V173" s="10">
        <v>118</v>
      </c>
      <c r="W173" s="10">
        <v>118</v>
      </c>
      <c r="X173" s="10">
        <v>118</v>
      </c>
      <c r="Y173" s="10">
        <v>2.09</v>
      </c>
      <c r="Z173" s="10">
        <v>1</v>
      </c>
      <c r="AA173" s="10" t="s">
        <v>481</v>
      </c>
      <c r="AB173" s="49">
        <v>43942</v>
      </c>
      <c r="AC173" s="22">
        <v>43941</v>
      </c>
      <c r="AD173" s="22">
        <v>43942</v>
      </c>
      <c r="AE173" s="22">
        <v>43941</v>
      </c>
      <c r="AF173" s="22">
        <v>43941</v>
      </c>
      <c r="AG173" s="23" t="s">
        <v>482</v>
      </c>
      <c r="AH173" s="24">
        <v>1</v>
      </c>
      <c r="AI173" s="24">
        <v>1</v>
      </c>
      <c r="AJ173" s="24">
        <v>1</v>
      </c>
      <c r="AK173" s="23" t="s">
        <v>483</v>
      </c>
      <c r="AL173" s="10"/>
      <c r="AM173" s="10"/>
      <c r="AN173" s="10"/>
    </row>
    <row r="174" spans="2:40" ht="15" x14ac:dyDescent="0.2">
      <c r="B174" s="42">
        <v>241</v>
      </c>
      <c r="C174" s="16" t="s">
        <v>564</v>
      </c>
      <c r="D174" s="10" t="s">
        <v>476</v>
      </c>
      <c r="E174" s="10" t="s">
        <v>180</v>
      </c>
      <c r="F174" s="2" t="s">
        <v>656</v>
      </c>
      <c r="G174" s="19">
        <v>1416204</v>
      </c>
      <c r="H174" s="20" t="s">
        <v>1</v>
      </c>
      <c r="I174" s="10" t="s">
        <v>120</v>
      </c>
      <c r="J174" s="20" t="s">
        <v>1</v>
      </c>
      <c r="K174" s="10" t="s">
        <v>478</v>
      </c>
      <c r="L174" s="10">
        <v>99308</v>
      </c>
      <c r="M174" s="10" t="s">
        <v>164</v>
      </c>
      <c r="N174" s="10" t="s">
        <v>657</v>
      </c>
      <c r="O174" s="19" t="s">
        <v>1</v>
      </c>
      <c r="P174" s="19" t="s">
        <v>554</v>
      </c>
      <c r="Q174" s="21"/>
      <c r="R174" s="20" t="s">
        <v>1</v>
      </c>
      <c r="S174" s="10" t="s">
        <v>24</v>
      </c>
      <c r="T174" s="10"/>
      <c r="U174" s="10"/>
      <c r="V174" s="10">
        <v>116</v>
      </c>
      <c r="W174" s="10">
        <v>116</v>
      </c>
      <c r="X174" s="10">
        <v>116</v>
      </c>
      <c r="Y174" s="10">
        <v>2.06</v>
      </c>
      <c r="Z174" s="10">
        <v>1</v>
      </c>
      <c r="AA174" s="16" t="s">
        <v>481</v>
      </c>
      <c r="AB174" s="22">
        <v>43943</v>
      </c>
      <c r="AC174" s="22">
        <v>43941</v>
      </c>
      <c r="AD174" s="22">
        <v>43943</v>
      </c>
      <c r="AE174" s="22">
        <v>43942</v>
      </c>
      <c r="AF174" s="22">
        <v>43942</v>
      </c>
      <c r="AG174" s="23" t="s">
        <v>482</v>
      </c>
      <c r="AH174" s="24">
        <v>1</v>
      </c>
      <c r="AI174" s="24">
        <v>1</v>
      </c>
      <c r="AJ174" s="24">
        <v>1</v>
      </c>
      <c r="AK174" s="23" t="s">
        <v>483</v>
      </c>
      <c r="AL174" s="10"/>
      <c r="AM174" s="10"/>
      <c r="AN174" s="10"/>
    </row>
    <row r="175" spans="2:40" ht="15" x14ac:dyDescent="0.2">
      <c r="B175" s="42">
        <v>242</v>
      </c>
      <c r="C175" s="16" t="s">
        <v>564</v>
      </c>
      <c r="D175" s="10" t="s">
        <v>476</v>
      </c>
      <c r="E175" s="10" t="s">
        <v>180</v>
      </c>
      <c r="F175" s="2" t="s">
        <v>658</v>
      </c>
      <c r="G175" s="19">
        <v>1416204</v>
      </c>
      <c r="H175" s="20" t="s">
        <v>1</v>
      </c>
      <c r="I175" s="10" t="s">
        <v>121</v>
      </c>
      <c r="J175" s="20" t="s">
        <v>1</v>
      </c>
      <c r="K175" s="10" t="s">
        <v>478</v>
      </c>
      <c r="L175" s="10">
        <v>99308</v>
      </c>
      <c r="M175" s="10" t="s">
        <v>164</v>
      </c>
      <c r="N175" s="10" t="s">
        <v>657</v>
      </c>
      <c r="O175" s="19" t="s">
        <v>1</v>
      </c>
      <c r="P175" s="19" t="s">
        <v>554</v>
      </c>
      <c r="Q175" s="21"/>
      <c r="R175" s="20" t="s">
        <v>1</v>
      </c>
      <c r="S175" s="10" t="s">
        <v>24</v>
      </c>
      <c r="T175" s="10"/>
      <c r="U175" s="10"/>
      <c r="V175" s="10">
        <v>119</v>
      </c>
      <c r="W175" s="10">
        <v>119</v>
      </c>
      <c r="X175" s="10">
        <v>119</v>
      </c>
      <c r="Y175" s="10">
        <v>2.11</v>
      </c>
      <c r="Z175" s="10">
        <v>1</v>
      </c>
      <c r="AA175" s="16" t="s">
        <v>481</v>
      </c>
      <c r="AB175" s="22">
        <v>43943</v>
      </c>
      <c r="AC175" s="22">
        <v>43941</v>
      </c>
      <c r="AD175" s="22">
        <v>43943</v>
      </c>
      <c r="AE175" s="22">
        <v>43942</v>
      </c>
      <c r="AF175" s="22">
        <v>43942</v>
      </c>
      <c r="AG175" s="23" t="s">
        <v>482</v>
      </c>
      <c r="AH175" s="24">
        <v>1</v>
      </c>
      <c r="AI175" s="24">
        <v>1</v>
      </c>
      <c r="AJ175" s="24">
        <v>1</v>
      </c>
      <c r="AK175" s="23" t="s">
        <v>483</v>
      </c>
      <c r="AL175" s="10"/>
      <c r="AM175" s="10"/>
      <c r="AN175" s="10"/>
    </row>
    <row r="176" spans="2:40" ht="15" x14ac:dyDescent="0.2">
      <c r="B176" s="42">
        <v>243</v>
      </c>
      <c r="C176" s="16" t="s">
        <v>564</v>
      </c>
      <c r="D176" s="10" t="s">
        <v>476</v>
      </c>
      <c r="E176" s="10" t="s">
        <v>181</v>
      </c>
      <c r="F176" s="2" t="s">
        <v>659</v>
      </c>
      <c r="G176" s="19">
        <v>1417780</v>
      </c>
      <c r="H176" s="20" t="s">
        <v>1</v>
      </c>
      <c r="I176" s="10" t="s">
        <v>182</v>
      </c>
      <c r="J176" s="20" t="s">
        <v>1</v>
      </c>
      <c r="K176" s="10" t="s">
        <v>478</v>
      </c>
      <c r="L176" s="10" t="s">
        <v>483</v>
      </c>
      <c r="M176" s="10" t="s">
        <v>183</v>
      </c>
      <c r="N176" s="10" t="s">
        <v>660</v>
      </c>
      <c r="O176" s="19" t="s">
        <v>1</v>
      </c>
      <c r="P176" s="19" t="s">
        <v>661</v>
      </c>
      <c r="Q176" s="21"/>
      <c r="R176" s="20" t="s">
        <v>1</v>
      </c>
      <c r="S176" s="10" t="s">
        <v>24</v>
      </c>
      <c r="T176" s="10"/>
      <c r="U176" s="10"/>
      <c r="V176" s="10">
        <v>73</v>
      </c>
      <c r="W176" s="10">
        <v>73</v>
      </c>
      <c r="X176" s="10">
        <v>73</v>
      </c>
      <c r="Y176" s="10">
        <v>1.29</v>
      </c>
      <c r="Z176" s="10">
        <v>1</v>
      </c>
      <c r="AA176" s="10" t="s">
        <v>481</v>
      </c>
      <c r="AB176" s="22">
        <v>43950</v>
      </c>
      <c r="AC176" s="22">
        <v>43941</v>
      </c>
      <c r="AD176" s="22">
        <v>43951</v>
      </c>
      <c r="AE176" s="22">
        <v>43942</v>
      </c>
      <c r="AF176" s="22">
        <v>43942</v>
      </c>
      <c r="AG176" s="23" t="s">
        <v>482</v>
      </c>
      <c r="AH176" s="24">
        <v>1</v>
      </c>
      <c r="AI176" s="24">
        <v>1</v>
      </c>
      <c r="AJ176" s="24">
        <v>1</v>
      </c>
      <c r="AK176" s="23" t="s">
        <v>483</v>
      </c>
      <c r="AL176" s="10"/>
      <c r="AM176" s="10"/>
      <c r="AN176" s="10"/>
    </row>
    <row r="177" spans="2:40" ht="15" x14ac:dyDescent="0.2">
      <c r="B177" s="42">
        <v>244</v>
      </c>
      <c r="C177" s="16" t="s">
        <v>564</v>
      </c>
      <c r="D177" s="10" t="s">
        <v>476</v>
      </c>
      <c r="E177" s="10" t="s">
        <v>181</v>
      </c>
      <c r="F177" s="2" t="s">
        <v>662</v>
      </c>
      <c r="G177" s="19">
        <v>1417780</v>
      </c>
      <c r="H177" s="20" t="s">
        <v>1</v>
      </c>
      <c r="I177" s="10" t="s">
        <v>184</v>
      </c>
      <c r="J177" s="20" t="s">
        <v>1</v>
      </c>
      <c r="K177" s="10" t="s">
        <v>478</v>
      </c>
      <c r="L177" s="10" t="s">
        <v>483</v>
      </c>
      <c r="M177" s="10" t="s">
        <v>183</v>
      </c>
      <c r="N177" s="10" t="s">
        <v>660</v>
      </c>
      <c r="O177" s="19" t="s">
        <v>1</v>
      </c>
      <c r="P177" s="19" t="s">
        <v>661</v>
      </c>
      <c r="Q177" s="21"/>
      <c r="R177" s="20" t="s">
        <v>1</v>
      </c>
      <c r="S177" s="10" t="s">
        <v>24</v>
      </c>
      <c r="T177" s="10"/>
      <c r="U177" s="10"/>
      <c r="V177" s="10">
        <v>131</v>
      </c>
      <c r="W177" s="10">
        <v>131</v>
      </c>
      <c r="X177" s="10">
        <v>131</v>
      </c>
      <c r="Y177" s="10">
        <v>2.3199999999999998</v>
      </c>
      <c r="Z177" s="10">
        <v>1</v>
      </c>
      <c r="AA177" s="10" t="s">
        <v>481</v>
      </c>
      <c r="AB177" s="22">
        <v>43950</v>
      </c>
      <c r="AC177" s="22">
        <v>43941</v>
      </c>
      <c r="AD177" s="22">
        <v>43951</v>
      </c>
      <c r="AE177" s="22">
        <v>43943</v>
      </c>
      <c r="AF177" s="22">
        <v>43943</v>
      </c>
      <c r="AG177" s="23" t="s">
        <v>489</v>
      </c>
      <c r="AH177" s="24">
        <v>1</v>
      </c>
      <c r="AI177" s="24">
        <v>0.96</v>
      </c>
      <c r="AJ177" s="24">
        <v>0.88</v>
      </c>
      <c r="AK177" s="23" t="s">
        <v>490</v>
      </c>
      <c r="AL177" s="10" t="s">
        <v>663</v>
      </c>
      <c r="AM177" s="10"/>
      <c r="AN177" s="10" t="s">
        <v>492</v>
      </c>
    </row>
    <row r="178" spans="2:40" ht="15" x14ac:dyDescent="0.2">
      <c r="B178" s="42">
        <v>245</v>
      </c>
      <c r="C178" s="16" t="s">
        <v>564</v>
      </c>
      <c r="D178" s="10" t="s">
        <v>476</v>
      </c>
      <c r="E178" s="10" t="s">
        <v>181</v>
      </c>
      <c r="F178" s="2" t="s">
        <v>664</v>
      </c>
      <c r="G178" s="19">
        <v>1417780</v>
      </c>
      <c r="H178" s="20" t="s">
        <v>1</v>
      </c>
      <c r="I178" s="10" t="s">
        <v>185</v>
      </c>
      <c r="J178" s="20" t="s">
        <v>1</v>
      </c>
      <c r="K178" s="10" t="s">
        <v>478</v>
      </c>
      <c r="L178" s="10" t="s">
        <v>483</v>
      </c>
      <c r="M178" s="10" t="s">
        <v>183</v>
      </c>
      <c r="N178" s="10" t="s">
        <v>660</v>
      </c>
      <c r="O178" s="19" t="s">
        <v>1</v>
      </c>
      <c r="P178" s="19" t="s">
        <v>661</v>
      </c>
      <c r="Q178" s="21"/>
      <c r="R178" s="20" t="s">
        <v>1</v>
      </c>
      <c r="S178" s="10" t="s">
        <v>24</v>
      </c>
      <c r="T178" s="10"/>
      <c r="U178" s="10"/>
      <c r="V178" s="10">
        <v>191</v>
      </c>
      <c r="W178" s="10">
        <v>191</v>
      </c>
      <c r="X178" s="10">
        <v>191</v>
      </c>
      <c r="Y178" s="10">
        <v>3.39</v>
      </c>
      <c r="Z178" s="10">
        <v>1</v>
      </c>
      <c r="AA178" s="10" t="s">
        <v>481</v>
      </c>
      <c r="AB178" s="22">
        <v>43950</v>
      </c>
      <c r="AC178" s="22">
        <v>43941</v>
      </c>
      <c r="AD178" s="22">
        <v>43951</v>
      </c>
      <c r="AE178" s="22">
        <v>43944</v>
      </c>
      <c r="AF178" s="22">
        <v>43944</v>
      </c>
      <c r="AG178" s="23" t="s">
        <v>489</v>
      </c>
      <c r="AH178" s="24">
        <v>0.94</v>
      </c>
      <c r="AI178" s="24">
        <v>0.97</v>
      </c>
      <c r="AJ178" s="24">
        <v>1</v>
      </c>
      <c r="AK178" s="23" t="s">
        <v>490</v>
      </c>
      <c r="AL178" s="30" t="s">
        <v>665</v>
      </c>
      <c r="AM178" s="10"/>
      <c r="AN178" s="10" t="s">
        <v>492</v>
      </c>
    </row>
    <row r="179" spans="2:40" ht="15" x14ac:dyDescent="0.2">
      <c r="B179" s="42">
        <v>246</v>
      </c>
      <c r="C179" s="16" t="s">
        <v>564</v>
      </c>
      <c r="D179" s="10" t="s">
        <v>476</v>
      </c>
      <c r="E179" s="10" t="s">
        <v>181</v>
      </c>
      <c r="F179" s="2" t="s">
        <v>666</v>
      </c>
      <c r="G179" s="19">
        <v>1417780</v>
      </c>
      <c r="H179" s="20" t="s">
        <v>1</v>
      </c>
      <c r="I179" s="10" t="s">
        <v>186</v>
      </c>
      <c r="J179" s="20" t="s">
        <v>1</v>
      </c>
      <c r="K179" s="10" t="s">
        <v>478</v>
      </c>
      <c r="L179" s="10" t="s">
        <v>483</v>
      </c>
      <c r="M179" s="10" t="s">
        <v>183</v>
      </c>
      <c r="N179" s="10" t="s">
        <v>660</v>
      </c>
      <c r="O179" s="19" t="s">
        <v>1</v>
      </c>
      <c r="P179" s="19" t="s">
        <v>661</v>
      </c>
      <c r="Q179" s="21"/>
      <c r="R179" s="20" t="s">
        <v>1</v>
      </c>
      <c r="S179" s="10" t="s">
        <v>24</v>
      </c>
      <c r="T179" s="10"/>
      <c r="U179" s="10"/>
      <c r="V179" s="10">
        <v>344</v>
      </c>
      <c r="W179" s="10">
        <v>344</v>
      </c>
      <c r="X179" s="10">
        <v>344</v>
      </c>
      <c r="Y179" s="10">
        <v>6.11</v>
      </c>
      <c r="Z179" s="10">
        <v>1</v>
      </c>
      <c r="AA179" s="10" t="s">
        <v>481</v>
      </c>
      <c r="AB179" s="22">
        <v>43950</v>
      </c>
      <c r="AC179" s="22">
        <v>43941</v>
      </c>
      <c r="AD179" s="22">
        <v>43951</v>
      </c>
      <c r="AE179" s="22">
        <v>43943</v>
      </c>
      <c r="AF179" s="22">
        <v>43943</v>
      </c>
      <c r="AG179" s="23" t="s">
        <v>489</v>
      </c>
      <c r="AH179" s="24">
        <v>0.97</v>
      </c>
      <c r="AI179" s="24">
        <v>0.95</v>
      </c>
      <c r="AJ179" s="24">
        <v>0.83</v>
      </c>
      <c r="AK179" s="23" t="s">
        <v>490</v>
      </c>
      <c r="AL179" s="10" t="s">
        <v>667</v>
      </c>
      <c r="AM179" s="10"/>
      <c r="AN179" s="10" t="s">
        <v>492</v>
      </c>
    </row>
    <row r="180" spans="2:40" ht="15" x14ac:dyDescent="0.2">
      <c r="B180" s="42">
        <v>247</v>
      </c>
      <c r="C180" s="16" t="s">
        <v>564</v>
      </c>
      <c r="D180" s="10" t="s">
        <v>476</v>
      </c>
      <c r="E180" s="10" t="s">
        <v>181</v>
      </c>
      <c r="F180" s="2" t="s">
        <v>668</v>
      </c>
      <c r="G180" s="19">
        <v>1417780</v>
      </c>
      <c r="H180" s="20" t="s">
        <v>1</v>
      </c>
      <c r="I180" s="10" t="s">
        <v>187</v>
      </c>
      <c r="J180" s="20" t="s">
        <v>1</v>
      </c>
      <c r="K180" s="10" t="s">
        <v>478</v>
      </c>
      <c r="L180" s="10" t="s">
        <v>483</v>
      </c>
      <c r="M180" s="10" t="s">
        <v>183</v>
      </c>
      <c r="N180" s="10" t="s">
        <v>660</v>
      </c>
      <c r="O180" s="19" t="s">
        <v>1</v>
      </c>
      <c r="P180" s="19" t="s">
        <v>661</v>
      </c>
      <c r="Q180" s="21"/>
      <c r="R180" s="20" t="s">
        <v>1</v>
      </c>
      <c r="S180" s="10" t="s">
        <v>24</v>
      </c>
      <c r="T180" s="10"/>
      <c r="U180" s="10"/>
      <c r="V180" s="10">
        <v>40</v>
      </c>
      <c r="W180" s="10">
        <v>40</v>
      </c>
      <c r="X180" s="10">
        <v>40</v>
      </c>
      <c r="Y180" s="10">
        <v>0.71</v>
      </c>
      <c r="Z180" s="10">
        <v>0.1</v>
      </c>
      <c r="AA180" s="10" t="s">
        <v>481</v>
      </c>
      <c r="AB180" s="22">
        <v>43950</v>
      </c>
      <c r="AC180" s="22">
        <v>43941</v>
      </c>
      <c r="AD180" s="22">
        <v>43951</v>
      </c>
      <c r="AE180" s="22">
        <v>43944</v>
      </c>
      <c r="AF180" s="22">
        <v>43944</v>
      </c>
      <c r="AG180" s="23" t="s">
        <v>482</v>
      </c>
      <c r="AH180" s="24">
        <v>1</v>
      </c>
      <c r="AI180" s="24">
        <v>1</v>
      </c>
      <c r="AJ180" s="24">
        <v>1</v>
      </c>
      <c r="AK180" s="23" t="s">
        <v>483</v>
      </c>
      <c r="AL180" s="10"/>
      <c r="AM180" s="10"/>
      <c r="AN180" s="10"/>
    </row>
    <row r="181" spans="2:40" ht="15" x14ac:dyDescent="0.2">
      <c r="B181" s="42">
        <v>248</v>
      </c>
      <c r="C181" s="16" t="s">
        <v>564</v>
      </c>
      <c r="D181" s="10" t="s">
        <v>476</v>
      </c>
      <c r="E181" s="10" t="s">
        <v>181</v>
      </c>
      <c r="F181" s="2" t="s">
        <v>669</v>
      </c>
      <c r="G181" s="19">
        <v>1417780</v>
      </c>
      <c r="H181" s="20" t="s">
        <v>1</v>
      </c>
      <c r="I181" s="10" t="s">
        <v>188</v>
      </c>
      <c r="J181" s="20" t="s">
        <v>1</v>
      </c>
      <c r="K181" s="10" t="s">
        <v>478</v>
      </c>
      <c r="L181" s="10" t="s">
        <v>483</v>
      </c>
      <c r="M181" s="10" t="s">
        <v>183</v>
      </c>
      <c r="N181" s="10" t="s">
        <v>660</v>
      </c>
      <c r="O181" s="19" t="s">
        <v>1</v>
      </c>
      <c r="P181" s="19" t="s">
        <v>661</v>
      </c>
      <c r="Q181" s="21"/>
      <c r="R181" s="20" t="s">
        <v>1</v>
      </c>
      <c r="S181" s="10" t="s">
        <v>24</v>
      </c>
      <c r="T181" s="10"/>
      <c r="U181" s="10"/>
      <c r="V181" s="10">
        <v>146</v>
      </c>
      <c r="W181" s="10">
        <v>146</v>
      </c>
      <c r="X181" s="10">
        <v>146</v>
      </c>
      <c r="Y181" s="10">
        <v>2.59</v>
      </c>
      <c r="Z181" s="10">
        <v>2</v>
      </c>
      <c r="AA181" s="10" t="s">
        <v>481</v>
      </c>
      <c r="AB181" s="22">
        <v>43950</v>
      </c>
      <c r="AC181" s="22">
        <v>43941</v>
      </c>
      <c r="AD181" s="22">
        <v>43951</v>
      </c>
      <c r="AE181" s="22">
        <v>43942</v>
      </c>
      <c r="AF181" s="22">
        <v>43942</v>
      </c>
      <c r="AG181" s="23" t="s">
        <v>482</v>
      </c>
      <c r="AH181" s="24">
        <v>1</v>
      </c>
      <c r="AI181" s="24">
        <v>1</v>
      </c>
      <c r="AJ181" s="24">
        <v>1</v>
      </c>
      <c r="AK181" s="23" t="s">
        <v>483</v>
      </c>
      <c r="AL181" s="10"/>
      <c r="AM181" s="10"/>
      <c r="AN181" s="10"/>
    </row>
    <row r="182" spans="2:40" ht="15" x14ac:dyDescent="0.2">
      <c r="B182" s="42">
        <v>249</v>
      </c>
      <c r="C182" s="16" t="s">
        <v>564</v>
      </c>
      <c r="D182" s="10" t="s">
        <v>476</v>
      </c>
      <c r="E182" s="10" t="s">
        <v>181</v>
      </c>
      <c r="F182" s="2" t="s">
        <v>670</v>
      </c>
      <c r="G182" s="19">
        <v>1417780</v>
      </c>
      <c r="H182" s="20" t="s">
        <v>1</v>
      </c>
      <c r="I182" s="10" t="s">
        <v>70</v>
      </c>
      <c r="J182" s="20" t="s">
        <v>1</v>
      </c>
      <c r="K182" s="10" t="s">
        <v>478</v>
      </c>
      <c r="L182" s="10" t="s">
        <v>483</v>
      </c>
      <c r="M182" s="10" t="s">
        <v>183</v>
      </c>
      <c r="N182" s="10" t="s">
        <v>660</v>
      </c>
      <c r="O182" s="19" t="s">
        <v>1</v>
      </c>
      <c r="P182" s="19" t="s">
        <v>661</v>
      </c>
      <c r="Q182" s="21"/>
      <c r="R182" s="20" t="s">
        <v>1</v>
      </c>
      <c r="S182" s="10" t="s">
        <v>24</v>
      </c>
      <c r="T182" s="10"/>
      <c r="U182" s="10"/>
      <c r="V182" s="10">
        <v>51</v>
      </c>
      <c r="W182" s="10">
        <v>51</v>
      </c>
      <c r="X182" s="10">
        <v>51</v>
      </c>
      <c r="Y182" s="10">
        <v>0.9</v>
      </c>
      <c r="Z182" s="10">
        <v>0.1</v>
      </c>
      <c r="AA182" s="10" t="s">
        <v>481</v>
      </c>
      <c r="AB182" s="22">
        <v>43950</v>
      </c>
      <c r="AC182" s="22">
        <v>43941</v>
      </c>
      <c r="AD182" s="22">
        <v>43951</v>
      </c>
      <c r="AE182" s="22">
        <v>43942</v>
      </c>
      <c r="AF182" s="22">
        <v>43942</v>
      </c>
      <c r="AG182" s="23" t="s">
        <v>482</v>
      </c>
      <c r="AH182" s="24">
        <v>1</v>
      </c>
      <c r="AI182" s="24">
        <v>1</v>
      </c>
      <c r="AJ182" s="24">
        <v>1</v>
      </c>
      <c r="AK182" s="23" t="s">
        <v>483</v>
      </c>
      <c r="AL182" s="10"/>
      <c r="AM182" s="10"/>
      <c r="AN182" s="10"/>
    </row>
    <row r="183" spans="2:40" ht="15" x14ac:dyDescent="0.2">
      <c r="B183" s="42">
        <v>250</v>
      </c>
      <c r="C183" s="16" t="s">
        <v>564</v>
      </c>
      <c r="D183" s="10" t="s">
        <v>476</v>
      </c>
      <c r="E183" s="10" t="s">
        <v>189</v>
      </c>
      <c r="F183" s="2" t="s">
        <v>671</v>
      </c>
      <c r="G183" s="19">
        <v>1423395</v>
      </c>
      <c r="H183" s="20" t="s">
        <v>1</v>
      </c>
      <c r="I183" s="10" t="s">
        <v>190</v>
      </c>
      <c r="J183" s="20" t="s">
        <v>1</v>
      </c>
      <c r="K183" s="10" t="s">
        <v>478</v>
      </c>
      <c r="L183" s="10">
        <v>81640</v>
      </c>
      <c r="M183" s="10" t="s">
        <v>158</v>
      </c>
      <c r="N183" s="10" t="s">
        <v>575</v>
      </c>
      <c r="O183" s="19" t="s">
        <v>1</v>
      </c>
      <c r="P183" s="19" t="s">
        <v>672</v>
      </c>
      <c r="Q183" s="21"/>
      <c r="R183" s="20" t="s">
        <v>1</v>
      </c>
      <c r="S183" s="10" t="s">
        <v>24</v>
      </c>
      <c r="T183" s="10"/>
      <c r="U183" s="10"/>
      <c r="V183" s="10">
        <v>101</v>
      </c>
      <c r="W183" s="10">
        <v>101</v>
      </c>
      <c r="X183" s="10">
        <v>101</v>
      </c>
      <c r="Y183" s="10">
        <v>1.79</v>
      </c>
      <c r="Z183" s="10">
        <v>1</v>
      </c>
      <c r="AA183" s="16" t="s">
        <v>481</v>
      </c>
      <c r="AB183" s="22">
        <v>43943</v>
      </c>
      <c r="AC183" s="22">
        <v>43941</v>
      </c>
      <c r="AD183" s="22">
        <v>43943</v>
      </c>
      <c r="AE183" s="22">
        <v>43941</v>
      </c>
      <c r="AF183" s="22">
        <v>43941</v>
      </c>
      <c r="AG183" s="23" t="s">
        <v>489</v>
      </c>
      <c r="AH183" s="24">
        <v>1</v>
      </c>
      <c r="AI183" s="24">
        <v>1</v>
      </c>
      <c r="AJ183" s="24">
        <v>0.75</v>
      </c>
      <c r="AK183" s="23" t="s">
        <v>490</v>
      </c>
      <c r="AL183" s="10" t="s">
        <v>673</v>
      </c>
      <c r="AM183" s="10"/>
      <c r="AN183" s="10" t="s">
        <v>492</v>
      </c>
    </row>
    <row r="184" spans="2:40" ht="15" x14ac:dyDescent="0.2">
      <c r="B184" s="42">
        <v>251</v>
      </c>
      <c r="C184" s="16" t="s">
        <v>564</v>
      </c>
      <c r="D184" s="10" t="s">
        <v>476</v>
      </c>
      <c r="E184" s="10" t="s">
        <v>189</v>
      </c>
      <c r="F184" s="2" t="s">
        <v>674</v>
      </c>
      <c r="G184" s="19">
        <v>1423395</v>
      </c>
      <c r="H184" s="20" t="s">
        <v>1</v>
      </c>
      <c r="I184" s="10" t="s">
        <v>191</v>
      </c>
      <c r="J184" s="20" t="s">
        <v>1</v>
      </c>
      <c r="K184" s="10" t="s">
        <v>478</v>
      </c>
      <c r="L184" s="10">
        <v>81640</v>
      </c>
      <c r="M184" s="10" t="s">
        <v>158</v>
      </c>
      <c r="N184" s="10" t="s">
        <v>575</v>
      </c>
      <c r="O184" s="19" t="s">
        <v>1</v>
      </c>
      <c r="P184" s="19" t="s">
        <v>672</v>
      </c>
      <c r="Q184" s="21"/>
      <c r="R184" s="20" t="s">
        <v>1</v>
      </c>
      <c r="S184" s="10" t="s">
        <v>24</v>
      </c>
      <c r="T184" s="10"/>
      <c r="U184" s="10"/>
      <c r="V184" s="10">
        <v>116</v>
      </c>
      <c r="W184" s="10">
        <v>116</v>
      </c>
      <c r="X184" s="10">
        <v>116</v>
      </c>
      <c r="Y184" s="10">
        <v>2.06</v>
      </c>
      <c r="Z184" s="10">
        <v>2</v>
      </c>
      <c r="AA184" s="16" t="s">
        <v>481</v>
      </c>
      <c r="AB184" s="22">
        <v>43943</v>
      </c>
      <c r="AC184" s="22">
        <v>43941</v>
      </c>
      <c r="AD184" s="22">
        <v>43943</v>
      </c>
      <c r="AE184" s="22">
        <v>43941</v>
      </c>
      <c r="AF184" s="22">
        <v>43941</v>
      </c>
      <c r="AG184" s="23" t="s">
        <v>489</v>
      </c>
      <c r="AH184" s="24">
        <v>0.92</v>
      </c>
      <c r="AI184" s="24">
        <v>0.85</v>
      </c>
      <c r="AJ184" s="24">
        <v>1</v>
      </c>
      <c r="AK184" s="23" t="s">
        <v>490</v>
      </c>
      <c r="AL184" s="10" t="s">
        <v>675</v>
      </c>
      <c r="AM184" s="10"/>
      <c r="AN184" s="10" t="s">
        <v>492</v>
      </c>
    </row>
    <row r="185" spans="2:40" ht="15" x14ac:dyDescent="0.2">
      <c r="B185" s="42">
        <v>252</v>
      </c>
      <c r="C185" s="16" t="s">
        <v>564</v>
      </c>
      <c r="D185" s="10" t="s">
        <v>476</v>
      </c>
      <c r="E185" s="10" t="s">
        <v>189</v>
      </c>
      <c r="F185" s="2" t="s">
        <v>676</v>
      </c>
      <c r="G185" s="19">
        <v>1423395</v>
      </c>
      <c r="H185" s="20" t="s">
        <v>1</v>
      </c>
      <c r="I185" s="10" t="s">
        <v>192</v>
      </c>
      <c r="J185" s="20" t="s">
        <v>1</v>
      </c>
      <c r="K185" s="10" t="s">
        <v>478</v>
      </c>
      <c r="L185" s="10">
        <v>81640</v>
      </c>
      <c r="M185" s="10" t="s">
        <v>158</v>
      </c>
      <c r="N185" s="10" t="s">
        <v>575</v>
      </c>
      <c r="O185" s="19" t="s">
        <v>1</v>
      </c>
      <c r="P185" s="19" t="s">
        <v>672</v>
      </c>
      <c r="Q185" s="21"/>
      <c r="R185" s="20" t="s">
        <v>1</v>
      </c>
      <c r="S185" s="10" t="s">
        <v>24</v>
      </c>
      <c r="T185" s="10"/>
      <c r="U185" s="10"/>
      <c r="V185" s="10">
        <v>60</v>
      </c>
      <c r="W185" s="10">
        <v>60</v>
      </c>
      <c r="X185" s="10">
        <v>60</v>
      </c>
      <c r="Y185" s="10">
        <v>1.06</v>
      </c>
      <c r="Z185" s="10">
        <v>0.5</v>
      </c>
      <c r="AA185" s="16" t="s">
        <v>481</v>
      </c>
      <c r="AB185" s="22">
        <v>43943</v>
      </c>
      <c r="AC185" s="22">
        <v>43941</v>
      </c>
      <c r="AD185" s="22">
        <v>43943</v>
      </c>
      <c r="AE185" s="22">
        <v>43941</v>
      </c>
      <c r="AF185" s="22">
        <v>43941</v>
      </c>
      <c r="AG185" s="23" t="s">
        <v>489</v>
      </c>
      <c r="AH185" s="24">
        <v>1</v>
      </c>
      <c r="AI185" s="24">
        <v>1</v>
      </c>
      <c r="AJ185" s="24">
        <v>1</v>
      </c>
      <c r="AK185" s="23" t="s">
        <v>490</v>
      </c>
      <c r="AL185" s="10" t="s">
        <v>677</v>
      </c>
      <c r="AM185" s="10"/>
      <c r="AN185" s="10" t="s">
        <v>492</v>
      </c>
    </row>
    <row r="186" spans="2:40" ht="15" x14ac:dyDescent="0.2">
      <c r="B186" s="37">
        <v>253</v>
      </c>
      <c r="C186" s="16">
        <v>20200417</v>
      </c>
      <c r="D186" s="10" t="s">
        <v>476</v>
      </c>
      <c r="E186" s="10" t="s">
        <v>193</v>
      </c>
      <c r="F186" s="43" t="s">
        <v>678</v>
      </c>
      <c r="G186" s="19">
        <v>1417738</v>
      </c>
      <c r="H186" s="20" t="s">
        <v>1</v>
      </c>
      <c r="I186" s="10" t="s">
        <v>125</v>
      </c>
      <c r="J186" s="20" t="s">
        <v>1</v>
      </c>
      <c r="K186" s="10" t="s">
        <v>478</v>
      </c>
      <c r="L186" s="10" t="s">
        <v>483</v>
      </c>
      <c r="M186" s="10" t="s">
        <v>134</v>
      </c>
      <c r="N186" s="10" t="s">
        <v>679</v>
      </c>
      <c r="O186" s="19" t="s">
        <v>1</v>
      </c>
      <c r="P186" s="19" t="s">
        <v>661</v>
      </c>
      <c r="Q186" s="21"/>
      <c r="R186" s="20"/>
      <c r="S186" s="10" t="s">
        <v>41</v>
      </c>
      <c r="T186" s="10"/>
      <c r="U186" s="10"/>
      <c r="V186" s="10">
        <v>180</v>
      </c>
      <c r="W186" s="10">
        <v>180</v>
      </c>
      <c r="X186" s="10">
        <v>180</v>
      </c>
      <c r="Y186" s="10">
        <v>3.2</v>
      </c>
      <c r="Z186" s="10">
        <v>2</v>
      </c>
      <c r="AA186" s="10" t="s">
        <v>481</v>
      </c>
      <c r="AB186" s="44">
        <v>43945</v>
      </c>
      <c r="AC186" s="22">
        <v>43941</v>
      </c>
      <c r="AD186" s="22">
        <v>43945</v>
      </c>
      <c r="AE186" s="22">
        <v>43943</v>
      </c>
      <c r="AF186" s="22">
        <v>43943</v>
      </c>
      <c r="AG186" s="23" t="s">
        <v>482</v>
      </c>
      <c r="AH186" s="24">
        <v>1</v>
      </c>
      <c r="AI186" s="24">
        <v>1</v>
      </c>
      <c r="AJ186" s="24">
        <v>0.9</v>
      </c>
      <c r="AK186" s="23" t="s">
        <v>483</v>
      </c>
      <c r="AL186" s="10"/>
      <c r="AM186" s="10"/>
      <c r="AN186" s="10"/>
    </row>
    <row r="187" spans="2:40" ht="15" x14ac:dyDescent="0.2">
      <c r="B187" s="37">
        <v>254</v>
      </c>
      <c r="C187" s="16">
        <v>20200417</v>
      </c>
      <c r="D187" s="10" t="s">
        <v>476</v>
      </c>
      <c r="E187" s="10" t="s">
        <v>194</v>
      </c>
      <c r="F187" s="43" t="s">
        <v>680</v>
      </c>
      <c r="G187" s="19">
        <v>1423830</v>
      </c>
      <c r="H187" s="20" t="s">
        <v>1</v>
      </c>
      <c r="I187" s="10" t="s">
        <v>195</v>
      </c>
      <c r="J187" s="20" t="s">
        <v>1</v>
      </c>
      <c r="K187" s="10" t="s">
        <v>478</v>
      </c>
      <c r="L187" s="10" t="s">
        <v>483</v>
      </c>
      <c r="M187" s="10" t="s">
        <v>196</v>
      </c>
      <c r="N187" s="10" t="s">
        <v>681</v>
      </c>
      <c r="O187" s="19" t="s">
        <v>1</v>
      </c>
      <c r="P187" s="19" t="s">
        <v>543</v>
      </c>
      <c r="Q187" s="21"/>
      <c r="R187" s="20"/>
      <c r="S187" s="10" t="s">
        <v>15</v>
      </c>
      <c r="T187" s="10"/>
      <c r="U187" s="10"/>
      <c r="V187" s="10">
        <v>224</v>
      </c>
      <c r="W187" s="10">
        <v>224</v>
      </c>
      <c r="X187" s="10">
        <v>224</v>
      </c>
      <c r="Y187" s="10">
        <v>3.98</v>
      </c>
      <c r="Z187" s="10">
        <v>2</v>
      </c>
      <c r="AA187" s="10" t="s">
        <v>481</v>
      </c>
      <c r="AB187" s="44">
        <v>43945</v>
      </c>
      <c r="AC187" s="22">
        <v>43941</v>
      </c>
      <c r="AD187" s="22">
        <v>43945</v>
      </c>
      <c r="AE187" s="22">
        <v>43942</v>
      </c>
      <c r="AF187" s="22">
        <v>43942</v>
      </c>
      <c r="AG187" s="23" t="s">
        <v>482</v>
      </c>
      <c r="AH187" s="24">
        <v>1</v>
      </c>
      <c r="AI187" s="24">
        <v>1</v>
      </c>
      <c r="AJ187" s="24">
        <v>1</v>
      </c>
      <c r="AK187" s="23" t="s">
        <v>483</v>
      </c>
      <c r="AL187" s="10"/>
      <c r="AM187" s="10"/>
      <c r="AN187" s="10"/>
    </row>
    <row r="188" spans="2:40" ht="15" x14ac:dyDescent="0.2">
      <c r="B188" s="37">
        <v>255</v>
      </c>
      <c r="C188" s="16">
        <v>20200417</v>
      </c>
      <c r="D188" s="10" t="s">
        <v>476</v>
      </c>
      <c r="E188" s="10" t="s">
        <v>194</v>
      </c>
      <c r="F188" s="43" t="s">
        <v>682</v>
      </c>
      <c r="G188" s="19">
        <v>1423830</v>
      </c>
      <c r="H188" s="20" t="s">
        <v>1</v>
      </c>
      <c r="I188" s="10" t="s">
        <v>197</v>
      </c>
      <c r="J188" s="20" t="s">
        <v>1</v>
      </c>
      <c r="K188" s="10" t="s">
        <v>478</v>
      </c>
      <c r="L188" s="10" t="s">
        <v>483</v>
      </c>
      <c r="M188" s="10" t="s">
        <v>196</v>
      </c>
      <c r="N188" s="10" t="s">
        <v>681</v>
      </c>
      <c r="O188" s="19" t="s">
        <v>1</v>
      </c>
      <c r="P188" s="19" t="s">
        <v>543</v>
      </c>
      <c r="Q188" s="21"/>
      <c r="R188" s="20"/>
      <c r="S188" s="10" t="s">
        <v>15</v>
      </c>
      <c r="T188" s="10"/>
      <c r="U188" s="10"/>
      <c r="V188" s="10">
        <v>309</v>
      </c>
      <c r="W188" s="10">
        <v>309</v>
      </c>
      <c r="X188" s="10">
        <v>309</v>
      </c>
      <c r="Y188" s="10">
        <v>5.49</v>
      </c>
      <c r="Z188" s="10">
        <v>2</v>
      </c>
      <c r="AA188" s="10" t="s">
        <v>481</v>
      </c>
      <c r="AB188" s="44">
        <v>43945</v>
      </c>
      <c r="AC188" s="22">
        <v>43941</v>
      </c>
      <c r="AD188" s="22">
        <v>43945</v>
      </c>
      <c r="AE188" s="22">
        <v>43942</v>
      </c>
      <c r="AF188" s="22">
        <v>43942</v>
      </c>
      <c r="AG188" s="23" t="s">
        <v>489</v>
      </c>
      <c r="AH188" s="24">
        <v>1</v>
      </c>
      <c r="AI188" s="24">
        <v>1</v>
      </c>
      <c r="AJ188" s="24">
        <v>0.91</v>
      </c>
      <c r="AK188" s="23" t="s">
        <v>490</v>
      </c>
      <c r="AL188" s="10" t="s">
        <v>683</v>
      </c>
      <c r="AM188" s="10"/>
      <c r="AN188" s="10" t="s">
        <v>492</v>
      </c>
    </row>
    <row r="189" spans="2:40" ht="15" x14ac:dyDescent="0.2">
      <c r="B189" s="37">
        <v>256</v>
      </c>
      <c r="C189" s="16">
        <v>20200417</v>
      </c>
      <c r="D189" s="10" t="s">
        <v>476</v>
      </c>
      <c r="E189" s="10" t="s">
        <v>194</v>
      </c>
      <c r="F189" s="43" t="s">
        <v>684</v>
      </c>
      <c r="G189" s="19">
        <v>1423830</v>
      </c>
      <c r="H189" s="20" t="s">
        <v>1</v>
      </c>
      <c r="I189" s="10" t="s">
        <v>198</v>
      </c>
      <c r="J189" s="20" t="s">
        <v>1</v>
      </c>
      <c r="K189" s="10" t="s">
        <v>478</v>
      </c>
      <c r="L189" s="10" t="s">
        <v>483</v>
      </c>
      <c r="M189" s="10" t="s">
        <v>196</v>
      </c>
      <c r="N189" s="10" t="s">
        <v>681</v>
      </c>
      <c r="O189" s="19" t="s">
        <v>1</v>
      </c>
      <c r="P189" s="19" t="s">
        <v>543</v>
      </c>
      <c r="Q189" s="21"/>
      <c r="R189" s="20"/>
      <c r="S189" s="10" t="s">
        <v>15</v>
      </c>
      <c r="T189" s="10"/>
      <c r="U189" s="10"/>
      <c r="V189" s="10">
        <v>25</v>
      </c>
      <c r="W189" s="10">
        <v>25</v>
      </c>
      <c r="X189" s="10">
        <v>25</v>
      </c>
      <c r="Y189" s="10">
        <v>0.44</v>
      </c>
      <c r="Z189" s="10">
        <v>2</v>
      </c>
      <c r="AA189" s="10" t="s">
        <v>481</v>
      </c>
      <c r="AB189" s="44">
        <v>43945</v>
      </c>
      <c r="AC189" s="22">
        <v>43941</v>
      </c>
      <c r="AD189" s="22">
        <v>43945</v>
      </c>
      <c r="AE189" s="22">
        <v>43942</v>
      </c>
      <c r="AF189" s="22">
        <v>43942</v>
      </c>
      <c r="AG189" s="23" t="s">
        <v>482</v>
      </c>
      <c r="AH189" s="24">
        <v>1</v>
      </c>
      <c r="AI189" s="24">
        <v>1</v>
      </c>
      <c r="AJ189" s="24">
        <v>1</v>
      </c>
      <c r="AK189" s="23" t="s">
        <v>483</v>
      </c>
      <c r="AL189" s="10"/>
      <c r="AM189" s="10"/>
      <c r="AN189" s="10"/>
    </row>
    <row r="190" spans="2:40" ht="15" x14ac:dyDescent="0.2">
      <c r="B190" s="37">
        <v>257</v>
      </c>
      <c r="C190" s="16">
        <v>20200417</v>
      </c>
      <c r="D190" s="10" t="s">
        <v>476</v>
      </c>
      <c r="E190" s="10" t="s">
        <v>194</v>
      </c>
      <c r="F190" s="43" t="s">
        <v>685</v>
      </c>
      <c r="G190" s="19">
        <v>1423830</v>
      </c>
      <c r="H190" s="20" t="s">
        <v>1</v>
      </c>
      <c r="I190" s="10" t="s">
        <v>199</v>
      </c>
      <c r="J190" s="20" t="s">
        <v>1</v>
      </c>
      <c r="K190" s="10" t="s">
        <v>478</v>
      </c>
      <c r="L190" s="10" t="s">
        <v>483</v>
      </c>
      <c r="M190" s="10" t="s">
        <v>196</v>
      </c>
      <c r="N190" s="10" t="s">
        <v>681</v>
      </c>
      <c r="O190" s="19" t="s">
        <v>1</v>
      </c>
      <c r="P190" s="19" t="s">
        <v>543</v>
      </c>
      <c r="Q190" s="21"/>
      <c r="R190" s="20"/>
      <c r="S190" s="10" t="s">
        <v>15</v>
      </c>
      <c r="T190" s="10"/>
      <c r="U190" s="10"/>
      <c r="V190" s="10">
        <v>215</v>
      </c>
      <c r="W190" s="10">
        <v>215</v>
      </c>
      <c r="X190" s="10">
        <v>215</v>
      </c>
      <c r="Y190" s="10">
        <v>3.82</v>
      </c>
      <c r="Z190" s="10">
        <v>2</v>
      </c>
      <c r="AA190" s="10" t="s">
        <v>481</v>
      </c>
      <c r="AB190" s="44">
        <v>43945</v>
      </c>
      <c r="AC190" s="22">
        <v>43941</v>
      </c>
      <c r="AD190" s="22">
        <v>43945</v>
      </c>
      <c r="AE190" s="22">
        <v>43942</v>
      </c>
      <c r="AF190" s="22">
        <v>43942</v>
      </c>
      <c r="AG190" s="23" t="s">
        <v>482</v>
      </c>
      <c r="AH190" s="24">
        <v>1</v>
      </c>
      <c r="AI190" s="24">
        <v>1</v>
      </c>
      <c r="AJ190" s="24">
        <v>1</v>
      </c>
      <c r="AK190" s="23" t="s">
        <v>483</v>
      </c>
      <c r="AL190" s="10"/>
      <c r="AM190" s="10"/>
      <c r="AN190" s="10"/>
    </row>
    <row r="191" spans="2:40" ht="15" x14ac:dyDescent="0.2">
      <c r="B191" s="37">
        <v>258</v>
      </c>
      <c r="C191" s="16">
        <v>20200417</v>
      </c>
      <c r="D191" s="10" t="s">
        <v>476</v>
      </c>
      <c r="E191" s="10" t="s">
        <v>194</v>
      </c>
      <c r="F191" s="43" t="s">
        <v>686</v>
      </c>
      <c r="G191" s="19">
        <v>1423830</v>
      </c>
      <c r="H191" s="20" t="s">
        <v>1</v>
      </c>
      <c r="I191" s="10" t="s">
        <v>200</v>
      </c>
      <c r="J191" s="20" t="s">
        <v>1</v>
      </c>
      <c r="K191" s="10" t="s">
        <v>478</v>
      </c>
      <c r="L191" s="10" t="s">
        <v>483</v>
      </c>
      <c r="M191" s="10" t="s">
        <v>196</v>
      </c>
      <c r="N191" s="10" t="s">
        <v>681</v>
      </c>
      <c r="O191" s="19" t="s">
        <v>1</v>
      </c>
      <c r="P191" s="19" t="s">
        <v>543</v>
      </c>
      <c r="Q191" s="21"/>
      <c r="R191" s="20"/>
      <c r="S191" s="10" t="s">
        <v>15</v>
      </c>
      <c r="T191" s="10"/>
      <c r="U191" s="10"/>
      <c r="V191" s="10">
        <v>1703</v>
      </c>
      <c r="W191" s="10">
        <v>1703</v>
      </c>
      <c r="X191" s="10">
        <v>1703</v>
      </c>
      <c r="Y191" s="10">
        <v>30.27</v>
      </c>
      <c r="Z191" s="10">
        <v>8</v>
      </c>
      <c r="AA191" s="10" t="s">
        <v>481</v>
      </c>
      <c r="AB191" s="44">
        <v>43945</v>
      </c>
      <c r="AC191" s="22">
        <v>43941</v>
      </c>
      <c r="AD191" s="22">
        <v>43945</v>
      </c>
      <c r="AE191" s="22">
        <v>43942</v>
      </c>
      <c r="AF191" s="22">
        <v>43942</v>
      </c>
      <c r="AG191" s="23" t="s">
        <v>482</v>
      </c>
      <c r="AH191" s="24">
        <v>1</v>
      </c>
      <c r="AI191" s="24">
        <v>1</v>
      </c>
      <c r="AJ191" s="24">
        <v>1</v>
      </c>
      <c r="AK191" s="23" t="s">
        <v>483</v>
      </c>
      <c r="AL191" s="10"/>
      <c r="AM191" s="10"/>
      <c r="AN191" s="10"/>
    </row>
    <row r="192" spans="2:40" ht="15" x14ac:dyDescent="0.2">
      <c r="B192" s="37">
        <v>259</v>
      </c>
      <c r="C192" s="16">
        <v>20200417</v>
      </c>
      <c r="D192" s="10" t="s">
        <v>476</v>
      </c>
      <c r="E192" s="10" t="s">
        <v>201</v>
      </c>
      <c r="F192" s="43" t="s">
        <v>687</v>
      </c>
      <c r="G192" s="19">
        <v>1423829</v>
      </c>
      <c r="H192" s="20" t="s">
        <v>1</v>
      </c>
      <c r="I192" s="15" t="s">
        <v>195</v>
      </c>
      <c r="J192" s="20" t="s">
        <v>1</v>
      </c>
      <c r="K192" s="10" t="s">
        <v>478</v>
      </c>
      <c r="L192" s="10" t="s">
        <v>483</v>
      </c>
      <c r="M192" s="10" t="s">
        <v>196</v>
      </c>
      <c r="N192" s="10" t="s">
        <v>688</v>
      </c>
      <c r="O192" s="19" t="s">
        <v>1</v>
      </c>
      <c r="P192" s="19" t="s">
        <v>543</v>
      </c>
      <c r="Q192" s="21"/>
      <c r="R192" s="20"/>
      <c r="S192" s="10" t="s">
        <v>40</v>
      </c>
      <c r="T192" s="10"/>
      <c r="U192" s="10"/>
      <c r="V192" s="10">
        <v>224</v>
      </c>
      <c r="W192" s="10">
        <v>224</v>
      </c>
      <c r="X192" s="10">
        <v>224</v>
      </c>
      <c r="Y192" s="10">
        <v>3.98</v>
      </c>
      <c r="Z192" s="10">
        <v>3</v>
      </c>
      <c r="AA192" s="10" t="s">
        <v>481</v>
      </c>
      <c r="AB192" s="44">
        <v>43945</v>
      </c>
      <c r="AC192" s="22">
        <v>43941</v>
      </c>
      <c r="AD192" s="22">
        <v>43945</v>
      </c>
      <c r="AE192" s="22">
        <v>43943</v>
      </c>
      <c r="AF192" s="22">
        <v>43943</v>
      </c>
      <c r="AG192" s="23" t="s">
        <v>482</v>
      </c>
      <c r="AH192" s="24">
        <v>1</v>
      </c>
      <c r="AI192" s="24">
        <v>1</v>
      </c>
      <c r="AJ192" s="24">
        <v>1</v>
      </c>
      <c r="AK192" s="23" t="s">
        <v>483</v>
      </c>
      <c r="AL192" s="10"/>
      <c r="AM192" s="10"/>
      <c r="AN192" s="10"/>
    </row>
    <row r="193" spans="2:40" ht="102" x14ac:dyDescent="0.2">
      <c r="B193" s="37">
        <v>260</v>
      </c>
      <c r="C193" s="16">
        <v>20200417</v>
      </c>
      <c r="D193" s="10" t="s">
        <v>476</v>
      </c>
      <c r="E193" s="10" t="s">
        <v>201</v>
      </c>
      <c r="F193" s="43" t="s">
        <v>689</v>
      </c>
      <c r="G193" s="19">
        <v>1423829</v>
      </c>
      <c r="H193" s="20" t="s">
        <v>1</v>
      </c>
      <c r="I193" s="15" t="s">
        <v>197</v>
      </c>
      <c r="J193" s="20" t="s">
        <v>1</v>
      </c>
      <c r="K193" s="10" t="s">
        <v>478</v>
      </c>
      <c r="L193" s="10" t="s">
        <v>483</v>
      </c>
      <c r="M193" s="10" t="s">
        <v>196</v>
      </c>
      <c r="N193" s="10" t="s">
        <v>688</v>
      </c>
      <c r="O193" s="19" t="s">
        <v>1</v>
      </c>
      <c r="P193" s="19" t="s">
        <v>543</v>
      </c>
      <c r="Q193" s="21"/>
      <c r="R193" s="20"/>
      <c r="S193" s="10" t="s">
        <v>40</v>
      </c>
      <c r="T193" s="10"/>
      <c r="U193" s="10"/>
      <c r="V193" s="10">
        <v>309</v>
      </c>
      <c r="W193" s="10">
        <v>309</v>
      </c>
      <c r="X193" s="10">
        <v>309</v>
      </c>
      <c r="Y193" s="10">
        <v>5.49</v>
      </c>
      <c r="Z193" s="10">
        <v>4</v>
      </c>
      <c r="AA193" s="10" t="s">
        <v>481</v>
      </c>
      <c r="AB193" s="44">
        <v>43945</v>
      </c>
      <c r="AC193" s="22">
        <v>43941</v>
      </c>
      <c r="AD193" s="22">
        <v>43945</v>
      </c>
      <c r="AE193" s="22">
        <v>43944</v>
      </c>
      <c r="AF193" s="22">
        <v>43944</v>
      </c>
      <c r="AG193" s="23" t="s">
        <v>489</v>
      </c>
      <c r="AH193" s="24">
        <v>1</v>
      </c>
      <c r="AI193" s="24">
        <v>1</v>
      </c>
      <c r="AJ193" s="24">
        <v>0.91</v>
      </c>
      <c r="AK193" s="23" t="s">
        <v>490</v>
      </c>
      <c r="AL193" s="10" t="s">
        <v>690</v>
      </c>
      <c r="AM193" s="10"/>
      <c r="AN193" s="34" t="s">
        <v>691</v>
      </c>
    </row>
    <row r="194" spans="2:40" ht="15" x14ac:dyDescent="0.2">
      <c r="B194" s="37">
        <v>261</v>
      </c>
      <c r="C194" s="16">
        <v>20200417</v>
      </c>
      <c r="D194" s="10" t="s">
        <v>476</v>
      </c>
      <c r="E194" s="10" t="s">
        <v>201</v>
      </c>
      <c r="F194" s="43" t="s">
        <v>692</v>
      </c>
      <c r="G194" s="19">
        <v>1423829</v>
      </c>
      <c r="H194" s="20" t="s">
        <v>1</v>
      </c>
      <c r="I194" s="15" t="s">
        <v>198</v>
      </c>
      <c r="J194" s="20" t="s">
        <v>1</v>
      </c>
      <c r="K194" s="10" t="s">
        <v>478</v>
      </c>
      <c r="L194" s="10" t="s">
        <v>483</v>
      </c>
      <c r="M194" s="10" t="s">
        <v>196</v>
      </c>
      <c r="N194" s="10" t="s">
        <v>688</v>
      </c>
      <c r="O194" s="19" t="s">
        <v>1</v>
      </c>
      <c r="P194" s="19" t="s">
        <v>543</v>
      </c>
      <c r="Q194" s="21"/>
      <c r="R194" s="20"/>
      <c r="S194" s="10" t="s">
        <v>40</v>
      </c>
      <c r="T194" s="10"/>
      <c r="U194" s="10"/>
      <c r="V194" s="10">
        <v>25</v>
      </c>
      <c r="W194" s="10">
        <v>25</v>
      </c>
      <c r="X194" s="10">
        <v>25</v>
      </c>
      <c r="Y194" s="10">
        <v>0.44</v>
      </c>
      <c r="Z194" s="10">
        <v>0.12</v>
      </c>
      <c r="AA194" s="10" t="s">
        <v>481</v>
      </c>
      <c r="AB194" s="44">
        <v>43945</v>
      </c>
      <c r="AC194" s="22">
        <v>43941</v>
      </c>
      <c r="AD194" s="22">
        <v>43945</v>
      </c>
      <c r="AE194" s="22">
        <v>43944</v>
      </c>
      <c r="AF194" s="22">
        <v>43944</v>
      </c>
      <c r="AG194" s="23" t="s">
        <v>482</v>
      </c>
      <c r="AH194" s="24">
        <v>1</v>
      </c>
      <c r="AI194" s="24">
        <v>1</v>
      </c>
      <c r="AJ194" s="24">
        <v>1</v>
      </c>
      <c r="AK194" s="23" t="s">
        <v>483</v>
      </c>
      <c r="AL194" s="10"/>
      <c r="AM194" s="10"/>
      <c r="AN194" s="10"/>
    </row>
    <row r="195" spans="2:40" ht="15" x14ac:dyDescent="0.2">
      <c r="B195" s="37">
        <v>262</v>
      </c>
      <c r="C195" s="16">
        <v>20200417</v>
      </c>
      <c r="D195" s="10" t="s">
        <v>476</v>
      </c>
      <c r="E195" s="10" t="s">
        <v>201</v>
      </c>
      <c r="F195" s="43" t="s">
        <v>693</v>
      </c>
      <c r="G195" s="19">
        <v>1423829</v>
      </c>
      <c r="H195" s="20" t="s">
        <v>1</v>
      </c>
      <c r="I195" s="15" t="s">
        <v>199</v>
      </c>
      <c r="J195" s="20" t="s">
        <v>1</v>
      </c>
      <c r="K195" s="10" t="s">
        <v>478</v>
      </c>
      <c r="L195" s="10" t="s">
        <v>483</v>
      </c>
      <c r="M195" s="10" t="s">
        <v>196</v>
      </c>
      <c r="N195" s="10" t="s">
        <v>688</v>
      </c>
      <c r="O195" s="19" t="s">
        <v>1</v>
      </c>
      <c r="P195" s="19" t="s">
        <v>543</v>
      </c>
      <c r="Q195" s="21"/>
      <c r="R195" s="20"/>
      <c r="S195" s="10" t="s">
        <v>40</v>
      </c>
      <c r="T195" s="10"/>
      <c r="U195" s="10"/>
      <c r="V195" s="10">
        <v>215</v>
      </c>
      <c r="W195" s="10">
        <v>215</v>
      </c>
      <c r="X195" s="10">
        <v>215</v>
      </c>
      <c r="Y195" s="10">
        <v>3.82</v>
      </c>
      <c r="Z195" s="10">
        <v>2</v>
      </c>
      <c r="AA195" s="10" t="s">
        <v>481</v>
      </c>
      <c r="AB195" s="44">
        <v>43945</v>
      </c>
      <c r="AC195" s="22">
        <v>43941</v>
      </c>
      <c r="AD195" s="22">
        <v>43945</v>
      </c>
      <c r="AE195" s="22">
        <v>43944</v>
      </c>
      <c r="AF195" s="22">
        <v>43944</v>
      </c>
      <c r="AG195" s="23" t="s">
        <v>482</v>
      </c>
      <c r="AH195" s="24">
        <v>1</v>
      </c>
      <c r="AI195" s="24">
        <v>1</v>
      </c>
      <c r="AJ195" s="24">
        <v>1</v>
      </c>
      <c r="AK195" s="23" t="s">
        <v>483</v>
      </c>
      <c r="AL195" s="10"/>
      <c r="AM195" s="10"/>
      <c r="AN195" s="10"/>
    </row>
    <row r="196" spans="2:40" ht="15" x14ac:dyDescent="0.2">
      <c r="B196" s="37">
        <v>263</v>
      </c>
      <c r="C196" s="16">
        <v>20200417</v>
      </c>
      <c r="D196" s="10" t="s">
        <v>476</v>
      </c>
      <c r="E196" s="10" t="s">
        <v>201</v>
      </c>
      <c r="F196" s="43" t="s">
        <v>694</v>
      </c>
      <c r="G196" s="19">
        <v>1423829</v>
      </c>
      <c r="H196" s="20" t="s">
        <v>1</v>
      </c>
      <c r="I196" s="10" t="s">
        <v>200</v>
      </c>
      <c r="J196" s="20" t="s">
        <v>1</v>
      </c>
      <c r="K196" s="10" t="s">
        <v>478</v>
      </c>
      <c r="L196" s="10" t="s">
        <v>483</v>
      </c>
      <c r="M196" s="10" t="s">
        <v>196</v>
      </c>
      <c r="N196" s="10" t="s">
        <v>688</v>
      </c>
      <c r="O196" s="19" t="s">
        <v>1</v>
      </c>
      <c r="P196" s="19" t="s">
        <v>543</v>
      </c>
      <c r="Q196" s="21"/>
      <c r="R196" s="20"/>
      <c r="S196" s="10" t="s">
        <v>4</v>
      </c>
      <c r="T196" s="10"/>
      <c r="U196" s="10"/>
      <c r="V196" s="10">
        <v>1703</v>
      </c>
      <c r="W196" s="10">
        <v>1703</v>
      </c>
      <c r="X196" s="10">
        <v>1703</v>
      </c>
      <c r="Y196" s="10">
        <v>30.27</v>
      </c>
      <c r="Z196" s="10">
        <v>3</v>
      </c>
      <c r="AA196" s="10" t="s">
        <v>481</v>
      </c>
      <c r="AB196" s="44">
        <v>43945</v>
      </c>
      <c r="AC196" s="22">
        <v>43941</v>
      </c>
      <c r="AD196" s="22">
        <v>43945</v>
      </c>
      <c r="AE196" s="22">
        <v>43944</v>
      </c>
      <c r="AF196" s="22">
        <v>43944</v>
      </c>
      <c r="AG196" s="23" t="s">
        <v>482</v>
      </c>
      <c r="AH196" s="24">
        <v>1</v>
      </c>
      <c r="AI196" s="24">
        <v>1</v>
      </c>
      <c r="AJ196" s="24">
        <v>1</v>
      </c>
      <c r="AK196" s="23" t="s">
        <v>483</v>
      </c>
      <c r="AL196" s="10"/>
      <c r="AM196" s="10"/>
      <c r="AN196" s="10"/>
    </row>
    <row r="197" spans="2:40" ht="15" x14ac:dyDescent="0.2">
      <c r="B197" s="37">
        <v>264</v>
      </c>
      <c r="C197" s="16">
        <v>20200417</v>
      </c>
      <c r="D197" s="10" t="s">
        <v>476</v>
      </c>
      <c r="E197" s="10" t="s">
        <v>202</v>
      </c>
      <c r="F197" s="43" t="s">
        <v>695</v>
      </c>
      <c r="G197" s="19">
        <v>1423560</v>
      </c>
      <c r="H197" s="20" t="s">
        <v>1</v>
      </c>
      <c r="I197" s="10" t="s">
        <v>203</v>
      </c>
      <c r="J197" s="20" t="s">
        <v>1</v>
      </c>
      <c r="K197" s="10" t="s">
        <v>478</v>
      </c>
      <c r="L197" s="10">
        <v>99186</v>
      </c>
      <c r="M197" s="10" t="s">
        <v>204</v>
      </c>
      <c r="N197" s="10" t="s">
        <v>696</v>
      </c>
      <c r="O197" s="19" t="s">
        <v>1</v>
      </c>
      <c r="P197" s="19" t="s">
        <v>697</v>
      </c>
      <c r="Q197" s="21"/>
      <c r="R197" s="20"/>
      <c r="S197" s="10" t="s">
        <v>24</v>
      </c>
      <c r="T197" s="10"/>
      <c r="U197" s="10"/>
      <c r="V197" s="10">
        <v>168</v>
      </c>
      <c r="W197" s="10">
        <v>168</v>
      </c>
      <c r="X197" s="10">
        <v>168</v>
      </c>
      <c r="Y197" s="10">
        <v>2.98</v>
      </c>
      <c r="Z197" s="10">
        <v>1</v>
      </c>
      <c r="AA197" s="10" t="s">
        <v>481</v>
      </c>
      <c r="AB197" s="49">
        <v>43942</v>
      </c>
      <c r="AC197" s="22">
        <v>43941</v>
      </c>
      <c r="AD197" s="22">
        <v>43942</v>
      </c>
      <c r="AE197" s="22">
        <v>43941</v>
      </c>
      <c r="AF197" s="22">
        <v>43941</v>
      </c>
      <c r="AG197" s="23" t="s">
        <v>482</v>
      </c>
      <c r="AH197" s="24">
        <v>1</v>
      </c>
      <c r="AI197" s="24">
        <v>1</v>
      </c>
      <c r="AJ197" s="24">
        <v>1</v>
      </c>
      <c r="AK197" s="23" t="s">
        <v>483</v>
      </c>
      <c r="AL197" s="10"/>
      <c r="AM197" s="10"/>
      <c r="AN197" s="10"/>
    </row>
    <row r="198" spans="2:40" ht="15" x14ac:dyDescent="0.2">
      <c r="B198" s="37">
        <v>265</v>
      </c>
      <c r="C198" s="16">
        <v>20200417</v>
      </c>
      <c r="D198" s="10" t="s">
        <v>476</v>
      </c>
      <c r="E198" s="10" t="s">
        <v>205</v>
      </c>
      <c r="F198" s="2" t="s">
        <v>698</v>
      </c>
      <c r="G198" s="19">
        <v>1424417</v>
      </c>
      <c r="H198" s="20" t="s">
        <v>1</v>
      </c>
      <c r="I198" s="15" t="s">
        <v>206</v>
      </c>
      <c r="J198" s="20" t="s">
        <v>1</v>
      </c>
      <c r="K198" s="10" t="s">
        <v>478</v>
      </c>
      <c r="L198" s="10">
        <v>81260</v>
      </c>
      <c r="M198" s="10" t="s">
        <v>207</v>
      </c>
      <c r="N198" s="10" t="s">
        <v>699</v>
      </c>
      <c r="O198" s="19" t="s">
        <v>1</v>
      </c>
      <c r="P198" s="19" t="s">
        <v>700</v>
      </c>
      <c r="Q198" s="21"/>
      <c r="R198" s="20"/>
      <c r="S198" s="10" t="s">
        <v>40</v>
      </c>
      <c r="T198" s="10"/>
      <c r="U198" s="10"/>
      <c r="V198" s="10">
        <v>145</v>
      </c>
      <c r="W198" s="10">
        <v>145</v>
      </c>
      <c r="X198" s="10">
        <v>145</v>
      </c>
      <c r="Y198" s="10">
        <v>2.57</v>
      </c>
      <c r="Z198" s="10">
        <v>2</v>
      </c>
      <c r="AA198" s="10" t="s">
        <v>481</v>
      </c>
      <c r="AB198" s="22">
        <v>43949</v>
      </c>
      <c r="AC198" s="22">
        <v>43941</v>
      </c>
      <c r="AD198" s="22">
        <v>43949</v>
      </c>
      <c r="AE198" s="22">
        <v>43945</v>
      </c>
      <c r="AF198" s="22">
        <v>43945</v>
      </c>
      <c r="AG198" s="23" t="s">
        <v>482</v>
      </c>
      <c r="AH198" s="24">
        <v>1</v>
      </c>
      <c r="AI198" s="24">
        <v>1</v>
      </c>
      <c r="AJ198" s="24">
        <v>1</v>
      </c>
      <c r="AK198" s="23" t="s">
        <v>483</v>
      </c>
      <c r="AL198" s="10"/>
      <c r="AM198" s="10"/>
      <c r="AN198" s="10"/>
    </row>
    <row r="199" spans="2:40" ht="15" x14ac:dyDescent="0.2">
      <c r="B199" s="37">
        <v>266</v>
      </c>
      <c r="C199" s="16">
        <v>20200417</v>
      </c>
      <c r="D199" s="10" t="s">
        <v>476</v>
      </c>
      <c r="E199" s="10" t="s">
        <v>205</v>
      </c>
      <c r="F199" s="2" t="s">
        <v>701</v>
      </c>
      <c r="G199" s="19">
        <v>1424417</v>
      </c>
      <c r="H199" s="20" t="s">
        <v>1</v>
      </c>
      <c r="I199" s="15" t="s">
        <v>208</v>
      </c>
      <c r="J199" s="20" t="s">
        <v>1</v>
      </c>
      <c r="K199" s="10" t="s">
        <v>478</v>
      </c>
      <c r="L199" s="10">
        <v>81260</v>
      </c>
      <c r="M199" s="10" t="s">
        <v>207</v>
      </c>
      <c r="N199" s="10" t="s">
        <v>699</v>
      </c>
      <c r="O199" s="19" t="s">
        <v>1</v>
      </c>
      <c r="P199" s="19" t="s">
        <v>700</v>
      </c>
      <c r="Q199" s="21"/>
      <c r="R199" s="20"/>
      <c r="S199" s="10" t="s">
        <v>40</v>
      </c>
      <c r="T199" s="10"/>
      <c r="U199" s="10"/>
      <c r="V199" s="10">
        <v>89</v>
      </c>
      <c r="W199" s="10">
        <v>89</v>
      </c>
      <c r="X199" s="10">
        <v>89</v>
      </c>
      <c r="Y199" s="10">
        <v>1.58</v>
      </c>
      <c r="Z199" s="10">
        <v>1</v>
      </c>
      <c r="AA199" s="10" t="s">
        <v>481</v>
      </c>
      <c r="AB199" s="22">
        <v>43949</v>
      </c>
      <c r="AC199" s="22">
        <v>43941</v>
      </c>
      <c r="AD199" s="22">
        <v>43949</v>
      </c>
      <c r="AE199" s="22">
        <v>43945</v>
      </c>
      <c r="AF199" s="22">
        <v>43945</v>
      </c>
      <c r="AG199" s="23" t="s">
        <v>482</v>
      </c>
      <c r="AH199" s="24">
        <v>1</v>
      </c>
      <c r="AI199" s="24">
        <v>1</v>
      </c>
      <c r="AJ199" s="24">
        <v>1</v>
      </c>
      <c r="AK199" s="23" t="s">
        <v>483</v>
      </c>
      <c r="AL199" s="10"/>
      <c r="AM199" s="10"/>
      <c r="AN199" s="10"/>
    </row>
    <row r="200" spans="2:40" ht="15" x14ac:dyDescent="0.2">
      <c r="B200" s="37">
        <v>267</v>
      </c>
      <c r="C200" s="16">
        <v>20200417</v>
      </c>
      <c r="D200" s="10" t="s">
        <v>476</v>
      </c>
      <c r="E200" s="10" t="s">
        <v>205</v>
      </c>
      <c r="F200" s="2" t="s">
        <v>702</v>
      </c>
      <c r="G200" s="19">
        <v>1424417</v>
      </c>
      <c r="H200" s="20" t="s">
        <v>1</v>
      </c>
      <c r="I200" s="15" t="s">
        <v>209</v>
      </c>
      <c r="J200" s="20" t="s">
        <v>1</v>
      </c>
      <c r="K200" s="10" t="s">
        <v>478</v>
      </c>
      <c r="L200" s="10">
        <v>81260</v>
      </c>
      <c r="M200" s="10" t="s">
        <v>207</v>
      </c>
      <c r="N200" s="10" t="s">
        <v>699</v>
      </c>
      <c r="O200" s="19" t="s">
        <v>1</v>
      </c>
      <c r="P200" s="19" t="s">
        <v>700</v>
      </c>
      <c r="Q200" s="21"/>
      <c r="R200" s="20"/>
      <c r="S200" s="10" t="s">
        <v>40</v>
      </c>
      <c r="T200" s="10"/>
      <c r="U200" s="10"/>
      <c r="V200" s="10">
        <v>186</v>
      </c>
      <c r="W200" s="10">
        <v>186</v>
      </c>
      <c r="X200" s="10">
        <v>186</v>
      </c>
      <c r="Y200" s="10">
        <v>3.3</v>
      </c>
      <c r="Z200" s="10">
        <v>2</v>
      </c>
      <c r="AA200" s="10" t="s">
        <v>481</v>
      </c>
      <c r="AB200" s="22">
        <v>43949</v>
      </c>
      <c r="AC200" s="22">
        <v>43941</v>
      </c>
      <c r="AD200" s="22">
        <v>43949</v>
      </c>
      <c r="AE200" s="22">
        <v>43945</v>
      </c>
      <c r="AF200" s="22">
        <v>43945</v>
      </c>
      <c r="AG200" s="23" t="s">
        <v>482</v>
      </c>
      <c r="AH200" s="24">
        <v>1</v>
      </c>
      <c r="AI200" s="24">
        <v>1</v>
      </c>
      <c r="AJ200" s="24">
        <v>1</v>
      </c>
      <c r="AK200" s="23" t="s">
        <v>483</v>
      </c>
      <c r="AL200" s="10"/>
      <c r="AM200" s="10"/>
      <c r="AN200" s="10"/>
    </row>
    <row r="201" spans="2:40" ht="15" x14ac:dyDescent="0.2">
      <c r="B201" s="37">
        <v>268</v>
      </c>
      <c r="C201" s="16">
        <v>20200417</v>
      </c>
      <c r="D201" s="10" t="s">
        <v>476</v>
      </c>
      <c r="E201" s="10" t="s">
        <v>205</v>
      </c>
      <c r="F201" s="2" t="s">
        <v>703</v>
      </c>
      <c r="G201" s="19">
        <v>1424417</v>
      </c>
      <c r="H201" s="20" t="s">
        <v>1</v>
      </c>
      <c r="I201" s="15" t="s">
        <v>210</v>
      </c>
      <c r="J201" s="20" t="s">
        <v>1</v>
      </c>
      <c r="K201" s="10" t="s">
        <v>478</v>
      </c>
      <c r="L201" s="10">
        <v>81260</v>
      </c>
      <c r="M201" s="10" t="s">
        <v>207</v>
      </c>
      <c r="N201" s="10" t="s">
        <v>699</v>
      </c>
      <c r="O201" s="19" t="s">
        <v>1</v>
      </c>
      <c r="P201" s="19" t="s">
        <v>700</v>
      </c>
      <c r="Q201" s="21"/>
      <c r="R201" s="20"/>
      <c r="S201" s="10" t="s">
        <v>40</v>
      </c>
      <c r="T201" s="10"/>
      <c r="U201" s="10"/>
      <c r="V201" s="10">
        <v>18</v>
      </c>
      <c r="W201" s="10">
        <v>18</v>
      </c>
      <c r="X201" s="10">
        <v>18</v>
      </c>
      <c r="Y201" s="10">
        <v>0.32</v>
      </c>
      <c r="Z201" s="10">
        <v>0.12</v>
      </c>
      <c r="AA201" s="10" t="s">
        <v>481</v>
      </c>
      <c r="AB201" s="22">
        <v>43949</v>
      </c>
      <c r="AC201" s="22">
        <v>43941</v>
      </c>
      <c r="AD201" s="22">
        <v>43949</v>
      </c>
      <c r="AE201" s="22">
        <v>43948</v>
      </c>
      <c r="AF201" s="22">
        <v>43948</v>
      </c>
      <c r="AG201" s="23" t="s">
        <v>482</v>
      </c>
      <c r="AH201" s="24">
        <v>1</v>
      </c>
      <c r="AI201" s="24">
        <v>1</v>
      </c>
      <c r="AJ201" s="24">
        <v>1</v>
      </c>
      <c r="AK201" s="23" t="s">
        <v>483</v>
      </c>
      <c r="AL201" s="10"/>
      <c r="AM201" s="10"/>
      <c r="AN201" s="10"/>
    </row>
    <row r="202" spans="2:40" ht="15" x14ac:dyDescent="0.2">
      <c r="B202" s="37">
        <v>269</v>
      </c>
      <c r="C202" s="16">
        <v>20200417</v>
      </c>
      <c r="D202" s="10" t="s">
        <v>476</v>
      </c>
      <c r="E202" s="10" t="s">
        <v>205</v>
      </c>
      <c r="F202" s="2" t="s">
        <v>704</v>
      </c>
      <c r="G202" s="19">
        <v>1424417</v>
      </c>
      <c r="H202" s="20" t="s">
        <v>1</v>
      </c>
      <c r="I202" s="15" t="s">
        <v>190</v>
      </c>
      <c r="J202" s="20" t="s">
        <v>1</v>
      </c>
      <c r="K202" s="10" t="s">
        <v>478</v>
      </c>
      <c r="L202" s="10">
        <v>81260</v>
      </c>
      <c r="M202" s="10" t="s">
        <v>207</v>
      </c>
      <c r="N202" s="10" t="s">
        <v>699</v>
      </c>
      <c r="O202" s="19" t="s">
        <v>1</v>
      </c>
      <c r="P202" s="19" t="s">
        <v>700</v>
      </c>
      <c r="Q202" s="21"/>
      <c r="R202" s="20"/>
      <c r="S202" s="10" t="s">
        <v>40</v>
      </c>
      <c r="T202" s="10"/>
      <c r="U202" s="10"/>
      <c r="V202" s="10">
        <v>124</v>
      </c>
      <c r="W202" s="10">
        <v>124</v>
      </c>
      <c r="X202" s="10">
        <v>124</v>
      </c>
      <c r="Y202" s="10">
        <v>2.2000000000000002</v>
      </c>
      <c r="Z202" s="10">
        <v>1</v>
      </c>
      <c r="AA202" s="10" t="s">
        <v>481</v>
      </c>
      <c r="AB202" s="22">
        <v>43949</v>
      </c>
      <c r="AC202" s="22">
        <v>43941</v>
      </c>
      <c r="AD202" s="22">
        <v>43949</v>
      </c>
      <c r="AE202" s="22">
        <v>43948</v>
      </c>
      <c r="AF202" s="22">
        <v>43948</v>
      </c>
      <c r="AG202" s="23" t="s">
        <v>489</v>
      </c>
      <c r="AH202" s="24">
        <v>1</v>
      </c>
      <c r="AI202" s="24">
        <v>1</v>
      </c>
      <c r="AJ202" s="24">
        <v>0.5</v>
      </c>
      <c r="AK202" s="23" t="s">
        <v>490</v>
      </c>
      <c r="AL202" s="67" t="s">
        <v>705</v>
      </c>
      <c r="AM202" s="10"/>
      <c r="AN202" s="10" t="s">
        <v>492</v>
      </c>
    </row>
    <row r="203" spans="2:40" ht="15" x14ac:dyDescent="0.25">
      <c r="B203" s="37">
        <v>270</v>
      </c>
      <c r="C203" s="16">
        <v>20200417</v>
      </c>
      <c r="D203" s="10" t="s">
        <v>476</v>
      </c>
      <c r="E203" s="10" t="s">
        <v>205</v>
      </c>
      <c r="F203" s="2" t="s">
        <v>706</v>
      </c>
      <c r="G203" s="19">
        <v>1424417</v>
      </c>
      <c r="H203" s="20" t="s">
        <v>1</v>
      </c>
      <c r="I203" s="15" t="s">
        <v>191</v>
      </c>
      <c r="J203" s="20" t="s">
        <v>1</v>
      </c>
      <c r="K203" s="10" t="s">
        <v>478</v>
      </c>
      <c r="L203" s="10">
        <v>81260</v>
      </c>
      <c r="M203" s="10" t="s">
        <v>207</v>
      </c>
      <c r="N203" s="10" t="s">
        <v>699</v>
      </c>
      <c r="O203" s="19" t="s">
        <v>1</v>
      </c>
      <c r="P203" s="19" t="s">
        <v>700</v>
      </c>
      <c r="Q203" s="21"/>
      <c r="R203" s="20"/>
      <c r="S203" s="10" t="s">
        <v>40</v>
      </c>
      <c r="T203" s="10"/>
      <c r="U203" s="10"/>
      <c r="V203" s="10">
        <v>154</v>
      </c>
      <c r="W203" s="10">
        <v>154</v>
      </c>
      <c r="X203" s="10">
        <v>154</v>
      </c>
      <c r="Y203" s="10">
        <v>2.73</v>
      </c>
      <c r="Z203" s="10">
        <v>1</v>
      </c>
      <c r="AA203" s="10" t="s">
        <v>481</v>
      </c>
      <c r="AB203" s="22">
        <v>43949</v>
      </c>
      <c r="AC203" s="22">
        <v>43941</v>
      </c>
      <c r="AD203" s="22">
        <v>43949</v>
      </c>
      <c r="AE203" s="22">
        <v>43948</v>
      </c>
      <c r="AF203" s="22">
        <v>43948</v>
      </c>
      <c r="AG203" s="23" t="s">
        <v>489</v>
      </c>
      <c r="AH203" s="24">
        <v>0.93</v>
      </c>
      <c r="AI203" s="24">
        <v>0.8</v>
      </c>
      <c r="AJ203" s="24">
        <v>1</v>
      </c>
      <c r="AK203" s="23" t="s">
        <v>490</v>
      </c>
      <c r="AL203" s="68" t="s">
        <v>707</v>
      </c>
      <c r="AM203" s="10"/>
      <c r="AN203" s="10" t="s">
        <v>492</v>
      </c>
    </row>
    <row r="204" spans="2:40" ht="15" x14ac:dyDescent="0.2">
      <c r="B204" s="37">
        <v>271</v>
      </c>
      <c r="C204" s="16">
        <v>20200417</v>
      </c>
      <c r="D204" s="10" t="s">
        <v>476</v>
      </c>
      <c r="E204" s="10" t="s">
        <v>205</v>
      </c>
      <c r="F204" s="2" t="s">
        <v>708</v>
      </c>
      <c r="G204" s="19">
        <v>1424417</v>
      </c>
      <c r="H204" s="20" t="s">
        <v>1</v>
      </c>
      <c r="I204" s="15" t="s">
        <v>211</v>
      </c>
      <c r="J204" s="20" t="s">
        <v>1</v>
      </c>
      <c r="K204" s="10" t="s">
        <v>478</v>
      </c>
      <c r="L204" s="10">
        <v>81260</v>
      </c>
      <c r="M204" s="10" t="s">
        <v>207</v>
      </c>
      <c r="N204" s="10" t="s">
        <v>699</v>
      </c>
      <c r="O204" s="19" t="s">
        <v>1</v>
      </c>
      <c r="P204" s="19" t="s">
        <v>700</v>
      </c>
      <c r="Q204" s="21"/>
      <c r="R204" s="20"/>
      <c r="S204" s="10" t="s">
        <v>40</v>
      </c>
      <c r="T204" s="10"/>
      <c r="U204" s="10"/>
      <c r="V204" s="10">
        <v>135</v>
      </c>
      <c r="W204" s="10">
        <v>135</v>
      </c>
      <c r="X204" s="10">
        <v>135</v>
      </c>
      <c r="Y204" s="10">
        <v>2.4</v>
      </c>
      <c r="Z204" s="10">
        <v>1</v>
      </c>
      <c r="AA204" s="10" t="s">
        <v>481</v>
      </c>
      <c r="AB204" s="22">
        <v>43949</v>
      </c>
      <c r="AC204" s="22">
        <v>43941</v>
      </c>
      <c r="AD204" s="22">
        <v>43949</v>
      </c>
      <c r="AE204" s="22">
        <v>43948</v>
      </c>
      <c r="AF204" s="22">
        <v>43948</v>
      </c>
      <c r="AG204" s="23" t="s">
        <v>482</v>
      </c>
      <c r="AH204" s="24">
        <v>1</v>
      </c>
      <c r="AI204" s="24">
        <v>1</v>
      </c>
      <c r="AJ204" s="24">
        <v>1</v>
      </c>
      <c r="AK204" s="23" t="s">
        <v>483</v>
      </c>
      <c r="AL204" s="10"/>
      <c r="AM204" s="10"/>
      <c r="AN204" s="10"/>
    </row>
    <row r="205" spans="2:40" ht="15" x14ac:dyDescent="0.2">
      <c r="B205" s="37">
        <v>272</v>
      </c>
      <c r="C205" s="16">
        <v>20200417</v>
      </c>
      <c r="D205" s="10" t="s">
        <v>476</v>
      </c>
      <c r="E205" s="10" t="s">
        <v>205</v>
      </c>
      <c r="F205" s="2" t="s">
        <v>709</v>
      </c>
      <c r="G205" s="19">
        <v>1424417</v>
      </c>
      <c r="H205" s="20" t="s">
        <v>1</v>
      </c>
      <c r="I205" s="15" t="s">
        <v>212</v>
      </c>
      <c r="J205" s="20" t="s">
        <v>1</v>
      </c>
      <c r="K205" s="10" t="s">
        <v>478</v>
      </c>
      <c r="L205" s="10">
        <v>81260</v>
      </c>
      <c r="M205" s="10" t="s">
        <v>207</v>
      </c>
      <c r="N205" s="10" t="s">
        <v>699</v>
      </c>
      <c r="O205" s="19" t="s">
        <v>1</v>
      </c>
      <c r="P205" s="19" t="s">
        <v>700</v>
      </c>
      <c r="Q205" s="21"/>
      <c r="R205" s="20"/>
      <c r="S205" s="10" t="s">
        <v>24</v>
      </c>
      <c r="T205" s="10"/>
      <c r="U205" s="10"/>
      <c r="V205" s="10">
        <v>178</v>
      </c>
      <c r="W205" s="10">
        <v>178</v>
      </c>
      <c r="X205" s="10">
        <v>178</v>
      </c>
      <c r="Y205" s="10">
        <v>3.16</v>
      </c>
      <c r="Z205" s="10">
        <v>1</v>
      </c>
      <c r="AA205" s="10" t="s">
        <v>481</v>
      </c>
      <c r="AB205" s="22">
        <v>43949</v>
      </c>
      <c r="AC205" s="22">
        <v>43941</v>
      </c>
      <c r="AD205" s="22">
        <v>43949</v>
      </c>
      <c r="AE205" s="22">
        <v>43943</v>
      </c>
      <c r="AF205" s="22">
        <v>43943</v>
      </c>
      <c r="AG205" s="23" t="s">
        <v>482</v>
      </c>
      <c r="AH205" s="25" t="s">
        <v>1</v>
      </c>
      <c r="AI205" s="25" t="s">
        <v>1</v>
      </c>
      <c r="AJ205" s="25" t="s">
        <v>1</v>
      </c>
      <c r="AK205" s="23" t="s">
        <v>483</v>
      </c>
      <c r="AL205" s="10"/>
      <c r="AM205" s="10"/>
      <c r="AN205" s="10" t="s">
        <v>496</v>
      </c>
    </row>
    <row r="206" spans="2:40" ht="15" x14ac:dyDescent="0.2">
      <c r="B206" s="37">
        <v>273</v>
      </c>
      <c r="C206" s="16">
        <v>20200417</v>
      </c>
      <c r="D206" s="10" t="s">
        <v>476</v>
      </c>
      <c r="E206" s="10" t="s">
        <v>205</v>
      </c>
      <c r="F206" s="2" t="s">
        <v>710</v>
      </c>
      <c r="G206" s="19">
        <v>1424417</v>
      </c>
      <c r="H206" s="20" t="s">
        <v>1</v>
      </c>
      <c r="I206" s="15" t="s">
        <v>192</v>
      </c>
      <c r="J206" s="20" t="s">
        <v>1</v>
      </c>
      <c r="K206" s="10" t="s">
        <v>478</v>
      </c>
      <c r="L206" s="10">
        <v>81260</v>
      </c>
      <c r="M206" s="10" t="s">
        <v>207</v>
      </c>
      <c r="N206" s="10" t="s">
        <v>699</v>
      </c>
      <c r="O206" s="19" t="s">
        <v>1</v>
      </c>
      <c r="P206" s="19" t="s">
        <v>700</v>
      </c>
      <c r="Q206" s="21"/>
      <c r="R206" s="20"/>
      <c r="S206" s="10" t="s">
        <v>24</v>
      </c>
      <c r="T206" s="10"/>
      <c r="U206" s="10"/>
      <c r="V206" s="10">
        <v>71</v>
      </c>
      <c r="W206" s="10">
        <v>71</v>
      </c>
      <c r="X206" s="10">
        <v>71</v>
      </c>
      <c r="Y206" s="10">
        <v>1.26</v>
      </c>
      <c r="Z206" s="10">
        <v>1</v>
      </c>
      <c r="AA206" s="10" t="s">
        <v>481</v>
      </c>
      <c r="AB206" s="22">
        <v>43949</v>
      </c>
      <c r="AC206" s="22">
        <v>43941</v>
      </c>
      <c r="AD206" s="22">
        <v>43949</v>
      </c>
      <c r="AE206" s="22">
        <v>43943</v>
      </c>
      <c r="AF206" s="22">
        <v>43943</v>
      </c>
      <c r="AG206" s="23" t="s">
        <v>482</v>
      </c>
      <c r="AH206" s="24">
        <v>1</v>
      </c>
      <c r="AI206" s="24">
        <v>1</v>
      </c>
      <c r="AJ206" s="24">
        <v>1</v>
      </c>
      <c r="AK206" s="23" t="s">
        <v>483</v>
      </c>
      <c r="AL206" s="10"/>
      <c r="AM206" s="10"/>
      <c r="AN206" s="10"/>
    </row>
    <row r="207" spans="2:40" ht="15" x14ac:dyDescent="0.2">
      <c r="B207" s="37">
        <v>274</v>
      </c>
      <c r="C207" s="16">
        <v>20200417</v>
      </c>
      <c r="D207" s="10" t="s">
        <v>476</v>
      </c>
      <c r="E207" s="10" t="s">
        <v>205</v>
      </c>
      <c r="F207" s="2" t="s">
        <v>711</v>
      </c>
      <c r="G207" s="19">
        <v>1424417</v>
      </c>
      <c r="H207" s="20" t="s">
        <v>1</v>
      </c>
      <c r="I207" s="15" t="s">
        <v>213</v>
      </c>
      <c r="J207" s="20" t="s">
        <v>1</v>
      </c>
      <c r="K207" s="10" t="s">
        <v>478</v>
      </c>
      <c r="L207" s="10">
        <v>81260</v>
      </c>
      <c r="M207" s="10" t="s">
        <v>207</v>
      </c>
      <c r="N207" s="10" t="s">
        <v>699</v>
      </c>
      <c r="O207" s="19" t="s">
        <v>1</v>
      </c>
      <c r="P207" s="19" t="s">
        <v>700</v>
      </c>
      <c r="Q207" s="21"/>
      <c r="R207" s="20"/>
      <c r="S207" s="10" t="s">
        <v>24</v>
      </c>
      <c r="T207" s="10"/>
      <c r="U207" s="10"/>
      <c r="V207" s="10">
        <v>326</v>
      </c>
      <c r="W207" s="10">
        <v>326</v>
      </c>
      <c r="X207" s="10">
        <v>326</v>
      </c>
      <c r="Y207" s="10">
        <v>5.79</v>
      </c>
      <c r="Z207" s="10">
        <v>1</v>
      </c>
      <c r="AA207" s="10" t="s">
        <v>481</v>
      </c>
      <c r="AB207" s="22">
        <v>43949</v>
      </c>
      <c r="AC207" s="22">
        <v>43941</v>
      </c>
      <c r="AD207" s="22">
        <v>43949</v>
      </c>
      <c r="AE207" s="22">
        <v>43943</v>
      </c>
      <c r="AF207" s="22">
        <v>43943</v>
      </c>
      <c r="AG207" s="23" t="s">
        <v>482</v>
      </c>
      <c r="AH207" s="24">
        <v>1</v>
      </c>
      <c r="AI207" s="24">
        <v>1</v>
      </c>
      <c r="AJ207" s="24">
        <v>1</v>
      </c>
      <c r="AK207" s="23" t="s">
        <v>483</v>
      </c>
      <c r="AL207" s="10"/>
      <c r="AM207" s="10"/>
      <c r="AN207" s="10"/>
    </row>
    <row r="208" spans="2:40" ht="15" x14ac:dyDescent="0.2">
      <c r="B208" s="37">
        <v>275</v>
      </c>
      <c r="C208" s="16">
        <v>20200417</v>
      </c>
      <c r="D208" s="10" t="s">
        <v>476</v>
      </c>
      <c r="E208" s="10" t="s">
        <v>205</v>
      </c>
      <c r="F208" s="2" t="s">
        <v>712</v>
      </c>
      <c r="G208" s="19">
        <v>1424417</v>
      </c>
      <c r="H208" s="20" t="s">
        <v>1</v>
      </c>
      <c r="I208" s="15" t="s">
        <v>214</v>
      </c>
      <c r="J208" s="20" t="s">
        <v>1</v>
      </c>
      <c r="K208" s="10" t="s">
        <v>478</v>
      </c>
      <c r="L208" s="10">
        <v>81260</v>
      </c>
      <c r="M208" s="10" t="s">
        <v>207</v>
      </c>
      <c r="N208" s="10" t="s">
        <v>699</v>
      </c>
      <c r="O208" s="19" t="s">
        <v>1</v>
      </c>
      <c r="P208" s="19" t="s">
        <v>700</v>
      </c>
      <c r="Q208" s="21"/>
      <c r="R208" s="20"/>
      <c r="S208" s="10" t="s">
        <v>24</v>
      </c>
      <c r="T208" s="10"/>
      <c r="U208" s="10"/>
      <c r="V208" s="10">
        <v>112</v>
      </c>
      <c r="W208" s="10">
        <v>112</v>
      </c>
      <c r="X208" s="10">
        <v>112</v>
      </c>
      <c r="Y208" s="10">
        <v>1.99</v>
      </c>
      <c r="Z208" s="10">
        <v>1</v>
      </c>
      <c r="AA208" s="10" t="s">
        <v>481</v>
      </c>
      <c r="AB208" s="22">
        <v>43949</v>
      </c>
      <c r="AC208" s="22">
        <v>43941</v>
      </c>
      <c r="AD208" s="22">
        <v>43949</v>
      </c>
      <c r="AE208" s="22">
        <v>43943</v>
      </c>
      <c r="AF208" s="22">
        <v>43943</v>
      </c>
      <c r="AG208" s="23" t="s">
        <v>482</v>
      </c>
      <c r="AH208" s="24">
        <v>1</v>
      </c>
      <c r="AI208" s="24">
        <v>1</v>
      </c>
      <c r="AJ208" s="24">
        <v>1</v>
      </c>
      <c r="AK208" s="23" t="s">
        <v>483</v>
      </c>
      <c r="AL208" s="10"/>
      <c r="AM208" s="10"/>
      <c r="AN208" s="10"/>
    </row>
    <row r="209" spans="2:40" ht="15" x14ac:dyDescent="0.2">
      <c r="B209" s="37">
        <v>276</v>
      </c>
      <c r="C209" s="16">
        <v>20200417</v>
      </c>
      <c r="D209" s="10" t="s">
        <v>476</v>
      </c>
      <c r="E209" s="10" t="s">
        <v>205</v>
      </c>
      <c r="F209" s="2" t="s">
        <v>713</v>
      </c>
      <c r="G209" s="19">
        <v>1424417</v>
      </c>
      <c r="H209" s="20" t="s">
        <v>1</v>
      </c>
      <c r="I209" s="15" t="s">
        <v>215</v>
      </c>
      <c r="J209" s="20" t="s">
        <v>1</v>
      </c>
      <c r="K209" s="10" t="s">
        <v>478</v>
      </c>
      <c r="L209" s="10">
        <v>81260</v>
      </c>
      <c r="M209" s="10" t="s">
        <v>207</v>
      </c>
      <c r="N209" s="10" t="s">
        <v>699</v>
      </c>
      <c r="O209" s="19" t="s">
        <v>1</v>
      </c>
      <c r="P209" s="19" t="s">
        <v>700</v>
      </c>
      <c r="Q209" s="21"/>
      <c r="R209" s="20"/>
      <c r="S209" s="10" t="s">
        <v>24</v>
      </c>
      <c r="T209" s="10"/>
      <c r="U209" s="10"/>
      <c r="V209" s="10">
        <v>135</v>
      </c>
      <c r="W209" s="10">
        <v>135</v>
      </c>
      <c r="X209" s="10">
        <v>135</v>
      </c>
      <c r="Y209" s="10">
        <v>2.4</v>
      </c>
      <c r="Z209" s="10">
        <v>1</v>
      </c>
      <c r="AA209" s="10" t="s">
        <v>481</v>
      </c>
      <c r="AB209" s="22">
        <v>43949</v>
      </c>
      <c r="AC209" s="22">
        <v>43941</v>
      </c>
      <c r="AD209" s="22">
        <v>43949</v>
      </c>
      <c r="AE209" s="22">
        <v>43943</v>
      </c>
      <c r="AF209" s="22">
        <v>43943</v>
      </c>
      <c r="AG209" s="23" t="s">
        <v>489</v>
      </c>
      <c r="AH209" s="24">
        <v>1</v>
      </c>
      <c r="AI209" s="24">
        <v>0.9</v>
      </c>
      <c r="AJ209" s="24">
        <v>0.5</v>
      </c>
      <c r="AK209" s="23" t="s">
        <v>490</v>
      </c>
      <c r="AL209" s="10" t="s">
        <v>714</v>
      </c>
      <c r="AM209" s="10"/>
      <c r="AN209" s="10" t="s">
        <v>492</v>
      </c>
    </row>
    <row r="210" spans="2:40" ht="15" x14ac:dyDescent="0.2">
      <c r="B210" s="69">
        <v>277</v>
      </c>
      <c r="C210" s="16">
        <v>20200420</v>
      </c>
      <c r="D210" s="10" t="s">
        <v>476</v>
      </c>
      <c r="E210" s="10" t="s">
        <v>216</v>
      </c>
      <c r="F210" s="2" t="s">
        <v>715</v>
      </c>
      <c r="G210" s="19">
        <v>1426302</v>
      </c>
      <c r="H210" s="20" t="s">
        <v>1</v>
      </c>
      <c r="I210" s="15" t="s">
        <v>217</v>
      </c>
      <c r="J210" s="20" t="s">
        <v>1</v>
      </c>
      <c r="K210" s="1" t="s">
        <v>548</v>
      </c>
      <c r="L210" s="10">
        <v>99180</v>
      </c>
      <c r="M210" s="10" t="s">
        <v>218</v>
      </c>
      <c r="N210" s="10" t="s">
        <v>716</v>
      </c>
      <c r="O210" s="19" t="s">
        <v>1</v>
      </c>
      <c r="P210" s="19" t="s">
        <v>717</v>
      </c>
      <c r="Q210" s="21"/>
      <c r="R210" s="20"/>
      <c r="S210" s="10" t="s">
        <v>219</v>
      </c>
      <c r="T210" s="10"/>
      <c r="U210" s="10"/>
      <c r="V210" s="10">
        <v>260</v>
      </c>
      <c r="W210" s="10">
        <v>260</v>
      </c>
      <c r="X210" s="10">
        <v>260</v>
      </c>
      <c r="Y210" s="10">
        <v>4.62</v>
      </c>
      <c r="Z210" s="10">
        <v>2</v>
      </c>
      <c r="AA210" s="10" t="s">
        <v>481</v>
      </c>
      <c r="AB210" s="22">
        <v>43948</v>
      </c>
      <c r="AC210" s="22">
        <v>43941</v>
      </c>
      <c r="AD210" s="22">
        <v>43950</v>
      </c>
      <c r="AE210" s="22">
        <v>43948</v>
      </c>
      <c r="AF210" s="22">
        <v>43948</v>
      </c>
      <c r="AG210" s="23" t="s">
        <v>482</v>
      </c>
      <c r="AH210" s="24">
        <v>1</v>
      </c>
      <c r="AI210" s="24">
        <v>1</v>
      </c>
      <c r="AJ210" s="24">
        <v>1</v>
      </c>
      <c r="AK210" s="23" t="s">
        <v>483</v>
      </c>
      <c r="AL210" s="10"/>
      <c r="AM210" s="10"/>
      <c r="AN210" s="10"/>
    </row>
    <row r="211" spans="2:40" ht="15" x14ac:dyDescent="0.2">
      <c r="B211" s="69">
        <v>278</v>
      </c>
      <c r="C211" s="16">
        <v>20200420</v>
      </c>
      <c r="D211" s="10" t="s">
        <v>476</v>
      </c>
      <c r="E211" s="10" t="s">
        <v>216</v>
      </c>
      <c r="F211" s="2" t="s">
        <v>718</v>
      </c>
      <c r="G211" s="19">
        <v>1426302</v>
      </c>
      <c r="H211" s="20" t="s">
        <v>1</v>
      </c>
      <c r="I211" s="15" t="s">
        <v>220</v>
      </c>
      <c r="J211" s="20" t="s">
        <v>1</v>
      </c>
      <c r="K211" s="1" t="s">
        <v>548</v>
      </c>
      <c r="L211" s="10">
        <v>99180</v>
      </c>
      <c r="M211" s="10" t="s">
        <v>218</v>
      </c>
      <c r="N211" s="10" t="s">
        <v>716</v>
      </c>
      <c r="O211" s="19" t="s">
        <v>1</v>
      </c>
      <c r="P211" s="19" t="s">
        <v>717</v>
      </c>
      <c r="Q211" s="21"/>
      <c r="R211" s="20"/>
      <c r="S211" s="10" t="s">
        <v>219</v>
      </c>
      <c r="T211" s="10"/>
      <c r="U211" s="10"/>
      <c r="V211" s="10">
        <v>330</v>
      </c>
      <c r="W211" s="10">
        <v>330</v>
      </c>
      <c r="X211" s="10">
        <v>330</v>
      </c>
      <c r="Y211" s="10">
        <v>5.86</v>
      </c>
      <c r="Z211" s="10">
        <v>1</v>
      </c>
      <c r="AA211" s="10" t="s">
        <v>481</v>
      </c>
      <c r="AB211" s="22">
        <v>43948</v>
      </c>
      <c r="AC211" s="22">
        <v>43941</v>
      </c>
      <c r="AD211" s="22">
        <v>43950</v>
      </c>
      <c r="AE211" s="22">
        <v>43948</v>
      </c>
      <c r="AF211" s="22">
        <v>43948</v>
      </c>
      <c r="AG211" s="23" t="s">
        <v>482</v>
      </c>
      <c r="AH211" s="24">
        <v>1</v>
      </c>
      <c r="AI211" s="24">
        <v>1</v>
      </c>
      <c r="AJ211" s="24">
        <v>1</v>
      </c>
      <c r="AK211" s="23" t="s">
        <v>483</v>
      </c>
      <c r="AL211" s="10"/>
      <c r="AM211" s="10"/>
      <c r="AN211" s="10"/>
    </row>
    <row r="212" spans="2:40" ht="15" x14ac:dyDescent="0.2">
      <c r="B212" s="69">
        <v>279</v>
      </c>
      <c r="C212" s="16">
        <v>20200420</v>
      </c>
      <c r="D212" s="10" t="s">
        <v>476</v>
      </c>
      <c r="E212" s="10" t="s">
        <v>156</v>
      </c>
      <c r="F212" s="2" t="s">
        <v>719</v>
      </c>
      <c r="G212" s="19">
        <v>1425475</v>
      </c>
      <c r="H212" s="20" t="s">
        <v>1</v>
      </c>
      <c r="I212" s="15" t="s">
        <v>221</v>
      </c>
      <c r="J212" s="20" t="s">
        <v>1</v>
      </c>
      <c r="K212" s="1" t="s">
        <v>548</v>
      </c>
      <c r="L212" s="10" t="s">
        <v>720</v>
      </c>
      <c r="M212" s="10" t="s">
        <v>158</v>
      </c>
      <c r="N212" s="10" t="s">
        <v>629</v>
      </c>
      <c r="O212" s="19" t="s">
        <v>1</v>
      </c>
      <c r="P212" s="19" t="s">
        <v>721</v>
      </c>
      <c r="Q212" s="21"/>
      <c r="R212" s="20"/>
      <c r="S212" s="10" t="s">
        <v>219</v>
      </c>
      <c r="T212" s="10"/>
      <c r="U212" s="10"/>
      <c r="V212" s="10">
        <v>83</v>
      </c>
      <c r="W212" s="10">
        <v>83</v>
      </c>
      <c r="X212" s="10">
        <v>83</v>
      </c>
      <c r="Y212" s="10">
        <v>1.47</v>
      </c>
      <c r="Z212" s="10">
        <v>1</v>
      </c>
      <c r="AA212" s="10" t="s">
        <v>481</v>
      </c>
      <c r="AB212" s="22">
        <v>43948</v>
      </c>
      <c r="AC212" s="22">
        <v>43941</v>
      </c>
      <c r="AD212" s="22">
        <v>43950</v>
      </c>
      <c r="AE212" s="22">
        <v>43948</v>
      </c>
      <c r="AF212" s="22">
        <v>43948</v>
      </c>
      <c r="AG212" s="23" t="s">
        <v>482</v>
      </c>
      <c r="AH212" s="24">
        <v>1</v>
      </c>
      <c r="AI212" s="24">
        <v>1</v>
      </c>
      <c r="AJ212" s="24">
        <v>1</v>
      </c>
      <c r="AK212" s="23" t="s">
        <v>483</v>
      </c>
      <c r="AL212" s="10"/>
      <c r="AM212" s="10"/>
      <c r="AN212" s="10"/>
    </row>
    <row r="213" spans="2:40" ht="15" x14ac:dyDescent="0.2">
      <c r="B213" s="69">
        <v>280</v>
      </c>
      <c r="C213" s="16">
        <v>20200420</v>
      </c>
      <c r="D213" s="10" t="s">
        <v>476</v>
      </c>
      <c r="E213" s="10" t="s">
        <v>156</v>
      </c>
      <c r="F213" s="2" t="s">
        <v>722</v>
      </c>
      <c r="G213" s="19">
        <v>1425475</v>
      </c>
      <c r="H213" s="20" t="s">
        <v>1</v>
      </c>
      <c r="I213" s="15" t="s">
        <v>221</v>
      </c>
      <c r="J213" s="20" t="s">
        <v>1</v>
      </c>
      <c r="K213" s="1" t="s">
        <v>548</v>
      </c>
      <c r="L213" s="10" t="s">
        <v>720</v>
      </c>
      <c r="M213" s="10" t="s">
        <v>158</v>
      </c>
      <c r="N213" s="10" t="s">
        <v>629</v>
      </c>
      <c r="O213" s="19" t="s">
        <v>1</v>
      </c>
      <c r="P213" s="19" t="s">
        <v>721</v>
      </c>
      <c r="Q213" s="21"/>
      <c r="R213" s="20"/>
      <c r="S213" s="10" t="s">
        <v>219</v>
      </c>
      <c r="T213" s="10"/>
      <c r="U213" s="10"/>
      <c r="V213" s="10">
        <v>80</v>
      </c>
      <c r="W213" s="10">
        <v>80</v>
      </c>
      <c r="X213" s="10">
        <v>80</v>
      </c>
      <c r="Y213" s="10">
        <v>1.42</v>
      </c>
      <c r="Z213" s="10">
        <v>1</v>
      </c>
      <c r="AA213" s="10" t="s">
        <v>481</v>
      </c>
      <c r="AB213" s="22">
        <v>43948</v>
      </c>
      <c r="AC213" s="22">
        <v>43941</v>
      </c>
      <c r="AD213" s="22">
        <v>43950</v>
      </c>
      <c r="AE213" s="22">
        <v>43948</v>
      </c>
      <c r="AF213" s="22">
        <v>43948</v>
      </c>
      <c r="AG213" s="23" t="s">
        <v>482</v>
      </c>
      <c r="AH213" s="24">
        <v>1</v>
      </c>
      <c r="AI213" s="24">
        <v>1</v>
      </c>
      <c r="AJ213" s="24">
        <v>1</v>
      </c>
      <c r="AK213" s="23" t="s">
        <v>483</v>
      </c>
      <c r="AL213" s="10"/>
      <c r="AM213" s="10"/>
      <c r="AN213" s="10"/>
    </row>
    <row r="214" spans="2:40" ht="15" x14ac:dyDescent="0.2">
      <c r="B214" s="69">
        <v>281</v>
      </c>
      <c r="C214" s="16">
        <v>20200420</v>
      </c>
      <c r="D214" s="10" t="s">
        <v>476</v>
      </c>
      <c r="E214" s="10" t="s">
        <v>156</v>
      </c>
      <c r="F214" s="2" t="s">
        <v>723</v>
      </c>
      <c r="G214" s="19">
        <v>1425475</v>
      </c>
      <c r="H214" s="20" t="s">
        <v>1</v>
      </c>
      <c r="I214" s="15" t="s">
        <v>221</v>
      </c>
      <c r="J214" s="20" t="s">
        <v>1</v>
      </c>
      <c r="K214" s="1" t="s">
        <v>548</v>
      </c>
      <c r="L214" s="10" t="s">
        <v>720</v>
      </c>
      <c r="M214" s="10" t="s">
        <v>158</v>
      </c>
      <c r="N214" s="10" t="s">
        <v>629</v>
      </c>
      <c r="O214" s="19" t="s">
        <v>1</v>
      </c>
      <c r="P214" s="19" t="s">
        <v>721</v>
      </c>
      <c r="Q214" s="21"/>
      <c r="R214" s="20"/>
      <c r="S214" s="10" t="s">
        <v>219</v>
      </c>
      <c r="T214" s="10"/>
      <c r="U214" s="10"/>
      <c r="V214" s="10">
        <v>59</v>
      </c>
      <c r="W214" s="10">
        <v>59</v>
      </c>
      <c r="X214" s="10">
        <v>59</v>
      </c>
      <c r="Y214" s="10">
        <v>1.04</v>
      </c>
      <c r="Z214" s="10">
        <v>1</v>
      </c>
      <c r="AA214" s="10" t="s">
        <v>481</v>
      </c>
      <c r="AB214" s="22">
        <v>43948</v>
      </c>
      <c r="AC214" s="22">
        <v>43941</v>
      </c>
      <c r="AD214" s="22">
        <v>43950</v>
      </c>
      <c r="AE214" s="22">
        <v>43948</v>
      </c>
      <c r="AF214" s="22">
        <v>43948</v>
      </c>
      <c r="AG214" s="23" t="s">
        <v>482</v>
      </c>
      <c r="AH214" s="24">
        <v>1</v>
      </c>
      <c r="AI214" s="24">
        <v>1</v>
      </c>
      <c r="AJ214" s="24">
        <v>1</v>
      </c>
      <c r="AK214" s="23" t="s">
        <v>483</v>
      </c>
      <c r="AL214" s="10"/>
      <c r="AM214" s="10"/>
      <c r="AN214" s="10"/>
    </row>
    <row r="215" spans="2:40" ht="15" x14ac:dyDescent="0.2">
      <c r="B215" s="69">
        <v>282</v>
      </c>
      <c r="C215" s="16">
        <v>20200420</v>
      </c>
      <c r="D215" s="10" t="s">
        <v>476</v>
      </c>
      <c r="E215" s="10" t="s">
        <v>156</v>
      </c>
      <c r="F215" s="2" t="s">
        <v>724</v>
      </c>
      <c r="G215" s="19">
        <v>1425475</v>
      </c>
      <c r="H215" s="20" t="s">
        <v>1</v>
      </c>
      <c r="I215" s="15" t="s">
        <v>221</v>
      </c>
      <c r="J215" s="20" t="s">
        <v>1</v>
      </c>
      <c r="K215" s="1" t="s">
        <v>548</v>
      </c>
      <c r="L215" s="10" t="s">
        <v>720</v>
      </c>
      <c r="M215" s="10" t="s">
        <v>158</v>
      </c>
      <c r="N215" s="10" t="s">
        <v>629</v>
      </c>
      <c r="O215" s="19" t="s">
        <v>1</v>
      </c>
      <c r="P215" s="19" t="s">
        <v>721</v>
      </c>
      <c r="Q215" s="21"/>
      <c r="R215" s="20"/>
      <c r="S215" s="10" t="s">
        <v>219</v>
      </c>
      <c r="T215" s="10"/>
      <c r="U215" s="10"/>
      <c r="V215" s="10">
        <v>84</v>
      </c>
      <c r="W215" s="10">
        <v>84</v>
      </c>
      <c r="X215" s="10">
        <v>84</v>
      </c>
      <c r="Y215" s="10">
        <v>1.49</v>
      </c>
      <c r="Z215" s="10">
        <v>1</v>
      </c>
      <c r="AA215" s="10" t="s">
        <v>481</v>
      </c>
      <c r="AB215" s="22">
        <v>43948</v>
      </c>
      <c r="AC215" s="22">
        <v>43941</v>
      </c>
      <c r="AD215" s="22">
        <v>43950</v>
      </c>
      <c r="AE215" s="22">
        <v>43948</v>
      </c>
      <c r="AF215" s="22">
        <v>43948</v>
      </c>
      <c r="AG215" s="23" t="s">
        <v>482</v>
      </c>
      <c r="AH215" s="24">
        <v>1</v>
      </c>
      <c r="AI215" s="24">
        <v>1</v>
      </c>
      <c r="AJ215" s="24">
        <v>1</v>
      </c>
      <c r="AK215" s="23" t="s">
        <v>483</v>
      </c>
      <c r="AL215" s="10"/>
      <c r="AM215" s="10"/>
      <c r="AN215" s="10"/>
    </row>
    <row r="216" spans="2:40" ht="15" x14ac:dyDescent="0.2">
      <c r="B216" s="69">
        <v>283</v>
      </c>
      <c r="C216" s="16">
        <v>20200420</v>
      </c>
      <c r="D216" s="10" t="s">
        <v>476</v>
      </c>
      <c r="E216" s="10" t="s">
        <v>222</v>
      </c>
      <c r="F216" s="2" t="s">
        <v>725</v>
      </c>
      <c r="G216" s="19">
        <v>1420442</v>
      </c>
      <c r="H216" s="20" t="s">
        <v>1</v>
      </c>
      <c r="I216" s="15" t="s">
        <v>223</v>
      </c>
      <c r="J216" s="20" t="s">
        <v>1</v>
      </c>
      <c r="K216" s="1" t="s">
        <v>548</v>
      </c>
      <c r="L216" s="10">
        <v>81770</v>
      </c>
      <c r="M216" s="10" t="s">
        <v>224</v>
      </c>
      <c r="N216" s="10" t="s">
        <v>726</v>
      </c>
      <c r="O216" s="19" t="s">
        <v>1</v>
      </c>
      <c r="P216" s="19" t="s">
        <v>727</v>
      </c>
      <c r="Q216" s="21"/>
      <c r="R216" s="20"/>
      <c r="S216" s="10" t="s">
        <v>219</v>
      </c>
      <c r="T216" s="10"/>
      <c r="U216" s="10"/>
      <c r="V216" s="10">
        <v>188</v>
      </c>
      <c r="W216" s="10">
        <v>188</v>
      </c>
      <c r="X216" s="10">
        <v>188</v>
      </c>
      <c r="Y216" s="10">
        <v>3.34</v>
      </c>
      <c r="Z216" s="10">
        <v>0.5</v>
      </c>
      <c r="AA216" s="10" t="s">
        <v>481</v>
      </c>
      <c r="AB216" s="22">
        <v>43948</v>
      </c>
      <c r="AC216" s="22">
        <v>43941</v>
      </c>
      <c r="AD216" s="22">
        <v>43950</v>
      </c>
      <c r="AE216" s="22">
        <v>43943</v>
      </c>
      <c r="AF216" s="22">
        <v>43943</v>
      </c>
      <c r="AG216" s="23" t="s">
        <v>482</v>
      </c>
      <c r="AH216" s="25" t="s">
        <v>1</v>
      </c>
      <c r="AI216" s="25" t="s">
        <v>1</v>
      </c>
      <c r="AJ216" s="25" t="s">
        <v>1</v>
      </c>
      <c r="AK216" s="23" t="s">
        <v>483</v>
      </c>
      <c r="AL216" s="10"/>
      <c r="AM216" s="10"/>
      <c r="AN216" s="10" t="s">
        <v>496</v>
      </c>
    </row>
    <row r="217" spans="2:40" ht="15" x14ac:dyDescent="0.2">
      <c r="B217" s="69">
        <v>284</v>
      </c>
      <c r="C217" s="16">
        <v>20200420</v>
      </c>
      <c r="D217" s="10" t="s">
        <v>476</v>
      </c>
      <c r="E217" s="10" t="s">
        <v>222</v>
      </c>
      <c r="F217" s="2" t="s">
        <v>728</v>
      </c>
      <c r="G217" s="19">
        <v>1420442</v>
      </c>
      <c r="H217" s="20" t="s">
        <v>1</v>
      </c>
      <c r="I217" s="15" t="s">
        <v>225</v>
      </c>
      <c r="J217" s="20" t="s">
        <v>1</v>
      </c>
      <c r="K217" s="1" t="s">
        <v>548</v>
      </c>
      <c r="L217" s="10">
        <v>81770</v>
      </c>
      <c r="M217" s="10" t="s">
        <v>224</v>
      </c>
      <c r="N217" s="10" t="s">
        <v>726</v>
      </c>
      <c r="O217" s="19" t="s">
        <v>1</v>
      </c>
      <c r="P217" s="19" t="s">
        <v>727</v>
      </c>
      <c r="Q217" s="21"/>
      <c r="R217" s="20"/>
      <c r="S217" s="10" t="s">
        <v>219</v>
      </c>
      <c r="T217" s="10"/>
      <c r="U217" s="10"/>
      <c r="V217" s="10">
        <v>1141</v>
      </c>
      <c r="W217" s="10">
        <v>1141</v>
      </c>
      <c r="X217" s="10">
        <v>1141</v>
      </c>
      <c r="Y217" s="10">
        <v>20.28</v>
      </c>
      <c r="Z217" s="10">
        <v>3</v>
      </c>
      <c r="AA217" s="10" t="s">
        <v>481</v>
      </c>
      <c r="AB217" s="22">
        <v>43948</v>
      </c>
      <c r="AC217" s="22">
        <v>43941</v>
      </c>
      <c r="AD217" s="22">
        <v>43950</v>
      </c>
      <c r="AE217" s="22">
        <v>43943</v>
      </c>
      <c r="AF217" s="22">
        <v>43943</v>
      </c>
      <c r="AG217" s="23" t="s">
        <v>482</v>
      </c>
      <c r="AH217" s="24">
        <v>1</v>
      </c>
      <c r="AI217" s="24">
        <v>1</v>
      </c>
      <c r="AJ217" s="24">
        <v>1</v>
      </c>
      <c r="AK217" s="23" t="s">
        <v>483</v>
      </c>
      <c r="AL217" s="10"/>
      <c r="AM217" s="10"/>
      <c r="AN217" s="10"/>
    </row>
    <row r="218" spans="2:40" ht="15" x14ac:dyDescent="0.2">
      <c r="B218" s="69">
        <v>285</v>
      </c>
      <c r="C218" s="16">
        <v>20200420</v>
      </c>
      <c r="D218" s="10" t="s">
        <v>476</v>
      </c>
      <c r="E218" s="10" t="s">
        <v>226</v>
      </c>
      <c r="F218" s="2" t="s">
        <v>729</v>
      </c>
      <c r="G218" s="19">
        <v>1404793</v>
      </c>
      <c r="H218" s="20" t="s">
        <v>1</v>
      </c>
      <c r="I218" s="15" t="s">
        <v>227</v>
      </c>
      <c r="J218" s="20" t="s">
        <v>1</v>
      </c>
      <c r="K218" s="1" t="s">
        <v>548</v>
      </c>
      <c r="L218" s="10" t="s">
        <v>483</v>
      </c>
      <c r="M218" s="10" t="s">
        <v>228</v>
      </c>
      <c r="N218" s="10" t="s">
        <v>575</v>
      </c>
      <c r="O218" s="19" t="s">
        <v>1</v>
      </c>
      <c r="P218" s="19" t="s">
        <v>576</v>
      </c>
      <c r="Q218" s="21"/>
      <c r="R218" s="20"/>
      <c r="S218" s="10" t="s">
        <v>219</v>
      </c>
      <c r="T218" s="10"/>
      <c r="U218" s="10"/>
      <c r="V218" s="10">
        <v>574</v>
      </c>
      <c r="W218" s="10">
        <v>574</v>
      </c>
      <c r="X218" s="10">
        <v>574</v>
      </c>
      <c r="Y218" s="10">
        <v>10.199999999999999</v>
      </c>
      <c r="Z218" s="10">
        <v>8</v>
      </c>
      <c r="AA218" s="10" t="s">
        <v>481</v>
      </c>
      <c r="AB218" s="22">
        <v>43948</v>
      </c>
      <c r="AC218" s="22">
        <v>43941</v>
      </c>
      <c r="AD218" s="22">
        <v>43950</v>
      </c>
      <c r="AE218" s="22">
        <v>43945</v>
      </c>
      <c r="AF218" s="22">
        <v>43945</v>
      </c>
      <c r="AG218" s="23" t="s">
        <v>482</v>
      </c>
      <c r="AH218" s="24">
        <v>1</v>
      </c>
      <c r="AI218" s="24">
        <v>1</v>
      </c>
      <c r="AJ218" s="24">
        <v>1</v>
      </c>
      <c r="AK218" s="23" t="s">
        <v>483</v>
      </c>
      <c r="AL218" s="10"/>
      <c r="AM218" s="10"/>
      <c r="AN218" s="10"/>
    </row>
    <row r="219" spans="2:40" ht="15" x14ac:dyDescent="0.2">
      <c r="B219" s="69">
        <v>286</v>
      </c>
      <c r="C219" s="16">
        <v>20200420</v>
      </c>
      <c r="D219" s="10" t="s">
        <v>476</v>
      </c>
      <c r="E219" s="10" t="s">
        <v>226</v>
      </c>
      <c r="F219" s="2" t="s">
        <v>730</v>
      </c>
      <c r="G219" s="19">
        <v>1404793</v>
      </c>
      <c r="H219" s="20" t="s">
        <v>1</v>
      </c>
      <c r="I219" s="15" t="s">
        <v>229</v>
      </c>
      <c r="J219" s="20" t="s">
        <v>1</v>
      </c>
      <c r="K219" s="1" t="s">
        <v>548</v>
      </c>
      <c r="L219" s="10" t="s">
        <v>483</v>
      </c>
      <c r="M219" s="10" t="s">
        <v>228</v>
      </c>
      <c r="N219" s="10" t="s">
        <v>575</v>
      </c>
      <c r="O219" s="19" t="s">
        <v>1</v>
      </c>
      <c r="P219" s="19" t="s">
        <v>576</v>
      </c>
      <c r="Q219" s="21"/>
      <c r="R219" s="20"/>
      <c r="S219" s="10" t="s">
        <v>219</v>
      </c>
      <c r="T219" s="10"/>
      <c r="U219" s="10"/>
      <c r="V219" s="10">
        <v>33</v>
      </c>
      <c r="W219" s="10">
        <v>33</v>
      </c>
      <c r="X219" s="10">
        <v>33</v>
      </c>
      <c r="Y219" s="10">
        <v>0.57999999999999996</v>
      </c>
      <c r="Z219" s="10">
        <v>1</v>
      </c>
      <c r="AA219" s="10" t="s">
        <v>481</v>
      </c>
      <c r="AB219" s="22">
        <v>43948</v>
      </c>
      <c r="AC219" s="22">
        <v>43941</v>
      </c>
      <c r="AD219" s="22">
        <v>43950</v>
      </c>
      <c r="AE219" s="22">
        <v>43944</v>
      </c>
      <c r="AF219" s="22">
        <v>43944</v>
      </c>
      <c r="AG219" s="23" t="s">
        <v>482</v>
      </c>
      <c r="AH219" s="24">
        <v>1</v>
      </c>
      <c r="AI219" s="24">
        <v>1</v>
      </c>
      <c r="AJ219" s="24">
        <v>1</v>
      </c>
      <c r="AK219" s="23" t="s">
        <v>483</v>
      </c>
      <c r="AL219" s="10"/>
      <c r="AM219" s="10"/>
      <c r="AN219" s="10"/>
    </row>
    <row r="220" spans="2:40" ht="15" x14ac:dyDescent="0.2">
      <c r="B220" s="69">
        <v>287</v>
      </c>
      <c r="C220" s="16">
        <v>20200420</v>
      </c>
      <c r="D220" s="10" t="s">
        <v>476</v>
      </c>
      <c r="E220" s="10" t="s">
        <v>226</v>
      </c>
      <c r="F220" s="2" t="s">
        <v>731</v>
      </c>
      <c r="G220" s="19">
        <v>1404793</v>
      </c>
      <c r="H220" s="20" t="s">
        <v>1</v>
      </c>
      <c r="I220" s="15" t="s">
        <v>230</v>
      </c>
      <c r="J220" s="20" t="s">
        <v>1</v>
      </c>
      <c r="K220" s="1" t="s">
        <v>548</v>
      </c>
      <c r="L220" s="10" t="s">
        <v>483</v>
      </c>
      <c r="M220" s="10" t="s">
        <v>228</v>
      </c>
      <c r="N220" s="10" t="s">
        <v>575</v>
      </c>
      <c r="O220" s="19" t="s">
        <v>1</v>
      </c>
      <c r="P220" s="19" t="s">
        <v>576</v>
      </c>
      <c r="Q220" s="21"/>
      <c r="R220" s="20"/>
      <c r="S220" s="10" t="s">
        <v>219</v>
      </c>
      <c r="T220" s="10"/>
      <c r="U220" s="10"/>
      <c r="V220" s="10">
        <v>69</v>
      </c>
      <c r="W220" s="10">
        <v>69</v>
      </c>
      <c r="X220" s="10">
        <v>69</v>
      </c>
      <c r="Y220" s="10">
        <v>1.22</v>
      </c>
      <c r="Z220" s="10">
        <v>1</v>
      </c>
      <c r="AA220" s="10" t="s">
        <v>481</v>
      </c>
      <c r="AB220" s="22">
        <v>43948</v>
      </c>
      <c r="AC220" s="22">
        <v>43941</v>
      </c>
      <c r="AD220" s="22">
        <v>43950</v>
      </c>
      <c r="AE220" s="22">
        <v>43944</v>
      </c>
      <c r="AF220" s="22">
        <v>43944</v>
      </c>
      <c r="AG220" s="23" t="s">
        <v>489</v>
      </c>
      <c r="AH220" s="24">
        <v>1</v>
      </c>
      <c r="AI220" s="24">
        <v>1</v>
      </c>
      <c r="AJ220" s="24">
        <v>0.93</v>
      </c>
      <c r="AK220" s="23" t="s">
        <v>490</v>
      </c>
      <c r="AL220" s="19" t="s">
        <v>732</v>
      </c>
      <c r="AM220" s="10"/>
      <c r="AN220" s="10" t="s">
        <v>492</v>
      </c>
    </row>
    <row r="221" spans="2:40" ht="15" x14ac:dyDescent="0.2">
      <c r="B221" s="70">
        <v>288</v>
      </c>
      <c r="C221" s="16">
        <v>20200420</v>
      </c>
      <c r="D221" s="10" t="s">
        <v>476</v>
      </c>
      <c r="E221" s="16" t="s">
        <v>231</v>
      </c>
      <c r="F221" s="1" t="s">
        <v>733</v>
      </c>
      <c r="G221" s="59">
        <v>1428490</v>
      </c>
      <c r="H221" s="20" t="s">
        <v>1</v>
      </c>
      <c r="I221" s="15" t="s">
        <v>232</v>
      </c>
      <c r="J221" s="20" t="s">
        <v>1</v>
      </c>
      <c r="K221" s="1" t="s">
        <v>548</v>
      </c>
      <c r="L221" s="10">
        <v>80773</v>
      </c>
      <c r="M221" s="59" t="s">
        <v>233</v>
      </c>
      <c r="N221" s="10" t="s">
        <v>734</v>
      </c>
      <c r="O221" s="19" t="s">
        <v>1</v>
      </c>
      <c r="P221" s="19" t="s">
        <v>735</v>
      </c>
      <c r="Q221" s="21"/>
      <c r="R221" s="20"/>
      <c r="S221" s="10" t="s">
        <v>219</v>
      </c>
      <c r="T221" s="10"/>
      <c r="U221" s="10"/>
      <c r="V221" s="59">
        <v>386</v>
      </c>
      <c r="W221" s="10">
        <v>386</v>
      </c>
      <c r="X221" s="10">
        <v>386</v>
      </c>
      <c r="Y221" s="10">
        <v>6.86</v>
      </c>
      <c r="Z221" s="10">
        <v>3</v>
      </c>
      <c r="AA221" s="10" t="s">
        <v>481</v>
      </c>
      <c r="AB221" s="22">
        <v>43943</v>
      </c>
      <c r="AC221" s="22">
        <v>43941</v>
      </c>
      <c r="AD221" s="22">
        <v>43944</v>
      </c>
      <c r="AE221" s="22">
        <v>43943</v>
      </c>
      <c r="AF221" s="22">
        <v>43943</v>
      </c>
      <c r="AG221" s="23" t="s">
        <v>482</v>
      </c>
      <c r="AH221" s="24">
        <v>1</v>
      </c>
      <c r="AI221" s="24">
        <v>1</v>
      </c>
      <c r="AJ221" s="24">
        <v>1</v>
      </c>
      <c r="AK221" s="23" t="s">
        <v>483</v>
      </c>
      <c r="AL221" s="10"/>
      <c r="AM221" s="10"/>
      <c r="AN221" s="10" t="s">
        <v>736</v>
      </c>
    </row>
    <row r="222" spans="2:40" ht="15" x14ac:dyDescent="0.2">
      <c r="B222" s="70">
        <v>289</v>
      </c>
      <c r="C222" s="16">
        <v>20200420</v>
      </c>
      <c r="D222" s="10" t="s">
        <v>476</v>
      </c>
      <c r="E222" s="59" t="s">
        <v>231</v>
      </c>
      <c r="F222" s="1" t="s">
        <v>737</v>
      </c>
      <c r="G222" s="59">
        <v>1428490</v>
      </c>
      <c r="H222" s="20" t="s">
        <v>1</v>
      </c>
      <c r="I222" s="15" t="s">
        <v>234</v>
      </c>
      <c r="J222" s="20" t="s">
        <v>1</v>
      </c>
      <c r="K222" s="1" t="s">
        <v>548</v>
      </c>
      <c r="L222" s="10">
        <v>80773</v>
      </c>
      <c r="M222" s="59" t="s">
        <v>233</v>
      </c>
      <c r="N222" s="10" t="s">
        <v>734</v>
      </c>
      <c r="O222" s="19" t="s">
        <v>1</v>
      </c>
      <c r="P222" s="19" t="s">
        <v>735</v>
      </c>
      <c r="Q222" s="21"/>
      <c r="R222" s="20"/>
      <c r="S222" s="10" t="s">
        <v>219</v>
      </c>
      <c r="T222" s="10"/>
      <c r="U222" s="10"/>
      <c r="V222" s="59">
        <v>130</v>
      </c>
      <c r="W222" s="21">
        <v>303</v>
      </c>
      <c r="X222" s="10">
        <v>303</v>
      </c>
      <c r="Y222" s="10">
        <v>5.38</v>
      </c>
      <c r="Z222" s="10">
        <v>3</v>
      </c>
      <c r="AA222" s="10" t="s">
        <v>481</v>
      </c>
      <c r="AB222" s="22">
        <v>43943</v>
      </c>
      <c r="AC222" s="22">
        <v>43941</v>
      </c>
      <c r="AD222" s="22">
        <v>43944</v>
      </c>
      <c r="AE222" s="22">
        <v>43942</v>
      </c>
      <c r="AF222" s="22">
        <v>43942</v>
      </c>
      <c r="AG222" s="23" t="s">
        <v>482</v>
      </c>
      <c r="AH222" s="24">
        <v>1</v>
      </c>
      <c r="AI222" s="24">
        <v>1</v>
      </c>
      <c r="AJ222" s="24">
        <v>1</v>
      </c>
      <c r="AK222" s="23" t="s">
        <v>483</v>
      </c>
      <c r="AL222" s="10"/>
      <c r="AM222" s="10"/>
      <c r="AN222" s="10" t="s">
        <v>738</v>
      </c>
    </row>
    <row r="223" spans="2:40" ht="15" x14ac:dyDescent="0.2">
      <c r="B223" s="70">
        <v>290</v>
      </c>
      <c r="C223" s="16">
        <v>20200420</v>
      </c>
      <c r="D223" s="10" t="s">
        <v>476</v>
      </c>
      <c r="E223" s="59" t="s">
        <v>231</v>
      </c>
      <c r="F223" s="1" t="s">
        <v>739</v>
      </c>
      <c r="G223" s="59">
        <v>1428490</v>
      </c>
      <c r="H223" s="20" t="s">
        <v>1</v>
      </c>
      <c r="I223" s="15" t="s">
        <v>235</v>
      </c>
      <c r="J223" s="20" t="s">
        <v>1</v>
      </c>
      <c r="K223" s="1" t="s">
        <v>548</v>
      </c>
      <c r="L223" s="10">
        <v>80773</v>
      </c>
      <c r="M223" s="59" t="s">
        <v>233</v>
      </c>
      <c r="N223" s="10" t="s">
        <v>734</v>
      </c>
      <c r="O223" s="19" t="s">
        <v>1</v>
      </c>
      <c r="P223" s="19" t="s">
        <v>735</v>
      </c>
      <c r="Q223" s="21"/>
      <c r="R223" s="20"/>
      <c r="S223" s="10" t="s">
        <v>219</v>
      </c>
      <c r="T223" s="10"/>
      <c r="U223" s="10"/>
      <c r="V223" s="59">
        <v>57</v>
      </c>
      <c r="W223" s="10">
        <v>57</v>
      </c>
      <c r="X223" s="10">
        <v>57</v>
      </c>
      <c r="Y223" s="10">
        <v>1.01</v>
      </c>
      <c r="Z223" s="10">
        <v>0.5</v>
      </c>
      <c r="AA223" s="10" t="s">
        <v>481</v>
      </c>
      <c r="AB223" s="22">
        <v>43943</v>
      </c>
      <c r="AC223" s="22">
        <v>43941</v>
      </c>
      <c r="AD223" s="22">
        <v>43944</v>
      </c>
      <c r="AE223" s="22">
        <v>43942</v>
      </c>
      <c r="AF223" s="22">
        <v>43942</v>
      </c>
      <c r="AG223" s="23" t="s">
        <v>482</v>
      </c>
      <c r="AH223" s="24">
        <v>1</v>
      </c>
      <c r="AI223" s="24">
        <v>1</v>
      </c>
      <c r="AJ223" s="24">
        <v>1</v>
      </c>
      <c r="AK223" s="23" t="s">
        <v>483</v>
      </c>
      <c r="AL223" s="10"/>
      <c r="AM223" s="10"/>
      <c r="AN223" s="10" t="s">
        <v>736</v>
      </c>
    </row>
    <row r="224" spans="2:40" ht="15" x14ac:dyDescent="0.2">
      <c r="B224" s="70">
        <v>291</v>
      </c>
      <c r="C224" s="16">
        <v>20200420</v>
      </c>
      <c r="D224" s="10" t="s">
        <v>476</v>
      </c>
      <c r="E224" s="59" t="s">
        <v>231</v>
      </c>
      <c r="F224" s="2" t="s">
        <v>740</v>
      </c>
      <c r="G224" s="59">
        <v>1428477</v>
      </c>
      <c r="H224" s="20" t="s">
        <v>1</v>
      </c>
      <c r="I224" s="15" t="s">
        <v>236</v>
      </c>
      <c r="J224" s="20" t="s">
        <v>1</v>
      </c>
      <c r="K224" s="1" t="s">
        <v>548</v>
      </c>
      <c r="L224" s="10">
        <v>80773</v>
      </c>
      <c r="M224" s="59" t="s">
        <v>233</v>
      </c>
      <c r="N224" s="10" t="s">
        <v>734</v>
      </c>
      <c r="O224" s="19" t="s">
        <v>1</v>
      </c>
      <c r="P224" s="71" t="s">
        <v>741</v>
      </c>
      <c r="Q224" s="21"/>
      <c r="R224" s="20"/>
      <c r="S224" s="10" t="s">
        <v>219</v>
      </c>
      <c r="T224" s="10"/>
      <c r="U224" s="10"/>
      <c r="V224" s="59">
        <v>90</v>
      </c>
      <c r="W224" s="10">
        <v>90</v>
      </c>
      <c r="X224" s="10">
        <v>90</v>
      </c>
      <c r="Y224" s="10">
        <v>1.6</v>
      </c>
      <c r="Z224" s="10">
        <v>0.5</v>
      </c>
      <c r="AA224" s="10" t="s">
        <v>481</v>
      </c>
      <c r="AB224" s="22">
        <v>43943</v>
      </c>
      <c r="AC224" s="22">
        <v>43941</v>
      </c>
      <c r="AD224" s="22">
        <v>43944</v>
      </c>
      <c r="AE224" s="22">
        <v>43942</v>
      </c>
      <c r="AF224" s="22">
        <v>43942</v>
      </c>
      <c r="AG224" s="23" t="s">
        <v>482</v>
      </c>
      <c r="AH224" s="24">
        <v>1</v>
      </c>
      <c r="AI224" s="24">
        <v>1</v>
      </c>
      <c r="AJ224" s="24">
        <v>1</v>
      </c>
      <c r="AK224" s="23" t="s">
        <v>483</v>
      </c>
      <c r="AL224" s="10"/>
      <c r="AM224" s="10"/>
      <c r="AN224" s="10"/>
    </row>
    <row r="225" spans="2:40" ht="15" x14ac:dyDescent="0.2">
      <c r="B225" s="70">
        <v>292</v>
      </c>
      <c r="C225" s="16">
        <v>20200420</v>
      </c>
      <c r="D225" s="10" t="s">
        <v>476</v>
      </c>
      <c r="E225" s="59" t="s">
        <v>231</v>
      </c>
      <c r="F225" s="2" t="s">
        <v>742</v>
      </c>
      <c r="G225" s="59">
        <v>1428477</v>
      </c>
      <c r="H225" s="20" t="s">
        <v>1</v>
      </c>
      <c r="I225" s="15" t="s">
        <v>237</v>
      </c>
      <c r="J225" s="20" t="s">
        <v>1</v>
      </c>
      <c r="K225" s="1" t="s">
        <v>548</v>
      </c>
      <c r="L225" s="10">
        <v>80773</v>
      </c>
      <c r="M225" s="59" t="s">
        <v>233</v>
      </c>
      <c r="N225" s="10" t="s">
        <v>734</v>
      </c>
      <c r="O225" s="19" t="s">
        <v>1</v>
      </c>
      <c r="P225" s="71" t="s">
        <v>741</v>
      </c>
      <c r="Q225" s="21"/>
      <c r="R225" s="20"/>
      <c r="S225" s="10" t="s">
        <v>219</v>
      </c>
      <c r="T225" s="10"/>
      <c r="U225" s="10"/>
      <c r="V225" s="59">
        <v>115</v>
      </c>
      <c r="W225" s="10">
        <v>115</v>
      </c>
      <c r="X225" s="10">
        <v>115</v>
      </c>
      <c r="Y225" s="10">
        <v>2.04</v>
      </c>
      <c r="Z225" s="10">
        <v>0.5</v>
      </c>
      <c r="AA225" s="10" t="s">
        <v>481</v>
      </c>
      <c r="AB225" s="22">
        <v>43943</v>
      </c>
      <c r="AC225" s="22">
        <v>43941</v>
      </c>
      <c r="AD225" s="22">
        <v>43944</v>
      </c>
      <c r="AE225" s="22">
        <v>43942</v>
      </c>
      <c r="AF225" s="22">
        <v>43942</v>
      </c>
      <c r="AG225" s="23" t="s">
        <v>482</v>
      </c>
      <c r="AH225" s="24">
        <v>1</v>
      </c>
      <c r="AI225" s="24">
        <v>1</v>
      </c>
      <c r="AJ225" s="24">
        <v>1</v>
      </c>
      <c r="AK225" s="23" t="s">
        <v>483</v>
      </c>
      <c r="AL225" s="10"/>
      <c r="AM225" s="10"/>
      <c r="AN225" s="10"/>
    </row>
    <row r="226" spans="2:40" ht="15" x14ac:dyDescent="0.2">
      <c r="B226" s="70">
        <v>293</v>
      </c>
      <c r="C226" s="16">
        <v>20200420</v>
      </c>
      <c r="D226" s="10" t="s">
        <v>476</v>
      </c>
      <c r="E226" s="59" t="s">
        <v>231</v>
      </c>
      <c r="F226" s="2" t="s">
        <v>743</v>
      </c>
      <c r="G226" s="59">
        <v>1427716</v>
      </c>
      <c r="H226" s="20" t="s">
        <v>1</v>
      </c>
      <c r="I226" s="15" t="s">
        <v>217</v>
      </c>
      <c r="J226" s="20" t="s">
        <v>1</v>
      </c>
      <c r="K226" s="1" t="s">
        <v>548</v>
      </c>
      <c r="L226" s="10">
        <v>80773</v>
      </c>
      <c r="M226" s="59" t="s">
        <v>233</v>
      </c>
      <c r="N226" s="10" t="s">
        <v>734</v>
      </c>
      <c r="O226" s="19" t="s">
        <v>1</v>
      </c>
      <c r="P226" s="19" t="s">
        <v>744</v>
      </c>
      <c r="Q226" s="21"/>
      <c r="R226" s="20"/>
      <c r="S226" s="10" t="s">
        <v>219</v>
      </c>
      <c r="T226" s="10"/>
      <c r="U226" s="10"/>
      <c r="V226" s="59">
        <v>280</v>
      </c>
      <c r="W226" s="10">
        <v>280</v>
      </c>
      <c r="X226" s="10">
        <v>280</v>
      </c>
      <c r="Y226" s="10">
        <v>4.97</v>
      </c>
      <c r="Z226" s="10">
        <v>0.5</v>
      </c>
      <c r="AA226" s="10" t="s">
        <v>481</v>
      </c>
      <c r="AB226" s="22">
        <v>43943</v>
      </c>
      <c r="AC226" s="22">
        <v>43941</v>
      </c>
      <c r="AD226" s="22">
        <v>43944</v>
      </c>
      <c r="AE226" s="22">
        <v>43942</v>
      </c>
      <c r="AF226" s="22">
        <v>43942</v>
      </c>
      <c r="AG226" s="23" t="s">
        <v>482</v>
      </c>
      <c r="AH226" s="24">
        <v>1</v>
      </c>
      <c r="AI226" s="24">
        <v>1</v>
      </c>
      <c r="AJ226" s="24">
        <v>1</v>
      </c>
      <c r="AK226" s="23" t="s">
        <v>483</v>
      </c>
      <c r="AL226" s="10"/>
      <c r="AM226" s="10"/>
      <c r="AN226" s="10"/>
    </row>
    <row r="227" spans="2:40" ht="15" x14ac:dyDescent="0.2">
      <c r="B227" s="70">
        <v>294</v>
      </c>
      <c r="C227" s="16">
        <v>20200420</v>
      </c>
      <c r="D227" s="10" t="s">
        <v>476</v>
      </c>
      <c r="E227" s="59" t="s">
        <v>231</v>
      </c>
      <c r="F227" s="2" t="s">
        <v>745</v>
      </c>
      <c r="G227" s="59">
        <v>1427716</v>
      </c>
      <c r="H227" s="20" t="s">
        <v>1</v>
      </c>
      <c r="I227" s="15" t="s">
        <v>238</v>
      </c>
      <c r="J227" s="20" t="s">
        <v>1</v>
      </c>
      <c r="K227" s="1" t="s">
        <v>548</v>
      </c>
      <c r="L227" s="10">
        <v>80773</v>
      </c>
      <c r="M227" s="59" t="s">
        <v>233</v>
      </c>
      <c r="N227" s="10" t="s">
        <v>734</v>
      </c>
      <c r="O227" s="19" t="s">
        <v>1</v>
      </c>
      <c r="P227" s="19" t="s">
        <v>744</v>
      </c>
      <c r="Q227" s="21"/>
      <c r="R227" s="20"/>
      <c r="S227" s="10" t="s">
        <v>219</v>
      </c>
      <c r="T227" s="10"/>
      <c r="U227" s="10"/>
      <c r="V227" s="59">
        <v>99</v>
      </c>
      <c r="W227" s="10">
        <v>99</v>
      </c>
      <c r="X227" s="10">
        <v>99</v>
      </c>
      <c r="Y227" s="10">
        <v>1.76</v>
      </c>
      <c r="Z227" s="10">
        <v>0.5</v>
      </c>
      <c r="AA227" s="10" t="s">
        <v>481</v>
      </c>
      <c r="AB227" s="22">
        <v>43943</v>
      </c>
      <c r="AC227" s="22">
        <v>43941</v>
      </c>
      <c r="AD227" s="22">
        <v>43944</v>
      </c>
      <c r="AE227" s="22">
        <v>43942</v>
      </c>
      <c r="AF227" s="22">
        <v>43942</v>
      </c>
      <c r="AG227" s="23" t="s">
        <v>482</v>
      </c>
      <c r="AH227" s="24">
        <v>1</v>
      </c>
      <c r="AI227" s="24">
        <v>1</v>
      </c>
      <c r="AJ227" s="24">
        <v>1</v>
      </c>
      <c r="AK227" s="23" t="s">
        <v>483</v>
      </c>
      <c r="AL227" s="10"/>
      <c r="AM227" s="10"/>
      <c r="AN227" s="10"/>
    </row>
    <row r="228" spans="2:40" ht="15" x14ac:dyDescent="0.2">
      <c r="B228" s="72">
        <v>1</v>
      </c>
      <c r="C228" s="16">
        <v>20200428</v>
      </c>
      <c r="D228" s="10" t="s">
        <v>476</v>
      </c>
      <c r="E228" s="10" t="s">
        <v>389</v>
      </c>
      <c r="F228" s="43" t="s">
        <v>746</v>
      </c>
      <c r="G228" s="19">
        <v>1435905</v>
      </c>
      <c r="H228" s="20" t="s">
        <v>1</v>
      </c>
      <c r="I228" s="10" t="s">
        <v>206</v>
      </c>
      <c r="J228" s="20" t="s">
        <v>1</v>
      </c>
      <c r="K228" s="10" t="s">
        <v>478</v>
      </c>
      <c r="L228" s="10" t="s">
        <v>747</v>
      </c>
      <c r="M228" s="10" t="s">
        <v>183</v>
      </c>
      <c r="N228" s="10" t="s">
        <v>748</v>
      </c>
      <c r="O228" s="19" t="s">
        <v>1</v>
      </c>
      <c r="P228" s="19" t="s">
        <v>749</v>
      </c>
      <c r="Q228" s="21"/>
      <c r="R228" s="20" t="s">
        <v>1</v>
      </c>
      <c r="S228" s="10" t="s">
        <v>40</v>
      </c>
      <c r="T228" s="10"/>
      <c r="U228" s="10"/>
      <c r="V228" s="10">
        <v>145</v>
      </c>
      <c r="W228" s="10">
        <f>V228</f>
        <v>145</v>
      </c>
      <c r="X228" s="10">
        <f>W228</f>
        <v>145</v>
      </c>
      <c r="Y228" s="10">
        <f>ROUNDDOWN(W228/HLOOKUP(D228,[1]Table!$C$3:$D$4,2,0)*8,2)</f>
        <v>2.57</v>
      </c>
      <c r="Z228" s="10">
        <v>2</v>
      </c>
      <c r="AA228" s="10" t="s">
        <v>750</v>
      </c>
      <c r="AB228" s="22">
        <v>43956</v>
      </c>
      <c r="AC228" s="22">
        <v>43949</v>
      </c>
      <c r="AD228" s="22">
        <v>43956</v>
      </c>
      <c r="AE228" s="22">
        <v>43956</v>
      </c>
      <c r="AF228" s="22">
        <v>43956</v>
      </c>
      <c r="AG228" s="22" t="s">
        <v>482</v>
      </c>
      <c r="AH228" s="24">
        <v>1</v>
      </c>
      <c r="AI228" s="24">
        <v>1</v>
      </c>
      <c r="AJ228" s="24">
        <v>1</v>
      </c>
      <c r="AK228" s="22" t="s">
        <v>483</v>
      </c>
      <c r="AL228" s="10" t="s">
        <v>1</v>
      </c>
      <c r="AM228" s="10" t="s">
        <v>1</v>
      </c>
      <c r="AN228" s="73" t="s">
        <v>1</v>
      </c>
    </row>
    <row r="229" spans="2:40" ht="15" x14ac:dyDescent="0.2">
      <c r="B229" s="72">
        <f t="shared" ref="B229:B292" si="0">B228+1</f>
        <v>2</v>
      </c>
      <c r="C229" s="16">
        <v>20200428</v>
      </c>
      <c r="D229" s="10" t="s">
        <v>476</v>
      </c>
      <c r="E229" s="10" t="s">
        <v>389</v>
      </c>
      <c r="F229" s="43" t="s">
        <v>751</v>
      </c>
      <c r="G229" s="19">
        <v>1435905</v>
      </c>
      <c r="H229" s="20" t="s">
        <v>1</v>
      </c>
      <c r="I229" s="10" t="s">
        <v>190</v>
      </c>
      <c r="J229" s="20" t="s">
        <v>1</v>
      </c>
      <c r="K229" s="10" t="s">
        <v>478</v>
      </c>
      <c r="L229" s="10" t="s">
        <v>747</v>
      </c>
      <c r="M229" s="10" t="s">
        <v>183</v>
      </c>
      <c r="N229" s="10" t="s">
        <v>748</v>
      </c>
      <c r="O229" s="19" t="s">
        <v>1</v>
      </c>
      <c r="P229" s="19" t="s">
        <v>749</v>
      </c>
      <c r="Q229" s="21"/>
      <c r="R229" s="20" t="s">
        <v>1</v>
      </c>
      <c r="S229" s="10" t="s">
        <v>40</v>
      </c>
      <c r="T229" s="10"/>
      <c r="U229" s="10"/>
      <c r="V229" s="10">
        <v>101</v>
      </c>
      <c r="W229" s="10">
        <f t="shared" ref="W229:X291" si="1">V229</f>
        <v>101</v>
      </c>
      <c r="X229" s="10">
        <f t="shared" si="1"/>
        <v>101</v>
      </c>
      <c r="Y229" s="10">
        <f>ROUNDDOWN(W229/HLOOKUP(D229,[1]Table!$C$3:$D$4,2,0)*8,2)</f>
        <v>1.79</v>
      </c>
      <c r="Z229" s="10">
        <v>1</v>
      </c>
      <c r="AA229" s="10" t="s">
        <v>750</v>
      </c>
      <c r="AB229" s="22">
        <v>43956</v>
      </c>
      <c r="AC229" s="22">
        <v>43949</v>
      </c>
      <c r="AD229" s="22">
        <v>43956</v>
      </c>
      <c r="AE229" s="22">
        <v>43955</v>
      </c>
      <c r="AF229" s="22">
        <v>43955</v>
      </c>
      <c r="AG229" s="22" t="s">
        <v>482</v>
      </c>
      <c r="AH229" s="24">
        <v>1</v>
      </c>
      <c r="AI229" s="24">
        <v>1</v>
      </c>
      <c r="AJ229" s="24">
        <v>1</v>
      </c>
      <c r="AK229" s="22" t="s">
        <v>483</v>
      </c>
      <c r="AL229" s="10" t="s">
        <v>1</v>
      </c>
      <c r="AM229" s="10" t="s">
        <v>1</v>
      </c>
      <c r="AN229" s="10" t="s">
        <v>1</v>
      </c>
    </row>
    <row r="230" spans="2:40" ht="15" x14ac:dyDescent="0.2">
      <c r="B230" s="72">
        <f t="shared" si="0"/>
        <v>3</v>
      </c>
      <c r="C230" s="16">
        <v>20200428</v>
      </c>
      <c r="D230" s="10" t="s">
        <v>476</v>
      </c>
      <c r="E230" s="10" t="s">
        <v>389</v>
      </c>
      <c r="F230" s="43" t="s">
        <v>752</v>
      </c>
      <c r="G230" s="19">
        <v>1435905</v>
      </c>
      <c r="H230" s="20" t="s">
        <v>1</v>
      </c>
      <c r="I230" s="10" t="s">
        <v>191</v>
      </c>
      <c r="J230" s="20" t="s">
        <v>1</v>
      </c>
      <c r="K230" s="10" t="s">
        <v>478</v>
      </c>
      <c r="L230" s="10" t="s">
        <v>747</v>
      </c>
      <c r="M230" s="10" t="s">
        <v>183</v>
      </c>
      <c r="N230" s="10" t="s">
        <v>748</v>
      </c>
      <c r="O230" s="19" t="s">
        <v>1</v>
      </c>
      <c r="P230" s="19" t="s">
        <v>749</v>
      </c>
      <c r="Q230" s="21"/>
      <c r="R230" s="20" t="s">
        <v>1</v>
      </c>
      <c r="S230" s="10" t="s">
        <v>40</v>
      </c>
      <c r="T230" s="10"/>
      <c r="U230" s="10"/>
      <c r="V230" s="10">
        <v>154</v>
      </c>
      <c r="W230" s="10">
        <f t="shared" si="1"/>
        <v>154</v>
      </c>
      <c r="X230" s="10">
        <f t="shared" si="1"/>
        <v>154</v>
      </c>
      <c r="Y230" s="10">
        <f>ROUNDDOWN(W230/HLOOKUP(D230,[1]Table!$C$3:$D$4,2,0)*8,2)</f>
        <v>2.73</v>
      </c>
      <c r="Z230" s="10">
        <v>2</v>
      </c>
      <c r="AA230" s="10" t="s">
        <v>750</v>
      </c>
      <c r="AB230" s="22">
        <v>43956</v>
      </c>
      <c r="AC230" s="22">
        <v>43949</v>
      </c>
      <c r="AD230" s="22">
        <v>43956</v>
      </c>
      <c r="AE230" s="22">
        <v>43955</v>
      </c>
      <c r="AF230" s="22">
        <v>43955</v>
      </c>
      <c r="AG230" s="22" t="s">
        <v>489</v>
      </c>
      <c r="AH230" s="24">
        <v>0.96</v>
      </c>
      <c r="AI230" s="24">
        <v>0.9</v>
      </c>
      <c r="AJ230" s="24">
        <v>1</v>
      </c>
      <c r="AK230" s="22" t="s">
        <v>490</v>
      </c>
      <c r="AL230" s="10" t="s">
        <v>753</v>
      </c>
      <c r="AM230" s="10"/>
      <c r="AN230" s="10" t="s">
        <v>754</v>
      </c>
    </row>
    <row r="231" spans="2:40" ht="15" x14ac:dyDescent="0.2">
      <c r="B231" s="72">
        <f t="shared" si="0"/>
        <v>4</v>
      </c>
      <c r="C231" s="16">
        <v>20200428</v>
      </c>
      <c r="D231" s="10" t="s">
        <v>476</v>
      </c>
      <c r="E231" s="10" t="s">
        <v>389</v>
      </c>
      <c r="F231" s="43" t="s">
        <v>755</v>
      </c>
      <c r="G231" s="19">
        <v>1435905</v>
      </c>
      <c r="H231" s="20" t="s">
        <v>1</v>
      </c>
      <c r="I231" s="16" t="s">
        <v>211</v>
      </c>
      <c r="J231" s="20" t="s">
        <v>1</v>
      </c>
      <c r="K231" s="10" t="s">
        <v>478</v>
      </c>
      <c r="L231" s="10" t="s">
        <v>747</v>
      </c>
      <c r="M231" s="10" t="s">
        <v>183</v>
      </c>
      <c r="N231" s="10" t="s">
        <v>748</v>
      </c>
      <c r="O231" s="19" t="s">
        <v>1</v>
      </c>
      <c r="P231" s="19" t="s">
        <v>749</v>
      </c>
      <c r="Q231" s="21"/>
      <c r="R231" s="20" t="s">
        <v>1</v>
      </c>
      <c r="S231" s="10" t="s">
        <v>40</v>
      </c>
      <c r="T231" s="10"/>
      <c r="U231" s="10"/>
      <c r="V231" s="10">
        <v>120</v>
      </c>
      <c r="W231" s="10">
        <f t="shared" si="1"/>
        <v>120</v>
      </c>
      <c r="X231" s="10">
        <f t="shared" si="1"/>
        <v>120</v>
      </c>
      <c r="Y231" s="10">
        <f>ROUNDDOWN(W231/HLOOKUP(D231,[1]Table!$C$3:$D$4,2,0)*8,2)</f>
        <v>2.13</v>
      </c>
      <c r="Z231" s="10">
        <v>2</v>
      </c>
      <c r="AA231" s="10" t="s">
        <v>750</v>
      </c>
      <c r="AB231" s="22">
        <v>43956</v>
      </c>
      <c r="AC231" s="22">
        <v>43949</v>
      </c>
      <c r="AD231" s="22">
        <v>43956</v>
      </c>
      <c r="AE231" s="22">
        <v>43955</v>
      </c>
      <c r="AF231" s="22">
        <v>43955</v>
      </c>
      <c r="AG231" s="22" t="s">
        <v>489</v>
      </c>
      <c r="AH231" s="24">
        <v>1</v>
      </c>
      <c r="AI231" s="24">
        <v>0.98</v>
      </c>
      <c r="AJ231" s="24">
        <v>1</v>
      </c>
      <c r="AK231" s="22" t="s">
        <v>490</v>
      </c>
      <c r="AL231" s="10" t="s">
        <v>756</v>
      </c>
      <c r="AM231" s="10"/>
      <c r="AN231" s="74" t="s">
        <v>757</v>
      </c>
    </row>
    <row r="232" spans="2:40" ht="15" x14ac:dyDescent="0.2">
      <c r="B232" s="72">
        <f t="shared" si="0"/>
        <v>5</v>
      </c>
      <c r="C232" s="16">
        <v>20200428</v>
      </c>
      <c r="D232" s="10" t="s">
        <v>476</v>
      </c>
      <c r="E232" s="10" t="s">
        <v>389</v>
      </c>
      <c r="F232" s="43" t="s">
        <v>758</v>
      </c>
      <c r="G232" s="19">
        <v>1435905</v>
      </c>
      <c r="H232" s="20" t="s">
        <v>1</v>
      </c>
      <c r="I232" s="10" t="s">
        <v>212</v>
      </c>
      <c r="J232" s="20" t="s">
        <v>1</v>
      </c>
      <c r="K232" s="10" t="s">
        <v>478</v>
      </c>
      <c r="L232" s="10" t="s">
        <v>747</v>
      </c>
      <c r="M232" s="10" t="s">
        <v>183</v>
      </c>
      <c r="N232" s="10" t="s">
        <v>748</v>
      </c>
      <c r="O232" s="19" t="s">
        <v>1</v>
      </c>
      <c r="P232" s="19" t="s">
        <v>749</v>
      </c>
      <c r="Q232" s="21"/>
      <c r="R232" s="20" t="s">
        <v>1</v>
      </c>
      <c r="S232" s="10" t="s">
        <v>15</v>
      </c>
      <c r="T232" s="10"/>
      <c r="U232" s="10"/>
      <c r="V232" s="10">
        <v>178</v>
      </c>
      <c r="W232" s="10">
        <f t="shared" si="1"/>
        <v>178</v>
      </c>
      <c r="X232" s="10">
        <f t="shared" si="1"/>
        <v>178</v>
      </c>
      <c r="Y232" s="10">
        <f>ROUNDDOWN(W232/HLOOKUP(D232,[1]Table!$C$3:$D$4,2,0)*8,2)</f>
        <v>3.16</v>
      </c>
      <c r="Z232" s="10">
        <v>1</v>
      </c>
      <c r="AA232" s="10" t="s">
        <v>750</v>
      </c>
      <c r="AB232" s="22">
        <v>43956</v>
      </c>
      <c r="AC232" s="22">
        <v>43949</v>
      </c>
      <c r="AD232" s="22">
        <v>43956</v>
      </c>
      <c r="AE232" s="22">
        <v>43955</v>
      </c>
      <c r="AF232" s="22">
        <v>43955</v>
      </c>
      <c r="AG232" s="22" t="s">
        <v>482</v>
      </c>
      <c r="AH232" s="24" t="s">
        <v>1</v>
      </c>
      <c r="AI232" s="24" t="s">
        <v>1</v>
      </c>
      <c r="AJ232" s="24" t="s">
        <v>1</v>
      </c>
      <c r="AK232" s="22" t="s">
        <v>483</v>
      </c>
      <c r="AL232" s="10"/>
      <c r="AM232" s="10"/>
      <c r="AN232" s="10" t="s">
        <v>496</v>
      </c>
    </row>
    <row r="233" spans="2:40" ht="15" x14ac:dyDescent="0.2">
      <c r="B233" s="72">
        <f t="shared" si="0"/>
        <v>6</v>
      </c>
      <c r="C233" s="16">
        <v>20200428</v>
      </c>
      <c r="D233" s="10" t="s">
        <v>476</v>
      </c>
      <c r="E233" s="10" t="s">
        <v>389</v>
      </c>
      <c r="F233" s="43" t="s">
        <v>759</v>
      </c>
      <c r="G233" s="19">
        <v>1435905</v>
      </c>
      <c r="H233" s="20" t="s">
        <v>1</v>
      </c>
      <c r="I233" s="10" t="s">
        <v>192</v>
      </c>
      <c r="J233" s="20" t="s">
        <v>1</v>
      </c>
      <c r="K233" s="10" t="s">
        <v>478</v>
      </c>
      <c r="L233" s="10" t="s">
        <v>747</v>
      </c>
      <c r="M233" s="10" t="s">
        <v>183</v>
      </c>
      <c r="N233" s="10" t="s">
        <v>748</v>
      </c>
      <c r="O233" s="19" t="s">
        <v>1</v>
      </c>
      <c r="P233" s="19" t="s">
        <v>749</v>
      </c>
      <c r="Q233" s="21"/>
      <c r="R233" s="20" t="s">
        <v>1</v>
      </c>
      <c r="S233" s="10" t="s">
        <v>15</v>
      </c>
      <c r="T233" s="10"/>
      <c r="U233" s="10"/>
      <c r="V233" s="10">
        <v>124</v>
      </c>
      <c r="W233" s="10">
        <f t="shared" si="1"/>
        <v>124</v>
      </c>
      <c r="X233" s="10">
        <f t="shared" si="1"/>
        <v>124</v>
      </c>
      <c r="Y233" s="10">
        <f>ROUNDDOWN(W233/HLOOKUP(D233,[1]Table!$C$3:$D$4,2,0)*8,2)</f>
        <v>2.2000000000000002</v>
      </c>
      <c r="Z233" s="10">
        <v>2</v>
      </c>
      <c r="AA233" s="10" t="s">
        <v>750</v>
      </c>
      <c r="AB233" s="22">
        <v>43956</v>
      </c>
      <c r="AC233" s="22">
        <v>43949</v>
      </c>
      <c r="AD233" s="22">
        <v>43956</v>
      </c>
      <c r="AE233" s="22">
        <v>43955</v>
      </c>
      <c r="AF233" s="22">
        <v>43955</v>
      </c>
      <c r="AG233" s="22" t="s">
        <v>489</v>
      </c>
      <c r="AH233" s="24">
        <v>1</v>
      </c>
      <c r="AI233" s="24">
        <v>1</v>
      </c>
      <c r="AJ233" s="24">
        <v>1</v>
      </c>
      <c r="AK233" s="22" t="s">
        <v>483</v>
      </c>
      <c r="AL233" s="10"/>
      <c r="AM233" s="10"/>
      <c r="AN233" s="10" t="s">
        <v>760</v>
      </c>
    </row>
    <row r="234" spans="2:40" ht="15" x14ac:dyDescent="0.2">
      <c r="B234" s="72">
        <f t="shared" si="0"/>
        <v>7</v>
      </c>
      <c r="C234" s="16">
        <v>20200428</v>
      </c>
      <c r="D234" s="10" t="s">
        <v>476</v>
      </c>
      <c r="E234" s="10" t="s">
        <v>389</v>
      </c>
      <c r="F234" s="43" t="s">
        <v>761</v>
      </c>
      <c r="G234" s="19">
        <v>1435905</v>
      </c>
      <c r="H234" s="20" t="s">
        <v>1</v>
      </c>
      <c r="I234" s="10" t="s">
        <v>762</v>
      </c>
      <c r="J234" s="20" t="s">
        <v>1</v>
      </c>
      <c r="K234" s="10" t="s">
        <v>478</v>
      </c>
      <c r="L234" s="10" t="s">
        <v>747</v>
      </c>
      <c r="M234" s="10" t="s">
        <v>183</v>
      </c>
      <c r="N234" s="10" t="s">
        <v>748</v>
      </c>
      <c r="O234" s="19" t="s">
        <v>1</v>
      </c>
      <c r="P234" s="19" t="s">
        <v>749</v>
      </c>
      <c r="Q234" s="21"/>
      <c r="R234" s="20" t="s">
        <v>1</v>
      </c>
      <c r="S234" s="10" t="s">
        <v>15</v>
      </c>
      <c r="T234" s="10"/>
      <c r="U234" s="10"/>
      <c r="V234" s="10">
        <v>106</v>
      </c>
      <c r="W234" s="10">
        <f t="shared" si="1"/>
        <v>106</v>
      </c>
      <c r="X234" s="10">
        <f t="shared" si="1"/>
        <v>106</v>
      </c>
      <c r="Y234" s="10">
        <f>ROUNDDOWN(W234/HLOOKUP(D234,[1]Table!$C$3:$D$4,2,0)*8,2)</f>
        <v>1.88</v>
      </c>
      <c r="Z234" s="10">
        <v>2</v>
      </c>
      <c r="AA234" s="10" t="s">
        <v>750</v>
      </c>
      <c r="AB234" s="22">
        <v>43956</v>
      </c>
      <c r="AC234" s="22">
        <v>43949</v>
      </c>
      <c r="AD234" s="22">
        <v>43956</v>
      </c>
      <c r="AE234" s="22">
        <v>43955</v>
      </c>
      <c r="AF234" s="22">
        <v>43955</v>
      </c>
      <c r="AG234" s="22" t="s">
        <v>489</v>
      </c>
      <c r="AH234" s="24">
        <v>0.36</v>
      </c>
      <c r="AI234" s="24">
        <v>0</v>
      </c>
      <c r="AJ234" s="24">
        <v>1</v>
      </c>
      <c r="AK234" s="22" t="s">
        <v>490</v>
      </c>
      <c r="AL234" s="10" t="s">
        <v>763</v>
      </c>
      <c r="AM234" s="10"/>
      <c r="AN234" s="10" t="s">
        <v>757</v>
      </c>
    </row>
    <row r="235" spans="2:40" ht="15" x14ac:dyDescent="0.2">
      <c r="B235" s="72">
        <f t="shared" si="0"/>
        <v>8</v>
      </c>
      <c r="C235" s="16">
        <v>20200428</v>
      </c>
      <c r="D235" s="10" t="s">
        <v>476</v>
      </c>
      <c r="E235" s="10" t="s">
        <v>139</v>
      </c>
      <c r="F235" s="43" t="s">
        <v>764</v>
      </c>
      <c r="G235" s="19">
        <v>1439160</v>
      </c>
      <c r="H235" s="20" t="s">
        <v>1</v>
      </c>
      <c r="I235" s="10" t="s">
        <v>223</v>
      </c>
      <c r="J235" s="20" t="s">
        <v>1</v>
      </c>
      <c r="K235" s="10" t="s">
        <v>478</v>
      </c>
      <c r="L235" s="10" t="s">
        <v>765</v>
      </c>
      <c r="M235" s="21" t="s">
        <v>141</v>
      </c>
      <c r="N235" s="10" t="s">
        <v>766</v>
      </c>
      <c r="O235" s="19" t="s">
        <v>1</v>
      </c>
      <c r="P235" s="19" t="s">
        <v>523</v>
      </c>
      <c r="Q235" s="21"/>
      <c r="R235" s="20" t="s">
        <v>1</v>
      </c>
      <c r="S235" s="10" t="s">
        <v>15</v>
      </c>
      <c r="T235" s="10"/>
      <c r="U235" s="10"/>
      <c r="V235" s="10">
        <v>188</v>
      </c>
      <c r="W235" s="10">
        <f t="shared" si="1"/>
        <v>188</v>
      </c>
      <c r="X235" s="10">
        <f t="shared" si="1"/>
        <v>188</v>
      </c>
      <c r="Y235" s="10">
        <f>ROUNDDOWN(W235/HLOOKUP(D235,[1]Table!$C$3:$D$4,2,0)*8,2)</f>
        <v>3.34</v>
      </c>
      <c r="Z235" s="10">
        <v>1</v>
      </c>
      <c r="AA235" s="10" t="s">
        <v>750</v>
      </c>
      <c r="AB235" s="22">
        <v>43956</v>
      </c>
      <c r="AC235" s="22">
        <v>43949</v>
      </c>
      <c r="AD235" s="22">
        <v>43956</v>
      </c>
      <c r="AE235" s="22">
        <v>43955</v>
      </c>
      <c r="AF235" s="22">
        <v>43955</v>
      </c>
      <c r="AG235" s="22" t="s">
        <v>482</v>
      </c>
      <c r="AH235" s="24" t="s">
        <v>1</v>
      </c>
      <c r="AI235" s="24" t="s">
        <v>1</v>
      </c>
      <c r="AJ235" s="24" t="s">
        <v>1</v>
      </c>
      <c r="AK235" s="22" t="s">
        <v>483</v>
      </c>
      <c r="AL235" s="10"/>
      <c r="AM235" s="10"/>
      <c r="AN235" s="10" t="s">
        <v>496</v>
      </c>
    </row>
    <row r="236" spans="2:40" ht="15" x14ac:dyDescent="0.2">
      <c r="B236" s="72">
        <f t="shared" si="0"/>
        <v>9</v>
      </c>
      <c r="C236" s="16">
        <v>20200428</v>
      </c>
      <c r="D236" s="10" t="s">
        <v>476</v>
      </c>
      <c r="E236" s="10" t="s">
        <v>139</v>
      </c>
      <c r="F236" s="43" t="s">
        <v>767</v>
      </c>
      <c r="G236" s="19">
        <v>1439160</v>
      </c>
      <c r="H236" s="20" t="s">
        <v>1</v>
      </c>
      <c r="I236" s="10" t="s">
        <v>221</v>
      </c>
      <c r="J236" s="20" t="s">
        <v>1</v>
      </c>
      <c r="K236" s="10" t="s">
        <v>478</v>
      </c>
      <c r="L236" s="10" t="s">
        <v>765</v>
      </c>
      <c r="M236" s="21" t="s">
        <v>141</v>
      </c>
      <c r="N236" s="10" t="s">
        <v>766</v>
      </c>
      <c r="O236" s="19" t="s">
        <v>1</v>
      </c>
      <c r="P236" s="19" t="s">
        <v>523</v>
      </c>
      <c r="Q236" s="21"/>
      <c r="R236" s="20" t="s">
        <v>1</v>
      </c>
      <c r="S236" s="10" t="s">
        <v>15</v>
      </c>
      <c r="T236" s="10"/>
      <c r="U236" s="10"/>
      <c r="V236" s="10">
        <v>257</v>
      </c>
      <c r="W236" s="10">
        <f t="shared" si="1"/>
        <v>257</v>
      </c>
      <c r="X236" s="10">
        <f t="shared" si="1"/>
        <v>257</v>
      </c>
      <c r="Y236" s="10">
        <f>ROUNDDOWN(W236/HLOOKUP(D236,[1]Table!$C$3:$D$4,2,0)*8,2)</f>
        <v>4.5599999999999996</v>
      </c>
      <c r="Z236" s="10">
        <v>2</v>
      </c>
      <c r="AA236" s="10" t="s">
        <v>750</v>
      </c>
      <c r="AB236" s="22">
        <v>43956</v>
      </c>
      <c r="AC236" s="22">
        <v>43949</v>
      </c>
      <c r="AD236" s="22">
        <v>43956</v>
      </c>
      <c r="AE236" s="22">
        <v>43955</v>
      </c>
      <c r="AF236" s="22">
        <v>43955</v>
      </c>
      <c r="AG236" s="22" t="s">
        <v>482</v>
      </c>
      <c r="AH236" s="24">
        <v>1</v>
      </c>
      <c r="AI236" s="24">
        <v>1</v>
      </c>
      <c r="AJ236" s="24">
        <v>1</v>
      </c>
      <c r="AK236" s="22" t="s">
        <v>483</v>
      </c>
      <c r="AL236" s="10"/>
      <c r="AM236" s="10"/>
      <c r="AN236" s="10"/>
    </row>
    <row r="237" spans="2:40" ht="15" x14ac:dyDescent="0.2">
      <c r="B237" s="72">
        <f t="shared" si="0"/>
        <v>10</v>
      </c>
      <c r="C237" s="16">
        <v>20200428</v>
      </c>
      <c r="D237" s="10" t="s">
        <v>476</v>
      </c>
      <c r="E237" s="10" t="s">
        <v>139</v>
      </c>
      <c r="F237" s="43" t="s">
        <v>768</v>
      </c>
      <c r="G237" s="19">
        <v>1439160</v>
      </c>
      <c r="H237" s="20" t="s">
        <v>1</v>
      </c>
      <c r="I237" s="10" t="s">
        <v>225</v>
      </c>
      <c r="J237" s="20" t="s">
        <v>1</v>
      </c>
      <c r="K237" s="10" t="s">
        <v>478</v>
      </c>
      <c r="L237" s="10" t="s">
        <v>765</v>
      </c>
      <c r="M237" s="21" t="s">
        <v>141</v>
      </c>
      <c r="N237" s="10" t="s">
        <v>766</v>
      </c>
      <c r="O237" s="19" t="s">
        <v>1</v>
      </c>
      <c r="P237" s="19" t="s">
        <v>523</v>
      </c>
      <c r="Q237" s="21"/>
      <c r="R237" s="20" t="s">
        <v>1</v>
      </c>
      <c r="S237" s="10" t="s">
        <v>15</v>
      </c>
      <c r="T237" s="10"/>
      <c r="U237" s="10"/>
      <c r="V237" s="10">
        <v>1141</v>
      </c>
      <c r="W237" s="10">
        <f t="shared" si="1"/>
        <v>1141</v>
      </c>
      <c r="X237" s="10">
        <f t="shared" si="1"/>
        <v>1141</v>
      </c>
      <c r="Y237" s="10">
        <f>ROUNDDOWN(W237/HLOOKUP(D237,[1]Table!$C$3:$D$4,2,0)*8,2)</f>
        <v>20.28</v>
      </c>
      <c r="Z237" s="10">
        <v>4</v>
      </c>
      <c r="AA237" s="10" t="s">
        <v>750</v>
      </c>
      <c r="AB237" s="22">
        <v>43956</v>
      </c>
      <c r="AC237" s="22">
        <v>43949</v>
      </c>
      <c r="AD237" s="22">
        <v>43956</v>
      </c>
      <c r="AE237" s="22">
        <v>43950</v>
      </c>
      <c r="AF237" s="22">
        <v>43950</v>
      </c>
      <c r="AG237" s="22" t="s">
        <v>482</v>
      </c>
      <c r="AH237" s="24">
        <v>1</v>
      </c>
      <c r="AI237" s="24">
        <v>1</v>
      </c>
      <c r="AJ237" s="24">
        <v>1</v>
      </c>
      <c r="AK237" s="22" t="s">
        <v>483</v>
      </c>
      <c r="AL237" s="10"/>
      <c r="AM237" s="10"/>
      <c r="AN237" s="10"/>
    </row>
    <row r="238" spans="2:40" ht="15" x14ac:dyDescent="0.2">
      <c r="B238" s="72">
        <f t="shared" si="0"/>
        <v>11</v>
      </c>
      <c r="C238" s="16">
        <v>20200428</v>
      </c>
      <c r="D238" s="10" t="s">
        <v>476</v>
      </c>
      <c r="E238" s="10" t="s">
        <v>139</v>
      </c>
      <c r="F238" s="43" t="s">
        <v>769</v>
      </c>
      <c r="G238" s="19">
        <v>1439160</v>
      </c>
      <c r="H238" s="20" t="s">
        <v>1</v>
      </c>
      <c r="I238" s="10" t="s">
        <v>123</v>
      </c>
      <c r="J238" s="20" t="s">
        <v>1</v>
      </c>
      <c r="K238" s="10" t="s">
        <v>478</v>
      </c>
      <c r="L238" s="10" t="s">
        <v>765</v>
      </c>
      <c r="M238" s="21" t="s">
        <v>141</v>
      </c>
      <c r="N238" s="10" t="s">
        <v>766</v>
      </c>
      <c r="O238" s="19" t="s">
        <v>1</v>
      </c>
      <c r="P238" s="19" t="s">
        <v>523</v>
      </c>
      <c r="Q238" s="21"/>
      <c r="R238" s="20" t="s">
        <v>1</v>
      </c>
      <c r="S238" s="10" t="s">
        <v>41</v>
      </c>
      <c r="T238" s="10"/>
      <c r="U238" s="10"/>
      <c r="V238" s="10">
        <v>997</v>
      </c>
      <c r="W238" s="10">
        <f t="shared" si="1"/>
        <v>997</v>
      </c>
      <c r="X238" s="10">
        <f t="shared" si="1"/>
        <v>997</v>
      </c>
      <c r="Y238" s="10">
        <f>ROUNDDOWN(W238/HLOOKUP(D238,[1]Table!$C$3:$D$4,2,0)*8,2)</f>
        <v>17.72</v>
      </c>
      <c r="Z238" s="10">
        <v>2</v>
      </c>
      <c r="AA238" s="10" t="s">
        <v>750</v>
      </c>
      <c r="AB238" s="22">
        <v>43956</v>
      </c>
      <c r="AC238" s="22">
        <v>43949</v>
      </c>
      <c r="AD238" s="22">
        <v>43956</v>
      </c>
      <c r="AE238" s="22">
        <v>43956</v>
      </c>
      <c r="AF238" s="22">
        <v>43956</v>
      </c>
      <c r="AG238" s="22" t="s">
        <v>482</v>
      </c>
      <c r="AH238" s="24">
        <v>1</v>
      </c>
      <c r="AI238" s="24">
        <v>1</v>
      </c>
      <c r="AJ238" s="24">
        <v>1</v>
      </c>
      <c r="AK238" s="22" t="s">
        <v>483</v>
      </c>
      <c r="AL238" s="10"/>
      <c r="AM238" s="10"/>
      <c r="AN238" s="10"/>
    </row>
    <row r="239" spans="2:40" ht="15" x14ac:dyDescent="0.2">
      <c r="B239" s="72">
        <f t="shared" si="0"/>
        <v>12</v>
      </c>
      <c r="C239" s="16">
        <v>20200428</v>
      </c>
      <c r="D239" s="10" t="s">
        <v>476</v>
      </c>
      <c r="E239" s="10" t="s">
        <v>390</v>
      </c>
      <c r="F239" s="43" t="s">
        <v>770</v>
      </c>
      <c r="G239" s="19">
        <v>1439436</v>
      </c>
      <c r="H239" s="20" t="s">
        <v>1</v>
      </c>
      <c r="I239" s="10" t="s">
        <v>223</v>
      </c>
      <c r="J239" s="20" t="s">
        <v>1</v>
      </c>
      <c r="K239" s="10" t="s">
        <v>478</v>
      </c>
      <c r="L239" s="10" t="s">
        <v>771</v>
      </c>
      <c r="M239" s="10" t="s">
        <v>772</v>
      </c>
      <c r="N239" s="10" t="s">
        <v>773</v>
      </c>
      <c r="O239" s="19" t="s">
        <v>1</v>
      </c>
      <c r="P239" s="19" t="s">
        <v>774</v>
      </c>
      <c r="Q239" s="21"/>
      <c r="R239" s="20" t="s">
        <v>1</v>
      </c>
      <c r="S239" s="10" t="s">
        <v>40</v>
      </c>
      <c r="T239" s="10"/>
      <c r="U239" s="10"/>
      <c r="V239" s="10">
        <v>142</v>
      </c>
      <c r="W239" s="10">
        <f t="shared" si="1"/>
        <v>142</v>
      </c>
      <c r="X239" s="10">
        <f t="shared" si="1"/>
        <v>142</v>
      </c>
      <c r="Y239" s="10">
        <f>ROUNDDOWN(W239/HLOOKUP(D239,[1]Table!$C$3:$D$4,2,0)*8,2)</f>
        <v>2.52</v>
      </c>
      <c r="Z239" s="10">
        <v>0.1</v>
      </c>
      <c r="AA239" s="10" t="s">
        <v>750</v>
      </c>
      <c r="AB239" s="22">
        <v>43956</v>
      </c>
      <c r="AC239" s="22">
        <v>43949</v>
      </c>
      <c r="AD239" s="22">
        <v>43956</v>
      </c>
      <c r="AE239" s="22">
        <v>43955</v>
      </c>
      <c r="AF239" s="22">
        <v>43955</v>
      </c>
      <c r="AG239" s="22" t="s">
        <v>482</v>
      </c>
      <c r="AH239" s="24" t="s">
        <v>1</v>
      </c>
      <c r="AI239" s="24" t="s">
        <v>1</v>
      </c>
      <c r="AJ239" s="24" t="s">
        <v>1</v>
      </c>
      <c r="AK239" s="22" t="s">
        <v>483</v>
      </c>
      <c r="AL239" s="10"/>
      <c r="AM239" s="10"/>
      <c r="AN239" s="10" t="s">
        <v>496</v>
      </c>
    </row>
    <row r="240" spans="2:40" ht="15" x14ac:dyDescent="0.2">
      <c r="B240" s="72">
        <f t="shared" si="0"/>
        <v>13</v>
      </c>
      <c r="C240" s="16">
        <v>20200428</v>
      </c>
      <c r="D240" s="10" t="s">
        <v>476</v>
      </c>
      <c r="E240" s="10" t="s">
        <v>390</v>
      </c>
      <c r="F240" s="43" t="s">
        <v>775</v>
      </c>
      <c r="G240" s="19">
        <v>1439436</v>
      </c>
      <c r="H240" s="20" t="s">
        <v>1</v>
      </c>
      <c r="I240" s="10" t="s">
        <v>225</v>
      </c>
      <c r="J240" s="20" t="s">
        <v>1</v>
      </c>
      <c r="K240" s="10" t="s">
        <v>478</v>
      </c>
      <c r="L240" s="10" t="s">
        <v>771</v>
      </c>
      <c r="M240" s="10" t="s">
        <v>772</v>
      </c>
      <c r="N240" s="10" t="s">
        <v>773</v>
      </c>
      <c r="O240" s="19" t="s">
        <v>1</v>
      </c>
      <c r="P240" s="19" t="s">
        <v>774</v>
      </c>
      <c r="Q240" s="21"/>
      <c r="R240" s="20" t="s">
        <v>1</v>
      </c>
      <c r="S240" s="10" t="s">
        <v>40</v>
      </c>
      <c r="T240" s="10"/>
      <c r="U240" s="10"/>
      <c r="V240" s="10">
        <v>35</v>
      </c>
      <c r="W240" s="10">
        <f t="shared" si="1"/>
        <v>35</v>
      </c>
      <c r="X240" s="10">
        <f t="shared" si="1"/>
        <v>35</v>
      </c>
      <c r="Y240" s="10">
        <f>ROUNDDOWN(W240/HLOOKUP(D240,[1]Table!$C$3:$D$4,2,0)*8,2)</f>
        <v>0.62</v>
      </c>
      <c r="Z240" s="10">
        <v>0.15</v>
      </c>
      <c r="AA240" s="10" t="s">
        <v>750</v>
      </c>
      <c r="AB240" s="22">
        <v>43956</v>
      </c>
      <c r="AC240" s="22">
        <v>43949</v>
      </c>
      <c r="AD240" s="22">
        <v>43956</v>
      </c>
      <c r="AE240" s="22">
        <v>43949</v>
      </c>
      <c r="AF240" s="22">
        <v>43949</v>
      </c>
      <c r="AG240" s="22" t="s">
        <v>482</v>
      </c>
      <c r="AH240" s="24">
        <v>1</v>
      </c>
      <c r="AI240" s="24">
        <v>1</v>
      </c>
      <c r="AJ240" s="24">
        <v>1</v>
      </c>
      <c r="AK240" s="22" t="s">
        <v>483</v>
      </c>
      <c r="AL240" s="10"/>
      <c r="AM240" s="10"/>
      <c r="AN240" s="10"/>
    </row>
    <row r="241" spans="2:40" ht="15" x14ac:dyDescent="0.2">
      <c r="B241" s="72">
        <f t="shared" si="0"/>
        <v>14</v>
      </c>
      <c r="C241" s="16">
        <v>20200428</v>
      </c>
      <c r="D241" s="10" t="s">
        <v>476</v>
      </c>
      <c r="E241" s="10" t="s">
        <v>390</v>
      </c>
      <c r="F241" s="43" t="s">
        <v>776</v>
      </c>
      <c r="G241" s="19">
        <v>1439436</v>
      </c>
      <c r="H241" s="20" t="s">
        <v>1</v>
      </c>
      <c r="I241" s="10" t="s">
        <v>123</v>
      </c>
      <c r="J241" s="20" t="s">
        <v>1</v>
      </c>
      <c r="K241" s="10" t="s">
        <v>478</v>
      </c>
      <c r="L241" s="10" t="s">
        <v>771</v>
      </c>
      <c r="M241" s="10" t="s">
        <v>772</v>
      </c>
      <c r="N241" s="10" t="s">
        <v>773</v>
      </c>
      <c r="O241" s="19" t="s">
        <v>1</v>
      </c>
      <c r="P241" s="19" t="s">
        <v>774</v>
      </c>
      <c r="Q241" s="21"/>
      <c r="R241" s="20" t="s">
        <v>1</v>
      </c>
      <c r="S241" s="10" t="s">
        <v>40</v>
      </c>
      <c r="T241" s="10"/>
      <c r="U241" s="10"/>
      <c r="V241" s="10">
        <v>34</v>
      </c>
      <c r="W241" s="39">
        <v>278</v>
      </c>
      <c r="X241" s="16">
        <f t="shared" si="1"/>
        <v>278</v>
      </c>
      <c r="Y241" s="10">
        <f>ROUNDDOWN(W241/HLOOKUP(D241,[1]Table!$C$3:$D$4,2,0)*8,2)</f>
        <v>4.9400000000000004</v>
      </c>
      <c r="Z241" s="10">
        <v>1</v>
      </c>
      <c r="AA241" s="10" t="s">
        <v>750</v>
      </c>
      <c r="AB241" s="22">
        <v>43956</v>
      </c>
      <c r="AC241" s="22">
        <v>43949</v>
      </c>
      <c r="AD241" s="22">
        <v>43956</v>
      </c>
      <c r="AE241" s="22">
        <v>43955</v>
      </c>
      <c r="AF241" s="22">
        <v>43955</v>
      </c>
      <c r="AG241" s="22" t="s">
        <v>482</v>
      </c>
      <c r="AH241" s="24">
        <v>1</v>
      </c>
      <c r="AI241" s="24">
        <v>1</v>
      </c>
      <c r="AJ241" s="24">
        <v>1</v>
      </c>
      <c r="AK241" s="22" t="s">
        <v>483</v>
      </c>
      <c r="AL241" s="10"/>
      <c r="AM241" s="10"/>
      <c r="AN241" s="10" t="s">
        <v>777</v>
      </c>
    </row>
    <row r="242" spans="2:40" ht="15" x14ac:dyDescent="0.2">
      <c r="B242" s="72">
        <f t="shared" si="0"/>
        <v>15</v>
      </c>
      <c r="C242" s="16">
        <v>20200428</v>
      </c>
      <c r="D242" s="10" t="s">
        <v>476</v>
      </c>
      <c r="E242" s="10" t="s">
        <v>391</v>
      </c>
      <c r="F242" s="43" t="s">
        <v>778</v>
      </c>
      <c r="G242" s="19">
        <v>1417033</v>
      </c>
      <c r="H242" s="20" t="s">
        <v>1</v>
      </c>
      <c r="I242" s="10" t="s">
        <v>221</v>
      </c>
      <c r="J242" s="20" t="s">
        <v>1</v>
      </c>
      <c r="K242" s="10" t="s">
        <v>478</v>
      </c>
      <c r="L242" s="10" t="s">
        <v>483</v>
      </c>
      <c r="M242" s="10" t="s">
        <v>164</v>
      </c>
      <c r="N242" s="10" t="s">
        <v>657</v>
      </c>
      <c r="O242" s="19" t="s">
        <v>1</v>
      </c>
      <c r="P242" s="19" t="s">
        <v>779</v>
      </c>
      <c r="Q242" s="21"/>
      <c r="R242" s="20" t="s">
        <v>1</v>
      </c>
      <c r="S242" s="10" t="s">
        <v>40</v>
      </c>
      <c r="T242" s="10"/>
      <c r="U242" s="10"/>
      <c r="V242" s="10">
        <v>76</v>
      </c>
      <c r="W242" s="10">
        <f t="shared" si="1"/>
        <v>76</v>
      </c>
      <c r="X242" s="10">
        <f t="shared" si="1"/>
        <v>76</v>
      </c>
      <c r="Y242" s="10">
        <f>ROUNDDOWN(W242/HLOOKUP(D242,[1]Table!$C$3:$D$4,2,0)*8,2)</f>
        <v>1.35</v>
      </c>
      <c r="Z242" s="10">
        <v>1</v>
      </c>
      <c r="AA242" s="10" t="s">
        <v>750</v>
      </c>
      <c r="AB242" s="22">
        <v>43956</v>
      </c>
      <c r="AC242" s="22">
        <v>43949</v>
      </c>
      <c r="AD242" s="22">
        <v>43956</v>
      </c>
      <c r="AE242" s="22">
        <v>43949</v>
      </c>
      <c r="AF242" s="22">
        <v>43949</v>
      </c>
      <c r="AG242" s="22" t="s">
        <v>482</v>
      </c>
      <c r="AH242" s="24">
        <v>1</v>
      </c>
      <c r="AI242" s="24">
        <v>1</v>
      </c>
      <c r="AJ242" s="24">
        <v>1</v>
      </c>
      <c r="AK242" s="22" t="s">
        <v>483</v>
      </c>
      <c r="AL242" s="10"/>
      <c r="AM242" s="10"/>
      <c r="AN242" s="10"/>
    </row>
    <row r="243" spans="2:40" ht="15" x14ac:dyDescent="0.2">
      <c r="B243" s="72">
        <f t="shared" si="0"/>
        <v>16</v>
      </c>
      <c r="C243" s="16">
        <v>20200428</v>
      </c>
      <c r="D243" s="10" t="s">
        <v>476</v>
      </c>
      <c r="E243" s="10" t="s">
        <v>391</v>
      </c>
      <c r="F243" s="43" t="s">
        <v>780</v>
      </c>
      <c r="G243" s="19">
        <v>1417033</v>
      </c>
      <c r="H243" s="20" t="s">
        <v>1</v>
      </c>
      <c r="I243" s="10" t="s">
        <v>123</v>
      </c>
      <c r="J243" s="20" t="s">
        <v>1</v>
      </c>
      <c r="K243" s="10" t="s">
        <v>478</v>
      </c>
      <c r="L243" s="10" t="s">
        <v>483</v>
      </c>
      <c r="M243" s="10" t="s">
        <v>164</v>
      </c>
      <c r="N243" s="10" t="s">
        <v>657</v>
      </c>
      <c r="O243" s="19" t="s">
        <v>1</v>
      </c>
      <c r="P243" s="19" t="s">
        <v>779</v>
      </c>
      <c r="Q243" s="21"/>
      <c r="R243" s="20" t="s">
        <v>1</v>
      </c>
      <c r="S243" s="10" t="s">
        <v>40</v>
      </c>
      <c r="T243" s="10"/>
      <c r="U243" s="10"/>
      <c r="V243" s="10">
        <v>61</v>
      </c>
      <c r="W243" s="10">
        <f t="shared" si="1"/>
        <v>61</v>
      </c>
      <c r="X243" s="10">
        <f t="shared" si="1"/>
        <v>61</v>
      </c>
      <c r="Y243" s="10">
        <f>ROUNDDOWN(W243/HLOOKUP(D243,[1]Table!$C$3:$D$4,2,0)*8,2)</f>
        <v>1.08</v>
      </c>
      <c r="Z243" s="10">
        <v>0.5</v>
      </c>
      <c r="AA243" s="10" t="s">
        <v>750</v>
      </c>
      <c r="AB243" s="22">
        <v>43956</v>
      </c>
      <c r="AC243" s="22">
        <v>43949</v>
      </c>
      <c r="AD243" s="22">
        <v>43956</v>
      </c>
      <c r="AE243" s="22">
        <v>43949</v>
      </c>
      <c r="AF243" s="22">
        <v>43949</v>
      </c>
      <c r="AG243" s="22" t="s">
        <v>482</v>
      </c>
      <c r="AH243" s="24">
        <v>1</v>
      </c>
      <c r="AI243" s="24">
        <v>1</v>
      </c>
      <c r="AJ243" s="24">
        <v>1</v>
      </c>
      <c r="AK243" s="22" t="s">
        <v>483</v>
      </c>
      <c r="AL243" s="10"/>
      <c r="AM243" s="10"/>
      <c r="AN243" s="10"/>
    </row>
    <row r="244" spans="2:40" ht="15" x14ac:dyDescent="0.2">
      <c r="B244" s="36">
        <f t="shared" si="0"/>
        <v>17</v>
      </c>
      <c r="C244" s="16">
        <v>20200429</v>
      </c>
      <c r="D244" s="10" t="s">
        <v>476</v>
      </c>
      <c r="E244" s="10" t="s">
        <v>392</v>
      </c>
      <c r="F244" s="43" t="s">
        <v>781</v>
      </c>
      <c r="G244" s="19">
        <v>1439430</v>
      </c>
      <c r="H244" s="20" t="s">
        <v>1</v>
      </c>
      <c r="I244" s="10" t="s">
        <v>782</v>
      </c>
      <c r="J244" s="20" t="s">
        <v>1</v>
      </c>
      <c r="K244" s="10" t="s">
        <v>478</v>
      </c>
      <c r="L244" s="10" t="s">
        <v>783</v>
      </c>
      <c r="M244" s="10" t="s">
        <v>784</v>
      </c>
      <c r="N244" s="10" t="s">
        <v>785</v>
      </c>
      <c r="O244" s="19" t="s">
        <v>1</v>
      </c>
      <c r="P244" s="19" t="s">
        <v>786</v>
      </c>
      <c r="Q244" s="21"/>
      <c r="R244" s="20" t="s">
        <v>1</v>
      </c>
      <c r="S244" s="10" t="s">
        <v>41</v>
      </c>
      <c r="T244" s="10"/>
      <c r="U244" s="10"/>
      <c r="V244" s="10">
        <v>431</v>
      </c>
      <c r="W244" s="10">
        <f t="shared" si="1"/>
        <v>431</v>
      </c>
      <c r="X244" s="10">
        <f t="shared" si="1"/>
        <v>431</v>
      </c>
      <c r="Y244" s="10">
        <f>ROUNDDOWN(W244/HLOOKUP(D244,[1]Table!$C$3:$D$4,2,0)*8,2)</f>
        <v>7.66</v>
      </c>
      <c r="Z244" s="10">
        <v>1</v>
      </c>
      <c r="AA244" s="10" t="s">
        <v>481</v>
      </c>
      <c r="AB244" s="22">
        <v>43957</v>
      </c>
      <c r="AC244" s="22">
        <v>43950</v>
      </c>
      <c r="AD244" s="22">
        <v>43957</v>
      </c>
      <c r="AE244" s="22">
        <v>43956</v>
      </c>
      <c r="AF244" s="22">
        <v>43956</v>
      </c>
      <c r="AG244" s="22" t="s">
        <v>482</v>
      </c>
      <c r="AH244" s="24">
        <v>1</v>
      </c>
      <c r="AI244" s="24">
        <v>1</v>
      </c>
      <c r="AJ244" s="24">
        <v>1</v>
      </c>
      <c r="AK244" s="22" t="s">
        <v>483</v>
      </c>
      <c r="AL244" s="10"/>
      <c r="AM244" s="10"/>
      <c r="AN244" s="10"/>
    </row>
    <row r="245" spans="2:40" ht="15" x14ac:dyDescent="0.2">
      <c r="B245" s="36">
        <f t="shared" si="0"/>
        <v>18</v>
      </c>
      <c r="C245" s="16">
        <v>20200429</v>
      </c>
      <c r="D245" s="10" t="s">
        <v>476</v>
      </c>
      <c r="E245" s="10" t="s">
        <v>392</v>
      </c>
      <c r="F245" s="43" t="s">
        <v>787</v>
      </c>
      <c r="G245" s="19">
        <v>1439430</v>
      </c>
      <c r="H245" s="20" t="s">
        <v>1</v>
      </c>
      <c r="I245" s="10" t="s">
        <v>788</v>
      </c>
      <c r="J245" s="20" t="s">
        <v>1</v>
      </c>
      <c r="K245" s="10" t="s">
        <v>478</v>
      </c>
      <c r="L245" s="10" t="s">
        <v>783</v>
      </c>
      <c r="M245" s="10" t="s">
        <v>784</v>
      </c>
      <c r="N245" s="10" t="s">
        <v>785</v>
      </c>
      <c r="O245" s="19" t="s">
        <v>1</v>
      </c>
      <c r="P245" s="19" t="s">
        <v>786</v>
      </c>
      <c r="Q245" s="21"/>
      <c r="R245" s="20" t="s">
        <v>1</v>
      </c>
      <c r="S245" s="10" t="s">
        <v>41</v>
      </c>
      <c r="T245" s="10"/>
      <c r="U245" s="10"/>
      <c r="V245" s="10">
        <v>184</v>
      </c>
      <c r="W245" s="10">
        <f t="shared" si="1"/>
        <v>184</v>
      </c>
      <c r="X245" s="10">
        <f t="shared" si="1"/>
        <v>184</v>
      </c>
      <c r="Y245" s="10">
        <f>ROUNDDOWN(W245/HLOOKUP(D245,[1]Table!$C$3:$D$4,2,0)*8,2)</f>
        <v>3.27</v>
      </c>
      <c r="Z245" s="10">
        <v>1</v>
      </c>
      <c r="AA245" s="10" t="s">
        <v>481</v>
      </c>
      <c r="AB245" s="22">
        <v>43957</v>
      </c>
      <c r="AC245" s="22">
        <v>43950</v>
      </c>
      <c r="AD245" s="22">
        <v>43957</v>
      </c>
      <c r="AE245" s="22">
        <v>43956</v>
      </c>
      <c r="AF245" s="22">
        <v>43956</v>
      </c>
      <c r="AG245" s="22" t="s">
        <v>482</v>
      </c>
      <c r="AH245" s="24">
        <v>1</v>
      </c>
      <c r="AI245" s="24">
        <v>1</v>
      </c>
      <c r="AJ245" s="24">
        <v>1</v>
      </c>
      <c r="AK245" s="22" t="s">
        <v>483</v>
      </c>
      <c r="AL245" s="10"/>
      <c r="AM245" s="10"/>
      <c r="AN245" s="10"/>
    </row>
    <row r="246" spans="2:40" ht="15" x14ac:dyDescent="0.2">
      <c r="B246" s="36">
        <f t="shared" si="0"/>
        <v>19</v>
      </c>
      <c r="C246" s="16">
        <v>20200429</v>
      </c>
      <c r="D246" s="10" t="s">
        <v>476</v>
      </c>
      <c r="E246" s="10" t="s">
        <v>156</v>
      </c>
      <c r="F246" s="43" t="s">
        <v>631</v>
      </c>
      <c r="G246" s="19">
        <v>1416489</v>
      </c>
      <c r="H246" s="20" t="s">
        <v>1</v>
      </c>
      <c r="I246" s="10" t="s">
        <v>159</v>
      </c>
      <c r="J246" s="20" t="s">
        <v>1</v>
      </c>
      <c r="K246" s="10" t="s">
        <v>478</v>
      </c>
      <c r="L246" s="10" t="s">
        <v>789</v>
      </c>
      <c r="M246" s="10" t="s">
        <v>158</v>
      </c>
      <c r="N246" s="10" t="s">
        <v>629</v>
      </c>
      <c r="O246" s="19" t="s">
        <v>1</v>
      </c>
      <c r="P246" s="19" t="s">
        <v>630</v>
      </c>
      <c r="Q246" s="21"/>
      <c r="R246" s="20" t="s">
        <v>1</v>
      </c>
      <c r="S246" s="10" t="s">
        <v>40</v>
      </c>
      <c r="T246" s="10"/>
      <c r="U246" s="10"/>
      <c r="V246" s="10">
        <v>332</v>
      </c>
      <c r="W246" s="39">
        <v>636</v>
      </c>
      <c r="X246" s="10">
        <f t="shared" si="1"/>
        <v>636</v>
      </c>
      <c r="Y246" s="10">
        <f>ROUNDDOWN(W246/HLOOKUP(D246,[1]Table!$C$3:$D$4,2,0)*8,2)</f>
        <v>11.3</v>
      </c>
      <c r="Z246" s="67">
        <v>2</v>
      </c>
      <c r="AA246" s="33" t="s">
        <v>750</v>
      </c>
      <c r="AB246" s="22">
        <v>43957</v>
      </c>
      <c r="AC246" s="22">
        <v>43950</v>
      </c>
      <c r="AD246" s="22">
        <v>43957</v>
      </c>
      <c r="AE246" s="75">
        <v>43956</v>
      </c>
      <c r="AF246" s="75">
        <v>43956</v>
      </c>
      <c r="AG246" s="75" t="s">
        <v>482</v>
      </c>
      <c r="AH246" s="76">
        <v>1</v>
      </c>
      <c r="AI246" s="76">
        <v>1</v>
      </c>
      <c r="AJ246" s="76">
        <v>1</v>
      </c>
      <c r="AK246" s="75" t="s">
        <v>483</v>
      </c>
      <c r="AM246" s="10"/>
      <c r="AN246" s="10" t="s">
        <v>790</v>
      </c>
    </row>
    <row r="247" spans="2:40" ht="15" x14ac:dyDescent="0.2">
      <c r="B247" s="36">
        <f t="shared" si="0"/>
        <v>20</v>
      </c>
      <c r="C247" s="16">
        <v>20200429</v>
      </c>
      <c r="D247" s="10" t="s">
        <v>476</v>
      </c>
      <c r="E247" s="10" t="s">
        <v>391</v>
      </c>
      <c r="F247" s="43" t="s">
        <v>791</v>
      </c>
      <c r="G247" s="19">
        <v>1442021</v>
      </c>
      <c r="H247" s="20" t="s">
        <v>1</v>
      </c>
      <c r="I247" s="10" t="s">
        <v>792</v>
      </c>
      <c r="J247" s="20" t="s">
        <v>1</v>
      </c>
      <c r="K247" s="10" t="s">
        <v>478</v>
      </c>
      <c r="L247" s="10" t="s">
        <v>483</v>
      </c>
      <c r="M247" s="10" t="s">
        <v>164</v>
      </c>
      <c r="N247" s="10" t="s">
        <v>657</v>
      </c>
      <c r="O247" s="19" t="s">
        <v>1</v>
      </c>
      <c r="P247" s="19" t="s">
        <v>793</v>
      </c>
      <c r="Q247" s="21"/>
      <c r="R247" s="20" t="s">
        <v>1</v>
      </c>
      <c r="S247" s="10" t="s">
        <v>40</v>
      </c>
      <c r="T247" s="10"/>
      <c r="U247" s="10"/>
      <c r="V247" s="10">
        <v>163</v>
      </c>
      <c r="W247" s="10">
        <f t="shared" si="1"/>
        <v>163</v>
      </c>
      <c r="X247" s="10">
        <f t="shared" si="1"/>
        <v>163</v>
      </c>
      <c r="Y247" s="10">
        <f>ROUNDDOWN(W247/HLOOKUP(D247,[1]Table!$C$3:$D$4,2,0)*8,2)</f>
        <v>2.89</v>
      </c>
      <c r="Z247" s="10">
        <v>2</v>
      </c>
      <c r="AA247" s="10" t="s">
        <v>794</v>
      </c>
      <c r="AB247" s="22">
        <v>43957</v>
      </c>
      <c r="AC247" s="22">
        <v>43950</v>
      </c>
      <c r="AD247" s="22">
        <v>43957</v>
      </c>
      <c r="AE247" s="22">
        <v>43956</v>
      </c>
      <c r="AF247" s="22">
        <v>43956</v>
      </c>
      <c r="AG247" s="22" t="s">
        <v>489</v>
      </c>
      <c r="AH247" s="24">
        <v>1</v>
      </c>
      <c r="AI247" s="24">
        <v>0.91</v>
      </c>
      <c r="AJ247" s="24">
        <v>0.66</v>
      </c>
      <c r="AK247" s="22" t="s">
        <v>490</v>
      </c>
      <c r="AL247" s="10" t="s">
        <v>795</v>
      </c>
      <c r="AM247" s="10"/>
      <c r="AN247" s="33" t="s">
        <v>796</v>
      </c>
    </row>
    <row r="248" spans="2:40" ht="15" x14ac:dyDescent="0.2">
      <c r="B248" s="18">
        <f t="shared" si="0"/>
        <v>21</v>
      </c>
      <c r="C248" s="16">
        <v>20200429</v>
      </c>
      <c r="D248" s="10" t="s">
        <v>797</v>
      </c>
      <c r="E248" s="10" t="s">
        <v>393</v>
      </c>
      <c r="F248" s="77" t="s">
        <v>1</v>
      </c>
      <c r="G248" s="19">
        <v>1445483</v>
      </c>
      <c r="H248" s="20" t="s">
        <v>1</v>
      </c>
      <c r="I248" s="10" t="s">
        <v>798</v>
      </c>
      <c r="J248" s="20" t="s">
        <v>1</v>
      </c>
      <c r="K248" s="10" t="s">
        <v>548</v>
      </c>
      <c r="L248" s="10" t="s">
        <v>483</v>
      </c>
      <c r="M248" s="10" t="s">
        <v>483</v>
      </c>
      <c r="N248" s="10" t="s">
        <v>799</v>
      </c>
      <c r="O248" s="19" t="s">
        <v>800</v>
      </c>
      <c r="P248" s="19" t="s">
        <v>801</v>
      </c>
      <c r="Q248" s="21"/>
      <c r="R248" s="20" t="s">
        <v>1</v>
      </c>
      <c r="S248" s="10" t="s">
        <v>219</v>
      </c>
      <c r="T248" s="10"/>
      <c r="U248" s="10"/>
      <c r="V248" s="10">
        <f>42*2</f>
        <v>84</v>
      </c>
      <c r="W248" s="10">
        <f t="shared" si="1"/>
        <v>84</v>
      </c>
      <c r="X248" s="10">
        <f t="shared" si="1"/>
        <v>84</v>
      </c>
      <c r="Y248" s="10">
        <f>ROUNDDOWN(W248/HLOOKUP(D248,[1]Table!$C$3:$D$4,2,0)*8,2)</f>
        <v>5.16</v>
      </c>
      <c r="Z248" s="10">
        <v>4</v>
      </c>
      <c r="AA248" s="10" t="s">
        <v>750</v>
      </c>
      <c r="AB248" s="22">
        <v>43958</v>
      </c>
      <c r="AC248" s="22">
        <v>43955</v>
      </c>
      <c r="AD248" s="22">
        <v>43959</v>
      </c>
      <c r="AE248" s="22">
        <v>43957</v>
      </c>
      <c r="AF248" s="22">
        <v>43957</v>
      </c>
      <c r="AG248" s="22" t="s">
        <v>489</v>
      </c>
      <c r="AH248" s="24">
        <v>0.93799999999999994</v>
      </c>
      <c r="AI248" s="24">
        <v>0.94699999999999995</v>
      </c>
      <c r="AJ248" s="24">
        <v>1</v>
      </c>
      <c r="AK248" s="22" t="s">
        <v>483</v>
      </c>
      <c r="AL248" s="19" t="s">
        <v>802</v>
      </c>
      <c r="AM248" s="10"/>
      <c r="AN248" s="10"/>
    </row>
    <row r="249" spans="2:40" ht="15" x14ac:dyDescent="0.2">
      <c r="B249" s="18">
        <f t="shared" si="0"/>
        <v>22</v>
      </c>
      <c r="C249" s="16">
        <v>20200429</v>
      </c>
      <c r="D249" s="10" t="s">
        <v>476</v>
      </c>
      <c r="E249" s="10" t="s">
        <v>394</v>
      </c>
      <c r="F249" s="43" t="s">
        <v>803</v>
      </c>
      <c r="G249" s="19">
        <v>1373116</v>
      </c>
      <c r="H249" s="20" t="s">
        <v>1</v>
      </c>
      <c r="I249" s="10" t="s">
        <v>340</v>
      </c>
      <c r="J249" s="20" t="s">
        <v>1</v>
      </c>
      <c r="K249" s="10" t="s">
        <v>548</v>
      </c>
      <c r="L249" s="10" t="s">
        <v>483</v>
      </c>
      <c r="M249" s="10" t="s">
        <v>483</v>
      </c>
      <c r="N249" s="10" t="s">
        <v>804</v>
      </c>
      <c r="O249" s="19" t="s">
        <v>1</v>
      </c>
      <c r="P249" s="19" t="s">
        <v>805</v>
      </c>
      <c r="Q249" s="21"/>
      <c r="R249" s="20" t="s">
        <v>1</v>
      </c>
      <c r="S249" s="10" t="s">
        <v>261</v>
      </c>
      <c r="T249" s="10"/>
      <c r="U249" s="10"/>
      <c r="V249" s="10">
        <f>632*2</f>
        <v>1264</v>
      </c>
      <c r="W249" s="10">
        <f t="shared" si="1"/>
        <v>1264</v>
      </c>
      <c r="X249" s="10">
        <f t="shared" si="1"/>
        <v>1264</v>
      </c>
      <c r="Y249" s="10">
        <f>ROUNDDOWN(W249/HLOOKUP(D249,[1]Table!$C$3:$D$4,2,0)*8,2)</f>
        <v>22.47</v>
      </c>
      <c r="Z249" s="10">
        <v>8</v>
      </c>
      <c r="AA249" s="10" t="s">
        <v>750</v>
      </c>
      <c r="AB249" s="22">
        <v>43958</v>
      </c>
      <c r="AC249" s="22">
        <v>43955</v>
      </c>
      <c r="AD249" s="22">
        <v>43959</v>
      </c>
      <c r="AE249" s="22">
        <v>43955</v>
      </c>
      <c r="AF249" s="22">
        <v>43955</v>
      </c>
      <c r="AG249" s="22" t="s">
        <v>482</v>
      </c>
      <c r="AH249" s="24">
        <v>1</v>
      </c>
      <c r="AI249" s="24">
        <v>1</v>
      </c>
      <c r="AJ249" s="24">
        <v>1</v>
      </c>
      <c r="AK249" s="22" t="s">
        <v>483</v>
      </c>
      <c r="AL249" s="10" t="s">
        <v>1</v>
      </c>
      <c r="AM249" s="10" t="s">
        <v>1</v>
      </c>
      <c r="AN249" s="10" t="s">
        <v>1</v>
      </c>
    </row>
    <row r="250" spans="2:40" ht="15" x14ac:dyDescent="0.2">
      <c r="B250" s="18">
        <f t="shared" si="0"/>
        <v>23</v>
      </c>
      <c r="C250" s="16">
        <v>20200429</v>
      </c>
      <c r="D250" s="10" t="s">
        <v>476</v>
      </c>
      <c r="E250" s="10" t="s">
        <v>394</v>
      </c>
      <c r="F250" s="43" t="s">
        <v>803</v>
      </c>
      <c r="G250" s="19">
        <v>1373116</v>
      </c>
      <c r="H250" s="20" t="s">
        <v>1</v>
      </c>
      <c r="I250" s="10" t="s">
        <v>806</v>
      </c>
      <c r="J250" s="20" t="s">
        <v>1</v>
      </c>
      <c r="K250" s="10" t="s">
        <v>548</v>
      </c>
      <c r="L250" s="10" t="s">
        <v>483</v>
      </c>
      <c r="M250" s="10" t="s">
        <v>483</v>
      </c>
      <c r="N250" s="10" t="s">
        <v>804</v>
      </c>
      <c r="O250" s="19" t="s">
        <v>1</v>
      </c>
      <c r="P250" s="19" t="s">
        <v>805</v>
      </c>
      <c r="Q250" s="21"/>
      <c r="R250" s="20" t="s">
        <v>1</v>
      </c>
      <c r="S250" s="10" t="s">
        <v>260</v>
      </c>
      <c r="T250" s="10"/>
      <c r="U250" s="10"/>
      <c r="V250" s="10">
        <f>162*2</f>
        <v>324</v>
      </c>
      <c r="W250" s="10">
        <f t="shared" si="1"/>
        <v>324</v>
      </c>
      <c r="X250" s="10">
        <f t="shared" si="1"/>
        <v>324</v>
      </c>
      <c r="Y250" s="10">
        <f>ROUNDDOWN(W250/HLOOKUP(D250,[1]Table!$C$3:$D$4,2,0)*8,2)</f>
        <v>5.76</v>
      </c>
      <c r="Z250" s="10">
        <v>3</v>
      </c>
      <c r="AA250" s="10" t="s">
        <v>750</v>
      </c>
      <c r="AB250" s="22">
        <v>43958</v>
      </c>
      <c r="AC250" s="22">
        <v>43955</v>
      </c>
      <c r="AD250" s="22">
        <v>43959</v>
      </c>
      <c r="AE250" s="22">
        <v>43955</v>
      </c>
      <c r="AF250" s="22">
        <v>43955</v>
      </c>
      <c r="AG250" s="22" t="s">
        <v>482</v>
      </c>
      <c r="AH250" s="24">
        <v>1</v>
      </c>
      <c r="AI250" s="24">
        <v>1</v>
      </c>
      <c r="AJ250" s="24">
        <v>1</v>
      </c>
      <c r="AK250" s="22" t="s">
        <v>483</v>
      </c>
      <c r="AL250" s="10" t="s">
        <v>1</v>
      </c>
      <c r="AM250" s="10" t="s">
        <v>1</v>
      </c>
      <c r="AN250" s="10" t="s">
        <v>1</v>
      </c>
    </row>
    <row r="251" spans="2:40" ht="63.75" x14ac:dyDescent="0.2">
      <c r="B251" s="18">
        <f t="shared" si="0"/>
        <v>24</v>
      </c>
      <c r="C251" s="16">
        <v>20200429</v>
      </c>
      <c r="D251" s="10" t="s">
        <v>797</v>
      </c>
      <c r="E251" s="10" t="s">
        <v>395</v>
      </c>
      <c r="F251" s="77" t="s">
        <v>1</v>
      </c>
      <c r="G251" s="19">
        <v>1352203</v>
      </c>
      <c r="H251" s="20" t="s">
        <v>1</v>
      </c>
      <c r="I251" s="10" t="s">
        <v>807</v>
      </c>
      <c r="J251" s="20" t="s">
        <v>1</v>
      </c>
      <c r="K251" s="10" t="s">
        <v>548</v>
      </c>
      <c r="L251" s="10" t="s">
        <v>483</v>
      </c>
      <c r="M251" s="10" t="s">
        <v>483</v>
      </c>
      <c r="N251" s="10">
        <v>1352203</v>
      </c>
      <c r="O251" s="19" t="s">
        <v>800</v>
      </c>
      <c r="P251" s="19" t="s">
        <v>808</v>
      </c>
      <c r="Q251" s="21"/>
      <c r="R251" s="20" t="s">
        <v>1</v>
      </c>
      <c r="S251" s="10" t="s">
        <v>279</v>
      </c>
      <c r="T251" s="10"/>
      <c r="U251" s="10"/>
      <c r="V251" s="10">
        <f>18*2</f>
        <v>36</v>
      </c>
      <c r="W251" s="10">
        <f t="shared" si="1"/>
        <v>36</v>
      </c>
      <c r="X251" s="10">
        <f t="shared" si="1"/>
        <v>36</v>
      </c>
      <c r="Y251" s="10">
        <f>ROUNDDOWN(W251/HLOOKUP(D251,[1]Table!$C$3:$D$4,2,0)*8,2)</f>
        <v>2.21</v>
      </c>
      <c r="Z251" s="10">
        <v>1</v>
      </c>
      <c r="AA251" s="10" t="s">
        <v>750</v>
      </c>
      <c r="AB251" s="22">
        <v>43958</v>
      </c>
      <c r="AC251" s="22">
        <v>43955</v>
      </c>
      <c r="AD251" s="22">
        <v>43959</v>
      </c>
      <c r="AE251" s="22">
        <v>43955</v>
      </c>
      <c r="AF251" s="22">
        <v>43955</v>
      </c>
      <c r="AG251" s="22" t="s">
        <v>489</v>
      </c>
      <c r="AH251" s="24">
        <v>1</v>
      </c>
      <c r="AI251" s="24">
        <v>1</v>
      </c>
      <c r="AJ251" s="24">
        <v>0.83299999999999996</v>
      </c>
      <c r="AK251" s="22" t="s">
        <v>490</v>
      </c>
      <c r="AL251" s="10" t="s">
        <v>809</v>
      </c>
      <c r="AM251" s="10"/>
      <c r="AN251" s="78" t="s">
        <v>810</v>
      </c>
    </row>
    <row r="252" spans="2:40" ht="15" x14ac:dyDescent="0.2">
      <c r="B252" s="18">
        <f t="shared" si="0"/>
        <v>25</v>
      </c>
      <c r="C252" s="16">
        <v>20200429</v>
      </c>
      <c r="D252" s="10" t="s">
        <v>797</v>
      </c>
      <c r="E252" s="10" t="s">
        <v>395</v>
      </c>
      <c r="F252" s="77" t="s">
        <v>1</v>
      </c>
      <c r="G252" s="19">
        <v>1352203</v>
      </c>
      <c r="H252" s="20" t="s">
        <v>1</v>
      </c>
      <c r="I252" s="10" t="s">
        <v>811</v>
      </c>
      <c r="J252" s="20" t="s">
        <v>1</v>
      </c>
      <c r="K252" s="10" t="s">
        <v>548</v>
      </c>
      <c r="L252" s="10" t="s">
        <v>483</v>
      </c>
      <c r="M252" s="10" t="s">
        <v>483</v>
      </c>
      <c r="N252" s="10">
        <v>1352203</v>
      </c>
      <c r="O252" s="19" t="s">
        <v>812</v>
      </c>
      <c r="P252" s="19" t="s">
        <v>808</v>
      </c>
      <c r="Q252" s="21"/>
      <c r="R252" s="20" t="s">
        <v>1</v>
      </c>
      <c r="S252" s="10" t="s">
        <v>279</v>
      </c>
      <c r="T252" s="10"/>
      <c r="U252" s="10"/>
      <c r="V252" s="10">
        <f>58*2</f>
        <v>116</v>
      </c>
      <c r="W252" s="10">
        <f t="shared" si="1"/>
        <v>116</v>
      </c>
      <c r="X252" s="10">
        <f>W252</f>
        <v>116</v>
      </c>
      <c r="Y252" s="10">
        <f>ROUNDDOWN(W252/HLOOKUP(D252,[1]Table!$C$3:$D$4,2,0)*8,2)</f>
        <v>7.13</v>
      </c>
      <c r="Z252" s="10">
        <v>8</v>
      </c>
      <c r="AA252" s="10" t="s">
        <v>750</v>
      </c>
      <c r="AB252" s="22">
        <v>43958</v>
      </c>
      <c r="AC252" s="22">
        <v>43955</v>
      </c>
      <c r="AD252" s="22">
        <v>43959</v>
      </c>
      <c r="AE252" s="22">
        <v>43957</v>
      </c>
      <c r="AF252" s="22">
        <v>43957</v>
      </c>
      <c r="AG252" s="22" t="s">
        <v>482</v>
      </c>
      <c r="AH252" s="24">
        <v>1</v>
      </c>
      <c r="AI252" s="24">
        <v>1</v>
      </c>
      <c r="AJ252" s="24">
        <v>1</v>
      </c>
      <c r="AK252" s="22" t="s">
        <v>483</v>
      </c>
      <c r="AL252" s="10"/>
      <c r="AM252" s="10"/>
      <c r="AN252" s="41" t="s">
        <v>813</v>
      </c>
    </row>
    <row r="253" spans="2:40" ht="409.5" x14ac:dyDescent="0.2">
      <c r="B253" s="18">
        <f t="shared" si="0"/>
        <v>26</v>
      </c>
      <c r="C253" s="16">
        <v>20200429</v>
      </c>
      <c r="D253" s="10" t="s">
        <v>797</v>
      </c>
      <c r="E253" s="10" t="s">
        <v>395</v>
      </c>
      <c r="F253" s="77" t="s">
        <v>1</v>
      </c>
      <c r="G253" s="19">
        <v>1352203</v>
      </c>
      <c r="H253" s="20" t="s">
        <v>1</v>
      </c>
      <c r="I253" s="10" t="s">
        <v>814</v>
      </c>
      <c r="J253" s="20" t="s">
        <v>1</v>
      </c>
      <c r="K253" s="10" t="s">
        <v>548</v>
      </c>
      <c r="L253" s="10" t="s">
        <v>483</v>
      </c>
      <c r="M253" s="10" t="s">
        <v>483</v>
      </c>
      <c r="N253" s="10">
        <v>1352203</v>
      </c>
      <c r="O253" s="19" t="s">
        <v>815</v>
      </c>
      <c r="P253" s="19" t="s">
        <v>808</v>
      </c>
      <c r="Q253" s="21"/>
      <c r="R253" s="20" t="s">
        <v>1</v>
      </c>
      <c r="S253" s="10" t="s">
        <v>219</v>
      </c>
      <c r="T253" s="10"/>
      <c r="U253" s="10"/>
      <c r="V253" s="79">
        <v>28</v>
      </c>
      <c r="W253" s="21">
        <f>41*2</f>
        <v>82</v>
      </c>
      <c r="X253" s="10">
        <f>W253</f>
        <v>82</v>
      </c>
      <c r="Y253" s="10">
        <f>ROUNDDOWN(W253/HLOOKUP(D253,[1]Table!$C$3:$D$4,2,0)*8,2)</f>
        <v>5.04</v>
      </c>
      <c r="Z253" s="10">
        <v>4</v>
      </c>
      <c r="AA253" s="10" t="s">
        <v>750</v>
      </c>
      <c r="AB253" s="22">
        <v>43958</v>
      </c>
      <c r="AC253" s="22">
        <v>43955</v>
      </c>
      <c r="AD253" s="22">
        <v>43959</v>
      </c>
      <c r="AE253" s="22">
        <v>43957</v>
      </c>
      <c r="AF253" s="22">
        <v>43957</v>
      </c>
      <c r="AG253" s="22" t="s">
        <v>489</v>
      </c>
      <c r="AH253" s="24">
        <v>1</v>
      </c>
      <c r="AI253" s="24">
        <v>1</v>
      </c>
      <c r="AJ253" s="24">
        <v>0.77800000000000002</v>
      </c>
      <c r="AK253" s="22" t="s">
        <v>490</v>
      </c>
      <c r="AL253" s="34" t="s">
        <v>816</v>
      </c>
      <c r="AM253" s="10"/>
      <c r="AN253" s="10"/>
    </row>
    <row r="254" spans="2:40" ht="15" x14ac:dyDescent="0.2">
      <c r="B254" s="18">
        <f t="shared" si="0"/>
        <v>27</v>
      </c>
      <c r="C254" s="16">
        <v>20200429</v>
      </c>
      <c r="D254" s="10" t="s">
        <v>797</v>
      </c>
      <c r="E254" s="10" t="s">
        <v>395</v>
      </c>
      <c r="F254" s="77" t="s">
        <v>1</v>
      </c>
      <c r="G254" s="19">
        <v>1352203</v>
      </c>
      <c r="H254" s="20" t="s">
        <v>1</v>
      </c>
      <c r="I254" s="10" t="s">
        <v>817</v>
      </c>
      <c r="J254" s="20" t="s">
        <v>1</v>
      </c>
      <c r="K254" s="10" t="s">
        <v>548</v>
      </c>
      <c r="L254" s="10" t="s">
        <v>483</v>
      </c>
      <c r="M254" s="10" t="s">
        <v>483</v>
      </c>
      <c r="N254" s="10">
        <v>1352203</v>
      </c>
      <c r="O254" s="19" t="s">
        <v>818</v>
      </c>
      <c r="P254" s="19" t="s">
        <v>808</v>
      </c>
      <c r="Q254" s="21"/>
      <c r="R254" s="20" t="s">
        <v>1</v>
      </c>
      <c r="S254" s="10" t="s">
        <v>261</v>
      </c>
      <c r="T254" s="10"/>
      <c r="U254" s="10"/>
      <c r="V254" s="10">
        <f>4*2</f>
        <v>8</v>
      </c>
      <c r="W254" s="10">
        <f t="shared" si="1"/>
        <v>8</v>
      </c>
      <c r="X254" s="10">
        <v>8</v>
      </c>
      <c r="Y254" s="10">
        <f>ROUNDDOWN(W254/HLOOKUP(D254,[1]Table!$C$3:$D$4,2,0)*8,2)</f>
        <v>0.49</v>
      </c>
      <c r="Z254" s="10">
        <v>0.5</v>
      </c>
      <c r="AA254" s="10" t="s">
        <v>750</v>
      </c>
      <c r="AB254" s="22">
        <v>43958</v>
      </c>
      <c r="AC254" s="22">
        <v>43955</v>
      </c>
      <c r="AD254" s="22">
        <v>43959</v>
      </c>
      <c r="AE254" s="22">
        <v>43957</v>
      </c>
      <c r="AF254" s="22">
        <v>43957</v>
      </c>
      <c r="AG254" s="22" t="s">
        <v>482</v>
      </c>
      <c r="AH254" s="24">
        <v>1</v>
      </c>
      <c r="AI254" s="24">
        <v>1</v>
      </c>
      <c r="AJ254" s="24">
        <v>1</v>
      </c>
      <c r="AK254" s="22" t="s">
        <v>483</v>
      </c>
      <c r="AL254" s="10" t="s">
        <v>1</v>
      </c>
      <c r="AM254" s="10" t="s">
        <v>1</v>
      </c>
      <c r="AN254" s="10" t="s">
        <v>1</v>
      </c>
    </row>
    <row r="255" spans="2:40" ht="15" x14ac:dyDescent="0.2">
      <c r="B255" s="80">
        <f t="shared" si="0"/>
        <v>28</v>
      </c>
      <c r="C255" s="16">
        <v>20200429</v>
      </c>
      <c r="D255" s="10" t="s">
        <v>476</v>
      </c>
      <c r="E255" s="10" t="s">
        <v>396</v>
      </c>
      <c r="F255" s="43" t="s">
        <v>819</v>
      </c>
      <c r="G255" s="81">
        <v>1411876</v>
      </c>
      <c r="H255" s="82" t="s">
        <v>1</v>
      </c>
      <c r="I255" s="83" t="s">
        <v>820</v>
      </c>
      <c r="J255" s="82" t="s">
        <v>1</v>
      </c>
      <c r="K255" s="83" t="s">
        <v>478</v>
      </c>
      <c r="L255" s="83" t="s">
        <v>483</v>
      </c>
      <c r="M255" s="83" t="s">
        <v>483</v>
      </c>
      <c r="N255" s="83" t="s">
        <v>821</v>
      </c>
      <c r="O255" s="81" t="s">
        <v>1</v>
      </c>
      <c r="P255" s="81" t="s">
        <v>822</v>
      </c>
      <c r="Q255" s="84"/>
      <c r="R255" s="82" t="s">
        <v>1</v>
      </c>
      <c r="S255" s="83" t="s">
        <v>219</v>
      </c>
      <c r="T255" s="83"/>
      <c r="U255" s="83"/>
      <c r="V255" s="83">
        <v>92</v>
      </c>
      <c r="W255" s="10">
        <f t="shared" si="1"/>
        <v>92</v>
      </c>
      <c r="X255" s="10">
        <f>W255</f>
        <v>92</v>
      </c>
      <c r="Y255" s="10">
        <f>ROUNDDOWN(W255/HLOOKUP(D255,[1]Table!$C$3:$D$4,2,0)*8,2)</f>
        <v>1.63</v>
      </c>
      <c r="Z255" s="10">
        <v>1</v>
      </c>
      <c r="AA255" s="10" t="s">
        <v>823</v>
      </c>
      <c r="AB255" s="22"/>
      <c r="AC255" s="22">
        <v>43955</v>
      </c>
      <c r="AD255" s="22">
        <v>43966</v>
      </c>
      <c r="AE255" s="22">
        <v>43959</v>
      </c>
      <c r="AF255" s="22">
        <v>43959</v>
      </c>
      <c r="AG255" s="22" t="s">
        <v>482</v>
      </c>
      <c r="AH255" s="24">
        <v>1</v>
      </c>
      <c r="AI255" s="24">
        <v>1</v>
      </c>
      <c r="AJ255" s="24">
        <v>1</v>
      </c>
      <c r="AK255" s="22" t="s">
        <v>483</v>
      </c>
      <c r="AL255" s="10" t="s">
        <v>1</v>
      </c>
      <c r="AM255" s="10" t="s">
        <v>1</v>
      </c>
      <c r="AN255" s="10" t="s">
        <v>1</v>
      </c>
    </row>
    <row r="256" spans="2:40" ht="15" x14ac:dyDescent="0.2">
      <c r="B256" s="80">
        <f t="shared" si="0"/>
        <v>29</v>
      </c>
      <c r="C256" s="16">
        <v>20200429</v>
      </c>
      <c r="D256" s="10" t="s">
        <v>476</v>
      </c>
      <c r="E256" s="10" t="s">
        <v>396</v>
      </c>
      <c r="F256" s="43" t="s">
        <v>824</v>
      </c>
      <c r="G256" s="19">
        <v>1411876</v>
      </c>
      <c r="H256" s="20" t="s">
        <v>1</v>
      </c>
      <c r="I256" s="10" t="s">
        <v>825</v>
      </c>
      <c r="J256" s="20" t="s">
        <v>1</v>
      </c>
      <c r="K256" s="10" t="s">
        <v>478</v>
      </c>
      <c r="L256" s="10" t="s">
        <v>483</v>
      </c>
      <c r="M256" s="10" t="s">
        <v>483</v>
      </c>
      <c r="N256" s="10" t="s">
        <v>821</v>
      </c>
      <c r="O256" s="19" t="s">
        <v>1</v>
      </c>
      <c r="P256" s="19" t="s">
        <v>822</v>
      </c>
      <c r="Q256" s="21"/>
      <c r="R256" s="20" t="s">
        <v>1</v>
      </c>
      <c r="S256" s="10" t="s">
        <v>261</v>
      </c>
      <c r="T256" s="10"/>
      <c r="U256" s="10"/>
      <c r="V256" s="10">
        <v>99</v>
      </c>
      <c r="W256" s="10">
        <f t="shared" si="1"/>
        <v>99</v>
      </c>
      <c r="X256" s="10">
        <v>99</v>
      </c>
      <c r="Y256" s="10">
        <f>ROUNDDOWN(W256/HLOOKUP(D256,[1]Table!$C$3:$D$4,2,0)*8,2)</f>
        <v>1.76</v>
      </c>
      <c r="Z256" s="10">
        <v>0.5</v>
      </c>
      <c r="AA256" s="10" t="s">
        <v>823</v>
      </c>
      <c r="AB256" s="22"/>
      <c r="AC256" s="22">
        <v>43955</v>
      </c>
      <c r="AD256" s="22">
        <v>43966</v>
      </c>
      <c r="AE256" s="22">
        <v>43956</v>
      </c>
      <c r="AF256" s="22">
        <v>43956</v>
      </c>
      <c r="AG256" s="10" t="s">
        <v>1</v>
      </c>
      <c r="AH256" s="10" t="s">
        <v>1</v>
      </c>
      <c r="AI256" s="10" t="s">
        <v>1</v>
      </c>
      <c r="AJ256" s="10" t="s">
        <v>1</v>
      </c>
      <c r="AK256" s="10" t="s">
        <v>1</v>
      </c>
      <c r="AL256" s="10" t="s">
        <v>1</v>
      </c>
      <c r="AM256" s="10" t="s">
        <v>1</v>
      </c>
      <c r="AN256" s="16" t="s">
        <v>496</v>
      </c>
    </row>
    <row r="257" spans="2:40" ht="15" x14ac:dyDescent="0.2">
      <c r="B257" s="80">
        <f t="shared" si="0"/>
        <v>30</v>
      </c>
      <c r="C257" s="16">
        <v>20200429</v>
      </c>
      <c r="D257" s="10" t="s">
        <v>476</v>
      </c>
      <c r="E257" s="10" t="s">
        <v>396</v>
      </c>
      <c r="F257" s="43" t="s">
        <v>826</v>
      </c>
      <c r="G257" s="19">
        <v>1411876</v>
      </c>
      <c r="H257" s="20" t="s">
        <v>1</v>
      </c>
      <c r="I257" s="10" t="s">
        <v>827</v>
      </c>
      <c r="J257" s="20" t="s">
        <v>1</v>
      </c>
      <c r="K257" s="10" t="s">
        <v>478</v>
      </c>
      <c r="L257" s="10" t="s">
        <v>483</v>
      </c>
      <c r="M257" s="10" t="s">
        <v>483</v>
      </c>
      <c r="N257" s="10" t="s">
        <v>821</v>
      </c>
      <c r="O257" s="19" t="s">
        <v>1</v>
      </c>
      <c r="P257" s="19" t="s">
        <v>822</v>
      </c>
      <c r="Q257" s="21"/>
      <c r="R257" s="20" t="s">
        <v>1</v>
      </c>
      <c r="S257" s="10" t="s">
        <v>261</v>
      </c>
      <c r="T257" s="10"/>
      <c r="U257" s="10"/>
      <c r="V257" s="10">
        <v>1</v>
      </c>
      <c r="W257" s="39">
        <v>16</v>
      </c>
      <c r="X257" s="10">
        <v>16</v>
      </c>
      <c r="Y257" s="10">
        <f>ROUNDDOWN(W257/HLOOKUP(D257,[1]Table!$C$3:$D$4,2,0)*8,2)</f>
        <v>0.28000000000000003</v>
      </c>
      <c r="Z257" s="10">
        <v>0.2</v>
      </c>
      <c r="AA257" s="10" t="s">
        <v>823</v>
      </c>
      <c r="AB257" s="22"/>
      <c r="AC257" s="22">
        <v>43955</v>
      </c>
      <c r="AD257" s="22">
        <v>43966</v>
      </c>
      <c r="AE257" s="22">
        <v>43956</v>
      </c>
      <c r="AF257" s="22">
        <v>43956</v>
      </c>
      <c r="AG257" s="22" t="s">
        <v>482</v>
      </c>
      <c r="AH257" s="24">
        <v>1</v>
      </c>
      <c r="AI257" s="24">
        <v>1</v>
      </c>
      <c r="AJ257" s="24">
        <v>1</v>
      </c>
      <c r="AK257" s="22" t="s">
        <v>483</v>
      </c>
      <c r="AL257" s="10" t="s">
        <v>1</v>
      </c>
      <c r="AM257" s="10" t="s">
        <v>1</v>
      </c>
      <c r="AN257" s="10" t="s">
        <v>1</v>
      </c>
    </row>
    <row r="258" spans="2:40" ht="15" x14ac:dyDescent="0.2">
      <c r="B258" s="80">
        <f t="shared" si="0"/>
        <v>31</v>
      </c>
      <c r="C258" s="16">
        <v>20200429</v>
      </c>
      <c r="D258" s="10" t="s">
        <v>476</v>
      </c>
      <c r="E258" s="10" t="s">
        <v>396</v>
      </c>
      <c r="F258" s="43" t="s">
        <v>828</v>
      </c>
      <c r="G258" s="19">
        <v>1411876</v>
      </c>
      <c r="H258" s="20" t="s">
        <v>1</v>
      </c>
      <c r="I258" s="10" t="s">
        <v>829</v>
      </c>
      <c r="J258" s="20" t="s">
        <v>1</v>
      </c>
      <c r="K258" s="10" t="s">
        <v>478</v>
      </c>
      <c r="L258" s="10" t="s">
        <v>483</v>
      </c>
      <c r="M258" s="10" t="s">
        <v>483</v>
      </c>
      <c r="N258" s="10" t="s">
        <v>821</v>
      </c>
      <c r="O258" s="19" t="s">
        <v>1</v>
      </c>
      <c r="P258" s="19" t="s">
        <v>822</v>
      </c>
      <c r="Q258" s="21"/>
      <c r="R258" s="20" t="s">
        <v>1</v>
      </c>
      <c r="S258" s="10" t="s">
        <v>279</v>
      </c>
      <c r="T258" s="10"/>
      <c r="U258" s="10"/>
      <c r="V258" s="10">
        <v>108</v>
      </c>
      <c r="W258" s="10">
        <f t="shared" si="1"/>
        <v>108</v>
      </c>
      <c r="X258" s="10">
        <f t="shared" si="1"/>
        <v>108</v>
      </c>
      <c r="Y258" s="10">
        <f>ROUNDDOWN(W258/HLOOKUP(D258,[1]Table!$C$3:$D$4,2,0)*8,2)</f>
        <v>1.92</v>
      </c>
      <c r="Z258" s="10">
        <v>1</v>
      </c>
      <c r="AA258" s="10" t="s">
        <v>823</v>
      </c>
      <c r="AB258" s="85"/>
      <c r="AC258" s="22">
        <v>43955</v>
      </c>
      <c r="AD258" s="22">
        <v>43966</v>
      </c>
      <c r="AE258" s="22">
        <v>43955</v>
      </c>
      <c r="AF258" s="22">
        <v>43955</v>
      </c>
      <c r="AG258" s="22" t="s">
        <v>489</v>
      </c>
      <c r="AH258" s="24">
        <v>0.36</v>
      </c>
      <c r="AI258" s="24">
        <v>0.31</v>
      </c>
      <c r="AJ258" s="24">
        <v>0.33</v>
      </c>
      <c r="AK258" s="22" t="s">
        <v>490</v>
      </c>
      <c r="AL258" s="10" t="s">
        <v>830</v>
      </c>
      <c r="AM258" s="10"/>
      <c r="AN258" s="10" t="s">
        <v>1</v>
      </c>
    </row>
    <row r="259" spans="2:40" ht="15" x14ac:dyDescent="0.2">
      <c r="B259" s="80">
        <f t="shared" si="0"/>
        <v>32</v>
      </c>
      <c r="C259" s="16">
        <v>20200429</v>
      </c>
      <c r="D259" s="10" t="s">
        <v>476</v>
      </c>
      <c r="E259" s="10" t="s">
        <v>396</v>
      </c>
      <c r="F259" s="43" t="s">
        <v>831</v>
      </c>
      <c r="G259" s="19">
        <v>1411876</v>
      </c>
      <c r="H259" s="20" t="s">
        <v>1</v>
      </c>
      <c r="I259" s="10" t="s">
        <v>46</v>
      </c>
      <c r="J259" s="20" t="s">
        <v>1</v>
      </c>
      <c r="K259" s="10" t="s">
        <v>478</v>
      </c>
      <c r="L259" s="10" t="s">
        <v>483</v>
      </c>
      <c r="M259" s="10" t="s">
        <v>483</v>
      </c>
      <c r="N259" s="10" t="s">
        <v>821</v>
      </c>
      <c r="O259" s="19" t="s">
        <v>1</v>
      </c>
      <c r="P259" s="19" t="s">
        <v>822</v>
      </c>
      <c r="Q259" s="21"/>
      <c r="R259" s="20" t="s">
        <v>1</v>
      </c>
      <c r="S259" s="10" t="s">
        <v>260</v>
      </c>
      <c r="T259" s="10"/>
      <c r="U259" s="10"/>
      <c r="V259" s="10">
        <v>159</v>
      </c>
      <c r="W259" s="10">
        <f t="shared" si="1"/>
        <v>159</v>
      </c>
      <c r="X259" s="10">
        <f t="shared" si="1"/>
        <v>159</v>
      </c>
      <c r="Y259" s="10">
        <f>ROUNDDOWN(W259/HLOOKUP(D259,[1]Table!$C$3:$D$4,2,0)*8,2)</f>
        <v>2.82</v>
      </c>
      <c r="Z259" s="10">
        <v>1</v>
      </c>
      <c r="AA259" s="10" t="s">
        <v>823</v>
      </c>
      <c r="AB259" s="22"/>
      <c r="AC259" s="22">
        <v>43955</v>
      </c>
      <c r="AD259" s="22">
        <v>43966</v>
      </c>
      <c r="AE259" s="22">
        <v>43956</v>
      </c>
      <c r="AF259" s="22">
        <v>43956</v>
      </c>
      <c r="AG259" s="22" t="s">
        <v>482</v>
      </c>
      <c r="AH259" s="24">
        <v>1</v>
      </c>
      <c r="AI259" s="24">
        <v>1</v>
      </c>
      <c r="AJ259" s="24">
        <v>1</v>
      </c>
      <c r="AK259" s="22" t="s">
        <v>483</v>
      </c>
      <c r="AL259" s="10" t="s">
        <v>1</v>
      </c>
      <c r="AM259" s="10" t="s">
        <v>1</v>
      </c>
      <c r="AN259" s="10" t="s">
        <v>1</v>
      </c>
    </row>
    <row r="260" spans="2:40" ht="15" x14ac:dyDescent="0.2">
      <c r="B260" s="80">
        <f t="shared" si="0"/>
        <v>33</v>
      </c>
      <c r="C260" s="16">
        <v>20200429</v>
      </c>
      <c r="D260" s="10" t="s">
        <v>476</v>
      </c>
      <c r="E260" s="10" t="s">
        <v>396</v>
      </c>
      <c r="F260" s="43" t="s">
        <v>831</v>
      </c>
      <c r="G260" s="81">
        <v>1411876</v>
      </c>
      <c r="H260" s="82" t="s">
        <v>1</v>
      </c>
      <c r="I260" s="83" t="s">
        <v>48</v>
      </c>
      <c r="J260" s="82" t="s">
        <v>1</v>
      </c>
      <c r="K260" s="83" t="s">
        <v>478</v>
      </c>
      <c r="L260" s="83" t="s">
        <v>483</v>
      </c>
      <c r="M260" s="83" t="s">
        <v>483</v>
      </c>
      <c r="N260" s="83" t="s">
        <v>821</v>
      </c>
      <c r="O260" s="81" t="s">
        <v>1</v>
      </c>
      <c r="P260" s="81" t="s">
        <v>822</v>
      </c>
      <c r="Q260" s="84"/>
      <c r="R260" s="82" t="s">
        <v>1</v>
      </c>
      <c r="S260" s="83" t="s">
        <v>219</v>
      </c>
      <c r="T260" s="83"/>
      <c r="U260" s="83"/>
      <c r="V260" s="83">
        <v>51</v>
      </c>
      <c r="W260" s="10">
        <f t="shared" si="1"/>
        <v>51</v>
      </c>
      <c r="X260" s="10">
        <f t="shared" si="1"/>
        <v>51</v>
      </c>
      <c r="Y260" s="10">
        <f>ROUNDDOWN(W260/HLOOKUP(D260,[1]Table!$C$3:$D$4,2,0)*8,2)</f>
        <v>0.9</v>
      </c>
      <c r="Z260" s="10">
        <v>1</v>
      </c>
      <c r="AA260" s="10" t="s">
        <v>823</v>
      </c>
      <c r="AB260" s="22"/>
      <c r="AC260" s="22">
        <v>43955</v>
      </c>
      <c r="AD260" s="22">
        <v>43966</v>
      </c>
      <c r="AE260" s="22">
        <v>43959</v>
      </c>
      <c r="AF260" s="22">
        <v>43959</v>
      </c>
      <c r="AG260" s="22" t="s">
        <v>482</v>
      </c>
      <c r="AH260" s="24">
        <v>1</v>
      </c>
      <c r="AI260" s="24">
        <v>1</v>
      </c>
      <c r="AJ260" s="24">
        <v>1</v>
      </c>
      <c r="AK260" s="22" t="s">
        <v>483</v>
      </c>
      <c r="AL260" s="10" t="s">
        <v>1</v>
      </c>
      <c r="AM260" s="10" t="s">
        <v>1</v>
      </c>
      <c r="AN260" s="10" t="s">
        <v>1</v>
      </c>
    </row>
    <row r="261" spans="2:40" ht="15" x14ac:dyDescent="0.2">
      <c r="B261" s="80">
        <f t="shared" si="0"/>
        <v>34</v>
      </c>
      <c r="C261" s="16">
        <v>20200429</v>
      </c>
      <c r="D261" s="10" t="s">
        <v>476</v>
      </c>
      <c r="E261" s="10" t="s">
        <v>396</v>
      </c>
      <c r="F261" s="43" t="s">
        <v>831</v>
      </c>
      <c r="G261" s="19">
        <v>1411876</v>
      </c>
      <c r="H261" s="20" t="s">
        <v>1</v>
      </c>
      <c r="I261" s="10" t="s">
        <v>832</v>
      </c>
      <c r="J261" s="20" t="s">
        <v>1</v>
      </c>
      <c r="K261" s="10" t="s">
        <v>478</v>
      </c>
      <c r="L261" s="10" t="s">
        <v>483</v>
      </c>
      <c r="M261" s="10" t="s">
        <v>483</v>
      </c>
      <c r="N261" s="10" t="s">
        <v>821</v>
      </c>
      <c r="O261" s="19" t="s">
        <v>1</v>
      </c>
      <c r="P261" s="19" t="s">
        <v>822</v>
      </c>
      <c r="Q261" s="21"/>
      <c r="R261" s="20" t="s">
        <v>1</v>
      </c>
      <c r="S261" s="10" t="s">
        <v>260</v>
      </c>
      <c r="T261" s="10"/>
      <c r="U261" s="10"/>
      <c r="V261" s="10">
        <v>44</v>
      </c>
      <c r="W261" s="10">
        <f t="shared" si="1"/>
        <v>44</v>
      </c>
      <c r="X261" s="10">
        <f t="shared" si="1"/>
        <v>44</v>
      </c>
      <c r="Y261" s="10">
        <f>ROUNDDOWN(W261/HLOOKUP(D261,[1]Table!$C$3:$D$4,2,0)*8,2)</f>
        <v>0.78</v>
      </c>
      <c r="Z261" s="10">
        <v>1</v>
      </c>
      <c r="AA261" s="10" t="s">
        <v>823</v>
      </c>
      <c r="AB261" s="22"/>
      <c r="AC261" s="22">
        <v>43955</v>
      </c>
      <c r="AD261" s="22">
        <v>43966</v>
      </c>
      <c r="AE261" s="22">
        <v>43955</v>
      </c>
      <c r="AF261" s="22">
        <v>43955</v>
      </c>
      <c r="AG261" s="22" t="s">
        <v>482</v>
      </c>
      <c r="AH261" s="24">
        <v>1</v>
      </c>
      <c r="AI261" s="24">
        <v>1</v>
      </c>
      <c r="AJ261" s="24">
        <v>1</v>
      </c>
      <c r="AK261" s="22" t="s">
        <v>483</v>
      </c>
      <c r="AL261" s="10" t="s">
        <v>1</v>
      </c>
      <c r="AM261" s="10" t="s">
        <v>1</v>
      </c>
      <c r="AN261" s="10" t="s">
        <v>1</v>
      </c>
    </row>
    <row r="262" spans="2:40" ht="15" x14ac:dyDescent="0.2">
      <c r="B262" s="80">
        <f t="shared" si="0"/>
        <v>35</v>
      </c>
      <c r="C262" s="16">
        <v>20200429</v>
      </c>
      <c r="D262" s="10" t="s">
        <v>476</v>
      </c>
      <c r="E262" s="10" t="s">
        <v>396</v>
      </c>
      <c r="F262" s="43" t="s">
        <v>831</v>
      </c>
      <c r="G262" s="19">
        <v>1411876</v>
      </c>
      <c r="H262" s="20" t="s">
        <v>1</v>
      </c>
      <c r="I262" s="10" t="s">
        <v>833</v>
      </c>
      <c r="J262" s="20" t="s">
        <v>1</v>
      </c>
      <c r="K262" s="10" t="s">
        <v>478</v>
      </c>
      <c r="L262" s="10" t="s">
        <v>483</v>
      </c>
      <c r="M262" s="10" t="s">
        <v>483</v>
      </c>
      <c r="N262" s="10" t="s">
        <v>821</v>
      </c>
      <c r="O262" s="19" t="s">
        <v>1</v>
      </c>
      <c r="P262" s="19" t="s">
        <v>822</v>
      </c>
      <c r="Q262" s="21"/>
      <c r="R262" s="20" t="s">
        <v>1</v>
      </c>
      <c r="S262" s="10" t="s">
        <v>260</v>
      </c>
      <c r="T262" s="10"/>
      <c r="U262" s="10"/>
      <c r="V262" s="10">
        <v>119</v>
      </c>
      <c r="W262" s="10">
        <f t="shared" si="1"/>
        <v>119</v>
      </c>
      <c r="X262" s="10">
        <f t="shared" si="1"/>
        <v>119</v>
      </c>
      <c r="Y262" s="10">
        <f>ROUNDDOWN(W262/HLOOKUP(D262,[1]Table!$C$3:$D$4,2,0)*8,2)</f>
        <v>2.11</v>
      </c>
      <c r="Z262" s="10">
        <v>2</v>
      </c>
      <c r="AA262" s="10" t="s">
        <v>823</v>
      </c>
      <c r="AB262" s="22"/>
      <c r="AC262" s="22">
        <v>43955</v>
      </c>
      <c r="AD262" s="22">
        <v>43966</v>
      </c>
      <c r="AE262" s="22">
        <v>43955</v>
      </c>
      <c r="AF262" s="22">
        <v>43955</v>
      </c>
      <c r="AG262" s="22" t="s">
        <v>489</v>
      </c>
      <c r="AH262" s="24">
        <v>1</v>
      </c>
      <c r="AI262" s="24">
        <v>0.96</v>
      </c>
      <c r="AJ262" s="24">
        <v>0.96</v>
      </c>
      <c r="AK262" s="22" t="s">
        <v>490</v>
      </c>
      <c r="AL262" s="19" t="s">
        <v>834</v>
      </c>
      <c r="AM262" s="10" t="s">
        <v>1</v>
      </c>
      <c r="AN262" s="10" t="s">
        <v>1</v>
      </c>
    </row>
    <row r="263" spans="2:40" ht="15" x14ac:dyDescent="0.2">
      <c r="B263" s="80">
        <f t="shared" si="0"/>
        <v>36</v>
      </c>
      <c r="C263" s="16">
        <v>20200429</v>
      </c>
      <c r="D263" s="10" t="s">
        <v>476</v>
      </c>
      <c r="E263" s="10" t="s">
        <v>396</v>
      </c>
      <c r="F263" s="43" t="s">
        <v>831</v>
      </c>
      <c r="G263" s="19">
        <v>1411876</v>
      </c>
      <c r="H263" s="20" t="s">
        <v>1</v>
      </c>
      <c r="I263" s="10" t="s">
        <v>835</v>
      </c>
      <c r="J263" s="20" t="s">
        <v>1</v>
      </c>
      <c r="K263" s="10" t="s">
        <v>478</v>
      </c>
      <c r="L263" s="10" t="s">
        <v>483</v>
      </c>
      <c r="M263" s="10" t="s">
        <v>483</v>
      </c>
      <c r="N263" s="10" t="s">
        <v>821</v>
      </c>
      <c r="O263" s="19" t="s">
        <v>1</v>
      </c>
      <c r="P263" s="19" t="s">
        <v>822</v>
      </c>
      <c r="Q263" s="21"/>
      <c r="R263" s="20" t="s">
        <v>1</v>
      </c>
      <c r="S263" s="10" t="s">
        <v>279</v>
      </c>
      <c r="T263" s="10"/>
      <c r="U263" s="10"/>
      <c r="V263" s="10">
        <v>131</v>
      </c>
      <c r="W263" s="10">
        <f t="shared" si="1"/>
        <v>131</v>
      </c>
      <c r="X263" s="10">
        <f t="shared" si="1"/>
        <v>131</v>
      </c>
      <c r="Y263" s="10">
        <f>ROUNDDOWN(W263/HLOOKUP(D263,[1]Table!$C$3:$D$4,2,0)*8,2)</f>
        <v>2.3199999999999998</v>
      </c>
      <c r="Z263" s="10">
        <v>1</v>
      </c>
      <c r="AA263" s="10" t="s">
        <v>823</v>
      </c>
      <c r="AB263" s="22"/>
      <c r="AC263" s="22">
        <v>43955</v>
      </c>
      <c r="AD263" s="22">
        <v>43966</v>
      </c>
      <c r="AE263" s="22">
        <v>43956</v>
      </c>
      <c r="AF263" s="22">
        <v>43956</v>
      </c>
      <c r="AG263" s="22" t="s">
        <v>482</v>
      </c>
      <c r="AH263" s="24">
        <v>1</v>
      </c>
      <c r="AI263" s="24">
        <v>1</v>
      </c>
      <c r="AJ263" s="24">
        <v>1</v>
      </c>
      <c r="AK263" s="22" t="s">
        <v>483</v>
      </c>
      <c r="AL263" s="10"/>
      <c r="AM263" s="10"/>
      <c r="AN263" s="10"/>
    </row>
    <row r="264" spans="2:40" ht="15" x14ac:dyDescent="0.2">
      <c r="B264" s="80">
        <f t="shared" si="0"/>
        <v>37</v>
      </c>
      <c r="C264" s="16">
        <v>20200429</v>
      </c>
      <c r="D264" s="10" t="s">
        <v>476</v>
      </c>
      <c r="E264" s="10" t="s">
        <v>396</v>
      </c>
      <c r="F264" s="43" t="s">
        <v>831</v>
      </c>
      <c r="G264" s="19">
        <v>1411876</v>
      </c>
      <c r="H264" s="20" t="s">
        <v>1</v>
      </c>
      <c r="I264" s="10" t="s">
        <v>836</v>
      </c>
      <c r="J264" s="20" t="s">
        <v>1</v>
      </c>
      <c r="K264" s="10" t="s">
        <v>478</v>
      </c>
      <c r="L264" s="10" t="s">
        <v>483</v>
      </c>
      <c r="M264" s="10" t="s">
        <v>483</v>
      </c>
      <c r="N264" s="10" t="s">
        <v>821</v>
      </c>
      <c r="O264" s="19" t="s">
        <v>1</v>
      </c>
      <c r="P264" s="19" t="s">
        <v>822</v>
      </c>
      <c r="Q264" s="21"/>
      <c r="R264" s="20" t="s">
        <v>1</v>
      </c>
      <c r="S264" s="10" t="s">
        <v>260</v>
      </c>
      <c r="T264" s="10"/>
      <c r="U264" s="10"/>
      <c r="V264" s="10">
        <v>265</v>
      </c>
      <c r="W264" s="10">
        <f t="shared" si="1"/>
        <v>265</v>
      </c>
      <c r="X264" s="10">
        <f t="shared" si="1"/>
        <v>265</v>
      </c>
      <c r="Y264" s="10">
        <f>ROUNDDOWN(W264/HLOOKUP(D264,[1]Table!$C$3:$D$4,2,0)*8,2)</f>
        <v>4.71</v>
      </c>
      <c r="Z264" s="10">
        <v>3</v>
      </c>
      <c r="AA264" s="10" t="s">
        <v>823</v>
      </c>
      <c r="AB264" s="22"/>
      <c r="AC264" s="22">
        <v>43955</v>
      </c>
      <c r="AD264" s="22">
        <v>43966</v>
      </c>
      <c r="AE264" s="22">
        <v>43955</v>
      </c>
      <c r="AF264" s="22">
        <v>43955</v>
      </c>
      <c r="AG264" s="22" t="s">
        <v>482</v>
      </c>
      <c r="AH264" s="24">
        <v>1</v>
      </c>
      <c r="AI264" s="24">
        <v>1</v>
      </c>
      <c r="AJ264" s="24">
        <v>1</v>
      </c>
      <c r="AK264" s="22" t="s">
        <v>483</v>
      </c>
      <c r="AL264" s="10" t="s">
        <v>1</v>
      </c>
      <c r="AM264" s="10" t="s">
        <v>1</v>
      </c>
      <c r="AN264" s="10" t="s">
        <v>1</v>
      </c>
    </row>
    <row r="265" spans="2:40" ht="15" x14ac:dyDescent="0.2">
      <c r="B265" s="80">
        <f t="shared" si="0"/>
        <v>38</v>
      </c>
      <c r="C265" s="16">
        <v>20200429</v>
      </c>
      <c r="D265" s="10" t="s">
        <v>476</v>
      </c>
      <c r="E265" s="10" t="s">
        <v>396</v>
      </c>
      <c r="F265" s="43" t="s">
        <v>831</v>
      </c>
      <c r="G265" s="19">
        <v>1411876</v>
      </c>
      <c r="H265" s="20" t="s">
        <v>1</v>
      </c>
      <c r="I265" s="10" t="s">
        <v>55</v>
      </c>
      <c r="J265" s="20" t="s">
        <v>1</v>
      </c>
      <c r="K265" s="10" t="s">
        <v>478</v>
      </c>
      <c r="L265" s="10" t="s">
        <v>483</v>
      </c>
      <c r="M265" s="10" t="s">
        <v>483</v>
      </c>
      <c r="N265" s="10" t="s">
        <v>821</v>
      </c>
      <c r="O265" s="19" t="s">
        <v>1</v>
      </c>
      <c r="P265" s="19" t="s">
        <v>822</v>
      </c>
      <c r="Q265" s="21"/>
      <c r="R265" s="20" t="s">
        <v>1</v>
      </c>
      <c r="S265" s="10" t="s">
        <v>260</v>
      </c>
      <c r="T265" s="10"/>
      <c r="U265" s="10"/>
      <c r="V265" s="10">
        <v>368</v>
      </c>
      <c r="W265" s="10">
        <f t="shared" si="1"/>
        <v>368</v>
      </c>
      <c r="X265" s="10">
        <f t="shared" si="1"/>
        <v>368</v>
      </c>
      <c r="Y265" s="10">
        <f>ROUNDDOWN(W265/HLOOKUP(D265,[1]Table!$C$3:$D$4,2,0)*8,2)</f>
        <v>6.54</v>
      </c>
      <c r="Z265" s="10">
        <v>6</v>
      </c>
      <c r="AA265" s="10" t="s">
        <v>823</v>
      </c>
      <c r="AB265" s="22"/>
      <c r="AC265" s="22">
        <v>43955</v>
      </c>
      <c r="AD265" s="22">
        <v>43966</v>
      </c>
      <c r="AE265" s="22">
        <v>43956</v>
      </c>
      <c r="AF265" s="22">
        <v>43956</v>
      </c>
      <c r="AG265" s="22" t="s">
        <v>489</v>
      </c>
      <c r="AH265" s="24">
        <v>1</v>
      </c>
      <c r="AI265" s="24">
        <v>0.99</v>
      </c>
      <c r="AJ265" s="24">
        <v>0.99</v>
      </c>
      <c r="AK265" s="22" t="s">
        <v>490</v>
      </c>
      <c r="AL265" s="19" t="s">
        <v>837</v>
      </c>
      <c r="AM265" s="10"/>
      <c r="AN265" s="10"/>
    </row>
    <row r="266" spans="2:40" ht="15" x14ac:dyDescent="0.2">
      <c r="B266" s="80">
        <f t="shared" si="0"/>
        <v>39</v>
      </c>
      <c r="C266" s="16">
        <v>20200429</v>
      </c>
      <c r="D266" s="10" t="s">
        <v>476</v>
      </c>
      <c r="E266" s="10" t="s">
        <v>396</v>
      </c>
      <c r="F266" s="43" t="s">
        <v>831</v>
      </c>
      <c r="G266" s="19">
        <v>1411876</v>
      </c>
      <c r="H266" s="20" t="s">
        <v>1</v>
      </c>
      <c r="I266" s="10" t="s">
        <v>361</v>
      </c>
      <c r="J266" s="20" t="s">
        <v>1</v>
      </c>
      <c r="K266" s="10" t="s">
        <v>478</v>
      </c>
      <c r="L266" s="10" t="s">
        <v>483</v>
      </c>
      <c r="M266" s="10" t="s">
        <v>483</v>
      </c>
      <c r="N266" s="10" t="s">
        <v>821</v>
      </c>
      <c r="O266" s="19" t="s">
        <v>1</v>
      </c>
      <c r="P266" s="19" t="s">
        <v>822</v>
      </c>
      <c r="Q266" s="21"/>
      <c r="R266" s="20" t="s">
        <v>1</v>
      </c>
      <c r="S266" s="10" t="s">
        <v>261</v>
      </c>
      <c r="T266" s="10"/>
      <c r="U266" s="10"/>
      <c r="V266" s="10">
        <v>195</v>
      </c>
      <c r="W266" s="10">
        <f t="shared" si="1"/>
        <v>195</v>
      </c>
      <c r="X266" s="10">
        <f t="shared" si="1"/>
        <v>195</v>
      </c>
      <c r="Y266" s="10">
        <f>ROUNDDOWN(W266/HLOOKUP(D266,[1]Table!$C$3:$D$4,2,0)*8,2)</f>
        <v>3.46</v>
      </c>
      <c r="Z266" s="10">
        <v>5</v>
      </c>
      <c r="AA266" s="10" t="s">
        <v>823</v>
      </c>
      <c r="AB266" s="22"/>
      <c r="AC266" s="22">
        <v>43955</v>
      </c>
      <c r="AD266" s="22">
        <v>43966</v>
      </c>
      <c r="AE266" s="22">
        <v>43959</v>
      </c>
      <c r="AF266" s="22">
        <v>43959</v>
      </c>
      <c r="AG266" s="22" t="s">
        <v>489</v>
      </c>
      <c r="AH266" s="24">
        <v>0.98</v>
      </c>
      <c r="AI266" s="24">
        <v>0.97</v>
      </c>
      <c r="AJ266" s="24">
        <v>1</v>
      </c>
      <c r="AK266" s="22" t="s">
        <v>490</v>
      </c>
      <c r="AL266" s="10" t="s">
        <v>838</v>
      </c>
      <c r="AM266" s="10" t="s">
        <v>1</v>
      </c>
      <c r="AN266" s="10" t="s">
        <v>1</v>
      </c>
    </row>
    <row r="267" spans="2:40" ht="15" x14ac:dyDescent="0.2">
      <c r="B267" s="80">
        <f t="shared" si="0"/>
        <v>40</v>
      </c>
      <c r="C267" s="16">
        <v>20200429</v>
      </c>
      <c r="D267" s="10" t="s">
        <v>476</v>
      </c>
      <c r="E267" s="10" t="s">
        <v>396</v>
      </c>
      <c r="F267" s="43" t="s">
        <v>831</v>
      </c>
      <c r="G267" s="19">
        <v>1411876</v>
      </c>
      <c r="H267" s="20" t="s">
        <v>1</v>
      </c>
      <c r="I267" s="10" t="s">
        <v>56</v>
      </c>
      <c r="J267" s="20" t="s">
        <v>1</v>
      </c>
      <c r="K267" s="10" t="s">
        <v>478</v>
      </c>
      <c r="L267" s="10" t="s">
        <v>483</v>
      </c>
      <c r="M267" s="10" t="s">
        <v>483</v>
      </c>
      <c r="N267" s="10" t="s">
        <v>821</v>
      </c>
      <c r="O267" s="19" t="s">
        <v>1</v>
      </c>
      <c r="P267" s="19" t="s">
        <v>822</v>
      </c>
      <c r="Q267" s="21"/>
      <c r="R267" s="20" t="s">
        <v>1</v>
      </c>
      <c r="S267" s="10" t="s">
        <v>219</v>
      </c>
      <c r="T267" s="10"/>
      <c r="U267" s="10"/>
      <c r="V267" s="10">
        <v>351</v>
      </c>
      <c r="W267" s="10">
        <f t="shared" si="1"/>
        <v>351</v>
      </c>
      <c r="X267" s="10">
        <f t="shared" si="1"/>
        <v>351</v>
      </c>
      <c r="Y267" s="10">
        <f>ROUNDDOWN(W267/HLOOKUP(D267,[1]Table!$C$3:$D$4,2,0)*8,2)</f>
        <v>6.24</v>
      </c>
      <c r="Z267" s="10">
        <v>6</v>
      </c>
      <c r="AA267" s="10" t="s">
        <v>823</v>
      </c>
      <c r="AB267" s="22"/>
      <c r="AC267" s="22">
        <v>43955</v>
      </c>
      <c r="AD267" s="22">
        <v>43966</v>
      </c>
      <c r="AE267" s="22">
        <v>43955</v>
      </c>
      <c r="AF267" s="22">
        <v>43955</v>
      </c>
      <c r="AG267" s="22" t="s">
        <v>482</v>
      </c>
      <c r="AH267" s="24">
        <v>1</v>
      </c>
      <c r="AI267" s="24">
        <v>1</v>
      </c>
      <c r="AJ267" s="24">
        <v>1</v>
      </c>
      <c r="AK267" s="22" t="s">
        <v>483</v>
      </c>
      <c r="AL267" s="10" t="s">
        <v>1</v>
      </c>
      <c r="AM267" s="10" t="s">
        <v>1</v>
      </c>
      <c r="AN267" s="10" t="s">
        <v>1</v>
      </c>
    </row>
    <row r="268" spans="2:40" ht="15" x14ac:dyDescent="0.2">
      <c r="B268" s="80">
        <f t="shared" si="0"/>
        <v>41</v>
      </c>
      <c r="C268" s="16">
        <v>20200429</v>
      </c>
      <c r="D268" s="10" t="s">
        <v>476</v>
      </c>
      <c r="E268" s="10" t="s">
        <v>396</v>
      </c>
      <c r="F268" s="43" t="s">
        <v>831</v>
      </c>
      <c r="G268" s="19">
        <v>1411876</v>
      </c>
      <c r="H268" s="20" t="s">
        <v>1</v>
      </c>
      <c r="I268" s="10" t="s">
        <v>839</v>
      </c>
      <c r="J268" s="20" t="s">
        <v>1</v>
      </c>
      <c r="K268" s="10" t="s">
        <v>478</v>
      </c>
      <c r="L268" s="10" t="s">
        <v>483</v>
      </c>
      <c r="M268" s="10" t="s">
        <v>483</v>
      </c>
      <c r="N268" s="10" t="s">
        <v>821</v>
      </c>
      <c r="O268" s="19" t="s">
        <v>1</v>
      </c>
      <c r="P268" s="19" t="s">
        <v>822</v>
      </c>
      <c r="Q268" s="21"/>
      <c r="R268" s="20" t="s">
        <v>1</v>
      </c>
      <c r="S268" s="10" t="s">
        <v>279</v>
      </c>
      <c r="T268" s="10"/>
      <c r="U268" s="10"/>
      <c r="V268" s="10">
        <v>164</v>
      </c>
      <c r="W268" s="10">
        <f t="shared" si="1"/>
        <v>164</v>
      </c>
      <c r="X268" s="10">
        <f t="shared" si="1"/>
        <v>164</v>
      </c>
      <c r="Y268" s="10">
        <f>ROUNDDOWN(W268/HLOOKUP(D268,[1]Table!$C$3:$D$4,2,0)*8,2)</f>
        <v>2.91</v>
      </c>
      <c r="Z268" s="10">
        <v>2</v>
      </c>
      <c r="AA268" s="10" t="s">
        <v>823</v>
      </c>
      <c r="AB268" s="85"/>
      <c r="AC268" s="22">
        <v>43955</v>
      </c>
      <c r="AD268" s="22">
        <v>43966</v>
      </c>
      <c r="AE268" s="22">
        <v>43955</v>
      </c>
      <c r="AF268" s="22">
        <v>43955</v>
      </c>
      <c r="AG268" s="22" t="s">
        <v>489</v>
      </c>
      <c r="AH268" s="24">
        <v>1</v>
      </c>
      <c r="AI268" s="24">
        <v>0.96</v>
      </c>
      <c r="AJ268" s="24">
        <v>0.5</v>
      </c>
      <c r="AK268" s="22" t="s">
        <v>490</v>
      </c>
      <c r="AL268" s="10" t="s">
        <v>840</v>
      </c>
      <c r="AM268" s="10"/>
      <c r="AN268" s="10"/>
    </row>
    <row r="269" spans="2:40" ht="15" x14ac:dyDescent="0.2">
      <c r="B269" s="80">
        <f t="shared" si="0"/>
        <v>42</v>
      </c>
      <c r="C269" s="16">
        <v>20200429</v>
      </c>
      <c r="D269" s="10" t="s">
        <v>476</v>
      </c>
      <c r="E269" s="10" t="s">
        <v>396</v>
      </c>
      <c r="F269" s="43" t="s">
        <v>831</v>
      </c>
      <c r="G269" s="19">
        <v>1411876</v>
      </c>
      <c r="H269" s="20" t="s">
        <v>1</v>
      </c>
      <c r="I269" s="10" t="s">
        <v>841</v>
      </c>
      <c r="J269" s="20" t="s">
        <v>1</v>
      </c>
      <c r="K269" s="10" t="s">
        <v>478</v>
      </c>
      <c r="L269" s="10" t="s">
        <v>483</v>
      </c>
      <c r="M269" s="10" t="s">
        <v>483</v>
      </c>
      <c r="N269" s="10" t="s">
        <v>821</v>
      </c>
      <c r="O269" s="19" t="s">
        <v>1</v>
      </c>
      <c r="P269" s="19" t="s">
        <v>822</v>
      </c>
      <c r="Q269" s="21"/>
      <c r="R269" s="20" t="s">
        <v>1</v>
      </c>
      <c r="S269" s="10" t="s">
        <v>279</v>
      </c>
      <c r="T269" s="10"/>
      <c r="U269" s="10"/>
      <c r="V269" s="10">
        <v>24</v>
      </c>
      <c r="W269" s="10">
        <f t="shared" si="1"/>
        <v>24</v>
      </c>
      <c r="X269" s="10">
        <f t="shared" si="1"/>
        <v>24</v>
      </c>
      <c r="Y269" s="10">
        <f>ROUNDDOWN(W269/HLOOKUP(D269,[1]Table!$C$3:$D$4,2,0)*8,2)</f>
        <v>0.42</v>
      </c>
      <c r="Z269" s="10">
        <f>0.4</f>
        <v>0.4</v>
      </c>
      <c r="AA269" s="10" t="s">
        <v>823</v>
      </c>
      <c r="AB269" s="85"/>
      <c r="AC269" s="22">
        <v>43955</v>
      </c>
      <c r="AD269" s="22">
        <v>43966</v>
      </c>
      <c r="AE269" s="22">
        <v>43955</v>
      </c>
      <c r="AF269" s="22">
        <v>43955</v>
      </c>
      <c r="AG269" s="22" t="s">
        <v>482</v>
      </c>
      <c r="AH269" s="24">
        <v>1</v>
      </c>
      <c r="AI269" s="24">
        <v>1</v>
      </c>
      <c r="AJ269" s="24">
        <v>1</v>
      </c>
      <c r="AK269" s="22" t="s">
        <v>483</v>
      </c>
      <c r="AL269" s="10"/>
      <c r="AM269" s="10"/>
      <c r="AN269" s="10"/>
    </row>
    <row r="270" spans="2:40" ht="15" x14ac:dyDescent="0.2">
      <c r="B270" s="80">
        <f t="shared" si="0"/>
        <v>43</v>
      </c>
      <c r="C270" s="16">
        <v>20200429</v>
      </c>
      <c r="D270" s="10" t="s">
        <v>476</v>
      </c>
      <c r="E270" s="10" t="s">
        <v>396</v>
      </c>
      <c r="F270" s="43" t="s">
        <v>831</v>
      </c>
      <c r="G270" s="19">
        <v>1411876</v>
      </c>
      <c r="H270" s="20" t="s">
        <v>1</v>
      </c>
      <c r="I270" s="10" t="s">
        <v>842</v>
      </c>
      <c r="J270" s="20" t="s">
        <v>1</v>
      </c>
      <c r="K270" s="10" t="s">
        <v>478</v>
      </c>
      <c r="L270" s="10" t="s">
        <v>483</v>
      </c>
      <c r="M270" s="10" t="s">
        <v>483</v>
      </c>
      <c r="N270" s="10" t="s">
        <v>821</v>
      </c>
      <c r="O270" s="19" t="s">
        <v>1</v>
      </c>
      <c r="P270" s="19" t="s">
        <v>822</v>
      </c>
      <c r="Q270" s="21"/>
      <c r="R270" s="20" t="s">
        <v>1</v>
      </c>
      <c r="S270" s="10" t="s">
        <v>279</v>
      </c>
      <c r="T270" s="10"/>
      <c r="U270" s="10"/>
      <c r="V270" s="10">
        <v>182</v>
      </c>
      <c r="W270" s="10">
        <f t="shared" si="1"/>
        <v>182</v>
      </c>
      <c r="X270" s="10">
        <f t="shared" si="1"/>
        <v>182</v>
      </c>
      <c r="Y270" s="10">
        <f>ROUNDDOWN(W270/HLOOKUP(D270,[1]Table!$C$3:$D$4,2,0)*8,2)</f>
        <v>3.23</v>
      </c>
      <c r="Z270" s="10">
        <v>2</v>
      </c>
      <c r="AA270" s="10" t="s">
        <v>823</v>
      </c>
      <c r="AB270" s="85"/>
      <c r="AC270" s="22">
        <v>43955</v>
      </c>
      <c r="AD270" s="22">
        <v>43966</v>
      </c>
      <c r="AE270" s="22">
        <v>43955</v>
      </c>
      <c r="AF270" s="22">
        <v>43955</v>
      </c>
      <c r="AG270" s="22" t="s">
        <v>482</v>
      </c>
      <c r="AH270" s="24">
        <v>1</v>
      </c>
      <c r="AI270" s="24">
        <v>1</v>
      </c>
      <c r="AJ270" s="24">
        <v>1</v>
      </c>
      <c r="AK270" s="22" t="s">
        <v>483</v>
      </c>
      <c r="AL270" s="10"/>
      <c r="AM270" s="10"/>
      <c r="AN270" s="10"/>
    </row>
    <row r="271" spans="2:40" ht="15" x14ac:dyDescent="0.2">
      <c r="B271" s="80">
        <f t="shared" si="0"/>
        <v>44</v>
      </c>
      <c r="C271" s="16">
        <v>20200429</v>
      </c>
      <c r="D271" s="10" t="s">
        <v>476</v>
      </c>
      <c r="E271" s="10" t="s">
        <v>396</v>
      </c>
      <c r="F271" s="43" t="s">
        <v>831</v>
      </c>
      <c r="G271" s="19">
        <v>1411876</v>
      </c>
      <c r="H271" s="20" t="s">
        <v>1</v>
      </c>
      <c r="I271" s="10" t="s">
        <v>843</v>
      </c>
      <c r="J271" s="20" t="s">
        <v>1</v>
      </c>
      <c r="K271" s="10" t="s">
        <v>478</v>
      </c>
      <c r="L271" s="10" t="s">
        <v>483</v>
      </c>
      <c r="M271" s="10" t="s">
        <v>483</v>
      </c>
      <c r="N271" s="10" t="s">
        <v>821</v>
      </c>
      <c r="O271" s="19" t="s">
        <v>1</v>
      </c>
      <c r="P271" s="19" t="s">
        <v>822</v>
      </c>
      <c r="Q271" s="21"/>
      <c r="R271" s="20" t="s">
        <v>1</v>
      </c>
      <c r="S271" s="10" t="s">
        <v>279</v>
      </c>
      <c r="T271" s="10"/>
      <c r="U271" s="10"/>
      <c r="V271" s="10">
        <v>161</v>
      </c>
      <c r="W271" s="10">
        <f t="shared" si="1"/>
        <v>161</v>
      </c>
      <c r="X271" s="10">
        <f t="shared" si="1"/>
        <v>161</v>
      </c>
      <c r="Y271" s="10">
        <f>ROUNDDOWN(W271/HLOOKUP(D271,[1]Table!$C$3:$D$4,2,0)*8,2)</f>
        <v>2.86</v>
      </c>
      <c r="Z271" s="10">
        <v>1.5</v>
      </c>
      <c r="AA271" s="10" t="s">
        <v>823</v>
      </c>
      <c r="AB271" s="85"/>
      <c r="AC271" s="22">
        <v>43955</v>
      </c>
      <c r="AD271" s="22">
        <v>43966</v>
      </c>
      <c r="AE271" s="22">
        <v>43955</v>
      </c>
      <c r="AF271" s="22">
        <v>43955</v>
      </c>
      <c r="AG271" s="22" t="s">
        <v>482</v>
      </c>
      <c r="AH271" s="24">
        <v>1</v>
      </c>
      <c r="AI271" s="24">
        <v>1</v>
      </c>
      <c r="AJ271" s="24">
        <v>1</v>
      </c>
      <c r="AK271" s="22" t="s">
        <v>483</v>
      </c>
      <c r="AL271" s="10"/>
      <c r="AM271" s="10"/>
      <c r="AN271" s="10"/>
    </row>
    <row r="272" spans="2:40" ht="15" x14ac:dyDescent="0.2">
      <c r="B272" s="80">
        <f t="shared" si="0"/>
        <v>45</v>
      </c>
      <c r="C272" s="16">
        <v>20200429</v>
      </c>
      <c r="D272" s="10" t="s">
        <v>476</v>
      </c>
      <c r="E272" s="10" t="s">
        <v>396</v>
      </c>
      <c r="F272" s="43" t="s">
        <v>831</v>
      </c>
      <c r="G272" s="19">
        <v>1411876</v>
      </c>
      <c r="H272" s="20" t="s">
        <v>1</v>
      </c>
      <c r="I272" s="10" t="s">
        <v>206</v>
      </c>
      <c r="J272" s="20" t="s">
        <v>1</v>
      </c>
      <c r="K272" s="10" t="s">
        <v>478</v>
      </c>
      <c r="L272" s="10" t="s">
        <v>483</v>
      </c>
      <c r="M272" s="10" t="s">
        <v>483</v>
      </c>
      <c r="N272" s="10" t="s">
        <v>821</v>
      </c>
      <c r="O272" s="19" t="s">
        <v>1</v>
      </c>
      <c r="P272" s="19" t="s">
        <v>822</v>
      </c>
      <c r="Q272" s="21"/>
      <c r="R272" s="20" t="s">
        <v>1</v>
      </c>
      <c r="S272" s="10" t="s">
        <v>279</v>
      </c>
      <c r="T272" s="10"/>
      <c r="U272" s="10"/>
      <c r="V272" s="10">
        <v>210</v>
      </c>
      <c r="W272" s="10">
        <f t="shared" si="1"/>
        <v>210</v>
      </c>
      <c r="X272" s="10">
        <f t="shared" si="1"/>
        <v>210</v>
      </c>
      <c r="Y272" s="10">
        <f>ROUNDDOWN(W272/HLOOKUP(D272,[1]Table!$C$3:$D$4,2,0)*8,2)</f>
        <v>3.73</v>
      </c>
      <c r="Z272" s="10">
        <v>3</v>
      </c>
      <c r="AA272" s="10" t="s">
        <v>823</v>
      </c>
      <c r="AB272" s="22"/>
      <c r="AC272" s="22">
        <v>43955</v>
      </c>
      <c r="AD272" s="22">
        <v>43966</v>
      </c>
      <c r="AE272" s="22">
        <v>43956</v>
      </c>
      <c r="AF272" s="22">
        <v>43956</v>
      </c>
      <c r="AG272" s="22" t="s">
        <v>489</v>
      </c>
      <c r="AH272" s="24">
        <v>0.92</v>
      </c>
      <c r="AI272" s="24">
        <v>0.92</v>
      </c>
      <c r="AJ272" s="24">
        <v>0</v>
      </c>
      <c r="AK272" s="22" t="s">
        <v>490</v>
      </c>
      <c r="AL272" s="19" t="s">
        <v>844</v>
      </c>
      <c r="AM272" s="10"/>
      <c r="AN272" s="10"/>
    </row>
    <row r="273" spans="2:40" ht="15" x14ac:dyDescent="0.2">
      <c r="B273" s="80">
        <f t="shared" si="0"/>
        <v>46</v>
      </c>
      <c r="C273" s="16">
        <v>20200429</v>
      </c>
      <c r="D273" s="10" t="s">
        <v>476</v>
      </c>
      <c r="E273" s="10" t="s">
        <v>396</v>
      </c>
      <c r="F273" s="43" t="s">
        <v>831</v>
      </c>
      <c r="G273" s="19">
        <v>1411876</v>
      </c>
      <c r="H273" s="20" t="s">
        <v>1</v>
      </c>
      <c r="I273" s="10" t="s">
        <v>208</v>
      </c>
      <c r="J273" s="20" t="s">
        <v>1</v>
      </c>
      <c r="K273" s="10" t="s">
        <v>478</v>
      </c>
      <c r="L273" s="10" t="s">
        <v>483</v>
      </c>
      <c r="M273" s="10" t="s">
        <v>483</v>
      </c>
      <c r="N273" s="10" t="s">
        <v>821</v>
      </c>
      <c r="O273" s="19" t="s">
        <v>1</v>
      </c>
      <c r="P273" s="19" t="s">
        <v>822</v>
      </c>
      <c r="Q273" s="21"/>
      <c r="R273" s="20" t="s">
        <v>1</v>
      </c>
      <c r="S273" s="10" t="s">
        <v>279</v>
      </c>
      <c r="T273" s="10"/>
      <c r="U273" s="10"/>
      <c r="V273" s="10">
        <v>83</v>
      </c>
      <c r="W273" s="10">
        <f t="shared" si="1"/>
        <v>83</v>
      </c>
      <c r="X273" s="10">
        <f t="shared" si="1"/>
        <v>83</v>
      </c>
      <c r="Y273" s="10">
        <f>ROUNDDOWN(W273/HLOOKUP(D273,[1]Table!$C$3:$D$4,2,0)*8,2)</f>
        <v>1.47</v>
      </c>
      <c r="Z273" s="10">
        <v>0.5</v>
      </c>
      <c r="AA273" s="10" t="s">
        <v>823</v>
      </c>
      <c r="AB273" s="85"/>
      <c r="AC273" s="22">
        <v>43955</v>
      </c>
      <c r="AD273" s="22">
        <v>43966</v>
      </c>
      <c r="AE273" s="22">
        <v>43955</v>
      </c>
      <c r="AF273" s="22">
        <v>43955</v>
      </c>
      <c r="AG273" s="22" t="s">
        <v>482</v>
      </c>
      <c r="AH273" s="24">
        <v>1</v>
      </c>
      <c r="AI273" s="24">
        <v>1</v>
      </c>
      <c r="AJ273" s="24">
        <v>1</v>
      </c>
      <c r="AK273" s="22" t="s">
        <v>483</v>
      </c>
      <c r="AL273" s="10"/>
      <c r="AM273" s="10"/>
      <c r="AN273" s="10"/>
    </row>
    <row r="274" spans="2:40" ht="15" x14ac:dyDescent="0.2">
      <c r="B274" s="80">
        <f t="shared" si="0"/>
        <v>47</v>
      </c>
      <c r="C274" s="16">
        <v>20200429</v>
      </c>
      <c r="D274" s="10" t="s">
        <v>476</v>
      </c>
      <c r="E274" s="10" t="s">
        <v>396</v>
      </c>
      <c r="F274" s="43" t="s">
        <v>831</v>
      </c>
      <c r="G274" s="19">
        <v>1411876</v>
      </c>
      <c r="H274" s="20" t="s">
        <v>1</v>
      </c>
      <c r="I274" s="10" t="s">
        <v>190</v>
      </c>
      <c r="J274" s="20" t="s">
        <v>1</v>
      </c>
      <c r="K274" s="10" t="s">
        <v>478</v>
      </c>
      <c r="L274" s="10" t="s">
        <v>483</v>
      </c>
      <c r="M274" s="10" t="s">
        <v>483</v>
      </c>
      <c r="N274" s="10" t="s">
        <v>821</v>
      </c>
      <c r="O274" s="19" t="s">
        <v>1</v>
      </c>
      <c r="P274" s="19" t="s">
        <v>822</v>
      </c>
      <c r="Q274" s="21"/>
      <c r="R274" s="20" t="s">
        <v>1</v>
      </c>
      <c r="S274" s="10" t="s">
        <v>261</v>
      </c>
      <c r="T274" s="10"/>
      <c r="U274" s="10"/>
      <c r="V274" s="10">
        <v>101</v>
      </c>
      <c r="W274" s="10">
        <f t="shared" si="1"/>
        <v>101</v>
      </c>
      <c r="X274" s="10">
        <f>W274</f>
        <v>101</v>
      </c>
      <c r="Y274" s="10">
        <f>ROUNDDOWN(W274/HLOOKUP(D274,[1]Table!$C$3:$D$4,2,0)*8,2)</f>
        <v>1.79</v>
      </c>
      <c r="Z274" s="10">
        <v>1.8</v>
      </c>
      <c r="AA274" s="10" t="s">
        <v>823</v>
      </c>
      <c r="AB274" s="22"/>
      <c r="AC274" s="22">
        <v>43955</v>
      </c>
      <c r="AD274" s="22">
        <v>43966</v>
      </c>
      <c r="AE274" s="22">
        <v>43959</v>
      </c>
      <c r="AF274" s="22">
        <v>43959</v>
      </c>
      <c r="AG274" s="22" t="s">
        <v>482</v>
      </c>
      <c r="AH274" s="24">
        <v>1</v>
      </c>
      <c r="AI274" s="24">
        <v>1</v>
      </c>
      <c r="AJ274" s="24">
        <v>1</v>
      </c>
      <c r="AK274" s="22" t="s">
        <v>483</v>
      </c>
      <c r="AL274" s="10" t="s">
        <v>1</v>
      </c>
      <c r="AM274" s="10" t="s">
        <v>1</v>
      </c>
      <c r="AN274" s="10" t="s">
        <v>1</v>
      </c>
    </row>
    <row r="275" spans="2:40" ht="15" x14ac:dyDescent="0.2">
      <c r="B275" s="80">
        <f t="shared" si="0"/>
        <v>48</v>
      </c>
      <c r="C275" s="16">
        <v>20200429</v>
      </c>
      <c r="D275" s="10" t="s">
        <v>476</v>
      </c>
      <c r="E275" s="10" t="s">
        <v>396</v>
      </c>
      <c r="F275" s="43" t="s">
        <v>831</v>
      </c>
      <c r="G275" s="19">
        <v>1411876</v>
      </c>
      <c r="H275" s="20" t="s">
        <v>1</v>
      </c>
      <c r="I275" s="10" t="s">
        <v>191</v>
      </c>
      <c r="J275" s="20" t="s">
        <v>1</v>
      </c>
      <c r="K275" s="10" t="s">
        <v>478</v>
      </c>
      <c r="L275" s="10" t="s">
        <v>483</v>
      </c>
      <c r="M275" s="10" t="s">
        <v>483</v>
      </c>
      <c r="N275" s="10" t="s">
        <v>821</v>
      </c>
      <c r="O275" s="19" t="s">
        <v>1</v>
      </c>
      <c r="P275" s="19" t="s">
        <v>822</v>
      </c>
      <c r="Q275" s="21"/>
      <c r="R275" s="20" t="s">
        <v>1</v>
      </c>
      <c r="S275" s="10" t="s">
        <v>261</v>
      </c>
      <c r="T275" s="10"/>
      <c r="U275" s="10"/>
      <c r="V275" s="10">
        <v>116</v>
      </c>
      <c r="W275" s="10">
        <f t="shared" si="1"/>
        <v>116</v>
      </c>
      <c r="X275" s="10">
        <f>W275</f>
        <v>116</v>
      </c>
      <c r="Y275" s="10">
        <f>ROUNDDOWN(W275/HLOOKUP(D275,[1]Table!$C$3:$D$4,2,0)*8,2)</f>
        <v>2.06</v>
      </c>
      <c r="Z275" s="10">
        <v>2</v>
      </c>
      <c r="AA275" s="10" t="s">
        <v>823</v>
      </c>
      <c r="AB275" s="22"/>
      <c r="AC275" s="22">
        <v>43955</v>
      </c>
      <c r="AD275" s="22">
        <v>43966</v>
      </c>
      <c r="AE275" s="22">
        <v>43959</v>
      </c>
      <c r="AF275" s="22">
        <v>43959</v>
      </c>
      <c r="AG275" s="22" t="s">
        <v>489</v>
      </c>
      <c r="AH275" s="24">
        <v>0.93</v>
      </c>
      <c r="AI275" s="24">
        <v>0.85</v>
      </c>
      <c r="AJ275" s="24">
        <v>1</v>
      </c>
      <c r="AK275" s="22" t="s">
        <v>490</v>
      </c>
      <c r="AL275" s="10" t="s">
        <v>845</v>
      </c>
      <c r="AM275" s="10"/>
      <c r="AN275" s="10"/>
    </row>
    <row r="276" spans="2:40" ht="15" x14ac:dyDescent="0.2">
      <c r="B276" s="80">
        <f t="shared" si="0"/>
        <v>49</v>
      </c>
      <c r="C276" s="16">
        <v>20200429</v>
      </c>
      <c r="D276" s="10" t="s">
        <v>476</v>
      </c>
      <c r="E276" s="10" t="s">
        <v>396</v>
      </c>
      <c r="F276" s="43" t="s">
        <v>831</v>
      </c>
      <c r="G276" s="19">
        <v>1411876</v>
      </c>
      <c r="H276" s="20" t="s">
        <v>1</v>
      </c>
      <c r="I276" s="10" t="s">
        <v>211</v>
      </c>
      <c r="J276" s="20" t="s">
        <v>1</v>
      </c>
      <c r="K276" s="10" t="s">
        <v>478</v>
      </c>
      <c r="L276" s="10" t="s">
        <v>483</v>
      </c>
      <c r="M276" s="10" t="s">
        <v>483</v>
      </c>
      <c r="N276" s="10" t="s">
        <v>821</v>
      </c>
      <c r="O276" s="19" t="s">
        <v>1</v>
      </c>
      <c r="P276" s="19" t="s">
        <v>822</v>
      </c>
      <c r="Q276" s="21"/>
      <c r="R276" s="20" t="s">
        <v>1</v>
      </c>
      <c r="S276" s="10" t="s">
        <v>261</v>
      </c>
      <c r="T276" s="10"/>
      <c r="U276" s="10"/>
      <c r="V276" s="10">
        <v>204</v>
      </c>
      <c r="W276" s="10">
        <f t="shared" si="1"/>
        <v>204</v>
      </c>
      <c r="X276" s="10">
        <f>W276</f>
        <v>204</v>
      </c>
      <c r="Y276" s="10">
        <f>ROUNDDOWN(W276/HLOOKUP(D276,[1]Table!$C$3:$D$4,2,0)*8,2)</f>
        <v>3.62</v>
      </c>
      <c r="Z276" s="10">
        <v>3</v>
      </c>
      <c r="AA276" s="10" t="s">
        <v>823</v>
      </c>
      <c r="AB276" s="22"/>
      <c r="AC276" s="22">
        <v>43955</v>
      </c>
      <c r="AD276" s="22">
        <v>43966</v>
      </c>
      <c r="AE276" s="22">
        <v>43959</v>
      </c>
      <c r="AF276" s="22">
        <v>43959</v>
      </c>
      <c r="AG276" s="22" t="s">
        <v>482</v>
      </c>
      <c r="AH276" s="24">
        <v>1</v>
      </c>
      <c r="AI276" s="24">
        <v>1</v>
      </c>
      <c r="AJ276" s="24">
        <v>1</v>
      </c>
      <c r="AK276" s="22" t="s">
        <v>483</v>
      </c>
      <c r="AL276" s="10" t="s">
        <v>1</v>
      </c>
      <c r="AM276" s="10" t="s">
        <v>1</v>
      </c>
      <c r="AN276" s="10" t="s">
        <v>1</v>
      </c>
    </row>
    <row r="277" spans="2:40" ht="15" x14ac:dyDescent="0.2">
      <c r="B277" s="80">
        <f t="shared" si="0"/>
        <v>50</v>
      </c>
      <c r="C277" s="16">
        <v>20200429</v>
      </c>
      <c r="D277" s="10" t="s">
        <v>476</v>
      </c>
      <c r="E277" s="10" t="s">
        <v>396</v>
      </c>
      <c r="F277" s="43" t="s">
        <v>831</v>
      </c>
      <c r="G277" s="19">
        <v>1411876</v>
      </c>
      <c r="H277" s="20" t="s">
        <v>1</v>
      </c>
      <c r="I277" s="10" t="s">
        <v>212</v>
      </c>
      <c r="J277" s="20" t="s">
        <v>1</v>
      </c>
      <c r="K277" s="10" t="s">
        <v>478</v>
      </c>
      <c r="L277" s="10" t="s">
        <v>483</v>
      </c>
      <c r="M277" s="10" t="s">
        <v>483</v>
      </c>
      <c r="N277" s="10" t="s">
        <v>821</v>
      </c>
      <c r="O277" s="19" t="s">
        <v>1</v>
      </c>
      <c r="P277" s="19" t="s">
        <v>822</v>
      </c>
      <c r="Q277" s="21"/>
      <c r="R277" s="20" t="s">
        <v>1</v>
      </c>
      <c r="S277" s="10" t="s">
        <v>219</v>
      </c>
      <c r="T277" s="10"/>
      <c r="U277" s="10"/>
      <c r="V277" s="10">
        <v>210</v>
      </c>
      <c r="W277" s="10">
        <f t="shared" si="1"/>
        <v>210</v>
      </c>
      <c r="X277" s="10">
        <f t="shared" si="1"/>
        <v>210</v>
      </c>
      <c r="Y277" s="10">
        <f>ROUNDDOWN(W277/HLOOKUP(D277,[1]Table!$C$3:$D$4,2,0)*8,2)</f>
        <v>3.73</v>
      </c>
      <c r="Z277" s="10">
        <v>2</v>
      </c>
      <c r="AA277" s="10" t="s">
        <v>823</v>
      </c>
      <c r="AB277" s="22"/>
      <c r="AC277" s="22">
        <v>43955</v>
      </c>
      <c r="AD277" s="22">
        <v>43966</v>
      </c>
      <c r="AE277" s="22">
        <v>43955</v>
      </c>
      <c r="AF277" s="22">
        <v>43955</v>
      </c>
      <c r="AG277" s="22" t="s">
        <v>482</v>
      </c>
      <c r="AH277" s="24">
        <v>1</v>
      </c>
      <c r="AI277" s="24">
        <v>1</v>
      </c>
      <c r="AJ277" s="24">
        <v>1</v>
      </c>
      <c r="AK277" s="22" t="s">
        <v>483</v>
      </c>
      <c r="AL277" s="10" t="s">
        <v>1</v>
      </c>
      <c r="AM277" s="10" t="s">
        <v>1</v>
      </c>
      <c r="AN277" s="10" t="s">
        <v>1</v>
      </c>
    </row>
    <row r="278" spans="2:40" ht="15" x14ac:dyDescent="0.2">
      <c r="B278" s="80">
        <f t="shared" si="0"/>
        <v>51</v>
      </c>
      <c r="C278" s="16">
        <v>20200429</v>
      </c>
      <c r="D278" s="10" t="s">
        <v>476</v>
      </c>
      <c r="E278" s="10" t="s">
        <v>396</v>
      </c>
      <c r="F278" s="43" t="s">
        <v>826</v>
      </c>
      <c r="G278" s="19">
        <v>1411876</v>
      </c>
      <c r="H278" s="20" t="s">
        <v>1</v>
      </c>
      <c r="I278" s="10" t="s">
        <v>846</v>
      </c>
      <c r="J278" s="20" t="s">
        <v>1</v>
      </c>
      <c r="K278" s="10" t="s">
        <v>478</v>
      </c>
      <c r="L278" s="10" t="s">
        <v>483</v>
      </c>
      <c r="M278" s="10" t="s">
        <v>483</v>
      </c>
      <c r="N278" s="10" t="s">
        <v>821</v>
      </c>
      <c r="O278" s="19" t="s">
        <v>1</v>
      </c>
      <c r="P278" s="19" t="s">
        <v>822</v>
      </c>
      <c r="Q278" s="21"/>
      <c r="R278" s="20" t="s">
        <v>1</v>
      </c>
      <c r="S278" s="10" t="s">
        <v>219</v>
      </c>
      <c r="T278" s="10"/>
      <c r="U278" s="10"/>
      <c r="V278" s="10">
        <v>182</v>
      </c>
      <c r="W278" s="10">
        <f t="shared" si="1"/>
        <v>182</v>
      </c>
      <c r="X278" s="10">
        <f t="shared" si="1"/>
        <v>182</v>
      </c>
      <c r="Y278" s="10">
        <f>ROUNDDOWN(W278/HLOOKUP(D278,[1]Table!$C$3:$D$4,2,0)*8,2)</f>
        <v>3.23</v>
      </c>
      <c r="Z278" s="10">
        <v>4</v>
      </c>
      <c r="AA278" s="10" t="s">
        <v>823</v>
      </c>
      <c r="AB278" s="22"/>
      <c r="AC278" s="22">
        <v>43955</v>
      </c>
      <c r="AD278" s="22">
        <v>43966</v>
      </c>
      <c r="AE278" s="22">
        <v>43956</v>
      </c>
      <c r="AF278" s="22">
        <v>43956</v>
      </c>
      <c r="AG278" s="22" t="s">
        <v>482</v>
      </c>
      <c r="AH278" s="24">
        <v>1</v>
      </c>
      <c r="AI278" s="24">
        <v>1</v>
      </c>
      <c r="AJ278" s="24">
        <v>1</v>
      </c>
      <c r="AK278" s="22" t="s">
        <v>483</v>
      </c>
      <c r="AL278" s="10" t="s">
        <v>1</v>
      </c>
      <c r="AM278" s="10" t="s">
        <v>1</v>
      </c>
      <c r="AN278" s="10" t="s">
        <v>1</v>
      </c>
    </row>
    <row r="279" spans="2:40" ht="15" x14ac:dyDescent="0.2">
      <c r="B279" s="80">
        <f t="shared" si="0"/>
        <v>52</v>
      </c>
      <c r="C279" s="16">
        <v>20200429</v>
      </c>
      <c r="D279" s="10" t="s">
        <v>476</v>
      </c>
      <c r="E279" s="10" t="s">
        <v>396</v>
      </c>
      <c r="F279" s="43" t="s">
        <v>826</v>
      </c>
      <c r="G279" s="19">
        <v>1411876</v>
      </c>
      <c r="H279" s="20" t="s">
        <v>1</v>
      </c>
      <c r="I279" s="10" t="s">
        <v>847</v>
      </c>
      <c r="J279" s="20" t="s">
        <v>1</v>
      </c>
      <c r="K279" s="10" t="s">
        <v>478</v>
      </c>
      <c r="L279" s="10" t="s">
        <v>483</v>
      </c>
      <c r="M279" s="10" t="s">
        <v>483</v>
      </c>
      <c r="N279" s="10" t="s">
        <v>821</v>
      </c>
      <c r="O279" s="19" t="s">
        <v>1</v>
      </c>
      <c r="P279" s="19" t="s">
        <v>822</v>
      </c>
      <c r="Q279" s="21"/>
      <c r="R279" s="20" t="s">
        <v>1</v>
      </c>
      <c r="S279" s="10" t="s">
        <v>219</v>
      </c>
      <c r="T279" s="10"/>
      <c r="U279" s="10"/>
      <c r="V279" s="10">
        <v>92</v>
      </c>
      <c r="W279" s="10">
        <f t="shared" si="1"/>
        <v>92</v>
      </c>
      <c r="X279" s="10">
        <f t="shared" si="1"/>
        <v>92</v>
      </c>
      <c r="Y279" s="10">
        <f>ROUNDDOWN(W279/HLOOKUP(D279,[1]Table!$C$3:$D$4,2,0)*8,2)</f>
        <v>1.63</v>
      </c>
      <c r="Z279" s="10">
        <v>2</v>
      </c>
      <c r="AA279" s="10" t="s">
        <v>823</v>
      </c>
      <c r="AB279" s="22"/>
      <c r="AC279" s="22">
        <v>43955</v>
      </c>
      <c r="AD279" s="22">
        <v>43966</v>
      </c>
      <c r="AE279" s="22">
        <v>43958</v>
      </c>
      <c r="AF279" s="22">
        <v>43958</v>
      </c>
      <c r="AG279" s="22" t="s">
        <v>482</v>
      </c>
      <c r="AH279" s="24">
        <v>1</v>
      </c>
      <c r="AI279" s="24">
        <v>1</v>
      </c>
      <c r="AJ279" s="24">
        <v>1</v>
      </c>
      <c r="AK279" s="22" t="s">
        <v>483</v>
      </c>
      <c r="AL279" s="10" t="s">
        <v>1</v>
      </c>
      <c r="AM279" s="10" t="s">
        <v>1</v>
      </c>
      <c r="AN279" s="10" t="s">
        <v>1</v>
      </c>
    </row>
    <row r="280" spans="2:40" ht="15" x14ac:dyDescent="0.2">
      <c r="B280" s="80">
        <f t="shared" si="0"/>
        <v>53</v>
      </c>
      <c r="C280" s="16">
        <v>20200429</v>
      </c>
      <c r="D280" s="10" t="s">
        <v>476</v>
      </c>
      <c r="E280" s="10" t="s">
        <v>396</v>
      </c>
      <c r="F280" s="43" t="s">
        <v>848</v>
      </c>
      <c r="G280" s="19">
        <v>1411876</v>
      </c>
      <c r="H280" s="20" t="s">
        <v>1</v>
      </c>
      <c r="I280" s="10" t="s">
        <v>213</v>
      </c>
      <c r="J280" s="20" t="s">
        <v>1</v>
      </c>
      <c r="K280" s="10" t="s">
        <v>478</v>
      </c>
      <c r="L280" s="10" t="s">
        <v>483</v>
      </c>
      <c r="M280" s="10" t="s">
        <v>483</v>
      </c>
      <c r="N280" s="10" t="s">
        <v>821</v>
      </c>
      <c r="O280" s="19" t="s">
        <v>1</v>
      </c>
      <c r="P280" s="19" t="s">
        <v>822</v>
      </c>
      <c r="Q280" s="21"/>
      <c r="R280" s="20" t="s">
        <v>1</v>
      </c>
      <c r="S280" s="10" t="s">
        <v>260</v>
      </c>
      <c r="T280" s="10"/>
      <c r="U280" s="10"/>
      <c r="V280" s="10">
        <v>767</v>
      </c>
      <c r="W280" s="10">
        <f t="shared" si="1"/>
        <v>767</v>
      </c>
      <c r="X280" s="10">
        <f t="shared" si="1"/>
        <v>767</v>
      </c>
      <c r="Y280" s="10">
        <f>ROUNDDOWN(W280/HLOOKUP(D280,[1]Table!$C$3:$D$4,2,0)*8,2)</f>
        <v>13.63</v>
      </c>
      <c r="Z280" s="10">
        <v>1</v>
      </c>
      <c r="AA280" s="10" t="s">
        <v>823</v>
      </c>
      <c r="AB280" s="22"/>
      <c r="AC280" s="22">
        <v>43955</v>
      </c>
      <c r="AD280" s="22">
        <v>43966</v>
      </c>
      <c r="AE280" s="22">
        <v>43956</v>
      </c>
      <c r="AF280" s="22">
        <v>43956</v>
      </c>
      <c r="AG280" s="22" t="s">
        <v>482</v>
      </c>
      <c r="AH280" s="24">
        <v>1</v>
      </c>
      <c r="AI280" s="24">
        <v>1</v>
      </c>
      <c r="AJ280" s="24">
        <v>1</v>
      </c>
      <c r="AK280" s="22" t="s">
        <v>483</v>
      </c>
      <c r="AL280" s="10" t="s">
        <v>1</v>
      </c>
      <c r="AM280" s="10" t="s">
        <v>1</v>
      </c>
      <c r="AN280" s="10" t="s">
        <v>1</v>
      </c>
    </row>
    <row r="281" spans="2:40" ht="15" x14ac:dyDescent="0.2">
      <c r="B281" s="80">
        <f t="shared" si="0"/>
        <v>54</v>
      </c>
      <c r="C281" s="16">
        <v>20200429</v>
      </c>
      <c r="D281" s="10" t="s">
        <v>476</v>
      </c>
      <c r="E281" s="10" t="s">
        <v>396</v>
      </c>
      <c r="F281" s="43" t="s">
        <v>848</v>
      </c>
      <c r="G281" s="19">
        <v>1411876</v>
      </c>
      <c r="H281" s="20" t="s">
        <v>1</v>
      </c>
      <c r="I281" s="83" t="s">
        <v>849</v>
      </c>
      <c r="J281" s="20" t="s">
        <v>1</v>
      </c>
      <c r="K281" s="10" t="s">
        <v>478</v>
      </c>
      <c r="L281" s="10" t="s">
        <v>483</v>
      </c>
      <c r="M281" s="10" t="s">
        <v>483</v>
      </c>
      <c r="N281" s="10" t="s">
        <v>821</v>
      </c>
      <c r="O281" s="19" t="s">
        <v>1</v>
      </c>
      <c r="P281" s="19" t="s">
        <v>822</v>
      </c>
      <c r="Q281" s="21"/>
      <c r="R281" s="20" t="s">
        <v>1</v>
      </c>
      <c r="S281" s="10" t="s">
        <v>219</v>
      </c>
      <c r="T281" s="10"/>
      <c r="U281" s="10"/>
      <c r="V281" s="10">
        <v>93</v>
      </c>
      <c r="W281" s="10">
        <f t="shared" si="1"/>
        <v>93</v>
      </c>
      <c r="X281" s="10">
        <f t="shared" si="1"/>
        <v>93</v>
      </c>
      <c r="Y281" s="10">
        <f>ROUNDDOWN(W281/HLOOKUP(D281,[1]Table!$C$3:$D$4,2,0)*8,2)</f>
        <v>1.65</v>
      </c>
      <c r="Z281" s="10">
        <v>1</v>
      </c>
      <c r="AA281" s="10" t="s">
        <v>823</v>
      </c>
      <c r="AB281" s="22"/>
      <c r="AC281" s="22">
        <v>43955</v>
      </c>
      <c r="AD281" s="22">
        <v>43966</v>
      </c>
      <c r="AE281" s="22">
        <v>43958</v>
      </c>
      <c r="AF281" s="22">
        <v>43958</v>
      </c>
      <c r="AG281" s="22" t="s">
        <v>482</v>
      </c>
      <c r="AH281" s="24">
        <v>1</v>
      </c>
      <c r="AI281" s="24">
        <v>1</v>
      </c>
      <c r="AJ281" s="24">
        <v>1</v>
      </c>
      <c r="AK281" s="22" t="s">
        <v>483</v>
      </c>
      <c r="AL281" s="10" t="s">
        <v>1</v>
      </c>
      <c r="AM281" s="10" t="s">
        <v>1</v>
      </c>
      <c r="AN281" s="10" t="s">
        <v>1</v>
      </c>
    </row>
    <row r="282" spans="2:40" ht="15" x14ac:dyDescent="0.2">
      <c r="B282" s="80">
        <f t="shared" si="0"/>
        <v>55</v>
      </c>
      <c r="C282" s="16">
        <v>20200429</v>
      </c>
      <c r="D282" s="10" t="s">
        <v>476</v>
      </c>
      <c r="E282" s="10" t="s">
        <v>396</v>
      </c>
      <c r="F282" s="43" t="s">
        <v>848</v>
      </c>
      <c r="G282" s="19">
        <v>1411876</v>
      </c>
      <c r="H282" s="20" t="s">
        <v>1</v>
      </c>
      <c r="I282" s="73" t="s">
        <v>214</v>
      </c>
      <c r="J282" s="20" t="s">
        <v>1</v>
      </c>
      <c r="K282" s="10" t="s">
        <v>478</v>
      </c>
      <c r="L282" s="10" t="s">
        <v>483</v>
      </c>
      <c r="M282" s="10" t="s">
        <v>483</v>
      </c>
      <c r="N282" s="10" t="s">
        <v>821</v>
      </c>
      <c r="O282" s="19" t="s">
        <v>1</v>
      </c>
      <c r="P282" s="19" t="s">
        <v>822</v>
      </c>
      <c r="Q282" s="21"/>
      <c r="R282" s="20" t="s">
        <v>1</v>
      </c>
      <c r="S282" s="10" t="s">
        <v>279</v>
      </c>
      <c r="T282" s="10"/>
      <c r="U282" s="10"/>
      <c r="V282" s="10">
        <v>118</v>
      </c>
      <c r="W282" s="10">
        <f t="shared" si="1"/>
        <v>118</v>
      </c>
      <c r="X282" s="10">
        <f t="shared" si="1"/>
        <v>118</v>
      </c>
      <c r="Y282" s="10">
        <f>ROUNDDOWN(W282/HLOOKUP(D282,[1]Table!$C$3:$D$4,2,0)*8,2)</f>
        <v>2.09</v>
      </c>
      <c r="Z282" s="10">
        <v>1</v>
      </c>
      <c r="AA282" s="10" t="s">
        <v>823</v>
      </c>
      <c r="AB282" s="22"/>
      <c r="AC282" s="22">
        <v>43955</v>
      </c>
      <c r="AD282" s="22">
        <v>43966</v>
      </c>
      <c r="AE282" s="22">
        <v>43956</v>
      </c>
      <c r="AF282" s="22">
        <v>43956</v>
      </c>
      <c r="AG282" s="22" t="s">
        <v>482</v>
      </c>
      <c r="AH282" s="24">
        <v>1</v>
      </c>
      <c r="AI282" s="24">
        <v>1</v>
      </c>
      <c r="AJ282" s="24">
        <v>1</v>
      </c>
      <c r="AK282" s="22" t="s">
        <v>483</v>
      </c>
      <c r="AL282" s="10"/>
      <c r="AM282" s="10"/>
      <c r="AN282" s="10"/>
    </row>
    <row r="283" spans="2:40" ht="15" x14ac:dyDescent="0.2">
      <c r="B283" s="80">
        <f t="shared" si="0"/>
        <v>56</v>
      </c>
      <c r="C283" s="16">
        <v>20200429</v>
      </c>
      <c r="D283" s="10" t="s">
        <v>476</v>
      </c>
      <c r="E283" s="10" t="s">
        <v>396</v>
      </c>
      <c r="F283" s="43" t="s">
        <v>831</v>
      </c>
      <c r="G283" s="19">
        <v>1411876</v>
      </c>
      <c r="H283" s="20" t="s">
        <v>1</v>
      </c>
      <c r="I283" s="73" t="s">
        <v>850</v>
      </c>
      <c r="J283" s="20" t="s">
        <v>1</v>
      </c>
      <c r="K283" s="10" t="s">
        <v>478</v>
      </c>
      <c r="L283" s="10" t="s">
        <v>483</v>
      </c>
      <c r="M283" s="10" t="s">
        <v>483</v>
      </c>
      <c r="N283" s="10" t="s">
        <v>821</v>
      </c>
      <c r="O283" s="19" t="s">
        <v>1</v>
      </c>
      <c r="P283" s="19" t="s">
        <v>822</v>
      </c>
      <c r="Q283" s="21"/>
      <c r="R283" s="20" t="s">
        <v>1</v>
      </c>
      <c r="S283" s="10" t="s">
        <v>279</v>
      </c>
      <c r="T283" s="10"/>
      <c r="U283" s="10"/>
      <c r="V283" s="10">
        <v>47</v>
      </c>
      <c r="W283" s="10">
        <f t="shared" si="1"/>
        <v>47</v>
      </c>
      <c r="X283" s="10">
        <f t="shared" si="1"/>
        <v>47</v>
      </c>
      <c r="Y283" s="10">
        <f>ROUNDDOWN(W283/HLOOKUP(D283,[1]Table!$C$3:$D$4,2,0)*8,2)</f>
        <v>0.83</v>
      </c>
      <c r="Z283" s="10">
        <v>0.5</v>
      </c>
      <c r="AA283" s="10" t="s">
        <v>823</v>
      </c>
      <c r="AB283" s="22"/>
      <c r="AC283" s="22">
        <v>43955</v>
      </c>
      <c r="AD283" s="22">
        <v>43966</v>
      </c>
      <c r="AE283" s="22">
        <v>43956</v>
      </c>
      <c r="AF283" s="22">
        <v>43956</v>
      </c>
      <c r="AG283" s="22" t="s">
        <v>482</v>
      </c>
      <c r="AH283" s="24">
        <v>1</v>
      </c>
      <c r="AI283" s="24">
        <v>1</v>
      </c>
      <c r="AJ283" s="24">
        <v>1</v>
      </c>
      <c r="AK283" s="22" t="s">
        <v>483</v>
      </c>
      <c r="AL283" s="10"/>
      <c r="AM283" s="10"/>
      <c r="AN283" s="10"/>
    </row>
    <row r="284" spans="2:40" ht="15" x14ac:dyDescent="0.2">
      <c r="B284" s="80">
        <f t="shared" si="0"/>
        <v>57</v>
      </c>
      <c r="C284" s="16">
        <v>20200429</v>
      </c>
      <c r="D284" s="10" t="s">
        <v>476</v>
      </c>
      <c r="E284" s="10" t="s">
        <v>396</v>
      </c>
      <c r="F284" s="43" t="s">
        <v>831</v>
      </c>
      <c r="G284" s="19">
        <v>1411876</v>
      </c>
      <c r="H284" s="20" t="s">
        <v>1</v>
      </c>
      <c r="I284" s="83" t="s">
        <v>57</v>
      </c>
      <c r="J284" s="20" t="s">
        <v>1</v>
      </c>
      <c r="K284" s="10" t="s">
        <v>478</v>
      </c>
      <c r="L284" s="10" t="s">
        <v>483</v>
      </c>
      <c r="M284" s="10" t="s">
        <v>483</v>
      </c>
      <c r="N284" s="10" t="s">
        <v>821</v>
      </c>
      <c r="O284" s="19" t="s">
        <v>1</v>
      </c>
      <c r="P284" s="19" t="s">
        <v>822</v>
      </c>
      <c r="Q284" s="21"/>
      <c r="R284" s="20" t="s">
        <v>1</v>
      </c>
      <c r="S284" s="10" t="s">
        <v>219</v>
      </c>
      <c r="T284" s="10"/>
      <c r="U284" s="10"/>
      <c r="V284" s="10">
        <v>104</v>
      </c>
      <c r="W284" s="10">
        <f t="shared" si="1"/>
        <v>104</v>
      </c>
      <c r="X284" s="10">
        <f t="shared" si="1"/>
        <v>104</v>
      </c>
      <c r="Y284" s="10">
        <f>ROUNDDOWN(W284/HLOOKUP(D284,[1]Table!$C$3:$D$4,2,0)*8,2)</f>
        <v>1.84</v>
      </c>
      <c r="Z284" s="10">
        <v>1</v>
      </c>
      <c r="AA284" s="10" t="s">
        <v>823</v>
      </c>
      <c r="AB284" s="22"/>
      <c r="AC284" s="22">
        <v>43955</v>
      </c>
      <c r="AD284" s="22">
        <v>43966</v>
      </c>
      <c r="AE284" s="22">
        <v>43958</v>
      </c>
      <c r="AF284" s="22">
        <v>43958</v>
      </c>
      <c r="AG284" s="22" t="s">
        <v>482</v>
      </c>
      <c r="AH284" s="24">
        <v>1</v>
      </c>
      <c r="AI284" s="24">
        <v>1</v>
      </c>
      <c r="AJ284" s="24">
        <v>1</v>
      </c>
      <c r="AK284" s="22" t="s">
        <v>483</v>
      </c>
      <c r="AL284" s="10" t="s">
        <v>1</v>
      </c>
      <c r="AM284" s="10" t="s">
        <v>1</v>
      </c>
      <c r="AN284" s="10" t="s">
        <v>1</v>
      </c>
    </row>
    <row r="285" spans="2:40" ht="15" x14ac:dyDescent="0.2">
      <c r="B285" s="80">
        <f t="shared" si="0"/>
        <v>58</v>
      </c>
      <c r="C285" s="16">
        <v>20200429</v>
      </c>
      <c r="D285" s="10" t="s">
        <v>476</v>
      </c>
      <c r="E285" s="10" t="s">
        <v>396</v>
      </c>
      <c r="F285" s="43" t="s">
        <v>831</v>
      </c>
      <c r="G285" s="19">
        <v>1411876</v>
      </c>
      <c r="H285" s="20" t="s">
        <v>1</v>
      </c>
      <c r="I285" s="83" t="s">
        <v>58</v>
      </c>
      <c r="J285" s="20" t="s">
        <v>1</v>
      </c>
      <c r="K285" s="10" t="s">
        <v>478</v>
      </c>
      <c r="L285" s="10" t="s">
        <v>483</v>
      </c>
      <c r="M285" s="10" t="s">
        <v>483</v>
      </c>
      <c r="N285" s="10" t="s">
        <v>821</v>
      </c>
      <c r="O285" s="19" t="s">
        <v>1</v>
      </c>
      <c r="P285" s="19" t="s">
        <v>822</v>
      </c>
      <c r="Q285" s="21"/>
      <c r="R285" s="20" t="s">
        <v>1</v>
      </c>
      <c r="S285" s="10" t="s">
        <v>219</v>
      </c>
      <c r="T285" s="10"/>
      <c r="U285" s="10"/>
      <c r="V285" s="10">
        <v>138</v>
      </c>
      <c r="W285" s="10">
        <f t="shared" si="1"/>
        <v>138</v>
      </c>
      <c r="X285" s="10">
        <f t="shared" si="1"/>
        <v>138</v>
      </c>
      <c r="Y285" s="10">
        <f>ROUNDDOWN(W285/HLOOKUP(D285,[1]Table!$C$3:$D$4,2,0)*8,2)</f>
        <v>2.4500000000000002</v>
      </c>
      <c r="Z285" s="10">
        <v>1</v>
      </c>
      <c r="AA285" s="10" t="s">
        <v>823</v>
      </c>
      <c r="AB285" s="22"/>
      <c r="AC285" s="22">
        <v>43955</v>
      </c>
      <c r="AD285" s="22">
        <v>43966</v>
      </c>
      <c r="AE285" s="22">
        <v>43959</v>
      </c>
      <c r="AF285" s="22">
        <v>43959</v>
      </c>
      <c r="AG285" s="22" t="s">
        <v>482</v>
      </c>
      <c r="AH285" s="24">
        <v>1</v>
      </c>
      <c r="AI285" s="24">
        <v>1</v>
      </c>
      <c r="AJ285" s="24">
        <v>1</v>
      </c>
      <c r="AK285" s="22" t="s">
        <v>483</v>
      </c>
      <c r="AL285" s="10" t="s">
        <v>1</v>
      </c>
      <c r="AM285" s="10" t="s">
        <v>1</v>
      </c>
      <c r="AN285" s="10" t="s">
        <v>1</v>
      </c>
    </row>
    <row r="286" spans="2:40" ht="15" x14ac:dyDescent="0.2">
      <c r="B286" s="80">
        <f t="shared" si="0"/>
        <v>59</v>
      </c>
      <c r="C286" s="16">
        <v>20200429</v>
      </c>
      <c r="D286" s="10" t="s">
        <v>476</v>
      </c>
      <c r="E286" s="10" t="s">
        <v>396</v>
      </c>
      <c r="F286" s="43" t="s">
        <v>831</v>
      </c>
      <c r="G286" s="19">
        <v>1411876</v>
      </c>
      <c r="H286" s="20" t="s">
        <v>1</v>
      </c>
      <c r="I286" s="83" t="s">
        <v>59</v>
      </c>
      <c r="J286" s="82" t="s">
        <v>1</v>
      </c>
      <c r="K286" s="83" t="s">
        <v>478</v>
      </c>
      <c r="L286" s="83" t="s">
        <v>483</v>
      </c>
      <c r="M286" s="83" t="s">
        <v>483</v>
      </c>
      <c r="N286" s="83" t="s">
        <v>821</v>
      </c>
      <c r="O286" s="81" t="s">
        <v>1</v>
      </c>
      <c r="P286" s="81" t="s">
        <v>822</v>
      </c>
      <c r="Q286" s="84"/>
      <c r="R286" s="82" t="s">
        <v>1</v>
      </c>
      <c r="S286" s="83" t="s">
        <v>219</v>
      </c>
      <c r="T286" s="83"/>
      <c r="U286" s="83"/>
      <c r="V286" s="83">
        <v>135</v>
      </c>
      <c r="W286" s="10">
        <f t="shared" si="1"/>
        <v>135</v>
      </c>
      <c r="X286" s="10">
        <f t="shared" si="1"/>
        <v>135</v>
      </c>
      <c r="Y286" s="10">
        <f>ROUNDDOWN(W286/HLOOKUP(D286,[1]Table!$C$3:$D$4,2,0)*8,2)</f>
        <v>2.4</v>
      </c>
      <c r="Z286" s="10">
        <v>1</v>
      </c>
      <c r="AA286" s="10" t="s">
        <v>823</v>
      </c>
      <c r="AB286" s="22"/>
      <c r="AC286" s="22">
        <v>43955</v>
      </c>
      <c r="AD286" s="22">
        <v>43966</v>
      </c>
      <c r="AE286" s="22">
        <v>43959</v>
      </c>
      <c r="AF286" s="22">
        <v>43959</v>
      </c>
      <c r="AG286" s="22" t="s">
        <v>482</v>
      </c>
      <c r="AH286" s="24">
        <v>1</v>
      </c>
      <c r="AI286" s="24">
        <v>1</v>
      </c>
      <c r="AJ286" s="24">
        <v>1</v>
      </c>
      <c r="AK286" s="22" t="s">
        <v>483</v>
      </c>
      <c r="AL286" s="10" t="s">
        <v>1</v>
      </c>
      <c r="AM286" s="10" t="s">
        <v>1</v>
      </c>
      <c r="AN286" s="10" t="s">
        <v>1</v>
      </c>
    </row>
    <row r="287" spans="2:40" ht="15" x14ac:dyDescent="0.2">
      <c r="B287" s="80">
        <f t="shared" si="0"/>
        <v>60</v>
      </c>
      <c r="C287" s="16">
        <v>20200429</v>
      </c>
      <c r="D287" s="10" t="s">
        <v>476</v>
      </c>
      <c r="E287" s="10" t="s">
        <v>396</v>
      </c>
      <c r="F287" s="86" t="s">
        <v>831</v>
      </c>
      <c r="G287" s="81">
        <v>1411876</v>
      </c>
      <c r="H287" s="82" t="s">
        <v>1</v>
      </c>
      <c r="I287" s="83" t="s">
        <v>851</v>
      </c>
      <c r="J287" s="20" t="s">
        <v>1</v>
      </c>
      <c r="K287" s="10" t="s">
        <v>478</v>
      </c>
      <c r="L287" s="10" t="s">
        <v>483</v>
      </c>
      <c r="M287" s="10" t="s">
        <v>483</v>
      </c>
      <c r="N287" s="10" t="s">
        <v>821</v>
      </c>
      <c r="O287" s="19" t="s">
        <v>1</v>
      </c>
      <c r="P287" s="19" t="s">
        <v>822</v>
      </c>
      <c r="Q287" s="21"/>
      <c r="R287" s="20" t="s">
        <v>1</v>
      </c>
      <c r="S287" s="10" t="s">
        <v>219</v>
      </c>
      <c r="T287" s="10"/>
      <c r="U287" s="10"/>
      <c r="V287" s="10">
        <v>90</v>
      </c>
      <c r="W287" s="10">
        <f t="shared" si="1"/>
        <v>90</v>
      </c>
      <c r="X287" s="10">
        <f t="shared" si="1"/>
        <v>90</v>
      </c>
      <c r="Y287" s="10">
        <f>ROUNDDOWN(W287/HLOOKUP(D287,[1]Table!$C$3:$D$4,2,0)*8,2)</f>
        <v>1.6</v>
      </c>
      <c r="Z287" s="10">
        <v>1</v>
      </c>
      <c r="AA287" s="10" t="s">
        <v>823</v>
      </c>
      <c r="AB287" s="22"/>
      <c r="AC287" s="22">
        <v>43955</v>
      </c>
      <c r="AD287" s="22">
        <v>43966</v>
      </c>
      <c r="AE287" s="22">
        <v>43959</v>
      </c>
      <c r="AF287" s="22">
        <v>43959</v>
      </c>
      <c r="AG287" s="22" t="s">
        <v>482</v>
      </c>
      <c r="AH287" s="24">
        <v>1</v>
      </c>
      <c r="AI287" s="24">
        <v>1</v>
      </c>
      <c r="AJ287" s="24">
        <v>1</v>
      </c>
      <c r="AK287" s="22" t="s">
        <v>483</v>
      </c>
      <c r="AL287" s="10" t="s">
        <v>1</v>
      </c>
      <c r="AM287" s="10" t="s">
        <v>1</v>
      </c>
      <c r="AN287" s="10" t="s">
        <v>1</v>
      </c>
    </row>
    <row r="288" spans="2:40" ht="15" x14ac:dyDescent="0.2">
      <c r="B288" s="80">
        <f t="shared" si="0"/>
        <v>61</v>
      </c>
      <c r="C288" s="16">
        <v>20200429</v>
      </c>
      <c r="D288" s="10" t="s">
        <v>476</v>
      </c>
      <c r="E288" s="10" t="s">
        <v>396</v>
      </c>
      <c r="F288" s="43" t="s">
        <v>852</v>
      </c>
      <c r="G288" s="19">
        <v>1411876</v>
      </c>
      <c r="H288" s="20" t="s">
        <v>1</v>
      </c>
      <c r="I288" s="83" t="s">
        <v>853</v>
      </c>
      <c r="J288" s="20" t="s">
        <v>1</v>
      </c>
      <c r="K288" s="10" t="s">
        <v>478</v>
      </c>
      <c r="L288" s="10" t="s">
        <v>483</v>
      </c>
      <c r="M288" s="10" t="s">
        <v>483</v>
      </c>
      <c r="N288" s="10" t="s">
        <v>821</v>
      </c>
      <c r="O288" s="19" t="s">
        <v>1</v>
      </c>
      <c r="P288" s="19" t="s">
        <v>822</v>
      </c>
      <c r="Q288" s="21"/>
      <c r="R288" s="20" t="s">
        <v>1</v>
      </c>
      <c r="S288" s="10" t="s">
        <v>279</v>
      </c>
      <c r="T288" s="10"/>
      <c r="U288" s="10"/>
      <c r="V288" s="10">
        <v>45</v>
      </c>
      <c r="W288" s="10">
        <f t="shared" si="1"/>
        <v>45</v>
      </c>
      <c r="X288" s="10">
        <f t="shared" si="1"/>
        <v>45</v>
      </c>
      <c r="Y288" s="10">
        <f>ROUNDDOWN(W288/HLOOKUP(D288,[1]Table!$C$3:$D$4,2,0)*8,2)</f>
        <v>0.8</v>
      </c>
      <c r="Z288" s="10">
        <v>0.5</v>
      </c>
      <c r="AA288" s="10" t="s">
        <v>823</v>
      </c>
      <c r="AB288" s="22"/>
      <c r="AC288" s="22">
        <v>43955</v>
      </c>
      <c r="AD288" s="22">
        <v>43966</v>
      </c>
      <c r="AE288" s="22">
        <v>43956</v>
      </c>
      <c r="AF288" s="22">
        <v>43956</v>
      </c>
      <c r="AG288" s="22" t="s">
        <v>489</v>
      </c>
      <c r="AH288" s="24">
        <v>0.37</v>
      </c>
      <c r="AI288" s="24">
        <v>1</v>
      </c>
      <c r="AJ288" s="24">
        <v>1</v>
      </c>
      <c r="AK288" s="22" t="s">
        <v>490</v>
      </c>
      <c r="AL288" s="19" t="s">
        <v>854</v>
      </c>
      <c r="AM288" s="10"/>
      <c r="AN288" s="10"/>
    </row>
    <row r="289" spans="2:40" ht="15" x14ac:dyDescent="0.2">
      <c r="B289" s="80">
        <f t="shared" si="0"/>
        <v>62</v>
      </c>
      <c r="C289" s="16">
        <v>20200429</v>
      </c>
      <c r="D289" s="10" t="s">
        <v>476</v>
      </c>
      <c r="E289" s="10" t="s">
        <v>396</v>
      </c>
      <c r="F289" s="43" t="s">
        <v>855</v>
      </c>
      <c r="G289" s="19">
        <v>1411876</v>
      </c>
      <c r="H289" s="20" t="s">
        <v>1</v>
      </c>
      <c r="I289" s="83" t="s">
        <v>856</v>
      </c>
      <c r="J289" s="20" t="s">
        <v>1</v>
      </c>
      <c r="K289" s="10" t="s">
        <v>478</v>
      </c>
      <c r="L289" s="10" t="s">
        <v>483</v>
      </c>
      <c r="M289" s="10" t="s">
        <v>483</v>
      </c>
      <c r="N289" s="10" t="s">
        <v>821</v>
      </c>
      <c r="O289" s="19" t="s">
        <v>1</v>
      </c>
      <c r="P289" s="19" t="s">
        <v>822</v>
      </c>
      <c r="Q289" s="21"/>
      <c r="R289" s="20" t="s">
        <v>1</v>
      </c>
      <c r="S289" s="10" t="s">
        <v>279</v>
      </c>
      <c r="T289" s="10"/>
      <c r="U289" s="10"/>
      <c r="V289" s="10">
        <v>68</v>
      </c>
      <c r="W289" s="10">
        <f t="shared" si="1"/>
        <v>68</v>
      </c>
      <c r="X289" s="10">
        <f t="shared" si="1"/>
        <v>68</v>
      </c>
      <c r="Y289" s="10">
        <f>ROUNDDOWN(W289/HLOOKUP(D289,[1]Table!$C$3:$D$4,2,0)*8,2)</f>
        <v>1.2</v>
      </c>
      <c r="Z289" s="10">
        <v>1</v>
      </c>
      <c r="AA289" s="10" t="s">
        <v>823</v>
      </c>
      <c r="AB289" s="22"/>
      <c r="AC289" s="22">
        <v>43955</v>
      </c>
      <c r="AD289" s="22">
        <v>43966</v>
      </c>
      <c r="AE289" s="22">
        <v>43956</v>
      </c>
      <c r="AF289" s="22">
        <v>43956</v>
      </c>
      <c r="AG289" s="22" t="s">
        <v>482</v>
      </c>
      <c r="AH289" s="24">
        <v>1</v>
      </c>
      <c r="AI289" s="24">
        <v>1</v>
      </c>
      <c r="AJ289" s="24">
        <v>1</v>
      </c>
      <c r="AK289" s="22" t="s">
        <v>483</v>
      </c>
      <c r="AL289" s="10"/>
      <c r="AM289" s="10"/>
      <c r="AN289" s="10"/>
    </row>
    <row r="290" spans="2:40" ht="15" x14ac:dyDescent="0.2">
      <c r="B290" s="80">
        <f t="shared" si="0"/>
        <v>63</v>
      </c>
      <c r="C290" s="16">
        <v>20200429</v>
      </c>
      <c r="D290" s="10" t="s">
        <v>476</v>
      </c>
      <c r="E290" s="10" t="s">
        <v>396</v>
      </c>
      <c r="F290" s="43" t="s">
        <v>857</v>
      </c>
      <c r="G290" s="19">
        <v>1411876</v>
      </c>
      <c r="H290" s="20" t="s">
        <v>1</v>
      </c>
      <c r="I290" s="83" t="s">
        <v>858</v>
      </c>
      <c r="J290" s="20" t="s">
        <v>1</v>
      </c>
      <c r="K290" s="10" t="s">
        <v>478</v>
      </c>
      <c r="L290" s="10" t="s">
        <v>483</v>
      </c>
      <c r="M290" s="10" t="s">
        <v>483</v>
      </c>
      <c r="N290" s="10" t="s">
        <v>821</v>
      </c>
      <c r="O290" s="19" t="s">
        <v>1</v>
      </c>
      <c r="P290" s="19" t="s">
        <v>822</v>
      </c>
      <c r="Q290" s="21"/>
      <c r="R290" s="20" t="s">
        <v>1</v>
      </c>
      <c r="S290" s="10" t="s">
        <v>279</v>
      </c>
      <c r="T290" s="10"/>
      <c r="U290" s="10"/>
      <c r="V290" s="10">
        <v>137</v>
      </c>
      <c r="W290" s="10">
        <f t="shared" si="1"/>
        <v>137</v>
      </c>
      <c r="X290" s="10">
        <f t="shared" si="1"/>
        <v>137</v>
      </c>
      <c r="Y290" s="10">
        <f>ROUNDDOWN(W290/HLOOKUP(D290,[1]Table!$C$3:$D$4,2,0)*8,2)</f>
        <v>2.4300000000000002</v>
      </c>
      <c r="Z290" s="10">
        <v>1</v>
      </c>
      <c r="AA290" s="10" t="s">
        <v>823</v>
      </c>
      <c r="AB290" s="22"/>
      <c r="AC290" s="22">
        <v>43955</v>
      </c>
      <c r="AD290" s="22">
        <v>43966</v>
      </c>
      <c r="AE290" s="22">
        <v>43956</v>
      </c>
      <c r="AF290" s="22">
        <v>43956</v>
      </c>
      <c r="AG290" s="22" t="s">
        <v>489</v>
      </c>
      <c r="AH290" s="24">
        <v>0.6</v>
      </c>
      <c r="AI290" s="24">
        <v>0.53</v>
      </c>
      <c r="AJ290" s="24">
        <v>1</v>
      </c>
      <c r="AK290" s="22" t="s">
        <v>490</v>
      </c>
      <c r="AL290" s="19" t="s">
        <v>859</v>
      </c>
      <c r="AM290" s="10"/>
      <c r="AN290" s="10"/>
    </row>
    <row r="291" spans="2:40" ht="15" x14ac:dyDescent="0.2">
      <c r="B291" s="80">
        <f t="shared" si="0"/>
        <v>64</v>
      </c>
      <c r="C291" s="16">
        <v>20200429</v>
      </c>
      <c r="D291" s="10" t="s">
        <v>476</v>
      </c>
      <c r="E291" s="10" t="s">
        <v>396</v>
      </c>
      <c r="F291" s="86" t="s">
        <v>860</v>
      </c>
      <c r="G291" s="81">
        <v>1411876</v>
      </c>
      <c r="H291" s="82" t="s">
        <v>1</v>
      </c>
      <c r="I291" s="83" t="s">
        <v>861</v>
      </c>
      <c r="J291" s="20" t="s">
        <v>1</v>
      </c>
      <c r="K291" s="10" t="s">
        <v>478</v>
      </c>
      <c r="L291" s="10" t="s">
        <v>483</v>
      </c>
      <c r="M291" s="10" t="s">
        <v>483</v>
      </c>
      <c r="N291" s="10" t="s">
        <v>821</v>
      </c>
      <c r="O291" s="19" t="s">
        <v>1</v>
      </c>
      <c r="P291" s="19" t="s">
        <v>822</v>
      </c>
      <c r="Q291" s="21"/>
      <c r="R291" s="20" t="s">
        <v>1</v>
      </c>
      <c r="S291" s="10" t="s">
        <v>219</v>
      </c>
      <c r="T291" s="10"/>
      <c r="U291" s="10"/>
      <c r="V291" s="10">
        <v>102</v>
      </c>
      <c r="W291" s="10">
        <f t="shared" si="1"/>
        <v>102</v>
      </c>
      <c r="X291" s="10">
        <f t="shared" si="1"/>
        <v>102</v>
      </c>
      <c r="Y291" s="10">
        <f>ROUNDDOWN(W291/HLOOKUP(D291,[1]Table!$C$3:$D$4,2,0)*8,2)</f>
        <v>1.81</v>
      </c>
      <c r="Z291" s="10">
        <v>1</v>
      </c>
      <c r="AA291" s="10" t="s">
        <v>823</v>
      </c>
      <c r="AB291" s="22"/>
      <c r="AC291" s="22">
        <v>43955</v>
      </c>
      <c r="AD291" s="22">
        <v>43966</v>
      </c>
      <c r="AE291" s="22">
        <v>43959</v>
      </c>
      <c r="AF291" s="22">
        <v>43959</v>
      </c>
      <c r="AG291" s="22" t="s">
        <v>489</v>
      </c>
      <c r="AH291" s="24">
        <v>0.71</v>
      </c>
      <c r="AI291" s="24">
        <v>0.6</v>
      </c>
      <c r="AJ291" s="24">
        <v>1</v>
      </c>
      <c r="AK291" s="22" t="s">
        <v>490</v>
      </c>
      <c r="AL291" s="19" t="s">
        <v>862</v>
      </c>
      <c r="AM291" s="10" t="s">
        <v>1</v>
      </c>
      <c r="AN291" s="10" t="s">
        <v>1</v>
      </c>
    </row>
    <row r="292" spans="2:40" ht="15" x14ac:dyDescent="0.2">
      <c r="B292" s="37">
        <f t="shared" si="0"/>
        <v>65</v>
      </c>
      <c r="C292" s="16">
        <v>20200504</v>
      </c>
      <c r="D292" s="10" t="s">
        <v>476</v>
      </c>
      <c r="E292" s="33" t="s">
        <v>397</v>
      </c>
      <c r="F292" s="43" t="s">
        <v>863</v>
      </c>
      <c r="G292" s="33">
        <v>1443329</v>
      </c>
      <c r="H292" s="20" t="s">
        <v>1</v>
      </c>
      <c r="I292" s="73" t="s">
        <v>864</v>
      </c>
      <c r="J292" s="20" t="s">
        <v>1</v>
      </c>
      <c r="K292" s="10" t="s">
        <v>478</v>
      </c>
      <c r="L292" s="10" t="s">
        <v>483</v>
      </c>
      <c r="M292" s="33" t="s">
        <v>865</v>
      </c>
      <c r="N292" s="33" t="s">
        <v>866</v>
      </c>
      <c r="O292" s="19" t="s">
        <v>1</v>
      </c>
      <c r="P292" s="87" t="s">
        <v>867</v>
      </c>
      <c r="Q292" s="21"/>
      <c r="R292" s="20" t="s">
        <v>1</v>
      </c>
      <c r="S292" s="10" t="s">
        <v>279</v>
      </c>
      <c r="T292" s="10"/>
      <c r="U292" s="10"/>
      <c r="V292" s="10">
        <v>82</v>
      </c>
      <c r="W292" s="10">
        <f>V292</f>
        <v>82</v>
      </c>
      <c r="X292" s="10">
        <f t="shared" ref="X292" si="2">W292</f>
        <v>82</v>
      </c>
      <c r="Y292" s="10">
        <f>ROUNDDOWN(W292/HLOOKUP(D292,[1]Table!$C$3:$D$4,2,0)*8,2)</f>
        <v>1.45</v>
      </c>
      <c r="Z292" s="10">
        <v>1</v>
      </c>
      <c r="AA292" s="10" t="s">
        <v>481</v>
      </c>
      <c r="AB292" s="22">
        <v>43956</v>
      </c>
      <c r="AC292" s="22">
        <v>43955</v>
      </c>
      <c r="AD292" s="22">
        <v>43957</v>
      </c>
      <c r="AE292" s="22">
        <v>43956</v>
      </c>
      <c r="AF292" s="22">
        <v>43956</v>
      </c>
      <c r="AG292" s="22" t="s">
        <v>482</v>
      </c>
      <c r="AH292" s="24">
        <v>1</v>
      </c>
      <c r="AI292" s="24">
        <v>1</v>
      </c>
      <c r="AJ292" s="24">
        <v>1</v>
      </c>
      <c r="AK292" s="22" t="s">
        <v>483</v>
      </c>
      <c r="AL292" s="10" t="s">
        <v>1</v>
      </c>
      <c r="AM292" s="10" t="s">
        <v>1</v>
      </c>
      <c r="AN292" s="10" t="s">
        <v>1</v>
      </c>
    </row>
    <row r="293" spans="2:40" ht="15" x14ac:dyDescent="0.2">
      <c r="B293" s="37">
        <f t="shared" ref="B293:B356" si="3">B292+1</f>
        <v>66</v>
      </c>
      <c r="C293" s="16">
        <v>20200504</v>
      </c>
      <c r="D293" s="10" t="s">
        <v>797</v>
      </c>
      <c r="E293" s="33" t="s">
        <v>398</v>
      </c>
      <c r="F293" s="77" t="s">
        <v>1</v>
      </c>
      <c r="G293" s="33">
        <v>1445490</v>
      </c>
      <c r="H293" s="20" t="s">
        <v>1</v>
      </c>
      <c r="I293" s="73" t="s">
        <v>868</v>
      </c>
      <c r="J293" s="20" t="s">
        <v>1</v>
      </c>
      <c r="K293" s="10" t="s">
        <v>478</v>
      </c>
      <c r="L293" s="67" t="s">
        <v>869</v>
      </c>
      <c r="M293" s="33" t="s">
        <v>870</v>
      </c>
      <c r="N293" s="33" t="s">
        <v>871</v>
      </c>
      <c r="O293" s="88" t="s">
        <v>872</v>
      </c>
      <c r="P293" s="87" t="s">
        <v>873</v>
      </c>
      <c r="Q293" s="21"/>
      <c r="R293" s="20" t="s">
        <v>1</v>
      </c>
      <c r="S293" s="10" t="s">
        <v>261</v>
      </c>
      <c r="T293" s="10"/>
      <c r="U293" s="10"/>
      <c r="V293" s="10">
        <v>45</v>
      </c>
      <c r="W293" s="10">
        <f>V293</f>
        <v>45</v>
      </c>
      <c r="X293" s="10">
        <v>45</v>
      </c>
      <c r="Y293" s="10">
        <f>ROUNDDOWN(W293/HLOOKUP(D293,[1]Table!$C$3:$D$4,2,0)*8,2)</f>
        <v>2.76</v>
      </c>
      <c r="Z293" s="10">
        <v>3</v>
      </c>
      <c r="AA293" s="10" t="s">
        <v>481</v>
      </c>
      <c r="AB293" s="22">
        <v>43956</v>
      </c>
      <c r="AC293" s="22">
        <v>43955</v>
      </c>
      <c r="AD293" s="22">
        <v>43957</v>
      </c>
      <c r="AE293" s="22">
        <v>43956</v>
      </c>
      <c r="AF293" s="22">
        <v>43956</v>
      </c>
      <c r="AG293" s="22" t="s">
        <v>482</v>
      </c>
      <c r="AH293" s="24">
        <v>1</v>
      </c>
      <c r="AI293" s="24">
        <v>1</v>
      </c>
      <c r="AJ293" s="24">
        <v>1</v>
      </c>
      <c r="AK293" s="22" t="s">
        <v>483</v>
      </c>
      <c r="AL293" s="10" t="s">
        <v>1</v>
      </c>
      <c r="AM293" s="10" t="s">
        <v>1</v>
      </c>
      <c r="AN293" s="10" t="s">
        <v>1</v>
      </c>
    </row>
    <row r="294" spans="2:40" ht="15" x14ac:dyDescent="0.2">
      <c r="B294" s="89">
        <f t="shared" si="3"/>
        <v>67</v>
      </c>
      <c r="C294" s="16">
        <v>20200506</v>
      </c>
      <c r="D294" s="10" t="s">
        <v>476</v>
      </c>
      <c r="E294" s="10" t="s">
        <v>399</v>
      </c>
      <c r="F294" s="43" t="s">
        <v>874</v>
      </c>
      <c r="G294" s="19">
        <v>1449890</v>
      </c>
      <c r="H294" s="20" t="s">
        <v>1</v>
      </c>
      <c r="I294" s="73" t="s">
        <v>190</v>
      </c>
      <c r="J294" s="20" t="s">
        <v>1</v>
      </c>
      <c r="K294" s="10" t="s">
        <v>478</v>
      </c>
      <c r="L294" s="10" t="s">
        <v>875</v>
      </c>
      <c r="M294" s="10" t="s">
        <v>876</v>
      </c>
      <c r="N294" s="10" t="s">
        <v>877</v>
      </c>
      <c r="O294" s="19" t="s">
        <v>1</v>
      </c>
      <c r="P294" s="19" t="s">
        <v>878</v>
      </c>
      <c r="Q294" s="21"/>
      <c r="R294" s="20" t="s">
        <v>1</v>
      </c>
      <c r="S294" s="10" t="s">
        <v>15</v>
      </c>
      <c r="T294" s="10"/>
      <c r="U294" s="10"/>
      <c r="V294" s="10">
        <v>101</v>
      </c>
      <c r="W294" s="10">
        <f t="shared" ref="W294:X309" si="4">V294</f>
        <v>101</v>
      </c>
      <c r="X294" s="10">
        <f>W294</f>
        <v>101</v>
      </c>
      <c r="Y294" s="10">
        <f>ROUNDDOWN(W294/HLOOKUP(D294,[1]Table!$C$3:$D$4,2,0)*8,2)</f>
        <v>1.79</v>
      </c>
      <c r="Z294" s="10">
        <v>2</v>
      </c>
      <c r="AA294" s="10" t="s">
        <v>481</v>
      </c>
      <c r="AB294" s="22">
        <v>43959</v>
      </c>
      <c r="AC294" s="22">
        <v>43957</v>
      </c>
      <c r="AD294" s="22">
        <v>43959</v>
      </c>
      <c r="AE294" s="22">
        <v>43957</v>
      </c>
      <c r="AF294" s="22">
        <v>43957</v>
      </c>
      <c r="AG294" s="22" t="s">
        <v>482</v>
      </c>
      <c r="AH294" s="24">
        <v>1</v>
      </c>
      <c r="AI294" s="24">
        <v>1</v>
      </c>
      <c r="AJ294" s="24">
        <v>1</v>
      </c>
      <c r="AK294" s="22" t="s">
        <v>483</v>
      </c>
      <c r="AL294" s="10" t="s">
        <v>1</v>
      </c>
      <c r="AM294" s="10" t="s">
        <v>1</v>
      </c>
      <c r="AN294" s="10" t="s">
        <v>1</v>
      </c>
    </row>
    <row r="295" spans="2:40" ht="15" x14ac:dyDescent="0.2">
      <c r="B295" s="89">
        <f t="shared" si="3"/>
        <v>68</v>
      </c>
      <c r="C295" s="16">
        <v>20200506</v>
      </c>
      <c r="D295" s="10" t="s">
        <v>476</v>
      </c>
      <c r="E295" s="10" t="s">
        <v>399</v>
      </c>
      <c r="F295" s="43" t="s">
        <v>879</v>
      </c>
      <c r="G295" s="19">
        <v>1449890</v>
      </c>
      <c r="H295" s="20" t="s">
        <v>1</v>
      </c>
      <c r="I295" s="10" t="s">
        <v>880</v>
      </c>
      <c r="J295" s="20" t="s">
        <v>1</v>
      </c>
      <c r="K295" s="10" t="s">
        <v>478</v>
      </c>
      <c r="L295" s="10" t="s">
        <v>875</v>
      </c>
      <c r="M295" s="10" t="s">
        <v>876</v>
      </c>
      <c r="N295" s="10" t="s">
        <v>877</v>
      </c>
      <c r="O295" s="19" t="s">
        <v>1</v>
      </c>
      <c r="P295" s="19" t="s">
        <v>878</v>
      </c>
      <c r="Q295" s="21"/>
      <c r="R295" s="20" t="s">
        <v>1</v>
      </c>
      <c r="S295" s="10" t="s">
        <v>15</v>
      </c>
      <c r="T295" s="10"/>
      <c r="U295" s="10"/>
      <c r="V295" s="10">
        <v>66</v>
      </c>
      <c r="W295" s="10">
        <f t="shared" si="4"/>
        <v>66</v>
      </c>
      <c r="X295" s="10">
        <f>W295</f>
        <v>66</v>
      </c>
      <c r="Y295" s="10">
        <f>ROUNDDOWN(W295/HLOOKUP(D295,[1]Table!$C$3:$D$4,2,0)*8,2)</f>
        <v>1.17</v>
      </c>
      <c r="Z295" s="10">
        <v>1</v>
      </c>
      <c r="AA295" s="10" t="s">
        <v>481</v>
      </c>
      <c r="AB295" s="22">
        <v>43959</v>
      </c>
      <c r="AC295" s="22">
        <v>43957</v>
      </c>
      <c r="AD295" s="22">
        <v>43959</v>
      </c>
      <c r="AE295" s="22">
        <v>43957</v>
      </c>
      <c r="AF295" s="22">
        <v>43957</v>
      </c>
      <c r="AG295" s="22" t="s">
        <v>482</v>
      </c>
      <c r="AH295" s="24">
        <v>1</v>
      </c>
      <c r="AI295" s="24">
        <v>1</v>
      </c>
      <c r="AJ295" s="24">
        <v>1</v>
      </c>
      <c r="AK295" s="22" t="s">
        <v>483</v>
      </c>
      <c r="AL295" s="10" t="s">
        <v>1</v>
      </c>
      <c r="AM295" s="10" t="s">
        <v>1</v>
      </c>
      <c r="AN295" s="10" t="s">
        <v>1</v>
      </c>
    </row>
    <row r="296" spans="2:40" ht="15" x14ac:dyDescent="0.2">
      <c r="B296" s="89">
        <f t="shared" si="3"/>
        <v>69</v>
      </c>
      <c r="C296" s="16">
        <v>20200506</v>
      </c>
      <c r="D296" s="10" t="s">
        <v>476</v>
      </c>
      <c r="E296" s="10" t="s">
        <v>400</v>
      </c>
      <c r="F296" s="43" t="s">
        <v>881</v>
      </c>
      <c r="G296" s="19">
        <v>1446629</v>
      </c>
      <c r="H296" s="20" t="s">
        <v>1</v>
      </c>
      <c r="I296" s="10" t="s">
        <v>882</v>
      </c>
      <c r="J296" s="20" t="s">
        <v>1</v>
      </c>
      <c r="K296" s="10" t="s">
        <v>478</v>
      </c>
      <c r="L296" s="10" t="s">
        <v>483</v>
      </c>
      <c r="M296" s="10" t="s">
        <v>164</v>
      </c>
      <c r="N296" s="10" t="s">
        <v>681</v>
      </c>
      <c r="O296" s="19" t="s">
        <v>1</v>
      </c>
      <c r="P296" s="19" t="s">
        <v>883</v>
      </c>
      <c r="Q296" s="21"/>
      <c r="R296" s="20" t="s">
        <v>1</v>
      </c>
      <c r="S296" s="10" t="s">
        <v>15</v>
      </c>
      <c r="T296" s="10"/>
      <c r="U296" s="10"/>
      <c r="V296" s="10">
        <v>86</v>
      </c>
      <c r="W296" s="10">
        <f t="shared" si="4"/>
        <v>86</v>
      </c>
      <c r="X296" s="10">
        <f>W296</f>
        <v>86</v>
      </c>
      <c r="Y296" s="10">
        <f>ROUNDDOWN(W296/HLOOKUP(D296,[1]Table!$C$3:$D$4,2,0)*8,2)</f>
        <v>1.52</v>
      </c>
      <c r="Z296" s="10">
        <v>4</v>
      </c>
      <c r="AA296" s="10" t="s">
        <v>481</v>
      </c>
      <c r="AB296" s="22">
        <v>43959</v>
      </c>
      <c r="AC296" s="22">
        <v>43957</v>
      </c>
      <c r="AD296" s="22">
        <v>43959</v>
      </c>
      <c r="AE296" s="22">
        <v>43958</v>
      </c>
      <c r="AF296" s="22">
        <v>43958</v>
      </c>
      <c r="AG296" s="22" t="s">
        <v>482</v>
      </c>
      <c r="AH296" s="24">
        <v>1</v>
      </c>
      <c r="AI296" s="24">
        <v>1</v>
      </c>
      <c r="AJ296" s="24">
        <v>1</v>
      </c>
      <c r="AK296" s="22" t="s">
        <v>483</v>
      </c>
      <c r="AL296" s="10" t="s">
        <v>1</v>
      </c>
      <c r="AM296" s="10" t="s">
        <v>1</v>
      </c>
      <c r="AN296" s="10" t="s">
        <v>1</v>
      </c>
    </row>
    <row r="297" spans="2:40" ht="15" x14ac:dyDescent="0.2">
      <c r="B297" s="89">
        <f t="shared" si="3"/>
        <v>70</v>
      </c>
      <c r="C297" s="16">
        <v>20200506</v>
      </c>
      <c r="D297" s="10" t="s">
        <v>476</v>
      </c>
      <c r="E297" s="10" t="s">
        <v>401</v>
      </c>
      <c r="F297" s="90" t="s">
        <v>884</v>
      </c>
      <c r="G297" s="19">
        <v>1449424</v>
      </c>
      <c r="H297" s="20" t="s">
        <v>1</v>
      </c>
      <c r="I297" s="10" t="s">
        <v>206</v>
      </c>
      <c r="J297" s="20" t="s">
        <v>1</v>
      </c>
      <c r="K297" s="10" t="s">
        <v>548</v>
      </c>
      <c r="L297" s="10" t="s">
        <v>885</v>
      </c>
      <c r="M297" s="10" t="s">
        <v>886</v>
      </c>
      <c r="N297" s="10" t="s">
        <v>887</v>
      </c>
      <c r="O297" s="19" t="s">
        <v>1</v>
      </c>
      <c r="P297" s="19" t="s">
        <v>888</v>
      </c>
      <c r="Q297" s="21"/>
      <c r="R297" s="20" t="s">
        <v>1</v>
      </c>
      <c r="S297" s="10" t="s">
        <v>15</v>
      </c>
      <c r="T297" s="10"/>
      <c r="U297" s="10"/>
      <c r="V297" s="10">
        <v>145</v>
      </c>
      <c r="W297" s="10">
        <f t="shared" si="4"/>
        <v>145</v>
      </c>
      <c r="X297" s="10">
        <f>W297</f>
        <v>145</v>
      </c>
      <c r="Y297" s="10">
        <f>ROUNDDOWN(W297/HLOOKUP(D297,[1]Table!$C$3:$D$4,2,0)*8,2)</f>
        <v>2.57</v>
      </c>
      <c r="Z297" s="10">
        <v>4</v>
      </c>
      <c r="AA297" s="10" t="s">
        <v>794</v>
      </c>
      <c r="AB297" s="22">
        <v>43959</v>
      </c>
      <c r="AC297" s="22">
        <v>43957</v>
      </c>
      <c r="AD297" s="22">
        <v>43959</v>
      </c>
      <c r="AE297" s="22">
        <v>43958</v>
      </c>
      <c r="AF297" s="22">
        <v>43958</v>
      </c>
      <c r="AG297" s="22" t="s">
        <v>482</v>
      </c>
      <c r="AH297" s="24">
        <v>1</v>
      </c>
      <c r="AI297" s="24">
        <v>0.98</v>
      </c>
      <c r="AJ297" s="24">
        <v>1</v>
      </c>
      <c r="AK297" s="22" t="s">
        <v>490</v>
      </c>
      <c r="AL297" s="10" t="s">
        <v>889</v>
      </c>
      <c r="AM297" s="10"/>
      <c r="AN297" s="10" t="s">
        <v>757</v>
      </c>
    </row>
    <row r="298" spans="2:40" ht="15" x14ac:dyDescent="0.2">
      <c r="B298" s="89">
        <f t="shared" si="3"/>
        <v>71</v>
      </c>
      <c r="C298" s="16">
        <v>20200506</v>
      </c>
      <c r="D298" s="10" t="s">
        <v>476</v>
      </c>
      <c r="E298" s="10" t="s">
        <v>401</v>
      </c>
      <c r="F298" s="90" t="s">
        <v>890</v>
      </c>
      <c r="G298" s="19">
        <v>1449424</v>
      </c>
      <c r="H298" s="20" t="s">
        <v>1</v>
      </c>
      <c r="I298" s="16" t="s">
        <v>337</v>
      </c>
      <c r="J298" s="20" t="s">
        <v>1</v>
      </c>
      <c r="K298" s="19" t="s">
        <v>548</v>
      </c>
      <c r="L298" s="10" t="s">
        <v>885</v>
      </c>
      <c r="M298" s="10" t="s">
        <v>886</v>
      </c>
      <c r="N298" s="10" t="s">
        <v>887</v>
      </c>
      <c r="O298" s="19" t="s">
        <v>1</v>
      </c>
      <c r="P298" s="19" t="s">
        <v>888</v>
      </c>
      <c r="Q298" s="21"/>
      <c r="R298" s="20"/>
      <c r="S298" s="10" t="s">
        <v>15</v>
      </c>
      <c r="T298" s="10"/>
      <c r="U298" s="10"/>
      <c r="V298" s="10">
        <v>503</v>
      </c>
      <c r="W298" s="10">
        <f>V298</f>
        <v>503</v>
      </c>
      <c r="X298" s="10">
        <f>W298</f>
        <v>503</v>
      </c>
      <c r="Y298" s="10">
        <f>ROUNDDOWN(W298/HLOOKUP(D298,[1]Table!$C$3:$D$4,2,0)*8,2)</f>
        <v>8.94</v>
      </c>
      <c r="Z298" s="10">
        <v>4</v>
      </c>
      <c r="AA298" s="10" t="s">
        <v>750</v>
      </c>
      <c r="AB298" s="22">
        <v>43962</v>
      </c>
      <c r="AC298" s="22">
        <v>43962</v>
      </c>
      <c r="AD298" s="22">
        <v>43962</v>
      </c>
      <c r="AE298" s="22">
        <v>43962</v>
      </c>
      <c r="AF298" s="22">
        <v>43962</v>
      </c>
      <c r="AG298" s="22" t="s">
        <v>482</v>
      </c>
      <c r="AH298" s="24">
        <v>1</v>
      </c>
      <c r="AI298" s="24">
        <v>1</v>
      </c>
      <c r="AJ298" s="24">
        <v>1</v>
      </c>
      <c r="AK298" s="22" t="s">
        <v>483</v>
      </c>
      <c r="AL298" s="10"/>
      <c r="AM298" s="10"/>
      <c r="AN298" s="16" t="s">
        <v>891</v>
      </c>
    </row>
    <row r="299" spans="2:40" ht="15" x14ac:dyDescent="0.2">
      <c r="B299" s="89">
        <f t="shared" si="3"/>
        <v>72</v>
      </c>
      <c r="C299" s="16">
        <v>20200506</v>
      </c>
      <c r="D299" s="10" t="s">
        <v>476</v>
      </c>
      <c r="E299" s="10" t="s">
        <v>402</v>
      </c>
      <c r="F299" s="43" t="s">
        <v>892</v>
      </c>
      <c r="G299" s="19">
        <v>1449711</v>
      </c>
      <c r="H299" s="20" t="s">
        <v>1</v>
      </c>
      <c r="I299" s="10" t="s">
        <v>337</v>
      </c>
      <c r="J299" s="20" t="s">
        <v>1</v>
      </c>
      <c r="K299" s="10" t="s">
        <v>478</v>
      </c>
      <c r="L299" s="10" t="s">
        <v>893</v>
      </c>
      <c r="M299" s="10" t="s">
        <v>894</v>
      </c>
      <c r="N299" s="10" t="s">
        <v>895</v>
      </c>
      <c r="O299" s="19" t="s">
        <v>1</v>
      </c>
      <c r="P299" s="19" t="s">
        <v>896</v>
      </c>
      <c r="Q299" s="21"/>
      <c r="R299" s="20" t="s">
        <v>1</v>
      </c>
      <c r="S299" s="10" t="s">
        <v>4</v>
      </c>
      <c r="T299" s="10"/>
      <c r="U299" s="10"/>
      <c r="V299" s="10">
        <v>444</v>
      </c>
      <c r="W299" s="10">
        <f t="shared" si="4"/>
        <v>444</v>
      </c>
      <c r="X299" s="10">
        <f t="shared" si="4"/>
        <v>444</v>
      </c>
      <c r="Y299" s="10">
        <f>ROUNDDOWN(W299/HLOOKUP(D299,[1]Table!$C$3:$D$4,2,0)*8,2)</f>
        <v>7.89</v>
      </c>
      <c r="Z299" s="10">
        <v>2</v>
      </c>
      <c r="AA299" s="10" t="s">
        <v>750</v>
      </c>
      <c r="AB299" s="22">
        <v>43959</v>
      </c>
      <c r="AC299" s="22">
        <v>43957</v>
      </c>
      <c r="AD299" s="22">
        <v>43959</v>
      </c>
      <c r="AE299" s="22">
        <v>43958</v>
      </c>
      <c r="AF299" s="22">
        <v>43958</v>
      </c>
      <c r="AG299" s="22" t="s">
        <v>482</v>
      </c>
      <c r="AH299" s="24">
        <v>1</v>
      </c>
      <c r="AI299" s="24">
        <v>1</v>
      </c>
      <c r="AJ299" s="24">
        <v>1</v>
      </c>
      <c r="AK299" s="22" t="s">
        <v>483</v>
      </c>
      <c r="AL299" s="10" t="s">
        <v>1</v>
      </c>
      <c r="AM299" s="10" t="s">
        <v>1</v>
      </c>
      <c r="AN299" s="10" t="s">
        <v>1</v>
      </c>
    </row>
    <row r="300" spans="2:40" ht="15" x14ac:dyDescent="0.2">
      <c r="B300" s="89">
        <f t="shared" si="3"/>
        <v>73</v>
      </c>
      <c r="C300" s="16">
        <v>20200506</v>
      </c>
      <c r="D300" s="10" t="s">
        <v>476</v>
      </c>
      <c r="E300" s="10" t="s">
        <v>402</v>
      </c>
      <c r="F300" s="43" t="s">
        <v>897</v>
      </c>
      <c r="G300" s="19">
        <v>1449711</v>
      </c>
      <c r="H300" s="20" t="s">
        <v>1</v>
      </c>
      <c r="I300" s="10" t="s">
        <v>237</v>
      </c>
      <c r="J300" s="20" t="s">
        <v>1</v>
      </c>
      <c r="K300" s="10" t="s">
        <v>478</v>
      </c>
      <c r="L300" s="10" t="s">
        <v>893</v>
      </c>
      <c r="M300" s="10" t="s">
        <v>894</v>
      </c>
      <c r="N300" s="10" t="s">
        <v>895</v>
      </c>
      <c r="O300" s="19" t="s">
        <v>1</v>
      </c>
      <c r="P300" s="19" t="s">
        <v>896</v>
      </c>
      <c r="Q300" s="21"/>
      <c r="R300" s="20" t="s">
        <v>1</v>
      </c>
      <c r="S300" s="10" t="s">
        <v>41</v>
      </c>
      <c r="T300" s="10"/>
      <c r="U300" s="10"/>
      <c r="V300" s="10">
        <v>117</v>
      </c>
      <c r="W300" s="10">
        <f t="shared" si="4"/>
        <v>117</v>
      </c>
      <c r="X300" s="10">
        <f t="shared" si="4"/>
        <v>117</v>
      </c>
      <c r="Y300" s="10">
        <f>ROUNDDOWN(W300/HLOOKUP(D300,[1]Table!$C$3:$D$4,2,0)*8,2)</f>
        <v>2.08</v>
      </c>
      <c r="Z300" s="10">
        <v>0.5</v>
      </c>
      <c r="AA300" s="10" t="s">
        <v>750</v>
      </c>
      <c r="AB300" s="22">
        <v>43959</v>
      </c>
      <c r="AC300" s="22">
        <v>43957</v>
      </c>
      <c r="AD300" s="22">
        <v>43959</v>
      </c>
      <c r="AE300" s="22">
        <v>43957</v>
      </c>
      <c r="AF300" s="22">
        <v>43957</v>
      </c>
      <c r="AG300" s="22" t="s">
        <v>482</v>
      </c>
      <c r="AH300" s="24">
        <v>1</v>
      </c>
      <c r="AI300" s="24">
        <v>1</v>
      </c>
      <c r="AJ300" s="24">
        <v>1</v>
      </c>
      <c r="AK300" s="22" t="s">
        <v>483</v>
      </c>
      <c r="AL300" s="10" t="s">
        <v>1</v>
      </c>
      <c r="AM300" s="10" t="s">
        <v>1</v>
      </c>
      <c r="AN300" s="10" t="s">
        <v>1</v>
      </c>
    </row>
    <row r="301" spans="2:40" ht="15" x14ac:dyDescent="0.2">
      <c r="B301" s="89">
        <f t="shared" si="3"/>
        <v>74</v>
      </c>
      <c r="C301" s="16">
        <v>20200506</v>
      </c>
      <c r="D301" s="10" t="s">
        <v>476</v>
      </c>
      <c r="E301" s="10" t="s">
        <v>402</v>
      </c>
      <c r="F301" s="43" t="s">
        <v>898</v>
      </c>
      <c r="G301" s="19">
        <v>1449711</v>
      </c>
      <c r="H301" s="20" t="s">
        <v>1</v>
      </c>
      <c r="I301" s="10" t="s">
        <v>221</v>
      </c>
      <c r="J301" s="20" t="s">
        <v>1</v>
      </c>
      <c r="K301" s="10" t="s">
        <v>478</v>
      </c>
      <c r="L301" s="10" t="s">
        <v>893</v>
      </c>
      <c r="M301" s="10" t="s">
        <v>894</v>
      </c>
      <c r="N301" s="10" t="s">
        <v>895</v>
      </c>
      <c r="O301" s="19" t="s">
        <v>1</v>
      </c>
      <c r="P301" s="19" t="s">
        <v>896</v>
      </c>
      <c r="Q301" s="21"/>
      <c r="R301" s="20" t="s">
        <v>1</v>
      </c>
      <c r="S301" s="10" t="s">
        <v>41</v>
      </c>
      <c r="T301" s="10"/>
      <c r="U301" s="10"/>
      <c r="V301" s="10">
        <v>76</v>
      </c>
      <c r="W301" s="10">
        <f t="shared" si="4"/>
        <v>76</v>
      </c>
      <c r="X301" s="10">
        <f t="shared" si="4"/>
        <v>76</v>
      </c>
      <c r="Y301" s="10">
        <f>ROUNDDOWN(W301/HLOOKUP(D301,[1]Table!$C$3:$D$4,2,0)*8,2)</f>
        <v>1.35</v>
      </c>
      <c r="Z301" s="10">
        <v>0.5</v>
      </c>
      <c r="AA301" s="10" t="s">
        <v>750</v>
      </c>
      <c r="AB301" s="22">
        <v>43959</v>
      </c>
      <c r="AC301" s="22">
        <v>43957</v>
      </c>
      <c r="AD301" s="22">
        <v>43959</v>
      </c>
      <c r="AE301" s="22">
        <v>43957</v>
      </c>
      <c r="AF301" s="22">
        <v>43957</v>
      </c>
      <c r="AG301" s="22" t="s">
        <v>482</v>
      </c>
      <c r="AH301" s="24">
        <v>1</v>
      </c>
      <c r="AI301" s="24">
        <v>1</v>
      </c>
      <c r="AJ301" s="24">
        <v>1</v>
      </c>
      <c r="AK301" s="22" t="s">
        <v>483</v>
      </c>
      <c r="AL301" s="10" t="s">
        <v>1</v>
      </c>
      <c r="AM301" s="10" t="s">
        <v>1</v>
      </c>
      <c r="AN301" s="10" t="s">
        <v>1</v>
      </c>
    </row>
    <row r="302" spans="2:40" ht="15" x14ac:dyDescent="0.2">
      <c r="B302" s="89">
        <f t="shared" si="3"/>
        <v>75</v>
      </c>
      <c r="C302" s="16">
        <v>20200506</v>
      </c>
      <c r="D302" s="10" t="s">
        <v>476</v>
      </c>
      <c r="E302" s="10" t="s">
        <v>402</v>
      </c>
      <c r="F302" s="43" t="s">
        <v>899</v>
      </c>
      <c r="G302" s="19">
        <v>1449711</v>
      </c>
      <c r="H302" s="20" t="s">
        <v>1</v>
      </c>
      <c r="I302" s="10" t="s">
        <v>900</v>
      </c>
      <c r="J302" s="20" t="s">
        <v>1</v>
      </c>
      <c r="K302" s="10" t="s">
        <v>478</v>
      </c>
      <c r="L302" s="10" t="s">
        <v>893</v>
      </c>
      <c r="M302" s="10" t="s">
        <v>894</v>
      </c>
      <c r="N302" s="10" t="s">
        <v>895</v>
      </c>
      <c r="O302" s="19" t="s">
        <v>1</v>
      </c>
      <c r="P302" s="19" t="s">
        <v>896</v>
      </c>
      <c r="Q302" s="21"/>
      <c r="R302" s="20" t="s">
        <v>1</v>
      </c>
      <c r="S302" s="10" t="s">
        <v>41</v>
      </c>
      <c r="T302" s="10"/>
      <c r="U302" s="10"/>
      <c r="V302" s="10">
        <v>114</v>
      </c>
      <c r="W302" s="10">
        <f t="shared" si="4"/>
        <v>114</v>
      </c>
      <c r="X302" s="10">
        <f t="shared" si="4"/>
        <v>114</v>
      </c>
      <c r="Y302" s="10">
        <f>ROUNDDOWN(W302/HLOOKUP(D302,[1]Table!$C$3:$D$4,2,0)*8,2)</f>
        <v>2.02</v>
      </c>
      <c r="Z302" s="10">
        <v>0.5</v>
      </c>
      <c r="AA302" s="10" t="s">
        <v>750</v>
      </c>
      <c r="AB302" s="22">
        <v>43959</v>
      </c>
      <c r="AC302" s="22">
        <v>43957</v>
      </c>
      <c r="AD302" s="22">
        <v>43959</v>
      </c>
      <c r="AE302" s="22">
        <v>43957</v>
      </c>
      <c r="AF302" s="22">
        <v>43957</v>
      </c>
      <c r="AG302" s="22" t="s">
        <v>482</v>
      </c>
      <c r="AH302" s="24">
        <v>1</v>
      </c>
      <c r="AI302" s="24">
        <v>1</v>
      </c>
      <c r="AJ302" s="24">
        <v>1</v>
      </c>
      <c r="AK302" s="22" t="s">
        <v>483</v>
      </c>
      <c r="AL302" s="10" t="s">
        <v>1</v>
      </c>
      <c r="AM302" s="10" t="s">
        <v>1</v>
      </c>
      <c r="AN302" s="10" t="s">
        <v>1</v>
      </c>
    </row>
    <row r="303" spans="2:40" ht="15" x14ac:dyDescent="0.2">
      <c r="B303" s="89">
        <f t="shared" si="3"/>
        <v>76</v>
      </c>
      <c r="C303" s="16">
        <v>20200506</v>
      </c>
      <c r="D303" s="10" t="s">
        <v>476</v>
      </c>
      <c r="E303" s="10" t="s">
        <v>402</v>
      </c>
      <c r="F303" s="43" t="s">
        <v>901</v>
      </c>
      <c r="G303" s="19">
        <v>1449711</v>
      </c>
      <c r="H303" s="20" t="s">
        <v>1</v>
      </c>
      <c r="I303" s="10" t="s">
        <v>155</v>
      </c>
      <c r="J303" s="20" t="s">
        <v>1</v>
      </c>
      <c r="K303" s="10" t="s">
        <v>478</v>
      </c>
      <c r="L303" s="10" t="s">
        <v>893</v>
      </c>
      <c r="M303" s="10" t="s">
        <v>894</v>
      </c>
      <c r="N303" s="10" t="s">
        <v>895</v>
      </c>
      <c r="O303" s="19" t="s">
        <v>1</v>
      </c>
      <c r="P303" s="19" t="s">
        <v>896</v>
      </c>
      <c r="Q303" s="21"/>
      <c r="R303" s="20" t="s">
        <v>1</v>
      </c>
      <c r="S303" s="10" t="s">
        <v>4</v>
      </c>
      <c r="T303" s="10"/>
      <c r="U303" s="10"/>
      <c r="V303" s="10">
        <v>262</v>
      </c>
      <c r="W303" s="10">
        <f t="shared" si="4"/>
        <v>262</v>
      </c>
      <c r="X303" s="10">
        <f t="shared" si="4"/>
        <v>262</v>
      </c>
      <c r="Y303" s="10">
        <f>ROUNDDOWN(W303/HLOOKUP(D303,[1]Table!$C$3:$D$4,2,0)*8,2)</f>
        <v>4.6500000000000004</v>
      </c>
      <c r="Z303" s="10">
        <v>1</v>
      </c>
      <c r="AA303" s="10" t="s">
        <v>750</v>
      </c>
      <c r="AB303" s="22">
        <v>43959</v>
      </c>
      <c r="AC303" s="22">
        <v>43957</v>
      </c>
      <c r="AD303" s="22">
        <v>43959</v>
      </c>
      <c r="AE303" s="22">
        <v>43958</v>
      </c>
      <c r="AF303" s="22">
        <v>43958</v>
      </c>
      <c r="AG303" s="22" t="s">
        <v>482</v>
      </c>
      <c r="AH303" s="24">
        <v>1</v>
      </c>
      <c r="AI303" s="24">
        <v>1</v>
      </c>
      <c r="AJ303" s="24">
        <v>1</v>
      </c>
      <c r="AK303" s="22" t="s">
        <v>483</v>
      </c>
      <c r="AL303" s="10" t="s">
        <v>1</v>
      </c>
      <c r="AM303" s="10" t="s">
        <v>1</v>
      </c>
      <c r="AN303" s="10" t="s">
        <v>1</v>
      </c>
    </row>
    <row r="304" spans="2:40" ht="15" x14ac:dyDescent="0.2">
      <c r="B304" s="89">
        <f t="shared" si="3"/>
        <v>77</v>
      </c>
      <c r="C304" s="16">
        <v>20200506</v>
      </c>
      <c r="D304" s="10" t="s">
        <v>476</v>
      </c>
      <c r="E304" s="10" t="s">
        <v>402</v>
      </c>
      <c r="F304" s="43" t="s">
        <v>902</v>
      </c>
      <c r="G304" s="19">
        <v>1449711</v>
      </c>
      <c r="H304" s="20" t="s">
        <v>1</v>
      </c>
      <c r="I304" s="10" t="s">
        <v>357</v>
      </c>
      <c r="J304" s="20" t="s">
        <v>1</v>
      </c>
      <c r="K304" s="10" t="s">
        <v>478</v>
      </c>
      <c r="L304" s="10" t="s">
        <v>893</v>
      </c>
      <c r="M304" s="10" t="s">
        <v>894</v>
      </c>
      <c r="N304" s="10" t="s">
        <v>895</v>
      </c>
      <c r="O304" s="19" t="s">
        <v>1</v>
      </c>
      <c r="P304" s="19" t="s">
        <v>896</v>
      </c>
      <c r="Q304" s="21"/>
      <c r="R304" s="20" t="s">
        <v>1</v>
      </c>
      <c r="S304" s="10" t="s">
        <v>40</v>
      </c>
      <c r="T304" s="10"/>
      <c r="U304" s="10"/>
      <c r="V304" s="10">
        <v>41</v>
      </c>
      <c r="W304" s="10">
        <f t="shared" si="4"/>
        <v>41</v>
      </c>
      <c r="X304" s="10">
        <f t="shared" si="4"/>
        <v>41</v>
      </c>
      <c r="Y304" s="10">
        <f>ROUNDDOWN(W304/HLOOKUP(D304,[1]Table!$C$3:$D$4,2,0)*8,2)</f>
        <v>0.72</v>
      </c>
      <c r="Z304" s="10">
        <v>0.5</v>
      </c>
      <c r="AA304" s="10" t="s">
        <v>750</v>
      </c>
      <c r="AB304" s="22">
        <v>43959</v>
      </c>
      <c r="AC304" s="22">
        <v>43957</v>
      </c>
      <c r="AD304" s="22">
        <v>43959</v>
      </c>
      <c r="AE304" s="22">
        <v>43957</v>
      </c>
      <c r="AF304" s="22">
        <v>43957</v>
      </c>
      <c r="AG304" s="22" t="s">
        <v>482</v>
      </c>
      <c r="AH304" s="24">
        <v>1</v>
      </c>
      <c r="AI304" s="24">
        <v>1</v>
      </c>
      <c r="AJ304" s="24">
        <v>1</v>
      </c>
      <c r="AK304" s="22" t="s">
        <v>483</v>
      </c>
      <c r="AL304" s="10" t="s">
        <v>1</v>
      </c>
      <c r="AM304" s="10" t="s">
        <v>1</v>
      </c>
      <c r="AN304" s="10" t="s">
        <v>1</v>
      </c>
    </row>
    <row r="305" spans="2:40" ht="15" x14ac:dyDescent="0.2">
      <c r="B305" s="89">
        <f t="shared" si="3"/>
        <v>78</v>
      </c>
      <c r="C305" s="16">
        <v>20200506</v>
      </c>
      <c r="D305" s="10" t="s">
        <v>476</v>
      </c>
      <c r="E305" s="10" t="s">
        <v>402</v>
      </c>
      <c r="F305" s="43" t="s">
        <v>903</v>
      </c>
      <c r="G305" s="19">
        <v>1449711</v>
      </c>
      <c r="H305" s="20" t="s">
        <v>1</v>
      </c>
      <c r="I305" s="10" t="s">
        <v>904</v>
      </c>
      <c r="J305" s="20" t="s">
        <v>1</v>
      </c>
      <c r="K305" s="10" t="s">
        <v>478</v>
      </c>
      <c r="L305" s="10" t="s">
        <v>893</v>
      </c>
      <c r="M305" s="10" t="s">
        <v>894</v>
      </c>
      <c r="N305" s="10" t="s">
        <v>895</v>
      </c>
      <c r="O305" s="19" t="s">
        <v>1</v>
      </c>
      <c r="P305" s="19" t="s">
        <v>896</v>
      </c>
      <c r="Q305" s="21"/>
      <c r="R305" s="20" t="s">
        <v>1</v>
      </c>
      <c r="S305" s="10" t="s">
        <v>40</v>
      </c>
      <c r="T305" s="10"/>
      <c r="U305" s="10"/>
      <c r="V305" s="10">
        <v>122</v>
      </c>
      <c r="W305" s="10">
        <f t="shared" si="4"/>
        <v>122</v>
      </c>
      <c r="X305" s="10">
        <f t="shared" si="4"/>
        <v>122</v>
      </c>
      <c r="Y305" s="10">
        <f>ROUNDDOWN(W305/HLOOKUP(D305,[1]Table!$C$3:$D$4,2,0)*8,2)</f>
        <v>2.16</v>
      </c>
      <c r="Z305" s="10">
        <v>0.5</v>
      </c>
      <c r="AA305" s="10" t="s">
        <v>750</v>
      </c>
      <c r="AB305" s="22">
        <v>43959</v>
      </c>
      <c r="AC305" s="22">
        <v>43957</v>
      </c>
      <c r="AD305" s="22">
        <v>43959</v>
      </c>
      <c r="AE305" s="22">
        <v>43957</v>
      </c>
      <c r="AF305" s="22">
        <v>43957</v>
      </c>
      <c r="AG305" s="22" t="s">
        <v>482</v>
      </c>
      <c r="AH305" s="24">
        <v>1</v>
      </c>
      <c r="AI305" s="24">
        <v>1</v>
      </c>
      <c r="AJ305" s="24">
        <v>1</v>
      </c>
      <c r="AK305" s="22" t="s">
        <v>483</v>
      </c>
      <c r="AL305" s="10" t="s">
        <v>1</v>
      </c>
      <c r="AM305" s="10" t="s">
        <v>1</v>
      </c>
      <c r="AN305" s="10" t="s">
        <v>1</v>
      </c>
    </row>
    <row r="306" spans="2:40" ht="15" x14ac:dyDescent="0.2">
      <c r="B306" s="89">
        <f t="shared" si="3"/>
        <v>79</v>
      </c>
      <c r="C306" s="16">
        <v>20200506</v>
      </c>
      <c r="D306" s="10" t="s">
        <v>476</v>
      </c>
      <c r="E306" s="10" t="s">
        <v>402</v>
      </c>
      <c r="F306" s="43" t="s">
        <v>905</v>
      </c>
      <c r="G306" s="19">
        <v>1449711</v>
      </c>
      <c r="H306" s="20" t="s">
        <v>1</v>
      </c>
      <c r="I306" s="10" t="s">
        <v>906</v>
      </c>
      <c r="J306" s="20" t="s">
        <v>1</v>
      </c>
      <c r="K306" s="10" t="s">
        <v>478</v>
      </c>
      <c r="L306" s="10" t="s">
        <v>893</v>
      </c>
      <c r="M306" s="10" t="s">
        <v>894</v>
      </c>
      <c r="N306" s="10" t="s">
        <v>895</v>
      </c>
      <c r="O306" s="19" t="s">
        <v>1</v>
      </c>
      <c r="P306" s="19" t="s">
        <v>896</v>
      </c>
      <c r="Q306" s="21"/>
      <c r="R306" s="20" t="s">
        <v>1</v>
      </c>
      <c r="S306" s="10" t="s">
        <v>40</v>
      </c>
      <c r="T306" s="10"/>
      <c r="U306" s="10"/>
      <c r="V306" s="10">
        <v>205</v>
      </c>
      <c r="W306" s="10">
        <f t="shared" si="4"/>
        <v>205</v>
      </c>
      <c r="X306" s="10">
        <f t="shared" si="4"/>
        <v>205</v>
      </c>
      <c r="Y306" s="10">
        <f>ROUNDDOWN(W306/HLOOKUP(D306,[1]Table!$C$3:$D$4,2,0)*8,2)</f>
        <v>3.64</v>
      </c>
      <c r="Z306" s="10">
        <v>2</v>
      </c>
      <c r="AA306" s="10" t="s">
        <v>750</v>
      </c>
      <c r="AB306" s="22">
        <v>43959</v>
      </c>
      <c r="AC306" s="22">
        <v>43957</v>
      </c>
      <c r="AD306" s="22">
        <v>43959</v>
      </c>
      <c r="AE306" s="22">
        <v>43958</v>
      </c>
      <c r="AF306" s="22">
        <v>43958</v>
      </c>
      <c r="AG306" s="22" t="s">
        <v>482</v>
      </c>
      <c r="AH306" s="24">
        <v>1</v>
      </c>
      <c r="AI306" s="24">
        <v>1</v>
      </c>
      <c r="AJ306" s="24">
        <v>1</v>
      </c>
      <c r="AK306" s="22" t="s">
        <v>483</v>
      </c>
      <c r="AL306" s="10" t="s">
        <v>1</v>
      </c>
      <c r="AM306" s="10" t="s">
        <v>1</v>
      </c>
      <c r="AN306" s="10" t="s">
        <v>1</v>
      </c>
    </row>
    <row r="307" spans="2:40" ht="15" x14ac:dyDescent="0.2">
      <c r="B307" s="89">
        <f t="shared" si="3"/>
        <v>80</v>
      </c>
      <c r="C307" s="16">
        <v>20200506</v>
      </c>
      <c r="D307" s="10" t="s">
        <v>476</v>
      </c>
      <c r="E307" s="10" t="s">
        <v>402</v>
      </c>
      <c r="F307" s="43" t="s">
        <v>907</v>
      </c>
      <c r="G307" s="19">
        <v>1449711</v>
      </c>
      <c r="H307" s="20" t="s">
        <v>1</v>
      </c>
      <c r="I307" s="10" t="s">
        <v>908</v>
      </c>
      <c r="J307" s="20" t="s">
        <v>1</v>
      </c>
      <c r="K307" s="10" t="s">
        <v>478</v>
      </c>
      <c r="L307" s="10" t="s">
        <v>893</v>
      </c>
      <c r="M307" s="10" t="s">
        <v>894</v>
      </c>
      <c r="N307" s="10" t="s">
        <v>895</v>
      </c>
      <c r="O307" s="19" t="s">
        <v>1</v>
      </c>
      <c r="P307" s="19" t="s">
        <v>896</v>
      </c>
      <c r="Q307" s="21"/>
      <c r="R307" s="20" t="s">
        <v>1</v>
      </c>
      <c r="S307" s="10" t="s">
        <v>40</v>
      </c>
      <c r="T307" s="10"/>
      <c r="U307" s="10"/>
      <c r="V307" s="10">
        <v>124</v>
      </c>
      <c r="W307" s="10">
        <f t="shared" si="4"/>
        <v>124</v>
      </c>
      <c r="X307" s="10">
        <f t="shared" si="4"/>
        <v>124</v>
      </c>
      <c r="Y307" s="10">
        <f>ROUNDDOWN(W307/HLOOKUP(D307,[1]Table!$C$3:$D$4,2,0)*8,2)</f>
        <v>2.2000000000000002</v>
      </c>
      <c r="Z307" s="10">
        <v>1</v>
      </c>
      <c r="AA307" s="10" t="s">
        <v>750</v>
      </c>
      <c r="AB307" s="22">
        <v>43959</v>
      </c>
      <c r="AC307" s="22">
        <v>43957</v>
      </c>
      <c r="AD307" s="22">
        <v>43959</v>
      </c>
      <c r="AE307" s="22">
        <v>43958</v>
      </c>
      <c r="AF307" s="22">
        <v>43958</v>
      </c>
      <c r="AG307" s="22" t="s">
        <v>482</v>
      </c>
      <c r="AH307" s="24">
        <v>1</v>
      </c>
      <c r="AI307" s="24">
        <v>1</v>
      </c>
      <c r="AJ307" s="24">
        <v>1</v>
      </c>
      <c r="AK307" s="22" t="s">
        <v>483</v>
      </c>
      <c r="AL307" s="10" t="s">
        <v>1</v>
      </c>
      <c r="AM307" s="10" t="s">
        <v>1</v>
      </c>
      <c r="AN307" s="10" t="s">
        <v>1</v>
      </c>
    </row>
    <row r="308" spans="2:40" ht="15" x14ac:dyDescent="0.2">
      <c r="B308" s="89">
        <f t="shared" si="3"/>
        <v>81</v>
      </c>
      <c r="C308" s="16">
        <v>20200506</v>
      </c>
      <c r="D308" s="10" t="s">
        <v>476</v>
      </c>
      <c r="E308" s="10" t="s">
        <v>402</v>
      </c>
      <c r="F308" s="43" t="s">
        <v>909</v>
      </c>
      <c r="G308" s="19">
        <v>1449711</v>
      </c>
      <c r="H308" s="20" t="s">
        <v>1</v>
      </c>
      <c r="I308" s="10" t="s">
        <v>910</v>
      </c>
      <c r="J308" s="20" t="s">
        <v>1</v>
      </c>
      <c r="K308" s="10" t="s">
        <v>478</v>
      </c>
      <c r="L308" s="10" t="s">
        <v>893</v>
      </c>
      <c r="M308" s="10" t="s">
        <v>894</v>
      </c>
      <c r="N308" s="10" t="s">
        <v>895</v>
      </c>
      <c r="O308" s="19" t="s">
        <v>1</v>
      </c>
      <c r="P308" s="19" t="s">
        <v>896</v>
      </c>
      <c r="Q308" s="21"/>
      <c r="R308" s="20" t="s">
        <v>1</v>
      </c>
      <c r="S308" s="10" t="s">
        <v>4</v>
      </c>
      <c r="T308" s="10"/>
      <c r="U308" s="10"/>
      <c r="V308" s="10">
        <v>143</v>
      </c>
      <c r="W308" s="10">
        <f t="shared" si="4"/>
        <v>143</v>
      </c>
      <c r="X308" s="10">
        <f t="shared" si="4"/>
        <v>143</v>
      </c>
      <c r="Y308" s="10">
        <f>ROUNDDOWN(W308/HLOOKUP(D308,[1]Table!$C$3:$D$4,2,0)*8,2)</f>
        <v>2.54</v>
      </c>
      <c r="Z308" s="10">
        <v>1</v>
      </c>
      <c r="AA308" s="10" t="s">
        <v>750</v>
      </c>
      <c r="AB308" s="22">
        <v>43959</v>
      </c>
      <c r="AC308" s="22">
        <v>43957</v>
      </c>
      <c r="AD308" s="22">
        <v>43959</v>
      </c>
      <c r="AE308" s="22">
        <v>43958</v>
      </c>
      <c r="AF308" s="22">
        <v>43958</v>
      </c>
      <c r="AG308" s="22" t="s">
        <v>482</v>
      </c>
      <c r="AH308" s="24">
        <v>1</v>
      </c>
      <c r="AI308" s="24">
        <v>1</v>
      </c>
      <c r="AJ308" s="24">
        <v>1</v>
      </c>
      <c r="AK308" s="22" t="s">
        <v>483</v>
      </c>
      <c r="AL308" s="10" t="s">
        <v>1</v>
      </c>
      <c r="AM308" s="10" t="s">
        <v>1</v>
      </c>
      <c r="AN308" s="10" t="s">
        <v>1</v>
      </c>
    </row>
    <row r="309" spans="2:40" ht="15" x14ac:dyDescent="0.2">
      <c r="B309" s="89">
        <f t="shared" si="3"/>
        <v>82</v>
      </c>
      <c r="C309" s="16">
        <v>20200506</v>
      </c>
      <c r="D309" s="10" t="s">
        <v>476</v>
      </c>
      <c r="E309" s="10" t="s">
        <v>402</v>
      </c>
      <c r="F309" s="43" t="s">
        <v>911</v>
      </c>
      <c r="G309" s="19">
        <v>1449711</v>
      </c>
      <c r="H309" s="20" t="s">
        <v>1</v>
      </c>
      <c r="I309" s="10" t="s">
        <v>176</v>
      </c>
      <c r="J309" s="20" t="s">
        <v>1</v>
      </c>
      <c r="K309" s="10" t="s">
        <v>478</v>
      </c>
      <c r="L309" s="10" t="s">
        <v>893</v>
      </c>
      <c r="M309" s="10" t="s">
        <v>894</v>
      </c>
      <c r="N309" s="10" t="s">
        <v>895</v>
      </c>
      <c r="O309" s="19" t="s">
        <v>1</v>
      </c>
      <c r="P309" s="19" t="s">
        <v>896</v>
      </c>
      <c r="Q309" s="21"/>
      <c r="R309" s="20" t="s">
        <v>1</v>
      </c>
      <c r="S309" s="10" t="s">
        <v>4</v>
      </c>
      <c r="T309" s="10"/>
      <c r="U309" s="10"/>
      <c r="V309" s="10">
        <v>263</v>
      </c>
      <c r="W309" s="10">
        <f t="shared" si="4"/>
        <v>263</v>
      </c>
      <c r="X309" s="10">
        <f t="shared" si="4"/>
        <v>263</v>
      </c>
      <c r="Y309" s="10">
        <f>ROUNDDOWN(W309/HLOOKUP(D309,[1]Table!$C$3:$D$4,2,0)*8,2)</f>
        <v>4.67</v>
      </c>
      <c r="Z309" s="10">
        <v>2</v>
      </c>
      <c r="AA309" s="10" t="s">
        <v>750</v>
      </c>
      <c r="AB309" s="22">
        <v>43959</v>
      </c>
      <c r="AC309" s="22">
        <v>43957</v>
      </c>
      <c r="AD309" s="22">
        <v>43959</v>
      </c>
      <c r="AE309" s="22">
        <v>43958</v>
      </c>
      <c r="AF309" s="22">
        <v>43958</v>
      </c>
      <c r="AG309" s="22" t="s">
        <v>482</v>
      </c>
      <c r="AH309" s="24">
        <v>1</v>
      </c>
      <c r="AI309" s="24">
        <v>1</v>
      </c>
      <c r="AJ309" s="24">
        <v>1</v>
      </c>
      <c r="AK309" s="22" t="s">
        <v>483</v>
      </c>
      <c r="AL309" s="10" t="s">
        <v>1</v>
      </c>
      <c r="AM309" s="10" t="s">
        <v>1</v>
      </c>
      <c r="AN309" s="10" t="s">
        <v>1</v>
      </c>
    </row>
    <row r="310" spans="2:40" ht="15" x14ac:dyDescent="0.2">
      <c r="B310" s="18">
        <f t="shared" si="3"/>
        <v>83</v>
      </c>
      <c r="C310" s="16">
        <v>20200506</v>
      </c>
      <c r="D310" s="10" t="s">
        <v>476</v>
      </c>
      <c r="E310" s="10" t="s">
        <v>391</v>
      </c>
      <c r="F310" s="43" t="s">
        <v>912</v>
      </c>
      <c r="G310" s="19">
        <v>1433783</v>
      </c>
      <c r="H310" s="20" t="s">
        <v>1</v>
      </c>
      <c r="I310" s="10" t="s">
        <v>913</v>
      </c>
      <c r="J310" s="20" t="s">
        <v>1</v>
      </c>
      <c r="K310" s="10" t="s">
        <v>478</v>
      </c>
      <c r="L310" s="10" t="s">
        <v>483</v>
      </c>
      <c r="M310" s="10" t="s">
        <v>164</v>
      </c>
      <c r="N310" s="10" t="s">
        <v>657</v>
      </c>
      <c r="O310" s="19" t="s">
        <v>1</v>
      </c>
      <c r="P310" s="19" t="s">
        <v>793</v>
      </c>
      <c r="Q310" s="21"/>
      <c r="R310" s="20" t="s">
        <v>1</v>
      </c>
      <c r="S310" s="10" t="s">
        <v>261</v>
      </c>
      <c r="T310" s="10"/>
      <c r="U310" s="10"/>
      <c r="V310" s="10">
        <v>1009</v>
      </c>
      <c r="W310" s="10">
        <f>V310</f>
        <v>1009</v>
      </c>
      <c r="X310" s="10">
        <f t="shared" ref="X310:X315" si="5">W310</f>
        <v>1009</v>
      </c>
      <c r="Y310" s="10">
        <f>ROUNDDOWN(W310/HLOOKUP(D310,[1]Table!$C$3:$D$4,2,0)*8,2)</f>
        <v>17.93</v>
      </c>
      <c r="Z310" s="10">
        <v>16</v>
      </c>
      <c r="AA310" s="10" t="s">
        <v>750</v>
      </c>
      <c r="AB310" s="22">
        <v>43958</v>
      </c>
      <c r="AC310" s="22">
        <v>43957</v>
      </c>
      <c r="AD310" s="22">
        <v>43958</v>
      </c>
      <c r="AE310" s="22">
        <v>43958</v>
      </c>
      <c r="AF310" s="22">
        <v>43958</v>
      </c>
      <c r="AG310" s="22" t="s">
        <v>489</v>
      </c>
      <c r="AH310" s="24">
        <v>0.99</v>
      </c>
      <c r="AI310" s="24">
        <v>0.98</v>
      </c>
      <c r="AJ310" s="24">
        <v>1</v>
      </c>
      <c r="AK310" s="22" t="s">
        <v>490</v>
      </c>
      <c r="AL310" s="19" t="s">
        <v>914</v>
      </c>
      <c r="AM310" s="10" t="s">
        <v>1</v>
      </c>
      <c r="AN310" s="19" t="s">
        <v>915</v>
      </c>
    </row>
    <row r="311" spans="2:40" ht="15" x14ac:dyDescent="0.2">
      <c r="B311" s="18">
        <f t="shared" si="3"/>
        <v>84</v>
      </c>
      <c r="C311" s="16">
        <v>20200506</v>
      </c>
      <c r="D311" s="10" t="s">
        <v>476</v>
      </c>
      <c r="E311" s="10" t="s">
        <v>403</v>
      </c>
      <c r="F311" s="43" t="s">
        <v>916</v>
      </c>
      <c r="G311" s="19">
        <v>1445651</v>
      </c>
      <c r="H311" s="20" t="s">
        <v>1</v>
      </c>
      <c r="I311" s="10" t="s">
        <v>153</v>
      </c>
      <c r="J311" s="20" t="s">
        <v>1</v>
      </c>
      <c r="K311" s="10" t="s">
        <v>478</v>
      </c>
      <c r="L311" s="10" t="s">
        <v>483</v>
      </c>
      <c r="M311" s="10" t="s">
        <v>158</v>
      </c>
      <c r="N311" s="10" t="s">
        <v>657</v>
      </c>
      <c r="O311" s="19" t="s">
        <v>1</v>
      </c>
      <c r="P311" s="19" t="s">
        <v>793</v>
      </c>
      <c r="Q311" s="21"/>
      <c r="R311" s="20" t="s">
        <v>1</v>
      </c>
      <c r="S311" s="10" t="s">
        <v>279</v>
      </c>
      <c r="T311" s="10"/>
      <c r="U311" s="10"/>
      <c r="V311" s="10">
        <v>290</v>
      </c>
      <c r="W311" s="10">
        <f t="shared" ref="W311:X326" si="6">V311</f>
        <v>290</v>
      </c>
      <c r="X311" s="10">
        <f t="shared" si="5"/>
        <v>290</v>
      </c>
      <c r="Y311" s="10">
        <f>ROUNDDOWN(W311/HLOOKUP(D311,[1]Table!$C$3:$D$4,2,0)*8,2)</f>
        <v>5.15</v>
      </c>
      <c r="Z311" s="10">
        <v>3</v>
      </c>
      <c r="AA311" s="10" t="s">
        <v>750</v>
      </c>
      <c r="AB311" s="22">
        <v>43958</v>
      </c>
      <c r="AC311" s="22">
        <v>43957</v>
      </c>
      <c r="AD311" s="22">
        <v>43958</v>
      </c>
      <c r="AE311" s="22">
        <v>43958</v>
      </c>
      <c r="AF311" s="22">
        <v>43958</v>
      </c>
      <c r="AG311" s="22" t="s">
        <v>482</v>
      </c>
      <c r="AH311" s="24">
        <v>1</v>
      </c>
      <c r="AI311" s="24">
        <v>1</v>
      </c>
      <c r="AJ311" s="24">
        <v>1</v>
      </c>
      <c r="AK311" s="22" t="s">
        <v>483</v>
      </c>
      <c r="AL311" s="10" t="s">
        <v>1</v>
      </c>
      <c r="AM311" s="10" t="s">
        <v>1</v>
      </c>
      <c r="AN311" s="10" t="s">
        <v>1</v>
      </c>
    </row>
    <row r="312" spans="2:40" ht="15" x14ac:dyDescent="0.2">
      <c r="B312" s="18">
        <f t="shared" si="3"/>
        <v>85</v>
      </c>
      <c r="C312" s="16">
        <v>20200506</v>
      </c>
      <c r="D312" s="10" t="s">
        <v>476</v>
      </c>
      <c r="E312" s="10" t="s">
        <v>403</v>
      </c>
      <c r="F312" s="43" t="s">
        <v>912</v>
      </c>
      <c r="G312" s="19">
        <v>1445651</v>
      </c>
      <c r="H312" s="20" t="s">
        <v>1</v>
      </c>
      <c r="I312" s="10" t="s">
        <v>157</v>
      </c>
      <c r="J312" s="20" t="s">
        <v>1</v>
      </c>
      <c r="K312" s="10" t="s">
        <v>478</v>
      </c>
      <c r="L312" s="10" t="s">
        <v>483</v>
      </c>
      <c r="M312" s="10" t="s">
        <v>158</v>
      </c>
      <c r="N312" s="10" t="s">
        <v>657</v>
      </c>
      <c r="O312" s="19" t="s">
        <v>1</v>
      </c>
      <c r="P312" s="19" t="s">
        <v>793</v>
      </c>
      <c r="Q312" s="21"/>
      <c r="R312" s="20" t="s">
        <v>1</v>
      </c>
      <c r="S312" s="10" t="s">
        <v>260</v>
      </c>
      <c r="T312" s="10"/>
      <c r="U312" s="10"/>
      <c r="V312" s="10">
        <v>456</v>
      </c>
      <c r="W312" s="10">
        <f t="shared" si="6"/>
        <v>456</v>
      </c>
      <c r="X312" s="10">
        <f t="shared" si="5"/>
        <v>456</v>
      </c>
      <c r="Y312" s="10">
        <f>ROUNDDOWN(W312/HLOOKUP(D312,[1]Table!$C$3:$D$4,2,0)*8,2)</f>
        <v>8.1</v>
      </c>
      <c r="Z312" s="10">
        <v>4</v>
      </c>
      <c r="AA312" s="10" t="s">
        <v>750</v>
      </c>
      <c r="AB312" s="22">
        <v>43958</v>
      </c>
      <c r="AC312" s="22">
        <v>43957</v>
      </c>
      <c r="AD312" s="22">
        <v>43958</v>
      </c>
      <c r="AE312" s="22">
        <v>43958</v>
      </c>
      <c r="AF312" s="22">
        <v>43958</v>
      </c>
      <c r="AG312" s="22" t="s">
        <v>489</v>
      </c>
      <c r="AH312" s="24">
        <v>0.97</v>
      </c>
      <c r="AI312" s="24">
        <v>0.95</v>
      </c>
      <c r="AJ312" s="24">
        <v>1</v>
      </c>
      <c r="AK312" s="22" t="s">
        <v>490</v>
      </c>
      <c r="AL312" s="19" t="s">
        <v>917</v>
      </c>
      <c r="AM312" s="10" t="s">
        <v>1</v>
      </c>
      <c r="AN312" s="10" t="s">
        <v>1</v>
      </c>
    </row>
    <row r="313" spans="2:40" ht="15" x14ac:dyDescent="0.2">
      <c r="B313" s="18">
        <f t="shared" si="3"/>
        <v>86</v>
      </c>
      <c r="C313" s="16">
        <v>20200506</v>
      </c>
      <c r="D313" s="10" t="s">
        <v>476</v>
      </c>
      <c r="E313" s="33" t="s">
        <v>404</v>
      </c>
      <c r="F313" s="43" t="s">
        <v>918</v>
      </c>
      <c r="G313" s="33">
        <v>1455113</v>
      </c>
      <c r="H313" s="20" t="s">
        <v>1</v>
      </c>
      <c r="I313" s="33" t="s">
        <v>157</v>
      </c>
      <c r="J313" s="20"/>
      <c r="K313" s="10" t="s">
        <v>478</v>
      </c>
      <c r="L313" s="33" t="s">
        <v>919</v>
      </c>
      <c r="M313" s="10" t="s">
        <v>164</v>
      </c>
      <c r="N313" s="10" t="s">
        <v>657</v>
      </c>
      <c r="O313" s="19" t="s">
        <v>1</v>
      </c>
      <c r="P313" s="19" t="s">
        <v>793</v>
      </c>
      <c r="Q313" s="21"/>
      <c r="R313" s="20" t="s">
        <v>1</v>
      </c>
      <c r="S313" s="10" t="s">
        <v>260</v>
      </c>
      <c r="T313" s="10"/>
      <c r="U313" s="10"/>
      <c r="V313" s="10">
        <v>456</v>
      </c>
      <c r="W313" s="10">
        <f>V313</f>
        <v>456</v>
      </c>
      <c r="X313" s="10">
        <f t="shared" si="5"/>
        <v>456</v>
      </c>
      <c r="Y313" s="10">
        <f>ROUNDDOWN(W313/HLOOKUP(D313,[1]Table!$C$3:$D$4,2,0)*8,2)</f>
        <v>8.1</v>
      </c>
      <c r="Z313" s="10">
        <v>0.5</v>
      </c>
      <c r="AA313" s="10" t="s">
        <v>750</v>
      </c>
      <c r="AB313" s="22">
        <v>43958</v>
      </c>
      <c r="AC313" s="22">
        <v>43957</v>
      </c>
      <c r="AD313" s="22">
        <v>43958</v>
      </c>
      <c r="AE313" s="22">
        <v>43958</v>
      </c>
      <c r="AF313" s="22">
        <v>43958</v>
      </c>
      <c r="AG313" s="22" t="s">
        <v>489</v>
      </c>
      <c r="AH313" s="24">
        <v>0.97</v>
      </c>
      <c r="AI313" s="24">
        <v>0.95</v>
      </c>
      <c r="AJ313" s="24">
        <v>1</v>
      </c>
      <c r="AK313" s="22" t="s">
        <v>490</v>
      </c>
      <c r="AL313" s="19" t="s">
        <v>917</v>
      </c>
      <c r="AM313" s="10" t="s">
        <v>1</v>
      </c>
      <c r="AN313" s="10" t="s">
        <v>1</v>
      </c>
    </row>
    <row r="314" spans="2:40" ht="15" x14ac:dyDescent="0.2">
      <c r="B314" s="18">
        <f t="shared" si="3"/>
        <v>87</v>
      </c>
      <c r="C314" s="16">
        <v>20200506</v>
      </c>
      <c r="D314" s="10" t="s">
        <v>476</v>
      </c>
      <c r="E314" s="10" t="s">
        <v>156</v>
      </c>
      <c r="F314" s="43" t="s">
        <v>920</v>
      </c>
      <c r="G314" s="19">
        <v>1405044</v>
      </c>
      <c r="H314" s="20" t="s">
        <v>1</v>
      </c>
      <c r="I314" s="10" t="s">
        <v>157</v>
      </c>
      <c r="J314" s="20" t="s">
        <v>1</v>
      </c>
      <c r="K314" s="10" t="s">
        <v>478</v>
      </c>
      <c r="L314" s="10" t="s">
        <v>921</v>
      </c>
      <c r="M314" s="10" t="s">
        <v>158</v>
      </c>
      <c r="N314" s="10" t="s">
        <v>629</v>
      </c>
      <c r="O314" s="19" t="s">
        <v>1</v>
      </c>
      <c r="P314" s="19" t="s">
        <v>646</v>
      </c>
      <c r="Q314" s="21"/>
      <c r="R314" s="20" t="s">
        <v>1</v>
      </c>
      <c r="S314" s="10" t="s">
        <v>260</v>
      </c>
      <c r="T314" s="10"/>
      <c r="U314" s="10"/>
      <c r="V314" s="10">
        <v>456</v>
      </c>
      <c r="W314" s="10">
        <f t="shared" si="6"/>
        <v>456</v>
      </c>
      <c r="X314" s="10">
        <f t="shared" si="5"/>
        <v>456</v>
      </c>
      <c r="Y314" s="10">
        <f>ROUNDDOWN(W314/HLOOKUP(D314,[1]Table!$C$3:$D$4,2,0)*8,2)</f>
        <v>8.1</v>
      </c>
      <c r="Z314" s="10">
        <v>0.5</v>
      </c>
      <c r="AA314" s="10" t="s">
        <v>750</v>
      </c>
      <c r="AB314" s="22">
        <v>43962</v>
      </c>
      <c r="AC314" s="22">
        <v>43957</v>
      </c>
      <c r="AD314" s="22">
        <v>43964</v>
      </c>
      <c r="AE314" s="22">
        <v>43958</v>
      </c>
      <c r="AF314" s="22">
        <v>43958</v>
      </c>
      <c r="AG314" s="22" t="s">
        <v>482</v>
      </c>
      <c r="AH314" s="24">
        <v>1</v>
      </c>
      <c r="AI314" s="24">
        <v>1</v>
      </c>
      <c r="AJ314" s="24">
        <v>1</v>
      </c>
      <c r="AK314" s="22" t="s">
        <v>483</v>
      </c>
      <c r="AL314" s="19" t="s">
        <v>1</v>
      </c>
      <c r="AM314" s="10" t="s">
        <v>1</v>
      </c>
      <c r="AN314" s="10" t="s">
        <v>1</v>
      </c>
    </row>
    <row r="315" spans="2:40" ht="15" x14ac:dyDescent="0.2">
      <c r="B315" s="18">
        <f t="shared" si="3"/>
        <v>88</v>
      </c>
      <c r="C315" s="16">
        <v>20200506</v>
      </c>
      <c r="D315" s="10" t="s">
        <v>476</v>
      </c>
      <c r="E315" s="10" t="s">
        <v>156</v>
      </c>
      <c r="F315" s="43" t="s">
        <v>920</v>
      </c>
      <c r="G315" s="19">
        <v>1405044</v>
      </c>
      <c r="H315" s="20" t="s">
        <v>1</v>
      </c>
      <c r="I315" s="10" t="s">
        <v>922</v>
      </c>
      <c r="J315" s="20" t="s">
        <v>1</v>
      </c>
      <c r="K315" s="10" t="s">
        <v>478</v>
      </c>
      <c r="L315" s="10" t="s">
        <v>923</v>
      </c>
      <c r="M315" s="10" t="s">
        <v>158</v>
      </c>
      <c r="N315" s="10" t="s">
        <v>629</v>
      </c>
      <c r="O315" s="19" t="s">
        <v>1</v>
      </c>
      <c r="P315" s="19" t="s">
        <v>646</v>
      </c>
      <c r="Q315" s="21"/>
      <c r="R315" s="20" t="s">
        <v>1</v>
      </c>
      <c r="S315" s="10" t="s">
        <v>279</v>
      </c>
      <c r="T315" s="10"/>
      <c r="U315" s="10"/>
      <c r="V315" s="10">
        <v>91</v>
      </c>
      <c r="W315" s="10">
        <f t="shared" si="6"/>
        <v>91</v>
      </c>
      <c r="X315" s="10">
        <f t="shared" si="5"/>
        <v>91</v>
      </c>
      <c r="Y315" s="10">
        <f>ROUNDDOWN(W315/HLOOKUP(D315,[1]Table!$C$3:$D$4,2,0)*8,2)</f>
        <v>1.61</v>
      </c>
      <c r="Z315" s="10">
        <v>1</v>
      </c>
      <c r="AA315" s="10" t="s">
        <v>750</v>
      </c>
      <c r="AB315" s="22">
        <v>43962</v>
      </c>
      <c r="AC315" s="22">
        <v>43957</v>
      </c>
      <c r="AD315" s="22">
        <v>43964</v>
      </c>
      <c r="AE315" s="22">
        <v>43958</v>
      </c>
      <c r="AF315" s="22">
        <v>43958</v>
      </c>
      <c r="AG315" s="22" t="s">
        <v>482</v>
      </c>
      <c r="AH315" s="24">
        <v>1</v>
      </c>
      <c r="AI315" s="24">
        <v>1</v>
      </c>
      <c r="AJ315" s="24">
        <v>1</v>
      </c>
      <c r="AK315" s="22" t="s">
        <v>483</v>
      </c>
      <c r="AL315" s="10" t="s">
        <v>1</v>
      </c>
      <c r="AM315" s="10" t="s">
        <v>1</v>
      </c>
      <c r="AN315" s="10" t="s">
        <v>1</v>
      </c>
    </row>
    <row r="316" spans="2:40" ht="15" x14ac:dyDescent="0.2">
      <c r="B316" s="18">
        <f t="shared" si="3"/>
        <v>89</v>
      </c>
      <c r="C316" s="16">
        <v>20200506</v>
      </c>
      <c r="D316" s="10" t="s">
        <v>476</v>
      </c>
      <c r="E316" s="10" t="s">
        <v>156</v>
      </c>
      <c r="F316" s="43" t="s">
        <v>920</v>
      </c>
      <c r="G316" s="19">
        <v>1405044</v>
      </c>
      <c r="H316" s="20" t="s">
        <v>1</v>
      </c>
      <c r="I316" s="10" t="s">
        <v>924</v>
      </c>
      <c r="J316" s="20" t="s">
        <v>1</v>
      </c>
      <c r="K316" s="10" t="s">
        <v>478</v>
      </c>
      <c r="L316" s="10" t="s">
        <v>925</v>
      </c>
      <c r="M316" s="10" t="s">
        <v>158</v>
      </c>
      <c r="N316" s="10" t="s">
        <v>629</v>
      </c>
      <c r="O316" s="19" t="s">
        <v>1</v>
      </c>
      <c r="P316" s="19" t="s">
        <v>646</v>
      </c>
      <c r="Q316" s="21"/>
      <c r="R316" s="20" t="s">
        <v>1</v>
      </c>
      <c r="S316" s="10" t="s">
        <v>279</v>
      </c>
      <c r="T316" s="10"/>
      <c r="U316" s="10"/>
      <c r="V316" s="10">
        <v>576</v>
      </c>
      <c r="W316" s="10">
        <f t="shared" si="6"/>
        <v>576</v>
      </c>
      <c r="X316" s="10">
        <f>W316</f>
        <v>576</v>
      </c>
      <c r="Y316" s="10">
        <f>ROUNDDOWN(W316/HLOOKUP(D316,[1]Table!$C$3:$D$4,2,0)*8,2)</f>
        <v>10.24</v>
      </c>
      <c r="Z316" s="10">
        <v>8</v>
      </c>
      <c r="AA316" s="10" t="s">
        <v>750</v>
      </c>
      <c r="AB316" s="22">
        <v>43962</v>
      </c>
      <c r="AC316" s="22">
        <v>43957</v>
      </c>
      <c r="AD316" s="22">
        <v>43964</v>
      </c>
      <c r="AE316" s="22">
        <v>43959</v>
      </c>
      <c r="AF316" s="22">
        <v>43959</v>
      </c>
      <c r="AG316" s="22" t="s">
        <v>482</v>
      </c>
      <c r="AH316" s="24">
        <v>1</v>
      </c>
      <c r="AI316" s="24">
        <v>1</v>
      </c>
      <c r="AJ316" s="24">
        <v>1</v>
      </c>
      <c r="AK316" s="22" t="s">
        <v>483</v>
      </c>
      <c r="AL316" s="10" t="s">
        <v>1</v>
      </c>
      <c r="AM316" s="10" t="s">
        <v>1</v>
      </c>
      <c r="AN316" s="10" t="s">
        <v>1</v>
      </c>
    </row>
    <row r="317" spans="2:40" ht="15" x14ac:dyDescent="0.2">
      <c r="B317" s="18">
        <f t="shared" si="3"/>
        <v>90</v>
      </c>
      <c r="C317" s="16">
        <v>20200506</v>
      </c>
      <c r="D317" s="10" t="s">
        <v>476</v>
      </c>
      <c r="E317" s="10" t="s">
        <v>156</v>
      </c>
      <c r="F317" s="43" t="s">
        <v>920</v>
      </c>
      <c r="G317" s="19">
        <v>1405044</v>
      </c>
      <c r="H317" s="20" t="s">
        <v>1</v>
      </c>
      <c r="I317" s="10" t="s">
        <v>913</v>
      </c>
      <c r="J317" s="20" t="s">
        <v>1</v>
      </c>
      <c r="K317" s="10" t="s">
        <v>478</v>
      </c>
      <c r="L317" s="10" t="s">
        <v>926</v>
      </c>
      <c r="M317" s="10" t="s">
        <v>158</v>
      </c>
      <c r="N317" s="10" t="s">
        <v>629</v>
      </c>
      <c r="O317" s="19" t="s">
        <v>1</v>
      </c>
      <c r="P317" s="19" t="s">
        <v>646</v>
      </c>
      <c r="Q317" s="21"/>
      <c r="R317" s="20" t="s">
        <v>1</v>
      </c>
      <c r="S317" s="10" t="s">
        <v>261</v>
      </c>
      <c r="T317" s="10"/>
      <c r="U317" s="10"/>
      <c r="V317" s="10">
        <v>1009</v>
      </c>
      <c r="W317" s="10">
        <f t="shared" si="6"/>
        <v>1009</v>
      </c>
      <c r="X317" s="10">
        <f>W317</f>
        <v>1009</v>
      </c>
      <c r="Y317" s="10">
        <f>ROUNDDOWN(W317/HLOOKUP(D317,[1]Table!$C$3:$D$4,2,0)*8,2)</f>
        <v>17.93</v>
      </c>
      <c r="Z317" s="10">
        <v>8</v>
      </c>
      <c r="AA317" s="10" t="s">
        <v>750</v>
      </c>
      <c r="AB317" s="22">
        <v>43962</v>
      </c>
      <c r="AC317" s="22">
        <v>43957</v>
      </c>
      <c r="AD317" s="22">
        <v>43964</v>
      </c>
      <c r="AE317" s="22">
        <v>43959</v>
      </c>
      <c r="AF317" s="22">
        <v>43959</v>
      </c>
      <c r="AG317" s="22" t="s">
        <v>482</v>
      </c>
      <c r="AH317" s="24">
        <v>1</v>
      </c>
      <c r="AI317" s="24">
        <v>1</v>
      </c>
      <c r="AJ317" s="24">
        <v>1</v>
      </c>
      <c r="AK317" s="22" t="s">
        <v>483</v>
      </c>
      <c r="AL317" s="10" t="s">
        <v>1</v>
      </c>
      <c r="AM317" s="10" t="s">
        <v>1</v>
      </c>
      <c r="AN317" s="10" t="s">
        <v>1</v>
      </c>
    </row>
    <row r="318" spans="2:40" ht="15" x14ac:dyDescent="0.2">
      <c r="B318" s="18">
        <f t="shared" si="3"/>
        <v>91</v>
      </c>
      <c r="C318" s="16">
        <v>20200506</v>
      </c>
      <c r="D318" s="10" t="s">
        <v>476</v>
      </c>
      <c r="E318" s="10" t="s">
        <v>156</v>
      </c>
      <c r="F318" s="43" t="s">
        <v>927</v>
      </c>
      <c r="G318" s="19">
        <v>1405044</v>
      </c>
      <c r="H318" s="20" t="s">
        <v>1</v>
      </c>
      <c r="I318" s="10" t="s">
        <v>153</v>
      </c>
      <c r="J318" s="20" t="s">
        <v>1</v>
      </c>
      <c r="K318" s="10" t="s">
        <v>478</v>
      </c>
      <c r="L318" s="10" t="s">
        <v>928</v>
      </c>
      <c r="M318" s="10" t="s">
        <v>158</v>
      </c>
      <c r="N318" s="10" t="s">
        <v>629</v>
      </c>
      <c r="O318" s="19" t="s">
        <v>1</v>
      </c>
      <c r="P318" s="19" t="s">
        <v>646</v>
      </c>
      <c r="Q318" s="21"/>
      <c r="R318" s="20" t="s">
        <v>1</v>
      </c>
      <c r="S318" s="10" t="s">
        <v>279</v>
      </c>
      <c r="T318" s="10"/>
      <c r="U318" s="10"/>
      <c r="V318" s="10">
        <v>290</v>
      </c>
      <c r="W318" s="10">
        <f t="shared" si="6"/>
        <v>290</v>
      </c>
      <c r="X318" s="10">
        <f t="shared" si="6"/>
        <v>290</v>
      </c>
      <c r="Y318" s="10">
        <f>ROUNDDOWN(W318/HLOOKUP(D318,[1]Table!$C$3:$D$4,2,0)*8,2)</f>
        <v>5.15</v>
      </c>
      <c r="Z318" s="10">
        <v>1</v>
      </c>
      <c r="AA318" s="10" t="s">
        <v>750</v>
      </c>
      <c r="AB318" s="22">
        <v>43962</v>
      </c>
      <c r="AC318" s="22">
        <v>43957</v>
      </c>
      <c r="AD318" s="22">
        <v>43964</v>
      </c>
      <c r="AE318" s="22">
        <v>43958</v>
      </c>
      <c r="AF318" s="22">
        <v>43958</v>
      </c>
      <c r="AG318" s="22" t="s">
        <v>482</v>
      </c>
      <c r="AH318" s="24">
        <v>1</v>
      </c>
      <c r="AI318" s="24">
        <v>1</v>
      </c>
      <c r="AJ318" s="24">
        <v>1</v>
      </c>
      <c r="AK318" s="22" t="s">
        <v>483</v>
      </c>
      <c r="AL318" s="10" t="s">
        <v>1</v>
      </c>
      <c r="AM318" s="10" t="s">
        <v>1</v>
      </c>
      <c r="AN318" s="10" t="s">
        <v>1</v>
      </c>
    </row>
    <row r="319" spans="2:40" ht="15" x14ac:dyDescent="0.2">
      <c r="B319" s="18">
        <f t="shared" si="3"/>
        <v>92</v>
      </c>
      <c r="C319" s="16">
        <v>20200506</v>
      </c>
      <c r="D319" s="10" t="s">
        <v>476</v>
      </c>
      <c r="E319" s="10" t="s">
        <v>156</v>
      </c>
      <c r="F319" s="43" t="s">
        <v>929</v>
      </c>
      <c r="G319" s="19">
        <v>1405044</v>
      </c>
      <c r="H319" s="20" t="s">
        <v>1</v>
      </c>
      <c r="I319" s="10" t="s">
        <v>151</v>
      </c>
      <c r="J319" s="20" t="s">
        <v>1</v>
      </c>
      <c r="K319" s="10" t="s">
        <v>478</v>
      </c>
      <c r="L319" s="10" t="s">
        <v>930</v>
      </c>
      <c r="M319" s="10" t="s">
        <v>158</v>
      </c>
      <c r="N319" s="10" t="s">
        <v>629</v>
      </c>
      <c r="O319" s="19" t="s">
        <v>1</v>
      </c>
      <c r="P319" s="19" t="s">
        <v>646</v>
      </c>
      <c r="Q319" s="21"/>
      <c r="R319" s="20" t="s">
        <v>1</v>
      </c>
      <c r="S319" s="10" t="s">
        <v>279</v>
      </c>
      <c r="T319" s="10"/>
      <c r="U319" s="10"/>
      <c r="V319" s="10">
        <v>236</v>
      </c>
      <c r="W319" s="10">
        <f t="shared" si="6"/>
        <v>236</v>
      </c>
      <c r="X319" s="10">
        <f t="shared" si="6"/>
        <v>236</v>
      </c>
      <c r="Y319" s="10">
        <f>ROUNDDOWN(W319/HLOOKUP(D319,[1]Table!$C$3:$D$4,2,0)*8,2)</f>
        <v>4.1900000000000004</v>
      </c>
      <c r="Z319" s="10">
        <v>2</v>
      </c>
      <c r="AA319" s="10" t="s">
        <v>750</v>
      </c>
      <c r="AB319" s="22">
        <v>43962</v>
      </c>
      <c r="AC319" s="22">
        <v>43957</v>
      </c>
      <c r="AD319" s="22">
        <v>43964</v>
      </c>
      <c r="AE319" s="22">
        <v>43958</v>
      </c>
      <c r="AF319" s="22">
        <v>43958</v>
      </c>
      <c r="AG319" s="22" t="s">
        <v>482</v>
      </c>
      <c r="AH319" s="24">
        <v>1</v>
      </c>
      <c r="AI319" s="24">
        <v>1</v>
      </c>
      <c r="AJ319" s="24">
        <v>1</v>
      </c>
      <c r="AK319" s="22" t="s">
        <v>483</v>
      </c>
      <c r="AL319" s="10" t="s">
        <v>1</v>
      </c>
      <c r="AM319" s="10" t="s">
        <v>1</v>
      </c>
      <c r="AN319" s="10" t="s">
        <v>1</v>
      </c>
    </row>
    <row r="320" spans="2:40" ht="15" x14ac:dyDescent="0.2">
      <c r="B320" s="18">
        <f t="shared" si="3"/>
        <v>93</v>
      </c>
      <c r="C320" s="16">
        <v>20200506</v>
      </c>
      <c r="D320" s="10" t="s">
        <v>476</v>
      </c>
      <c r="E320" s="10" t="s">
        <v>156</v>
      </c>
      <c r="F320" s="43" t="s">
        <v>931</v>
      </c>
      <c r="G320" s="19">
        <v>1405044</v>
      </c>
      <c r="H320" s="20" t="s">
        <v>1</v>
      </c>
      <c r="I320" s="10" t="s">
        <v>932</v>
      </c>
      <c r="J320" s="20" t="s">
        <v>1</v>
      </c>
      <c r="K320" s="10" t="s">
        <v>478</v>
      </c>
      <c r="L320" s="10" t="s">
        <v>933</v>
      </c>
      <c r="M320" s="10" t="s">
        <v>158</v>
      </c>
      <c r="N320" s="10" t="s">
        <v>629</v>
      </c>
      <c r="O320" s="19" t="s">
        <v>1</v>
      </c>
      <c r="P320" s="19" t="s">
        <v>646</v>
      </c>
      <c r="Q320" s="21"/>
      <c r="R320" s="20" t="s">
        <v>1</v>
      </c>
      <c r="S320" s="10" t="s">
        <v>260</v>
      </c>
      <c r="T320" s="10"/>
      <c r="U320" s="10"/>
      <c r="V320" s="10">
        <v>588</v>
      </c>
      <c r="W320" s="10">
        <f t="shared" si="6"/>
        <v>588</v>
      </c>
      <c r="X320" s="10">
        <f t="shared" si="6"/>
        <v>588</v>
      </c>
      <c r="Y320" s="10">
        <f>ROUNDDOWN(W320/HLOOKUP(D320,[1]Table!$C$3:$D$4,2,0)*8,2)</f>
        <v>10.45</v>
      </c>
      <c r="Z320" s="10">
        <v>1</v>
      </c>
      <c r="AA320" s="10" t="s">
        <v>750</v>
      </c>
      <c r="AB320" s="22">
        <v>43962</v>
      </c>
      <c r="AC320" s="22">
        <v>43957</v>
      </c>
      <c r="AD320" s="22">
        <v>43964</v>
      </c>
      <c r="AE320" s="22">
        <v>43958</v>
      </c>
      <c r="AF320" s="22">
        <v>43958</v>
      </c>
      <c r="AG320" s="22" t="s">
        <v>482</v>
      </c>
      <c r="AH320" s="24">
        <v>1</v>
      </c>
      <c r="AI320" s="24">
        <v>1</v>
      </c>
      <c r="AJ320" s="24">
        <v>1</v>
      </c>
      <c r="AK320" s="22" t="s">
        <v>483</v>
      </c>
      <c r="AL320" s="19" t="s">
        <v>1</v>
      </c>
      <c r="AM320" s="10" t="s">
        <v>1</v>
      </c>
      <c r="AN320" s="10" t="s">
        <v>1</v>
      </c>
    </row>
    <row r="321" spans="2:40" ht="15" x14ac:dyDescent="0.2">
      <c r="B321" s="18">
        <f t="shared" si="3"/>
        <v>94</v>
      </c>
      <c r="C321" s="16">
        <v>20200506</v>
      </c>
      <c r="D321" s="10" t="s">
        <v>476</v>
      </c>
      <c r="E321" s="10" t="s">
        <v>156</v>
      </c>
      <c r="F321" s="43" t="s">
        <v>931</v>
      </c>
      <c r="G321" s="19">
        <v>1405044</v>
      </c>
      <c r="H321" s="20" t="s">
        <v>1</v>
      </c>
      <c r="I321" s="10" t="s">
        <v>934</v>
      </c>
      <c r="J321" s="20" t="s">
        <v>1</v>
      </c>
      <c r="K321" s="10" t="s">
        <v>478</v>
      </c>
      <c r="L321" s="10" t="s">
        <v>935</v>
      </c>
      <c r="M321" s="10" t="s">
        <v>158</v>
      </c>
      <c r="N321" s="10" t="s">
        <v>629</v>
      </c>
      <c r="O321" s="19" t="s">
        <v>1</v>
      </c>
      <c r="P321" s="19" t="s">
        <v>646</v>
      </c>
      <c r="Q321" s="21"/>
      <c r="R321" s="20" t="s">
        <v>1</v>
      </c>
      <c r="S321" s="10" t="s">
        <v>219</v>
      </c>
      <c r="T321" s="10"/>
      <c r="U321" s="10"/>
      <c r="V321" s="10">
        <v>2042</v>
      </c>
      <c r="W321" s="10">
        <f t="shared" si="6"/>
        <v>2042</v>
      </c>
      <c r="X321" s="10">
        <f t="shared" si="6"/>
        <v>2042</v>
      </c>
      <c r="Y321" s="10">
        <f>ROUNDDOWN(W321/HLOOKUP(D321,[1]Table!$C$3:$D$4,2,0)*8,2)</f>
        <v>36.299999999999997</v>
      </c>
      <c r="Z321" s="10">
        <v>16</v>
      </c>
      <c r="AA321" s="10" t="s">
        <v>750</v>
      </c>
      <c r="AB321" s="22">
        <v>43962</v>
      </c>
      <c r="AC321" s="22">
        <v>43957</v>
      </c>
      <c r="AD321" s="22">
        <v>43964</v>
      </c>
      <c r="AE321" s="22">
        <v>43958</v>
      </c>
      <c r="AF321" s="22">
        <v>43959</v>
      </c>
      <c r="AG321" s="22" t="s">
        <v>482</v>
      </c>
      <c r="AH321" s="24">
        <v>1</v>
      </c>
      <c r="AI321" s="24">
        <v>1</v>
      </c>
      <c r="AJ321" s="24">
        <v>1</v>
      </c>
      <c r="AK321" s="22" t="s">
        <v>483</v>
      </c>
      <c r="AL321" s="19" t="s">
        <v>936</v>
      </c>
      <c r="AM321" s="10" t="s">
        <v>1</v>
      </c>
      <c r="AN321" s="10" t="s">
        <v>1</v>
      </c>
    </row>
    <row r="322" spans="2:40" ht="15" x14ac:dyDescent="0.2">
      <c r="B322" s="18">
        <f t="shared" si="3"/>
        <v>95</v>
      </c>
      <c r="C322" s="16">
        <v>20200506</v>
      </c>
      <c r="D322" s="10" t="s">
        <v>476</v>
      </c>
      <c r="E322" s="10" t="s">
        <v>156</v>
      </c>
      <c r="F322" s="43" t="s">
        <v>937</v>
      </c>
      <c r="G322" s="19">
        <v>1405044</v>
      </c>
      <c r="H322" s="20" t="s">
        <v>1</v>
      </c>
      <c r="I322" s="10" t="s">
        <v>938</v>
      </c>
      <c r="J322" s="20" t="s">
        <v>1</v>
      </c>
      <c r="K322" s="10" t="s">
        <v>478</v>
      </c>
      <c r="L322" s="10" t="s">
        <v>939</v>
      </c>
      <c r="M322" s="10" t="s">
        <v>158</v>
      </c>
      <c r="N322" s="10" t="s">
        <v>629</v>
      </c>
      <c r="O322" s="19" t="s">
        <v>1</v>
      </c>
      <c r="P322" s="19" t="s">
        <v>646</v>
      </c>
      <c r="Q322" s="21"/>
      <c r="R322" s="20" t="s">
        <v>1</v>
      </c>
      <c r="S322" s="10" t="s">
        <v>279</v>
      </c>
      <c r="T322" s="10"/>
      <c r="U322" s="10"/>
      <c r="V322" s="10">
        <v>103</v>
      </c>
      <c r="W322" s="10">
        <f t="shared" si="6"/>
        <v>103</v>
      </c>
      <c r="X322" s="10">
        <f t="shared" si="6"/>
        <v>103</v>
      </c>
      <c r="Y322" s="10">
        <f>ROUNDDOWN(W322/HLOOKUP(D322,[1]Table!$C$3:$D$4,2,0)*8,2)</f>
        <v>1.83</v>
      </c>
      <c r="Z322" s="10">
        <v>1</v>
      </c>
      <c r="AA322" s="10" t="s">
        <v>750</v>
      </c>
      <c r="AB322" s="22">
        <v>43962</v>
      </c>
      <c r="AC322" s="22">
        <v>43957</v>
      </c>
      <c r="AD322" s="22">
        <v>43964</v>
      </c>
      <c r="AE322" s="22">
        <v>43958</v>
      </c>
      <c r="AF322" s="22">
        <v>43958</v>
      </c>
      <c r="AG322" s="22" t="s">
        <v>482</v>
      </c>
      <c r="AH322" s="24">
        <v>1</v>
      </c>
      <c r="AI322" s="24">
        <v>1</v>
      </c>
      <c r="AJ322" s="24">
        <v>1</v>
      </c>
      <c r="AK322" s="22" t="s">
        <v>483</v>
      </c>
      <c r="AL322" s="10" t="s">
        <v>1</v>
      </c>
      <c r="AM322" s="10" t="s">
        <v>1</v>
      </c>
      <c r="AN322" s="10" t="s">
        <v>1</v>
      </c>
    </row>
    <row r="323" spans="2:40" ht="15" x14ac:dyDescent="0.2">
      <c r="B323" s="91">
        <f t="shared" si="3"/>
        <v>96</v>
      </c>
      <c r="C323" s="16">
        <v>20200507</v>
      </c>
      <c r="D323" s="10" t="s">
        <v>476</v>
      </c>
      <c r="E323" s="10" t="s">
        <v>406</v>
      </c>
      <c r="F323" s="92" t="s">
        <v>940</v>
      </c>
      <c r="G323" s="19">
        <v>1455207</v>
      </c>
      <c r="H323" s="20" t="s">
        <v>1</v>
      </c>
      <c r="I323" s="10" t="s">
        <v>941</v>
      </c>
      <c r="J323" s="20" t="s">
        <v>1</v>
      </c>
      <c r="K323" s="10" t="s">
        <v>478</v>
      </c>
      <c r="L323" s="10" t="s">
        <v>942</v>
      </c>
      <c r="M323" s="10" t="s">
        <v>943</v>
      </c>
      <c r="N323" s="10" t="s">
        <v>944</v>
      </c>
      <c r="O323" s="19" t="s">
        <v>1</v>
      </c>
      <c r="P323" s="19" t="s">
        <v>945</v>
      </c>
      <c r="Q323" s="21"/>
      <c r="R323" s="20" t="s">
        <v>1</v>
      </c>
      <c r="S323" s="10" t="s">
        <v>40</v>
      </c>
      <c r="T323" s="10"/>
      <c r="U323" s="10"/>
      <c r="V323" s="10">
        <v>20</v>
      </c>
      <c r="W323" s="10">
        <f t="shared" si="6"/>
        <v>20</v>
      </c>
      <c r="X323" s="10">
        <f t="shared" si="6"/>
        <v>20</v>
      </c>
      <c r="Y323" s="10">
        <f>ROUNDDOWN(W323/HLOOKUP(D323,[1]Table!$C$3:$D$4,2,0)*8,2)</f>
        <v>0.35</v>
      </c>
      <c r="Z323" s="10">
        <v>0.12</v>
      </c>
      <c r="AA323" s="10" t="s">
        <v>481</v>
      </c>
      <c r="AB323" s="22">
        <v>43963</v>
      </c>
      <c r="AC323" s="22">
        <v>43958</v>
      </c>
      <c r="AD323" s="22">
        <v>43963</v>
      </c>
      <c r="AE323" s="22">
        <v>43959</v>
      </c>
      <c r="AF323" s="22">
        <v>43959</v>
      </c>
      <c r="AG323" s="22" t="s">
        <v>482</v>
      </c>
      <c r="AH323" s="24">
        <v>1</v>
      </c>
      <c r="AI323" s="24">
        <v>1</v>
      </c>
      <c r="AJ323" s="24">
        <v>1</v>
      </c>
      <c r="AK323" s="22" t="s">
        <v>483</v>
      </c>
      <c r="AL323" s="10" t="s">
        <v>1</v>
      </c>
      <c r="AM323" s="10" t="s">
        <v>1</v>
      </c>
      <c r="AN323" s="10" t="s">
        <v>946</v>
      </c>
    </row>
    <row r="324" spans="2:40" ht="15" x14ac:dyDescent="0.2">
      <c r="B324" s="91">
        <f t="shared" si="3"/>
        <v>97</v>
      </c>
      <c r="C324" s="16">
        <v>20200507</v>
      </c>
      <c r="D324" s="10" t="s">
        <v>476</v>
      </c>
      <c r="E324" s="10" t="s">
        <v>406</v>
      </c>
      <c r="F324" s="43" t="s">
        <v>947</v>
      </c>
      <c r="G324" s="19">
        <v>1444993</v>
      </c>
      <c r="H324" s="20" t="s">
        <v>1</v>
      </c>
      <c r="I324" s="10" t="s">
        <v>948</v>
      </c>
      <c r="J324" s="20" t="s">
        <v>1</v>
      </c>
      <c r="K324" s="10" t="s">
        <v>478</v>
      </c>
      <c r="L324" s="10" t="s">
        <v>942</v>
      </c>
      <c r="M324" s="10" t="s">
        <v>943</v>
      </c>
      <c r="N324" s="10" t="s">
        <v>944</v>
      </c>
      <c r="O324" s="19" t="s">
        <v>1</v>
      </c>
      <c r="P324" s="19" t="s">
        <v>949</v>
      </c>
      <c r="Q324" s="21"/>
      <c r="R324" s="20" t="s">
        <v>1</v>
      </c>
      <c r="S324" s="10" t="s">
        <v>40</v>
      </c>
      <c r="T324" s="10"/>
      <c r="U324" s="10"/>
      <c r="V324" s="10">
        <v>149</v>
      </c>
      <c r="W324" s="10">
        <f t="shared" si="6"/>
        <v>149</v>
      </c>
      <c r="X324" s="10">
        <f t="shared" si="6"/>
        <v>149</v>
      </c>
      <c r="Y324" s="10">
        <f>ROUNDDOWN(W324/HLOOKUP(D324,[1]Table!$C$3:$D$4,2,0)*8,2)</f>
        <v>2.64</v>
      </c>
      <c r="Z324" s="10">
        <v>1</v>
      </c>
      <c r="AA324" s="10" t="s">
        <v>481</v>
      </c>
      <c r="AB324" s="22">
        <v>43963</v>
      </c>
      <c r="AC324" s="22">
        <v>43958</v>
      </c>
      <c r="AD324" s="22">
        <v>43963</v>
      </c>
      <c r="AE324" s="22">
        <v>43959</v>
      </c>
      <c r="AF324" s="22">
        <v>43959</v>
      </c>
      <c r="AG324" s="22" t="s">
        <v>482</v>
      </c>
      <c r="AH324" s="24">
        <v>1</v>
      </c>
      <c r="AI324" s="24">
        <v>1</v>
      </c>
      <c r="AJ324" s="24">
        <v>1</v>
      </c>
      <c r="AK324" s="22" t="s">
        <v>483</v>
      </c>
      <c r="AL324" s="10" t="s">
        <v>1</v>
      </c>
      <c r="AM324" s="10" t="s">
        <v>1</v>
      </c>
      <c r="AN324" s="10" t="s">
        <v>1</v>
      </c>
    </row>
    <row r="325" spans="2:40" ht="15" x14ac:dyDescent="0.2">
      <c r="B325" s="91">
        <f t="shared" si="3"/>
        <v>98</v>
      </c>
      <c r="C325" s="16">
        <v>20200507</v>
      </c>
      <c r="D325" s="10" t="s">
        <v>476</v>
      </c>
      <c r="E325" s="10" t="s">
        <v>406</v>
      </c>
      <c r="F325" s="43" t="s">
        <v>950</v>
      </c>
      <c r="G325" s="19">
        <v>1444993</v>
      </c>
      <c r="H325" s="20" t="s">
        <v>1</v>
      </c>
      <c r="I325" s="10" t="s">
        <v>951</v>
      </c>
      <c r="J325" s="20" t="s">
        <v>1</v>
      </c>
      <c r="K325" s="10" t="s">
        <v>478</v>
      </c>
      <c r="L325" s="10" t="s">
        <v>942</v>
      </c>
      <c r="M325" s="10" t="s">
        <v>943</v>
      </c>
      <c r="N325" s="10" t="s">
        <v>944</v>
      </c>
      <c r="O325" s="19" t="s">
        <v>1</v>
      </c>
      <c r="P325" s="19" t="s">
        <v>949</v>
      </c>
      <c r="Q325" s="21"/>
      <c r="R325" s="20" t="s">
        <v>1</v>
      </c>
      <c r="S325" s="10" t="s">
        <v>40</v>
      </c>
      <c r="T325" s="10"/>
      <c r="U325" s="10"/>
      <c r="V325" s="10">
        <v>173</v>
      </c>
      <c r="W325" s="10">
        <f t="shared" si="6"/>
        <v>173</v>
      </c>
      <c r="X325" s="10">
        <f t="shared" si="6"/>
        <v>173</v>
      </c>
      <c r="Y325" s="10">
        <f>ROUNDDOWN(W325/HLOOKUP(D325,[1]Table!$C$3:$D$4,2,0)*8,2)</f>
        <v>3.07</v>
      </c>
      <c r="Z325" s="10">
        <v>1</v>
      </c>
      <c r="AA325" s="10" t="s">
        <v>481</v>
      </c>
      <c r="AB325" s="22">
        <v>43963</v>
      </c>
      <c r="AC325" s="22">
        <v>43958</v>
      </c>
      <c r="AD325" s="22">
        <v>43963</v>
      </c>
      <c r="AE325" s="22">
        <v>43959</v>
      </c>
      <c r="AF325" s="22">
        <v>43959</v>
      </c>
      <c r="AG325" s="22" t="s">
        <v>482</v>
      </c>
      <c r="AH325" s="24">
        <v>1</v>
      </c>
      <c r="AI325" s="24">
        <v>1</v>
      </c>
      <c r="AJ325" s="24">
        <v>1</v>
      </c>
      <c r="AK325" s="22" t="s">
        <v>483</v>
      </c>
      <c r="AL325" s="10" t="s">
        <v>1</v>
      </c>
      <c r="AM325" s="10" t="s">
        <v>1</v>
      </c>
      <c r="AN325" s="10" t="s">
        <v>1</v>
      </c>
    </row>
    <row r="326" spans="2:40" ht="15" x14ac:dyDescent="0.2">
      <c r="B326" s="91">
        <f t="shared" si="3"/>
        <v>99</v>
      </c>
      <c r="C326" s="16">
        <v>20200507</v>
      </c>
      <c r="D326" s="10" t="s">
        <v>476</v>
      </c>
      <c r="E326" s="10" t="s">
        <v>398</v>
      </c>
      <c r="F326" s="43" t="s">
        <v>952</v>
      </c>
      <c r="G326" s="19">
        <v>1453050</v>
      </c>
      <c r="H326" s="20" t="s">
        <v>1</v>
      </c>
      <c r="I326" s="10" t="s">
        <v>953</v>
      </c>
      <c r="J326" s="20" t="s">
        <v>1</v>
      </c>
      <c r="K326" s="10" t="s">
        <v>478</v>
      </c>
      <c r="L326" s="10" t="s">
        <v>869</v>
      </c>
      <c r="M326" s="10" t="s">
        <v>954</v>
      </c>
      <c r="N326" s="10" t="s">
        <v>955</v>
      </c>
      <c r="O326" s="19" t="s">
        <v>1</v>
      </c>
      <c r="P326" s="19" t="s">
        <v>956</v>
      </c>
      <c r="Q326" s="21"/>
      <c r="R326" s="20" t="s">
        <v>1</v>
      </c>
      <c r="S326" s="10" t="s">
        <v>40</v>
      </c>
      <c r="T326" s="10"/>
      <c r="U326" s="10"/>
      <c r="V326" s="10">
        <v>132</v>
      </c>
      <c r="W326" s="10">
        <f t="shared" si="6"/>
        <v>132</v>
      </c>
      <c r="X326" s="10">
        <f t="shared" si="6"/>
        <v>132</v>
      </c>
      <c r="Y326" s="10">
        <f>ROUNDDOWN(W326/HLOOKUP(D326,[1]Table!$C$3:$D$4,2,0)*8,2)</f>
        <v>2.34</v>
      </c>
      <c r="Z326" s="10">
        <v>2</v>
      </c>
      <c r="AA326" s="10" t="s">
        <v>481</v>
      </c>
      <c r="AB326" s="22">
        <v>43963</v>
      </c>
      <c r="AC326" s="22">
        <v>43958</v>
      </c>
      <c r="AD326" s="22">
        <v>43963</v>
      </c>
      <c r="AE326" s="22">
        <v>43959</v>
      </c>
      <c r="AF326" s="22">
        <v>43959</v>
      </c>
      <c r="AG326" s="22" t="s">
        <v>482</v>
      </c>
      <c r="AH326" s="24">
        <v>1</v>
      </c>
      <c r="AI326" s="24">
        <v>1</v>
      </c>
      <c r="AJ326" s="24">
        <v>1</v>
      </c>
      <c r="AK326" s="22" t="s">
        <v>483</v>
      </c>
      <c r="AL326" s="10" t="s">
        <v>1</v>
      </c>
      <c r="AM326" s="10" t="s">
        <v>1</v>
      </c>
      <c r="AN326" s="10" t="s">
        <v>1</v>
      </c>
    </row>
    <row r="327" spans="2:40" ht="15" x14ac:dyDescent="0.2">
      <c r="B327" s="91">
        <f t="shared" si="3"/>
        <v>100</v>
      </c>
      <c r="C327" s="16">
        <v>20200507</v>
      </c>
      <c r="D327" s="10" t="s">
        <v>476</v>
      </c>
      <c r="E327" s="10" t="s">
        <v>398</v>
      </c>
      <c r="F327" s="43" t="s">
        <v>957</v>
      </c>
      <c r="G327" s="19">
        <v>1453050</v>
      </c>
      <c r="H327" s="20" t="s">
        <v>1</v>
      </c>
      <c r="I327" s="10" t="s">
        <v>958</v>
      </c>
      <c r="J327" s="20" t="s">
        <v>1</v>
      </c>
      <c r="K327" s="10" t="s">
        <v>478</v>
      </c>
      <c r="L327" s="10" t="s">
        <v>869</v>
      </c>
      <c r="M327" s="10" t="s">
        <v>954</v>
      </c>
      <c r="N327" s="10" t="s">
        <v>955</v>
      </c>
      <c r="O327" s="19" t="s">
        <v>1</v>
      </c>
      <c r="P327" s="19" t="s">
        <v>956</v>
      </c>
      <c r="Q327" s="21"/>
      <c r="R327" s="20" t="s">
        <v>1</v>
      </c>
      <c r="S327" s="10" t="s">
        <v>40</v>
      </c>
      <c r="T327" s="10"/>
      <c r="U327" s="10"/>
      <c r="V327" s="10">
        <v>156</v>
      </c>
      <c r="W327" s="10">
        <f t="shared" ref="W327:X332" si="7">V327</f>
        <v>156</v>
      </c>
      <c r="X327" s="10">
        <f t="shared" si="7"/>
        <v>156</v>
      </c>
      <c r="Y327" s="10">
        <f>ROUNDDOWN(W327/HLOOKUP(D327,[1]Table!$C$3:$D$4,2,0)*8,2)</f>
        <v>2.77</v>
      </c>
      <c r="Z327" s="10">
        <v>1.5</v>
      </c>
      <c r="AA327" s="10" t="s">
        <v>481</v>
      </c>
      <c r="AB327" s="22">
        <v>43963</v>
      </c>
      <c r="AC327" s="22">
        <v>43958</v>
      </c>
      <c r="AD327" s="22">
        <v>43963</v>
      </c>
      <c r="AE327" s="22">
        <v>43959</v>
      </c>
      <c r="AF327" s="22">
        <v>43959</v>
      </c>
      <c r="AG327" s="22" t="s">
        <v>482</v>
      </c>
      <c r="AH327" s="24">
        <v>1</v>
      </c>
      <c r="AI327" s="24">
        <v>1</v>
      </c>
      <c r="AJ327" s="24">
        <v>1</v>
      </c>
      <c r="AK327" s="22" t="s">
        <v>483</v>
      </c>
      <c r="AL327" s="10" t="s">
        <v>1</v>
      </c>
      <c r="AM327" s="10" t="s">
        <v>1</v>
      </c>
      <c r="AN327" s="10" t="s">
        <v>1</v>
      </c>
    </row>
    <row r="328" spans="2:40" ht="15" x14ac:dyDescent="0.2">
      <c r="B328" s="91">
        <f t="shared" si="3"/>
        <v>101</v>
      </c>
      <c r="C328" s="16">
        <v>20200507</v>
      </c>
      <c r="D328" s="10" t="s">
        <v>476</v>
      </c>
      <c r="E328" s="10" t="s">
        <v>398</v>
      </c>
      <c r="F328" s="43" t="s">
        <v>959</v>
      </c>
      <c r="G328" s="19">
        <v>1453050</v>
      </c>
      <c r="H328" s="20" t="s">
        <v>1</v>
      </c>
      <c r="I328" s="10" t="s">
        <v>197</v>
      </c>
      <c r="J328" s="20" t="s">
        <v>1</v>
      </c>
      <c r="K328" s="10" t="s">
        <v>478</v>
      </c>
      <c r="L328" s="10" t="s">
        <v>869</v>
      </c>
      <c r="M328" s="10" t="s">
        <v>954</v>
      </c>
      <c r="N328" s="10" t="s">
        <v>955</v>
      </c>
      <c r="O328" s="19" t="s">
        <v>1</v>
      </c>
      <c r="P328" s="19" t="s">
        <v>956</v>
      </c>
      <c r="Q328" s="21"/>
      <c r="R328" s="20" t="s">
        <v>1</v>
      </c>
      <c r="S328" s="10" t="s">
        <v>41</v>
      </c>
      <c r="T328" s="10"/>
      <c r="U328" s="10"/>
      <c r="V328" s="10">
        <v>309</v>
      </c>
      <c r="W328" s="10">
        <f t="shared" si="7"/>
        <v>309</v>
      </c>
      <c r="X328" s="10">
        <f t="shared" si="7"/>
        <v>309</v>
      </c>
      <c r="Y328" s="10">
        <f>ROUNDDOWN(W328/HLOOKUP(D328,[1]Table!$C$3:$D$4,2,0)*8,2)</f>
        <v>5.49</v>
      </c>
      <c r="Z328" s="10">
        <v>4</v>
      </c>
      <c r="AA328" s="10" t="s">
        <v>481</v>
      </c>
      <c r="AB328" s="22">
        <v>43963</v>
      </c>
      <c r="AC328" s="22">
        <v>43958</v>
      </c>
      <c r="AD328" s="22">
        <v>43963</v>
      </c>
      <c r="AE328" s="22">
        <v>43962</v>
      </c>
      <c r="AF328" s="22">
        <v>43962</v>
      </c>
      <c r="AG328" s="22" t="s">
        <v>489</v>
      </c>
      <c r="AH328" s="24">
        <v>1</v>
      </c>
      <c r="AI328" s="24">
        <v>1</v>
      </c>
      <c r="AJ328" s="24">
        <v>0.83</v>
      </c>
      <c r="AK328" s="22" t="s">
        <v>490</v>
      </c>
      <c r="AL328" s="10" t="s">
        <v>960</v>
      </c>
      <c r="AM328" s="10" t="s">
        <v>1</v>
      </c>
      <c r="AN328" s="73" t="s">
        <v>757</v>
      </c>
    </row>
    <row r="329" spans="2:40" ht="15" x14ac:dyDescent="0.2">
      <c r="B329" s="91">
        <f t="shared" si="3"/>
        <v>102</v>
      </c>
      <c r="C329" s="16">
        <v>20200507</v>
      </c>
      <c r="D329" s="10" t="s">
        <v>476</v>
      </c>
      <c r="E329" s="10" t="s">
        <v>398</v>
      </c>
      <c r="F329" s="43" t="s">
        <v>961</v>
      </c>
      <c r="G329" s="19">
        <v>1453050</v>
      </c>
      <c r="H329" s="20" t="s">
        <v>1</v>
      </c>
      <c r="I329" s="10" t="s">
        <v>198</v>
      </c>
      <c r="J329" s="20" t="s">
        <v>1</v>
      </c>
      <c r="K329" s="10" t="s">
        <v>478</v>
      </c>
      <c r="L329" s="10" t="s">
        <v>869</v>
      </c>
      <c r="M329" s="10" t="s">
        <v>954</v>
      </c>
      <c r="N329" s="10" t="s">
        <v>955</v>
      </c>
      <c r="O329" s="19" t="s">
        <v>1</v>
      </c>
      <c r="P329" s="19" t="s">
        <v>956</v>
      </c>
      <c r="Q329" s="21"/>
      <c r="R329" s="20" t="s">
        <v>1</v>
      </c>
      <c r="S329" s="10" t="s">
        <v>41</v>
      </c>
      <c r="T329" s="10"/>
      <c r="U329" s="10"/>
      <c r="V329" s="10">
        <v>25</v>
      </c>
      <c r="W329" s="10">
        <f t="shared" si="7"/>
        <v>25</v>
      </c>
      <c r="X329" s="10">
        <f t="shared" si="7"/>
        <v>25</v>
      </c>
      <c r="Y329" s="10">
        <f>ROUNDDOWN(W329/HLOOKUP(D329,[1]Table!$C$3:$D$4,2,0)*8,2)</f>
        <v>0.44</v>
      </c>
      <c r="Z329" s="10">
        <v>1</v>
      </c>
      <c r="AA329" s="10" t="s">
        <v>481</v>
      </c>
      <c r="AB329" s="22">
        <v>43963</v>
      </c>
      <c r="AC329" s="22">
        <v>43958</v>
      </c>
      <c r="AD329" s="22">
        <v>43963</v>
      </c>
      <c r="AE329" s="22">
        <v>43962</v>
      </c>
      <c r="AF329" s="22">
        <v>43962</v>
      </c>
      <c r="AG329" s="22" t="s">
        <v>482</v>
      </c>
      <c r="AH329" s="24">
        <v>1</v>
      </c>
      <c r="AI329" s="24">
        <v>1</v>
      </c>
      <c r="AJ329" s="24">
        <v>1</v>
      </c>
      <c r="AK329" s="22" t="s">
        <v>483</v>
      </c>
      <c r="AL329" s="10" t="s">
        <v>1</v>
      </c>
      <c r="AM329" s="10" t="s">
        <v>1</v>
      </c>
      <c r="AN329" s="10" t="s">
        <v>1</v>
      </c>
    </row>
    <row r="330" spans="2:40" ht="15" x14ac:dyDescent="0.2">
      <c r="B330" s="91">
        <f t="shared" si="3"/>
        <v>103</v>
      </c>
      <c r="C330" s="16">
        <v>20200507</v>
      </c>
      <c r="D330" s="10" t="s">
        <v>476</v>
      </c>
      <c r="E330" s="10" t="s">
        <v>398</v>
      </c>
      <c r="F330" s="43" t="s">
        <v>962</v>
      </c>
      <c r="G330" s="19">
        <v>1453050</v>
      </c>
      <c r="H330" s="20" t="s">
        <v>1</v>
      </c>
      <c r="I330" s="10" t="s">
        <v>199</v>
      </c>
      <c r="J330" s="20" t="s">
        <v>1</v>
      </c>
      <c r="K330" s="10" t="s">
        <v>478</v>
      </c>
      <c r="L330" s="10" t="s">
        <v>869</v>
      </c>
      <c r="M330" s="10" t="s">
        <v>954</v>
      </c>
      <c r="N330" s="10" t="s">
        <v>955</v>
      </c>
      <c r="O330" s="19" t="s">
        <v>1</v>
      </c>
      <c r="P330" s="19" t="s">
        <v>956</v>
      </c>
      <c r="Q330" s="21"/>
      <c r="R330" s="20" t="s">
        <v>1</v>
      </c>
      <c r="S330" s="10" t="s">
        <v>41</v>
      </c>
      <c r="T330" s="10"/>
      <c r="U330" s="10"/>
      <c r="V330" s="10">
        <v>215</v>
      </c>
      <c r="W330" s="10">
        <f t="shared" si="7"/>
        <v>215</v>
      </c>
      <c r="X330" s="10">
        <f t="shared" si="7"/>
        <v>215</v>
      </c>
      <c r="Y330" s="10">
        <f>ROUNDDOWN(W330/HLOOKUP(D330,[1]Table!$C$3:$D$4,2,0)*8,2)</f>
        <v>3.82</v>
      </c>
      <c r="Z330" s="10">
        <v>2</v>
      </c>
      <c r="AA330" s="10" t="s">
        <v>481</v>
      </c>
      <c r="AB330" s="22">
        <v>43963</v>
      </c>
      <c r="AC330" s="22">
        <v>43958</v>
      </c>
      <c r="AD330" s="22">
        <v>43963</v>
      </c>
      <c r="AE330" s="22">
        <v>43962</v>
      </c>
      <c r="AF330" s="22">
        <v>43962</v>
      </c>
      <c r="AG330" s="22" t="s">
        <v>482</v>
      </c>
      <c r="AH330" s="24">
        <v>1</v>
      </c>
      <c r="AI330" s="24">
        <v>1</v>
      </c>
      <c r="AJ330" s="24">
        <v>1</v>
      </c>
      <c r="AK330" s="22" t="s">
        <v>483</v>
      </c>
      <c r="AL330" s="10" t="s">
        <v>1</v>
      </c>
      <c r="AM330" s="10" t="s">
        <v>1</v>
      </c>
      <c r="AN330" s="10" t="s">
        <v>1</v>
      </c>
    </row>
    <row r="331" spans="2:40" ht="15" x14ac:dyDescent="0.2">
      <c r="B331" s="91">
        <f t="shared" si="3"/>
        <v>104</v>
      </c>
      <c r="C331" s="16">
        <v>20200507</v>
      </c>
      <c r="D331" s="10" t="s">
        <v>476</v>
      </c>
      <c r="E331" s="10" t="s">
        <v>398</v>
      </c>
      <c r="F331" s="43" t="s">
        <v>963</v>
      </c>
      <c r="G331" s="19">
        <v>1453050</v>
      </c>
      <c r="H331" s="20" t="s">
        <v>1</v>
      </c>
      <c r="I331" s="10" t="s">
        <v>200</v>
      </c>
      <c r="J331" s="20" t="s">
        <v>1</v>
      </c>
      <c r="K331" s="10" t="s">
        <v>478</v>
      </c>
      <c r="L331" s="10" t="s">
        <v>869</v>
      </c>
      <c r="M331" s="10" t="s">
        <v>954</v>
      </c>
      <c r="N331" s="10" t="s">
        <v>955</v>
      </c>
      <c r="O331" s="19" t="s">
        <v>1</v>
      </c>
      <c r="P331" s="19" t="s">
        <v>956</v>
      </c>
      <c r="Q331" s="21"/>
      <c r="R331" s="20" t="s">
        <v>1</v>
      </c>
      <c r="S331" s="10" t="s">
        <v>4</v>
      </c>
      <c r="T331" s="10"/>
      <c r="U331" s="10"/>
      <c r="V331" s="10">
        <v>1703</v>
      </c>
      <c r="W331" s="10">
        <f t="shared" si="7"/>
        <v>1703</v>
      </c>
      <c r="X331" s="10">
        <f t="shared" si="7"/>
        <v>1703</v>
      </c>
      <c r="Y331" s="10">
        <f>ROUNDDOWN(W331/HLOOKUP(D331,[1]Table!$C$3:$D$4,2,0)*8,2)</f>
        <v>30.27</v>
      </c>
      <c r="Z331" s="10">
        <v>8</v>
      </c>
      <c r="AA331" s="10" t="s">
        <v>481</v>
      </c>
      <c r="AB331" s="22">
        <v>43963</v>
      </c>
      <c r="AC331" s="22">
        <v>43958</v>
      </c>
      <c r="AD331" s="22">
        <v>43963</v>
      </c>
      <c r="AE331" s="22">
        <v>43959</v>
      </c>
      <c r="AF331" s="22">
        <v>43962</v>
      </c>
      <c r="AG331" s="22" t="s">
        <v>482</v>
      </c>
      <c r="AH331" s="24">
        <v>1</v>
      </c>
      <c r="AI331" s="24">
        <v>1</v>
      </c>
      <c r="AJ331" s="24">
        <v>1</v>
      </c>
      <c r="AK331" s="22" t="s">
        <v>483</v>
      </c>
      <c r="AL331" s="10" t="s">
        <v>1</v>
      </c>
      <c r="AM331" s="10" t="s">
        <v>1</v>
      </c>
      <c r="AN331" s="10" t="s">
        <v>1</v>
      </c>
    </row>
    <row r="332" spans="2:40" ht="15" x14ac:dyDescent="0.2">
      <c r="B332" s="91">
        <f t="shared" si="3"/>
        <v>105</v>
      </c>
      <c r="C332" s="16">
        <v>20200507</v>
      </c>
      <c r="D332" s="10" t="s">
        <v>476</v>
      </c>
      <c r="E332" s="10" t="s">
        <v>139</v>
      </c>
      <c r="F332" s="43" t="s">
        <v>964</v>
      </c>
      <c r="G332" s="19">
        <v>1444374</v>
      </c>
      <c r="H332" s="20" t="s">
        <v>1</v>
      </c>
      <c r="I332" s="10" t="s">
        <v>173</v>
      </c>
      <c r="J332" s="20" t="s">
        <v>1</v>
      </c>
      <c r="K332" s="10" t="s">
        <v>478</v>
      </c>
      <c r="L332" s="10" t="s">
        <v>765</v>
      </c>
      <c r="M332" s="10" t="s">
        <v>141</v>
      </c>
      <c r="N332" s="10" t="s">
        <v>766</v>
      </c>
      <c r="O332" s="19" t="s">
        <v>1</v>
      </c>
      <c r="P332" s="19" t="s">
        <v>655</v>
      </c>
      <c r="Q332" s="21"/>
      <c r="R332" s="20" t="s">
        <v>1</v>
      </c>
      <c r="S332" s="10" t="s">
        <v>15</v>
      </c>
      <c r="T332" s="10"/>
      <c r="U332" s="10"/>
      <c r="V332" s="10">
        <v>1193</v>
      </c>
      <c r="W332" s="10">
        <f t="shared" si="7"/>
        <v>1193</v>
      </c>
      <c r="X332" s="10">
        <f t="shared" si="7"/>
        <v>1193</v>
      </c>
      <c r="Y332" s="10">
        <f>ROUNDDOWN(W332/HLOOKUP(D332,[1]Table!$C$3:$D$4,2,0)*8,2)</f>
        <v>21.2</v>
      </c>
      <c r="Z332" s="10">
        <v>4</v>
      </c>
      <c r="AA332" s="10" t="s">
        <v>481</v>
      </c>
      <c r="AB332" s="22">
        <v>43963</v>
      </c>
      <c r="AC332" s="22">
        <v>43958</v>
      </c>
      <c r="AD332" s="22">
        <v>43963</v>
      </c>
      <c r="AE332" s="22">
        <v>43959</v>
      </c>
      <c r="AF332" s="22">
        <v>43959</v>
      </c>
      <c r="AG332" s="22" t="s">
        <v>482</v>
      </c>
      <c r="AH332" s="24">
        <v>1</v>
      </c>
      <c r="AI332" s="24">
        <v>1</v>
      </c>
      <c r="AJ332" s="24">
        <v>1</v>
      </c>
      <c r="AK332" s="22" t="s">
        <v>483</v>
      </c>
      <c r="AL332" s="10" t="s">
        <v>1</v>
      </c>
      <c r="AM332" s="10" t="s">
        <v>1</v>
      </c>
      <c r="AN332" s="10" t="s">
        <v>1</v>
      </c>
    </row>
    <row r="333" spans="2:40" ht="15" x14ac:dyDescent="0.2">
      <c r="B333" s="93">
        <f t="shared" si="3"/>
        <v>106</v>
      </c>
      <c r="C333" s="94">
        <v>20200508</v>
      </c>
      <c r="D333" s="94" t="s">
        <v>476</v>
      </c>
      <c r="E333" s="94" t="s">
        <v>407</v>
      </c>
      <c r="F333" s="95" t="s">
        <v>965</v>
      </c>
      <c r="G333" s="96">
        <v>1457196</v>
      </c>
      <c r="H333" s="96" t="s">
        <v>1</v>
      </c>
      <c r="I333" s="94" t="s">
        <v>966</v>
      </c>
      <c r="J333" s="96" t="s">
        <v>1</v>
      </c>
      <c r="K333" s="94" t="s">
        <v>478</v>
      </c>
      <c r="L333" s="94" t="s">
        <v>483</v>
      </c>
      <c r="M333" s="94" t="s">
        <v>483</v>
      </c>
      <c r="N333" s="94" t="s">
        <v>967</v>
      </c>
      <c r="O333" s="96" t="s">
        <v>1</v>
      </c>
      <c r="P333" s="96" t="s">
        <v>968</v>
      </c>
      <c r="Q333" s="94"/>
      <c r="R333" s="96" t="s">
        <v>1</v>
      </c>
      <c r="S333" s="94"/>
      <c r="T333" s="94"/>
      <c r="U333" s="94"/>
      <c r="V333" s="94"/>
      <c r="W333" s="94"/>
      <c r="X333" s="94"/>
      <c r="Y333" s="94"/>
      <c r="Z333" s="94"/>
      <c r="AA333" s="94"/>
      <c r="AB333" s="97"/>
      <c r="AC333" s="97">
        <v>43959</v>
      </c>
      <c r="AD333" s="97">
        <v>43965</v>
      </c>
      <c r="AE333" s="97"/>
      <c r="AF333" s="97"/>
      <c r="AG333" s="97"/>
      <c r="AH333" s="98"/>
      <c r="AI333" s="98"/>
      <c r="AJ333" s="98"/>
      <c r="AK333" s="97"/>
      <c r="AL333" s="94"/>
      <c r="AM333" s="94"/>
      <c r="AN333" s="99" t="s">
        <v>969</v>
      </c>
    </row>
    <row r="334" spans="2:40" ht="15" x14ac:dyDescent="0.2">
      <c r="B334" s="93">
        <f t="shared" si="3"/>
        <v>107</v>
      </c>
      <c r="C334" s="94">
        <v>20200508</v>
      </c>
      <c r="D334" s="94" t="s">
        <v>476</v>
      </c>
      <c r="E334" s="94" t="s">
        <v>407</v>
      </c>
      <c r="F334" s="95" t="s">
        <v>965</v>
      </c>
      <c r="G334" s="96">
        <v>1457196</v>
      </c>
      <c r="H334" s="96" t="s">
        <v>1</v>
      </c>
      <c r="I334" s="94" t="s">
        <v>64</v>
      </c>
      <c r="J334" s="96" t="s">
        <v>1</v>
      </c>
      <c r="K334" s="94" t="s">
        <v>478</v>
      </c>
      <c r="L334" s="94" t="s">
        <v>483</v>
      </c>
      <c r="M334" s="94" t="s">
        <v>483</v>
      </c>
      <c r="N334" s="94" t="s">
        <v>967</v>
      </c>
      <c r="O334" s="96" t="s">
        <v>1</v>
      </c>
      <c r="P334" s="96" t="s">
        <v>968</v>
      </c>
      <c r="Q334" s="94"/>
      <c r="R334" s="96" t="s">
        <v>1</v>
      </c>
      <c r="S334" s="94"/>
      <c r="T334" s="94"/>
      <c r="U334" s="94"/>
      <c r="V334" s="94"/>
      <c r="W334" s="94"/>
      <c r="X334" s="94"/>
      <c r="Y334" s="94"/>
      <c r="Z334" s="94"/>
      <c r="AA334" s="94"/>
      <c r="AB334" s="97"/>
      <c r="AC334" s="97">
        <v>43959</v>
      </c>
      <c r="AD334" s="97">
        <v>43965</v>
      </c>
      <c r="AE334" s="97"/>
      <c r="AF334" s="97"/>
      <c r="AG334" s="97"/>
      <c r="AH334" s="98"/>
      <c r="AI334" s="98"/>
      <c r="AJ334" s="98"/>
      <c r="AK334" s="97"/>
      <c r="AL334" s="100"/>
      <c r="AM334" s="100"/>
      <c r="AN334" s="99" t="s">
        <v>969</v>
      </c>
    </row>
    <row r="335" spans="2:40" ht="15" x14ac:dyDescent="0.2">
      <c r="B335" s="93">
        <f t="shared" si="3"/>
        <v>108</v>
      </c>
      <c r="C335" s="94">
        <v>20200508</v>
      </c>
      <c r="D335" s="94" t="s">
        <v>476</v>
      </c>
      <c r="E335" s="94" t="s">
        <v>407</v>
      </c>
      <c r="F335" s="95" t="s">
        <v>970</v>
      </c>
      <c r="G335" s="96">
        <v>1457196</v>
      </c>
      <c r="H335" s="96" t="s">
        <v>1</v>
      </c>
      <c r="I335" s="94" t="s">
        <v>971</v>
      </c>
      <c r="J335" s="96" t="s">
        <v>1</v>
      </c>
      <c r="K335" s="94" t="s">
        <v>478</v>
      </c>
      <c r="L335" s="94" t="s">
        <v>483</v>
      </c>
      <c r="M335" s="94" t="s">
        <v>483</v>
      </c>
      <c r="N335" s="94" t="s">
        <v>967</v>
      </c>
      <c r="O335" s="96" t="s">
        <v>1</v>
      </c>
      <c r="P335" s="96" t="s">
        <v>968</v>
      </c>
      <c r="Q335" s="94"/>
      <c r="R335" s="96" t="s">
        <v>1</v>
      </c>
      <c r="S335" s="94"/>
      <c r="T335" s="94"/>
      <c r="U335" s="94"/>
      <c r="V335" s="94"/>
      <c r="W335" s="94"/>
      <c r="X335" s="94"/>
      <c r="Y335" s="94"/>
      <c r="Z335" s="94"/>
      <c r="AA335" s="94"/>
      <c r="AB335" s="97"/>
      <c r="AC335" s="97">
        <v>43959</v>
      </c>
      <c r="AD335" s="97">
        <v>43965</v>
      </c>
      <c r="AE335" s="97">
        <v>43963</v>
      </c>
      <c r="AF335" s="97">
        <v>43963</v>
      </c>
      <c r="AG335" s="97" t="s">
        <v>482</v>
      </c>
      <c r="AH335" s="98">
        <v>1</v>
      </c>
      <c r="AI335" s="98">
        <v>1</v>
      </c>
      <c r="AJ335" s="98">
        <v>1</v>
      </c>
      <c r="AK335" s="97" t="s">
        <v>483</v>
      </c>
      <c r="AL335" s="100"/>
      <c r="AM335" s="100"/>
      <c r="AN335" s="99" t="s">
        <v>969</v>
      </c>
    </row>
    <row r="336" spans="2:40" ht="15" x14ac:dyDescent="0.2">
      <c r="B336" s="93">
        <f t="shared" si="3"/>
        <v>109</v>
      </c>
      <c r="C336" s="94">
        <v>20200508</v>
      </c>
      <c r="D336" s="94" t="s">
        <v>476</v>
      </c>
      <c r="E336" s="94" t="s">
        <v>407</v>
      </c>
      <c r="F336" s="95" t="s">
        <v>972</v>
      </c>
      <c r="G336" s="96">
        <v>1457196</v>
      </c>
      <c r="H336" s="96" t="s">
        <v>1</v>
      </c>
      <c r="I336" s="94" t="s">
        <v>973</v>
      </c>
      <c r="J336" s="96" t="s">
        <v>1</v>
      </c>
      <c r="K336" s="94" t="s">
        <v>478</v>
      </c>
      <c r="L336" s="94" t="s">
        <v>483</v>
      </c>
      <c r="M336" s="94" t="s">
        <v>483</v>
      </c>
      <c r="N336" s="94" t="s">
        <v>967</v>
      </c>
      <c r="O336" s="96" t="s">
        <v>1</v>
      </c>
      <c r="P336" s="96" t="s">
        <v>968</v>
      </c>
      <c r="Q336" s="94"/>
      <c r="R336" s="96" t="s">
        <v>1</v>
      </c>
      <c r="S336" s="94"/>
      <c r="T336" s="94"/>
      <c r="U336" s="94"/>
      <c r="V336" s="94"/>
      <c r="W336" s="94"/>
      <c r="X336" s="94"/>
      <c r="Y336" s="94"/>
      <c r="Z336" s="94"/>
      <c r="AA336" s="94"/>
      <c r="AB336" s="97"/>
      <c r="AC336" s="97">
        <v>43959</v>
      </c>
      <c r="AD336" s="97">
        <v>43965</v>
      </c>
      <c r="AE336" s="97"/>
      <c r="AF336" s="97"/>
      <c r="AG336" s="97"/>
      <c r="AH336" s="98"/>
      <c r="AI336" s="98"/>
      <c r="AJ336" s="98"/>
      <c r="AK336" s="97"/>
      <c r="AL336" s="100"/>
      <c r="AM336" s="100"/>
      <c r="AN336" s="99" t="s">
        <v>969</v>
      </c>
    </row>
    <row r="337" spans="2:40" ht="15" x14ac:dyDescent="0.2">
      <c r="B337" s="93">
        <f t="shared" si="3"/>
        <v>110</v>
      </c>
      <c r="C337" s="94">
        <v>20200508</v>
      </c>
      <c r="D337" s="94" t="s">
        <v>476</v>
      </c>
      <c r="E337" s="94" t="s">
        <v>407</v>
      </c>
      <c r="F337" s="95" t="s">
        <v>974</v>
      </c>
      <c r="G337" s="96">
        <v>1457196</v>
      </c>
      <c r="H337" s="96" t="s">
        <v>1</v>
      </c>
      <c r="I337" s="94" t="s">
        <v>337</v>
      </c>
      <c r="J337" s="96" t="s">
        <v>1</v>
      </c>
      <c r="K337" s="94" t="s">
        <v>478</v>
      </c>
      <c r="L337" s="94" t="s">
        <v>483</v>
      </c>
      <c r="M337" s="94" t="s">
        <v>483</v>
      </c>
      <c r="N337" s="94" t="s">
        <v>967</v>
      </c>
      <c r="O337" s="96" t="s">
        <v>1</v>
      </c>
      <c r="P337" s="96" t="s">
        <v>968</v>
      </c>
      <c r="Q337" s="94"/>
      <c r="R337" s="96" t="s">
        <v>1</v>
      </c>
      <c r="S337" s="94"/>
      <c r="T337" s="94"/>
      <c r="U337" s="94"/>
      <c r="V337" s="94"/>
      <c r="W337" s="94"/>
      <c r="X337" s="94"/>
      <c r="Y337" s="94"/>
      <c r="Z337" s="94"/>
      <c r="AA337" s="94"/>
      <c r="AB337" s="97"/>
      <c r="AC337" s="97">
        <v>43959</v>
      </c>
      <c r="AD337" s="97">
        <v>43965</v>
      </c>
      <c r="AE337" s="97"/>
      <c r="AF337" s="97"/>
      <c r="AG337" s="97"/>
      <c r="AH337" s="98"/>
      <c r="AI337" s="98"/>
      <c r="AJ337" s="98"/>
      <c r="AK337" s="97"/>
      <c r="AL337" s="100"/>
      <c r="AM337" s="100"/>
      <c r="AN337" s="99" t="s">
        <v>969</v>
      </c>
    </row>
    <row r="338" spans="2:40" ht="15" x14ac:dyDescent="0.2">
      <c r="B338" s="93">
        <f t="shared" si="3"/>
        <v>111</v>
      </c>
      <c r="C338" s="94">
        <v>20200508</v>
      </c>
      <c r="D338" s="94" t="s">
        <v>476</v>
      </c>
      <c r="E338" s="94" t="s">
        <v>407</v>
      </c>
      <c r="F338" s="95" t="s">
        <v>975</v>
      </c>
      <c r="G338" s="96">
        <v>1457196</v>
      </c>
      <c r="H338" s="96" t="s">
        <v>1</v>
      </c>
      <c r="I338" s="94" t="s">
        <v>338</v>
      </c>
      <c r="J338" s="96" t="s">
        <v>1</v>
      </c>
      <c r="K338" s="94" t="s">
        <v>478</v>
      </c>
      <c r="L338" s="94" t="s">
        <v>483</v>
      </c>
      <c r="M338" s="94" t="s">
        <v>483</v>
      </c>
      <c r="N338" s="94" t="s">
        <v>967</v>
      </c>
      <c r="O338" s="96" t="s">
        <v>1</v>
      </c>
      <c r="P338" s="96" t="s">
        <v>968</v>
      </c>
      <c r="Q338" s="94"/>
      <c r="R338" s="96" t="s">
        <v>1</v>
      </c>
      <c r="S338" s="94"/>
      <c r="T338" s="94"/>
      <c r="U338" s="94"/>
      <c r="V338" s="94"/>
      <c r="W338" s="94"/>
      <c r="X338" s="94"/>
      <c r="Y338" s="94"/>
      <c r="Z338" s="94"/>
      <c r="AA338" s="94"/>
      <c r="AB338" s="97"/>
      <c r="AC338" s="97">
        <v>43959</v>
      </c>
      <c r="AD338" s="97">
        <v>43965</v>
      </c>
      <c r="AE338" s="97"/>
      <c r="AF338" s="97"/>
      <c r="AG338" s="97"/>
      <c r="AH338" s="98"/>
      <c r="AI338" s="98"/>
      <c r="AJ338" s="98"/>
      <c r="AK338" s="97"/>
      <c r="AL338" s="94"/>
      <c r="AM338" s="94"/>
      <c r="AN338" s="99" t="s">
        <v>969</v>
      </c>
    </row>
    <row r="339" spans="2:40" ht="15" x14ac:dyDescent="0.25">
      <c r="B339" s="93">
        <f t="shared" si="3"/>
        <v>112</v>
      </c>
      <c r="C339" s="94">
        <v>20200508</v>
      </c>
      <c r="D339" s="94" t="s">
        <v>476</v>
      </c>
      <c r="E339" s="94" t="s">
        <v>407</v>
      </c>
      <c r="F339" s="95" t="s">
        <v>976</v>
      </c>
      <c r="G339" s="96">
        <v>1457196</v>
      </c>
      <c r="H339" s="96" t="s">
        <v>1</v>
      </c>
      <c r="I339" s="94" t="s">
        <v>259</v>
      </c>
      <c r="J339" s="96" t="s">
        <v>1</v>
      </c>
      <c r="K339" s="94" t="s">
        <v>478</v>
      </c>
      <c r="L339" s="94" t="s">
        <v>483</v>
      </c>
      <c r="M339" s="94" t="s">
        <v>483</v>
      </c>
      <c r="N339" s="94" t="s">
        <v>967</v>
      </c>
      <c r="O339" s="96" t="s">
        <v>1</v>
      </c>
      <c r="P339" s="96" t="s">
        <v>968</v>
      </c>
      <c r="Q339" s="94"/>
      <c r="R339" s="96" t="s">
        <v>1</v>
      </c>
      <c r="S339" s="94"/>
      <c r="T339" s="94"/>
      <c r="U339" s="94"/>
      <c r="V339" s="94"/>
      <c r="W339" s="94"/>
      <c r="X339" s="94"/>
      <c r="Y339" s="94"/>
      <c r="Z339" s="94"/>
      <c r="AA339" s="94"/>
      <c r="AB339" s="97"/>
      <c r="AC339" s="97">
        <v>43959</v>
      </c>
      <c r="AD339" s="97">
        <v>43965</v>
      </c>
      <c r="AE339" s="97">
        <v>43963</v>
      </c>
      <c r="AF339" s="97">
        <v>43963</v>
      </c>
      <c r="AG339" s="97" t="s">
        <v>489</v>
      </c>
      <c r="AH339" s="98">
        <v>0.99</v>
      </c>
      <c r="AI339" s="98">
        <v>0.97</v>
      </c>
      <c r="AJ339" s="98">
        <v>1</v>
      </c>
      <c r="AK339" s="97" t="s">
        <v>490</v>
      </c>
      <c r="AL339" s="101" t="s">
        <v>977</v>
      </c>
      <c r="AM339" s="94"/>
      <c r="AN339" s="99" t="s">
        <v>969</v>
      </c>
    </row>
    <row r="340" spans="2:40" ht="15" x14ac:dyDescent="0.2">
      <c r="B340" s="93">
        <f t="shared" si="3"/>
        <v>113</v>
      </c>
      <c r="C340" s="94">
        <v>20200508</v>
      </c>
      <c r="D340" s="94" t="s">
        <v>476</v>
      </c>
      <c r="E340" s="94" t="s">
        <v>407</v>
      </c>
      <c r="F340" s="95" t="s">
        <v>978</v>
      </c>
      <c r="G340" s="96">
        <v>1457196</v>
      </c>
      <c r="H340" s="96" t="s">
        <v>1</v>
      </c>
      <c r="I340" s="94" t="s">
        <v>237</v>
      </c>
      <c r="J340" s="96" t="s">
        <v>1</v>
      </c>
      <c r="K340" s="94" t="s">
        <v>478</v>
      </c>
      <c r="L340" s="94" t="s">
        <v>483</v>
      </c>
      <c r="M340" s="94" t="s">
        <v>483</v>
      </c>
      <c r="N340" s="94" t="s">
        <v>967</v>
      </c>
      <c r="O340" s="96" t="s">
        <v>1</v>
      </c>
      <c r="P340" s="96" t="s">
        <v>968</v>
      </c>
      <c r="Q340" s="94"/>
      <c r="R340" s="96" t="s">
        <v>1</v>
      </c>
      <c r="S340" s="94"/>
      <c r="T340" s="94"/>
      <c r="U340" s="94"/>
      <c r="V340" s="94"/>
      <c r="W340" s="94"/>
      <c r="X340" s="94"/>
      <c r="Y340" s="94"/>
      <c r="Z340" s="94"/>
      <c r="AA340" s="94"/>
      <c r="AB340" s="97"/>
      <c r="AC340" s="97">
        <v>43959</v>
      </c>
      <c r="AD340" s="97">
        <v>43965</v>
      </c>
      <c r="AE340" s="97"/>
      <c r="AF340" s="97"/>
      <c r="AG340" s="97"/>
      <c r="AH340" s="98"/>
      <c r="AI340" s="98"/>
      <c r="AJ340" s="98"/>
      <c r="AK340" s="97"/>
      <c r="AL340" s="94"/>
      <c r="AM340" s="94"/>
      <c r="AN340" s="99" t="s">
        <v>969</v>
      </c>
    </row>
    <row r="341" spans="2:40" ht="15" x14ac:dyDescent="0.2">
      <c r="B341" s="93">
        <f t="shared" si="3"/>
        <v>114</v>
      </c>
      <c r="C341" s="94">
        <v>20200508</v>
      </c>
      <c r="D341" s="94" t="s">
        <v>476</v>
      </c>
      <c r="E341" s="94" t="s">
        <v>407</v>
      </c>
      <c r="F341" s="95" t="s">
        <v>979</v>
      </c>
      <c r="G341" s="96">
        <v>1457196</v>
      </c>
      <c r="H341" s="96" t="s">
        <v>1</v>
      </c>
      <c r="I341" s="94" t="s">
        <v>357</v>
      </c>
      <c r="J341" s="96" t="s">
        <v>1</v>
      </c>
      <c r="K341" s="94" t="s">
        <v>478</v>
      </c>
      <c r="L341" s="94" t="s">
        <v>483</v>
      </c>
      <c r="M341" s="94" t="s">
        <v>483</v>
      </c>
      <c r="N341" s="94" t="s">
        <v>967</v>
      </c>
      <c r="O341" s="96" t="s">
        <v>1</v>
      </c>
      <c r="P341" s="96" t="s">
        <v>968</v>
      </c>
      <c r="Q341" s="94"/>
      <c r="R341" s="96" t="s">
        <v>1</v>
      </c>
      <c r="S341" s="94"/>
      <c r="T341" s="94"/>
      <c r="U341" s="94"/>
      <c r="V341" s="94"/>
      <c r="W341" s="94"/>
      <c r="X341" s="94"/>
      <c r="Y341" s="94"/>
      <c r="Z341" s="94"/>
      <c r="AA341" s="94"/>
      <c r="AB341" s="97"/>
      <c r="AC341" s="97">
        <v>43959</v>
      </c>
      <c r="AD341" s="97">
        <v>43965</v>
      </c>
      <c r="AE341" s="97"/>
      <c r="AF341" s="97"/>
      <c r="AG341" s="97"/>
      <c r="AH341" s="98"/>
      <c r="AI341" s="98"/>
      <c r="AJ341" s="98"/>
      <c r="AK341" s="97"/>
      <c r="AL341" s="94"/>
      <c r="AM341" s="94"/>
      <c r="AN341" s="99" t="s">
        <v>969</v>
      </c>
    </row>
    <row r="342" spans="2:40" ht="15" x14ac:dyDescent="0.2">
      <c r="B342" s="35">
        <f t="shared" si="3"/>
        <v>115</v>
      </c>
      <c r="C342" s="16">
        <v>20200508</v>
      </c>
      <c r="D342" s="10" t="s">
        <v>476</v>
      </c>
      <c r="E342" s="10" t="s">
        <v>407</v>
      </c>
      <c r="F342" s="43" t="s">
        <v>980</v>
      </c>
      <c r="G342" s="19">
        <v>1457196</v>
      </c>
      <c r="H342" s="61" t="s">
        <v>1</v>
      </c>
      <c r="I342" s="10" t="s">
        <v>278</v>
      </c>
      <c r="J342" s="61" t="s">
        <v>1</v>
      </c>
      <c r="K342" s="10" t="s">
        <v>478</v>
      </c>
      <c r="L342" s="10" t="s">
        <v>483</v>
      </c>
      <c r="M342" s="10" t="s">
        <v>483</v>
      </c>
      <c r="N342" s="10" t="s">
        <v>967</v>
      </c>
      <c r="O342" s="19" t="s">
        <v>1</v>
      </c>
      <c r="P342" s="19" t="s">
        <v>968</v>
      </c>
      <c r="Q342" s="21"/>
      <c r="R342" s="61" t="s">
        <v>1</v>
      </c>
      <c r="S342" s="10" t="s">
        <v>41</v>
      </c>
      <c r="T342" s="10"/>
      <c r="U342" s="10"/>
      <c r="V342" s="10">
        <v>107</v>
      </c>
      <c r="W342" s="10">
        <v>107</v>
      </c>
      <c r="X342" s="10">
        <v>107</v>
      </c>
      <c r="Y342" s="10">
        <f>ROUNDDOWN(W342/HLOOKUP(D342,[1]Table!$C$3:$D$4,2,0)*8,2)</f>
        <v>1.9</v>
      </c>
      <c r="Z342" s="10">
        <v>0.5</v>
      </c>
      <c r="AA342" s="10" t="s">
        <v>823</v>
      </c>
      <c r="AB342" s="22"/>
      <c r="AC342" s="22">
        <v>43959</v>
      </c>
      <c r="AD342" s="22">
        <v>43965</v>
      </c>
      <c r="AE342" s="22">
        <v>43962</v>
      </c>
      <c r="AF342" s="22">
        <v>43962</v>
      </c>
      <c r="AG342" s="22" t="s">
        <v>482</v>
      </c>
      <c r="AH342" s="24">
        <v>1</v>
      </c>
      <c r="AI342" s="24">
        <v>1</v>
      </c>
      <c r="AJ342" s="24">
        <v>1</v>
      </c>
      <c r="AK342" s="22" t="s">
        <v>483</v>
      </c>
      <c r="AL342" s="10" t="s">
        <v>1</v>
      </c>
      <c r="AM342" s="10" t="s">
        <v>1</v>
      </c>
      <c r="AN342" s="10" t="s">
        <v>1</v>
      </c>
    </row>
    <row r="343" spans="2:40" ht="15" x14ac:dyDescent="0.2">
      <c r="B343" s="93">
        <f t="shared" si="3"/>
        <v>116</v>
      </c>
      <c r="C343" s="94">
        <v>20200508</v>
      </c>
      <c r="D343" s="94" t="s">
        <v>476</v>
      </c>
      <c r="E343" s="94" t="s">
        <v>407</v>
      </c>
      <c r="F343" s="95" t="s">
        <v>981</v>
      </c>
      <c r="G343" s="96">
        <v>1457196</v>
      </c>
      <c r="H343" s="96" t="s">
        <v>1</v>
      </c>
      <c r="I343" s="94" t="s">
        <v>982</v>
      </c>
      <c r="J343" s="96" t="s">
        <v>1</v>
      </c>
      <c r="K343" s="94" t="s">
        <v>478</v>
      </c>
      <c r="L343" s="94" t="s">
        <v>483</v>
      </c>
      <c r="M343" s="94" t="s">
        <v>483</v>
      </c>
      <c r="N343" s="94" t="s">
        <v>967</v>
      </c>
      <c r="O343" s="96" t="s">
        <v>1</v>
      </c>
      <c r="P343" s="96" t="s">
        <v>968</v>
      </c>
      <c r="Q343" s="94"/>
      <c r="R343" s="96" t="s">
        <v>1</v>
      </c>
      <c r="S343" s="94"/>
      <c r="T343" s="94"/>
      <c r="U343" s="94"/>
      <c r="V343" s="94"/>
      <c r="W343" s="94"/>
      <c r="X343" s="94"/>
      <c r="Y343" s="94"/>
      <c r="Z343" s="94"/>
      <c r="AA343" s="94"/>
      <c r="AB343" s="97"/>
      <c r="AC343" s="97">
        <v>43959</v>
      </c>
      <c r="AD343" s="97">
        <v>43965</v>
      </c>
      <c r="AE343" s="97"/>
      <c r="AF343" s="97"/>
      <c r="AG343" s="97"/>
      <c r="AH343" s="98"/>
      <c r="AI343" s="98"/>
      <c r="AJ343" s="98"/>
      <c r="AK343" s="97"/>
      <c r="AL343" s="94"/>
      <c r="AM343" s="94"/>
      <c r="AN343" s="102" t="s">
        <v>969</v>
      </c>
    </row>
    <row r="344" spans="2:40" ht="15" x14ac:dyDescent="0.2">
      <c r="B344" s="93">
        <f t="shared" si="3"/>
        <v>117</v>
      </c>
      <c r="C344" s="94">
        <v>20200508</v>
      </c>
      <c r="D344" s="94" t="s">
        <v>476</v>
      </c>
      <c r="E344" s="94" t="s">
        <v>407</v>
      </c>
      <c r="F344" s="95" t="s">
        <v>983</v>
      </c>
      <c r="G344" s="96">
        <v>1457196</v>
      </c>
      <c r="H344" s="96" t="s">
        <v>1</v>
      </c>
      <c r="I344" s="94" t="s">
        <v>984</v>
      </c>
      <c r="J344" s="96" t="s">
        <v>1</v>
      </c>
      <c r="K344" s="94" t="s">
        <v>478</v>
      </c>
      <c r="L344" s="94" t="s">
        <v>483</v>
      </c>
      <c r="M344" s="94" t="s">
        <v>483</v>
      </c>
      <c r="N344" s="94" t="s">
        <v>967</v>
      </c>
      <c r="O344" s="96" t="s">
        <v>1</v>
      </c>
      <c r="P344" s="96" t="s">
        <v>968</v>
      </c>
      <c r="Q344" s="94"/>
      <c r="R344" s="96" t="s">
        <v>1</v>
      </c>
      <c r="S344" s="94"/>
      <c r="T344" s="94"/>
      <c r="U344" s="94"/>
      <c r="V344" s="94"/>
      <c r="W344" s="94"/>
      <c r="X344" s="94"/>
      <c r="Y344" s="94"/>
      <c r="Z344" s="94"/>
      <c r="AA344" s="94"/>
      <c r="AB344" s="97"/>
      <c r="AC344" s="97">
        <v>43959</v>
      </c>
      <c r="AD344" s="97">
        <v>43965</v>
      </c>
      <c r="AE344" s="97"/>
      <c r="AF344" s="97"/>
      <c r="AG344" s="97"/>
      <c r="AH344" s="98"/>
      <c r="AI344" s="98"/>
      <c r="AJ344" s="98"/>
      <c r="AK344" s="97"/>
      <c r="AL344" s="94"/>
      <c r="AM344" s="94"/>
      <c r="AN344" s="102" t="s">
        <v>969</v>
      </c>
    </row>
    <row r="345" spans="2:40" ht="15" x14ac:dyDescent="0.2">
      <c r="B345" s="93">
        <f t="shared" si="3"/>
        <v>118</v>
      </c>
      <c r="C345" s="94">
        <v>20200508</v>
      </c>
      <c r="D345" s="94" t="s">
        <v>476</v>
      </c>
      <c r="E345" s="94" t="s">
        <v>407</v>
      </c>
      <c r="F345" s="95" t="s">
        <v>985</v>
      </c>
      <c r="G345" s="96">
        <v>1457196</v>
      </c>
      <c r="H345" s="96" t="s">
        <v>1</v>
      </c>
      <c r="I345" s="94" t="s">
        <v>986</v>
      </c>
      <c r="J345" s="96" t="s">
        <v>1</v>
      </c>
      <c r="K345" s="94" t="s">
        <v>478</v>
      </c>
      <c r="L345" s="94" t="s">
        <v>483</v>
      </c>
      <c r="M345" s="94" t="s">
        <v>483</v>
      </c>
      <c r="N345" s="94" t="s">
        <v>967</v>
      </c>
      <c r="O345" s="96" t="s">
        <v>1</v>
      </c>
      <c r="P345" s="96" t="s">
        <v>968</v>
      </c>
      <c r="Q345" s="94"/>
      <c r="R345" s="96" t="s">
        <v>1</v>
      </c>
      <c r="S345" s="94"/>
      <c r="T345" s="94"/>
      <c r="U345" s="94"/>
      <c r="V345" s="94"/>
      <c r="W345" s="94"/>
      <c r="X345" s="94"/>
      <c r="Y345" s="94"/>
      <c r="Z345" s="94"/>
      <c r="AA345" s="94"/>
      <c r="AB345" s="97"/>
      <c r="AC345" s="97">
        <v>43959</v>
      </c>
      <c r="AD345" s="97">
        <v>43965</v>
      </c>
      <c r="AE345" s="97"/>
      <c r="AF345" s="97"/>
      <c r="AG345" s="97"/>
      <c r="AH345" s="98"/>
      <c r="AI345" s="98"/>
      <c r="AJ345" s="98"/>
      <c r="AK345" s="97"/>
      <c r="AL345" s="94"/>
      <c r="AM345" s="94"/>
      <c r="AN345" s="102" t="s">
        <v>969</v>
      </c>
    </row>
    <row r="346" spans="2:40" ht="15" x14ac:dyDescent="0.2">
      <c r="B346" s="93">
        <f t="shared" si="3"/>
        <v>119</v>
      </c>
      <c r="C346" s="94">
        <v>20200508</v>
      </c>
      <c r="D346" s="94" t="s">
        <v>476</v>
      </c>
      <c r="E346" s="94" t="s">
        <v>407</v>
      </c>
      <c r="F346" s="96" t="s">
        <v>987</v>
      </c>
      <c r="G346" s="96">
        <v>1457196</v>
      </c>
      <c r="H346" s="96" t="s">
        <v>1</v>
      </c>
      <c r="I346" s="94" t="s">
        <v>211</v>
      </c>
      <c r="J346" s="96" t="s">
        <v>1</v>
      </c>
      <c r="K346" s="94" t="s">
        <v>478</v>
      </c>
      <c r="L346" s="94" t="s">
        <v>483</v>
      </c>
      <c r="M346" s="94" t="s">
        <v>483</v>
      </c>
      <c r="N346" s="94" t="s">
        <v>967</v>
      </c>
      <c r="O346" s="96" t="s">
        <v>1</v>
      </c>
      <c r="P346" s="96" t="s">
        <v>968</v>
      </c>
      <c r="Q346" s="94"/>
      <c r="R346" s="96" t="s">
        <v>1</v>
      </c>
      <c r="S346" s="94"/>
      <c r="T346" s="94"/>
      <c r="U346" s="94"/>
      <c r="V346" s="94"/>
      <c r="W346" s="94"/>
      <c r="X346" s="94"/>
      <c r="Y346" s="94"/>
      <c r="Z346" s="94"/>
      <c r="AA346" s="94"/>
      <c r="AB346" s="97"/>
      <c r="AC346" s="97">
        <v>43959</v>
      </c>
      <c r="AD346" s="97">
        <v>43965</v>
      </c>
      <c r="AE346" s="97"/>
      <c r="AF346" s="97"/>
      <c r="AG346" s="97"/>
      <c r="AH346" s="98"/>
      <c r="AI346" s="98"/>
      <c r="AJ346" s="98"/>
      <c r="AK346" s="97"/>
      <c r="AL346" s="94"/>
      <c r="AM346" s="94"/>
      <c r="AN346" s="102" t="s">
        <v>969</v>
      </c>
    </row>
    <row r="347" spans="2:40" ht="15" x14ac:dyDescent="0.2">
      <c r="B347" s="93">
        <f t="shared" si="3"/>
        <v>120</v>
      </c>
      <c r="C347" s="94">
        <v>20200508</v>
      </c>
      <c r="D347" s="94" t="s">
        <v>476</v>
      </c>
      <c r="E347" s="94" t="s">
        <v>407</v>
      </c>
      <c r="F347" s="96" t="s">
        <v>988</v>
      </c>
      <c r="G347" s="96">
        <v>1457196</v>
      </c>
      <c r="H347" s="96" t="s">
        <v>1</v>
      </c>
      <c r="I347" s="94" t="s">
        <v>212</v>
      </c>
      <c r="J347" s="96" t="s">
        <v>1</v>
      </c>
      <c r="K347" s="94" t="s">
        <v>478</v>
      </c>
      <c r="L347" s="94" t="s">
        <v>483</v>
      </c>
      <c r="M347" s="94" t="s">
        <v>483</v>
      </c>
      <c r="N347" s="94" t="s">
        <v>967</v>
      </c>
      <c r="O347" s="96" t="s">
        <v>1</v>
      </c>
      <c r="P347" s="96" t="s">
        <v>968</v>
      </c>
      <c r="Q347" s="94"/>
      <c r="R347" s="96" t="s">
        <v>1</v>
      </c>
      <c r="S347" s="94"/>
      <c r="T347" s="94"/>
      <c r="U347" s="94"/>
      <c r="V347" s="94"/>
      <c r="W347" s="94"/>
      <c r="X347" s="94"/>
      <c r="Y347" s="94"/>
      <c r="Z347" s="94"/>
      <c r="AA347" s="94"/>
      <c r="AB347" s="97"/>
      <c r="AC347" s="97">
        <v>43959</v>
      </c>
      <c r="AD347" s="97">
        <v>43965</v>
      </c>
      <c r="AE347" s="97"/>
      <c r="AF347" s="97"/>
      <c r="AG347" s="97"/>
      <c r="AH347" s="98"/>
      <c r="AI347" s="98"/>
      <c r="AJ347" s="98"/>
      <c r="AK347" s="97"/>
      <c r="AL347" s="94"/>
      <c r="AM347" s="94"/>
      <c r="AN347" s="102" t="s">
        <v>969</v>
      </c>
    </row>
    <row r="348" spans="2:40" ht="15" x14ac:dyDescent="0.2">
      <c r="B348" s="35">
        <f t="shared" si="3"/>
        <v>121</v>
      </c>
      <c r="C348" s="16">
        <v>20200508</v>
      </c>
      <c r="D348" s="10" t="s">
        <v>476</v>
      </c>
      <c r="E348" s="10" t="s">
        <v>404</v>
      </c>
      <c r="F348" s="92" t="s">
        <v>989</v>
      </c>
      <c r="G348" s="19">
        <v>1457821</v>
      </c>
      <c r="H348" s="20" t="s">
        <v>1</v>
      </c>
      <c r="I348" s="10" t="s">
        <v>913</v>
      </c>
      <c r="J348" s="20" t="s">
        <v>1</v>
      </c>
      <c r="K348" s="10" t="s">
        <v>478</v>
      </c>
      <c r="L348" s="10" t="s">
        <v>919</v>
      </c>
      <c r="M348" s="10" t="s">
        <v>164</v>
      </c>
      <c r="N348" s="10" t="s">
        <v>657</v>
      </c>
      <c r="O348" s="19" t="s">
        <v>1</v>
      </c>
      <c r="P348" s="19" t="s">
        <v>793</v>
      </c>
      <c r="Q348" s="21"/>
      <c r="R348" s="20" t="s">
        <v>1</v>
      </c>
      <c r="S348" s="10" t="s">
        <v>4</v>
      </c>
      <c r="T348" s="10"/>
      <c r="U348" s="10"/>
      <c r="V348" s="10">
        <v>1009</v>
      </c>
      <c r="W348" s="10">
        <f t="shared" ref="W348:X371" si="8">V348</f>
        <v>1009</v>
      </c>
      <c r="X348" s="10">
        <f>W348</f>
        <v>1009</v>
      </c>
      <c r="Y348" s="10">
        <f>ROUNDDOWN(W348/HLOOKUP(D348,[1]Table!$C$3:$D$4,2,0)*8,2)</f>
        <v>17.93</v>
      </c>
      <c r="Z348" s="10">
        <v>5</v>
      </c>
      <c r="AA348" s="10" t="s">
        <v>481</v>
      </c>
      <c r="AB348" s="103">
        <v>43963</v>
      </c>
      <c r="AC348" s="103">
        <v>43959</v>
      </c>
      <c r="AD348" s="103">
        <v>43962</v>
      </c>
      <c r="AE348" s="22">
        <v>43963</v>
      </c>
      <c r="AF348" s="22">
        <v>43963</v>
      </c>
      <c r="AG348" s="22" t="s">
        <v>482</v>
      </c>
      <c r="AH348" s="24">
        <v>0.96</v>
      </c>
      <c r="AI348" s="24">
        <v>0.95</v>
      </c>
      <c r="AJ348" s="24">
        <v>1</v>
      </c>
      <c r="AK348" s="22" t="s">
        <v>490</v>
      </c>
      <c r="AL348" s="10" t="s">
        <v>990</v>
      </c>
      <c r="AM348" s="10"/>
      <c r="AN348" s="10" t="s">
        <v>991</v>
      </c>
    </row>
    <row r="349" spans="2:40" ht="15" x14ac:dyDescent="0.2">
      <c r="B349" s="35">
        <f t="shared" si="3"/>
        <v>122</v>
      </c>
      <c r="C349" s="16">
        <v>20200508</v>
      </c>
      <c r="D349" s="10" t="s">
        <v>476</v>
      </c>
      <c r="E349" s="10" t="s">
        <v>404</v>
      </c>
      <c r="F349" s="92" t="s">
        <v>992</v>
      </c>
      <c r="G349" s="19">
        <v>1458024</v>
      </c>
      <c r="H349" s="20" t="s">
        <v>1</v>
      </c>
      <c r="I349" s="10" t="s">
        <v>993</v>
      </c>
      <c r="J349" s="20" t="s">
        <v>1</v>
      </c>
      <c r="K349" s="10" t="s">
        <v>478</v>
      </c>
      <c r="L349" s="10" t="s">
        <v>919</v>
      </c>
      <c r="M349" s="10" t="s">
        <v>164</v>
      </c>
      <c r="N349" s="10" t="s">
        <v>657</v>
      </c>
      <c r="O349" s="19" t="s">
        <v>1</v>
      </c>
      <c r="P349" s="19" t="s">
        <v>793</v>
      </c>
      <c r="Q349" s="21"/>
      <c r="R349" s="20" t="s">
        <v>1</v>
      </c>
      <c r="S349" s="10" t="s">
        <v>40</v>
      </c>
      <c r="T349" s="10"/>
      <c r="U349" s="10"/>
      <c r="V349" s="10">
        <v>90</v>
      </c>
      <c r="W349" s="10">
        <f t="shared" si="8"/>
        <v>90</v>
      </c>
      <c r="X349" s="10">
        <f t="shared" si="8"/>
        <v>90</v>
      </c>
      <c r="Y349" s="10">
        <f>ROUNDDOWN(W349/HLOOKUP(D349,[1]Table!$C$3:$D$4,2,0)*8,2)</f>
        <v>1.6</v>
      </c>
      <c r="Z349" s="10">
        <v>0.15</v>
      </c>
      <c r="AA349" s="10" t="s">
        <v>481</v>
      </c>
      <c r="AB349" s="103">
        <v>43963</v>
      </c>
      <c r="AC349" s="103">
        <v>43959</v>
      </c>
      <c r="AD349" s="103">
        <v>43962</v>
      </c>
      <c r="AE349" s="22">
        <v>43963</v>
      </c>
      <c r="AF349" s="22">
        <v>43963</v>
      </c>
      <c r="AG349" s="22" t="s">
        <v>482</v>
      </c>
      <c r="AH349" s="24">
        <v>1</v>
      </c>
      <c r="AI349" s="24">
        <v>1</v>
      </c>
      <c r="AJ349" s="24">
        <v>1</v>
      </c>
      <c r="AK349" s="22" t="s">
        <v>483</v>
      </c>
      <c r="AL349" s="10" t="s">
        <v>1</v>
      </c>
      <c r="AM349" s="10" t="s">
        <v>1</v>
      </c>
      <c r="AN349" s="10" t="s">
        <v>994</v>
      </c>
    </row>
    <row r="350" spans="2:40" ht="15" x14ac:dyDescent="0.2">
      <c r="B350" s="35">
        <f t="shared" si="3"/>
        <v>123</v>
      </c>
      <c r="C350" s="16">
        <v>20200508</v>
      </c>
      <c r="D350" s="10" t="s">
        <v>476</v>
      </c>
      <c r="E350" s="10" t="s">
        <v>408</v>
      </c>
      <c r="F350" s="43" t="s">
        <v>995</v>
      </c>
      <c r="G350" s="19">
        <v>1413974</v>
      </c>
      <c r="H350" s="20" t="s">
        <v>1</v>
      </c>
      <c r="I350" s="10" t="s">
        <v>996</v>
      </c>
      <c r="J350" s="20" t="s">
        <v>1</v>
      </c>
      <c r="K350" s="10" t="s">
        <v>478</v>
      </c>
      <c r="L350" s="10" t="s">
        <v>997</v>
      </c>
      <c r="M350" s="10" t="s">
        <v>167</v>
      </c>
      <c r="N350" s="10" t="s">
        <v>629</v>
      </c>
      <c r="O350" s="19" t="s">
        <v>1</v>
      </c>
      <c r="P350" s="19" t="s">
        <v>630</v>
      </c>
      <c r="Q350" s="21"/>
      <c r="R350" s="20" t="s">
        <v>1</v>
      </c>
      <c r="S350" s="10" t="s">
        <v>40</v>
      </c>
      <c r="T350" s="10"/>
      <c r="U350" s="10"/>
      <c r="V350" s="10">
        <v>36</v>
      </c>
      <c r="W350" s="10">
        <f t="shared" si="8"/>
        <v>36</v>
      </c>
      <c r="X350" s="10">
        <f t="shared" si="8"/>
        <v>36</v>
      </c>
      <c r="Y350" s="10">
        <f>ROUNDDOWN(W350/HLOOKUP(D350,[1]Table!$C$3:$D$4,2,0)*8,2)</f>
        <v>0.64</v>
      </c>
      <c r="Z350" s="10">
        <v>0.12</v>
      </c>
      <c r="AA350" s="10" t="s">
        <v>481</v>
      </c>
      <c r="AB350" s="103">
        <v>43963</v>
      </c>
      <c r="AC350" s="103">
        <v>43959</v>
      </c>
      <c r="AD350" s="103">
        <v>43962</v>
      </c>
      <c r="AE350" s="22">
        <v>43963</v>
      </c>
      <c r="AF350" s="22">
        <v>43963</v>
      </c>
      <c r="AG350" s="22" t="s">
        <v>482</v>
      </c>
      <c r="AH350" s="24">
        <v>1</v>
      </c>
      <c r="AI350" s="24">
        <v>1</v>
      </c>
      <c r="AJ350" s="24">
        <v>1</v>
      </c>
      <c r="AK350" s="22" t="s">
        <v>483</v>
      </c>
      <c r="AL350" s="10" t="s">
        <v>1</v>
      </c>
      <c r="AM350" s="10" t="s">
        <v>1</v>
      </c>
      <c r="AN350" s="10" t="s">
        <v>1</v>
      </c>
    </row>
    <row r="351" spans="2:40" ht="15" x14ac:dyDescent="0.2">
      <c r="B351" s="35">
        <f t="shared" si="3"/>
        <v>124</v>
      </c>
      <c r="C351" s="16">
        <v>20200508</v>
      </c>
      <c r="D351" s="10" t="s">
        <v>476</v>
      </c>
      <c r="E351" s="10" t="s">
        <v>408</v>
      </c>
      <c r="F351" s="43" t="s">
        <v>998</v>
      </c>
      <c r="G351" s="19">
        <v>1413974</v>
      </c>
      <c r="H351" s="20" t="s">
        <v>1</v>
      </c>
      <c r="I351" s="10" t="s">
        <v>151</v>
      </c>
      <c r="J351" s="20" t="s">
        <v>1</v>
      </c>
      <c r="K351" s="10" t="s">
        <v>478</v>
      </c>
      <c r="L351" s="10" t="s">
        <v>997</v>
      </c>
      <c r="M351" s="10" t="s">
        <v>167</v>
      </c>
      <c r="N351" s="10" t="s">
        <v>629</v>
      </c>
      <c r="O351" s="19" t="s">
        <v>1</v>
      </c>
      <c r="P351" s="19" t="s">
        <v>630</v>
      </c>
      <c r="Q351" s="21"/>
      <c r="R351" s="20" t="s">
        <v>1</v>
      </c>
      <c r="S351" s="10" t="s">
        <v>41</v>
      </c>
      <c r="T351" s="10"/>
      <c r="U351" s="10"/>
      <c r="V351" s="10">
        <v>236</v>
      </c>
      <c r="W351" s="10">
        <f t="shared" si="8"/>
        <v>236</v>
      </c>
      <c r="X351" s="10">
        <f t="shared" si="8"/>
        <v>236</v>
      </c>
      <c r="Y351" s="10">
        <f>ROUNDDOWN(W351/HLOOKUP(D351,[1]Table!$C$3:$D$4,2,0)*8,2)</f>
        <v>4.1900000000000004</v>
      </c>
      <c r="Z351" s="10">
        <v>0.5</v>
      </c>
      <c r="AA351" s="10" t="s">
        <v>481</v>
      </c>
      <c r="AB351" s="103">
        <v>43963</v>
      </c>
      <c r="AC351" s="103">
        <v>43959</v>
      </c>
      <c r="AD351" s="103">
        <v>43962</v>
      </c>
      <c r="AE351" s="22">
        <v>43963</v>
      </c>
      <c r="AF351" s="22">
        <v>43963</v>
      </c>
      <c r="AG351" s="22" t="s">
        <v>482</v>
      </c>
      <c r="AH351" s="24">
        <v>1</v>
      </c>
      <c r="AI351" s="24">
        <v>1</v>
      </c>
      <c r="AJ351" s="24">
        <v>1</v>
      </c>
      <c r="AK351" s="22" t="s">
        <v>483</v>
      </c>
      <c r="AL351" s="10" t="s">
        <v>1</v>
      </c>
      <c r="AM351" s="10" t="s">
        <v>1</v>
      </c>
      <c r="AN351" s="10" t="s">
        <v>1</v>
      </c>
    </row>
    <row r="352" spans="2:40" ht="15" x14ac:dyDescent="0.2">
      <c r="B352" s="35">
        <f t="shared" si="3"/>
        <v>125</v>
      </c>
      <c r="C352" s="16">
        <v>20200508</v>
      </c>
      <c r="D352" s="10" t="s">
        <v>476</v>
      </c>
      <c r="E352" s="10" t="s">
        <v>409</v>
      </c>
      <c r="F352" s="43" t="s">
        <v>999</v>
      </c>
      <c r="G352" s="19">
        <v>1458032</v>
      </c>
      <c r="H352" s="20" t="s">
        <v>1</v>
      </c>
      <c r="I352" s="10" t="s">
        <v>1000</v>
      </c>
      <c r="J352" s="20" t="s">
        <v>1</v>
      </c>
      <c r="K352" s="10" t="s">
        <v>478</v>
      </c>
      <c r="L352" s="10" t="s">
        <v>919</v>
      </c>
      <c r="M352" s="10" t="s">
        <v>158</v>
      </c>
      <c r="N352" s="10" t="s">
        <v>657</v>
      </c>
      <c r="O352" s="19" t="s">
        <v>1</v>
      </c>
      <c r="P352" s="19" t="s">
        <v>779</v>
      </c>
      <c r="Q352" s="21"/>
      <c r="R352" s="20" t="s">
        <v>1</v>
      </c>
      <c r="S352" s="10" t="s">
        <v>40</v>
      </c>
      <c r="T352" s="10"/>
      <c r="U352" s="10"/>
      <c r="V352" s="10">
        <v>63</v>
      </c>
      <c r="W352" s="10">
        <f t="shared" si="8"/>
        <v>63</v>
      </c>
      <c r="X352" s="10">
        <f t="shared" si="8"/>
        <v>63</v>
      </c>
      <c r="Y352" s="10">
        <f>ROUNDDOWN(W352/HLOOKUP(D352,[1]Table!$C$3:$D$4,2,0)*8,2)</f>
        <v>1.1200000000000001</v>
      </c>
      <c r="Z352" s="10">
        <v>0.12</v>
      </c>
      <c r="AA352" s="10" t="s">
        <v>481</v>
      </c>
      <c r="AB352" s="103">
        <v>43963</v>
      </c>
      <c r="AC352" s="103">
        <v>43959</v>
      </c>
      <c r="AD352" s="103">
        <v>43962</v>
      </c>
      <c r="AE352" s="22">
        <v>43963</v>
      </c>
      <c r="AF352" s="22">
        <v>43963</v>
      </c>
      <c r="AG352" s="22" t="s">
        <v>482</v>
      </c>
      <c r="AH352" s="24">
        <v>1</v>
      </c>
      <c r="AI352" s="24">
        <v>1</v>
      </c>
      <c r="AJ352" s="24">
        <v>1</v>
      </c>
      <c r="AK352" s="22" t="s">
        <v>483</v>
      </c>
      <c r="AL352" s="10" t="s">
        <v>1</v>
      </c>
      <c r="AM352" s="10" t="s">
        <v>1</v>
      </c>
      <c r="AN352" s="10" t="s">
        <v>1</v>
      </c>
    </row>
    <row r="353" spans="2:40" ht="15" x14ac:dyDescent="0.2">
      <c r="B353" s="29">
        <f t="shared" si="3"/>
        <v>126</v>
      </c>
      <c r="C353" s="16">
        <v>20200511</v>
      </c>
      <c r="D353" s="10" t="s">
        <v>797</v>
      </c>
      <c r="E353" s="10" t="s">
        <v>1001</v>
      </c>
      <c r="F353" s="19" t="s">
        <v>1</v>
      </c>
      <c r="G353" s="19">
        <v>1460003</v>
      </c>
      <c r="H353" s="20" t="s">
        <v>1</v>
      </c>
      <c r="I353" s="10" t="s">
        <v>1002</v>
      </c>
      <c r="J353" s="20" t="s">
        <v>1</v>
      </c>
      <c r="K353" s="10" t="s">
        <v>478</v>
      </c>
      <c r="L353" s="10" t="s">
        <v>483</v>
      </c>
      <c r="M353" s="10" t="s">
        <v>483</v>
      </c>
      <c r="N353" s="10" t="s">
        <v>1003</v>
      </c>
      <c r="O353" s="19" t="s">
        <v>1004</v>
      </c>
      <c r="P353" s="19" t="s">
        <v>1005</v>
      </c>
      <c r="Q353" s="21"/>
      <c r="R353" s="20" t="s">
        <v>1</v>
      </c>
      <c r="S353" s="10" t="s">
        <v>40</v>
      </c>
      <c r="T353" s="10"/>
      <c r="U353" s="10"/>
      <c r="V353" s="10">
        <v>23</v>
      </c>
      <c r="W353" s="10">
        <f t="shared" si="8"/>
        <v>23</v>
      </c>
      <c r="X353" s="10"/>
      <c r="Y353" s="10">
        <f>ROUNDDOWN(W353/HLOOKUP(D353,[1]Table!$C$3:$D$4,2,0)*8,2)</f>
        <v>1.41</v>
      </c>
      <c r="Z353" s="10"/>
      <c r="AA353" s="10"/>
      <c r="AB353" s="22"/>
      <c r="AC353" s="22">
        <v>43962</v>
      </c>
      <c r="AD353" s="22">
        <v>43966</v>
      </c>
      <c r="AE353" s="22"/>
      <c r="AF353" s="22"/>
      <c r="AG353" s="22"/>
      <c r="AH353" s="24"/>
      <c r="AI353" s="24"/>
      <c r="AJ353" s="24"/>
      <c r="AK353" s="22"/>
      <c r="AL353" s="10" t="s">
        <v>1</v>
      </c>
      <c r="AM353" s="10" t="s">
        <v>1</v>
      </c>
      <c r="AN353" s="10" t="s">
        <v>1</v>
      </c>
    </row>
    <row r="354" spans="2:40" ht="15" x14ac:dyDescent="0.2">
      <c r="B354" s="29">
        <f t="shared" si="3"/>
        <v>127</v>
      </c>
      <c r="C354" s="16">
        <v>20200511</v>
      </c>
      <c r="D354" s="10" t="s">
        <v>797</v>
      </c>
      <c r="E354" s="10" t="s">
        <v>1001</v>
      </c>
      <c r="F354" s="19" t="s">
        <v>1</v>
      </c>
      <c r="G354" s="19">
        <v>1460003</v>
      </c>
      <c r="H354" s="20" t="s">
        <v>1</v>
      </c>
      <c r="I354" s="10" t="s">
        <v>1006</v>
      </c>
      <c r="J354" s="20" t="s">
        <v>1</v>
      </c>
      <c r="K354" s="10" t="s">
        <v>478</v>
      </c>
      <c r="L354" s="10" t="s">
        <v>483</v>
      </c>
      <c r="M354" s="10" t="s">
        <v>483</v>
      </c>
      <c r="N354" s="10" t="s">
        <v>1003</v>
      </c>
      <c r="O354" s="19" t="s">
        <v>1004</v>
      </c>
      <c r="P354" s="19" t="s">
        <v>1005</v>
      </c>
      <c r="Q354" s="21"/>
      <c r="R354" s="20" t="s">
        <v>1</v>
      </c>
      <c r="S354" s="10" t="s">
        <v>40</v>
      </c>
      <c r="T354" s="10"/>
      <c r="U354" s="10"/>
      <c r="V354" s="10">
        <v>23</v>
      </c>
      <c r="W354" s="10">
        <f t="shared" si="8"/>
        <v>23</v>
      </c>
      <c r="X354" s="10"/>
      <c r="Y354" s="10">
        <f>ROUNDDOWN(W354/HLOOKUP(D354,[1]Table!$C$3:$D$4,2,0)*8,2)</f>
        <v>1.41</v>
      </c>
      <c r="Z354" s="10"/>
      <c r="AA354" s="10"/>
      <c r="AB354" s="22"/>
      <c r="AC354" s="22">
        <v>43962</v>
      </c>
      <c r="AD354" s="22">
        <v>43966</v>
      </c>
      <c r="AE354" s="22"/>
      <c r="AF354" s="22"/>
      <c r="AG354" s="22"/>
      <c r="AH354" s="24"/>
      <c r="AI354" s="24" t="s">
        <v>1007</v>
      </c>
      <c r="AJ354" s="24"/>
      <c r="AK354" s="22"/>
      <c r="AL354" s="10" t="s">
        <v>1</v>
      </c>
      <c r="AM354" s="10" t="s">
        <v>1</v>
      </c>
      <c r="AN354" s="10" t="s">
        <v>1</v>
      </c>
    </row>
    <row r="355" spans="2:40" ht="15" x14ac:dyDescent="0.2">
      <c r="B355" s="29">
        <f t="shared" si="3"/>
        <v>128</v>
      </c>
      <c r="C355" s="16">
        <v>20200511</v>
      </c>
      <c r="D355" s="10" t="s">
        <v>797</v>
      </c>
      <c r="E355" s="10" t="s">
        <v>1001</v>
      </c>
      <c r="F355" s="19" t="s">
        <v>1</v>
      </c>
      <c r="G355" s="19">
        <v>1460003</v>
      </c>
      <c r="H355" s="20" t="s">
        <v>1</v>
      </c>
      <c r="I355" s="10" t="s">
        <v>1008</v>
      </c>
      <c r="J355" s="20" t="s">
        <v>1</v>
      </c>
      <c r="K355" s="10" t="s">
        <v>478</v>
      </c>
      <c r="L355" s="10" t="s">
        <v>483</v>
      </c>
      <c r="M355" s="10" t="s">
        <v>483</v>
      </c>
      <c r="N355" s="10" t="s">
        <v>1003</v>
      </c>
      <c r="O355" s="19" t="s">
        <v>1009</v>
      </c>
      <c r="P355" s="19" t="s">
        <v>1005</v>
      </c>
      <c r="Q355" s="21"/>
      <c r="R355" s="20" t="s">
        <v>1</v>
      </c>
      <c r="S355" s="10" t="s">
        <v>40</v>
      </c>
      <c r="T355" s="10"/>
      <c r="U355" s="10"/>
      <c r="V355" s="10">
        <v>51</v>
      </c>
      <c r="W355" s="10">
        <f t="shared" si="8"/>
        <v>51</v>
      </c>
      <c r="X355" s="10"/>
      <c r="Y355" s="10">
        <f>ROUNDDOWN(W355/HLOOKUP(D355,[1]Table!$C$3:$D$4,2,0)*8,2)</f>
        <v>3.13</v>
      </c>
      <c r="Z355" s="10"/>
      <c r="AA355" s="10"/>
      <c r="AB355" s="22"/>
      <c r="AC355" s="22">
        <v>43962</v>
      </c>
      <c r="AD355" s="22">
        <v>43966</v>
      </c>
      <c r="AE355" s="22"/>
      <c r="AF355" s="22"/>
      <c r="AG355" s="22"/>
      <c r="AH355" s="24"/>
      <c r="AI355" s="24"/>
      <c r="AJ355" s="24"/>
      <c r="AK355" s="22"/>
      <c r="AL355" s="10" t="s">
        <v>1</v>
      </c>
      <c r="AM355" s="10" t="s">
        <v>1</v>
      </c>
      <c r="AN355" s="10" t="s">
        <v>1</v>
      </c>
    </row>
    <row r="356" spans="2:40" ht="15" x14ac:dyDescent="0.2">
      <c r="B356" s="29">
        <f t="shared" si="3"/>
        <v>129</v>
      </c>
      <c r="C356" s="16">
        <v>20200511</v>
      </c>
      <c r="D356" s="10" t="s">
        <v>476</v>
      </c>
      <c r="E356" s="10" t="s">
        <v>1010</v>
      </c>
      <c r="F356" s="43" t="s">
        <v>1011</v>
      </c>
      <c r="G356" s="19">
        <v>1461444</v>
      </c>
      <c r="H356" s="20" t="s">
        <v>1</v>
      </c>
      <c r="I356" s="10" t="s">
        <v>1012</v>
      </c>
      <c r="J356" s="20" t="s">
        <v>1</v>
      </c>
      <c r="K356" s="10" t="s">
        <v>478</v>
      </c>
      <c r="L356" s="10" t="s">
        <v>483</v>
      </c>
      <c r="M356" s="10" t="s">
        <v>1013</v>
      </c>
      <c r="N356" s="10" t="s">
        <v>1014</v>
      </c>
      <c r="O356" s="19" t="s">
        <v>1</v>
      </c>
      <c r="P356" s="19" t="s">
        <v>1015</v>
      </c>
      <c r="Q356" s="21"/>
      <c r="R356" s="20" t="s">
        <v>1</v>
      </c>
      <c r="S356" s="10" t="s">
        <v>41</v>
      </c>
      <c r="T356" s="10"/>
      <c r="U356" s="10"/>
      <c r="V356" s="10">
        <v>134</v>
      </c>
      <c r="W356" s="10">
        <f t="shared" si="8"/>
        <v>134</v>
      </c>
      <c r="X356" s="10"/>
      <c r="Y356" s="10">
        <f>ROUNDDOWN(W356/HLOOKUP(D356,[1]Table!$C$3:$D$4,2,0)*8,2)</f>
        <v>2.38</v>
      </c>
      <c r="Z356" s="10"/>
      <c r="AA356" s="10"/>
      <c r="AB356" s="22"/>
      <c r="AC356" s="22">
        <v>43962</v>
      </c>
      <c r="AD356" s="22">
        <v>43966</v>
      </c>
      <c r="AE356" s="22"/>
      <c r="AF356" s="22"/>
      <c r="AG356" s="22"/>
      <c r="AH356" s="24"/>
      <c r="AI356" s="24"/>
      <c r="AJ356" s="24"/>
      <c r="AK356" s="22"/>
      <c r="AL356" s="10" t="s">
        <v>1</v>
      </c>
      <c r="AM356" s="10" t="s">
        <v>1</v>
      </c>
      <c r="AN356" s="10" t="s">
        <v>1</v>
      </c>
    </row>
    <row r="357" spans="2:40" ht="15" x14ac:dyDescent="0.2">
      <c r="B357" s="29">
        <f t="shared" ref="B357:B371" si="9">B356+1</f>
        <v>130</v>
      </c>
      <c r="C357" s="16">
        <v>20200511</v>
      </c>
      <c r="D357" s="10" t="s">
        <v>476</v>
      </c>
      <c r="E357" s="10" t="s">
        <v>1010</v>
      </c>
      <c r="F357" s="43" t="s">
        <v>1016</v>
      </c>
      <c r="G357" s="19">
        <v>1461444</v>
      </c>
      <c r="H357" s="20" t="s">
        <v>1</v>
      </c>
      <c r="I357" s="10" t="s">
        <v>1017</v>
      </c>
      <c r="J357" s="20" t="s">
        <v>1</v>
      </c>
      <c r="K357" s="10" t="s">
        <v>478</v>
      </c>
      <c r="L357" s="10" t="s">
        <v>483</v>
      </c>
      <c r="M357" s="10" t="s">
        <v>1013</v>
      </c>
      <c r="N357" s="10" t="s">
        <v>1014</v>
      </c>
      <c r="O357" s="19" t="s">
        <v>1</v>
      </c>
      <c r="P357" s="19" t="s">
        <v>1015</v>
      </c>
      <c r="Q357" s="21"/>
      <c r="R357" s="20" t="s">
        <v>1</v>
      </c>
      <c r="S357" s="10" t="s">
        <v>41</v>
      </c>
      <c r="T357" s="10"/>
      <c r="U357" s="10"/>
      <c r="V357" s="10">
        <v>200</v>
      </c>
      <c r="W357" s="10">
        <f t="shared" si="8"/>
        <v>200</v>
      </c>
      <c r="X357" s="10"/>
      <c r="Y357" s="10">
        <f>ROUNDDOWN(W357/HLOOKUP(D357,[1]Table!$C$3:$D$4,2,0)*8,2)</f>
        <v>3.55</v>
      </c>
      <c r="Z357" s="10"/>
      <c r="AA357" s="10"/>
      <c r="AB357" s="22"/>
      <c r="AC357" s="22">
        <v>43962</v>
      </c>
      <c r="AD357" s="22">
        <v>43966</v>
      </c>
      <c r="AE357" s="22"/>
      <c r="AF357" s="22"/>
      <c r="AG357" s="22"/>
      <c r="AH357" s="24"/>
      <c r="AI357" s="24"/>
      <c r="AJ357" s="24"/>
      <c r="AK357" s="22"/>
      <c r="AL357" s="10" t="s">
        <v>1</v>
      </c>
      <c r="AM357" s="10" t="s">
        <v>1</v>
      </c>
      <c r="AN357" s="10" t="s">
        <v>1</v>
      </c>
    </row>
    <row r="358" spans="2:40" ht="15" x14ac:dyDescent="0.2">
      <c r="B358" s="29">
        <f t="shared" si="9"/>
        <v>131</v>
      </c>
      <c r="C358" s="16">
        <v>20200511</v>
      </c>
      <c r="D358" s="10" t="s">
        <v>476</v>
      </c>
      <c r="E358" s="10" t="s">
        <v>1010</v>
      </c>
      <c r="F358" s="43" t="s">
        <v>1018</v>
      </c>
      <c r="G358" s="19">
        <v>1461444</v>
      </c>
      <c r="H358" s="20" t="s">
        <v>1</v>
      </c>
      <c r="I358" s="10" t="s">
        <v>206</v>
      </c>
      <c r="J358" s="20" t="s">
        <v>1</v>
      </c>
      <c r="K358" s="10" t="s">
        <v>478</v>
      </c>
      <c r="L358" s="10" t="s">
        <v>483</v>
      </c>
      <c r="M358" s="10" t="s">
        <v>1013</v>
      </c>
      <c r="N358" s="10" t="s">
        <v>1014</v>
      </c>
      <c r="O358" s="19" t="s">
        <v>1</v>
      </c>
      <c r="P358" s="19" t="s">
        <v>1015</v>
      </c>
      <c r="Q358" s="21"/>
      <c r="R358" s="20" t="s">
        <v>1</v>
      </c>
      <c r="S358" s="10" t="s">
        <v>41</v>
      </c>
      <c r="T358" s="10"/>
      <c r="U358" s="10"/>
      <c r="V358" s="10">
        <v>145</v>
      </c>
      <c r="W358" s="10">
        <f t="shared" si="8"/>
        <v>145</v>
      </c>
      <c r="X358" s="10"/>
      <c r="Y358" s="10">
        <f>ROUNDDOWN(W358/HLOOKUP(D358,[1]Table!$C$3:$D$4,2,0)*8,2)</f>
        <v>2.57</v>
      </c>
      <c r="Z358" s="10"/>
      <c r="AA358" s="10"/>
      <c r="AB358" s="22"/>
      <c r="AC358" s="22">
        <v>43962</v>
      </c>
      <c r="AD358" s="22">
        <v>43966</v>
      </c>
      <c r="AE358" s="22"/>
      <c r="AF358" s="22"/>
      <c r="AG358" s="22"/>
      <c r="AH358" s="24"/>
      <c r="AI358" s="24"/>
      <c r="AJ358" s="24"/>
      <c r="AK358" s="22"/>
      <c r="AL358" s="10" t="s">
        <v>1</v>
      </c>
      <c r="AM358" s="10" t="s">
        <v>1</v>
      </c>
      <c r="AN358" s="10" t="s">
        <v>1</v>
      </c>
    </row>
    <row r="359" spans="2:40" ht="15" x14ac:dyDescent="0.2">
      <c r="B359" s="29">
        <f t="shared" si="9"/>
        <v>132</v>
      </c>
      <c r="C359" s="16">
        <v>20200511</v>
      </c>
      <c r="D359" s="10" t="s">
        <v>476</v>
      </c>
      <c r="E359" s="10" t="s">
        <v>1010</v>
      </c>
      <c r="F359" s="43" t="s">
        <v>1019</v>
      </c>
      <c r="G359" s="19">
        <v>1461444</v>
      </c>
      <c r="H359" s="20" t="s">
        <v>1</v>
      </c>
      <c r="I359" s="10" t="s">
        <v>190</v>
      </c>
      <c r="J359" s="20" t="s">
        <v>1</v>
      </c>
      <c r="K359" s="10" t="s">
        <v>478</v>
      </c>
      <c r="L359" s="10" t="s">
        <v>483</v>
      </c>
      <c r="M359" s="10" t="s">
        <v>1013</v>
      </c>
      <c r="N359" s="10" t="s">
        <v>1014</v>
      </c>
      <c r="O359" s="19" t="s">
        <v>1</v>
      </c>
      <c r="P359" s="19" t="s">
        <v>1015</v>
      </c>
      <c r="Q359" s="21"/>
      <c r="R359" s="20" t="s">
        <v>1</v>
      </c>
      <c r="S359" s="10" t="s">
        <v>41</v>
      </c>
      <c r="T359" s="10"/>
      <c r="U359" s="10"/>
      <c r="V359" s="10">
        <v>124</v>
      </c>
      <c r="W359" s="10">
        <f t="shared" si="8"/>
        <v>124</v>
      </c>
      <c r="X359" s="10"/>
      <c r="Y359" s="10">
        <f>ROUNDDOWN(W359/HLOOKUP(D359,[1]Table!$C$3:$D$4,2,0)*8,2)</f>
        <v>2.2000000000000002</v>
      </c>
      <c r="Z359" s="10"/>
      <c r="AA359" s="10"/>
      <c r="AB359" s="22"/>
      <c r="AC359" s="22">
        <v>43962</v>
      </c>
      <c r="AD359" s="22">
        <v>43966</v>
      </c>
      <c r="AE359" s="22"/>
      <c r="AF359" s="22"/>
      <c r="AG359" s="22"/>
      <c r="AH359" s="24"/>
      <c r="AI359" s="24"/>
      <c r="AJ359" s="24"/>
      <c r="AK359" s="22"/>
      <c r="AL359" s="10" t="s">
        <v>1</v>
      </c>
      <c r="AM359" s="10" t="s">
        <v>1</v>
      </c>
      <c r="AN359" s="10" t="s">
        <v>1</v>
      </c>
    </row>
    <row r="360" spans="2:40" ht="15" x14ac:dyDescent="0.2">
      <c r="B360" s="29">
        <f t="shared" si="9"/>
        <v>133</v>
      </c>
      <c r="C360" s="16">
        <v>20200511</v>
      </c>
      <c r="D360" s="10" t="s">
        <v>476</v>
      </c>
      <c r="E360" s="10" t="s">
        <v>1010</v>
      </c>
      <c r="F360" s="43" t="s">
        <v>1020</v>
      </c>
      <c r="G360" s="19">
        <v>1461444</v>
      </c>
      <c r="H360" s="20" t="s">
        <v>1</v>
      </c>
      <c r="I360" s="10" t="s">
        <v>191</v>
      </c>
      <c r="J360" s="20" t="s">
        <v>1</v>
      </c>
      <c r="K360" s="10" t="s">
        <v>478</v>
      </c>
      <c r="L360" s="10" t="s">
        <v>483</v>
      </c>
      <c r="M360" s="10" t="s">
        <v>1013</v>
      </c>
      <c r="N360" s="10" t="s">
        <v>1014</v>
      </c>
      <c r="O360" s="19" t="s">
        <v>1</v>
      </c>
      <c r="P360" s="19" t="s">
        <v>1015</v>
      </c>
      <c r="Q360" s="21"/>
      <c r="R360" s="20" t="s">
        <v>1</v>
      </c>
      <c r="S360" s="10" t="s">
        <v>41</v>
      </c>
      <c r="T360" s="10"/>
      <c r="U360" s="10"/>
      <c r="V360" s="10">
        <v>154</v>
      </c>
      <c r="W360" s="10">
        <f t="shared" si="8"/>
        <v>154</v>
      </c>
      <c r="X360" s="10"/>
      <c r="Y360" s="10">
        <f>ROUNDDOWN(W360/HLOOKUP(D360,[1]Table!$C$3:$D$4,2,0)*8,2)</f>
        <v>2.73</v>
      </c>
      <c r="Z360" s="10"/>
      <c r="AA360" s="10"/>
      <c r="AB360" s="22"/>
      <c r="AC360" s="22">
        <v>43962</v>
      </c>
      <c r="AD360" s="22">
        <v>43966</v>
      </c>
      <c r="AE360" s="22"/>
      <c r="AF360" s="22"/>
      <c r="AG360" s="22"/>
      <c r="AH360" s="24"/>
      <c r="AI360" s="24"/>
      <c r="AJ360" s="24"/>
      <c r="AK360" s="22"/>
      <c r="AL360" s="10" t="s">
        <v>1</v>
      </c>
      <c r="AM360" s="10" t="s">
        <v>1</v>
      </c>
      <c r="AN360" s="10" t="s">
        <v>1</v>
      </c>
    </row>
    <row r="361" spans="2:40" ht="15" x14ac:dyDescent="0.2">
      <c r="B361" s="29">
        <f t="shared" si="9"/>
        <v>134</v>
      </c>
      <c r="C361" s="16">
        <v>20200511</v>
      </c>
      <c r="D361" s="10" t="s">
        <v>476</v>
      </c>
      <c r="E361" s="10" t="s">
        <v>1010</v>
      </c>
      <c r="F361" s="43" t="s">
        <v>1021</v>
      </c>
      <c r="G361" s="19">
        <v>1461444</v>
      </c>
      <c r="H361" s="20" t="s">
        <v>1</v>
      </c>
      <c r="I361" s="10" t="s">
        <v>192</v>
      </c>
      <c r="J361" s="20" t="s">
        <v>1</v>
      </c>
      <c r="K361" s="10" t="s">
        <v>478</v>
      </c>
      <c r="L361" s="10" t="s">
        <v>483</v>
      </c>
      <c r="M361" s="10" t="s">
        <v>1013</v>
      </c>
      <c r="N361" s="10" t="s">
        <v>1014</v>
      </c>
      <c r="O361" s="19" t="s">
        <v>1</v>
      </c>
      <c r="P361" s="19" t="s">
        <v>1015</v>
      </c>
      <c r="Q361" s="21"/>
      <c r="R361" s="20" t="s">
        <v>1</v>
      </c>
      <c r="S361" s="10" t="s">
        <v>41</v>
      </c>
      <c r="T361" s="10"/>
      <c r="U361" s="10"/>
      <c r="V361" s="10">
        <v>71</v>
      </c>
      <c r="W361" s="10">
        <f t="shared" si="8"/>
        <v>71</v>
      </c>
      <c r="X361" s="10"/>
      <c r="Y361" s="10">
        <f>ROUNDDOWN(W361/HLOOKUP(D361,[1]Table!$C$3:$D$4,2,0)*8,2)</f>
        <v>1.26</v>
      </c>
      <c r="Z361" s="10"/>
      <c r="AA361" s="10"/>
      <c r="AB361" s="22"/>
      <c r="AC361" s="22">
        <v>43962</v>
      </c>
      <c r="AD361" s="22">
        <v>43966</v>
      </c>
      <c r="AE361" s="22"/>
      <c r="AF361" s="22"/>
      <c r="AG361" s="22"/>
      <c r="AH361" s="24"/>
      <c r="AI361" s="24"/>
      <c r="AJ361" s="24"/>
      <c r="AK361" s="22"/>
      <c r="AL361" s="10" t="s">
        <v>1</v>
      </c>
      <c r="AM361" s="10" t="s">
        <v>1</v>
      </c>
      <c r="AN361" s="10" t="s">
        <v>1</v>
      </c>
    </row>
    <row r="362" spans="2:40" ht="15" x14ac:dyDescent="0.2">
      <c r="B362" s="29">
        <f t="shared" si="9"/>
        <v>135</v>
      </c>
      <c r="C362" s="16">
        <v>20200511</v>
      </c>
      <c r="D362" s="10" t="s">
        <v>476</v>
      </c>
      <c r="E362" s="10" t="s">
        <v>1010</v>
      </c>
      <c r="F362" s="43" t="s">
        <v>1022</v>
      </c>
      <c r="G362" s="19">
        <v>1461444</v>
      </c>
      <c r="H362" s="20" t="s">
        <v>1</v>
      </c>
      <c r="I362" s="10" t="s">
        <v>853</v>
      </c>
      <c r="J362" s="20" t="s">
        <v>1</v>
      </c>
      <c r="K362" s="10" t="s">
        <v>478</v>
      </c>
      <c r="L362" s="10" t="s">
        <v>483</v>
      </c>
      <c r="M362" s="10" t="s">
        <v>1013</v>
      </c>
      <c r="N362" s="10" t="s">
        <v>1014</v>
      </c>
      <c r="O362" s="19" t="s">
        <v>1</v>
      </c>
      <c r="P362" s="19" t="s">
        <v>1015</v>
      </c>
      <c r="Q362" s="21"/>
      <c r="R362" s="20" t="s">
        <v>1</v>
      </c>
      <c r="S362" s="10" t="s">
        <v>41</v>
      </c>
      <c r="T362" s="10"/>
      <c r="U362" s="10"/>
      <c r="V362" s="10">
        <v>39</v>
      </c>
      <c r="W362" s="10">
        <f t="shared" si="8"/>
        <v>39</v>
      </c>
      <c r="X362" s="10"/>
      <c r="Y362" s="10">
        <f>ROUNDDOWN(W362/HLOOKUP(D362,[1]Table!$C$3:$D$4,2,0)*8,2)</f>
        <v>0.69</v>
      </c>
      <c r="Z362" s="10"/>
      <c r="AA362" s="10"/>
      <c r="AB362" s="22"/>
      <c r="AC362" s="22">
        <v>43962</v>
      </c>
      <c r="AD362" s="22">
        <v>43966</v>
      </c>
      <c r="AE362" s="22"/>
      <c r="AF362" s="22"/>
      <c r="AG362" s="22"/>
      <c r="AH362" s="24"/>
      <c r="AI362" s="24"/>
      <c r="AJ362" s="24"/>
      <c r="AK362" s="22"/>
      <c r="AL362" s="10" t="s">
        <v>1</v>
      </c>
      <c r="AM362" s="10" t="s">
        <v>1</v>
      </c>
      <c r="AN362" s="10" t="s">
        <v>1</v>
      </c>
    </row>
    <row r="363" spans="2:40" ht="15" x14ac:dyDescent="0.2">
      <c r="B363" s="29">
        <f t="shared" si="9"/>
        <v>136</v>
      </c>
      <c r="C363" s="16">
        <v>20200511</v>
      </c>
      <c r="D363" s="10" t="s">
        <v>476</v>
      </c>
      <c r="E363" s="10" t="s">
        <v>1010</v>
      </c>
      <c r="F363" s="43" t="s">
        <v>1023</v>
      </c>
      <c r="G363" s="19">
        <v>1461444</v>
      </c>
      <c r="H363" s="20" t="s">
        <v>1</v>
      </c>
      <c r="I363" s="10" t="s">
        <v>820</v>
      </c>
      <c r="J363" s="20" t="s">
        <v>1</v>
      </c>
      <c r="K363" s="10" t="s">
        <v>478</v>
      </c>
      <c r="L363" s="10" t="s">
        <v>483</v>
      </c>
      <c r="M363" s="10" t="s">
        <v>1013</v>
      </c>
      <c r="N363" s="10" t="s">
        <v>1014</v>
      </c>
      <c r="O363" s="19" t="s">
        <v>1</v>
      </c>
      <c r="P363" s="19" t="s">
        <v>1015</v>
      </c>
      <c r="Q363" s="21"/>
      <c r="R363" s="20" t="s">
        <v>1</v>
      </c>
      <c r="S363" s="10" t="s">
        <v>41</v>
      </c>
      <c r="T363" s="10"/>
      <c r="U363" s="10"/>
      <c r="V363" s="10">
        <v>82</v>
      </c>
      <c r="W363" s="10">
        <f t="shared" si="8"/>
        <v>82</v>
      </c>
      <c r="X363" s="10"/>
      <c r="Y363" s="10">
        <f>ROUNDDOWN(W363/HLOOKUP(D363,[1]Table!$C$3:$D$4,2,0)*8,2)</f>
        <v>1.45</v>
      </c>
      <c r="Z363" s="10"/>
      <c r="AA363" s="10"/>
      <c r="AB363" s="22"/>
      <c r="AC363" s="22">
        <v>43962</v>
      </c>
      <c r="AD363" s="22">
        <v>43966</v>
      </c>
      <c r="AE363" s="22"/>
      <c r="AF363" s="22"/>
      <c r="AG363" s="22"/>
      <c r="AH363" s="24"/>
      <c r="AI363" s="24"/>
      <c r="AJ363" s="24"/>
      <c r="AK363" s="22"/>
      <c r="AL363" s="10" t="s">
        <v>1</v>
      </c>
      <c r="AM363" s="10" t="s">
        <v>1</v>
      </c>
      <c r="AN363" s="10" t="s">
        <v>1</v>
      </c>
    </row>
    <row r="364" spans="2:40" ht="15" x14ac:dyDescent="0.2">
      <c r="B364" s="29">
        <f t="shared" si="9"/>
        <v>137</v>
      </c>
      <c r="C364" s="16">
        <v>20200511</v>
      </c>
      <c r="D364" s="10" t="s">
        <v>476</v>
      </c>
      <c r="E364" s="10" t="s">
        <v>1010</v>
      </c>
      <c r="F364" s="43" t="s">
        <v>1024</v>
      </c>
      <c r="G364" s="19">
        <v>1461444</v>
      </c>
      <c r="H364" s="20" t="s">
        <v>1</v>
      </c>
      <c r="I364" s="10" t="s">
        <v>829</v>
      </c>
      <c r="J364" s="20" t="s">
        <v>1</v>
      </c>
      <c r="K364" s="10" t="s">
        <v>478</v>
      </c>
      <c r="L364" s="10" t="s">
        <v>483</v>
      </c>
      <c r="M364" s="10" t="s">
        <v>1013</v>
      </c>
      <c r="N364" s="10" t="s">
        <v>1014</v>
      </c>
      <c r="O364" s="19" t="s">
        <v>1</v>
      </c>
      <c r="P364" s="19" t="s">
        <v>1015</v>
      </c>
      <c r="Q364" s="21"/>
      <c r="R364" s="20" t="s">
        <v>1</v>
      </c>
      <c r="S364" s="10" t="s">
        <v>41</v>
      </c>
      <c r="T364" s="10"/>
      <c r="U364" s="10"/>
      <c r="V364" s="10">
        <v>54</v>
      </c>
      <c r="W364" s="10">
        <f t="shared" si="8"/>
        <v>54</v>
      </c>
      <c r="X364" s="10"/>
      <c r="Y364" s="10">
        <f>ROUNDDOWN(W364/HLOOKUP(D364,[1]Table!$C$3:$D$4,2,0)*8,2)</f>
        <v>0.96</v>
      </c>
      <c r="Z364" s="10"/>
      <c r="AA364" s="10"/>
      <c r="AB364" s="22"/>
      <c r="AC364" s="22">
        <v>43962</v>
      </c>
      <c r="AD364" s="22">
        <v>43966</v>
      </c>
      <c r="AE364" s="22"/>
      <c r="AF364" s="22"/>
      <c r="AG364" s="22"/>
      <c r="AH364" s="24"/>
      <c r="AI364" s="24"/>
      <c r="AJ364" s="24"/>
      <c r="AK364" s="22"/>
      <c r="AL364" s="10" t="s">
        <v>1</v>
      </c>
      <c r="AM364" s="10" t="s">
        <v>1</v>
      </c>
      <c r="AN364" s="10" t="s">
        <v>1</v>
      </c>
    </row>
    <row r="365" spans="2:40" ht="15" x14ac:dyDescent="0.2">
      <c r="B365" s="29">
        <f t="shared" si="9"/>
        <v>138</v>
      </c>
      <c r="C365" s="16">
        <v>20200511</v>
      </c>
      <c r="D365" s="10" t="s">
        <v>476</v>
      </c>
      <c r="E365" s="10" t="s">
        <v>1010</v>
      </c>
      <c r="F365" s="43" t="s">
        <v>1025</v>
      </c>
      <c r="G365" s="19">
        <v>1461444</v>
      </c>
      <c r="H365" s="20" t="s">
        <v>1</v>
      </c>
      <c r="I365" s="10" t="s">
        <v>762</v>
      </c>
      <c r="J365" s="20" t="s">
        <v>1</v>
      </c>
      <c r="K365" s="10" t="s">
        <v>478</v>
      </c>
      <c r="L365" s="10" t="s">
        <v>483</v>
      </c>
      <c r="M365" s="10" t="s">
        <v>1013</v>
      </c>
      <c r="N365" s="10" t="s">
        <v>1014</v>
      </c>
      <c r="O365" s="19" t="s">
        <v>1</v>
      </c>
      <c r="P365" s="19" t="s">
        <v>1015</v>
      </c>
      <c r="Q365" s="21"/>
      <c r="R365" s="20" t="s">
        <v>1</v>
      </c>
      <c r="S365" s="10" t="s">
        <v>41</v>
      </c>
      <c r="T365" s="10"/>
      <c r="U365" s="10"/>
      <c r="V365" s="10">
        <v>109</v>
      </c>
      <c r="W365" s="10">
        <f t="shared" si="8"/>
        <v>109</v>
      </c>
      <c r="X365" s="10"/>
      <c r="Y365" s="10">
        <f>ROUNDDOWN(W365/HLOOKUP(D365,[1]Table!$C$3:$D$4,2,0)*8,2)</f>
        <v>1.93</v>
      </c>
      <c r="Z365" s="10"/>
      <c r="AA365" s="10"/>
      <c r="AB365" s="22"/>
      <c r="AC365" s="22">
        <v>43962</v>
      </c>
      <c r="AD365" s="22">
        <v>43966</v>
      </c>
      <c r="AE365" s="22"/>
      <c r="AF365" s="22"/>
      <c r="AG365" s="22"/>
      <c r="AH365" s="24"/>
      <c r="AI365" s="24"/>
      <c r="AJ365" s="24"/>
      <c r="AK365" s="22"/>
      <c r="AL365" s="10" t="s">
        <v>1</v>
      </c>
      <c r="AM365" s="10" t="s">
        <v>1</v>
      </c>
      <c r="AN365" s="10" t="s">
        <v>1</v>
      </c>
    </row>
    <row r="366" spans="2:40" ht="15" x14ac:dyDescent="0.2">
      <c r="B366" s="29">
        <f t="shared" si="9"/>
        <v>139</v>
      </c>
      <c r="C366" s="16">
        <v>20200511</v>
      </c>
      <c r="D366" s="10" t="s">
        <v>476</v>
      </c>
      <c r="E366" s="10" t="s">
        <v>1010</v>
      </c>
      <c r="F366" s="43" t="s">
        <v>1026</v>
      </c>
      <c r="G366" s="19">
        <v>1461444</v>
      </c>
      <c r="H366" s="20" t="s">
        <v>1</v>
      </c>
      <c r="I366" s="10" t="s">
        <v>836</v>
      </c>
      <c r="J366" s="20" t="s">
        <v>1</v>
      </c>
      <c r="K366" s="10" t="s">
        <v>478</v>
      </c>
      <c r="L366" s="10" t="s">
        <v>483</v>
      </c>
      <c r="M366" s="10" t="s">
        <v>1013</v>
      </c>
      <c r="N366" s="10" t="s">
        <v>1014</v>
      </c>
      <c r="O366" s="19" t="s">
        <v>1</v>
      </c>
      <c r="P366" s="19" t="s">
        <v>1015</v>
      </c>
      <c r="Q366" s="21"/>
      <c r="R366" s="20" t="s">
        <v>1</v>
      </c>
      <c r="S366" s="10" t="s">
        <v>41</v>
      </c>
      <c r="T366" s="10"/>
      <c r="U366" s="10"/>
      <c r="V366" s="10">
        <v>255</v>
      </c>
      <c r="W366" s="10">
        <f t="shared" si="8"/>
        <v>255</v>
      </c>
      <c r="X366" s="10"/>
      <c r="Y366" s="10">
        <f>ROUNDDOWN(W366/HLOOKUP(D366,[1]Table!$C$3:$D$4,2,0)*8,2)</f>
        <v>4.53</v>
      </c>
      <c r="Z366" s="10"/>
      <c r="AA366" s="10"/>
      <c r="AB366" s="22"/>
      <c r="AC366" s="22">
        <v>43962</v>
      </c>
      <c r="AD366" s="22">
        <v>43966</v>
      </c>
      <c r="AE366" s="22"/>
      <c r="AF366" s="22"/>
      <c r="AG366" s="22"/>
      <c r="AH366" s="24"/>
      <c r="AI366" s="24"/>
      <c r="AJ366" s="24"/>
      <c r="AK366" s="22"/>
      <c r="AL366" s="10" t="s">
        <v>1</v>
      </c>
      <c r="AM366" s="10" t="s">
        <v>1</v>
      </c>
      <c r="AN366" s="10" t="s">
        <v>1</v>
      </c>
    </row>
    <row r="367" spans="2:40" ht="15" x14ac:dyDescent="0.2">
      <c r="B367" s="29">
        <f t="shared" si="9"/>
        <v>140</v>
      </c>
      <c r="C367" s="16">
        <v>20200511</v>
      </c>
      <c r="D367" s="10" t="s">
        <v>476</v>
      </c>
      <c r="E367" s="10" t="s">
        <v>1010</v>
      </c>
      <c r="F367" s="43" t="s">
        <v>1027</v>
      </c>
      <c r="G367" s="19">
        <v>1461444</v>
      </c>
      <c r="H367" s="20" t="s">
        <v>1</v>
      </c>
      <c r="I367" s="10" t="s">
        <v>1028</v>
      </c>
      <c r="J367" s="20" t="s">
        <v>1</v>
      </c>
      <c r="K367" s="10" t="s">
        <v>478</v>
      </c>
      <c r="L367" s="10" t="s">
        <v>483</v>
      </c>
      <c r="M367" s="10" t="s">
        <v>1013</v>
      </c>
      <c r="N367" s="10" t="s">
        <v>1014</v>
      </c>
      <c r="O367" s="19" t="s">
        <v>1</v>
      </c>
      <c r="P367" s="19" t="s">
        <v>1015</v>
      </c>
      <c r="Q367" s="21"/>
      <c r="R367" s="20" t="s">
        <v>1</v>
      </c>
      <c r="S367" s="10" t="s">
        <v>15</v>
      </c>
      <c r="T367" s="10"/>
      <c r="U367" s="10"/>
      <c r="V367" s="10">
        <v>146</v>
      </c>
      <c r="W367" s="10">
        <f t="shared" si="8"/>
        <v>146</v>
      </c>
      <c r="X367" s="10">
        <f>W367</f>
        <v>146</v>
      </c>
      <c r="Y367" s="10">
        <f>ROUNDDOWN(W367/HLOOKUP(D367,[1]Table!$C$3:$D$4,2,0)*8,2)</f>
        <v>2.59</v>
      </c>
      <c r="Z367" s="10"/>
      <c r="AA367" s="10" t="s">
        <v>823</v>
      </c>
      <c r="AB367" s="22"/>
      <c r="AC367" s="22">
        <v>43962</v>
      </c>
      <c r="AD367" s="22">
        <v>43966</v>
      </c>
      <c r="AE367" s="22">
        <v>43964</v>
      </c>
      <c r="AF367" s="22">
        <v>43964</v>
      </c>
      <c r="AG367" s="22" t="s">
        <v>482</v>
      </c>
      <c r="AH367" s="24" t="s">
        <v>1</v>
      </c>
      <c r="AI367" s="24" t="s">
        <v>1</v>
      </c>
      <c r="AJ367" s="24" t="s">
        <v>1</v>
      </c>
      <c r="AK367" s="22" t="s">
        <v>483</v>
      </c>
      <c r="AL367" s="10"/>
      <c r="AM367" s="10"/>
      <c r="AN367" s="10" t="s">
        <v>496</v>
      </c>
    </row>
    <row r="368" spans="2:40" ht="15" x14ac:dyDescent="0.2">
      <c r="B368" s="29">
        <f t="shared" si="9"/>
        <v>141</v>
      </c>
      <c r="C368" s="16">
        <v>20200511</v>
      </c>
      <c r="D368" s="10" t="s">
        <v>476</v>
      </c>
      <c r="E368" s="10" t="s">
        <v>1010</v>
      </c>
      <c r="F368" s="43" t="s">
        <v>1029</v>
      </c>
      <c r="G368" s="19">
        <v>1461444</v>
      </c>
      <c r="H368" s="20" t="s">
        <v>1</v>
      </c>
      <c r="I368" s="10" t="s">
        <v>861</v>
      </c>
      <c r="J368" s="20" t="s">
        <v>1</v>
      </c>
      <c r="K368" s="10" t="s">
        <v>478</v>
      </c>
      <c r="L368" s="10" t="s">
        <v>483</v>
      </c>
      <c r="M368" s="10" t="s">
        <v>1013</v>
      </c>
      <c r="N368" s="10" t="s">
        <v>1014</v>
      </c>
      <c r="O368" s="19" t="s">
        <v>1</v>
      </c>
      <c r="P368" s="19" t="s">
        <v>1015</v>
      </c>
      <c r="Q368" s="21"/>
      <c r="R368" s="20" t="s">
        <v>1</v>
      </c>
      <c r="S368" s="10" t="s">
        <v>15</v>
      </c>
      <c r="T368" s="10"/>
      <c r="U368" s="10"/>
      <c r="V368" s="10">
        <v>96</v>
      </c>
      <c r="W368" s="10">
        <f t="shared" si="8"/>
        <v>96</v>
      </c>
      <c r="X368" s="10"/>
      <c r="Y368" s="10">
        <f>ROUNDDOWN(W368/HLOOKUP(D368,[1]Table!$C$3:$D$4,2,0)*8,2)</f>
        <v>1.7</v>
      </c>
      <c r="Z368" s="10"/>
      <c r="AA368" s="10"/>
      <c r="AB368" s="22"/>
      <c r="AC368" s="22">
        <v>43962</v>
      </c>
      <c r="AD368" s="22">
        <v>43966</v>
      </c>
      <c r="AE368" s="22"/>
      <c r="AF368" s="22"/>
      <c r="AG368" s="22"/>
      <c r="AH368" s="24"/>
      <c r="AI368" s="24"/>
      <c r="AJ368" s="24"/>
      <c r="AK368" s="22"/>
      <c r="AL368" s="10" t="s">
        <v>1</v>
      </c>
      <c r="AM368" s="10" t="s">
        <v>1</v>
      </c>
      <c r="AN368" s="10" t="s">
        <v>1</v>
      </c>
    </row>
    <row r="369" spans="2:40" ht="15" x14ac:dyDescent="0.2">
      <c r="B369" s="29">
        <f t="shared" si="9"/>
        <v>142</v>
      </c>
      <c r="C369" s="16">
        <v>20200511</v>
      </c>
      <c r="D369" s="10" t="s">
        <v>476</v>
      </c>
      <c r="E369" s="10" t="s">
        <v>1030</v>
      </c>
      <c r="F369" s="92" t="s">
        <v>1031</v>
      </c>
      <c r="G369" s="19">
        <v>9.1</v>
      </c>
      <c r="H369" s="20" t="s">
        <v>1</v>
      </c>
      <c r="I369" s="10" t="s">
        <v>1032</v>
      </c>
      <c r="J369" s="20" t="s">
        <v>1</v>
      </c>
      <c r="K369" s="10" t="s">
        <v>478</v>
      </c>
      <c r="L369" s="10" t="s">
        <v>483</v>
      </c>
      <c r="M369" s="10" t="s">
        <v>483</v>
      </c>
      <c r="N369" s="10" t="s">
        <v>1033</v>
      </c>
      <c r="O369" s="19" t="s">
        <v>1034</v>
      </c>
      <c r="P369" s="19" t="s">
        <v>1035</v>
      </c>
      <c r="Q369" s="21"/>
      <c r="R369" s="20" t="s">
        <v>1</v>
      </c>
      <c r="S369" s="10" t="s">
        <v>15</v>
      </c>
      <c r="T369" s="10"/>
      <c r="U369" s="10"/>
      <c r="V369" s="10">
        <v>163</v>
      </c>
      <c r="W369" s="10">
        <f t="shared" si="8"/>
        <v>163</v>
      </c>
      <c r="X369" s="10"/>
      <c r="Y369" s="10">
        <f>ROUNDDOWN(W369/HLOOKUP(D369,[1]Table!$C$3:$D$4,2,0)*8,2)</f>
        <v>2.89</v>
      </c>
      <c r="Z369" s="10"/>
      <c r="AA369" s="10"/>
      <c r="AB369" s="22"/>
      <c r="AC369" s="22">
        <v>43962</v>
      </c>
      <c r="AD369" s="22">
        <v>43966</v>
      </c>
      <c r="AE369" s="22"/>
      <c r="AF369" s="22"/>
      <c r="AG369" s="22"/>
      <c r="AH369" s="24"/>
      <c r="AI369" s="24"/>
      <c r="AJ369" s="24"/>
      <c r="AK369" s="22"/>
      <c r="AL369" s="10"/>
      <c r="AM369" s="10"/>
      <c r="AN369" s="10" t="s">
        <v>994</v>
      </c>
    </row>
    <row r="370" spans="2:40" ht="15" x14ac:dyDescent="0.2">
      <c r="B370" s="29">
        <f t="shared" si="9"/>
        <v>143</v>
      </c>
      <c r="C370" s="16">
        <v>20200511</v>
      </c>
      <c r="D370" s="10" t="s">
        <v>797</v>
      </c>
      <c r="E370" s="10" t="s">
        <v>440</v>
      </c>
      <c r="F370" s="19" t="s">
        <v>1</v>
      </c>
      <c r="G370" s="19">
        <v>1404916</v>
      </c>
      <c r="H370" s="20" t="s">
        <v>1</v>
      </c>
      <c r="I370" s="39" t="s">
        <v>1036</v>
      </c>
      <c r="J370" s="20" t="s">
        <v>1</v>
      </c>
      <c r="K370" s="10" t="s">
        <v>548</v>
      </c>
      <c r="L370" s="10" t="s">
        <v>483</v>
      </c>
      <c r="M370" s="10" t="s">
        <v>1037</v>
      </c>
      <c r="N370" s="10" t="s">
        <v>1038</v>
      </c>
      <c r="O370" s="19" t="s">
        <v>800</v>
      </c>
      <c r="P370" s="19" t="s">
        <v>1039</v>
      </c>
      <c r="Q370" s="21"/>
      <c r="R370" s="20" t="s">
        <v>1</v>
      </c>
      <c r="S370" s="10" t="s">
        <v>15</v>
      </c>
      <c r="T370" s="10"/>
      <c r="U370" s="10"/>
      <c r="V370" s="10">
        <v>20</v>
      </c>
      <c r="W370" s="10">
        <f t="shared" si="8"/>
        <v>20</v>
      </c>
      <c r="X370" s="10">
        <f>W370</f>
        <v>20</v>
      </c>
      <c r="Y370" s="10">
        <f>ROUNDDOWN(W370/HLOOKUP(D370,[1]Table!$C$3:$D$4,2,0)*8,2)</f>
        <v>1.23</v>
      </c>
      <c r="Z370" s="10">
        <f>Y370</f>
        <v>1.23</v>
      </c>
      <c r="AA370" s="10" t="s">
        <v>750</v>
      </c>
      <c r="AB370" s="22">
        <v>43963</v>
      </c>
      <c r="AC370" s="22">
        <v>43962</v>
      </c>
      <c r="AD370" s="22">
        <v>43963</v>
      </c>
      <c r="AE370" s="22">
        <v>43963</v>
      </c>
      <c r="AF370" s="22">
        <v>43963</v>
      </c>
      <c r="AG370" s="22" t="s">
        <v>482</v>
      </c>
      <c r="AH370" s="24">
        <v>1</v>
      </c>
      <c r="AI370" s="24">
        <v>1</v>
      </c>
      <c r="AJ370" s="24" t="s">
        <v>1040</v>
      </c>
      <c r="AK370" s="22" t="s">
        <v>483</v>
      </c>
      <c r="AL370" s="10" t="s">
        <v>1</v>
      </c>
      <c r="AM370" s="10" t="s">
        <v>1</v>
      </c>
      <c r="AN370" s="39" t="s">
        <v>1041</v>
      </c>
    </row>
    <row r="371" spans="2:40" ht="15" x14ac:dyDescent="0.2">
      <c r="B371" s="29">
        <f t="shared" si="9"/>
        <v>144</v>
      </c>
      <c r="C371" s="16">
        <v>20200511</v>
      </c>
      <c r="D371" s="10" t="s">
        <v>476</v>
      </c>
      <c r="E371" s="10" t="s">
        <v>1042</v>
      </c>
      <c r="F371" s="43" t="s">
        <v>1043</v>
      </c>
      <c r="G371" s="19">
        <v>1444984</v>
      </c>
      <c r="H371" s="20" t="s">
        <v>1</v>
      </c>
      <c r="I371" s="10" t="s">
        <v>72</v>
      </c>
      <c r="J371" s="20" t="s">
        <v>1</v>
      </c>
      <c r="K371" s="10" t="s">
        <v>478</v>
      </c>
      <c r="L371" s="10" t="s">
        <v>483</v>
      </c>
      <c r="M371" s="10" t="s">
        <v>1044</v>
      </c>
      <c r="N371" s="10" t="s">
        <v>785</v>
      </c>
      <c r="O371" s="19" t="s">
        <v>1</v>
      </c>
      <c r="P371" s="19" t="s">
        <v>540</v>
      </c>
      <c r="Q371" s="21"/>
      <c r="R371" s="20" t="s">
        <v>1</v>
      </c>
      <c r="S371" s="10" t="s">
        <v>40</v>
      </c>
      <c r="T371" s="10"/>
      <c r="U371" s="10"/>
      <c r="V371" s="10">
        <v>159</v>
      </c>
      <c r="W371" s="10">
        <f t="shared" si="8"/>
        <v>159</v>
      </c>
      <c r="X371" s="10">
        <f>W371</f>
        <v>159</v>
      </c>
      <c r="Y371" s="10">
        <f>ROUNDDOWN(W371/HLOOKUP(D371,[1]Table!$C$3:$D$4,2,0)*8,2)</f>
        <v>2.82</v>
      </c>
      <c r="Z371" s="10">
        <v>1.5</v>
      </c>
      <c r="AA371" s="10" t="s">
        <v>823</v>
      </c>
      <c r="AB371" s="22"/>
      <c r="AC371" s="22">
        <v>43962</v>
      </c>
      <c r="AD371" s="22">
        <v>43964</v>
      </c>
      <c r="AE371" s="22">
        <v>43964</v>
      </c>
      <c r="AF371" s="22">
        <v>43964</v>
      </c>
      <c r="AG371" s="22" t="s">
        <v>482</v>
      </c>
      <c r="AH371" s="24">
        <v>1</v>
      </c>
      <c r="AI371" s="24">
        <v>1</v>
      </c>
      <c r="AJ371" s="24">
        <v>1</v>
      </c>
      <c r="AK371" s="22" t="s">
        <v>483</v>
      </c>
      <c r="AL371" s="73" t="s">
        <v>1</v>
      </c>
      <c r="AM371" s="10" t="s">
        <v>1</v>
      </c>
      <c r="AN371" s="10" t="s">
        <v>1</v>
      </c>
    </row>
    <row r="372" spans="2:40" ht="15" x14ac:dyDescent="0.2">
      <c r="B372" s="37">
        <f>B371+1</f>
        <v>145</v>
      </c>
      <c r="C372" s="16">
        <v>20200513</v>
      </c>
      <c r="D372" s="10" t="s">
        <v>476</v>
      </c>
      <c r="E372" s="33" t="s">
        <v>1045</v>
      </c>
      <c r="F372" s="43" t="s">
        <v>1046</v>
      </c>
      <c r="G372" s="33">
        <v>1458101</v>
      </c>
      <c r="H372" s="20" t="s">
        <v>1</v>
      </c>
      <c r="I372" s="33" t="s">
        <v>123</v>
      </c>
      <c r="J372" s="20" t="s">
        <v>1</v>
      </c>
      <c r="K372" s="10" t="s">
        <v>478</v>
      </c>
      <c r="L372" s="33">
        <v>81116</v>
      </c>
      <c r="M372" s="10" t="s">
        <v>164</v>
      </c>
      <c r="N372" s="33" t="s">
        <v>629</v>
      </c>
      <c r="O372" s="19" t="s">
        <v>1</v>
      </c>
      <c r="P372" s="87" t="s">
        <v>1047</v>
      </c>
      <c r="Q372" s="21"/>
      <c r="R372" s="20" t="s">
        <v>1</v>
      </c>
      <c r="S372" s="10" t="s">
        <v>279</v>
      </c>
      <c r="T372" s="10"/>
      <c r="U372" s="10"/>
      <c r="V372" s="33">
        <v>42</v>
      </c>
      <c r="W372" s="10">
        <f>V372</f>
        <v>42</v>
      </c>
      <c r="X372" s="10">
        <f>W372</f>
        <v>42</v>
      </c>
      <c r="Y372" s="10">
        <f>ROUNDDOWN(W372/HLOOKUP(D372,[1]Table!$C$3:$D$4,2,0)*8,2)</f>
        <v>0.74</v>
      </c>
      <c r="Z372" s="10">
        <v>0.5</v>
      </c>
      <c r="AA372" s="10" t="s">
        <v>750</v>
      </c>
      <c r="AB372" s="22">
        <v>43964</v>
      </c>
      <c r="AC372" s="22">
        <v>43964</v>
      </c>
      <c r="AD372" s="22">
        <v>43966</v>
      </c>
      <c r="AE372" s="22">
        <v>43964</v>
      </c>
      <c r="AF372" s="22">
        <v>43964</v>
      </c>
      <c r="AG372" s="22" t="s">
        <v>482</v>
      </c>
      <c r="AH372" s="24">
        <v>1</v>
      </c>
      <c r="AI372" s="24">
        <v>1</v>
      </c>
      <c r="AJ372" s="24">
        <v>1</v>
      </c>
      <c r="AK372" s="22" t="s">
        <v>483</v>
      </c>
      <c r="AL372" s="10" t="s">
        <v>1</v>
      </c>
      <c r="AM372" s="10" t="s">
        <v>1</v>
      </c>
      <c r="AN372" s="10" t="s">
        <v>1</v>
      </c>
    </row>
    <row r="373" spans="2:40" ht="15" x14ac:dyDescent="0.2">
      <c r="B373" s="37">
        <f>B372+1</f>
        <v>146</v>
      </c>
      <c r="C373" s="16">
        <v>20200513</v>
      </c>
      <c r="D373" s="10" t="s">
        <v>476</v>
      </c>
      <c r="E373" s="33" t="s">
        <v>1048</v>
      </c>
      <c r="F373" s="43" t="s">
        <v>1049</v>
      </c>
      <c r="G373" s="33">
        <v>1458169</v>
      </c>
      <c r="H373" s="20" t="s">
        <v>1</v>
      </c>
      <c r="I373" s="33" t="s">
        <v>221</v>
      </c>
      <c r="J373" s="20" t="s">
        <v>1</v>
      </c>
      <c r="K373" s="10" t="s">
        <v>478</v>
      </c>
      <c r="L373" s="33">
        <v>81175</v>
      </c>
      <c r="M373" s="10" t="s">
        <v>164</v>
      </c>
      <c r="N373" s="33" t="s">
        <v>629</v>
      </c>
      <c r="O373" s="19" t="s">
        <v>1</v>
      </c>
      <c r="P373" s="87" t="s">
        <v>1047</v>
      </c>
      <c r="Q373" s="21"/>
      <c r="R373" s="20" t="s">
        <v>1</v>
      </c>
      <c r="S373" s="10" t="s">
        <v>279</v>
      </c>
      <c r="T373" s="10"/>
      <c r="U373" s="10"/>
      <c r="V373" s="33">
        <v>88</v>
      </c>
      <c r="W373" s="10">
        <f>V373</f>
        <v>88</v>
      </c>
      <c r="X373" s="10">
        <f>W373</f>
        <v>88</v>
      </c>
      <c r="Y373" s="10">
        <f>ROUNDDOWN(W373/HLOOKUP(D373,[1]Table!$C$3:$D$4,2,0)*8,2)</f>
        <v>1.56</v>
      </c>
      <c r="Z373" s="10">
        <v>1</v>
      </c>
      <c r="AA373" s="10" t="s">
        <v>750</v>
      </c>
      <c r="AB373" s="22">
        <v>43964</v>
      </c>
      <c r="AC373" s="22">
        <v>43964</v>
      </c>
      <c r="AD373" s="22">
        <v>43966</v>
      </c>
      <c r="AE373" s="22">
        <v>43964</v>
      </c>
      <c r="AF373" s="22">
        <v>43964</v>
      </c>
      <c r="AG373" s="22" t="s">
        <v>482</v>
      </c>
      <c r="AH373" s="24">
        <v>1</v>
      </c>
      <c r="AI373" s="24">
        <v>1</v>
      </c>
      <c r="AJ373" s="24">
        <v>1</v>
      </c>
      <c r="AK373" s="22" t="s">
        <v>483</v>
      </c>
      <c r="AL373" s="10" t="s">
        <v>1</v>
      </c>
      <c r="AM373" s="10" t="s">
        <v>1</v>
      </c>
      <c r="AN373" s="10" t="s">
        <v>1</v>
      </c>
    </row>
    <row r="374" spans="2:40" ht="15" x14ac:dyDescent="0.2">
      <c r="B374" s="37">
        <v>146</v>
      </c>
      <c r="C374" s="16">
        <v>20200513</v>
      </c>
      <c r="D374" s="10" t="s">
        <v>797</v>
      </c>
      <c r="E374" s="33" t="s">
        <v>1042</v>
      </c>
      <c r="F374" s="19" t="s">
        <v>1</v>
      </c>
      <c r="G374" s="33">
        <v>1435036</v>
      </c>
      <c r="H374" s="20" t="s">
        <v>1</v>
      </c>
      <c r="I374" s="33" t="s">
        <v>1050</v>
      </c>
      <c r="J374" s="20" t="s">
        <v>1</v>
      </c>
      <c r="K374" s="10" t="s">
        <v>478</v>
      </c>
      <c r="L374" s="10">
        <v>81377</v>
      </c>
      <c r="M374" s="10" t="s">
        <v>1044</v>
      </c>
      <c r="N374" s="10" t="s">
        <v>1051</v>
      </c>
      <c r="O374" s="87" t="s">
        <v>1052</v>
      </c>
      <c r="P374" s="87" t="s">
        <v>1053</v>
      </c>
      <c r="Q374" s="21"/>
      <c r="R374" s="20" t="s">
        <v>1</v>
      </c>
      <c r="S374" s="10" t="s">
        <v>261</v>
      </c>
      <c r="T374" s="10"/>
      <c r="U374" s="10"/>
      <c r="V374" s="10">
        <v>40</v>
      </c>
      <c r="W374" s="10">
        <f>V374</f>
        <v>40</v>
      </c>
      <c r="X374" s="10">
        <f>W374</f>
        <v>40</v>
      </c>
      <c r="Y374" s="10">
        <f>ROUNDDOWN(W374/HLOOKUP(D374,[1]Table!$C$3:$D$4,2,0)*8,2)</f>
        <v>2.46</v>
      </c>
      <c r="Z374" s="10">
        <v>2</v>
      </c>
      <c r="AA374" s="10" t="s">
        <v>750</v>
      </c>
      <c r="AB374" s="22">
        <v>43964</v>
      </c>
      <c r="AC374" s="22">
        <v>43964</v>
      </c>
      <c r="AD374" s="22">
        <v>43966</v>
      </c>
      <c r="AE374" s="22">
        <v>43964</v>
      </c>
      <c r="AF374" s="22">
        <v>43964</v>
      </c>
      <c r="AG374" s="22" t="s">
        <v>482</v>
      </c>
      <c r="AH374" s="24">
        <v>1</v>
      </c>
      <c r="AI374" s="24">
        <v>1</v>
      </c>
      <c r="AJ374" s="24">
        <v>1</v>
      </c>
      <c r="AK374" s="22" t="s">
        <v>483</v>
      </c>
      <c r="AL374" s="10" t="s">
        <v>1</v>
      </c>
      <c r="AM374" s="10" t="s">
        <v>1</v>
      </c>
      <c r="AN374" s="10" t="s">
        <v>1</v>
      </c>
    </row>
    <row r="375" spans="2:40" ht="15" x14ac:dyDescent="0.2">
      <c r="B375" s="104">
        <v>92</v>
      </c>
      <c r="C375" s="16">
        <v>20200407</v>
      </c>
      <c r="D375" s="23" t="s">
        <v>476</v>
      </c>
      <c r="E375" s="33" t="s">
        <v>256</v>
      </c>
      <c r="F375" s="87" t="s">
        <v>1054</v>
      </c>
      <c r="G375" s="33">
        <v>1405783</v>
      </c>
      <c r="H375" s="33"/>
      <c r="I375" s="33" t="s">
        <v>257</v>
      </c>
      <c r="J375" s="33"/>
      <c r="K375" s="10" t="s">
        <v>478</v>
      </c>
      <c r="L375" s="105" t="s">
        <v>1055</v>
      </c>
      <c r="M375" s="105"/>
      <c r="N375" s="105"/>
      <c r="O375" s="105"/>
      <c r="P375" s="87" t="s">
        <v>630</v>
      </c>
      <c r="Q375" s="16" t="s">
        <v>1057</v>
      </c>
      <c r="R375" s="16"/>
      <c r="S375" s="10" t="s">
        <v>260</v>
      </c>
      <c r="T375" s="10"/>
      <c r="U375" s="10"/>
      <c r="V375" s="33">
        <v>242</v>
      </c>
      <c r="W375" s="10">
        <v>242</v>
      </c>
      <c r="X375" s="10">
        <v>242</v>
      </c>
      <c r="Y375" s="10">
        <v>4.3</v>
      </c>
      <c r="Z375" s="10">
        <v>2.5</v>
      </c>
      <c r="AA375" s="10" t="s">
        <v>481</v>
      </c>
      <c r="AB375" s="10"/>
      <c r="AC375" s="22">
        <v>43928</v>
      </c>
      <c r="AD375" s="22">
        <v>43938</v>
      </c>
      <c r="AE375" s="22">
        <v>43930</v>
      </c>
      <c r="AF375" s="22">
        <v>43930</v>
      </c>
      <c r="AG375" s="106" t="s">
        <v>482</v>
      </c>
      <c r="AH375" s="10">
        <v>100</v>
      </c>
      <c r="AI375" s="10">
        <v>100</v>
      </c>
      <c r="AJ375" s="10">
        <v>100</v>
      </c>
      <c r="AK375" s="27" t="s">
        <v>1061</v>
      </c>
      <c r="AL375" s="19" t="s">
        <v>1</v>
      </c>
      <c r="AM375" s="19" t="s">
        <v>1</v>
      </c>
    </row>
    <row r="376" spans="2:40" ht="15" x14ac:dyDescent="0.2">
      <c r="B376" s="104">
        <v>93</v>
      </c>
      <c r="C376" s="16">
        <v>20200407</v>
      </c>
      <c r="D376" s="23" t="s">
        <v>476</v>
      </c>
      <c r="E376" s="33" t="s">
        <v>258</v>
      </c>
      <c r="F376" s="87" t="s">
        <v>1056</v>
      </c>
      <c r="G376" s="33">
        <v>1405633</v>
      </c>
      <c r="H376" s="33"/>
      <c r="I376" s="59" t="s">
        <v>259</v>
      </c>
      <c r="J376" s="59"/>
      <c r="K376" s="10" t="s">
        <v>548</v>
      </c>
      <c r="L376" s="105" t="s">
        <v>1</v>
      </c>
      <c r="M376" s="105"/>
      <c r="N376" s="105"/>
      <c r="O376" s="105"/>
      <c r="P376" s="87" t="s">
        <v>1058</v>
      </c>
      <c r="Q376" s="16" t="s">
        <v>1059</v>
      </c>
      <c r="R376" s="16"/>
      <c r="S376" s="10" t="s">
        <v>219</v>
      </c>
      <c r="T376" s="10"/>
      <c r="U376" s="10"/>
      <c r="V376" s="33">
        <v>300</v>
      </c>
      <c r="W376" s="10">
        <v>300</v>
      </c>
      <c r="X376" s="10">
        <v>300</v>
      </c>
      <c r="Y376" s="10">
        <v>5.33</v>
      </c>
      <c r="Z376" s="10">
        <v>4.5</v>
      </c>
      <c r="AA376" s="10" t="s">
        <v>481</v>
      </c>
      <c r="AB376" s="10"/>
      <c r="AC376" s="22">
        <v>43928</v>
      </c>
      <c r="AD376" s="22">
        <v>43938</v>
      </c>
      <c r="AE376" s="22">
        <v>43929</v>
      </c>
      <c r="AF376" s="22">
        <v>43929</v>
      </c>
      <c r="AG376" s="106" t="s">
        <v>489</v>
      </c>
      <c r="AH376" s="10">
        <v>98</v>
      </c>
      <c r="AI376" s="10">
        <v>96</v>
      </c>
      <c r="AJ376" s="10">
        <v>100</v>
      </c>
      <c r="AK376" s="10" t="s">
        <v>490</v>
      </c>
      <c r="AL376" s="107" t="s">
        <v>1062</v>
      </c>
      <c r="AM376" s="19" t="s">
        <v>1063</v>
      </c>
    </row>
    <row r="377" spans="2:40" ht="15" x14ac:dyDescent="0.2">
      <c r="B377" s="104">
        <v>94</v>
      </c>
      <c r="C377" s="16">
        <v>20200407</v>
      </c>
      <c r="D377" s="23" t="s">
        <v>476</v>
      </c>
      <c r="E377" s="33" t="s">
        <v>258</v>
      </c>
      <c r="F377" s="87" t="s">
        <v>1056</v>
      </c>
      <c r="G377" s="33">
        <v>1405633</v>
      </c>
      <c r="H377" s="33"/>
      <c r="I377" s="33" t="s">
        <v>237</v>
      </c>
      <c r="J377" s="33"/>
      <c r="K377" s="10" t="s">
        <v>548</v>
      </c>
      <c r="L377" s="105" t="s">
        <v>1</v>
      </c>
      <c r="M377" s="105"/>
      <c r="N377" s="105"/>
      <c r="O377" s="105"/>
      <c r="P377" s="19" t="s">
        <v>1058</v>
      </c>
      <c r="Q377" s="16" t="s">
        <v>1060</v>
      </c>
      <c r="R377" s="16"/>
      <c r="S377" s="10" t="s">
        <v>261</v>
      </c>
      <c r="T377" s="10"/>
      <c r="U377" s="10"/>
      <c r="V377" s="33">
        <v>115</v>
      </c>
      <c r="W377" s="10">
        <v>115</v>
      </c>
      <c r="X377" s="10">
        <v>115</v>
      </c>
      <c r="Y377" s="10">
        <v>2.04</v>
      </c>
      <c r="Z377" s="10">
        <v>2</v>
      </c>
      <c r="AA377" s="10" t="s">
        <v>481</v>
      </c>
      <c r="AB377" s="10"/>
      <c r="AC377" s="22">
        <v>43928</v>
      </c>
      <c r="AD377" s="22">
        <v>43938</v>
      </c>
      <c r="AE377" s="22">
        <v>43930</v>
      </c>
      <c r="AF377" s="22">
        <v>43930</v>
      </c>
      <c r="AG377" s="23" t="s">
        <v>482</v>
      </c>
      <c r="AH377" s="23">
        <v>100</v>
      </c>
      <c r="AI377" s="23">
        <v>100</v>
      </c>
      <c r="AJ377" s="23">
        <v>100</v>
      </c>
      <c r="AK377" s="27" t="s">
        <v>1061</v>
      </c>
      <c r="AL377" s="19" t="s">
        <v>1</v>
      </c>
      <c r="AM377" s="19" t="s">
        <v>1</v>
      </c>
    </row>
    <row r="378" spans="2:40" ht="15" x14ac:dyDescent="0.2">
      <c r="B378" s="108">
        <v>100</v>
      </c>
      <c r="C378" s="16">
        <v>20200408</v>
      </c>
      <c r="D378" s="23" t="s">
        <v>476</v>
      </c>
      <c r="E378" s="33" t="s">
        <v>262</v>
      </c>
      <c r="F378" s="87" t="s">
        <v>1064</v>
      </c>
      <c r="G378" s="59">
        <v>1409332</v>
      </c>
      <c r="H378" s="59"/>
      <c r="I378" s="59" t="s">
        <v>123</v>
      </c>
      <c r="J378" s="59"/>
      <c r="K378" s="10" t="s">
        <v>478</v>
      </c>
      <c r="L378" s="105" t="s">
        <v>1065</v>
      </c>
      <c r="M378" s="105"/>
      <c r="N378" s="105"/>
      <c r="O378" s="105"/>
      <c r="P378" s="87" t="s">
        <v>1078</v>
      </c>
      <c r="Q378" s="16" t="s">
        <v>1079</v>
      </c>
      <c r="R378" s="16"/>
      <c r="S378" s="10" t="s">
        <v>219</v>
      </c>
      <c r="T378" s="10"/>
      <c r="U378" s="10"/>
      <c r="V378" s="33">
        <v>34</v>
      </c>
      <c r="W378" s="10">
        <v>34</v>
      </c>
      <c r="X378" s="10">
        <v>34</v>
      </c>
      <c r="Y378" s="10">
        <v>0.6</v>
      </c>
      <c r="Z378" s="10">
        <v>2</v>
      </c>
      <c r="AA378" s="10" t="s">
        <v>481</v>
      </c>
      <c r="AB378" s="10"/>
      <c r="AC378" s="22">
        <v>43929</v>
      </c>
      <c r="AD378" s="22">
        <v>43941</v>
      </c>
      <c r="AE378" s="22">
        <v>43930</v>
      </c>
      <c r="AF378" s="22">
        <v>43930</v>
      </c>
      <c r="AG378" s="106" t="s">
        <v>482</v>
      </c>
      <c r="AH378" s="27">
        <v>100</v>
      </c>
      <c r="AI378" s="27">
        <v>100</v>
      </c>
      <c r="AJ378" s="27">
        <v>100</v>
      </c>
      <c r="AK378" s="27" t="s">
        <v>1061</v>
      </c>
      <c r="AL378" s="19" t="s">
        <v>1</v>
      </c>
      <c r="AM378" s="19" t="s">
        <v>1</v>
      </c>
    </row>
    <row r="379" spans="2:40" ht="15" x14ac:dyDescent="0.2">
      <c r="B379" s="108">
        <v>101</v>
      </c>
      <c r="C379" s="16">
        <v>20200408</v>
      </c>
      <c r="D379" s="23" t="s">
        <v>476</v>
      </c>
      <c r="E379" s="33" t="s">
        <v>262</v>
      </c>
      <c r="F379" s="87" t="s">
        <v>1066</v>
      </c>
      <c r="G379" s="33">
        <v>1409332</v>
      </c>
      <c r="H379" s="33"/>
      <c r="I379" s="33" t="s">
        <v>221</v>
      </c>
      <c r="J379" s="33"/>
      <c r="K379" s="10" t="s">
        <v>478</v>
      </c>
      <c r="L379" s="105" t="s">
        <v>1065</v>
      </c>
      <c r="M379" s="105"/>
      <c r="N379" s="105"/>
      <c r="O379" s="105"/>
      <c r="P379" s="19" t="s">
        <v>1078</v>
      </c>
      <c r="Q379" s="16" t="s">
        <v>1080</v>
      </c>
      <c r="R379" s="16"/>
      <c r="S379" s="10" t="s">
        <v>261</v>
      </c>
      <c r="T379" s="10"/>
      <c r="U379" s="10"/>
      <c r="V379" s="33">
        <v>65</v>
      </c>
      <c r="W379" s="10">
        <v>65</v>
      </c>
      <c r="X379" s="10">
        <v>65</v>
      </c>
      <c r="Y379" s="10">
        <v>1.1499999999999999</v>
      </c>
      <c r="Z379" s="10">
        <v>1</v>
      </c>
      <c r="AA379" s="10" t="s">
        <v>481</v>
      </c>
      <c r="AB379" s="10"/>
      <c r="AC379" s="22">
        <v>43929</v>
      </c>
      <c r="AD379" s="22">
        <v>43941</v>
      </c>
      <c r="AE379" s="22">
        <v>43935</v>
      </c>
      <c r="AF379" s="22">
        <v>43935</v>
      </c>
      <c r="AG379" s="111" t="s">
        <v>482</v>
      </c>
      <c r="AH379" s="27">
        <v>100</v>
      </c>
      <c r="AI379" s="27">
        <v>100</v>
      </c>
      <c r="AJ379" s="27">
        <v>100</v>
      </c>
      <c r="AK379" s="27" t="s">
        <v>1061</v>
      </c>
      <c r="AL379" s="19" t="s">
        <v>1</v>
      </c>
      <c r="AM379" s="19" t="s">
        <v>1</v>
      </c>
    </row>
    <row r="380" spans="2:40" ht="15" x14ac:dyDescent="0.2">
      <c r="B380" s="108">
        <v>102</v>
      </c>
      <c r="C380" s="16">
        <v>20200408</v>
      </c>
      <c r="D380" s="23" t="s">
        <v>476</v>
      </c>
      <c r="E380" s="33" t="s">
        <v>262</v>
      </c>
      <c r="F380" s="87" t="s">
        <v>1067</v>
      </c>
      <c r="G380" s="59">
        <v>1409332</v>
      </c>
      <c r="H380" s="59"/>
      <c r="I380" s="59" t="s">
        <v>123</v>
      </c>
      <c r="J380" s="59"/>
      <c r="K380" s="10" t="s">
        <v>478</v>
      </c>
      <c r="L380" s="105" t="s">
        <v>1065</v>
      </c>
      <c r="M380" s="105"/>
      <c r="N380" s="105"/>
      <c r="O380" s="105"/>
      <c r="P380" s="19" t="s">
        <v>1078</v>
      </c>
      <c r="Q380" s="16" t="s">
        <v>1081</v>
      </c>
      <c r="R380" s="16"/>
      <c r="S380" s="10" t="s">
        <v>219</v>
      </c>
      <c r="T380" s="10"/>
      <c r="U380" s="10"/>
      <c r="V380" s="33">
        <v>34</v>
      </c>
      <c r="W380" s="10">
        <v>34</v>
      </c>
      <c r="X380" s="10">
        <v>34</v>
      </c>
      <c r="Y380" s="10">
        <v>0.6</v>
      </c>
      <c r="Z380" s="10">
        <v>2</v>
      </c>
      <c r="AA380" s="10" t="s">
        <v>481</v>
      </c>
      <c r="AB380" s="10"/>
      <c r="AC380" s="22">
        <v>43929</v>
      </c>
      <c r="AD380" s="22">
        <v>43941</v>
      </c>
      <c r="AE380" s="22">
        <v>43930</v>
      </c>
      <c r="AF380" s="22">
        <v>43930</v>
      </c>
      <c r="AG380" s="106" t="s">
        <v>482</v>
      </c>
      <c r="AH380" s="27">
        <v>100</v>
      </c>
      <c r="AI380" s="27">
        <v>100</v>
      </c>
      <c r="AJ380" s="27">
        <v>100</v>
      </c>
      <c r="AK380" s="27" t="s">
        <v>1061</v>
      </c>
      <c r="AL380" s="19" t="s">
        <v>1</v>
      </c>
      <c r="AM380" s="19" t="s">
        <v>1</v>
      </c>
    </row>
    <row r="381" spans="2:40" ht="15" x14ac:dyDescent="0.2">
      <c r="B381" s="108">
        <v>103</v>
      </c>
      <c r="C381" s="16">
        <v>20200408</v>
      </c>
      <c r="D381" s="23" t="s">
        <v>476</v>
      </c>
      <c r="E381" s="33" t="s">
        <v>262</v>
      </c>
      <c r="F381" s="87" t="s">
        <v>1067</v>
      </c>
      <c r="G381" s="33">
        <v>1409332</v>
      </c>
      <c r="H381" s="33"/>
      <c r="I381" s="33" t="s">
        <v>221</v>
      </c>
      <c r="J381" s="33"/>
      <c r="K381" s="10" t="s">
        <v>478</v>
      </c>
      <c r="L381" s="105" t="s">
        <v>1065</v>
      </c>
      <c r="M381" s="105"/>
      <c r="N381" s="105"/>
      <c r="O381" s="105"/>
      <c r="P381" s="19" t="s">
        <v>1078</v>
      </c>
      <c r="Q381" s="16" t="s">
        <v>1082</v>
      </c>
      <c r="R381" s="16"/>
      <c r="S381" s="10" t="s">
        <v>261</v>
      </c>
      <c r="T381" s="10"/>
      <c r="U381" s="10"/>
      <c r="V381" s="33">
        <v>65</v>
      </c>
      <c r="W381" s="10">
        <v>65</v>
      </c>
      <c r="X381" s="10">
        <v>65</v>
      </c>
      <c r="Y381" s="10">
        <v>1.1499999999999999</v>
      </c>
      <c r="Z381" s="10">
        <v>1</v>
      </c>
      <c r="AA381" s="10" t="s">
        <v>481</v>
      </c>
      <c r="AB381" s="10"/>
      <c r="AC381" s="22">
        <v>43929</v>
      </c>
      <c r="AD381" s="22">
        <v>43941</v>
      </c>
      <c r="AE381" s="22">
        <v>43935</v>
      </c>
      <c r="AF381" s="22">
        <v>43935</v>
      </c>
      <c r="AG381" s="111" t="s">
        <v>482</v>
      </c>
      <c r="AH381" s="27">
        <v>100</v>
      </c>
      <c r="AI381" s="27">
        <v>100</v>
      </c>
      <c r="AJ381" s="27">
        <v>100</v>
      </c>
      <c r="AK381" s="27" t="s">
        <v>1061</v>
      </c>
      <c r="AL381" s="19" t="s">
        <v>1</v>
      </c>
      <c r="AM381" s="19" t="s">
        <v>1</v>
      </c>
    </row>
    <row r="382" spans="2:40" ht="15" x14ac:dyDescent="0.2">
      <c r="B382" s="108">
        <v>104</v>
      </c>
      <c r="C382" s="16">
        <v>20200408</v>
      </c>
      <c r="D382" s="23" t="s">
        <v>476</v>
      </c>
      <c r="E382" s="33" t="s">
        <v>262</v>
      </c>
      <c r="F382" s="87" t="s">
        <v>1068</v>
      </c>
      <c r="G382" s="33">
        <v>1409332</v>
      </c>
      <c r="H382" s="33"/>
      <c r="I382" s="33" t="s">
        <v>263</v>
      </c>
      <c r="J382" s="33"/>
      <c r="K382" s="10" t="s">
        <v>478</v>
      </c>
      <c r="L382" s="105" t="s">
        <v>1065</v>
      </c>
      <c r="M382" s="105"/>
      <c r="N382" s="105"/>
      <c r="O382" s="105"/>
      <c r="P382" s="19" t="s">
        <v>1078</v>
      </c>
      <c r="Q382" s="16" t="s">
        <v>1083</v>
      </c>
      <c r="R382" s="16"/>
      <c r="S382" s="10" t="s">
        <v>260</v>
      </c>
      <c r="T382" s="10"/>
      <c r="U382" s="10"/>
      <c r="V382" s="33">
        <v>1011</v>
      </c>
      <c r="W382" s="10">
        <v>1011</v>
      </c>
      <c r="X382" s="10">
        <v>1011</v>
      </c>
      <c r="Y382" s="10">
        <v>17.97</v>
      </c>
      <c r="Z382" s="10">
        <v>0.5</v>
      </c>
      <c r="AA382" s="10" t="s">
        <v>481</v>
      </c>
      <c r="AB382" s="10"/>
      <c r="AC382" s="22">
        <v>43929</v>
      </c>
      <c r="AD382" s="22">
        <v>43941</v>
      </c>
      <c r="AE382" s="22">
        <v>43930</v>
      </c>
      <c r="AF382" s="22">
        <v>43930</v>
      </c>
      <c r="AG382" s="106" t="s">
        <v>482</v>
      </c>
      <c r="AH382" s="27" t="s">
        <v>1</v>
      </c>
      <c r="AI382" s="27" t="s">
        <v>1</v>
      </c>
      <c r="AJ382" s="27" t="s">
        <v>1</v>
      </c>
      <c r="AK382" s="10" t="s">
        <v>1061</v>
      </c>
      <c r="AL382" s="19" t="s">
        <v>1102</v>
      </c>
      <c r="AM382" s="19" t="s">
        <v>1</v>
      </c>
    </row>
    <row r="383" spans="2:40" ht="15" x14ac:dyDescent="0.2">
      <c r="B383" s="108">
        <v>105</v>
      </c>
      <c r="C383" s="16">
        <v>20200408</v>
      </c>
      <c r="D383" s="23" t="s">
        <v>476</v>
      </c>
      <c r="E383" s="33" t="s">
        <v>262</v>
      </c>
      <c r="F383" s="87" t="s">
        <v>1069</v>
      </c>
      <c r="G383" s="33">
        <v>1409332</v>
      </c>
      <c r="H383" s="33"/>
      <c r="I383" s="33" t="s">
        <v>217</v>
      </c>
      <c r="J383" s="33"/>
      <c r="K383" s="10" t="s">
        <v>478</v>
      </c>
      <c r="L383" s="105" t="s">
        <v>1065</v>
      </c>
      <c r="M383" s="105"/>
      <c r="N383" s="105"/>
      <c r="O383" s="105"/>
      <c r="P383" s="19" t="s">
        <v>1078</v>
      </c>
      <c r="Q383" s="16" t="s">
        <v>1084</v>
      </c>
      <c r="R383" s="16"/>
      <c r="S383" s="10" t="s">
        <v>261</v>
      </c>
      <c r="T383" s="10"/>
      <c r="U383" s="10"/>
      <c r="V383" s="33">
        <v>280</v>
      </c>
      <c r="W383" s="10">
        <v>280</v>
      </c>
      <c r="X383" s="10">
        <v>280</v>
      </c>
      <c r="Y383" s="10">
        <v>4.97</v>
      </c>
      <c r="Z383" s="10">
        <v>4</v>
      </c>
      <c r="AA383" s="10" t="s">
        <v>481</v>
      </c>
      <c r="AB383" s="10"/>
      <c r="AC383" s="22">
        <v>43929</v>
      </c>
      <c r="AD383" s="22">
        <v>43941</v>
      </c>
      <c r="AE383" s="22">
        <v>43930</v>
      </c>
      <c r="AF383" s="22">
        <v>43930</v>
      </c>
      <c r="AG383" s="23" t="s">
        <v>482</v>
      </c>
      <c r="AH383" s="23">
        <v>100</v>
      </c>
      <c r="AI383" s="23">
        <v>100</v>
      </c>
      <c r="AJ383" s="23">
        <v>100</v>
      </c>
      <c r="AK383" s="27" t="s">
        <v>1061</v>
      </c>
      <c r="AL383" s="19" t="s">
        <v>1</v>
      </c>
      <c r="AM383" s="19" t="s">
        <v>1</v>
      </c>
    </row>
    <row r="384" spans="2:40" ht="38.25" x14ac:dyDescent="0.2">
      <c r="B384" s="108">
        <v>106</v>
      </c>
      <c r="C384" s="16">
        <v>20200408</v>
      </c>
      <c r="D384" s="23" t="s">
        <v>476</v>
      </c>
      <c r="E384" s="33" t="s">
        <v>262</v>
      </c>
      <c r="F384" s="109" t="s">
        <v>1070</v>
      </c>
      <c r="G384" s="33">
        <v>1409332</v>
      </c>
      <c r="H384" s="33"/>
      <c r="I384" s="33" t="s">
        <v>176</v>
      </c>
      <c r="J384" s="33"/>
      <c r="K384" s="10" t="s">
        <v>478</v>
      </c>
      <c r="L384" s="105" t="s">
        <v>1065</v>
      </c>
      <c r="M384" s="105"/>
      <c r="N384" s="105"/>
      <c r="O384" s="105"/>
      <c r="P384" s="19" t="s">
        <v>1078</v>
      </c>
      <c r="Q384" s="16" t="s">
        <v>1085</v>
      </c>
      <c r="R384" s="16"/>
      <c r="S384" s="10" t="s">
        <v>261</v>
      </c>
      <c r="T384" s="10"/>
      <c r="U384" s="10"/>
      <c r="V384" s="33">
        <v>220</v>
      </c>
      <c r="W384" s="10">
        <v>220</v>
      </c>
      <c r="X384" s="10">
        <v>220</v>
      </c>
      <c r="Y384" s="10">
        <v>3.91</v>
      </c>
      <c r="Z384" s="10">
        <v>3</v>
      </c>
      <c r="AA384" s="10" t="s">
        <v>481</v>
      </c>
      <c r="AB384" s="10"/>
      <c r="AC384" s="22">
        <v>43929</v>
      </c>
      <c r="AD384" s="22">
        <v>43941</v>
      </c>
      <c r="AE384" s="22">
        <v>43930</v>
      </c>
      <c r="AF384" s="22">
        <v>43930</v>
      </c>
      <c r="AG384" s="23" t="s">
        <v>482</v>
      </c>
      <c r="AH384" s="23">
        <v>100</v>
      </c>
      <c r="AI384" s="23">
        <v>100</v>
      </c>
      <c r="AJ384" s="23">
        <v>100</v>
      </c>
      <c r="AK384" s="27" t="s">
        <v>1061</v>
      </c>
      <c r="AL384" s="19" t="s">
        <v>1</v>
      </c>
      <c r="AM384" s="19" t="s">
        <v>1</v>
      </c>
    </row>
    <row r="385" spans="2:39" ht="15" x14ac:dyDescent="0.2">
      <c r="B385" s="108">
        <v>107</v>
      </c>
      <c r="C385" s="16">
        <v>20200408</v>
      </c>
      <c r="D385" s="23" t="s">
        <v>476</v>
      </c>
      <c r="E385" s="33" t="s">
        <v>262</v>
      </c>
      <c r="F385" s="87" t="s">
        <v>1071</v>
      </c>
      <c r="G385" s="33">
        <v>1409394</v>
      </c>
      <c r="H385" s="33"/>
      <c r="I385" s="33" t="s">
        <v>264</v>
      </c>
      <c r="J385" s="33"/>
      <c r="K385" s="10" t="s">
        <v>478</v>
      </c>
      <c r="L385" s="105" t="s">
        <v>1072</v>
      </c>
      <c r="M385" s="105"/>
      <c r="N385" s="105"/>
      <c r="O385" s="105"/>
      <c r="P385" s="87" t="s">
        <v>1086</v>
      </c>
      <c r="Q385" s="16" t="s">
        <v>1087</v>
      </c>
      <c r="R385" s="16"/>
      <c r="S385" s="10" t="s">
        <v>279</v>
      </c>
      <c r="T385" s="10"/>
      <c r="U385" s="10"/>
      <c r="V385" s="33">
        <v>51</v>
      </c>
      <c r="W385" s="10">
        <v>51</v>
      </c>
      <c r="X385" s="10">
        <v>51</v>
      </c>
      <c r="Y385" s="10">
        <v>0.9</v>
      </c>
      <c r="Z385" s="10">
        <v>0.4</v>
      </c>
      <c r="AA385" s="10" t="s">
        <v>481</v>
      </c>
      <c r="AB385" s="10"/>
      <c r="AC385" s="22">
        <v>43929</v>
      </c>
      <c r="AD385" s="22">
        <v>43941</v>
      </c>
      <c r="AE385" s="22">
        <v>43930</v>
      </c>
      <c r="AF385" s="22">
        <v>43930</v>
      </c>
      <c r="AG385" s="111" t="s">
        <v>482</v>
      </c>
      <c r="AH385" s="27">
        <v>100</v>
      </c>
      <c r="AI385" s="27">
        <v>100</v>
      </c>
      <c r="AJ385" s="27">
        <v>100</v>
      </c>
      <c r="AK385" s="27" t="s">
        <v>1061</v>
      </c>
      <c r="AL385" s="19" t="s">
        <v>1</v>
      </c>
      <c r="AM385" s="19" t="s">
        <v>1</v>
      </c>
    </row>
    <row r="386" spans="2:39" ht="15" x14ac:dyDescent="0.2">
      <c r="B386" s="108">
        <v>108</v>
      </c>
      <c r="C386" s="16">
        <v>20200408</v>
      </c>
      <c r="D386" s="23" t="s">
        <v>476</v>
      </c>
      <c r="E386" s="33" t="s">
        <v>262</v>
      </c>
      <c r="F386" s="87" t="s">
        <v>1073</v>
      </c>
      <c r="G386" s="33">
        <v>1409394</v>
      </c>
      <c r="H386" s="33"/>
      <c r="I386" s="33" t="s">
        <v>265</v>
      </c>
      <c r="J386" s="33"/>
      <c r="K386" s="10" t="s">
        <v>478</v>
      </c>
      <c r="L386" s="105" t="s">
        <v>1072</v>
      </c>
      <c r="M386" s="105"/>
      <c r="N386" s="105"/>
      <c r="O386" s="105"/>
      <c r="P386" s="19" t="s">
        <v>1086</v>
      </c>
      <c r="Q386" s="16" t="s">
        <v>1088</v>
      </c>
      <c r="R386" s="16"/>
      <c r="S386" s="10" t="s">
        <v>279</v>
      </c>
      <c r="T386" s="10"/>
      <c r="U386" s="10"/>
      <c r="V386" s="33">
        <v>67</v>
      </c>
      <c r="W386" s="39">
        <v>91</v>
      </c>
      <c r="X386" s="10">
        <v>91</v>
      </c>
      <c r="Y386" s="10">
        <v>1.61</v>
      </c>
      <c r="Z386" s="10">
        <v>1.5</v>
      </c>
      <c r="AA386" s="10" t="s">
        <v>481</v>
      </c>
      <c r="AB386" s="10"/>
      <c r="AC386" s="22">
        <v>43929</v>
      </c>
      <c r="AD386" s="22">
        <v>43941</v>
      </c>
      <c r="AE386" s="22">
        <v>43930</v>
      </c>
      <c r="AF386" s="22">
        <v>43930</v>
      </c>
      <c r="AG386" s="111" t="s">
        <v>482</v>
      </c>
      <c r="AH386" s="27">
        <v>100</v>
      </c>
      <c r="AI386" s="27">
        <v>100</v>
      </c>
      <c r="AJ386" s="27">
        <v>100</v>
      </c>
      <c r="AK386" s="27" t="s">
        <v>1061</v>
      </c>
      <c r="AL386" s="19" t="s">
        <v>1</v>
      </c>
      <c r="AM386" s="19" t="s">
        <v>1</v>
      </c>
    </row>
    <row r="387" spans="2:39" ht="15" x14ac:dyDescent="0.2">
      <c r="B387" s="108">
        <v>109</v>
      </c>
      <c r="C387" s="16">
        <v>20200408</v>
      </c>
      <c r="D387" s="23" t="s">
        <v>476</v>
      </c>
      <c r="E387" s="33" t="s">
        <v>262</v>
      </c>
      <c r="F387" s="87" t="s">
        <v>1074</v>
      </c>
      <c r="G387" s="33">
        <v>1409394</v>
      </c>
      <c r="H387" s="33"/>
      <c r="I387" s="33" t="s">
        <v>266</v>
      </c>
      <c r="J387" s="33"/>
      <c r="K387" s="10" t="s">
        <v>478</v>
      </c>
      <c r="L387" s="105" t="s">
        <v>1072</v>
      </c>
      <c r="M387" s="105"/>
      <c r="N387" s="105"/>
      <c r="O387" s="105"/>
      <c r="P387" s="19" t="s">
        <v>1086</v>
      </c>
      <c r="Q387" s="16" t="s">
        <v>1089</v>
      </c>
      <c r="R387" s="16"/>
      <c r="S387" s="10" t="s">
        <v>279</v>
      </c>
      <c r="T387" s="10"/>
      <c r="U387" s="10"/>
      <c r="V387" s="33">
        <v>2</v>
      </c>
      <c r="W387" s="10">
        <v>2</v>
      </c>
      <c r="X387" s="10">
        <v>2</v>
      </c>
      <c r="Y387" s="10">
        <v>0.03</v>
      </c>
      <c r="Z387" s="10">
        <v>0</v>
      </c>
      <c r="AA387" s="10" t="s">
        <v>481</v>
      </c>
      <c r="AB387" s="10"/>
      <c r="AC387" s="22">
        <v>43929</v>
      </c>
      <c r="AD387" s="22">
        <v>43941</v>
      </c>
      <c r="AE387" s="22">
        <v>43930</v>
      </c>
      <c r="AF387" s="22">
        <v>43930</v>
      </c>
      <c r="AG387" s="111" t="s">
        <v>482</v>
      </c>
      <c r="AH387" s="27" t="s">
        <v>1</v>
      </c>
      <c r="AI387" s="27" t="s">
        <v>1</v>
      </c>
      <c r="AJ387" s="27" t="s">
        <v>1</v>
      </c>
      <c r="AK387" s="27" t="s">
        <v>1061</v>
      </c>
      <c r="AL387" s="19" t="s">
        <v>1102</v>
      </c>
      <c r="AM387" s="19" t="s">
        <v>1</v>
      </c>
    </row>
    <row r="388" spans="2:39" ht="15" x14ac:dyDescent="0.2">
      <c r="B388" s="108">
        <v>110</v>
      </c>
      <c r="C388" s="16">
        <v>20200408</v>
      </c>
      <c r="D388" s="23" t="s">
        <v>476</v>
      </c>
      <c r="E388" s="33" t="s">
        <v>262</v>
      </c>
      <c r="F388" s="87" t="s">
        <v>1075</v>
      </c>
      <c r="G388" s="33">
        <v>1409394</v>
      </c>
      <c r="H388" s="33"/>
      <c r="I388" s="33" t="s">
        <v>267</v>
      </c>
      <c r="J388" s="33"/>
      <c r="K388" s="10" t="s">
        <v>478</v>
      </c>
      <c r="L388" s="105" t="s">
        <v>1072</v>
      </c>
      <c r="M388" s="105"/>
      <c r="N388" s="105"/>
      <c r="O388" s="105"/>
      <c r="P388" s="19" t="s">
        <v>1086</v>
      </c>
      <c r="Q388" s="16" t="s">
        <v>1090</v>
      </c>
      <c r="R388" s="16"/>
      <c r="S388" s="10" t="s">
        <v>279</v>
      </c>
      <c r="T388" s="10"/>
      <c r="U388" s="10"/>
      <c r="V388" s="33">
        <v>56</v>
      </c>
      <c r="W388" s="10">
        <v>56</v>
      </c>
      <c r="X388" s="10">
        <v>56</v>
      </c>
      <c r="Y388" s="10">
        <v>0.99</v>
      </c>
      <c r="Z388" s="10">
        <v>0.5</v>
      </c>
      <c r="AA388" s="10" t="s">
        <v>481</v>
      </c>
      <c r="AB388" s="10"/>
      <c r="AC388" s="22">
        <v>43929</v>
      </c>
      <c r="AD388" s="22">
        <v>43941</v>
      </c>
      <c r="AE388" s="22">
        <v>43930</v>
      </c>
      <c r="AF388" s="22">
        <v>43930</v>
      </c>
      <c r="AG388" s="111" t="s">
        <v>482</v>
      </c>
      <c r="AH388" s="27">
        <v>100</v>
      </c>
      <c r="AI388" s="27">
        <v>100</v>
      </c>
      <c r="AJ388" s="27">
        <v>100</v>
      </c>
      <c r="AK388" s="27" t="s">
        <v>1061</v>
      </c>
      <c r="AL388" s="19" t="s">
        <v>1</v>
      </c>
      <c r="AM388" s="19" t="s">
        <v>1</v>
      </c>
    </row>
    <row r="389" spans="2:39" ht="15" x14ac:dyDescent="0.2">
      <c r="B389" s="108">
        <v>111</v>
      </c>
      <c r="C389" s="16">
        <v>20200408</v>
      </c>
      <c r="D389" s="23" t="s">
        <v>476</v>
      </c>
      <c r="E389" s="33" t="s">
        <v>262</v>
      </c>
      <c r="F389" s="87" t="s">
        <v>1076</v>
      </c>
      <c r="G389" s="33">
        <v>1409394</v>
      </c>
      <c r="H389" s="33"/>
      <c r="I389" s="33" t="s">
        <v>268</v>
      </c>
      <c r="J389" s="33"/>
      <c r="K389" s="10" t="s">
        <v>478</v>
      </c>
      <c r="L389" s="105" t="s">
        <v>1072</v>
      </c>
      <c r="M389" s="105"/>
      <c r="N389" s="105"/>
      <c r="O389" s="105"/>
      <c r="P389" s="19" t="s">
        <v>1086</v>
      </c>
      <c r="Q389" s="16" t="s">
        <v>1091</v>
      </c>
      <c r="R389" s="16"/>
      <c r="S389" s="10" t="s">
        <v>279</v>
      </c>
      <c r="T389" s="10"/>
      <c r="U389" s="10"/>
      <c r="V389" s="33">
        <v>233</v>
      </c>
      <c r="W389" s="10">
        <v>233</v>
      </c>
      <c r="X389" s="10">
        <v>233</v>
      </c>
      <c r="Y389" s="10">
        <v>4.1399999999999997</v>
      </c>
      <c r="Z389" s="10">
        <v>3.5</v>
      </c>
      <c r="AA389" s="10" t="s">
        <v>481</v>
      </c>
      <c r="AB389" s="10"/>
      <c r="AC389" s="22">
        <v>43929</v>
      </c>
      <c r="AD389" s="22">
        <v>43941</v>
      </c>
      <c r="AE389" s="22">
        <v>43930</v>
      </c>
      <c r="AF389" s="22">
        <v>43930</v>
      </c>
      <c r="AG389" s="111" t="s">
        <v>482</v>
      </c>
      <c r="AH389" s="27">
        <v>100</v>
      </c>
      <c r="AI389" s="27">
        <v>100</v>
      </c>
      <c r="AJ389" s="27">
        <v>100</v>
      </c>
      <c r="AK389" s="27" t="s">
        <v>1061</v>
      </c>
      <c r="AL389" s="19" t="s">
        <v>1</v>
      </c>
      <c r="AM389" s="19" t="s">
        <v>1</v>
      </c>
    </row>
    <row r="390" spans="2:39" ht="15" x14ac:dyDescent="0.2">
      <c r="B390" s="108">
        <v>112</v>
      </c>
      <c r="C390" s="16">
        <v>20200408</v>
      </c>
      <c r="D390" s="23" t="s">
        <v>476</v>
      </c>
      <c r="E390" s="33" t="s">
        <v>262</v>
      </c>
      <c r="F390" s="87" t="s">
        <v>1076</v>
      </c>
      <c r="G390" s="33">
        <v>1409394</v>
      </c>
      <c r="H390" s="33"/>
      <c r="I390" s="33" t="s">
        <v>269</v>
      </c>
      <c r="J390" s="33"/>
      <c r="K390" s="10" t="s">
        <v>478</v>
      </c>
      <c r="L390" s="105" t="s">
        <v>1072</v>
      </c>
      <c r="M390" s="105"/>
      <c r="N390" s="105"/>
      <c r="O390" s="105"/>
      <c r="P390" s="19" t="s">
        <v>1086</v>
      </c>
      <c r="Q390" s="16" t="s">
        <v>1092</v>
      </c>
      <c r="R390" s="16"/>
      <c r="S390" s="10" t="s">
        <v>279</v>
      </c>
      <c r="T390" s="10"/>
      <c r="U390" s="10"/>
      <c r="V390" s="33">
        <v>78</v>
      </c>
      <c r="W390" s="10">
        <v>78</v>
      </c>
      <c r="X390" s="10">
        <v>78</v>
      </c>
      <c r="Y390" s="10">
        <v>1.38</v>
      </c>
      <c r="Z390" s="10">
        <v>1</v>
      </c>
      <c r="AA390" s="10" t="s">
        <v>481</v>
      </c>
      <c r="AB390" s="10"/>
      <c r="AC390" s="22">
        <v>43929</v>
      </c>
      <c r="AD390" s="22">
        <v>43941</v>
      </c>
      <c r="AE390" s="22">
        <v>43931</v>
      </c>
      <c r="AF390" s="22">
        <v>43931</v>
      </c>
      <c r="AG390" s="111" t="s">
        <v>482</v>
      </c>
      <c r="AH390" s="27">
        <v>100</v>
      </c>
      <c r="AI390" s="27">
        <v>100</v>
      </c>
      <c r="AJ390" s="27">
        <v>100</v>
      </c>
      <c r="AK390" s="27" t="s">
        <v>1061</v>
      </c>
      <c r="AL390" s="19" t="s">
        <v>1</v>
      </c>
      <c r="AM390" s="19" t="s">
        <v>1</v>
      </c>
    </row>
    <row r="391" spans="2:39" ht="15" x14ac:dyDescent="0.2">
      <c r="B391" s="108">
        <v>113</v>
      </c>
      <c r="C391" s="16">
        <v>20200408</v>
      </c>
      <c r="D391" s="23" t="s">
        <v>476</v>
      </c>
      <c r="E391" s="33" t="s">
        <v>262</v>
      </c>
      <c r="F391" s="87" t="s">
        <v>1076</v>
      </c>
      <c r="G391" s="33">
        <v>1409394</v>
      </c>
      <c r="H391" s="33"/>
      <c r="I391" s="33" t="s">
        <v>270</v>
      </c>
      <c r="J391" s="33"/>
      <c r="K391" s="10" t="s">
        <v>478</v>
      </c>
      <c r="L391" s="105" t="s">
        <v>1072</v>
      </c>
      <c r="M391" s="105"/>
      <c r="N391" s="105"/>
      <c r="O391" s="105"/>
      <c r="P391" s="19" t="s">
        <v>1086</v>
      </c>
      <c r="Q391" s="16" t="s">
        <v>1093</v>
      </c>
      <c r="R391" s="16"/>
      <c r="S391" s="10" t="s">
        <v>279</v>
      </c>
      <c r="T391" s="10"/>
      <c r="U391" s="10"/>
      <c r="V391" s="33">
        <v>23</v>
      </c>
      <c r="W391" s="10">
        <v>23</v>
      </c>
      <c r="X391" s="10">
        <v>23</v>
      </c>
      <c r="Y391" s="10">
        <v>0.4</v>
      </c>
      <c r="Z391" s="10">
        <v>0.2</v>
      </c>
      <c r="AA391" s="10" t="s">
        <v>481</v>
      </c>
      <c r="AB391" s="10"/>
      <c r="AC391" s="22">
        <v>43929</v>
      </c>
      <c r="AD391" s="22">
        <v>43941</v>
      </c>
      <c r="AE391" s="22">
        <v>43931</v>
      </c>
      <c r="AF391" s="22">
        <v>43931</v>
      </c>
      <c r="AG391" s="111" t="s">
        <v>482</v>
      </c>
      <c r="AH391" s="27">
        <v>100</v>
      </c>
      <c r="AI391" s="27">
        <v>100</v>
      </c>
      <c r="AJ391" s="27">
        <v>100</v>
      </c>
      <c r="AK391" s="27" t="s">
        <v>1061</v>
      </c>
      <c r="AL391" s="19" t="s">
        <v>1</v>
      </c>
      <c r="AM391" s="19" t="s">
        <v>1</v>
      </c>
    </row>
    <row r="392" spans="2:39" ht="15" x14ac:dyDescent="0.2">
      <c r="B392" s="108">
        <v>114</v>
      </c>
      <c r="C392" s="16">
        <v>20200408</v>
      </c>
      <c r="D392" s="23" t="s">
        <v>476</v>
      </c>
      <c r="E392" s="33" t="s">
        <v>262</v>
      </c>
      <c r="F392" s="87" t="s">
        <v>1075</v>
      </c>
      <c r="G392" s="33">
        <v>1409394</v>
      </c>
      <c r="H392" s="33"/>
      <c r="I392" s="33" t="s">
        <v>271</v>
      </c>
      <c r="J392" s="33"/>
      <c r="K392" s="10" t="s">
        <v>478</v>
      </c>
      <c r="L392" s="105" t="s">
        <v>1072</v>
      </c>
      <c r="M392" s="105"/>
      <c r="N392" s="105"/>
      <c r="O392" s="105"/>
      <c r="P392" s="19" t="s">
        <v>1086</v>
      </c>
      <c r="Q392" s="16" t="s">
        <v>1094</v>
      </c>
      <c r="R392" s="16"/>
      <c r="S392" s="10" t="s">
        <v>279</v>
      </c>
      <c r="T392" s="10"/>
      <c r="U392" s="10"/>
      <c r="V392" s="33">
        <v>127</v>
      </c>
      <c r="W392" s="10">
        <v>127</v>
      </c>
      <c r="X392" s="10">
        <v>127</v>
      </c>
      <c r="Y392" s="10">
        <v>2.25</v>
      </c>
      <c r="Z392" s="10">
        <v>0.3</v>
      </c>
      <c r="AA392" s="10" t="s">
        <v>481</v>
      </c>
      <c r="AB392" s="10"/>
      <c r="AC392" s="22">
        <v>43929</v>
      </c>
      <c r="AD392" s="22">
        <v>43941</v>
      </c>
      <c r="AE392" s="22">
        <v>43931</v>
      </c>
      <c r="AF392" s="22">
        <v>43931</v>
      </c>
      <c r="AG392" s="111" t="s">
        <v>482</v>
      </c>
      <c r="AH392" s="27">
        <v>100</v>
      </c>
      <c r="AI392" s="27">
        <v>100</v>
      </c>
      <c r="AJ392" s="27">
        <v>100</v>
      </c>
      <c r="AK392" s="27" t="s">
        <v>1061</v>
      </c>
      <c r="AL392" s="19" t="s">
        <v>1</v>
      </c>
      <c r="AM392" s="19" t="s">
        <v>1</v>
      </c>
    </row>
    <row r="393" spans="2:39" ht="15" x14ac:dyDescent="0.2">
      <c r="B393" s="108">
        <v>115</v>
      </c>
      <c r="C393" s="16">
        <v>20200408</v>
      </c>
      <c r="D393" s="23" t="s">
        <v>476</v>
      </c>
      <c r="E393" s="33" t="s">
        <v>262</v>
      </c>
      <c r="F393" s="87" t="s">
        <v>1076</v>
      </c>
      <c r="G393" s="33">
        <v>1409394</v>
      </c>
      <c r="H393" s="33"/>
      <c r="I393" s="33" t="s">
        <v>272</v>
      </c>
      <c r="J393" s="33"/>
      <c r="K393" s="10" t="s">
        <v>478</v>
      </c>
      <c r="L393" s="105" t="s">
        <v>1072</v>
      </c>
      <c r="M393" s="105"/>
      <c r="N393" s="105"/>
      <c r="O393" s="105"/>
      <c r="P393" s="19" t="s">
        <v>1086</v>
      </c>
      <c r="Q393" s="16" t="s">
        <v>1095</v>
      </c>
      <c r="R393" s="16"/>
      <c r="S393" s="10" t="s">
        <v>279</v>
      </c>
      <c r="T393" s="10"/>
      <c r="U393" s="10"/>
      <c r="V393" s="33">
        <v>41</v>
      </c>
      <c r="W393" s="10">
        <v>41</v>
      </c>
      <c r="X393" s="10">
        <v>41</v>
      </c>
      <c r="Y393" s="10">
        <v>0.72</v>
      </c>
      <c r="Z393" s="10">
        <v>0.2</v>
      </c>
      <c r="AA393" s="10" t="s">
        <v>481</v>
      </c>
      <c r="AB393" s="10"/>
      <c r="AC393" s="22">
        <v>43929</v>
      </c>
      <c r="AD393" s="22">
        <v>43941</v>
      </c>
      <c r="AE393" s="22">
        <v>43931</v>
      </c>
      <c r="AF393" s="22">
        <v>43931</v>
      </c>
      <c r="AG393" s="111" t="s">
        <v>482</v>
      </c>
      <c r="AH393" s="27">
        <v>100</v>
      </c>
      <c r="AI393" s="27">
        <v>100</v>
      </c>
      <c r="AJ393" s="27">
        <v>100</v>
      </c>
      <c r="AK393" s="27" t="s">
        <v>1061</v>
      </c>
      <c r="AL393" s="19" t="s">
        <v>1</v>
      </c>
      <c r="AM393" s="19" t="s">
        <v>1</v>
      </c>
    </row>
    <row r="394" spans="2:39" ht="15" x14ac:dyDescent="0.2">
      <c r="B394" s="108">
        <v>116</v>
      </c>
      <c r="C394" s="16">
        <v>20200408</v>
      </c>
      <c r="D394" s="23" t="s">
        <v>476</v>
      </c>
      <c r="E394" s="33" t="s">
        <v>262</v>
      </c>
      <c r="F394" s="87" t="s">
        <v>1075</v>
      </c>
      <c r="G394" s="33">
        <v>1409394</v>
      </c>
      <c r="H394" s="33"/>
      <c r="I394" s="33" t="s">
        <v>273</v>
      </c>
      <c r="J394" s="33"/>
      <c r="K394" s="10" t="s">
        <v>478</v>
      </c>
      <c r="L394" s="105" t="s">
        <v>1072</v>
      </c>
      <c r="M394" s="105"/>
      <c r="N394" s="105"/>
      <c r="O394" s="105"/>
      <c r="P394" s="19" t="s">
        <v>1086</v>
      </c>
      <c r="Q394" s="16" t="s">
        <v>1096</v>
      </c>
      <c r="R394" s="16"/>
      <c r="S394" s="10" t="s">
        <v>279</v>
      </c>
      <c r="T394" s="10"/>
      <c r="U394" s="10"/>
      <c r="V394" s="33">
        <v>25</v>
      </c>
      <c r="W394" s="10">
        <v>25</v>
      </c>
      <c r="X394" s="10">
        <v>25</v>
      </c>
      <c r="Y394" s="10">
        <v>0.44</v>
      </c>
      <c r="Z394" s="10">
        <v>0.2</v>
      </c>
      <c r="AA394" s="10" t="s">
        <v>481</v>
      </c>
      <c r="AB394" s="10"/>
      <c r="AC394" s="22">
        <v>43929</v>
      </c>
      <c r="AD394" s="22">
        <v>43941</v>
      </c>
      <c r="AE394" s="22">
        <v>43931</v>
      </c>
      <c r="AF394" s="22">
        <v>43931</v>
      </c>
      <c r="AG394" s="111" t="s">
        <v>482</v>
      </c>
      <c r="AH394" s="27">
        <v>100</v>
      </c>
      <c r="AI394" s="27">
        <v>100</v>
      </c>
      <c r="AJ394" s="27">
        <v>100</v>
      </c>
      <c r="AK394" s="27" t="s">
        <v>1061</v>
      </c>
      <c r="AL394" s="19" t="s">
        <v>1</v>
      </c>
      <c r="AM394" s="19" t="s">
        <v>1</v>
      </c>
    </row>
    <row r="395" spans="2:39" ht="15" x14ac:dyDescent="0.2">
      <c r="B395" s="108">
        <v>117</v>
      </c>
      <c r="C395" s="16">
        <v>20200408</v>
      </c>
      <c r="D395" s="23" t="s">
        <v>476</v>
      </c>
      <c r="E395" s="33" t="s">
        <v>262</v>
      </c>
      <c r="F395" s="87" t="s">
        <v>1076</v>
      </c>
      <c r="G395" s="33">
        <v>1409394</v>
      </c>
      <c r="H395" s="33"/>
      <c r="I395" s="33" t="s">
        <v>274</v>
      </c>
      <c r="J395" s="33"/>
      <c r="K395" s="10" t="s">
        <v>478</v>
      </c>
      <c r="L395" s="105" t="s">
        <v>1072</v>
      </c>
      <c r="M395" s="105"/>
      <c r="N395" s="105"/>
      <c r="O395" s="105"/>
      <c r="P395" s="19" t="s">
        <v>1086</v>
      </c>
      <c r="Q395" s="16" t="s">
        <v>1097</v>
      </c>
      <c r="R395" s="16"/>
      <c r="S395" s="10" t="s">
        <v>279</v>
      </c>
      <c r="T395" s="10"/>
      <c r="U395" s="10"/>
      <c r="V395" s="33">
        <v>8</v>
      </c>
      <c r="W395" s="10">
        <v>8</v>
      </c>
      <c r="X395" s="10">
        <v>8</v>
      </c>
      <c r="Y395" s="10">
        <v>0.14000000000000001</v>
      </c>
      <c r="Z395" s="10">
        <v>0.1</v>
      </c>
      <c r="AA395" s="10" t="s">
        <v>481</v>
      </c>
      <c r="AB395" s="10"/>
      <c r="AC395" s="22">
        <v>43929</v>
      </c>
      <c r="AD395" s="22">
        <v>43941</v>
      </c>
      <c r="AE395" s="22">
        <v>43931</v>
      </c>
      <c r="AF395" s="22">
        <v>43931</v>
      </c>
      <c r="AG395" s="111" t="s">
        <v>482</v>
      </c>
      <c r="AH395" s="27">
        <v>100</v>
      </c>
      <c r="AI395" s="27">
        <v>100</v>
      </c>
      <c r="AJ395" s="27">
        <v>100</v>
      </c>
      <c r="AK395" s="27" t="s">
        <v>1061</v>
      </c>
      <c r="AL395" s="19" t="s">
        <v>1</v>
      </c>
      <c r="AM395" s="19" t="s">
        <v>1</v>
      </c>
    </row>
    <row r="396" spans="2:39" ht="15" x14ac:dyDescent="0.2">
      <c r="B396" s="108">
        <v>118</v>
      </c>
      <c r="C396" s="16">
        <v>20200408</v>
      </c>
      <c r="D396" s="23" t="s">
        <v>476</v>
      </c>
      <c r="E396" s="33" t="s">
        <v>262</v>
      </c>
      <c r="F396" s="87" t="s">
        <v>1075</v>
      </c>
      <c r="G396" s="33">
        <v>1409394</v>
      </c>
      <c r="H396" s="33"/>
      <c r="I396" s="33" t="s">
        <v>275</v>
      </c>
      <c r="J396" s="33"/>
      <c r="K396" s="10" t="s">
        <v>478</v>
      </c>
      <c r="L396" s="105" t="s">
        <v>1072</v>
      </c>
      <c r="M396" s="105"/>
      <c r="N396" s="105"/>
      <c r="O396" s="105"/>
      <c r="P396" s="19" t="s">
        <v>1086</v>
      </c>
      <c r="Q396" s="16" t="s">
        <v>1098</v>
      </c>
      <c r="R396" s="16"/>
      <c r="S396" s="10" t="s">
        <v>279</v>
      </c>
      <c r="T396" s="10"/>
      <c r="U396" s="10"/>
      <c r="V396" s="33">
        <v>314</v>
      </c>
      <c r="W396" s="10">
        <v>314</v>
      </c>
      <c r="X396" s="10">
        <v>314</v>
      </c>
      <c r="Y396" s="10">
        <v>5.58</v>
      </c>
      <c r="Z396" s="10">
        <v>5</v>
      </c>
      <c r="AA396" s="10" t="s">
        <v>481</v>
      </c>
      <c r="AB396" s="10"/>
      <c r="AC396" s="22">
        <v>43929</v>
      </c>
      <c r="AD396" s="22">
        <v>43941</v>
      </c>
      <c r="AE396" s="22">
        <v>43934</v>
      </c>
      <c r="AF396" s="22">
        <v>43934</v>
      </c>
      <c r="AG396" s="111" t="s">
        <v>482</v>
      </c>
      <c r="AH396" s="27">
        <v>100</v>
      </c>
      <c r="AI396" s="27">
        <v>100</v>
      </c>
      <c r="AJ396" s="27">
        <v>100</v>
      </c>
      <c r="AK396" s="27" t="s">
        <v>1061</v>
      </c>
      <c r="AL396" s="19" t="s">
        <v>1</v>
      </c>
      <c r="AM396" s="19" t="s">
        <v>1</v>
      </c>
    </row>
    <row r="397" spans="2:39" ht="15" x14ac:dyDescent="0.2">
      <c r="B397" s="108">
        <v>119</v>
      </c>
      <c r="C397" s="16">
        <v>20200408</v>
      </c>
      <c r="D397" s="23" t="s">
        <v>476</v>
      </c>
      <c r="E397" s="33" t="s">
        <v>262</v>
      </c>
      <c r="F397" s="87" t="s">
        <v>1074</v>
      </c>
      <c r="G397" s="33">
        <v>1409394</v>
      </c>
      <c r="H397" s="33"/>
      <c r="I397" s="33" t="s">
        <v>276</v>
      </c>
      <c r="J397" s="33"/>
      <c r="K397" s="10" t="s">
        <v>478</v>
      </c>
      <c r="L397" s="105" t="s">
        <v>1072</v>
      </c>
      <c r="M397" s="105"/>
      <c r="N397" s="105"/>
      <c r="O397" s="105"/>
      <c r="P397" s="19" t="s">
        <v>1086</v>
      </c>
      <c r="Q397" s="16" t="s">
        <v>1099</v>
      </c>
      <c r="R397" s="16"/>
      <c r="S397" s="10" t="s">
        <v>261</v>
      </c>
      <c r="T397" s="10"/>
      <c r="U397" s="10"/>
      <c r="V397" s="33">
        <v>576</v>
      </c>
      <c r="W397" s="10">
        <v>576</v>
      </c>
      <c r="X397" s="10">
        <v>576</v>
      </c>
      <c r="Y397" s="10">
        <v>10.24</v>
      </c>
      <c r="Z397" s="10">
        <v>6</v>
      </c>
      <c r="AA397" s="10" t="s">
        <v>481</v>
      </c>
      <c r="AB397" s="10"/>
      <c r="AC397" s="22">
        <v>43929</v>
      </c>
      <c r="AD397" s="22">
        <v>43941</v>
      </c>
      <c r="AE397" s="22">
        <v>43931</v>
      </c>
      <c r="AF397" s="22">
        <v>43931</v>
      </c>
      <c r="AG397" s="111" t="s">
        <v>482</v>
      </c>
      <c r="AH397" s="27">
        <v>100</v>
      </c>
      <c r="AI397" s="27">
        <v>100</v>
      </c>
      <c r="AJ397" s="27">
        <v>100</v>
      </c>
      <c r="AK397" s="27" t="s">
        <v>1061</v>
      </c>
      <c r="AL397" s="19" t="s">
        <v>1</v>
      </c>
      <c r="AM397" s="19" t="s">
        <v>1</v>
      </c>
    </row>
    <row r="398" spans="2:39" ht="15" x14ac:dyDescent="0.2">
      <c r="B398" s="108">
        <v>120</v>
      </c>
      <c r="C398" s="16">
        <v>20200408</v>
      </c>
      <c r="D398" s="23" t="s">
        <v>476</v>
      </c>
      <c r="E398" s="33" t="s">
        <v>262</v>
      </c>
      <c r="F398" s="110" t="s">
        <v>1077</v>
      </c>
      <c r="G398" s="33">
        <v>1409394</v>
      </c>
      <c r="H398" s="33"/>
      <c r="I398" s="33" t="s">
        <v>277</v>
      </c>
      <c r="J398" s="33"/>
      <c r="K398" s="10" t="s">
        <v>478</v>
      </c>
      <c r="L398" s="105" t="s">
        <v>1072</v>
      </c>
      <c r="M398" s="105"/>
      <c r="N398" s="105"/>
      <c r="O398" s="105"/>
      <c r="P398" s="19" t="s">
        <v>1086</v>
      </c>
      <c r="Q398" s="16" t="s">
        <v>1100</v>
      </c>
      <c r="R398" s="16"/>
      <c r="S398" s="10" t="s">
        <v>260</v>
      </c>
      <c r="T398" s="10"/>
      <c r="U398" s="10"/>
      <c r="V398" s="33">
        <v>175</v>
      </c>
      <c r="W398" s="10">
        <v>175</v>
      </c>
      <c r="X398" s="10">
        <v>175</v>
      </c>
      <c r="Y398" s="10">
        <v>3.11</v>
      </c>
      <c r="Z398" s="10">
        <v>1</v>
      </c>
      <c r="AA398" s="10" t="s">
        <v>481</v>
      </c>
      <c r="AB398" s="10"/>
      <c r="AC398" s="22">
        <v>43929</v>
      </c>
      <c r="AD398" s="22">
        <v>43941</v>
      </c>
      <c r="AE398" s="22">
        <v>43930</v>
      </c>
      <c r="AF398" s="22">
        <v>43930</v>
      </c>
      <c r="AG398" s="106" t="s">
        <v>482</v>
      </c>
      <c r="AH398" s="10">
        <v>100</v>
      </c>
      <c r="AI398" s="10">
        <v>100</v>
      </c>
      <c r="AJ398" s="10">
        <v>100</v>
      </c>
      <c r="AK398" s="27" t="s">
        <v>1061</v>
      </c>
      <c r="AL398" s="19" t="s">
        <v>1</v>
      </c>
      <c r="AM398" s="19" t="s">
        <v>1</v>
      </c>
    </row>
    <row r="399" spans="2:39" ht="15" x14ac:dyDescent="0.2">
      <c r="B399" s="108">
        <v>121</v>
      </c>
      <c r="C399" s="16">
        <v>20200408</v>
      </c>
      <c r="D399" s="23" t="s">
        <v>476</v>
      </c>
      <c r="E399" s="33" t="s">
        <v>262</v>
      </c>
      <c r="F399" s="87" t="s">
        <v>1071</v>
      </c>
      <c r="G399" s="33">
        <v>1409394</v>
      </c>
      <c r="H399" s="33"/>
      <c r="I399" s="33" t="s">
        <v>278</v>
      </c>
      <c r="J399" s="33"/>
      <c r="K399" s="10" t="s">
        <v>478</v>
      </c>
      <c r="L399" s="105" t="s">
        <v>1072</v>
      </c>
      <c r="M399" s="105"/>
      <c r="N399" s="105"/>
      <c r="O399" s="105"/>
      <c r="P399" s="19" t="s">
        <v>1086</v>
      </c>
      <c r="Q399" s="16" t="s">
        <v>1101</v>
      </c>
      <c r="R399" s="16"/>
      <c r="S399" s="10" t="s">
        <v>279</v>
      </c>
      <c r="T399" s="10"/>
      <c r="U399" s="10"/>
      <c r="V399" s="33">
        <v>33</v>
      </c>
      <c r="W399" s="39">
        <v>12</v>
      </c>
      <c r="X399" s="10">
        <v>12</v>
      </c>
      <c r="Y399" s="10">
        <v>0.21</v>
      </c>
      <c r="Z399" s="10">
        <v>0.1</v>
      </c>
      <c r="AA399" s="10" t="s">
        <v>481</v>
      </c>
      <c r="AB399" s="10"/>
      <c r="AC399" s="22">
        <v>43929</v>
      </c>
      <c r="AD399" s="22">
        <v>43941</v>
      </c>
      <c r="AE399" s="22">
        <v>43931</v>
      </c>
      <c r="AF399" s="22">
        <v>43931</v>
      </c>
      <c r="AG399" s="111" t="s">
        <v>482</v>
      </c>
      <c r="AH399" s="27">
        <v>100</v>
      </c>
      <c r="AI399" s="27">
        <v>100</v>
      </c>
      <c r="AJ399" s="27">
        <v>100</v>
      </c>
      <c r="AK399" s="27" t="s">
        <v>1061</v>
      </c>
      <c r="AL399" s="19" t="s">
        <v>1</v>
      </c>
      <c r="AM399" s="19" t="s">
        <v>1</v>
      </c>
    </row>
    <row r="400" spans="2:39" ht="15" x14ac:dyDescent="0.2">
      <c r="B400" s="89">
        <v>127</v>
      </c>
      <c r="C400" s="16">
        <v>20200410</v>
      </c>
      <c r="D400" s="23" t="s">
        <v>476</v>
      </c>
      <c r="E400" s="16" t="s">
        <v>280</v>
      </c>
      <c r="F400" s="52" t="s">
        <v>1103</v>
      </c>
      <c r="G400" s="16">
        <v>1411876</v>
      </c>
      <c r="H400" s="16"/>
      <c r="I400" s="16" t="s">
        <v>281</v>
      </c>
      <c r="J400" s="16"/>
      <c r="K400" s="10" t="s">
        <v>478</v>
      </c>
      <c r="L400" s="105" t="s">
        <v>1</v>
      </c>
      <c r="M400" s="105"/>
      <c r="N400" s="105"/>
      <c r="O400" s="105"/>
      <c r="P400" s="19" t="s">
        <v>1139</v>
      </c>
      <c r="Q400" s="16" t="s">
        <v>1140</v>
      </c>
      <c r="R400" s="16"/>
      <c r="S400" s="10" t="s">
        <v>279</v>
      </c>
      <c r="T400" s="10"/>
      <c r="U400" s="10"/>
      <c r="V400" s="10">
        <v>278</v>
      </c>
      <c r="W400" s="10">
        <v>278</v>
      </c>
      <c r="X400" s="10">
        <v>278</v>
      </c>
      <c r="Y400" s="10">
        <v>4.9400000000000004</v>
      </c>
      <c r="Z400" s="10">
        <v>3</v>
      </c>
      <c r="AA400" s="10" t="s">
        <v>481</v>
      </c>
      <c r="AB400" s="10"/>
      <c r="AC400" s="22">
        <v>43934</v>
      </c>
      <c r="AD400" s="22">
        <v>43945</v>
      </c>
      <c r="AE400" s="22">
        <v>43934</v>
      </c>
      <c r="AF400" s="22">
        <v>43934</v>
      </c>
      <c r="AG400" s="111" t="s">
        <v>482</v>
      </c>
      <c r="AH400" s="27">
        <v>100</v>
      </c>
      <c r="AI400" s="27">
        <v>100</v>
      </c>
      <c r="AJ400" s="27">
        <v>100</v>
      </c>
      <c r="AK400" s="27" t="s">
        <v>1061</v>
      </c>
      <c r="AL400" s="19" t="s">
        <v>1</v>
      </c>
      <c r="AM400" s="19" t="s">
        <v>1</v>
      </c>
    </row>
    <row r="401" spans="2:39" ht="216.75" x14ac:dyDescent="0.25">
      <c r="B401" s="89">
        <v>128</v>
      </c>
      <c r="C401" s="16">
        <v>20200410</v>
      </c>
      <c r="D401" s="23" t="s">
        <v>476</v>
      </c>
      <c r="E401" s="16" t="s">
        <v>280</v>
      </c>
      <c r="F401" s="112" t="s">
        <v>1103</v>
      </c>
      <c r="G401" s="113">
        <v>1411876</v>
      </c>
      <c r="H401" s="113"/>
      <c r="I401" s="59" t="s">
        <v>282</v>
      </c>
      <c r="J401" s="59"/>
      <c r="K401" s="113" t="s">
        <v>478</v>
      </c>
      <c r="L401" s="112" t="s">
        <v>1</v>
      </c>
      <c r="M401" s="112"/>
      <c r="N401" s="112"/>
      <c r="O401" s="112"/>
      <c r="P401" s="19" t="s">
        <v>1139</v>
      </c>
      <c r="Q401" s="16" t="s">
        <v>1141</v>
      </c>
      <c r="R401" s="16"/>
      <c r="S401" s="10" t="s">
        <v>219</v>
      </c>
      <c r="T401" s="10"/>
      <c r="U401" s="10"/>
      <c r="V401" s="10">
        <v>715</v>
      </c>
      <c r="W401" s="10">
        <v>715</v>
      </c>
      <c r="X401" s="67">
        <v>715</v>
      </c>
      <c r="Y401" s="10">
        <v>12.71</v>
      </c>
      <c r="Z401" s="10">
        <v>2</v>
      </c>
      <c r="AA401" s="10" t="s">
        <v>481</v>
      </c>
      <c r="AB401" s="10"/>
      <c r="AC401" s="22">
        <v>43934</v>
      </c>
      <c r="AD401" s="22">
        <v>43945</v>
      </c>
      <c r="AE401" s="22">
        <v>43930</v>
      </c>
      <c r="AF401" s="22">
        <v>43930</v>
      </c>
      <c r="AG401" s="106" t="s">
        <v>489</v>
      </c>
      <c r="AH401" s="27">
        <v>100</v>
      </c>
      <c r="AI401" s="27">
        <v>100</v>
      </c>
      <c r="AJ401" s="27">
        <v>100</v>
      </c>
      <c r="AK401" s="10" t="s">
        <v>650</v>
      </c>
      <c r="AL401" s="128" t="s">
        <v>1308</v>
      </c>
      <c r="AM401" s="19" t="s">
        <v>1</v>
      </c>
    </row>
    <row r="402" spans="2:39" ht="15" x14ac:dyDescent="0.25">
      <c r="B402" s="89">
        <v>129</v>
      </c>
      <c r="C402" s="16">
        <v>20200410</v>
      </c>
      <c r="D402" s="23" t="s">
        <v>476</v>
      </c>
      <c r="E402" s="16" t="s">
        <v>280</v>
      </c>
      <c r="F402" s="114" t="s">
        <v>1103</v>
      </c>
      <c r="G402" s="59">
        <v>1411876</v>
      </c>
      <c r="H402" s="59"/>
      <c r="I402" s="59" t="s">
        <v>283</v>
      </c>
      <c r="J402" s="59"/>
      <c r="K402" s="59" t="s">
        <v>478</v>
      </c>
      <c r="L402" s="115" t="s">
        <v>1</v>
      </c>
      <c r="M402" s="115"/>
      <c r="N402" s="115"/>
      <c r="O402" s="115"/>
      <c r="P402" s="19" t="s">
        <v>1139</v>
      </c>
      <c r="Q402" s="16" t="s">
        <v>1142</v>
      </c>
      <c r="R402" s="16"/>
      <c r="S402" s="10" t="s">
        <v>219</v>
      </c>
      <c r="T402" s="10"/>
      <c r="U402" s="10"/>
      <c r="V402" s="10">
        <v>137</v>
      </c>
      <c r="W402" s="10">
        <v>137</v>
      </c>
      <c r="X402" s="10">
        <v>137</v>
      </c>
      <c r="Y402" s="10">
        <v>2.4300000000000002</v>
      </c>
      <c r="Z402" s="10">
        <v>2</v>
      </c>
      <c r="AA402" s="10" t="s">
        <v>481</v>
      </c>
      <c r="AB402" s="10"/>
      <c r="AC402" s="22">
        <v>43934</v>
      </c>
      <c r="AD402" s="22">
        <v>43945</v>
      </c>
      <c r="AE402" s="22">
        <v>43935</v>
      </c>
      <c r="AF402" s="22">
        <v>43935</v>
      </c>
      <c r="AG402" s="106" t="s">
        <v>489</v>
      </c>
      <c r="AH402" s="10">
        <v>100</v>
      </c>
      <c r="AI402" s="10">
        <v>100</v>
      </c>
      <c r="AJ402" s="10">
        <v>100</v>
      </c>
      <c r="AK402" s="10" t="s">
        <v>1061</v>
      </c>
      <c r="AL402" s="19" t="s">
        <v>1309</v>
      </c>
      <c r="AM402" s="19" t="s">
        <v>1</v>
      </c>
    </row>
    <row r="403" spans="2:39" ht="15" x14ac:dyDescent="0.25">
      <c r="B403" s="89">
        <v>130</v>
      </c>
      <c r="C403" s="16">
        <v>20200410</v>
      </c>
      <c r="D403" s="23" t="s">
        <v>476</v>
      </c>
      <c r="E403" s="16" t="s">
        <v>280</v>
      </c>
      <c r="F403" s="114" t="s">
        <v>1103</v>
      </c>
      <c r="G403" s="59">
        <v>1411876</v>
      </c>
      <c r="H403" s="59"/>
      <c r="I403" s="59" t="s">
        <v>284</v>
      </c>
      <c r="J403" s="59"/>
      <c r="K403" s="59" t="s">
        <v>478</v>
      </c>
      <c r="L403" s="115" t="s">
        <v>1</v>
      </c>
      <c r="M403" s="115"/>
      <c r="N403" s="115"/>
      <c r="O403" s="115"/>
      <c r="P403" s="19" t="s">
        <v>1139</v>
      </c>
      <c r="Q403" s="16" t="s">
        <v>1143</v>
      </c>
      <c r="R403" s="16"/>
      <c r="S403" s="10" t="s">
        <v>219</v>
      </c>
      <c r="T403" s="10"/>
      <c r="U403" s="10"/>
      <c r="V403" s="10">
        <v>132</v>
      </c>
      <c r="W403" s="10">
        <v>132</v>
      </c>
      <c r="X403" s="67">
        <v>132</v>
      </c>
      <c r="Y403" s="10">
        <v>2.34</v>
      </c>
      <c r="Z403" s="10">
        <v>1</v>
      </c>
      <c r="AA403" s="10" t="s">
        <v>481</v>
      </c>
      <c r="AB403" s="10"/>
      <c r="AC403" s="22">
        <v>43934</v>
      </c>
      <c r="AD403" s="22">
        <v>43945</v>
      </c>
      <c r="AE403" s="22">
        <v>43934</v>
      </c>
      <c r="AF403" s="22">
        <v>43934</v>
      </c>
      <c r="AG403" s="106" t="s">
        <v>482</v>
      </c>
      <c r="AH403" s="27">
        <v>100</v>
      </c>
      <c r="AI403" s="27">
        <v>100</v>
      </c>
      <c r="AJ403" s="27">
        <v>100</v>
      </c>
      <c r="AK403" s="27" t="s">
        <v>490</v>
      </c>
      <c r="AL403" s="19" t="s">
        <v>1310</v>
      </c>
      <c r="AM403" s="19" t="s">
        <v>1</v>
      </c>
    </row>
    <row r="404" spans="2:39" ht="15" x14ac:dyDescent="0.25">
      <c r="B404" s="89">
        <v>131</v>
      </c>
      <c r="C404" s="16">
        <v>20200410</v>
      </c>
      <c r="D404" s="23" t="s">
        <v>476</v>
      </c>
      <c r="E404" s="16" t="s">
        <v>280</v>
      </c>
      <c r="F404" s="114" t="s">
        <v>1103</v>
      </c>
      <c r="G404" s="59">
        <v>1411876</v>
      </c>
      <c r="H404" s="59"/>
      <c r="I404" s="59" t="s">
        <v>161</v>
      </c>
      <c r="J404" s="59"/>
      <c r="K404" s="59" t="s">
        <v>478</v>
      </c>
      <c r="L404" s="115" t="s">
        <v>1</v>
      </c>
      <c r="M404" s="115"/>
      <c r="N404" s="115"/>
      <c r="O404" s="115"/>
      <c r="P404" s="19" t="s">
        <v>1139</v>
      </c>
      <c r="Q404" s="16" t="s">
        <v>1144</v>
      </c>
      <c r="R404" s="16"/>
      <c r="S404" s="10" t="s">
        <v>219</v>
      </c>
      <c r="T404" s="10"/>
      <c r="U404" s="10"/>
      <c r="V404" s="10">
        <v>34</v>
      </c>
      <c r="W404" s="10">
        <v>34</v>
      </c>
      <c r="X404" s="10">
        <v>34</v>
      </c>
      <c r="Y404" s="10">
        <v>0.6</v>
      </c>
      <c r="Z404" s="10">
        <v>1</v>
      </c>
      <c r="AA404" s="10" t="s">
        <v>481</v>
      </c>
      <c r="AB404" s="10"/>
      <c r="AC404" s="22">
        <v>43934</v>
      </c>
      <c r="AD404" s="22">
        <v>43945</v>
      </c>
      <c r="AE404" s="22">
        <v>43934</v>
      </c>
      <c r="AF404" s="22">
        <v>43934</v>
      </c>
      <c r="AG404" s="106" t="s">
        <v>482</v>
      </c>
      <c r="AH404" s="27">
        <v>100</v>
      </c>
      <c r="AI404" s="27">
        <v>100</v>
      </c>
      <c r="AJ404" s="27">
        <v>100</v>
      </c>
      <c r="AK404" s="27" t="s">
        <v>1061</v>
      </c>
      <c r="AL404" s="19" t="s">
        <v>1</v>
      </c>
      <c r="AM404" s="19" t="s">
        <v>1</v>
      </c>
    </row>
    <row r="405" spans="2:39" ht="15" x14ac:dyDescent="0.25">
      <c r="B405" s="89">
        <v>132</v>
      </c>
      <c r="C405" s="16">
        <v>20200410</v>
      </c>
      <c r="D405" s="23" t="s">
        <v>476</v>
      </c>
      <c r="E405" s="16" t="s">
        <v>280</v>
      </c>
      <c r="F405" s="114" t="s">
        <v>1103</v>
      </c>
      <c r="G405" s="59">
        <v>1411876</v>
      </c>
      <c r="H405" s="59"/>
      <c r="I405" s="59" t="s">
        <v>285</v>
      </c>
      <c r="J405" s="59"/>
      <c r="K405" s="59" t="s">
        <v>478</v>
      </c>
      <c r="L405" s="115" t="s">
        <v>1</v>
      </c>
      <c r="M405" s="115"/>
      <c r="N405" s="115"/>
      <c r="O405" s="115"/>
      <c r="P405" s="19" t="s">
        <v>1139</v>
      </c>
      <c r="Q405" s="16" t="s">
        <v>1145</v>
      </c>
      <c r="R405" s="16"/>
      <c r="S405" s="10" t="s">
        <v>219</v>
      </c>
      <c r="T405" s="10"/>
      <c r="U405" s="10"/>
      <c r="V405" s="10">
        <v>33</v>
      </c>
      <c r="W405" s="10">
        <v>33</v>
      </c>
      <c r="X405" s="10">
        <v>33</v>
      </c>
      <c r="Y405" s="10">
        <v>0.57999999999999996</v>
      </c>
      <c r="Z405" s="10">
        <v>1</v>
      </c>
      <c r="AA405" s="10" t="s">
        <v>481</v>
      </c>
      <c r="AB405" s="10"/>
      <c r="AC405" s="22">
        <v>43934</v>
      </c>
      <c r="AD405" s="22">
        <v>43945</v>
      </c>
      <c r="AE405" s="22">
        <v>43934</v>
      </c>
      <c r="AF405" s="22">
        <v>43934</v>
      </c>
      <c r="AG405" s="106" t="s">
        <v>482</v>
      </c>
      <c r="AH405" s="27">
        <v>100</v>
      </c>
      <c r="AI405" s="27">
        <v>100</v>
      </c>
      <c r="AJ405" s="27">
        <v>100</v>
      </c>
      <c r="AK405" s="27" t="s">
        <v>1061</v>
      </c>
      <c r="AL405" s="19" t="s">
        <v>1</v>
      </c>
      <c r="AM405" s="19" t="s">
        <v>1</v>
      </c>
    </row>
    <row r="406" spans="2:39" ht="15" x14ac:dyDescent="0.25">
      <c r="B406" s="89">
        <v>133</v>
      </c>
      <c r="C406" s="16">
        <v>20200410</v>
      </c>
      <c r="D406" s="23" t="s">
        <v>476</v>
      </c>
      <c r="E406" s="16" t="s">
        <v>280</v>
      </c>
      <c r="F406" s="114" t="s">
        <v>1103</v>
      </c>
      <c r="G406" s="59">
        <v>1411876</v>
      </c>
      <c r="H406" s="59"/>
      <c r="I406" s="59" t="s">
        <v>286</v>
      </c>
      <c r="J406" s="59"/>
      <c r="K406" s="59" t="s">
        <v>478</v>
      </c>
      <c r="L406" s="115" t="s">
        <v>1</v>
      </c>
      <c r="M406" s="115"/>
      <c r="N406" s="115"/>
      <c r="O406" s="115"/>
      <c r="P406" s="19" t="s">
        <v>1139</v>
      </c>
      <c r="Q406" s="16" t="s">
        <v>1146</v>
      </c>
      <c r="R406" s="16"/>
      <c r="S406" s="10" t="s">
        <v>219</v>
      </c>
      <c r="T406" s="10"/>
      <c r="U406" s="10"/>
      <c r="V406" s="10">
        <v>78</v>
      </c>
      <c r="W406" s="10">
        <v>78</v>
      </c>
      <c r="X406" s="10">
        <v>78</v>
      </c>
      <c r="Y406" s="10">
        <v>1.38</v>
      </c>
      <c r="Z406" s="10">
        <v>1</v>
      </c>
      <c r="AA406" s="10" t="s">
        <v>481</v>
      </c>
      <c r="AB406" s="10"/>
      <c r="AC406" s="22">
        <v>43934</v>
      </c>
      <c r="AD406" s="22">
        <v>43945</v>
      </c>
      <c r="AE406" s="22">
        <v>43934</v>
      </c>
      <c r="AF406" s="22">
        <v>43934</v>
      </c>
      <c r="AG406" s="106" t="s">
        <v>482</v>
      </c>
      <c r="AH406" s="27">
        <v>100</v>
      </c>
      <c r="AI406" s="27">
        <v>100</v>
      </c>
      <c r="AJ406" s="27">
        <v>100</v>
      </c>
      <c r="AK406" s="27" t="s">
        <v>1061</v>
      </c>
      <c r="AL406" s="19" t="s">
        <v>1</v>
      </c>
      <c r="AM406" s="19" t="s">
        <v>1</v>
      </c>
    </row>
    <row r="407" spans="2:39" ht="15" x14ac:dyDescent="0.25">
      <c r="B407" s="89">
        <v>134</v>
      </c>
      <c r="C407" s="16">
        <v>20200410</v>
      </c>
      <c r="D407" s="23" t="s">
        <v>476</v>
      </c>
      <c r="E407" s="16" t="s">
        <v>280</v>
      </c>
      <c r="F407" s="114" t="s">
        <v>1103</v>
      </c>
      <c r="G407" s="59">
        <v>1411876</v>
      </c>
      <c r="H407" s="59"/>
      <c r="I407" s="59" t="s">
        <v>287</v>
      </c>
      <c r="J407" s="59"/>
      <c r="K407" s="59" t="s">
        <v>478</v>
      </c>
      <c r="L407" s="115" t="s">
        <v>1</v>
      </c>
      <c r="M407" s="115"/>
      <c r="N407" s="115"/>
      <c r="O407" s="115"/>
      <c r="P407" s="19" t="s">
        <v>1139</v>
      </c>
      <c r="Q407" s="16" t="s">
        <v>1147</v>
      </c>
      <c r="R407" s="16"/>
      <c r="S407" s="10" t="s">
        <v>219</v>
      </c>
      <c r="T407" s="10"/>
      <c r="U407" s="10"/>
      <c r="V407" s="10">
        <v>65</v>
      </c>
      <c r="W407" s="10">
        <v>65</v>
      </c>
      <c r="X407" s="67">
        <v>65</v>
      </c>
      <c r="Y407" s="10">
        <v>1.1499999999999999</v>
      </c>
      <c r="Z407" s="10">
        <v>2</v>
      </c>
      <c r="AA407" s="10" t="s">
        <v>481</v>
      </c>
      <c r="AB407" s="10"/>
      <c r="AC407" s="22">
        <v>43934</v>
      </c>
      <c r="AD407" s="22">
        <v>43945</v>
      </c>
      <c r="AE407" s="22">
        <v>43934</v>
      </c>
      <c r="AF407" s="22">
        <v>43934</v>
      </c>
      <c r="AG407" s="106" t="s">
        <v>482</v>
      </c>
      <c r="AH407" s="27">
        <v>100</v>
      </c>
      <c r="AI407" s="27">
        <v>100</v>
      </c>
      <c r="AJ407" s="27">
        <v>100</v>
      </c>
      <c r="AK407" s="27" t="s">
        <v>1061</v>
      </c>
      <c r="AL407" s="19" t="s">
        <v>1</v>
      </c>
      <c r="AM407" s="19" t="s">
        <v>1</v>
      </c>
    </row>
    <row r="408" spans="2:39" ht="15" x14ac:dyDescent="0.25">
      <c r="B408" s="89">
        <v>135</v>
      </c>
      <c r="C408" s="16">
        <v>20200410</v>
      </c>
      <c r="D408" s="23" t="s">
        <v>476</v>
      </c>
      <c r="E408" s="16" t="s">
        <v>280</v>
      </c>
      <c r="F408" s="114" t="s">
        <v>1103</v>
      </c>
      <c r="G408" s="59">
        <v>1411876</v>
      </c>
      <c r="H408" s="59"/>
      <c r="I408" s="59" t="s">
        <v>8</v>
      </c>
      <c r="J408" s="59"/>
      <c r="K408" s="59" t="s">
        <v>478</v>
      </c>
      <c r="L408" s="115" t="s">
        <v>1</v>
      </c>
      <c r="M408" s="115"/>
      <c r="N408" s="115"/>
      <c r="O408" s="115"/>
      <c r="P408" s="19" t="s">
        <v>1139</v>
      </c>
      <c r="Q408" s="16" t="s">
        <v>1148</v>
      </c>
      <c r="R408" s="16"/>
      <c r="S408" s="10" t="s">
        <v>219</v>
      </c>
      <c r="T408" s="10"/>
      <c r="U408" s="10"/>
      <c r="V408" s="10">
        <v>109</v>
      </c>
      <c r="W408" s="10">
        <v>109</v>
      </c>
      <c r="X408" s="10">
        <v>109</v>
      </c>
      <c r="Y408" s="10">
        <v>1.93</v>
      </c>
      <c r="Z408" s="10">
        <v>2</v>
      </c>
      <c r="AA408" s="10" t="s">
        <v>481</v>
      </c>
      <c r="AB408" s="10"/>
      <c r="AC408" s="22">
        <v>43934</v>
      </c>
      <c r="AD408" s="22">
        <v>43945</v>
      </c>
      <c r="AE408" s="22">
        <v>43934</v>
      </c>
      <c r="AF408" s="22">
        <v>43934</v>
      </c>
      <c r="AG408" s="106" t="s">
        <v>482</v>
      </c>
      <c r="AH408" s="27">
        <v>100</v>
      </c>
      <c r="AI408" s="27">
        <v>100</v>
      </c>
      <c r="AJ408" s="27">
        <v>100</v>
      </c>
      <c r="AK408" s="27" t="s">
        <v>1061</v>
      </c>
      <c r="AL408" s="19" t="s">
        <v>1</v>
      </c>
      <c r="AM408" s="19" t="s">
        <v>1</v>
      </c>
    </row>
    <row r="409" spans="2:39" ht="15" x14ac:dyDescent="0.25">
      <c r="B409" s="89">
        <v>136</v>
      </c>
      <c r="C409" s="16">
        <v>20200410</v>
      </c>
      <c r="D409" s="23" t="s">
        <v>476</v>
      </c>
      <c r="E409" s="16" t="s">
        <v>280</v>
      </c>
      <c r="F409" s="114" t="s">
        <v>1103</v>
      </c>
      <c r="G409" s="59">
        <v>1411876</v>
      </c>
      <c r="H409" s="59"/>
      <c r="I409" s="59" t="s">
        <v>288</v>
      </c>
      <c r="J409" s="59"/>
      <c r="K409" s="59" t="s">
        <v>478</v>
      </c>
      <c r="L409" s="115" t="s">
        <v>1</v>
      </c>
      <c r="M409" s="115"/>
      <c r="N409" s="115"/>
      <c r="O409" s="115"/>
      <c r="P409" s="19" t="s">
        <v>1139</v>
      </c>
      <c r="Q409" s="16" t="s">
        <v>1149</v>
      </c>
      <c r="R409" s="16"/>
      <c r="S409" s="10" t="s">
        <v>219</v>
      </c>
      <c r="T409" s="10"/>
      <c r="U409" s="10"/>
      <c r="V409" s="10">
        <v>127</v>
      </c>
      <c r="W409" s="10">
        <v>127</v>
      </c>
      <c r="X409" s="10">
        <v>127</v>
      </c>
      <c r="Y409" s="10">
        <v>2.25</v>
      </c>
      <c r="Z409" s="10">
        <v>2</v>
      </c>
      <c r="AA409" s="10" t="s">
        <v>481</v>
      </c>
      <c r="AB409" s="10"/>
      <c r="AC409" s="22">
        <v>43934</v>
      </c>
      <c r="AD409" s="22">
        <v>43945</v>
      </c>
      <c r="AE409" s="22">
        <v>43934</v>
      </c>
      <c r="AF409" s="22">
        <v>43934</v>
      </c>
      <c r="AG409" s="106" t="s">
        <v>482</v>
      </c>
      <c r="AH409" s="27">
        <v>100</v>
      </c>
      <c r="AI409" s="27">
        <v>100</v>
      </c>
      <c r="AJ409" s="27">
        <v>100</v>
      </c>
      <c r="AK409" s="27" t="s">
        <v>1061</v>
      </c>
      <c r="AL409" s="19" t="s">
        <v>1</v>
      </c>
      <c r="AM409" s="19" t="s">
        <v>1</v>
      </c>
    </row>
    <row r="410" spans="2:39" ht="15" x14ac:dyDescent="0.25">
      <c r="B410" s="89">
        <v>137</v>
      </c>
      <c r="C410" s="16">
        <v>20200410</v>
      </c>
      <c r="D410" s="23" t="s">
        <v>476</v>
      </c>
      <c r="E410" s="16" t="s">
        <v>280</v>
      </c>
      <c r="F410" s="114" t="s">
        <v>1103</v>
      </c>
      <c r="G410" s="59">
        <v>1411876</v>
      </c>
      <c r="H410" s="59"/>
      <c r="I410" s="59" t="s">
        <v>289</v>
      </c>
      <c r="J410" s="59"/>
      <c r="K410" s="59" t="s">
        <v>478</v>
      </c>
      <c r="L410" s="115" t="s">
        <v>1</v>
      </c>
      <c r="M410" s="115"/>
      <c r="N410" s="115"/>
      <c r="O410" s="115"/>
      <c r="P410" s="19" t="s">
        <v>1139</v>
      </c>
      <c r="Q410" s="16" t="s">
        <v>1150</v>
      </c>
      <c r="R410" s="16"/>
      <c r="S410" s="10" t="s">
        <v>219</v>
      </c>
      <c r="T410" s="10"/>
      <c r="U410" s="10"/>
      <c r="V410" s="10">
        <v>50</v>
      </c>
      <c r="W410" s="10">
        <v>50</v>
      </c>
      <c r="X410" s="10">
        <v>50</v>
      </c>
      <c r="Y410" s="10">
        <v>0.88</v>
      </c>
      <c r="Z410" s="10">
        <v>2</v>
      </c>
      <c r="AA410" s="10" t="s">
        <v>481</v>
      </c>
      <c r="AB410" s="10"/>
      <c r="AC410" s="22">
        <v>43934</v>
      </c>
      <c r="AD410" s="22">
        <v>43945</v>
      </c>
      <c r="AE410" s="22">
        <v>43934</v>
      </c>
      <c r="AF410" s="22">
        <v>43934</v>
      </c>
      <c r="AG410" s="106" t="s">
        <v>482</v>
      </c>
      <c r="AH410" s="27">
        <v>100</v>
      </c>
      <c r="AI410" s="27">
        <v>100</v>
      </c>
      <c r="AJ410" s="27">
        <v>100</v>
      </c>
      <c r="AK410" s="27" t="s">
        <v>1061</v>
      </c>
      <c r="AL410" s="19" t="s">
        <v>1</v>
      </c>
      <c r="AM410" s="19" t="s">
        <v>1</v>
      </c>
    </row>
    <row r="411" spans="2:39" ht="15" x14ac:dyDescent="0.25">
      <c r="B411" s="89">
        <v>138</v>
      </c>
      <c r="C411" s="16">
        <v>20200410</v>
      </c>
      <c r="D411" s="23" t="s">
        <v>476</v>
      </c>
      <c r="E411" s="16" t="s">
        <v>280</v>
      </c>
      <c r="F411" s="114" t="s">
        <v>1103</v>
      </c>
      <c r="G411" s="59">
        <v>1411876</v>
      </c>
      <c r="H411" s="59"/>
      <c r="I411" s="59" t="s">
        <v>290</v>
      </c>
      <c r="J411" s="59"/>
      <c r="K411" s="59" t="s">
        <v>478</v>
      </c>
      <c r="L411" s="115" t="s">
        <v>1</v>
      </c>
      <c r="M411" s="115"/>
      <c r="N411" s="115"/>
      <c r="O411" s="115"/>
      <c r="P411" s="19" t="s">
        <v>1139</v>
      </c>
      <c r="Q411" s="16" t="s">
        <v>1151</v>
      </c>
      <c r="R411" s="16"/>
      <c r="S411" s="10" t="s">
        <v>219</v>
      </c>
      <c r="T411" s="10"/>
      <c r="U411" s="10"/>
      <c r="V411" s="10">
        <v>426</v>
      </c>
      <c r="W411" s="10">
        <v>426</v>
      </c>
      <c r="X411" s="10">
        <v>426</v>
      </c>
      <c r="Y411" s="10">
        <v>7.57</v>
      </c>
      <c r="Z411" s="10">
        <v>4</v>
      </c>
      <c r="AA411" s="10" t="s">
        <v>481</v>
      </c>
      <c r="AB411" s="10"/>
      <c r="AC411" s="22">
        <v>43934</v>
      </c>
      <c r="AD411" s="22">
        <v>43945</v>
      </c>
      <c r="AE411" s="22">
        <v>43934</v>
      </c>
      <c r="AF411" s="22">
        <v>43934</v>
      </c>
      <c r="AG411" s="106" t="s">
        <v>482</v>
      </c>
      <c r="AH411" s="27">
        <v>100</v>
      </c>
      <c r="AI411" s="27">
        <v>100</v>
      </c>
      <c r="AJ411" s="27">
        <v>100</v>
      </c>
      <c r="AK411" s="27" t="s">
        <v>490</v>
      </c>
      <c r="AL411" s="19" t="s">
        <v>1311</v>
      </c>
      <c r="AM411" s="19" t="s">
        <v>1</v>
      </c>
    </row>
    <row r="412" spans="2:39" ht="15" x14ac:dyDescent="0.25">
      <c r="B412" s="89">
        <v>139</v>
      </c>
      <c r="C412" s="16">
        <v>20200410</v>
      </c>
      <c r="D412" s="23" t="s">
        <v>476</v>
      </c>
      <c r="E412" s="16" t="s">
        <v>280</v>
      </c>
      <c r="F412" s="114" t="s">
        <v>1103</v>
      </c>
      <c r="G412" s="59">
        <v>1411876</v>
      </c>
      <c r="H412" s="59"/>
      <c r="I412" s="59" t="s">
        <v>291</v>
      </c>
      <c r="J412" s="59"/>
      <c r="K412" s="59" t="s">
        <v>478</v>
      </c>
      <c r="L412" s="115" t="s">
        <v>1</v>
      </c>
      <c r="M412" s="115"/>
      <c r="N412" s="115"/>
      <c r="O412" s="115"/>
      <c r="P412" s="19" t="s">
        <v>1139</v>
      </c>
      <c r="Q412" s="16" t="s">
        <v>1152</v>
      </c>
      <c r="R412" s="16"/>
      <c r="S412" s="10" t="s">
        <v>219</v>
      </c>
      <c r="T412" s="10"/>
      <c r="U412" s="10"/>
      <c r="V412" s="10">
        <v>896</v>
      </c>
      <c r="W412" s="10">
        <v>896</v>
      </c>
      <c r="X412" s="10">
        <v>896</v>
      </c>
      <c r="Y412" s="10">
        <v>15.92</v>
      </c>
      <c r="Z412" s="10">
        <v>4</v>
      </c>
      <c r="AA412" s="10" t="s">
        <v>481</v>
      </c>
      <c r="AB412" s="10"/>
      <c r="AC412" s="22">
        <v>43934</v>
      </c>
      <c r="AD412" s="22">
        <v>43945</v>
      </c>
      <c r="AE412" s="22">
        <v>43934</v>
      </c>
      <c r="AF412" s="22">
        <v>43934</v>
      </c>
      <c r="AG412" s="106" t="s">
        <v>482</v>
      </c>
      <c r="AH412" s="27">
        <v>100</v>
      </c>
      <c r="AI412" s="27">
        <v>100</v>
      </c>
      <c r="AJ412" s="27">
        <v>100</v>
      </c>
      <c r="AK412" s="27" t="s">
        <v>1061</v>
      </c>
      <c r="AL412" s="19" t="s">
        <v>1</v>
      </c>
      <c r="AM412" s="19" t="s">
        <v>1</v>
      </c>
    </row>
    <row r="413" spans="2:39" ht="15" x14ac:dyDescent="0.2">
      <c r="B413" s="89">
        <v>140</v>
      </c>
      <c r="C413" s="16">
        <v>20200410</v>
      </c>
      <c r="D413" s="23" t="s">
        <v>476</v>
      </c>
      <c r="E413" s="16" t="s">
        <v>280</v>
      </c>
      <c r="F413" s="52" t="s">
        <v>1103</v>
      </c>
      <c r="G413" s="16">
        <v>1411876</v>
      </c>
      <c r="H413" s="16"/>
      <c r="I413" s="59" t="s">
        <v>292</v>
      </c>
      <c r="J413" s="59"/>
      <c r="K413" s="10" t="s">
        <v>478</v>
      </c>
      <c r="L413" s="105" t="s">
        <v>1</v>
      </c>
      <c r="M413" s="105"/>
      <c r="N413" s="105"/>
      <c r="O413" s="105"/>
      <c r="P413" s="19" t="s">
        <v>1139</v>
      </c>
      <c r="Q413" s="16" t="s">
        <v>1153</v>
      </c>
      <c r="R413" s="16"/>
      <c r="S413" s="10" t="s">
        <v>279</v>
      </c>
      <c r="T413" s="10"/>
      <c r="U413" s="10"/>
      <c r="V413" s="10">
        <v>121</v>
      </c>
      <c r="W413" s="10">
        <v>121</v>
      </c>
      <c r="X413" s="10">
        <v>121</v>
      </c>
      <c r="Y413" s="10">
        <v>2.15</v>
      </c>
      <c r="Z413" s="10">
        <v>1</v>
      </c>
      <c r="AA413" s="10" t="s">
        <v>481</v>
      </c>
      <c r="AB413" s="10"/>
      <c r="AC413" s="22">
        <v>43934</v>
      </c>
      <c r="AD413" s="22">
        <v>43945</v>
      </c>
      <c r="AE413" s="22">
        <v>43935</v>
      </c>
      <c r="AF413" s="22">
        <v>43935</v>
      </c>
      <c r="AG413" s="106" t="s">
        <v>482</v>
      </c>
      <c r="AH413" s="27">
        <v>100</v>
      </c>
      <c r="AI413" s="27">
        <v>100</v>
      </c>
      <c r="AJ413" s="27">
        <v>100</v>
      </c>
      <c r="AK413" s="27" t="s">
        <v>1061</v>
      </c>
      <c r="AL413" s="19" t="s">
        <v>1</v>
      </c>
      <c r="AM413" s="19" t="s">
        <v>1</v>
      </c>
    </row>
    <row r="414" spans="2:39" ht="15" x14ac:dyDescent="0.2">
      <c r="B414" s="89">
        <v>141</v>
      </c>
      <c r="C414" s="16">
        <v>20200410</v>
      </c>
      <c r="D414" s="23" t="s">
        <v>476</v>
      </c>
      <c r="E414" s="16" t="s">
        <v>280</v>
      </c>
      <c r="F414" s="52" t="s">
        <v>1103</v>
      </c>
      <c r="G414" s="16">
        <v>1411876</v>
      </c>
      <c r="H414" s="16"/>
      <c r="I414" s="59" t="s">
        <v>293</v>
      </c>
      <c r="J414" s="59"/>
      <c r="K414" s="10" t="s">
        <v>478</v>
      </c>
      <c r="L414" s="105" t="s">
        <v>1</v>
      </c>
      <c r="M414" s="105"/>
      <c r="N414" s="105"/>
      <c r="O414" s="105"/>
      <c r="P414" s="19" t="s">
        <v>1139</v>
      </c>
      <c r="Q414" s="16" t="s">
        <v>1154</v>
      </c>
      <c r="R414" s="16"/>
      <c r="S414" s="10" t="s">
        <v>279</v>
      </c>
      <c r="T414" s="10"/>
      <c r="U414" s="10"/>
      <c r="V414" s="10">
        <v>251</v>
      </c>
      <c r="W414" s="10">
        <v>251</v>
      </c>
      <c r="X414" s="10">
        <v>251</v>
      </c>
      <c r="Y414" s="10">
        <v>4.46</v>
      </c>
      <c r="Z414" s="10">
        <v>6</v>
      </c>
      <c r="AA414" s="10" t="s">
        <v>481</v>
      </c>
      <c r="AB414" s="10"/>
      <c r="AC414" s="22">
        <v>43934</v>
      </c>
      <c r="AD414" s="22">
        <v>43945</v>
      </c>
      <c r="AE414" s="22">
        <v>43935</v>
      </c>
      <c r="AF414" s="22">
        <v>43936</v>
      </c>
      <c r="AG414" s="106" t="s">
        <v>489</v>
      </c>
      <c r="AH414" s="10">
        <v>100</v>
      </c>
      <c r="AI414" s="10">
        <v>97</v>
      </c>
      <c r="AJ414" s="10">
        <v>60</v>
      </c>
      <c r="AK414" s="10" t="s">
        <v>490</v>
      </c>
      <c r="AL414" s="19" t="s">
        <v>1312</v>
      </c>
      <c r="AM414" s="19" t="s">
        <v>1</v>
      </c>
    </row>
    <row r="415" spans="2:39" ht="15" x14ac:dyDescent="0.2">
      <c r="B415" s="89">
        <v>142</v>
      </c>
      <c r="C415" s="16">
        <v>20200410</v>
      </c>
      <c r="D415" s="23" t="s">
        <v>476</v>
      </c>
      <c r="E415" s="16" t="s">
        <v>280</v>
      </c>
      <c r="F415" s="52" t="s">
        <v>1103</v>
      </c>
      <c r="G415" s="16">
        <v>1411876</v>
      </c>
      <c r="H415" s="16"/>
      <c r="I415" s="59" t="s">
        <v>294</v>
      </c>
      <c r="J415" s="59"/>
      <c r="K415" s="10" t="s">
        <v>478</v>
      </c>
      <c r="L415" s="105" t="s">
        <v>1</v>
      </c>
      <c r="M415" s="105"/>
      <c r="N415" s="105"/>
      <c r="O415" s="105"/>
      <c r="P415" s="19" t="s">
        <v>1139</v>
      </c>
      <c r="Q415" s="16" t="s">
        <v>1155</v>
      </c>
      <c r="R415" s="16"/>
      <c r="S415" s="10" t="s">
        <v>279</v>
      </c>
      <c r="T415" s="10"/>
      <c r="U415" s="10"/>
      <c r="V415" s="10">
        <v>80</v>
      </c>
      <c r="W415" s="10">
        <v>80</v>
      </c>
      <c r="X415" s="10">
        <v>80</v>
      </c>
      <c r="Y415" s="10">
        <v>1.42</v>
      </c>
      <c r="Z415" s="10">
        <v>1</v>
      </c>
      <c r="AA415" s="10" t="s">
        <v>481</v>
      </c>
      <c r="AB415" s="10"/>
      <c r="AC415" s="22">
        <v>43934</v>
      </c>
      <c r="AD415" s="22">
        <v>43945</v>
      </c>
      <c r="AE415" s="22">
        <v>43935</v>
      </c>
      <c r="AF415" s="22">
        <v>43935</v>
      </c>
      <c r="AG415" s="106" t="s">
        <v>482</v>
      </c>
      <c r="AH415" s="27">
        <v>100</v>
      </c>
      <c r="AI415" s="27">
        <v>100</v>
      </c>
      <c r="AJ415" s="27">
        <v>100</v>
      </c>
      <c r="AK415" s="27" t="s">
        <v>1061</v>
      </c>
      <c r="AL415" s="19" t="s">
        <v>1</v>
      </c>
      <c r="AM415" s="19" t="s">
        <v>1</v>
      </c>
    </row>
    <row r="416" spans="2:39" ht="15" x14ac:dyDescent="0.2">
      <c r="B416" s="89">
        <v>143</v>
      </c>
      <c r="C416" s="16">
        <v>20200410</v>
      </c>
      <c r="D416" s="23" t="s">
        <v>476</v>
      </c>
      <c r="E416" s="16" t="s">
        <v>280</v>
      </c>
      <c r="F416" s="52" t="s">
        <v>1103</v>
      </c>
      <c r="G416" s="16">
        <v>1411876</v>
      </c>
      <c r="H416" s="16"/>
      <c r="I416" s="59" t="s">
        <v>9</v>
      </c>
      <c r="J416" s="59"/>
      <c r="K416" s="10" t="s">
        <v>478</v>
      </c>
      <c r="L416" s="105" t="s">
        <v>1</v>
      </c>
      <c r="M416" s="105"/>
      <c r="N416" s="105"/>
      <c r="O416" s="105"/>
      <c r="P416" s="19" t="s">
        <v>1139</v>
      </c>
      <c r="Q416" s="16" t="s">
        <v>1156</v>
      </c>
      <c r="R416" s="16"/>
      <c r="S416" s="10" t="s">
        <v>279</v>
      </c>
      <c r="T416" s="10"/>
      <c r="U416" s="10"/>
      <c r="V416" s="10">
        <v>67</v>
      </c>
      <c r="W416" s="10">
        <v>67</v>
      </c>
      <c r="X416" s="10">
        <v>67</v>
      </c>
      <c r="Y416" s="10">
        <v>1.19</v>
      </c>
      <c r="Z416" s="10">
        <v>1</v>
      </c>
      <c r="AA416" s="10" t="s">
        <v>481</v>
      </c>
      <c r="AB416" s="10"/>
      <c r="AC416" s="22">
        <v>43934</v>
      </c>
      <c r="AD416" s="22">
        <v>43945</v>
      </c>
      <c r="AE416" s="22">
        <v>43935</v>
      </c>
      <c r="AF416" s="22">
        <v>43935</v>
      </c>
      <c r="AG416" s="106" t="s">
        <v>482</v>
      </c>
      <c r="AH416" s="27">
        <v>100</v>
      </c>
      <c r="AI416" s="27">
        <v>100</v>
      </c>
      <c r="AJ416" s="27">
        <v>100</v>
      </c>
      <c r="AK416" s="27" t="s">
        <v>1061</v>
      </c>
      <c r="AL416" s="19" t="s">
        <v>1</v>
      </c>
      <c r="AM416" s="19" t="s">
        <v>1</v>
      </c>
    </row>
    <row r="417" spans="2:39" ht="15" x14ac:dyDescent="0.2">
      <c r="B417" s="89">
        <v>144</v>
      </c>
      <c r="C417" s="16">
        <v>20200410</v>
      </c>
      <c r="D417" s="23" t="s">
        <v>476</v>
      </c>
      <c r="E417" s="16" t="s">
        <v>280</v>
      </c>
      <c r="F417" s="52" t="s">
        <v>1103</v>
      </c>
      <c r="G417" s="16">
        <v>1411876</v>
      </c>
      <c r="H417" s="16"/>
      <c r="I417" s="59" t="s">
        <v>295</v>
      </c>
      <c r="J417" s="59"/>
      <c r="K417" s="10" t="s">
        <v>478</v>
      </c>
      <c r="L417" s="105" t="s">
        <v>1</v>
      </c>
      <c r="M417" s="105"/>
      <c r="N417" s="105"/>
      <c r="O417" s="105"/>
      <c r="P417" s="19" t="s">
        <v>1139</v>
      </c>
      <c r="Q417" s="16" t="s">
        <v>1157</v>
      </c>
      <c r="R417" s="16"/>
      <c r="S417" s="10" t="s">
        <v>279</v>
      </c>
      <c r="T417" s="10"/>
      <c r="U417" s="10"/>
      <c r="V417" s="10">
        <v>33</v>
      </c>
      <c r="W417" s="10">
        <v>33</v>
      </c>
      <c r="X417" s="10">
        <v>33</v>
      </c>
      <c r="Y417" s="10">
        <v>0.57999999999999996</v>
      </c>
      <c r="Z417" s="10">
        <v>0.5</v>
      </c>
      <c r="AA417" s="10" t="s">
        <v>481</v>
      </c>
      <c r="AB417" s="10"/>
      <c r="AC417" s="22">
        <v>43934</v>
      </c>
      <c r="AD417" s="22">
        <v>43945</v>
      </c>
      <c r="AE417" s="22">
        <v>43935</v>
      </c>
      <c r="AF417" s="22">
        <v>43935</v>
      </c>
      <c r="AG417" s="106" t="s">
        <v>482</v>
      </c>
      <c r="AH417" s="27">
        <v>100</v>
      </c>
      <c r="AI417" s="27">
        <v>100</v>
      </c>
      <c r="AJ417" s="27">
        <v>100</v>
      </c>
      <c r="AK417" s="27" t="s">
        <v>1061</v>
      </c>
      <c r="AL417" s="19" t="s">
        <v>1</v>
      </c>
      <c r="AM417" s="19" t="s">
        <v>1</v>
      </c>
    </row>
    <row r="418" spans="2:39" ht="15" x14ac:dyDescent="0.2">
      <c r="B418" s="89">
        <v>145</v>
      </c>
      <c r="C418" s="16">
        <v>20200410</v>
      </c>
      <c r="D418" s="23" t="s">
        <v>476</v>
      </c>
      <c r="E418" s="16" t="s">
        <v>280</v>
      </c>
      <c r="F418" s="52" t="s">
        <v>1103</v>
      </c>
      <c r="G418" s="16">
        <v>1411876</v>
      </c>
      <c r="H418" s="16"/>
      <c r="I418" s="59" t="s">
        <v>296</v>
      </c>
      <c r="J418" s="59"/>
      <c r="K418" s="10" t="s">
        <v>478</v>
      </c>
      <c r="L418" s="105" t="s">
        <v>1</v>
      </c>
      <c r="M418" s="105"/>
      <c r="N418" s="105"/>
      <c r="O418" s="105"/>
      <c r="P418" s="19" t="s">
        <v>1139</v>
      </c>
      <c r="Q418" s="16" t="s">
        <v>1158</v>
      </c>
      <c r="R418" s="16"/>
      <c r="S418" s="10" t="s">
        <v>279</v>
      </c>
      <c r="T418" s="10"/>
      <c r="U418" s="10"/>
      <c r="V418" s="10">
        <v>23</v>
      </c>
      <c r="W418" s="10">
        <v>23</v>
      </c>
      <c r="X418" s="10">
        <v>23</v>
      </c>
      <c r="Y418" s="10">
        <v>0.4</v>
      </c>
      <c r="Z418" s="10">
        <v>0.2</v>
      </c>
      <c r="AA418" s="10" t="s">
        <v>481</v>
      </c>
      <c r="AB418" s="10"/>
      <c r="AC418" s="22">
        <v>43934</v>
      </c>
      <c r="AD418" s="22">
        <v>43945</v>
      </c>
      <c r="AE418" s="22">
        <v>43935</v>
      </c>
      <c r="AF418" s="22">
        <v>43935</v>
      </c>
      <c r="AG418" s="106" t="s">
        <v>482</v>
      </c>
      <c r="AH418" s="27">
        <v>100</v>
      </c>
      <c r="AI418" s="27">
        <v>100</v>
      </c>
      <c r="AJ418" s="27">
        <v>100</v>
      </c>
      <c r="AK418" s="27" t="s">
        <v>1061</v>
      </c>
      <c r="AL418" s="19" t="s">
        <v>1</v>
      </c>
      <c r="AM418" s="19" t="s">
        <v>1</v>
      </c>
    </row>
    <row r="419" spans="2:39" ht="15" x14ac:dyDescent="0.2">
      <c r="B419" s="89">
        <v>146</v>
      </c>
      <c r="C419" s="16">
        <v>20200410</v>
      </c>
      <c r="D419" s="23" t="s">
        <v>476</v>
      </c>
      <c r="E419" s="16" t="s">
        <v>280</v>
      </c>
      <c r="F419" s="52" t="s">
        <v>1103</v>
      </c>
      <c r="G419" s="16">
        <v>1411876</v>
      </c>
      <c r="H419" s="16"/>
      <c r="I419" s="16" t="s">
        <v>297</v>
      </c>
      <c r="J419" s="16"/>
      <c r="K419" s="10" t="s">
        <v>478</v>
      </c>
      <c r="L419" s="105" t="s">
        <v>1</v>
      </c>
      <c r="M419" s="105"/>
      <c r="N419" s="105"/>
      <c r="O419" s="105"/>
      <c r="P419" s="19" t="s">
        <v>1139</v>
      </c>
      <c r="Q419" s="16" t="s">
        <v>1159</v>
      </c>
      <c r="R419" s="16"/>
      <c r="S419" s="10" t="s">
        <v>279</v>
      </c>
      <c r="T419" s="10"/>
      <c r="U419" s="10"/>
      <c r="V419" s="10">
        <v>124</v>
      </c>
      <c r="W419" s="10">
        <v>124</v>
      </c>
      <c r="X419" s="10">
        <v>124</v>
      </c>
      <c r="Y419" s="10">
        <v>2.2000000000000002</v>
      </c>
      <c r="Z419" s="10">
        <v>0.5</v>
      </c>
      <c r="AA419" s="10" t="s">
        <v>481</v>
      </c>
      <c r="AB419" s="10"/>
      <c r="AC419" s="22">
        <v>43934</v>
      </c>
      <c r="AD419" s="22">
        <v>43945</v>
      </c>
      <c r="AE419" s="22">
        <v>43935</v>
      </c>
      <c r="AF419" s="22">
        <v>43935</v>
      </c>
      <c r="AG419" s="106" t="s">
        <v>482</v>
      </c>
      <c r="AH419" s="27" t="s">
        <v>1</v>
      </c>
      <c r="AI419" s="27" t="s">
        <v>1</v>
      </c>
      <c r="AJ419" s="27" t="s">
        <v>1</v>
      </c>
      <c r="AK419" s="10" t="s">
        <v>1061</v>
      </c>
      <c r="AL419" s="19" t="s">
        <v>1313</v>
      </c>
      <c r="AM419" s="19" t="s">
        <v>1</v>
      </c>
    </row>
    <row r="420" spans="2:39" ht="15" x14ac:dyDescent="0.2">
      <c r="B420" s="89">
        <v>147</v>
      </c>
      <c r="C420" s="16">
        <v>20200410</v>
      </c>
      <c r="D420" s="23" t="s">
        <v>476</v>
      </c>
      <c r="E420" s="16" t="s">
        <v>280</v>
      </c>
      <c r="F420" s="52" t="s">
        <v>1103</v>
      </c>
      <c r="G420" s="16">
        <v>1411876</v>
      </c>
      <c r="H420" s="16"/>
      <c r="I420" s="59" t="s">
        <v>298</v>
      </c>
      <c r="J420" s="59"/>
      <c r="K420" s="10" t="s">
        <v>478</v>
      </c>
      <c r="L420" s="105" t="s">
        <v>1</v>
      </c>
      <c r="M420" s="105"/>
      <c r="N420" s="105"/>
      <c r="O420" s="105"/>
      <c r="P420" s="19" t="s">
        <v>1139</v>
      </c>
      <c r="Q420" s="16" t="s">
        <v>1160</v>
      </c>
      <c r="R420" s="16"/>
      <c r="S420" s="10" t="s">
        <v>279</v>
      </c>
      <c r="T420" s="10"/>
      <c r="U420" s="10"/>
      <c r="V420" s="10">
        <v>131</v>
      </c>
      <c r="W420" s="10">
        <v>131</v>
      </c>
      <c r="X420" s="10">
        <v>131</v>
      </c>
      <c r="Y420" s="10">
        <v>2.3199999999999998</v>
      </c>
      <c r="Z420" s="10">
        <v>2</v>
      </c>
      <c r="AA420" s="10" t="s">
        <v>481</v>
      </c>
      <c r="AB420" s="10"/>
      <c r="AC420" s="22">
        <v>43934</v>
      </c>
      <c r="AD420" s="22">
        <v>43945</v>
      </c>
      <c r="AE420" s="22">
        <v>43935</v>
      </c>
      <c r="AF420" s="22">
        <v>43935</v>
      </c>
      <c r="AG420" s="106" t="s">
        <v>482</v>
      </c>
      <c r="AH420" s="27">
        <v>100</v>
      </c>
      <c r="AI420" s="27">
        <v>100</v>
      </c>
      <c r="AJ420" s="27">
        <v>100</v>
      </c>
      <c r="AK420" s="27" t="s">
        <v>1061</v>
      </c>
      <c r="AL420" s="19" t="s">
        <v>1</v>
      </c>
      <c r="AM420" s="19" t="s">
        <v>1</v>
      </c>
    </row>
    <row r="421" spans="2:39" ht="15" x14ac:dyDescent="0.2">
      <c r="B421" s="89">
        <v>148</v>
      </c>
      <c r="C421" s="16">
        <v>20200410</v>
      </c>
      <c r="D421" s="23" t="s">
        <v>476</v>
      </c>
      <c r="E421" s="16" t="s">
        <v>280</v>
      </c>
      <c r="F421" s="52" t="s">
        <v>1103</v>
      </c>
      <c r="G421" s="16">
        <v>1411876</v>
      </c>
      <c r="H421" s="16"/>
      <c r="I421" s="59" t="s">
        <v>299</v>
      </c>
      <c r="J421" s="59"/>
      <c r="K421" s="16" t="s">
        <v>478</v>
      </c>
      <c r="L421" s="116" t="s">
        <v>1</v>
      </c>
      <c r="M421" s="116"/>
      <c r="N421" s="116"/>
      <c r="O421" s="116"/>
      <c r="P421" s="52" t="s">
        <v>1139</v>
      </c>
      <c r="Q421" s="16" t="s">
        <v>1161</v>
      </c>
      <c r="R421" s="16"/>
      <c r="S421" s="16" t="s">
        <v>279</v>
      </c>
      <c r="T421" s="16"/>
      <c r="U421" s="16"/>
      <c r="V421" s="16">
        <v>227</v>
      </c>
      <c r="W421" s="16">
        <v>227</v>
      </c>
      <c r="X421" s="16">
        <v>227</v>
      </c>
      <c r="Y421" s="16">
        <v>4.03</v>
      </c>
      <c r="Z421" s="16">
        <v>4</v>
      </c>
      <c r="AA421" s="10" t="s">
        <v>481</v>
      </c>
      <c r="AB421" s="10"/>
      <c r="AC421" s="49">
        <v>43934</v>
      </c>
      <c r="AD421" s="49">
        <v>43945</v>
      </c>
      <c r="AE421" s="49">
        <v>43935</v>
      </c>
      <c r="AF421" s="49">
        <v>43936</v>
      </c>
      <c r="AG421" s="129" t="s">
        <v>482</v>
      </c>
      <c r="AH421" s="16">
        <v>100</v>
      </c>
      <c r="AI421" s="16">
        <v>100</v>
      </c>
      <c r="AJ421" s="16">
        <v>100</v>
      </c>
      <c r="AK421" s="16" t="s">
        <v>1061</v>
      </c>
      <c r="AL421" s="52" t="s">
        <v>1314</v>
      </c>
      <c r="AM421" s="52" t="s">
        <v>1</v>
      </c>
    </row>
    <row r="422" spans="2:39" ht="15" x14ac:dyDescent="0.2">
      <c r="B422" s="89">
        <v>149</v>
      </c>
      <c r="C422" s="16">
        <v>20200410</v>
      </c>
      <c r="D422" s="23" t="s">
        <v>476</v>
      </c>
      <c r="E422" s="16" t="s">
        <v>280</v>
      </c>
      <c r="F422" s="52" t="s">
        <v>1103</v>
      </c>
      <c r="G422" s="16">
        <v>1411876</v>
      </c>
      <c r="H422" s="16"/>
      <c r="I422" s="59" t="s">
        <v>300</v>
      </c>
      <c r="J422" s="59"/>
      <c r="K422" s="10" t="s">
        <v>478</v>
      </c>
      <c r="L422" s="105" t="s">
        <v>1</v>
      </c>
      <c r="M422" s="105"/>
      <c r="N422" s="105"/>
      <c r="O422" s="105"/>
      <c r="P422" s="19" t="s">
        <v>1139</v>
      </c>
      <c r="Q422" s="16" t="s">
        <v>1162</v>
      </c>
      <c r="R422" s="16"/>
      <c r="S422" s="10" t="s">
        <v>279</v>
      </c>
      <c r="T422" s="10"/>
      <c r="U422" s="10"/>
      <c r="V422" s="10">
        <v>194</v>
      </c>
      <c r="W422" s="10">
        <v>194</v>
      </c>
      <c r="X422" s="10">
        <v>194</v>
      </c>
      <c r="Y422" s="10">
        <v>3.44</v>
      </c>
      <c r="Z422" s="10">
        <v>3</v>
      </c>
      <c r="AA422" s="10" t="s">
        <v>481</v>
      </c>
      <c r="AB422" s="10"/>
      <c r="AC422" s="22">
        <v>43934</v>
      </c>
      <c r="AD422" s="22">
        <v>43945</v>
      </c>
      <c r="AE422" s="22">
        <v>43936</v>
      </c>
      <c r="AF422" s="22">
        <v>43937</v>
      </c>
      <c r="AG422" s="106" t="s">
        <v>489</v>
      </c>
      <c r="AH422" s="10">
        <v>100</v>
      </c>
      <c r="AI422" s="10">
        <v>100</v>
      </c>
      <c r="AJ422" s="10">
        <v>95</v>
      </c>
      <c r="AK422" s="10" t="s">
        <v>490</v>
      </c>
      <c r="AL422" s="19" t="s">
        <v>1315</v>
      </c>
      <c r="AM422" s="19" t="s">
        <v>1</v>
      </c>
    </row>
    <row r="423" spans="2:39" ht="15" x14ac:dyDescent="0.2">
      <c r="B423" s="89">
        <v>150</v>
      </c>
      <c r="C423" s="16">
        <v>20200410</v>
      </c>
      <c r="D423" s="23" t="s">
        <v>476</v>
      </c>
      <c r="E423" s="16" t="s">
        <v>280</v>
      </c>
      <c r="F423" s="52" t="s">
        <v>1103</v>
      </c>
      <c r="G423" s="16">
        <v>1411876</v>
      </c>
      <c r="H423" s="16"/>
      <c r="I423" s="59" t="s">
        <v>301</v>
      </c>
      <c r="J423" s="59"/>
      <c r="K423" s="10" t="s">
        <v>478</v>
      </c>
      <c r="L423" s="105" t="s">
        <v>1</v>
      </c>
      <c r="M423" s="105"/>
      <c r="N423" s="105"/>
      <c r="O423" s="105"/>
      <c r="P423" s="19" t="s">
        <v>1139</v>
      </c>
      <c r="Q423" s="16" t="s">
        <v>1163</v>
      </c>
      <c r="R423" s="16"/>
      <c r="S423" s="10" t="s">
        <v>279</v>
      </c>
      <c r="T423" s="10"/>
      <c r="U423" s="10"/>
      <c r="V423" s="10">
        <v>186</v>
      </c>
      <c r="W423" s="10">
        <v>186</v>
      </c>
      <c r="X423" s="10">
        <v>186</v>
      </c>
      <c r="Y423" s="10">
        <v>3.3</v>
      </c>
      <c r="Z423" s="10">
        <v>2</v>
      </c>
      <c r="AA423" s="10" t="s">
        <v>481</v>
      </c>
      <c r="AB423" s="10"/>
      <c r="AC423" s="22">
        <v>43934</v>
      </c>
      <c r="AD423" s="22">
        <v>43945</v>
      </c>
      <c r="AE423" s="22">
        <v>43937</v>
      </c>
      <c r="AF423" s="22">
        <v>43937</v>
      </c>
      <c r="AG423" s="106" t="s">
        <v>489</v>
      </c>
      <c r="AH423" s="10">
        <v>98</v>
      </c>
      <c r="AI423" s="10">
        <v>97</v>
      </c>
      <c r="AJ423" s="10">
        <v>100</v>
      </c>
      <c r="AK423" s="10" t="s">
        <v>490</v>
      </c>
      <c r="AL423" s="19" t="s">
        <v>1316</v>
      </c>
      <c r="AM423" s="19" t="s">
        <v>1</v>
      </c>
    </row>
    <row r="424" spans="2:39" ht="15" x14ac:dyDescent="0.2">
      <c r="B424" s="89">
        <v>151</v>
      </c>
      <c r="C424" s="16">
        <v>20200410</v>
      </c>
      <c r="D424" s="23" t="s">
        <v>476</v>
      </c>
      <c r="E424" s="16" t="s">
        <v>280</v>
      </c>
      <c r="F424" s="52" t="s">
        <v>1103</v>
      </c>
      <c r="G424" s="16">
        <v>1411876</v>
      </c>
      <c r="H424" s="16"/>
      <c r="I424" s="59" t="s">
        <v>302</v>
      </c>
      <c r="J424" s="59"/>
      <c r="K424" s="10" t="s">
        <v>478</v>
      </c>
      <c r="L424" s="105" t="s">
        <v>1</v>
      </c>
      <c r="M424" s="105"/>
      <c r="N424" s="105"/>
      <c r="O424" s="105"/>
      <c r="P424" s="19" t="s">
        <v>1139</v>
      </c>
      <c r="Q424" s="16" t="s">
        <v>1164</v>
      </c>
      <c r="R424" s="16"/>
      <c r="S424" s="10" t="s">
        <v>279</v>
      </c>
      <c r="T424" s="10"/>
      <c r="U424" s="10"/>
      <c r="V424" s="10">
        <v>439</v>
      </c>
      <c r="W424" s="10">
        <v>439</v>
      </c>
      <c r="X424" s="10">
        <v>439</v>
      </c>
      <c r="Y424" s="10">
        <v>7.8</v>
      </c>
      <c r="Z424" s="10">
        <v>5</v>
      </c>
      <c r="AA424" s="10" t="s">
        <v>481</v>
      </c>
      <c r="AB424" s="10"/>
      <c r="AC424" s="22">
        <v>43934</v>
      </c>
      <c r="AD424" s="22">
        <v>43945</v>
      </c>
      <c r="AE424" s="22">
        <v>43937</v>
      </c>
      <c r="AF424" s="22">
        <v>43937</v>
      </c>
      <c r="AG424" s="106" t="s">
        <v>482</v>
      </c>
      <c r="AH424" s="10">
        <v>100</v>
      </c>
      <c r="AI424" s="10">
        <v>100</v>
      </c>
      <c r="AJ424" s="10">
        <v>100</v>
      </c>
      <c r="AK424" s="10" t="s">
        <v>1061</v>
      </c>
      <c r="AL424" s="19" t="s">
        <v>1</v>
      </c>
      <c r="AM424" s="19" t="s">
        <v>1</v>
      </c>
    </row>
    <row r="425" spans="2:39" ht="15" x14ac:dyDescent="0.2">
      <c r="B425" s="89">
        <v>152</v>
      </c>
      <c r="C425" s="16">
        <v>20200410</v>
      </c>
      <c r="D425" s="23" t="s">
        <v>476</v>
      </c>
      <c r="E425" s="16" t="s">
        <v>280</v>
      </c>
      <c r="F425" s="52" t="s">
        <v>1103</v>
      </c>
      <c r="G425" s="16">
        <v>1411876</v>
      </c>
      <c r="H425" s="16"/>
      <c r="I425" s="59" t="s">
        <v>303</v>
      </c>
      <c r="J425" s="59"/>
      <c r="K425" s="10" t="s">
        <v>478</v>
      </c>
      <c r="L425" s="105" t="s">
        <v>1</v>
      </c>
      <c r="M425" s="105"/>
      <c r="N425" s="105"/>
      <c r="O425" s="105"/>
      <c r="P425" s="19" t="s">
        <v>1139</v>
      </c>
      <c r="Q425" s="16" t="s">
        <v>1165</v>
      </c>
      <c r="R425" s="16"/>
      <c r="S425" s="10" t="s">
        <v>279</v>
      </c>
      <c r="T425" s="10"/>
      <c r="U425" s="10"/>
      <c r="V425" s="10">
        <v>134</v>
      </c>
      <c r="W425" s="10">
        <v>134</v>
      </c>
      <c r="X425" s="10">
        <v>134</v>
      </c>
      <c r="Y425" s="10">
        <v>2.38</v>
      </c>
      <c r="Z425" s="10">
        <v>1</v>
      </c>
      <c r="AA425" s="10" t="s">
        <v>481</v>
      </c>
      <c r="AB425" s="10"/>
      <c r="AC425" s="22">
        <v>43934</v>
      </c>
      <c r="AD425" s="22">
        <v>43945</v>
      </c>
      <c r="AE425" s="22">
        <v>43937</v>
      </c>
      <c r="AF425" s="22">
        <v>43937</v>
      </c>
      <c r="AG425" s="106" t="s">
        <v>482</v>
      </c>
      <c r="AH425" s="10">
        <v>100</v>
      </c>
      <c r="AI425" s="10">
        <v>100</v>
      </c>
      <c r="AJ425" s="10">
        <v>100</v>
      </c>
      <c r="AK425" s="10" t="s">
        <v>1061</v>
      </c>
      <c r="AL425" s="19" t="s">
        <v>1</v>
      </c>
      <c r="AM425" s="19" t="s">
        <v>1</v>
      </c>
    </row>
    <row r="426" spans="2:39" ht="15" x14ac:dyDescent="0.2">
      <c r="B426" s="89">
        <v>153</v>
      </c>
      <c r="C426" s="16">
        <v>20200410</v>
      </c>
      <c r="D426" s="23" t="s">
        <v>476</v>
      </c>
      <c r="E426" s="16" t="s">
        <v>280</v>
      </c>
      <c r="F426" s="52" t="s">
        <v>1103</v>
      </c>
      <c r="G426" s="16">
        <v>1411876</v>
      </c>
      <c r="H426" s="16"/>
      <c r="I426" s="59" t="s">
        <v>19</v>
      </c>
      <c r="J426" s="59"/>
      <c r="K426" s="10" t="s">
        <v>478</v>
      </c>
      <c r="L426" s="105" t="s">
        <v>1</v>
      </c>
      <c r="M426" s="105"/>
      <c r="N426" s="105"/>
      <c r="O426" s="105"/>
      <c r="P426" s="19" t="s">
        <v>1139</v>
      </c>
      <c r="Q426" s="16" t="s">
        <v>1166</v>
      </c>
      <c r="R426" s="16"/>
      <c r="S426" s="10" t="s">
        <v>279</v>
      </c>
      <c r="T426" s="10"/>
      <c r="U426" s="10"/>
      <c r="V426" s="10">
        <v>237</v>
      </c>
      <c r="W426" s="10">
        <v>237</v>
      </c>
      <c r="X426" s="10">
        <v>237</v>
      </c>
      <c r="Y426" s="10">
        <v>4.21</v>
      </c>
      <c r="Z426" s="10">
        <v>2</v>
      </c>
      <c r="AA426" s="10" t="s">
        <v>481</v>
      </c>
      <c r="AB426" s="10"/>
      <c r="AC426" s="22">
        <v>43934</v>
      </c>
      <c r="AD426" s="22">
        <v>43945</v>
      </c>
      <c r="AE426" s="22">
        <v>43937</v>
      </c>
      <c r="AF426" s="22">
        <v>43937</v>
      </c>
      <c r="AG426" s="106" t="s">
        <v>482</v>
      </c>
      <c r="AH426" s="10">
        <v>100</v>
      </c>
      <c r="AI426" s="10">
        <v>100</v>
      </c>
      <c r="AJ426" s="10">
        <v>100</v>
      </c>
      <c r="AK426" s="10" t="s">
        <v>1061</v>
      </c>
      <c r="AL426" s="19" t="s">
        <v>1</v>
      </c>
      <c r="AM426" s="19" t="s">
        <v>1</v>
      </c>
    </row>
    <row r="427" spans="2:39" ht="15" x14ac:dyDescent="0.2">
      <c r="B427" s="89">
        <v>154</v>
      </c>
      <c r="C427" s="16">
        <v>20200410</v>
      </c>
      <c r="D427" s="23" t="s">
        <v>476</v>
      </c>
      <c r="E427" s="16" t="s">
        <v>280</v>
      </c>
      <c r="F427" s="110" t="s">
        <v>1104</v>
      </c>
      <c r="G427" s="16">
        <v>1411876</v>
      </c>
      <c r="H427" s="16"/>
      <c r="I427" s="59" t="s">
        <v>304</v>
      </c>
      <c r="J427" s="59"/>
      <c r="K427" s="10" t="s">
        <v>478</v>
      </c>
      <c r="L427" s="105" t="s">
        <v>1</v>
      </c>
      <c r="M427" s="105"/>
      <c r="N427" s="105"/>
      <c r="O427" s="105"/>
      <c r="P427" s="19" t="s">
        <v>1139</v>
      </c>
      <c r="Q427" s="16" t="s">
        <v>1167</v>
      </c>
      <c r="R427" s="16"/>
      <c r="S427" s="10" t="s">
        <v>260</v>
      </c>
      <c r="T427" s="10"/>
      <c r="U427" s="10"/>
      <c r="V427" s="10">
        <v>155</v>
      </c>
      <c r="W427" s="10">
        <v>155</v>
      </c>
      <c r="X427" s="10">
        <v>155</v>
      </c>
      <c r="Y427" s="10">
        <v>2.75</v>
      </c>
      <c r="Z427" s="10">
        <v>2</v>
      </c>
      <c r="AA427" s="10" t="s">
        <v>481</v>
      </c>
      <c r="AB427" s="10"/>
      <c r="AC427" s="22">
        <v>43934</v>
      </c>
      <c r="AD427" s="22">
        <v>43945</v>
      </c>
      <c r="AE427" s="22">
        <v>43934</v>
      </c>
      <c r="AF427" s="22">
        <v>43934</v>
      </c>
      <c r="AG427" s="106" t="s">
        <v>489</v>
      </c>
      <c r="AH427" s="10">
        <v>100</v>
      </c>
      <c r="AI427" s="10">
        <v>100</v>
      </c>
      <c r="AJ427" s="10">
        <v>85</v>
      </c>
      <c r="AK427" s="10" t="s">
        <v>490</v>
      </c>
      <c r="AL427" s="19" t="s">
        <v>1317</v>
      </c>
      <c r="AM427" s="19" t="s">
        <v>1</v>
      </c>
    </row>
    <row r="428" spans="2:39" ht="15" x14ac:dyDescent="0.2">
      <c r="B428" s="89">
        <v>155</v>
      </c>
      <c r="C428" s="16">
        <v>20200410</v>
      </c>
      <c r="D428" s="23" t="s">
        <v>476</v>
      </c>
      <c r="E428" s="16" t="s">
        <v>280</v>
      </c>
      <c r="F428" s="52" t="s">
        <v>1103</v>
      </c>
      <c r="G428" s="16">
        <v>1411876</v>
      </c>
      <c r="H428" s="16"/>
      <c r="I428" s="59" t="s">
        <v>305</v>
      </c>
      <c r="J428" s="59"/>
      <c r="K428" s="10" t="s">
        <v>478</v>
      </c>
      <c r="L428" s="105" t="s">
        <v>1</v>
      </c>
      <c r="M428" s="105"/>
      <c r="N428" s="105"/>
      <c r="O428" s="105"/>
      <c r="P428" s="19" t="s">
        <v>1139</v>
      </c>
      <c r="Q428" s="16" t="s">
        <v>1168</v>
      </c>
      <c r="R428" s="16"/>
      <c r="S428" s="10" t="s">
        <v>261</v>
      </c>
      <c r="T428" s="10"/>
      <c r="U428" s="10"/>
      <c r="V428" s="10">
        <v>261</v>
      </c>
      <c r="W428" s="10">
        <v>261</v>
      </c>
      <c r="X428" s="10">
        <v>261</v>
      </c>
      <c r="Y428" s="10">
        <v>4.6399999999999997</v>
      </c>
      <c r="Z428" s="10">
        <v>3</v>
      </c>
      <c r="AA428" s="10" t="s">
        <v>481</v>
      </c>
      <c r="AB428" s="10"/>
      <c r="AC428" s="22">
        <v>43934</v>
      </c>
      <c r="AD428" s="22">
        <v>43945</v>
      </c>
      <c r="AE428" s="22">
        <v>43936</v>
      </c>
      <c r="AF428" s="22">
        <v>43936</v>
      </c>
      <c r="AG428" s="111" t="s">
        <v>482</v>
      </c>
      <c r="AH428" s="27">
        <v>100</v>
      </c>
      <c r="AI428" s="27">
        <v>100</v>
      </c>
      <c r="AJ428" s="27">
        <v>100</v>
      </c>
      <c r="AK428" s="27" t="s">
        <v>1061</v>
      </c>
      <c r="AL428" s="19" t="s">
        <v>1</v>
      </c>
      <c r="AM428" s="19" t="s">
        <v>1318</v>
      </c>
    </row>
    <row r="429" spans="2:39" ht="15" x14ac:dyDescent="0.2">
      <c r="B429" s="89">
        <v>156</v>
      </c>
      <c r="C429" s="16">
        <v>20200410</v>
      </c>
      <c r="D429" s="23" t="s">
        <v>476</v>
      </c>
      <c r="E429" s="16" t="s">
        <v>280</v>
      </c>
      <c r="F429" s="52" t="s">
        <v>1103</v>
      </c>
      <c r="G429" s="16">
        <v>1411876</v>
      </c>
      <c r="H429" s="16"/>
      <c r="I429" s="59" t="s">
        <v>306</v>
      </c>
      <c r="J429" s="59"/>
      <c r="K429" s="10" t="s">
        <v>478</v>
      </c>
      <c r="L429" s="105" t="s">
        <v>1</v>
      </c>
      <c r="M429" s="105"/>
      <c r="N429" s="105"/>
      <c r="O429" s="105"/>
      <c r="P429" s="19" t="s">
        <v>1139</v>
      </c>
      <c r="Q429" s="16" t="s">
        <v>1169</v>
      </c>
      <c r="R429" s="16"/>
      <c r="S429" s="10" t="s">
        <v>261</v>
      </c>
      <c r="T429" s="10"/>
      <c r="U429" s="10"/>
      <c r="V429" s="10">
        <v>172</v>
      </c>
      <c r="W429" s="10">
        <v>172</v>
      </c>
      <c r="X429" s="10">
        <v>172</v>
      </c>
      <c r="Y429" s="10">
        <v>3.05</v>
      </c>
      <c r="Z429" s="10">
        <v>0.5</v>
      </c>
      <c r="AA429" s="10" t="s">
        <v>481</v>
      </c>
      <c r="AB429" s="10"/>
      <c r="AC429" s="22">
        <v>43934</v>
      </c>
      <c r="AD429" s="22">
        <v>43945</v>
      </c>
      <c r="AE429" s="22">
        <v>43936</v>
      </c>
      <c r="AF429" s="22">
        <v>43936</v>
      </c>
      <c r="AG429" s="19" t="s">
        <v>1</v>
      </c>
      <c r="AH429" s="19" t="s">
        <v>1</v>
      </c>
      <c r="AI429" s="19" t="s">
        <v>1</v>
      </c>
      <c r="AJ429" s="19" t="s">
        <v>1</v>
      </c>
      <c r="AK429" s="27" t="s">
        <v>1061</v>
      </c>
      <c r="AL429" s="19" t="s">
        <v>1</v>
      </c>
      <c r="AM429" s="19" t="s">
        <v>1319</v>
      </c>
    </row>
    <row r="430" spans="2:39" ht="15" x14ac:dyDescent="0.2">
      <c r="B430" s="89">
        <v>157</v>
      </c>
      <c r="C430" s="16">
        <v>20200410</v>
      </c>
      <c r="D430" s="23" t="s">
        <v>476</v>
      </c>
      <c r="E430" s="16" t="s">
        <v>280</v>
      </c>
      <c r="F430" s="52" t="s">
        <v>1103</v>
      </c>
      <c r="G430" s="16">
        <v>1411876</v>
      </c>
      <c r="H430" s="16"/>
      <c r="I430" s="59" t="s">
        <v>307</v>
      </c>
      <c r="J430" s="59"/>
      <c r="K430" s="10" t="s">
        <v>478</v>
      </c>
      <c r="L430" s="105" t="s">
        <v>1</v>
      </c>
      <c r="M430" s="105"/>
      <c r="N430" s="105"/>
      <c r="O430" s="105"/>
      <c r="P430" s="19" t="s">
        <v>1139</v>
      </c>
      <c r="Q430" s="16" t="s">
        <v>1170</v>
      </c>
      <c r="R430" s="16"/>
      <c r="S430" s="10" t="s">
        <v>261</v>
      </c>
      <c r="T430" s="10"/>
      <c r="U430" s="10"/>
      <c r="V430" s="10">
        <v>91</v>
      </c>
      <c r="W430" s="10">
        <v>91</v>
      </c>
      <c r="X430" s="10">
        <v>91</v>
      </c>
      <c r="Y430" s="10">
        <v>1.61</v>
      </c>
      <c r="Z430" s="10">
        <v>1.5</v>
      </c>
      <c r="AA430" s="10" t="s">
        <v>481</v>
      </c>
      <c r="AB430" s="10"/>
      <c r="AC430" s="22">
        <v>43934</v>
      </c>
      <c r="AD430" s="22">
        <v>43945</v>
      </c>
      <c r="AE430" s="22">
        <v>43937</v>
      </c>
      <c r="AF430" s="22">
        <v>43937</v>
      </c>
      <c r="AG430" s="111" t="s">
        <v>482</v>
      </c>
      <c r="AH430" s="27">
        <v>100</v>
      </c>
      <c r="AI430" s="27">
        <v>100</v>
      </c>
      <c r="AJ430" s="27">
        <v>100</v>
      </c>
      <c r="AK430" s="27" t="s">
        <v>1061</v>
      </c>
      <c r="AL430" s="19" t="s">
        <v>1</v>
      </c>
      <c r="AM430" s="19" t="s">
        <v>1318</v>
      </c>
    </row>
    <row r="431" spans="2:39" ht="15" x14ac:dyDescent="0.2">
      <c r="B431" s="89">
        <v>158</v>
      </c>
      <c r="C431" s="16">
        <v>20200410</v>
      </c>
      <c r="D431" s="23" t="s">
        <v>476</v>
      </c>
      <c r="E431" s="16" t="s">
        <v>280</v>
      </c>
      <c r="F431" s="52" t="s">
        <v>1103</v>
      </c>
      <c r="G431" s="16">
        <v>1411876</v>
      </c>
      <c r="H431" s="16"/>
      <c r="I431" s="59" t="s">
        <v>308</v>
      </c>
      <c r="J431" s="59"/>
      <c r="K431" s="10" t="s">
        <v>478</v>
      </c>
      <c r="L431" s="105" t="s">
        <v>1</v>
      </c>
      <c r="M431" s="105"/>
      <c r="N431" s="105"/>
      <c r="O431" s="105"/>
      <c r="P431" s="19" t="s">
        <v>1139</v>
      </c>
      <c r="Q431" s="16" t="s">
        <v>1171</v>
      </c>
      <c r="R431" s="16"/>
      <c r="S431" s="10" t="s">
        <v>261</v>
      </c>
      <c r="T431" s="10"/>
      <c r="U431" s="10"/>
      <c r="V431" s="10">
        <v>145</v>
      </c>
      <c r="W431" s="10">
        <v>145</v>
      </c>
      <c r="X431" s="10">
        <v>145</v>
      </c>
      <c r="Y431" s="10">
        <v>2.57</v>
      </c>
      <c r="Z431" s="10">
        <v>2.5</v>
      </c>
      <c r="AA431" s="10" t="s">
        <v>481</v>
      </c>
      <c r="AB431" s="10"/>
      <c r="AC431" s="22">
        <v>43934</v>
      </c>
      <c r="AD431" s="22">
        <v>43945</v>
      </c>
      <c r="AE431" s="22">
        <v>43937</v>
      </c>
      <c r="AF431" s="22">
        <v>43937</v>
      </c>
      <c r="AG431" s="106" t="s">
        <v>489</v>
      </c>
      <c r="AH431" s="10">
        <v>100</v>
      </c>
      <c r="AI431" s="10">
        <v>100</v>
      </c>
      <c r="AJ431" s="10">
        <v>100</v>
      </c>
      <c r="AK431" s="10" t="s">
        <v>490</v>
      </c>
      <c r="AL431" s="19" t="s">
        <v>1317</v>
      </c>
      <c r="AM431" s="19" t="s">
        <v>1318</v>
      </c>
    </row>
    <row r="432" spans="2:39" ht="15" x14ac:dyDescent="0.2">
      <c r="B432" s="89">
        <v>159</v>
      </c>
      <c r="C432" s="16">
        <v>20200410</v>
      </c>
      <c r="D432" s="23" t="s">
        <v>476</v>
      </c>
      <c r="E432" s="16" t="s">
        <v>280</v>
      </c>
      <c r="F432" s="52" t="s">
        <v>1103</v>
      </c>
      <c r="G432" s="16">
        <v>1411876</v>
      </c>
      <c r="H432" s="16"/>
      <c r="I432" s="59" t="s">
        <v>309</v>
      </c>
      <c r="J432" s="59"/>
      <c r="K432" s="10" t="s">
        <v>478</v>
      </c>
      <c r="L432" s="105" t="s">
        <v>1</v>
      </c>
      <c r="M432" s="105"/>
      <c r="N432" s="105"/>
      <c r="O432" s="105"/>
      <c r="P432" s="19" t="s">
        <v>1139</v>
      </c>
      <c r="Q432" s="16" t="s">
        <v>1172</v>
      </c>
      <c r="R432" s="16"/>
      <c r="S432" s="10" t="s">
        <v>261</v>
      </c>
      <c r="T432" s="10"/>
      <c r="U432" s="10"/>
      <c r="V432" s="10">
        <v>169</v>
      </c>
      <c r="W432" s="10">
        <v>169</v>
      </c>
      <c r="X432" s="10">
        <v>169</v>
      </c>
      <c r="Y432" s="10">
        <v>3</v>
      </c>
      <c r="Z432" s="10">
        <v>3</v>
      </c>
      <c r="AA432" s="10" t="s">
        <v>481</v>
      </c>
      <c r="AB432" s="10"/>
      <c r="AC432" s="22">
        <v>43934</v>
      </c>
      <c r="AD432" s="22">
        <v>43945</v>
      </c>
      <c r="AE432" s="22">
        <v>43937</v>
      </c>
      <c r="AF432" s="22">
        <v>43937</v>
      </c>
      <c r="AG432" s="111" t="s">
        <v>482</v>
      </c>
      <c r="AH432" s="27">
        <v>100</v>
      </c>
      <c r="AI432" s="27">
        <v>100</v>
      </c>
      <c r="AJ432" s="27">
        <v>100</v>
      </c>
      <c r="AK432" s="27" t="s">
        <v>1061</v>
      </c>
      <c r="AL432" s="19" t="s">
        <v>1</v>
      </c>
      <c r="AM432" s="19" t="s">
        <v>1318</v>
      </c>
    </row>
    <row r="433" spans="2:39" ht="15" x14ac:dyDescent="0.2">
      <c r="B433" s="89">
        <v>160</v>
      </c>
      <c r="C433" s="16">
        <v>20200410</v>
      </c>
      <c r="D433" s="23" t="s">
        <v>476</v>
      </c>
      <c r="E433" s="16" t="s">
        <v>280</v>
      </c>
      <c r="F433" s="52" t="s">
        <v>1103</v>
      </c>
      <c r="G433" s="16">
        <v>1411876</v>
      </c>
      <c r="H433" s="16"/>
      <c r="I433" s="59" t="s">
        <v>310</v>
      </c>
      <c r="J433" s="59"/>
      <c r="K433" s="10" t="s">
        <v>478</v>
      </c>
      <c r="L433" s="105" t="s">
        <v>1</v>
      </c>
      <c r="M433" s="105"/>
      <c r="N433" s="105"/>
      <c r="O433" s="105"/>
      <c r="P433" s="19" t="s">
        <v>1139</v>
      </c>
      <c r="Q433" s="16" t="s">
        <v>1173</v>
      </c>
      <c r="R433" s="16"/>
      <c r="S433" s="10" t="s">
        <v>261</v>
      </c>
      <c r="T433" s="10"/>
      <c r="U433" s="10"/>
      <c r="V433" s="10">
        <v>335</v>
      </c>
      <c r="W433" s="10">
        <v>335</v>
      </c>
      <c r="X433" s="10">
        <v>335</v>
      </c>
      <c r="Y433" s="10">
        <v>5.95</v>
      </c>
      <c r="Z433" s="10">
        <v>4</v>
      </c>
      <c r="AA433" s="10" t="s">
        <v>481</v>
      </c>
      <c r="AB433" s="10"/>
      <c r="AC433" s="22">
        <v>43934</v>
      </c>
      <c r="AD433" s="22">
        <v>43945</v>
      </c>
      <c r="AE433" s="22">
        <v>43937</v>
      </c>
      <c r="AF433" s="22">
        <v>43937</v>
      </c>
      <c r="AG433" s="111" t="s">
        <v>482</v>
      </c>
      <c r="AH433" s="27">
        <v>100</v>
      </c>
      <c r="AI433" s="27">
        <v>100</v>
      </c>
      <c r="AJ433" s="27">
        <v>100</v>
      </c>
      <c r="AK433" s="27" t="s">
        <v>1061</v>
      </c>
      <c r="AL433" s="19" t="s">
        <v>1</v>
      </c>
      <c r="AM433" s="19" t="s">
        <v>1318</v>
      </c>
    </row>
    <row r="434" spans="2:39" ht="15" x14ac:dyDescent="0.2">
      <c r="B434" s="89">
        <v>161</v>
      </c>
      <c r="C434" s="16">
        <v>20200410</v>
      </c>
      <c r="D434" s="23" t="s">
        <v>476</v>
      </c>
      <c r="E434" s="16" t="s">
        <v>280</v>
      </c>
      <c r="F434" s="52" t="s">
        <v>1103</v>
      </c>
      <c r="G434" s="16">
        <v>1411876</v>
      </c>
      <c r="H434" s="16"/>
      <c r="I434" s="16" t="s">
        <v>311</v>
      </c>
      <c r="J434" s="16"/>
      <c r="K434" s="10" t="s">
        <v>478</v>
      </c>
      <c r="L434" s="105" t="s">
        <v>1</v>
      </c>
      <c r="M434" s="105"/>
      <c r="N434" s="105"/>
      <c r="O434" s="105"/>
      <c r="P434" s="19" t="s">
        <v>1139</v>
      </c>
      <c r="Q434" s="16" t="s">
        <v>1174</v>
      </c>
      <c r="R434" s="16"/>
      <c r="S434" s="10" t="s">
        <v>261</v>
      </c>
      <c r="T434" s="10"/>
      <c r="U434" s="10"/>
      <c r="V434" s="10">
        <v>675</v>
      </c>
      <c r="W434" s="10">
        <v>675</v>
      </c>
      <c r="X434" s="10">
        <v>675</v>
      </c>
      <c r="Y434" s="10">
        <v>12</v>
      </c>
      <c r="Z434" s="10">
        <v>4</v>
      </c>
      <c r="AA434" s="10" t="s">
        <v>481</v>
      </c>
      <c r="AB434" s="10"/>
      <c r="AC434" s="22">
        <v>43934</v>
      </c>
      <c r="AD434" s="22">
        <v>43945</v>
      </c>
      <c r="AE434" s="22">
        <v>43937</v>
      </c>
      <c r="AF434" s="22">
        <v>43937</v>
      </c>
      <c r="AG434" s="106" t="s">
        <v>489</v>
      </c>
      <c r="AH434" s="27">
        <v>98</v>
      </c>
      <c r="AI434" s="27">
        <v>98</v>
      </c>
      <c r="AJ434" s="10">
        <v>100</v>
      </c>
      <c r="AK434" s="10" t="s">
        <v>490</v>
      </c>
      <c r="AL434" s="19" t="s">
        <v>1317</v>
      </c>
      <c r="AM434" s="19" t="s">
        <v>1318</v>
      </c>
    </row>
    <row r="435" spans="2:39" ht="15" x14ac:dyDescent="0.2">
      <c r="B435" s="89">
        <v>162</v>
      </c>
      <c r="C435" s="16">
        <v>20200410</v>
      </c>
      <c r="D435" s="23" t="s">
        <v>476</v>
      </c>
      <c r="E435" s="16" t="s">
        <v>280</v>
      </c>
      <c r="F435" s="52" t="s">
        <v>1103</v>
      </c>
      <c r="G435" s="16">
        <v>1411876</v>
      </c>
      <c r="H435" s="16"/>
      <c r="I435" s="16" t="s">
        <v>312</v>
      </c>
      <c r="J435" s="16"/>
      <c r="K435" s="10" t="s">
        <v>478</v>
      </c>
      <c r="L435" s="105" t="s">
        <v>1</v>
      </c>
      <c r="M435" s="105"/>
      <c r="N435" s="105"/>
      <c r="O435" s="105"/>
      <c r="P435" s="19" t="s">
        <v>1139</v>
      </c>
      <c r="Q435" s="16" t="s">
        <v>1175</v>
      </c>
      <c r="R435" s="16"/>
      <c r="S435" s="10" t="s">
        <v>261</v>
      </c>
      <c r="T435" s="10"/>
      <c r="U435" s="10"/>
      <c r="V435" s="10">
        <v>759</v>
      </c>
      <c r="W435" s="10">
        <v>759</v>
      </c>
      <c r="X435" s="10">
        <v>759</v>
      </c>
      <c r="Y435" s="10">
        <v>13.49</v>
      </c>
      <c r="Z435" s="10">
        <v>7</v>
      </c>
      <c r="AA435" s="10" t="s">
        <v>481</v>
      </c>
      <c r="AB435" s="10"/>
      <c r="AC435" s="22">
        <v>43934</v>
      </c>
      <c r="AD435" s="22">
        <v>43945</v>
      </c>
      <c r="AE435" s="22">
        <v>43938</v>
      </c>
      <c r="AF435" s="22">
        <v>43938</v>
      </c>
      <c r="AG435" s="106" t="s">
        <v>489</v>
      </c>
      <c r="AH435" s="27">
        <v>97</v>
      </c>
      <c r="AI435" s="27">
        <v>92</v>
      </c>
      <c r="AJ435" s="10">
        <v>83</v>
      </c>
      <c r="AK435" s="10" t="s">
        <v>650</v>
      </c>
      <c r="AL435" s="19" t="s">
        <v>1320</v>
      </c>
      <c r="AM435" s="19" t="s">
        <v>1318</v>
      </c>
    </row>
    <row r="436" spans="2:39" ht="15" x14ac:dyDescent="0.2">
      <c r="B436" s="89">
        <v>163</v>
      </c>
      <c r="C436" s="16">
        <v>20200410</v>
      </c>
      <c r="D436" s="23" t="s">
        <v>476</v>
      </c>
      <c r="E436" s="16" t="s">
        <v>280</v>
      </c>
      <c r="F436" s="52" t="s">
        <v>1103</v>
      </c>
      <c r="G436" s="16">
        <v>1411876</v>
      </c>
      <c r="H436" s="16"/>
      <c r="I436" s="59" t="s">
        <v>313</v>
      </c>
      <c r="J436" s="59"/>
      <c r="K436" s="10" t="s">
        <v>478</v>
      </c>
      <c r="L436" s="105" t="s">
        <v>1</v>
      </c>
      <c r="M436" s="105"/>
      <c r="N436" s="105"/>
      <c r="O436" s="105"/>
      <c r="P436" s="19" t="s">
        <v>1139</v>
      </c>
      <c r="Q436" s="16" t="s">
        <v>1176</v>
      </c>
      <c r="R436" s="16"/>
      <c r="S436" s="10" t="s">
        <v>260</v>
      </c>
      <c r="T436" s="10"/>
      <c r="U436" s="10"/>
      <c r="V436" s="10">
        <v>138</v>
      </c>
      <c r="W436" s="10">
        <v>138</v>
      </c>
      <c r="X436" s="10">
        <v>138</v>
      </c>
      <c r="Y436" s="10">
        <v>2.4500000000000002</v>
      </c>
      <c r="Z436" s="10">
        <v>4</v>
      </c>
      <c r="AA436" s="10" t="s">
        <v>481</v>
      </c>
      <c r="AB436" s="10"/>
      <c r="AC436" s="22">
        <v>43934</v>
      </c>
      <c r="AD436" s="22">
        <v>43945</v>
      </c>
      <c r="AE436" s="22">
        <v>43935</v>
      </c>
      <c r="AF436" s="22">
        <v>43935</v>
      </c>
      <c r="AG436" s="106" t="s">
        <v>482</v>
      </c>
      <c r="AH436" s="10">
        <v>100</v>
      </c>
      <c r="AI436" s="10">
        <v>100</v>
      </c>
      <c r="AJ436" s="10">
        <v>100</v>
      </c>
      <c r="AK436" s="10" t="s">
        <v>1061</v>
      </c>
      <c r="AL436" s="19" t="s">
        <v>1</v>
      </c>
      <c r="AM436" s="19" t="s">
        <v>1</v>
      </c>
    </row>
    <row r="437" spans="2:39" ht="15" x14ac:dyDescent="0.2">
      <c r="B437" s="89">
        <v>164</v>
      </c>
      <c r="C437" s="16">
        <v>20200410</v>
      </c>
      <c r="D437" s="23" t="s">
        <v>476</v>
      </c>
      <c r="E437" s="16" t="s">
        <v>280</v>
      </c>
      <c r="F437" s="52" t="s">
        <v>1103</v>
      </c>
      <c r="G437" s="16">
        <v>1411876</v>
      </c>
      <c r="H437" s="16"/>
      <c r="I437" s="59" t="s">
        <v>314</v>
      </c>
      <c r="J437" s="59"/>
      <c r="K437" s="10" t="s">
        <v>478</v>
      </c>
      <c r="L437" s="105" t="s">
        <v>1</v>
      </c>
      <c r="M437" s="105"/>
      <c r="N437" s="105"/>
      <c r="O437" s="105"/>
      <c r="P437" s="19" t="s">
        <v>1139</v>
      </c>
      <c r="Q437" s="16" t="s">
        <v>1177</v>
      </c>
      <c r="R437" s="16"/>
      <c r="S437" s="10" t="s">
        <v>260</v>
      </c>
      <c r="T437" s="10"/>
      <c r="U437" s="10"/>
      <c r="V437" s="10">
        <v>266</v>
      </c>
      <c r="W437" s="10">
        <v>266</v>
      </c>
      <c r="X437" s="10">
        <v>266</v>
      </c>
      <c r="Y437" s="10">
        <v>4.72</v>
      </c>
      <c r="Z437" s="10">
        <v>4.5</v>
      </c>
      <c r="AA437" s="10" t="s">
        <v>481</v>
      </c>
      <c r="AB437" s="10"/>
      <c r="AC437" s="22">
        <v>43934</v>
      </c>
      <c r="AD437" s="22">
        <v>43945</v>
      </c>
      <c r="AE437" s="22">
        <v>43935</v>
      </c>
      <c r="AF437" s="22">
        <v>43935</v>
      </c>
      <c r="AG437" s="106" t="s">
        <v>482</v>
      </c>
      <c r="AH437" s="10">
        <v>100</v>
      </c>
      <c r="AI437" s="10">
        <v>100</v>
      </c>
      <c r="AJ437" s="10">
        <v>100</v>
      </c>
      <c r="AK437" s="10" t="s">
        <v>1061</v>
      </c>
      <c r="AL437" s="19" t="s">
        <v>1</v>
      </c>
      <c r="AM437" s="19" t="s">
        <v>1</v>
      </c>
    </row>
    <row r="438" spans="2:39" ht="15" x14ac:dyDescent="0.2">
      <c r="B438" s="89">
        <v>165</v>
      </c>
      <c r="C438" s="16">
        <v>20200410</v>
      </c>
      <c r="D438" s="23" t="s">
        <v>476</v>
      </c>
      <c r="E438" s="16" t="s">
        <v>280</v>
      </c>
      <c r="F438" s="52" t="s">
        <v>1103</v>
      </c>
      <c r="G438" s="16">
        <v>1411876</v>
      </c>
      <c r="H438" s="16"/>
      <c r="I438" s="59" t="s">
        <v>315</v>
      </c>
      <c r="J438" s="59"/>
      <c r="K438" s="10" t="s">
        <v>478</v>
      </c>
      <c r="L438" s="105" t="s">
        <v>1</v>
      </c>
      <c r="M438" s="105"/>
      <c r="N438" s="105"/>
      <c r="O438" s="105"/>
      <c r="P438" s="19" t="s">
        <v>1139</v>
      </c>
      <c r="Q438" s="16" t="s">
        <v>1178</v>
      </c>
      <c r="R438" s="16"/>
      <c r="S438" s="10" t="s">
        <v>260</v>
      </c>
      <c r="T438" s="10"/>
      <c r="U438" s="10"/>
      <c r="V438" s="10">
        <v>152</v>
      </c>
      <c r="W438" s="10">
        <v>152</v>
      </c>
      <c r="X438" s="10">
        <v>152</v>
      </c>
      <c r="Y438" s="10">
        <v>2.7</v>
      </c>
      <c r="Z438" s="10">
        <v>2.5</v>
      </c>
      <c r="AA438" s="10" t="s">
        <v>481</v>
      </c>
      <c r="AB438" s="10"/>
      <c r="AC438" s="22">
        <v>43934</v>
      </c>
      <c r="AD438" s="22">
        <v>43945</v>
      </c>
      <c r="AE438" s="22">
        <v>43935</v>
      </c>
      <c r="AF438" s="22">
        <v>43935</v>
      </c>
      <c r="AG438" s="106" t="s">
        <v>489</v>
      </c>
      <c r="AH438" s="10">
        <v>100</v>
      </c>
      <c r="AI438" s="10">
        <v>100</v>
      </c>
      <c r="AJ438" s="10">
        <v>96</v>
      </c>
      <c r="AK438" s="10" t="s">
        <v>490</v>
      </c>
      <c r="AL438" s="19" t="s">
        <v>1</v>
      </c>
      <c r="AM438" s="19" t="s">
        <v>1</v>
      </c>
    </row>
    <row r="439" spans="2:39" ht="15" x14ac:dyDescent="0.2">
      <c r="B439" s="89">
        <v>166</v>
      </c>
      <c r="C439" s="16">
        <v>20200410</v>
      </c>
      <c r="D439" s="23" t="s">
        <v>476</v>
      </c>
      <c r="E439" s="16" t="s">
        <v>280</v>
      </c>
      <c r="F439" s="52" t="s">
        <v>1103</v>
      </c>
      <c r="G439" s="16">
        <v>1411876</v>
      </c>
      <c r="H439" s="16"/>
      <c r="I439" s="59" t="s">
        <v>316</v>
      </c>
      <c r="J439" s="59"/>
      <c r="K439" s="10" t="s">
        <v>478</v>
      </c>
      <c r="L439" s="105" t="s">
        <v>1</v>
      </c>
      <c r="M439" s="105"/>
      <c r="N439" s="105"/>
      <c r="O439" s="105"/>
      <c r="P439" s="19" t="s">
        <v>1139</v>
      </c>
      <c r="Q439" s="16" t="s">
        <v>1179</v>
      </c>
      <c r="R439" s="16"/>
      <c r="S439" s="10" t="s">
        <v>261</v>
      </c>
      <c r="T439" s="10"/>
      <c r="U439" s="10"/>
      <c r="V439" s="10">
        <v>9</v>
      </c>
      <c r="W439" s="10">
        <v>9</v>
      </c>
      <c r="X439" s="10">
        <v>9</v>
      </c>
      <c r="Y439" s="10">
        <v>0.16</v>
      </c>
      <c r="Z439" s="10">
        <v>0.1</v>
      </c>
      <c r="AA439" s="10" t="s">
        <v>481</v>
      </c>
      <c r="AB439" s="10"/>
      <c r="AC439" s="22">
        <v>43934</v>
      </c>
      <c r="AD439" s="22">
        <v>43945</v>
      </c>
      <c r="AE439" s="22">
        <v>43942</v>
      </c>
      <c r="AF439" s="22">
        <v>43942</v>
      </c>
      <c r="AG439" s="111" t="s">
        <v>482</v>
      </c>
      <c r="AH439" s="27">
        <v>100</v>
      </c>
      <c r="AI439" s="27">
        <v>100</v>
      </c>
      <c r="AJ439" s="27">
        <v>100</v>
      </c>
      <c r="AK439" s="27" t="s">
        <v>1061</v>
      </c>
      <c r="AL439" s="19" t="s">
        <v>1</v>
      </c>
      <c r="AM439" s="19" t="s">
        <v>1318</v>
      </c>
    </row>
    <row r="440" spans="2:39" ht="15" x14ac:dyDescent="0.2">
      <c r="B440" s="89">
        <v>167</v>
      </c>
      <c r="C440" s="16">
        <v>20200410</v>
      </c>
      <c r="D440" s="23" t="s">
        <v>476</v>
      </c>
      <c r="E440" s="16" t="s">
        <v>280</v>
      </c>
      <c r="F440" s="52" t="s">
        <v>1103</v>
      </c>
      <c r="G440" s="16">
        <v>1411876</v>
      </c>
      <c r="H440" s="16"/>
      <c r="I440" s="59" t="s">
        <v>317</v>
      </c>
      <c r="J440" s="59"/>
      <c r="K440" s="10" t="s">
        <v>478</v>
      </c>
      <c r="L440" s="105" t="s">
        <v>1</v>
      </c>
      <c r="M440" s="105"/>
      <c r="N440" s="105"/>
      <c r="O440" s="105"/>
      <c r="P440" s="19" t="s">
        <v>1139</v>
      </c>
      <c r="Q440" s="16" t="s">
        <v>1180</v>
      </c>
      <c r="R440" s="16"/>
      <c r="S440" s="10" t="s">
        <v>260</v>
      </c>
      <c r="T440" s="10"/>
      <c r="U440" s="10"/>
      <c r="V440" s="10">
        <v>254</v>
      </c>
      <c r="W440" s="10">
        <v>254</v>
      </c>
      <c r="X440" s="10">
        <v>254</v>
      </c>
      <c r="Y440" s="10">
        <v>4.51</v>
      </c>
      <c r="Z440" s="10">
        <v>3</v>
      </c>
      <c r="AA440" s="10" t="s">
        <v>481</v>
      </c>
      <c r="AB440" s="10"/>
      <c r="AC440" s="22">
        <v>43934</v>
      </c>
      <c r="AD440" s="22">
        <v>43945</v>
      </c>
      <c r="AE440" s="22">
        <v>43935</v>
      </c>
      <c r="AF440" s="22">
        <v>43935</v>
      </c>
      <c r="AG440" s="106" t="s">
        <v>482</v>
      </c>
      <c r="AH440" s="10">
        <v>100</v>
      </c>
      <c r="AI440" s="10">
        <v>100</v>
      </c>
      <c r="AJ440" s="10">
        <v>100</v>
      </c>
      <c r="AK440" s="10" t="s">
        <v>490</v>
      </c>
      <c r="AL440" s="19" t="s">
        <v>1317</v>
      </c>
      <c r="AM440" s="19" t="s">
        <v>1</v>
      </c>
    </row>
    <row r="441" spans="2:39" ht="15" x14ac:dyDescent="0.2">
      <c r="B441" s="89">
        <v>168</v>
      </c>
      <c r="C441" s="16">
        <v>20200410</v>
      </c>
      <c r="D441" s="23" t="s">
        <v>476</v>
      </c>
      <c r="E441" s="16" t="s">
        <v>280</v>
      </c>
      <c r="F441" s="52" t="s">
        <v>1103</v>
      </c>
      <c r="G441" s="16">
        <v>1411876</v>
      </c>
      <c r="H441" s="16"/>
      <c r="I441" s="59" t="s">
        <v>318</v>
      </c>
      <c r="J441" s="59"/>
      <c r="K441" s="10" t="s">
        <v>478</v>
      </c>
      <c r="L441" s="105" t="s">
        <v>1</v>
      </c>
      <c r="M441" s="105"/>
      <c r="N441" s="105"/>
      <c r="O441" s="105"/>
      <c r="P441" s="19" t="s">
        <v>1139</v>
      </c>
      <c r="Q441" s="16" t="s">
        <v>1181</v>
      </c>
      <c r="R441" s="16"/>
      <c r="S441" s="10" t="s">
        <v>260</v>
      </c>
      <c r="T441" s="10"/>
      <c r="U441" s="10"/>
      <c r="V441" s="10">
        <v>38</v>
      </c>
      <c r="W441" s="10">
        <v>38</v>
      </c>
      <c r="X441" s="10">
        <v>38</v>
      </c>
      <c r="Y441" s="10">
        <v>0.67</v>
      </c>
      <c r="Z441" s="10">
        <v>1</v>
      </c>
      <c r="AA441" s="10" t="s">
        <v>481</v>
      </c>
      <c r="AB441" s="10"/>
      <c r="AC441" s="22">
        <v>43934</v>
      </c>
      <c r="AD441" s="22">
        <v>43945</v>
      </c>
      <c r="AE441" s="22">
        <v>43936</v>
      </c>
      <c r="AF441" s="22">
        <v>43936</v>
      </c>
      <c r="AG441" s="106" t="s">
        <v>482</v>
      </c>
      <c r="AH441" s="10">
        <v>100</v>
      </c>
      <c r="AI441" s="10">
        <v>100</v>
      </c>
      <c r="AJ441" s="10">
        <v>100</v>
      </c>
      <c r="AK441" s="10" t="s">
        <v>1061</v>
      </c>
      <c r="AL441" s="19" t="s">
        <v>1</v>
      </c>
      <c r="AM441" s="19" t="s">
        <v>1</v>
      </c>
    </row>
    <row r="442" spans="2:39" ht="15" x14ac:dyDescent="0.2">
      <c r="B442" s="89">
        <v>169</v>
      </c>
      <c r="C442" s="16">
        <v>20200410</v>
      </c>
      <c r="D442" s="23" t="s">
        <v>476</v>
      </c>
      <c r="E442" s="16" t="s">
        <v>280</v>
      </c>
      <c r="F442" s="52" t="s">
        <v>1103</v>
      </c>
      <c r="G442" s="16">
        <v>1411876</v>
      </c>
      <c r="H442" s="16"/>
      <c r="I442" s="59" t="s">
        <v>319</v>
      </c>
      <c r="J442" s="59"/>
      <c r="K442" s="10" t="s">
        <v>478</v>
      </c>
      <c r="L442" s="105" t="s">
        <v>1</v>
      </c>
      <c r="M442" s="105"/>
      <c r="N442" s="105"/>
      <c r="O442" s="105"/>
      <c r="P442" s="19" t="s">
        <v>1139</v>
      </c>
      <c r="Q442" s="16" t="s">
        <v>1182</v>
      </c>
      <c r="R442" s="16"/>
      <c r="S442" s="10" t="s">
        <v>260</v>
      </c>
      <c r="T442" s="10"/>
      <c r="U442" s="10"/>
      <c r="V442" s="10">
        <v>81</v>
      </c>
      <c r="W442" s="10">
        <v>81</v>
      </c>
      <c r="X442" s="10">
        <v>81</v>
      </c>
      <c r="Y442" s="10">
        <v>1.44</v>
      </c>
      <c r="Z442" s="10">
        <v>1.4</v>
      </c>
      <c r="AA442" s="10" t="s">
        <v>481</v>
      </c>
      <c r="AB442" s="10"/>
      <c r="AC442" s="22">
        <v>43934</v>
      </c>
      <c r="AD442" s="22">
        <v>43945</v>
      </c>
      <c r="AE442" s="22">
        <v>43936</v>
      </c>
      <c r="AF442" s="22">
        <v>43936</v>
      </c>
      <c r="AG442" s="106" t="s">
        <v>482</v>
      </c>
      <c r="AH442" s="10">
        <v>100</v>
      </c>
      <c r="AI442" s="10">
        <v>100</v>
      </c>
      <c r="AJ442" s="10">
        <v>100</v>
      </c>
      <c r="AK442" s="10" t="s">
        <v>1061</v>
      </c>
      <c r="AL442" s="19" t="s">
        <v>1</v>
      </c>
      <c r="AM442" s="19" t="s">
        <v>1</v>
      </c>
    </row>
    <row r="443" spans="2:39" ht="15" x14ac:dyDescent="0.2">
      <c r="B443" s="89">
        <v>170</v>
      </c>
      <c r="C443" s="16">
        <v>20200410</v>
      </c>
      <c r="D443" s="23" t="s">
        <v>476</v>
      </c>
      <c r="E443" s="16" t="s">
        <v>280</v>
      </c>
      <c r="F443" s="52" t="s">
        <v>1103</v>
      </c>
      <c r="G443" s="16">
        <v>1411876</v>
      </c>
      <c r="H443" s="16"/>
      <c r="I443" s="59" t="s">
        <v>320</v>
      </c>
      <c r="J443" s="59"/>
      <c r="K443" s="10" t="s">
        <v>478</v>
      </c>
      <c r="L443" s="105" t="s">
        <v>1</v>
      </c>
      <c r="M443" s="105"/>
      <c r="N443" s="105"/>
      <c r="O443" s="105"/>
      <c r="P443" s="19" t="s">
        <v>1139</v>
      </c>
      <c r="Q443" s="16" t="s">
        <v>1183</v>
      </c>
      <c r="R443" s="16"/>
      <c r="S443" s="10" t="s">
        <v>261</v>
      </c>
      <c r="T443" s="10"/>
      <c r="U443" s="10"/>
      <c r="V443" s="10">
        <v>35</v>
      </c>
      <c r="W443" s="10">
        <v>35</v>
      </c>
      <c r="X443" s="10">
        <v>35</v>
      </c>
      <c r="Y443" s="10">
        <v>0.62</v>
      </c>
      <c r="Z443" s="10">
        <v>0.5</v>
      </c>
      <c r="AA443" s="10" t="s">
        <v>481</v>
      </c>
      <c r="AB443" s="10"/>
      <c r="AC443" s="22">
        <v>43934</v>
      </c>
      <c r="AD443" s="22">
        <v>43945</v>
      </c>
      <c r="AE443" s="22">
        <v>43943</v>
      </c>
      <c r="AF443" s="22">
        <v>43943</v>
      </c>
      <c r="AG443" s="111" t="s">
        <v>482</v>
      </c>
      <c r="AH443" s="27">
        <v>100</v>
      </c>
      <c r="AI443" s="27">
        <v>100</v>
      </c>
      <c r="AJ443" s="27">
        <v>100</v>
      </c>
      <c r="AK443" s="27" t="s">
        <v>1061</v>
      </c>
      <c r="AL443" s="19" t="s">
        <v>1</v>
      </c>
      <c r="AM443" s="19" t="s">
        <v>1318</v>
      </c>
    </row>
    <row r="444" spans="2:39" ht="15" x14ac:dyDescent="0.2">
      <c r="B444" s="89">
        <v>171</v>
      </c>
      <c r="C444" s="16">
        <v>20200410</v>
      </c>
      <c r="D444" s="23" t="s">
        <v>476</v>
      </c>
      <c r="E444" s="16" t="s">
        <v>280</v>
      </c>
      <c r="F444" s="52" t="s">
        <v>1103</v>
      </c>
      <c r="G444" s="16">
        <v>1411876</v>
      </c>
      <c r="H444" s="16"/>
      <c r="I444" s="59" t="s">
        <v>321</v>
      </c>
      <c r="J444" s="59"/>
      <c r="K444" s="10" t="s">
        <v>478</v>
      </c>
      <c r="L444" s="105" t="s">
        <v>1</v>
      </c>
      <c r="M444" s="105"/>
      <c r="N444" s="105"/>
      <c r="O444" s="105"/>
      <c r="P444" s="19" t="s">
        <v>1139</v>
      </c>
      <c r="Q444" s="16" t="s">
        <v>1184</v>
      </c>
      <c r="R444" s="16"/>
      <c r="S444" s="10" t="s">
        <v>261</v>
      </c>
      <c r="T444" s="10"/>
      <c r="U444" s="10"/>
      <c r="V444" s="10">
        <v>17</v>
      </c>
      <c r="W444" s="10">
        <v>17</v>
      </c>
      <c r="X444" s="10">
        <v>17</v>
      </c>
      <c r="Y444" s="10">
        <v>0.3</v>
      </c>
      <c r="Z444" s="10">
        <v>0.2</v>
      </c>
      <c r="AA444" s="10" t="s">
        <v>481</v>
      </c>
      <c r="AB444" s="10"/>
      <c r="AC444" s="22">
        <v>43934</v>
      </c>
      <c r="AD444" s="22">
        <v>43945</v>
      </c>
      <c r="AE444" s="22">
        <v>43943</v>
      </c>
      <c r="AF444" s="22">
        <v>43943</v>
      </c>
      <c r="AG444" s="111" t="s">
        <v>482</v>
      </c>
      <c r="AH444" s="27">
        <v>100</v>
      </c>
      <c r="AI444" s="27">
        <v>100</v>
      </c>
      <c r="AJ444" s="27">
        <v>100</v>
      </c>
      <c r="AK444" s="27" t="s">
        <v>1061</v>
      </c>
      <c r="AL444" s="19" t="s">
        <v>1</v>
      </c>
      <c r="AM444" s="19" t="s">
        <v>1318</v>
      </c>
    </row>
    <row r="445" spans="2:39" ht="15" x14ac:dyDescent="0.2">
      <c r="B445" s="89">
        <v>172</v>
      </c>
      <c r="C445" s="16">
        <v>20200410</v>
      </c>
      <c r="D445" s="23" t="s">
        <v>476</v>
      </c>
      <c r="E445" s="16" t="s">
        <v>280</v>
      </c>
      <c r="F445" s="52" t="s">
        <v>1103</v>
      </c>
      <c r="G445" s="16">
        <v>1411876</v>
      </c>
      <c r="H445" s="16"/>
      <c r="I445" s="59" t="s">
        <v>322</v>
      </c>
      <c r="J445" s="59"/>
      <c r="K445" s="10" t="s">
        <v>478</v>
      </c>
      <c r="L445" s="105" t="s">
        <v>1</v>
      </c>
      <c r="M445" s="105"/>
      <c r="N445" s="105"/>
      <c r="O445" s="105"/>
      <c r="P445" s="19" t="s">
        <v>1139</v>
      </c>
      <c r="Q445" s="16" t="s">
        <v>1185</v>
      </c>
      <c r="R445" s="16"/>
      <c r="S445" s="10" t="s">
        <v>261</v>
      </c>
      <c r="T445" s="10"/>
      <c r="U445" s="10"/>
      <c r="V445" s="10">
        <v>9</v>
      </c>
      <c r="W445" s="10">
        <v>9</v>
      </c>
      <c r="X445" s="10">
        <v>9</v>
      </c>
      <c r="Y445" s="10">
        <v>0.16</v>
      </c>
      <c r="Z445" s="10">
        <v>0.1</v>
      </c>
      <c r="AA445" s="10" t="s">
        <v>481</v>
      </c>
      <c r="AB445" s="10"/>
      <c r="AC445" s="22">
        <v>43934</v>
      </c>
      <c r="AD445" s="22">
        <v>43945</v>
      </c>
      <c r="AE445" s="22">
        <v>43943</v>
      </c>
      <c r="AF445" s="22">
        <v>43943</v>
      </c>
      <c r="AG445" s="111" t="s">
        <v>482</v>
      </c>
      <c r="AH445" s="27">
        <v>100</v>
      </c>
      <c r="AI445" s="27">
        <v>100</v>
      </c>
      <c r="AJ445" s="27">
        <v>100</v>
      </c>
      <c r="AK445" s="27" t="s">
        <v>1061</v>
      </c>
      <c r="AL445" s="19" t="s">
        <v>1</v>
      </c>
      <c r="AM445" s="19" t="s">
        <v>1318</v>
      </c>
    </row>
    <row r="446" spans="2:39" ht="15" x14ac:dyDescent="0.2">
      <c r="B446" s="89">
        <v>173</v>
      </c>
      <c r="C446" s="16">
        <v>20200410</v>
      </c>
      <c r="D446" s="23" t="s">
        <v>476</v>
      </c>
      <c r="E446" s="16" t="s">
        <v>280</v>
      </c>
      <c r="F446" s="52" t="s">
        <v>1103</v>
      </c>
      <c r="G446" s="16">
        <v>1411876</v>
      </c>
      <c r="H446" s="16"/>
      <c r="I446" s="59" t="s">
        <v>323</v>
      </c>
      <c r="J446" s="59"/>
      <c r="K446" s="10" t="s">
        <v>478</v>
      </c>
      <c r="L446" s="105" t="s">
        <v>1</v>
      </c>
      <c r="M446" s="105"/>
      <c r="N446" s="105"/>
      <c r="O446" s="105"/>
      <c r="P446" s="19" t="s">
        <v>1139</v>
      </c>
      <c r="Q446" s="16" t="s">
        <v>1186</v>
      </c>
      <c r="R446" s="16"/>
      <c r="S446" s="10" t="s">
        <v>260</v>
      </c>
      <c r="T446" s="10"/>
      <c r="U446" s="10"/>
      <c r="V446" s="10">
        <v>123</v>
      </c>
      <c r="W446" s="10">
        <v>123</v>
      </c>
      <c r="X446" s="10">
        <v>123</v>
      </c>
      <c r="Y446" s="10">
        <v>2.1800000000000002</v>
      </c>
      <c r="Z446" s="10">
        <v>1</v>
      </c>
      <c r="AA446" s="10" t="s">
        <v>481</v>
      </c>
      <c r="AB446" s="10"/>
      <c r="AC446" s="22">
        <v>43934</v>
      </c>
      <c r="AD446" s="22">
        <v>43945</v>
      </c>
      <c r="AE446" s="22">
        <v>43936</v>
      </c>
      <c r="AF446" s="22">
        <v>43936</v>
      </c>
      <c r="AG446" s="106" t="s">
        <v>482</v>
      </c>
      <c r="AH446" s="10">
        <v>100</v>
      </c>
      <c r="AI446" s="10">
        <v>100</v>
      </c>
      <c r="AJ446" s="10">
        <v>100</v>
      </c>
      <c r="AK446" s="10" t="s">
        <v>1061</v>
      </c>
      <c r="AL446" s="19" t="s">
        <v>1</v>
      </c>
      <c r="AM446" s="19" t="s">
        <v>1</v>
      </c>
    </row>
    <row r="447" spans="2:39" ht="15" x14ac:dyDescent="0.2">
      <c r="B447" s="89">
        <v>174</v>
      </c>
      <c r="C447" s="16">
        <v>20200410</v>
      </c>
      <c r="D447" s="23" t="s">
        <v>476</v>
      </c>
      <c r="E447" s="16" t="s">
        <v>280</v>
      </c>
      <c r="F447" s="52" t="s">
        <v>1103</v>
      </c>
      <c r="G447" s="16">
        <v>1411876</v>
      </c>
      <c r="H447" s="16"/>
      <c r="I447" s="16" t="s">
        <v>324</v>
      </c>
      <c r="J447" s="16"/>
      <c r="K447" s="10" t="s">
        <v>478</v>
      </c>
      <c r="L447" s="105" t="s">
        <v>1</v>
      </c>
      <c r="M447" s="105"/>
      <c r="N447" s="105"/>
      <c r="O447" s="105"/>
      <c r="P447" s="19" t="s">
        <v>1139</v>
      </c>
      <c r="Q447" s="16" t="s">
        <v>1187</v>
      </c>
      <c r="R447" s="16"/>
      <c r="S447" s="10" t="s">
        <v>260</v>
      </c>
      <c r="T447" s="10"/>
      <c r="U447" s="10"/>
      <c r="V447" s="10">
        <v>371</v>
      </c>
      <c r="W447" s="10">
        <v>371</v>
      </c>
      <c r="X447" s="10">
        <v>371</v>
      </c>
      <c r="Y447" s="10">
        <v>6.59</v>
      </c>
      <c r="Z447" s="10">
        <v>6</v>
      </c>
      <c r="AA447" s="10" t="s">
        <v>481</v>
      </c>
      <c r="AB447" s="10"/>
      <c r="AC447" s="22">
        <v>43934</v>
      </c>
      <c r="AD447" s="22">
        <v>43945</v>
      </c>
      <c r="AE447" s="22">
        <v>43937</v>
      </c>
      <c r="AF447" s="22">
        <v>43937</v>
      </c>
      <c r="AG447" s="106" t="s">
        <v>482</v>
      </c>
      <c r="AH447" s="10">
        <v>100</v>
      </c>
      <c r="AI447" s="10">
        <v>100</v>
      </c>
      <c r="AJ447" s="10">
        <v>100</v>
      </c>
      <c r="AK447" s="10" t="s">
        <v>1061</v>
      </c>
      <c r="AL447" s="19" t="s">
        <v>1</v>
      </c>
      <c r="AM447" s="19" t="s">
        <v>1</v>
      </c>
    </row>
    <row r="448" spans="2:39" ht="15" x14ac:dyDescent="0.2">
      <c r="B448" s="89">
        <v>175</v>
      </c>
      <c r="C448" s="16">
        <v>20200410</v>
      </c>
      <c r="D448" s="23" t="s">
        <v>476</v>
      </c>
      <c r="E448" s="16" t="s">
        <v>280</v>
      </c>
      <c r="F448" s="117" t="s">
        <v>1105</v>
      </c>
      <c r="G448" s="16">
        <v>1411876</v>
      </c>
      <c r="H448" s="16"/>
      <c r="I448" s="16" t="s">
        <v>325</v>
      </c>
      <c r="J448" s="16"/>
      <c r="K448" s="10" t="s">
        <v>478</v>
      </c>
      <c r="L448" s="105" t="s">
        <v>1</v>
      </c>
      <c r="M448" s="105"/>
      <c r="N448" s="105"/>
      <c r="O448" s="105"/>
      <c r="P448" s="19" t="s">
        <v>1188</v>
      </c>
      <c r="Q448" s="16" t="s">
        <v>1189</v>
      </c>
      <c r="R448" s="16"/>
      <c r="S448" s="10" t="s">
        <v>260</v>
      </c>
      <c r="T448" s="10"/>
      <c r="U448" s="10"/>
      <c r="V448" s="10">
        <v>217</v>
      </c>
      <c r="W448" s="10">
        <v>217</v>
      </c>
      <c r="X448" s="10">
        <v>217</v>
      </c>
      <c r="Y448" s="10">
        <v>3.85</v>
      </c>
      <c r="Z448" s="10">
        <v>3</v>
      </c>
      <c r="AA448" s="10" t="s">
        <v>481</v>
      </c>
      <c r="AB448" s="10"/>
      <c r="AC448" s="22">
        <v>43934</v>
      </c>
      <c r="AD448" s="22">
        <v>43945</v>
      </c>
      <c r="AE448" s="22">
        <v>43937</v>
      </c>
      <c r="AF448" s="22">
        <v>43937</v>
      </c>
      <c r="AG448" s="106" t="s">
        <v>482</v>
      </c>
      <c r="AH448" s="10">
        <v>100</v>
      </c>
      <c r="AI448" s="10">
        <v>100</v>
      </c>
      <c r="AJ448" s="10">
        <v>100</v>
      </c>
      <c r="AK448" s="10" t="s">
        <v>1061</v>
      </c>
      <c r="AL448" s="19" t="s">
        <v>1</v>
      </c>
      <c r="AM448" s="19" t="s">
        <v>1</v>
      </c>
    </row>
    <row r="449" spans="2:39" ht="15" x14ac:dyDescent="0.2">
      <c r="B449" s="89">
        <v>176</v>
      </c>
      <c r="C449" s="16">
        <v>20200410</v>
      </c>
      <c r="D449" s="23" t="s">
        <v>476</v>
      </c>
      <c r="E449" s="16" t="s">
        <v>280</v>
      </c>
      <c r="F449" s="110" t="s">
        <v>1106</v>
      </c>
      <c r="G449" s="16">
        <v>1411876</v>
      </c>
      <c r="H449" s="16"/>
      <c r="I449" s="59" t="s">
        <v>326</v>
      </c>
      <c r="J449" s="59"/>
      <c r="K449" s="10" t="s">
        <v>478</v>
      </c>
      <c r="L449" s="105" t="s">
        <v>1</v>
      </c>
      <c r="M449" s="105"/>
      <c r="N449" s="105"/>
      <c r="O449" s="105"/>
      <c r="P449" s="19" t="s">
        <v>1188</v>
      </c>
      <c r="Q449" s="16" t="s">
        <v>1190</v>
      </c>
      <c r="R449" s="16"/>
      <c r="S449" s="10" t="s">
        <v>260</v>
      </c>
      <c r="T449" s="10"/>
      <c r="U449" s="10"/>
      <c r="V449" s="10">
        <v>144</v>
      </c>
      <c r="W449" s="10">
        <v>144</v>
      </c>
      <c r="X449" s="10">
        <v>144</v>
      </c>
      <c r="Y449" s="10">
        <v>2.56</v>
      </c>
      <c r="Z449" s="10">
        <v>2</v>
      </c>
      <c r="AA449" s="10" t="s">
        <v>481</v>
      </c>
      <c r="AB449" s="10"/>
      <c r="AC449" s="22">
        <v>43934</v>
      </c>
      <c r="AD449" s="22">
        <v>43945</v>
      </c>
      <c r="AE449" s="22">
        <v>43937</v>
      </c>
      <c r="AF449" s="22">
        <v>43937</v>
      </c>
      <c r="AG449" s="106" t="s">
        <v>482</v>
      </c>
      <c r="AH449" s="10">
        <v>100</v>
      </c>
      <c r="AI449" s="10">
        <v>100</v>
      </c>
      <c r="AJ449" s="10">
        <v>100</v>
      </c>
      <c r="AK449" s="10" t="s">
        <v>1061</v>
      </c>
      <c r="AL449" s="19" t="s">
        <v>1</v>
      </c>
      <c r="AM449" s="19" t="s">
        <v>1</v>
      </c>
    </row>
    <row r="450" spans="2:39" ht="15" x14ac:dyDescent="0.2">
      <c r="B450" s="89">
        <v>177</v>
      </c>
      <c r="C450" s="16">
        <v>20200410</v>
      </c>
      <c r="D450" s="23" t="s">
        <v>476</v>
      </c>
      <c r="E450" s="16" t="s">
        <v>280</v>
      </c>
      <c r="F450" s="110" t="s">
        <v>1107</v>
      </c>
      <c r="G450" s="16">
        <v>1411876</v>
      </c>
      <c r="H450" s="16"/>
      <c r="I450" s="59" t="s">
        <v>327</v>
      </c>
      <c r="J450" s="59"/>
      <c r="K450" s="10" t="s">
        <v>478</v>
      </c>
      <c r="L450" s="105" t="s">
        <v>1</v>
      </c>
      <c r="M450" s="105"/>
      <c r="N450" s="105"/>
      <c r="O450" s="105"/>
      <c r="P450" s="19" t="s">
        <v>1188</v>
      </c>
      <c r="Q450" s="16" t="s">
        <v>1191</v>
      </c>
      <c r="R450" s="16"/>
      <c r="S450" s="10" t="s">
        <v>260</v>
      </c>
      <c r="T450" s="10"/>
      <c r="U450" s="10"/>
      <c r="V450" s="10">
        <v>97</v>
      </c>
      <c r="W450" s="10">
        <v>97</v>
      </c>
      <c r="X450" s="10">
        <v>97</v>
      </c>
      <c r="Y450" s="10">
        <v>1.72</v>
      </c>
      <c r="Z450" s="10">
        <v>1</v>
      </c>
      <c r="AA450" s="10" t="s">
        <v>481</v>
      </c>
      <c r="AB450" s="10"/>
      <c r="AC450" s="22">
        <v>43934</v>
      </c>
      <c r="AD450" s="22">
        <v>43945</v>
      </c>
      <c r="AE450" s="22">
        <v>43937</v>
      </c>
      <c r="AF450" s="22">
        <v>43937</v>
      </c>
      <c r="AG450" s="106" t="s">
        <v>489</v>
      </c>
      <c r="AH450" s="10">
        <v>100</v>
      </c>
      <c r="AI450" s="10">
        <v>97</v>
      </c>
      <c r="AJ450" s="10">
        <v>100</v>
      </c>
      <c r="AK450" s="10" t="s">
        <v>490</v>
      </c>
      <c r="AL450" s="19" t="s">
        <v>1</v>
      </c>
      <c r="AM450" s="19" t="s">
        <v>1</v>
      </c>
    </row>
    <row r="451" spans="2:39" ht="15" x14ac:dyDescent="0.25">
      <c r="B451" s="118">
        <v>178</v>
      </c>
      <c r="C451" s="16">
        <v>20200413</v>
      </c>
      <c r="D451" s="23" t="s">
        <v>476</v>
      </c>
      <c r="E451" s="33" t="s">
        <v>75</v>
      </c>
      <c r="F451" s="114" t="s">
        <v>1108</v>
      </c>
      <c r="G451" s="59">
        <v>1375671</v>
      </c>
      <c r="H451" s="59"/>
      <c r="I451" s="59" t="s">
        <v>328</v>
      </c>
      <c r="J451" s="59"/>
      <c r="K451" s="59" t="s">
        <v>478</v>
      </c>
      <c r="L451" s="119">
        <v>81728</v>
      </c>
      <c r="M451" s="119"/>
      <c r="N451" s="119"/>
      <c r="O451" s="119"/>
      <c r="P451" s="87" t="s">
        <v>523</v>
      </c>
      <c r="Q451" s="16" t="s">
        <v>1192</v>
      </c>
      <c r="R451" s="16"/>
      <c r="S451" s="10" t="s">
        <v>219</v>
      </c>
      <c r="T451" s="10"/>
      <c r="U451" s="10"/>
      <c r="V451" s="33">
        <v>52</v>
      </c>
      <c r="W451" s="16">
        <v>52</v>
      </c>
      <c r="X451" s="10">
        <v>52</v>
      </c>
      <c r="Y451" s="10">
        <v>0.92</v>
      </c>
      <c r="Z451" s="10">
        <v>1</v>
      </c>
      <c r="AA451" s="10" t="s">
        <v>481</v>
      </c>
      <c r="AB451" s="10"/>
      <c r="AC451" s="22">
        <v>43934</v>
      </c>
      <c r="AD451" s="22">
        <v>43950</v>
      </c>
      <c r="AE451" s="22">
        <v>43938</v>
      </c>
      <c r="AF451" s="22">
        <v>43938</v>
      </c>
      <c r="AG451" s="106" t="s">
        <v>482</v>
      </c>
      <c r="AH451" s="27">
        <v>100</v>
      </c>
      <c r="AI451" s="27">
        <v>100</v>
      </c>
      <c r="AJ451" s="27">
        <v>100</v>
      </c>
      <c r="AK451" s="27" t="s">
        <v>1061</v>
      </c>
      <c r="AL451" s="19" t="s">
        <v>1</v>
      </c>
      <c r="AM451" s="19" t="s">
        <v>1</v>
      </c>
    </row>
    <row r="452" spans="2:39" ht="15" x14ac:dyDescent="0.25">
      <c r="B452" s="118">
        <v>179</v>
      </c>
      <c r="C452" s="16">
        <v>20200413</v>
      </c>
      <c r="D452" s="23" t="s">
        <v>476</v>
      </c>
      <c r="E452" s="33" t="s">
        <v>75</v>
      </c>
      <c r="F452" s="114" t="s">
        <v>1108</v>
      </c>
      <c r="G452" s="59">
        <v>1375671</v>
      </c>
      <c r="H452" s="59"/>
      <c r="I452" s="59" t="s">
        <v>329</v>
      </c>
      <c r="J452" s="59"/>
      <c r="K452" s="59" t="s">
        <v>478</v>
      </c>
      <c r="L452" s="119">
        <v>81728</v>
      </c>
      <c r="M452" s="119"/>
      <c r="N452" s="119"/>
      <c r="O452" s="119"/>
      <c r="P452" s="19" t="s">
        <v>523</v>
      </c>
      <c r="Q452" s="16" t="s">
        <v>1193</v>
      </c>
      <c r="R452" s="16"/>
      <c r="S452" s="10" t="s">
        <v>219</v>
      </c>
      <c r="T452" s="10"/>
      <c r="U452" s="10"/>
      <c r="V452" s="33">
        <v>40</v>
      </c>
      <c r="W452" s="16">
        <v>40</v>
      </c>
      <c r="X452" s="10">
        <v>40</v>
      </c>
      <c r="Y452" s="10">
        <v>0.71</v>
      </c>
      <c r="Z452" s="10">
        <v>1</v>
      </c>
      <c r="AA452" s="10" t="s">
        <v>481</v>
      </c>
      <c r="AB452" s="10"/>
      <c r="AC452" s="22">
        <v>43934</v>
      </c>
      <c r="AD452" s="22">
        <v>43950</v>
      </c>
      <c r="AE452" s="22">
        <v>43938</v>
      </c>
      <c r="AF452" s="22">
        <v>43938</v>
      </c>
      <c r="AG452" s="106" t="s">
        <v>482</v>
      </c>
      <c r="AH452" s="27">
        <v>100</v>
      </c>
      <c r="AI452" s="27">
        <v>100</v>
      </c>
      <c r="AJ452" s="27">
        <v>100</v>
      </c>
      <c r="AK452" s="27" t="s">
        <v>1061</v>
      </c>
      <c r="AL452" s="19" t="s">
        <v>1</v>
      </c>
      <c r="AM452" s="19" t="s">
        <v>1</v>
      </c>
    </row>
    <row r="453" spans="2:39" ht="15" x14ac:dyDescent="0.25">
      <c r="B453" s="118">
        <v>180</v>
      </c>
      <c r="C453" s="16">
        <v>20200413</v>
      </c>
      <c r="D453" s="23" t="s">
        <v>476</v>
      </c>
      <c r="E453" s="33" t="s">
        <v>75</v>
      </c>
      <c r="F453" s="114" t="s">
        <v>1108</v>
      </c>
      <c r="G453" s="59">
        <v>1375671</v>
      </c>
      <c r="H453" s="59"/>
      <c r="I453" s="59" t="s">
        <v>330</v>
      </c>
      <c r="J453" s="59"/>
      <c r="K453" s="59" t="s">
        <v>478</v>
      </c>
      <c r="L453" s="119">
        <v>81728</v>
      </c>
      <c r="M453" s="119"/>
      <c r="N453" s="119"/>
      <c r="O453" s="119"/>
      <c r="P453" s="19" t="s">
        <v>523</v>
      </c>
      <c r="Q453" s="16" t="s">
        <v>1194</v>
      </c>
      <c r="R453" s="16"/>
      <c r="S453" s="10" t="s">
        <v>219</v>
      </c>
      <c r="T453" s="10"/>
      <c r="U453" s="10"/>
      <c r="V453" s="33">
        <v>81</v>
      </c>
      <c r="W453" s="16">
        <v>81</v>
      </c>
      <c r="X453" s="10">
        <v>81</v>
      </c>
      <c r="Y453" s="10">
        <v>1.44</v>
      </c>
      <c r="Z453" s="10">
        <v>1</v>
      </c>
      <c r="AA453" s="10" t="s">
        <v>481</v>
      </c>
      <c r="AB453" s="10"/>
      <c r="AC453" s="22">
        <v>43934</v>
      </c>
      <c r="AD453" s="22">
        <v>43950</v>
      </c>
      <c r="AE453" s="22">
        <v>43937</v>
      </c>
      <c r="AF453" s="22">
        <v>43937</v>
      </c>
      <c r="AG453" s="106" t="s">
        <v>482</v>
      </c>
      <c r="AH453" s="27">
        <v>100</v>
      </c>
      <c r="AI453" s="27">
        <v>100</v>
      </c>
      <c r="AJ453" s="27">
        <v>100</v>
      </c>
      <c r="AK453" s="27" t="s">
        <v>1061</v>
      </c>
      <c r="AL453" s="19" t="s">
        <v>1</v>
      </c>
      <c r="AM453" s="19" t="s">
        <v>1</v>
      </c>
    </row>
    <row r="454" spans="2:39" ht="15" x14ac:dyDescent="0.25">
      <c r="B454" s="118">
        <v>181</v>
      </c>
      <c r="C454" s="16">
        <v>20200413</v>
      </c>
      <c r="D454" s="23" t="s">
        <v>476</v>
      </c>
      <c r="E454" s="33" t="s">
        <v>75</v>
      </c>
      <c r="F454" s="114" t="s">
        <v>1108</v>
      </c>
      <c r="G454" s="59">
        <v>1375671</v>
      </c>
      <c r="H454" s="59"/>
      <c r="I454" s="59" t="s">
        <v>331</v>
      </c>
      <c r="J454" s="59"/>
      <c r="K454" s="59" t="s">
        <v>478</v>
      </c>
      <c r="L454" s="119">
        <v>81728</v>
      </c>
      <c r="M454" s="119"/>
      <c r="N454" s="119"/>
      <c r="O454" s="119"/>
      <c r="P454" s="19" t="s">
        <v>523</v>
      </c>
      <c r="Q454" s="16" t="s">
        <v>1195</v>
      </c>
      <c r="R454" s="16"/>
      <c r="S454" s="10" t="s">
        <v>219</v>
      </c>
      <c r="T454" s="10"/>
      <c r="U454" s="10"/>
      <c r="V454" s="33">
        <v>18</v>
      </c>
      <c r="W454" s="16">
        <v>18</v>
      </c>
      <c r="X454" s="10">
        <v>18</v>
      </c>
      <c r="Y454" s="10">
        <v>0.32</v>
      </c>
      <c r="Z454" s="10">
        <v>1</v>
      </c>
      <c r="AA454" s="10" t="s">
        <v>481</v>
      </c>
      <c r="AB454" s="10"/>
      <c r="AC454" s="22">
        <v>43934</v>
      </c>
      <c r="AD454" s="22">
        <v>43950</v>
      </c>
      <c r="AE454" s="22">
        <v>43937</v>
      </c>
      <c r="AF454" s="22">
        <v>43937</v>
      </c>
      <c r="AG454" s="106" t="s">
        <v>482</v>
      </c>
      <c r="AH454" s="27">
        <v>100</v>
      </c>
      <c r="AI454" s="27">
        <v>100</v>
      </c>
      <c r="AJ454" s="27">
        <v>100</v>
      </c>
      <c r="AK454" s="27" t="s">
        <v>1061</v>
      </c>
      <c r="AL454" s="19" t="s">
        <v>1</v>
      </c>
      <c r="AM454" s="19" t="s">
        <v>1</v>
      </c>
    </row>
    <row r="455" spans="2:39" ht="15" x14ac:dyDescent="0.25">
      <c r="B455" s="118">
        <v>182</v>
      </c>
      <c r="C455" s="16">
        <v>20200413</v>
      </c>
      <c r="D455" s="23" t="s">
        <v>476</v>
      </c>
      <c r="E455" s="33" t="s">
        <v>75</v>
      </c>
      <c r="F455" s="114" t="s">
        <v>1108</v>
      </c>
      <c r="G455" s="59">
        <v>1375671</v>
      </c>
      <c r="H455" s="59"/>
      <c r="I455" s="59" t="s">
        <v>140</v>
      </c>
      <c r="J455" s="59"/>
      <c r="K455" s="59" t="s">
        <v>478</v>
      </c>
      <c r="L455" s="119">
        <v>81728</v>
      </c>
      <c r="M455" s="119"/>
      <c r="N455" s="119"/>
      <c r="O455" s="119"/>
      <c r="P455" s="19" t="s">
        <v>523</v>
      </c>
      <c r="Q455" s="16" t="s">
        <v>1196</v>
      </c>
      <c r="R455" s="16"/>
      <c r="S455" s="10" t="s">
        <v>219</v>
      </c>
      <c r="T455" s="10"/>
      <c r="U455" s="10"/>
      <c r="V455" s="33">
        <v>101</v>
      </c>
      <c r="W455" s="16">
        <v>101</v>
      </c>
      <c r="X455" s="10">
        <v>101</v>
      </c>
      <c r="Y455" s="10">
        <v>1.79</v>
      </c>
      <c r="Z455" s="10">
        <v>1</v>
      </c>
      <c r="AA455" s="10" t="s">
        <v>481</v>
      </c>
      <c r="AB455" s="10"/>
      <c r="AC455" s="22">
        <v>43934</v>
      </c>
      <c r="AD455" s="22">
        <v>43950</v>
      </c>
      <c r="AE455" s="22">
        <v>43937</v>
      </c>
      <c r="AF455" s="22">
        <v>43937</v>
      </c>
      <c r="AG455" s="106" t="s">
        <v>482</v>
      </c>
      <c r="AH455" s="27">
        <v>100</v>
      </c>
      <c r="AI455" s="27">
        <v>100</v>
      </c>
      <c r="AJ455" s="27">
        <v>100</v>
      </c>
      <c r="AK455" s="27" t="s">
        <v>1061</v>
      </c>
      <c r="AL455" s="19" t="s">
        <v>1</v>
      </c>
      <c r="AM455" s="19" t="s">
        <v>1</v>
      </c>
    </row>
    <row r="456" spans="2:39" ht="15" x14ac:dyDescent="0.2">
      <c r="B456" s="118">
        <v>183</v>
      </c>
      <c r="C456" s="16">
        <v>20200413</v>
      </c>
      <c r="D456" s="23" t="s">
        <v>476</v>
      </c>
      <c r="E456" s="33" t="s">
        <v>75</v>
      </c>
      <c r="F456" s="87" t="s">
        <v>1108</v>
      </c>
      <c r="G456" s="33">
        <v>1375671</v>
      </c>
      <c r="H456" s="33"/>
      <c r="I456" s="59" t="s">
        <v>332</v>
      </c>
      <c r="J456" s="59"/>
      <c r="K456" s="10" t="s">
        <v>478</v>
      </c>
      <c r="L456" s="120">
        <v>81728</v>
      </c>
      <c r="M456" s="120"/>
      <c r="N456" s="120"/>
      <c r="O456" s="120"/>
      <c r="P456" s="19" t="s">
        <v>523</v>
      </c>
      <c r="Q456" s="16" t="s">
        <v>1197</v>
      </c>
      <c r="R456" s="16"/>
      <c r="S456" s="10" t="s">
        <v>279</v>
      </c>
      <c r="T456" s="10"/>
      <c r="U456" s="10"/>
      <c r="V456" s="33">
        <v>72</v>
      </c>
      <c r="W456" s="10">
        <v>72</v>
      </c>
      <c r="X456" s="10">
        <v>72</v>
      </c>
      <c r="Y456" s="10">
        <v>1.28</v>
      </c>
      <c r="Z456" s="10">
        <v>1</v>
      </c>
      <c r="AA456" s="10" t="s">
        <v>481</v>
      </c>
      <c r="AB456" s="10"/>
      <c r="AC456" s="22">
        <v>43934</v>
      </c>
      <c r="AD456" s="22">
        <v>43950</v>
      </c>
      <c r="AE456" s="22">
        <v>43937</v>
      </c>
      <c r="AF456" s="22">
        <v>43937</v>
      </c>
      <c r="AG456" s="106" t="s">
        <v>482</v>
      </c>
      <c r="AH456" s="10">
        <v>100</v>
      </c>
      <c r="AI456" s="10">
        <v>100</v>
      </c>
      <c r="AJ456" s="10">
        <v>100</v>
      </c>
      <c r="AK456" s="10" t="s">
        <v>1061</v>
      </c>
      <c r="AL456" s="19" t="s">
        <v>1</v>
      </c>
      <c r="AM456" s="19" t="s">
        <v>1</v>
      </c>
    </row>
    <row r="457" spans="2:39" ht="15" x14ac:dyDescent="0.2">
      <c r="B457" s="118">
        <v>184</v>
      </c>
      <c r="C457" s="16">
        <v>20200413</v>
      </c>
      <c r="D457" s="23" t="s">
        <v>476</v>
      </c>
      <c r="E457" s="33" t="s">
        <v>75</v>
      </c>
      <c r="F457" s="87" t="s">
        <v>1108</v>
      </c>
      <c r="G457" s="33">
        <v>1375671</v>
      </c>
      <c r="H457" s="33"/>
      <c r="I457" s="59" t="s">
        <v>333</v>
      </c>
      <c r="J457" s="59"/>
      <c r="K457" s="10" t="s">
        <v>478</v>
      </c>
      <c r="L457" s="120">
        <v>81728</v>
      </c>
      <c r="M457" s="120"/>
      <c r="N457" s="120"/>
      <c r="O457" s="120"/>
      <c r="P457" s="19" t="s">
        <v>523</v>
      </c>
      <c r="Q457" s="16" t="s">
        <v>1198</v>
      </c>
      <c r="R457" s="16"/>
      <c r="S457" s="10" t="s">
        <v>279</v>
      </c>
      <c r="T457" s="10"/>
      <c r="U457" s="10"/>
      <c r="V457" s="33">
        <v>82</v>
      </c>
      <c r="W457" s="10">
        <v>82</v>
      </c>
      <c r="X457" s="10">
        <v>82</v>
      </c>
      <c r="Y457" s="10">
        <v>1.45</v>
      </c>
      <c r="Z457" s="10">
        <v>1</v>
      </c>
      <c r="AA457" s="10" t="s">
        <v>481</v>
      </c>
      <c r="AB457" s="10"/>
      <c r="AC457" s="22">
        <v>43934</v>
      </c>
      <c r="AD457" s="22">
        <v>43950</v>
      </c>
      <c r="AE457" s="22">
        <v>43937</v>
      </c>
      <c r="AF457" s="22">
        <v>43937</v>
      </c>
      <c r="AG457" s="106" t="s">
        <v>482</v>
      </c>
      <c r="AH457" s="10">
        <v>100</v>
      </c>
      <c r="AI457" s="10">
        <v>100</v>
      </c>
      <c r="AJ457" s="10">
        <v>100</v>
      </c>
      <c r="AK457" s="10" t="s">
        <v>1061</v>
      </c>
      <c r="AL457" s="19" t="s">
        <v>1</v>
      </c>
      <c r="AM457" s="19" t="s">
        <v>1</v>
      </c>
    </row>
    <row r="458" spans="2:39" ht="15" x14ac:dyDescent="0.2">
      <c r="B458" s="118">
        <v>185</v>
      </c>
      <c r="C458" s="16">
        <v>20200413</v>
      </c>
      <c r="D458" s="23" t="s">
        <v>476</v>
      </c>
      <c r="E458" s="33" t="s">
        <v>75</v>
      </c>
      <c r="F458" s="87" t="s">
        <v>1108</v>
      </c>
      <c r="G458" s="33">
        <v>1375671</v>
      </c>
      <c r="H458" s="33"/>
      <c r="I458" s="59" t="s">
        <v>334</v>
      </c>
      <c r="J458" s="59"/>
      <c r="K458" s="10" t="s">
        <v>478</v>
      </c>
      <c r="L458" s="120">
        <v>81728</v>
      </c>
      <c r="M458" s="120"/>
      <c r="N458" s="120"/>
      <c r="O458" s="120"/>
      <c r="P458" s="19" t="s">
        <v>523</v>
      </c>
      <c r="Q458" s="16" t="s">
        <v>1199</v>
      </c>
      <c r="R458" s="16"/>
      <c r="S458" s="10" t="s">
        <v>279</v>
      </c>
      <c r="T458" s="10"/>
      <c r="U458" s="10"/>
      <c r="V458" s="33">
        <v>31</v>
      </c>
      <c r="W458" s="10">
        <v>31</v>
      </c>
      <c r="X458" s="10">
        <v>31</v>
      </c>
      <c r="Y458" s="10">
        <v>0.55000000000000004</v>
      </c>
      <c r="Z458" s="10">
        <v>0.5</v>
      </c>
      <c r="AA458" s="10" t="s">
        <v>481</v>
      </c>
      <c r="AB458" s="10"/>
      <c r="AC458" s="22">
        <v>43934</v>
      </c>
      <c r="AD458" s="22">
        <v>43950</v>
      </c>
      <c r="AE458" s="22">
        <v>43937</v>
      </c>
      <c r="AF458" s="22">
        <v>43937</v>
      </c>
      <c r="AG458" s="106" t="s">
        <v>482</v>
      </c>
      <c r="AH458" s="10">
        <v>100</v>
      </c>
      <c r="AI458" s="10">
        <v>100</v>
      </c>
      <c r="AJ458" s="10">
        <v>100</v>
      </c>
      <c r="AK458" s="10" t="s">
        <v>1061</v>
      </c>
      <c r="AL458" s="19" t="s">
        <v>1</v>
      </c>
      <c r="AM458" s="19" t="s">
        <v>1</v>
      </c>
    </row>
    <row r="459" spans="2:39" ht="15" x14ac:dyDescent="0.2">
      <c r="B459" s="118">
        <v>186</v>
      </c>
      <c r="C459" s="16">
        <v>20200413</v>
      </c>
      <c r="D459" s="23" t="s">
        <v>476</v>
      </c>
      <c r="E459" s="33" t="s">
        <v>75</v>
      </c>
      <c r="F459" s="87" t="s">
        <v>1108</v>
      </c>
      <c r="G459" s="33">
        <v>1375671</v>
      </c>
      <c r="H459" s="33"/>
      <c r="I459" s="59" t="s">
        <v>335</v>
      </c>
      <c r="J459" s="59"/>
      <c r="K459" s="10" t="s">
        <v>478</v>
      </c>
      <c r="L459" s="120">
        <v>81728</v>
      </c>
      <c r="M459" s="120"/>
      <c r="N459" s="120"/>
      <c r="O459" s="120"/>
      <c r="P459" s="19" t="s">
        <v>523</v>
      </c>
      <c r="Q459" s="16" t="s">
        <v>1200</v>
      </c>
      <c r="R459" s="16"/>
      <c r="S459" s="10" t="s">
        <v>279</v>
      </c>
      <c r="T459" s="10"/>
      <c r="U459" s="10"/>
      <c r="V459" s="33">
        <v>38</v>
      </c>
      <c r="W459" s="10">
        <v>38</v>
      </c>
      <c r="X459" s="10">
        <v>38</v>
      </c>
      <c r="Y459" s="10">
        <v>0.67</v>
      </c>
      <c r="Z459" s="10">
        <v>0.5</v>
      </c>
      <c r="AA459" s="10" t="s">
        <v>481</v>
      </c>
      <c r="AB459" s="10"/>
      <c r="AC459" s="22">
        <v>43934</v>
      </c>
      <c r="AD459" s="22">
        <v>43950</v>
      </c>
      <c r="AE459" s="22">
        <v>43937</v>
      </c>
      <c r="AF459" s="22">
        <v>43937</v>
      </c>
      <c r="AG459" s="106" t="s">
        <v>482</v>
      </c>
      <c r="AH459" s="10">
        <v>100</v>
      </c>
      <c r="AI459" s="10">
        <v>100</v>
      </c>
      <c r="AJ459" s="10">
        <v>100</v>
      </c>
      <c r="AK459" s="10" t="s">
        <v>1061</v>
      </c>
      <c r="AL459" s="19" t="s">
        <v>1</v>
      </c>
      <c r="AM459" s="19" t="s">
        <v>1</v>
      </c>
    </row>
    <row r="460" spans="2:39" ht="15" x14ac:dyDescent="0.2">
      <c r="B460" s="118">
        <v>187</v>
      </c>
      <c r="C460" s="16">
        <v>20200413</v>
      </c>
      <c r="D460" s="23" t="s">
        <v>476</v>
      </c>
      <c r="E460" s="33" t="s">
        <v>75</v>
      </c>
      <c r="F460" s="87" t="s">
        <v>1108</v>
      </c>
      <c r="G460" s="33">
        <v>1375671</v>
      </c>
      <c r="H460" s="33"/>
      <c r="I460" s="16" t="s">
        <v>336</v>
      </c>
      <c r="J460" s="16"/>
      <c r="K460" s="10" t="s">
        <v>478</v>
      </c>
      <c r="L460" s="120">
        <v>81728</v>
      </c>
      <c r="M460" s="120"/>
      <c r="N460" s="120"/>
      <c r="O460" s="120"/>
      <c r="P460" s="19" t="s">
        <v>523</v>
      </c>
      <c r="Q460" s="16" t="s">
        <v>1201</v>
      </c>
      <c r="R460" s="16"/>
      <c r="S460" s="10" t="s">
        <v>261</v>
      </c>
      <c r="T460" s="10"/>
      <c r="U460" s="10"/>
      <c r="V460" s="33">
        <v>28</v>
      </c>
      <c r="W460" s="10">
        <v>28</v>
      </c>
      <c r="X460" s="10">
        <v>28</v>
      </c>
      <c r="Y460" s="10">
        <v>0.49</v>
      </c>
      <c r="Z460" s="10">
        <v>0.5</v>
      </c>
      <c r="AA460" s="10" t="s">
        <v>481</v>
      </c>
      <c r="AB460" s="10"/>
      <c r="AC460" s="22">
        <v>43934</v>
      </c>
      <c r="AD460" s="22">
        <v>43950</v>
      </c>
      <c r="AE460" s="22">
        <v>43943</v>
      </c>
      <c r="AF460" s="22">
        <v>43943</v>
      </c>
      <c r="AG460" s="111" t="s">
        <v>482</v>
      </c>
      <c r="AH460" s="27">
        <v>100</v>
      </c>
      <c r="AI460" s="27">
        <v>100</v>
      </c>
      <c r="AJ460" s="27">
        <v>100</v>
      </c>
      <c r="AK460" s="27" t="s">
        <v>1061</v>
      </c>
      <c r="AL460" s="19" t="s">
        <v>1</v>
      </c>
      <c r="AM460" s="19" t="s">
        <v>1</v>
      </c>
    </row>
    <row r="461" spans="2:39" ht="15" x14ac:dyDescent="0.2">
      <c r="B461" s="118">
        <v>188</v>
      </c>
      <c r="C461" s="16">
        <v>20200413</v>
      </c>
      <c r="D461" s="23" t="s">
        <v>476</v>
      </c>
      <c r="E461" s="33" t="s">
        <v>75</v>
      </c>
      <c r="F461" s="87" t="s">
        <v>1108</v>
      </c>
      <c r="G461" s="33">
        <v>1375671</v>
      </c>
      <c r="H461" s="33"/>
      <c r="I461" s="59" t="s">
        <v>7</v>
      </c>
      <c r="J461" s="59"/>
      <c r="K461" s="10" t="s">
        <v>478</v>
      </c>
      <c r="L461" s="120">
        <v>81728</v>
      </c>
      <c r="M461" s="120"/>
      <c r="N461" s="120"/>
      <c r="O461" s="120"/>
      <c r="P461" s="19" t="s">
        <v>523</v>
      </c>
      <c r="Q461" s="16" t="s">
        <v>1202</v>
      </c>
      <c r="R461" s="16"/>
      <c r="S461" s="10" t="s">
        <v>261</v>
      </c>
      <c r="T461" s="10"/>
      <c r="U461" s="10"/>
      <c r="V461" s="33">
        <v>35</v>
      </c>
      <c r="W461" s="10">
        <v>35</v>
      </c>
      <c r="X461" s="10">
        <v>35</v>
      </c>
      <c r="Y461" s="10">
        <v>0.62</v>
      </c>
      <c r="Z461" s="10">
        <v>0.5</v>
      </c>
      <c r="AA461" s="10" t="s">
        <v>481</v>
      </c>
      <c r="AB461" s="10"/>
      <c r="AC461" s="22">
        <v>43934</v>
      </c>
      <c r="AD461" s="22">
        <v>43950</v>
      </c>
      <c r="AE461" s="22">
        <v>43943</v>
      </c>
      <c r="AF461" s="22">
        <v>43943</v>
      </c>
      <c r="AG461" s="111" t="s">
        <v>482</v>
      </c>
      <c r="AH461" s="27">
        <v>100</v>
      </c>
      <c r="AI461" s="27">
        <v>100</v>
      </c>
      <c r="AJ461" s="27">
        <v>100</v>
      </c>
      <c r="AK461" s="27" t="s">
        <v>1061</v>
      </c>
      <c r="AL461" s="19" t="s">
        <v>1</v>
      </c>
      <c r="AM461" s="19" t="s">
        <v>1</v>
      </c>
    </row>
    <row r="462" spans="2:39" ht="15" x14ac:dyDescent="0.2">
      <c r="B462" s="118">
        <v>189</v>
      </c>
      <c r="C462" s="16">
        <v>20200413</v>
      </c>
      <c r="D462" s="23" t="s">
        <v>476</v>
      </c>
      <c r="E462" s="33" t="s">
        <v>75</v>
      </c>
      <c r="F462" s="87" t="s">
        <v>1108</v>
      </c>
      <c r="G462" s="33">
        <v>1375671</v>
      </c>
      <c r="H462" s="33"/>
      <c r="I462" s="59" t="s">
        <v>64</v>
      </c>
      <c r="J462" s="59"/>
      <c r="K462" s="10" t="s">
        <v>478</v>
      </c>
      <c r="L462" s="120">
        <v>81728</v>
      </c>
      <c r="M462" s="120"/>
      <c r="N462" s="120"/>
      <c r="O462" s="120"/>
      <c r="P462" s="19" t="s">
        <v>523</v>
      </c>
      <c r="Q462" s="16" t="s">
        <v>1203</v>
      </c>
      <c r="R462" s="16"/>
      <c r="S462" s="10" t="s">
        <v>261</v>
      </c>
      <c r="T462" s="10"/>
      <c r="U462" s="10"/>
      <c r="V462" s="33">
        <v>259</v>
      </c>
      <c r="W462" s="10">
        <v>259</v>
      </c>
      <c r="X462" s="10">
        <v>259</v>
      </c>
      <c r="Y462" s="10">
        <v>4.5999999999999996</v>
      </c>
      <c r="Z462" s="10">
        <v>2</v>
      </c>
      <c r="AA462" s="10" t="s">
        <v>481</v>
      </c>
      <c r="AB462" s="10"/>
      <c r="AC462" s="22">
        <v>43934</v>
      </c>
      <c r="AD462" s="22">
        <v>43950</v>
      </c>
      <c r="AE462" s="22">
        <v>43943</v>
      </c>
      <c r="AF462" s="22">
        <v>43943</v>
      </c>
      <c r="AG462" s="111" t="s">
        <v>482</v>
      </c>
      <c r="AH462" s="27">
        <v>100</v>
      </c>
      <c r="AI462" s="27">
        <v>100</v>
      </c>
      <c r="AJ462" s="27">
        <v>100</v>
      </c>
      <c r="AK462" s="27" t="s">
        <v>1061</v>
      </c>
      <c r="AL462" s="19" t="s">
        <v>1</v>
      </c>
      <c r="AM462" s="19" t="s">
        <v>1</v>
      </c>
    </row>
    <row r="463" spans="2:39" ht="15" x14ac:dyDescent="0.2">
      <c r="B463" s="118">
        <v>190</v>
      </c>
      <c r="C463" s="16">
        <v>20200413</v>
      </c>
      <c r="D463" s="23" t="s">
        <v>476</v>
      </c>
      <c r="E463" s="33" t="s">
        <v>75</v>
      </c>
      <c r="F463" s="87" t="s">
        <v>1108</v>
      </c>
      <c r="G463" s="33">
        <v>1375671</v>
      </c>
      <c r="H463" s="33"/>
      <c r="I463" s="121" t="s">
        <v>9</v>
      </c>
      <c r="J463" s="121"/>
      <c r="K463" s="10" t="s">
        <v>478</v>
      </c>
      <c r="L463" s="120">
        <v>81728</v>
      </c>
      <c r="M463" s="120"/>
      <c r="N463" s="120"/>
      <c r="O463" s="120"/>
      <c r="P463" s="19" t="s">
        <v>523</v>
      </c>
      <c r="Q463" s="16" t="s">
        <v>1204</v>
      </c>
      <c r="R463" s="16"/>
      <c r="S463" s="10" t="s">
        <v>261</v>
      </c>
      <c r="T463" s="10"/>
      <c r="U463" s="10"/>
      <c r="V463" s="33">
        <v>67</v>
      </c>
      <c r="W463" s="10">
        <v>67</v>
      </c>
      <c r="X463" s="10">
        <v>67</v>
      </c>
      <c r="Y463" s="10">
        <v>1.19</v>
      </c>
      <c r="Z463" s="10">
        <v>1</v>
      </c>
      <c r="AA463" s="10" t="s">
        <v>481</v>
      </c>
      <c r="AB463" s="10"/>
      <c r="AC463" s="22">
        <v>43934</v>
      </c>
      <c r="AD463" s="22">
        <v>43950</v>
      </c>
      <c r="AE463" s="22">
        <v>43945</v>
      </c>
      <c r="AF463" s="22">
        <v>43945</v>
      </c>
      <c r="AG463" s="111" t="s">
        <v>482</v>
      </c>
      <c r="AH463" s="27">
        <v>100</v>
      </c>
      <c r="AI463" s="27">
        <v>100</v>
      </c>
      <c r="AJ463" s="27">
        <v>100</v>
      </c>
      <c r="AK463" s="27" t="s">
        <v>1061</v>
      </c>
      <c r="AL463" s="19" t="s">
        <v>1</v>
      </c>
      <c r="AM463" s="19" t="s">
        <v>1</v>
      </c>
    </row>
    <row r="464" spans="2:39" ht="15" x14ac:dyDescent="0.2">
      <c r="B464" s="118">
        <v>191</v>
      </c>
      <c r="C464" s="16">
        <v>20200413</v>
      </c>
      <c r="D464" s="23" t="s">
        <v>476</v>
      </c>
      <c r="E464" s="33" t="s">
        <v>75</v>
      </c>
      <c r="F464" s="87" t="s">
        <v>1108</v>
      </c>
      <c r="G464" s="33">
        <v>1375671</v>
      </c>
      <c r="H464" s="33"/>
      <c r="I464" s="59" t="s">
        <v>337</v>
      </c>
      <c r="J464" s="59"/>
      <c r="K464" s="10" t="s">
        <v>478</v>
      </c>
      <c r="L464" s="120">
        <v>81728</v>
      </c>
      <c r="M464" s="120"/>
      <c r="N464" s="120"/>
      <c r="O464" s="120"/>
      <c r="P464" s="19" t="s">
        <v>523</v>
      </c>
      <c r="Q464" s="16" t="s">
        <v>1205</v>
      </c>
      <c r="R464" s="16"/>
      <c r="S464" s="10" t="s">
        <v>260</v>
      </c>
      <c r="T464" s="10"/>
      <c r="U464" s="10"/>
      <c r="V464" s="33">
        <v>11</v>
      </c>
      <c r="W464" s="10">
        <v>11</v>
      </c>
      <c r="X464" s="10">
        <v>11</v>
      </c>
      <c r="Y464" s="10">
        <v>0.19</v>
      </c>
      <c r="Z464" s="10">
        <v>0.2</v>
      </c>
      <c r="AA464" s="10" t="s">
        <v>481</v>
      </c>
      <c r="AB464" s="10"/>
      <c r="AC464" s="22">
        <v>43934</v>
      </c>
      <c r="AD464" s="22">
        <v>43950</v>
      </c>
      <c r="AE464" s="22">
        <v>43938</v>
      </c>
      <c r="AF464" s="22">
        <v>43938</v>
      </c>
      <c r="AG464" s="106" t="s">
        <v>482</v>
      </c>
      <c r="AH464" s="10" t="s">
        <v>1</v>
      </c>
      <c r="AI464" s="10" t="s">
        <v>1</v>
      </c>
      <c r="AJ464" s="10" t="s">
        <v>1</v>
      </c>
      <c r="AK464" s="10" t="s">
        <v>1061</v>
      </c>
      <c r="AL464" s="19" t="s">
        <v>1321</v>
      </c>
      <c r="AM464" s="19" t="s">
        <v>1</v>
      </c>
    </row>
    <row r="465" spans="2:39" ht="15" x14ac:dyDescent="0.2">
      <c r="B465" s="118">
        <v>192</v>
      </c>
      <c r="C465" s="16">
        <v>20200413</v>
      </c>
      <c r="D465" s="23" t="s">
        <v>476</v>
      </c>
      <c r="E465" s="33" t="s">
        <v>75</v>
      </c>
      <c r="F465" s="87" t="s">
        <v>1108</v>
      </c>
      <c r="G465" s="33">
        <v>1375671</v>
      </c>
      <c r="H465" s="33"/>
      <c r="I465" s="59" t="s">
        <v>338</v>
      </c>
      <c r="J465" s="59"/>
      <c r="K465" s="10" t="s">
        <v>478</v>
      </c>
      <c r="L465" s="120">
        <v>81728</v>
      </c>
      <c r="M465" s="120"/>
      <c r="N465" s="120"/>
      <c r="O465" s="120"/>
      <c r="P465" s="19" t="s">
        <v>523</v>
      </c>
      <c r="Q465" s="16" t="s">
        <v>1206</v>
      </c>
      <c r="R465" s="16"/>
      <c r="S465" s="10" t="s">
        <v>260</v>
      </c>
      <c r="T465" s="10"/>
      <c r="U465" s="10"/>
      <c r="V465" s="33">
        <v>148</v>
      </c>
      <c r="W465" s="10">
        <v>148</v>
      </c>
      <c r="X465" s="10">
        <v>148</v>
      </c>
      <c r="Y465" s="10">
        <v>2.63</v>
      </c>
      <c r="Z465" s="10">
        <v>1</v>
      </c>
      <c r="AA465" s="10" t="s">
        <v>481</v>
      </c>
      <c r="AB465" s="10"/>
      <c r="AC465" s="22">
        <v>43934</v>
      </c>
      <c r="AD465" s="22">
        <v>43950</v>
      </c>
      <c r="AE465" s="22">
        <v>43938</v>
      </c>
      <c r="AF465" s="22">
        <v>43938</v>
      </c>
      <c r="AG465" s="106" t="s">
        <v>482</v>
      </c>
      <c r="AH465" s="10">
        <v>100</v>
      </c>
      <c r="AI465" s="10">
        <v>100</v>
      </c>
      <c r="AJ465" s="10">
        <v>100</v>
      </c>
      <c r="AK465" s="10" t="s">
        <v>1061</v>
      </c>
      <c r="AL465" s="19" t="s">
        <v>1</v>
      </c>
      <c r="AM465" s="19" t="s">
        <v>1</v>
      </c>
    </row>
    <row r="466" spans="2:39" ht="15" x14ac:dyDescent="0.2">
      <c r="B466" s="118">
        <v>193</v>
      </c>
      <c r="C466" s="16">
        <v>20200413</v>
      </c>
      <c r="D466" s="23" t="s">
        <v>476</v>
      </c>
      <c r="E466" s="33" t="s">
        <v>75</v>
      </c>
      <c r="F466" s="87" t="s">
        <v>1108</v>
      </c>
      <c r="G466" s="33">
        <v>1375671</v>
      </c>
      <c r="H466" s="33"/>
      <c r="I466" s="59" t="s">
        <v>295</v>
      </c>
      <c r="J466" s="59"/>
      <c r="K466" s="10" t="s">
        <v>478</v>
      </c>
      <c r="L466" s="120">
        <v>81728</v>
      </c>
      <c r="M466" s="120"/>
      <c r="N466" s="120"/>
      <c r="O466" s="120"/>
      <c r="P466" s="19" t="s">
        <v>523</v>
      </c>
      <c r="Q466" s="16" t="s">
        <v>1207</v>
      </c>
      <c r="R466" s="16"/>
      <c r="S466" s="10" t="s">
        <v>260</v>
      </c>
      <c r="T466" s="10"/>
      <c r="U466" s="10"/>
      <c r="V466" s="33">
        <v>33</v>
      </c>
      <c r="W466" s="10">
        <v>33</v>
      </c>
      <c r="X466" s="10">
        <v>33</v>
      </c>
      <c r="Y466" s="10">
        <v>0.57999999999999996</v>
      </c>
      <c r="Z466" s="10">
        <v>0.5</v>
      </c>
      <c r="AA466" s="10" t="s">
        <v>481</v>
      </c>
      <c r="AB466" s="10"/>
      <c r="AC466" s="22">
        <v>43934</v>
      </c>
      <c r="AD466" s="22">
        <v>43950</v>
      </c>
      <c r="AE466" s="22">
        <v>43938</v>
      </c>
      <c r="AF466" s="22">
        <v>43938</v>
      </c>
      <c r="AG466" s="106" t="s">
        <v>482</v>
      </c>
      <c r="AH466" s="10">
        <v>100</v>
      </c>
      <c r="AI466" s="10">
        <v>100</v>
      </c>
      <c r="AJ466" s="10">
        <v>100</v>
      </c>
      <c r="AK466" s="10" t="s">
        <v>1061</v>
      </c>
      <c r="AL466" s="19" t="s">
        <v>1</v>
      </c>
      <c r="AM466" s="19" t="s">
        <v>1</v>
      </c>
    </row>
    <row r="467" spans="2:39" ht="15" x14ac:dyDescent="0.2">
      <c r="B467" s="118">
        <v>194</v>
      </c>
      <c r="C467" s="16">
        <v>20200413</v>
      </c>
      <c r="D467" s="23" t="s">
        <v>476</v>
      </c>
      <c r="E467" s="33" t="s">
        <v>75</v>
      </c>
      <c r="F467" s="87" t="s">
        <v>1108</v>
      </c>
      <c r="G467" s="33">
        <v>1375671</v>
      </c>
      <c r="H467" s="33"/>
      <c r="I467" s="59" t="s">
        <v>67</v>
      </c>
      <c r="J467" s="59"/>
      <c r="K467" s="10" t="s">
        <v>478</v>
      </c>
      <c r="L467" s="120">
        <v>81728</v>
      </c>
      <c r="M467" s="120"/>
      <c r="N467" s="120"/>
      <c r="O467" s="120"/>
      <c r="P467" s="19" t="s">
        <v>523</v>
      </c>
      <c r="Q467" s="16" t="s">
        <v>1208</v>
      </c>
      <c r="R467" s="16"/>
      <c r="S467" s="10" t="s">
        <v>260</v>
      </c>
      <c r="T467" s="10"/>
      <c r="U467" s="10"/>
      <c r="V467" s="33">
        <v>54</v>
      </c>
      <c r="W467" s="10">
        <v>54</v>
      </c>
      <c r="X467" s="10">
        <v>54</v>
      </c>
      <c r="Y467" s="10">
        <v>0.96</v>
      </c>
      <c r="Z467" s="10">
        <v>1</v>
      </c>
      <c r="AA467" s="10" t="s">
        <v>481</v>
      </c>
      <c r="AB467" s="10"/>
      <c r="AC467" s="22">
        <v>43934</v>
      </c>
      <c r="AD467" s="22">
        <v>43950</v>
      </c>
      <c r="AE467" s="22">
        <v>43938</v>
      </c>
      <c r="AF467" s="22">
        <v>43938</v>
      </c>
      <c r="AG467" s="106" t="s">
        <v>482</v>
      </c>
      <c r="AH467" s="10">
        <v>100</v>
      </c>
      <c r="AI467" s="10">
        <v>100</v>
      </c>
      <c r="AJ467" s="10">
        <v>100</v>
      </c>
      <c r="AK467" s="10" t="s">
        <v>1061</v>
      </c>
      <c r="AL467" s="19" t="s">
        <v>1</v>
      </c>
      <c r="AM467" s="19" t="s">
        <v>1</v>
      </c>
    </row>
    <row r="468" spans="2:39" ht="15" x14ac:dyDescent="0.25">
      <c r="B468" s="118">
        <v>195</v>
      </c>
      <c r="C468" s="16">
        <v>20200413</v>
      </c>
      <c r="D468" s="23" t="s">
        <v>476</v>
      </c>
      <c r="E468" s="33" t="s">
        <v>75</v>
      </c>
      <c r="F468" s="114" t="s">
        <v>1108</v>
      </c>
      <c r="G468" s="59">
        <v>1375671</v>
      </c>
      <c r="H468" s="59"/>
      <c r="I468" s="59" t="s">
        <v>12</v>
      </c>
      <c r="J468" s="59"/>
      <c r="K468" s="59" t="s">
        <v>478</v>
      </c>
      <c r="L468" s="119">
        <v>81728</v>
      </c>
      <c r="M468" s="119"/>
      <c r="N468" s="119"/>
      <c r="O468" s="119"/>
      <c r="P468" s="19" t="s">
        <v>523</v>
      </c>
      <c r="Q468" s="16" t="s">
        <v>1209</v>
      </c>
      <c r="R468" s="16"/>
      <c r="S468" s="10" t="s">
        <v>219</v>
      </c>
      <c r="T468" s="10"/>
      <c r="U468" s="10"/>
      <c r="V468" s="33">
        <v>132</v>
      </c>
      <c r="W468" s="79">
        <v>132</v>
      </c>
      <c r="X468" s="10">
        <v>132</v>
      </c>
      <c r="Y468" s="10">
        <v>2.34</v>
      </c>
      <c r="Z468" s="10">
        <v>1</v>
      </c>
      <c r="AA468" s="10" t="s">
        <v>481</v>
      </c>
      <c r="AB468" s="10"/>
      <c r="AC468" s="22">
        <v>43934</v>
      </c>
      <c r="AD468" s="22">
        <v>43950</v>
      </c>
      <c r="AE468" s="22">
        <v>43937</v>
      </c>
      <c r="AF468" s="22">
        <v>43937</v>
      </c>
      <c r="AG468" s="106" t="s">
        <v>482</v>
      </c>
      <c r="AH468" s="27">
        <v>100</v>
      </c>
      <c r="AI468" s="27">
        <v>100</v>
      </c>
      <c r="AJ468" s="27">
        <v>100</v>
      </c>
      <c r="AK468" s="27" t="s">
        <v>1061</v>
      </c>
      <c r="AL468" s="19" t="s">
        <v>1</v>
      </c>
      <c r="AM468" s="19" t="s">
        <v>1</v>
      </c>
    </row>
    <row r="469" spans="2:39" ht="15" x14ac:dyDescent="0.25">
      <c r="B469" s="118">
        <v>196</v>
      </c>
      <c r="C469" s="16">
        <v>20200413</v>
      </c>
      <c r="D469" s="23" t="s">
        <v>476</v>
      </c>
      <c r="E469" s="33" t="s">
        <v>75</v>
      </c>
      <c r="F469" s="114" t="s">
        <v>1108</v>
      </c>
      <c r="G469" s="59">
        <v>1375671</v>
      </c>
      <c r="H469" s="59"/>
      <c r="I469" s="59" t="s">
        <v>339</v>
      </c>
      <c r="J469" s="59"/>
      <c r="K469" s="59" t="s">
        <v>478</v>
      </c>
      <c r="L469" s="119">
        <v>81728</v>
      </c>
      <c r="M469" s="119"/>
      <c r="N469" s="119"/>
      <c r="O469" s="119"/>
      <c r="P469" s="19" t="s">
        <v>523</v>
      </c>
      <c r="Q469" s="16" t="s">
        <v>1210</v>
      </c>
      <c r="R469" s="16"/>
      <c r="S469" s="10" t="s">
        <v>219</v>
      </c>
      <c r="T469" s="10"/>
      <c r="U469" s="10"/>
      <c r="V469" s="33">
        <v>116</v>
      </c>
      <c r="W469" s="79">
        <v>116</v>
      </c>
      <c r="X469" s="10">
        <v>116</v>
      </c>
      <c r="Y469" s="10">
        <v>2.06</v>
      </c>
      <c r="Z469" s="10">
        <v>1</v>
      </c>
      <c r="AA469" s="10" t="s">
        <v>481</v>
      </c>
      <c r="AB469" s="10"/>
      <c r="AC469" s="22">
        <v>43934</v>
      </c>
      <c r="AD469" s="22">
        <v>43950</v>
      </c>
      <c r="AE469" s="22">
        <v>43937</v>
      </c>
      <c r="AF469" s="22">
        <v>43937</v>
      </c>
      <c r="AG469" s="106" t="s">
        <v>482</v>
      </c>
      <c r="AH469" s="27">
        <v>100</v>
      </c>
      <c r="AI469" s="27">
        <v>100</v>
      </c>
      <c r="AJ469" s="27">
        <v>100</v>
      </c>
      <c r="AK469" s="27" t="s">
        <v>1061</v>
      </c>
      <c r="AL469" s="19" t="s">
        <v>1</v>
      </c>
      <c r="AM469" s="19" t="s">
        <v>1</v>
      </c>
    </row>
    <row r="470" spans="2:39" ht="15" x14ac:dyDescent="0.25">
      <c r="B470" s="118">
        <v>197</v>
      </c>
      <c r="C470" s="16">
        <v>20200413</v>
      </c>
      <c r="D470" s="23" t="s">
        <v>476</v>
      </c>
      <c r="E470" s="33" t="s">
        <v>75</v>
      </c>
      <c r="F470" s="114" t="s">
        <v>1108</v>
      </c>
      <c r="G470" s="59">
        <v>1375671</v>
      </c>
      <c r="H470" s="59"/>
      <c r="I470" s="59" t="s">
        <v>160</v>
      </c>
      <c r="J470" s="59"/>
      <c r="K470" s="59" t="s">
        <v>478</v>
      </c>
      <c r="L470" s="119">
        <v>81728</v>
      </c>
      <c r="M470" s="119"/>
      <c r="N470" s="119"/>
      <c r="O470" s="119"/>
      <c r="P470" s="19" t="s">
        <v>523</v>
      </c>
      <c r="Q470" s="16" t="s">
        <v>1211</v>
      </c>
      <c r="R470" s="16"/>
      <c r="S470" s="10" t="s">
        <v>219</v>
      </c>
      <c r="T470" s="10"/>
      <c r="U470" s="10"/>
      <c r="V470" s="33">
        <v>134</v>
      </c>
      <c r="W470" s="79">
        <v>134</v>
      </c>
      <c r="X470" s="10">
        <v>134</v>
      </c>
      <c r="Y470" s="10">
        <v>2.38</v>
      </c>
      <c r="Z470" s="10">
        <v>1</v>
      </c>
      <c r="AA470" s="10" t="s">
        <v>481</v>
      </c>
      <c r="AB470" s="10"/>
      <c r="AC470" s="22">
        <v>43934</v>
      </c>
      <c r="AD470" s="22">
        <v>43950</v>
      </c>
      <c r="AE470" s="22">
        <v>43937</v>
      </c>
      <c r="AF470" s="22">
        <v>43937</v>
      </c>
      <c r="AG470" s="106" t="s">
        <v>482</v>
      </c>
      <c r="AH470" s="27">
        <v>100</v>
      </c>
      <c r="AI470" s="27">
        <v>100</v>
      </c>
      <c r="AJ470" s="27">
        <v>100</v>
      </c>
      <c r="AK470" s="27" t="s">
        <v>1061</v>
      </c>
      <c r="AL470" s="19" t="s">
        <v>1</v>
      </c>
      <c r="AM470" s="19" t="s">
        <v>1</v>
      </c>
    </row>
    <row r="471" spans="2:39" ht="15" x14ac:dyDescent="0.25">
      <c r="B471" s="118">
        <v>198</v>
      </c>
      <c r="C471" s="16">
        <v>20200413</v>
      </c>
      <c r="D471" s="23" t="s">
        <v>476</v>
      </c>
      <c r="E471" s="33" t="s">
        <v>75</v>
      </c>
      <c r="F471" s="114" t="s">
        <v>1108</v>
      </c>
      <c r="G471" s="59">
        <v>1375671</v>
      </c>
      <c r="H471" s="59"/>
      <c r="I471" s="59" t="s">
        <v>259</v>
      </c>
      <c r="J471" s="59"/>
      <c r="K471" s="59" t="s">
        <v>478</v>
      </c>
      <c r="L471" s="119">
        <v>81728</v>
      </c>
      <c r="M471" s="119"/>
      <c r="N471" s="119"/>
      <c r="O471" s="119"/>
      <c r="P471" s="19" t="s">
        <v>523</v>
      </c>
      <c r="Q471" s="16" t="s">
        <v>1212</v>
      </c>
      <c r="R471" s="16"/>
      <c r="S471" s="10" t="s">
        <v>219</v>
      </c>
      <c r="T471" s="10"/>
      <c r="U471" s="10"/>
      <c r="V471" s="33">
        <v>257</v>
      </c>
      <c r="W471" s="79">
        <v>257</v>
      </c>
      <c r="X471" s="10">
        <v>257</v>
      </c>
      <c r="Y471" s="10">
        <v>4.5599999999999996</v>
      </c>
      <c r="Z471" s="10">
        <v>1</v>
      </c>
      <c r="AA471" s="10" t="s">
        <v>481</v>
      </c>
      <c r="AB471" s="10"/>
      <c r="AC471" s="22">
        <v>43934</v>
      </c>
      <c r="AD471" s="22">
        <v>43950</v>
      </c>
      <c r="AE471" s="22">
        <v>43937</v>
      </c>
      <c r="AF471" s="22">
        <v>43937</v>
      </c>
      <c r="AG471" s="106" t="s">
        <v>482</v>
      </c>
      <c r="AH471" s="27">
        <v>100</v>
      </c>
      <c r="AI471" s="27">
        <v>100</v>
      </c>
      <c r="AJ471" s="27">
        <v>100</v>
      </c>
      <c r="AK471" s="27" t="s">
        <v>490</v>
      </c>
      <c r="AL471" s="19" t="s">
        <v>1322</v>
      </c>
      <c r="AM471" s="19" t="s">
        <v>1</v>
      </c>
    </row>
    <row r="472" spans="2:39" ht="15" x14ac:dyDescent="0.25">
      <c r="B472" s="118">
        <v>199</v>
      </c>
      <c r="C472" s="16">
        <v>20200413</v>
      </c>
      <c r="D472" s="23" t="s">
        <v>476</v>
      </c>
      <c r="E472" s="33" t="s">
        <v>75</v>
      </c>
      <c r="F472" s="114" t="s">
        <v>1108</v>
      </c>
      <c r="G472" s="59">
        <v>1375671</v>
      </c>
      <c r="H472" s="59"/>
      <c r="I472" s="59" t="s">
        <v>72</v>
      </c>
      <c r="J472" s="59"/>
      <c r="K472" s="59" t="s">
        <v>478</v>
      </c>
      <c r="L472" s="119">
        <v>81728</v>
      </c>
      <c r="M472" s="119"/>
      <c r="N472" s="119"/>
      <c r="O472" s="119"/>
      <c r="P472" s="19" t="s">
        <v>523</v>
      </c>
      <c r="Q472" s="16" t="s">
        <v>1213</v>
      </c>
      <c r="R472" s="16"/>
      <c r="S472" s="10" t="s">
        <v>219</v>
      </c>
      <c r="T472" s="10"/>
      <c r="U472" s="10"/>
      <c r="V472" s="33">
        <v>132</v>
      </c>
      <c r="W472" s="79">
        <v>132</v>
      </c>
      <c r="X472" s="10">
        <v>132</v>
      </c>
      <c r="Y472" s="10">
        <v>2.34</v>
      </c>
      <c r="Z472" s="10">
        <v>1</v>
      </c>
      <c r="AA472" s="10" t="s">
        <v>481</v>
      </c>
      <c r="AB472" s="10"/>
      <c r="AC472" s="22">
        <v>43934</v>
      </c>
      <c r="AD472" s="22">
        <v>43950</v>
      </c>
      <c r="AE472" s="22">
        <v>43937</v>
      </c>
      <c r="AF472" s="22">
        <v>43937</v>
      </c>
      <c r="AG472" s="106" t="s">
        <v>482</v>
      </c>
      <c r="AH472" s="27">
        <v>100</v>
      </c>
      <c r="AI472" s="27">
        <v>100</v>
      </c>
      <c r="AJ472" s="27">
        <v>100</v>
      </c>
      <c r="AK472" s="27" t="s">
        <v>1061</v>
      </c>
      <c r="AL472" s="19" t="s">
        <v>1</v>
      </c>
      <c r="AM472" s="19" t="s">
        <v>1</v>
      </c>
    </row>
    <row r="473" spans="2:39" ht="15" x14ac:dyDescent="0.2">
      <c r="B473" s="118">
        <v>200</v>
      </c>
      <c r="C473" s="16">
        <v>20200413</v>
      </c>
      <c r="D473" s="23" t="s">
        <v>476</v>
      </c>
      <c r="E473" s="33" t="s">
        <v>75</v>
      </c>
      <c r="F473" s="87" t="s">
        <v>1109</v>
      </c>
      <c r="G473" s="33">
        <v>1375671</v>
      </c>
      <c r="H473" s="33"/>
      <c r="I473" s="59" t="s">
        <v>340</v>
      </c>
      <c r="J473" s="59"/>
      <c r="K473" s="10" t="s">
        <v>478</v>
      </c>
      <c r="L473" s="120">
        <v>81728</v>
      </c>
      <c r="M473" s="120"/>
      <c r="N473" s="120"/>
      <c r="O473" s="120"/>
      <c r="P473" s="19" t="s">
        <v>523</v>
      </c>
      <c r="Q473" s="16" t="s">
        <v>1214</v>
      </c>
      <c r="R473" s="16"/>
      <c r="S473" s="10" t="s">
        <v>279</v>
      </c>
      <c r="T473" s="10"/>
      <c r="U473" s="10"/>
      <c r="V473" s="33">
        <v>630</v>
      </c>
      <c r="W473" s="10">
        <v>630</v>
      </c>
      <c r="X473" s="10">
        <v>630</v>
      </c>
      <c r="Y473" s="10">
        <v>11.2</v>
      </c>
      <c r="Z473" s="10">
        <v>5</v>
      </c>
      <c r="AA473" s="10" t="s">
        <v>481</v>
      </c>
      <c r="AB473" s="10"/>
      <c r="AC473" s="22">
        <v>43934</v>
      </c>
      <c r="AD473" s="22">
        <v>43950</v>
      </c>
      <c r="AE473" s="22">
        <v>43937</v>
      </c>
      <c r="AF473" s="22">
        <v>43937</v>
      </c>
      <c r="AG473" s="106" t="s">
        <v>482</v>
      </c>
      <c r="AH473" s="27">
        <v>100</v>
      </c>
      <c r="AI473" s="27">
        <v>100</v>
      </c>
      <c r="AJ473" s="27">
        <v>100</v>
      </c>
      <c r="AK473" s="27" t="s">
        <v>1061</v>
      </c>
      <c r="AL473" s="19" t="s">
        <v>1</v>
      </c>
      <c r="AM473" s="19" t="s">
        <v>1</v>
      </c>
    </row>
    <row r="474" spans="2:39" ht="15" x14ac:dyDescent="0.2">
      <c r="B474" s="118">
        <v>201</v>
      </c>
      <c r="C474" s="16">
        <v>20200413</v>
      </c>
      <c r="D474" s="23" t="s">
        <v>476</v>
      </c>
      <c r="E474" s="33" t="s">
        <v>75</v>
      </c>
      <c r="F474" s="87" t="s">
        <v>1109</v>
      </c>
      <c r="G474" s="33">
        <v>1375671</v>
      </c>
      <c r="H474" s="33"/>
      <c r="I474" s="59" t="s">
        <v>8</v>
      </c>
      <c r="J474" s="59"/>
      <c r="K474" s="10" t="s">
        <v>478</v>
      </c>
      <c r="L474" s="120">
        <v>81728</v>
      </c>
      <c r="M474" s="120"/>
      <c r="N474" s="120"/>
      <c r="O474" s="120"/>
      <c r="P474" s="19" t="s">
        <v>523</v>
      </c>
      <c r="Q474" s="16" t="s">
        <v>1215</v>
      </c>
      <c r="R474" s="16"/>
      <c r="S474" s="10" t="s">
        <v>279</v>
      </c>
      <c r="T474" s="10"/>
      <c r="U474" s="10"/>
      <c r="V474" s="33">
        <v>109</v>
      </c>
      <c r="W474" s="10">
        <v>109</v>
      </c>
      <c r="X474" s="10">
        <v>109</v>
      </c>
      <c r="Y474" s="10">
        <v>1.93</v>
      </c>
      <c r="Z474" s="10">
        <v>1</v>
      </c>
      <c r="AA474" s="10" t="s">
        <v>481</v>
      </c>
      <c r="AB474" s="10"/>
      <c r="AC474" s="22">
        <v>43934</v>
      </c>
      <c r="AD474" s="22">
        <v>43950</v>
      </c>
      <c r="AE474" s="22">
        <v>43937</v>
      </c>
      <c r="AF474" s="22">
        <v>43937</v>
      </c>
      <c r="AG474" s="106" t="s">
        <v>482</v>
      </c>
      <c r="AH474" s="27">
        <v>100</v>
      </c>
      <c r="AI474" s="27">
        <v>100</v>
      </c>
      <c r="AJ474" s="27">
        <v>100</v>
      </c>
      <c r="AK474" s="27" t="s">
        <v>1061</v>
      </c>
      <c r="AL474" s="19" t="s">
        <v>1</v>
      </c>
      <c r="AM474" s="19" t="s">
        <v>1</v>
      </c>
    </row>
    <row r="475" spans="2:39" ht="15" x14ac:dyDescent="0.2">
      <c r="B475" s="118">
        <v>202</v>
      </c>
      <c r="C475" s="16">
        <v>20200413</v>
      </c>
      <c r="D475" s="23" t="s">
        <v>476</v>
      </c>
      <c r="E475" s="33" t="s">
        <v>75</v>
      </c>
      <c r="F475" s="87" t="s">
        <v>1109</v>
      </c>
      <c r="G475" s="33">
        <v>1375671</v>
      </c>
      <c r="H475" s="33"/>
      <c r="I475" s="59" t="s">
        <v>63</v>
      </c>
      <c r="J475" s="59"/>
      <c r="K475" s="10" t="s">
        <v>478</v>
      </c>
      <c r="L475" s="120">
        <v>81728</v>
      </c>
      <c r="M475" s="120"/>
      <c r="N475" s="120"/>
      <c r="O475" s="120"/>
      <c r="P475" s="19" t="s">
        <v>523</v>
      </c>
      <c r="Q475" s="16" t="s">
        <v>1216</v>
      </c>
      <c r="R475" s="16"/>
      <c r="S475" s="10" t="s">
        <v>279</v>
      </c>
      <c r="T475" s="10"/>
      <c r="U475" s="10"/>
      <c r="V475" s="33">
        <v>100</v>
      </c>
      <c r="W475" s="10">
        <v>100</v>
      </c>
      <c r="X475" s="10">
        <v>100</v>
      </c>
      <c r="Y475" s="10">
        <v>1.77</v>
      </c>
      <c r="Z475" s="10">
        <v>1</v>
      </c>
      <c r="AA475" s="10" t="s">
        <v>481</v>
      </c>
      <c r="AB475" s="10"/>
      <c r="AC475" s="22">
        <v>43934</v>
      </c>
      <c r="AD475" s="22">
        <v>43950</v>
      </c>
      <c r="AE475" s="22">
        <v>43937</v>
      </c>
      <c r="AF475" s="22">
        <v>43937</v>
      </c>
      <c r="AG475" s="106" t="s">
        <v>482</v>
      </c>
      <c r="AH475" s="27">
        <v>100</v>
      </c>
      <c r="AI475" s="27">
        <v>100</v>
      </c>
      <c r="AJ475" s="27">
        <v>100</v>
      </c>
      <c r="AK475" s="27" t="s">
        <v>1061</v>
      </c>
      <c r="AL475" s="19" t="s">
        <v>1</v>
      </c>
      <c r="AM475" s="19" t="s">
        <v>1</v>
      </c>
    </row>
    <row r="476" spans="2:39" ht="15" x14ac:dyDescent="0.2">
      <c r="B476" s="118">
        <v>203</v>
      </c>
      <c r="C476" s="16">
        <v>20200413</v>
      </c>
      <c r="D476" s="23" t="s">
        <v>476</v>
      </c>
      <c r="E476" s="33" t="s">
        <v>75</v>
      </c>
      <c r="F476" s="87" t="s">
        <v>1109</v>
      </c>
      <c r="G476" s="33">
        <v>1375671</v>
      </c>
      <c r="H476" s="33"/>
      <c r="I476" s="59" t="s">
        <v>68</v>
      </c>
      <c r="J476" s="59"/>
      <c r="K476" s="10" t="s">
        <v>478</v>
      </c>
      <c r="L476" s="120">
        <v>81728</v>
      </c>
      <c r="M476" s="120"/>
      <c r="N476" s="120"/>
      <c r="O476" s="120"/>
      <c r="P476" s="19" t="s">
        <v>523</v>
      </c>
      <c r="Q476" s="16" t="s">
        <v>1217</v>
      </c>
      <c r="R476" s="16"/>
      <c r="S476" s="10" t="s">
        <v>279</v>
      </c>
      <c r="T476" s="10"/>
      <c r="U476" s="10"/>
      <c r="V476" s="33">
        <v>160</v>
      </c>
      <c r="W476" s="10">
        <v>160</v>
      </c>
      <c r="X476" s="10">
        <v>160</v>
      </c>
      <c r="Y476" s="10">
        <v>2.84</v>
      </c>
      <c r="Z476" s="10">
        <v>2</v>
      </c>
      <c r="AA476" s="10" t="s">
        <v>481</v>
      </c>
      <c r="AB476" s="10"/>
      <c r="AC476" s="22">
        <v>43934</v>
      </c>
      <c r="AD476" s="22">
        <v>43950</v>
      </c>
      <c r="AE476" s="22">
        <v>43937</v>
      </c>
      <c r="AF476" s="22">
        <v>43937</v>
      </c>
      <c r="AG476" s="106" t="s">
        <v>482</v>
      </c>
      <c r="AH476" s="27">
        <v>100</v>
      </c>
      <c r="AI476" s="27">
        <v>100</v>
      </c>
      <c r="AJ476" s="27">
        <v>100</v>
      </c>
      <c r="AK476" s="27" t="s">
        <v>1061</v>
      </c>
      <c r="AL476" s="19" t="s">
        <v>1</v>
      </c>
      <c r="AM476" s="19" t="s">
        <v>1</v>
      </c>
    </row>
    <row r="477" spans="2:39" ht="15" x14ac:dyDescent="0.2">
      <c r="B477" s="118">
        <v>204</v>
      </c>
      <c r="C477" s="16">
        <v>20200413</v>
      </c>
      <c r="D477" s="23" t="s">
        <v>476</v>
      </c>
      <c r="E477" s="33" t="s">
        <v>75</v>
      </c>
      <c r="F477" s="87" t="s">
        <v>1109</v>
      </c>
      <c r="G477" s="33">
        <v>1375671</v>
      </c>
      <c r="H477" s="33"/>
      <c r="I477" s="121" t="s">
        <v>341</v>
      </c>
      <c r="J477" s="121"/>
      <c r="K477" s="10" t="s">
        <v>478</v>
      </c>
      <c r="L477" s="120">
        <v>81728</v>
      </c>
      <c r="M477" s="120"/>
      <c r="N477" s="120"/>
      <c r="O477" s="120"/>
      <c r="P477" s="19" t="s">
        <v>523</v>
      </c>
      <c r="Q477" s="16" t="s">
        <v>1218</v>
      </c>
      <c r="R477" s="16"/>
      <c r="S477" s="10" t="s">
        <v>261</v>
      </c>
      <c r="T477" s="10"/>
      <c r="U477" s="10"/>
      <c r="V477" s="33">
        <v>23</v>
      </c>
      <c r="W477" s="10">
        <v>23</v>
      </c>
      <c r="X477" s="10">
        <v>23</v>
      </c>
      <c r="Y477" s="10">
        <v>0.4</v>
      </c>
      <c r="Z477" s="10">
        <v>0.2</v>
      </c>
      <c r="AA477" s="10" t="s">
        <v>481</v>
      </c>
      <c r="AB477" s="10"/>
      <c r="AC477" s="22">
        <v>43934</v>
      </c>
      <c r="AD477" s="22">
        <v>43950</v>
      </c>
      <c r="AE477" s="22">
        <v>43945</v>
      </c>
      <c r="AF477" s="22">
        <v>43945</v>
      </c>
      <c r="AG477" s="111" t="s">
        <v>482</v>
      </c>
      <c r="AH477" s="27">
        <v>100</v>
      </c>
      <c r="AI477" s="27">
        <v>100</v>
      </c>
      <c r="AJ477" s="27">
        <v>100</v>
      </c>
      <c r="AK477" s="27" t="s">
        <v>1061</v>
      </c>
      <c r="AL477" s="19" t="s">
        <v>1</v>
      </c>
      <c r="AM477" s="19" t="s">
        <v>1</v>
      </c>
    </row>
    <row r="478" spans="2:39" ht="15" x14ac:dyDescent="0.25">
      <c r="B478" s="118">
        <v>205</v>
      </c>
      <c r="C478" s="16">
        <v>20200413</v>
      </c>
      <c r="D478" s="23" t="s">
        <v>476</v>
      </c>
      <c r="E478" s="33" t="s">
        <v>75</v>
      </c>
      <c r="F478" s="114" t="s">
        <v>1109</v>
      </c>
      <c r="G478" s="59">
        <v>1375671</v>
      </c>
      <c r="H478" s="59"/>
      <c r="I478" s="59" t="s">
        <v>11</v>
      </c>
      <c r="J478" s="59"/>
      <c r="K478" s="59" t="s">
        <v>478</v>
      </c>
      <c r="L478" s="119">
        <v>81728</v>
      </c>
      <c r="M478" s="119"/>
      <c r="N478" s="119"/>
      <c r="O478" s="119"/>
      <c r="P478" s="19" t="s">
        <v>523</v>
      </c>
      <c r="Q478" s="16" t="s">
        <v>1219</v>
      </c>
      <c r="R478" s="16"/>
      <c r="S478" s="10" t="s">
        <v>219</v>
      </c>
      <c r="T478" s="10"/>
      <c r="U478" s="10"/>
      <c r="V478" s="33">
        <v>169</v>
      </c>
      <c r="W478" s="16">
        <v>169</v>
      </c>
      <c r="X478" s="10">
        <v>169</v>
      </c>
      <c r="Y478" s="10">
        <v>3</v>
      </c>
      <c r="Z478" s="10">
        <v>1</v>
      </c>
      <c r="AA478" s="10" t="s">
        <v>481</v>
      </c>
      <c r="AB478" s="10"/>
      <c r="AC478" s="22">
        <v>43934</v>
      </c>
      <c r="AD478" s="22">
        <v>43950</v>
      </c>
      <c r="AE478" s="22">
        <v>43937</v>
      </c>
      <c r="AF478" s="22">
        <v>43937</v>
      </c>
      <c r="AG478" s="106" t="s">
        <v>489</v>
      </c>
      <c r="AH478" s="27">
        <v>100</v>
      </c>
      <c r="AI478" s="27">
        <v>100</v>
      </c>
      <c r="AJ478" s="27">
        <v>100</v>
      </c>
      <c r="AK478" s="27" t="s">
        <v>490</v>
      </c>
      <c r="AL478" s="19" t="s">
        <v>1322</v>
      </c>
      <c r="AM478" s="19"/>
    </row>
    <row r="479" spans="2:39" ht="15" x14ac:dyDescent="0.2">
      <c r="B479" s="118">
        <v>206</v>
      </c>
      <c r="C479" s="16">
        <v>20200413</v>
      </c>
      <c r="D479" s="23" t="s">
        <v>476</v>
      </c>
      <c r="E479" s="33" t="s">
        <v>75</v>
      </c>
      <c r="F479" s="87" t="s">
        <v>1109</v>
      </c>
      <c r="G479" s="33">
        <v>1375671</v>
      </c>
      <c r="H479" s="33"/>
      <c r="I479" s="121" t="s">
        <v>13</v>
      </c>
      <c r="J479" s="121"/>
      <c r="K479" s="10" t="s">
        <v>478</v>
      </c>
      <c r="L479" s="120">
        <v>81728</v>
      </c>
      <c r="M479" s="120"/>
      <c r="N479" s="120"/>
      <c r="O479" s="120"/>
      <c r="P479" s="19" t="s">
        <v>523</v>
      </c>
      <c r="Q479" s="16" t="s">
        <v>1220</v>
      </c>
      <c r="R479" s="16"/>
      <c r="S479" s="10" t="s">
        <v>261</v>
      </c>
      <c r="T479" s="10"/>
      <c r="U479" s="10"/>
      <c r="V479" s="33">
        <v>187</v>
      </c>
      <c r="W479" s="10">
        <v>187</v>
      </c>
      <c r="X479" s="10">
        <v>187</v>
      </c>
      <c r="Y479" s="10">
        <v>3.32</v>
      </c>
      <c r="Z479" s="10">
        <v>3</v>
      </c>
      <c r="AA479" s="10" t="s">
        <v>481</v>
      </c>
      <c r="AB479" s="10"/>
      <c r="AC479" s="22">
        <v>43934</v>
      </c>
      <c r="AD479" s="22">
        <v>43950</v>
      </c>
      <c r="AE479" s="22">
        <v>43949</v>
      </c>
      <c r="AF479" s="22">
        <v>43949</v>
      </c>
      <c r="AG479" s="111" t="s">
        <v>482</v>
      </c>
      <c r="AH479" s="27">
        <v>100</v>
      </c>
      <c r="AI479" s="27">
        <v>100</v>
      </c>
      <c r="AJ479" s="27">
        <v>100</v>
      </c>
      <c r="AK479" s="27" t="s">
        <v>1061</v>
      </c>
      <c r="AL479" s="19" t="s">
        <v>1</v>
      </c>
      <c r="AM479" s="19" t="s">
        <v>1</v>
      </c>
    </row>
    <row r="480" spans="2:39" ht="15" x14ac:dyDescent="0.2">
      <c r="B480" s="118">
        <v>207</v>
      </c>
      <c r="C480" s="16">
        <v>20200413</v>
      </c>
      <c r="D480" s="23" t="s">
        <v>476</v>
      </c>
      <c r="E480" s="33" t="s">
        <v>75</v>
      </c>
      <c r="F480" s="87" t="s">
        <v>1109</v>
      </c>
      <c r="G480" s="33">
        <v>1375671</v>
      </c>
      <c r="H480" s="33"/>
      <c r="I480" s="121" t="s">
        <v>69</v>
      </c>
      <c r="J480" s="121"/>
      <c r="K480" s="10" t="s">
        <v>478</v>
      </c>
      <c r="L480" s="120">
        <v>81728</v>
      </c>
      <c r="M480" s="120"/>
      <c r="N480" s="120"/>
      <c r="O480" s="120"/>
      <c r="P480" s="19" t="s">
        <v>523</v>
      </c>
      <c r="Q480" s="16" t="s">
        <v>1221</v>
      </c>
      <c r="R480" s="16"/>
      <c r="S480" s="10" t="s">
        <v>261</v>
      </c>
      <c r="T480" s="10"/>
      <c r="U480" s="10"/>
      <c r="V480" s="33">
        <v>390</v>
      </c>
      <c r="W480" s="10">
        <v>390</v>
      </c>
      <c r="X480" s="10">
        <v>390</v>
      </c>
      <c r="Y480" s="10">
        <v>6.93</v>
      </c>
      <c r="Z480" s="10">
        <v>4</v>
      </c>
      <c r="AA480" s="10" t="s">
        <v>481</v>
      </c>
      <c r="AB480" s="10"/>
      <c r="AC480" s="22">
        <v>43934</v>
      </c>
      <c r="AD480" s="22">
        <v>43950</v>
      </c>
      <c r="AE480" s="22">
        <v>43949</v>
      </c>
      <c r="AF480" s="22">
        <v>43949</v>
      </c>
      <c r="AG480" s="111" t="s">
        <v>482</v>
      </c>
      <c r="AH480" s="27">
        <v>100</v>
      </c>
      <c r="AI480" s="27">
        <v>100</v>
      </c>
      <c r="AJ480" s="27">
        <v>100</v>
      </c>
      <c r="AK480" s="27" t="s">
        <v>1061</v>
      </c>
      <c r="AL480" s="19" t="s">
        <v>1</v>
      </c>
      <c r="AM480" s="19" t="s">
        <v>1</v>
      </c>
    </row>
    <row r="481" spans="2:39" ht="15" x14ac:dyDescent="0.2">
      <c r="B481" s="118">
        <v>208</v>
      </c>
      <c r="C481" s="16">
        <v>20200413</v>
      </c>
      <c r="D481" s="23" t="s">
        <v>476</v>
      </c>
      <c r="E481" s="33" t="s">
        <v>75</v>
      </c>
      <c r="F481" s="87" t="s">
        <v>1109</v>
      </c>
      <c r="G481" s="33">
        <v>1375671</v>
      </c>
      <c r="H481" s="33"/>
      <c r="I481" s="121" t="s">
        <v>70</v>
      </c>
      <c r="J481" s="121"/>
      <c r="K481" s="10" t="s">
        <v>478</v>
      </c>
      <c r="L481" s="120">
        <v>81728</v>
      </c>
      <c r="M481" s="120"/>
      <c r="N481" s="120"/>
      <c r="O481" s="120"/>
      <c r="P481" s="19" t="s">
        <v>523</v>
      </c>
      <c r="Q481" s="16" t="s">
        <v>1222</v>
      </c>
      <c r="R481" s="16"/>
      <c r="S481" s="10" t="s">
        <v>261</v>
      </c>
      <c r="T481" s="10"/>
      <c r="U481" s="10"/>
      <c r="V481" s="33">
        <v>61</v>
      </c>
      <c r="W481" s="10">
        <v>61</v>
      </c>
      <c r="X481" s="10">
        <v>61</v>
      </c>
      <c r="Y481" s="10">
        <v>1.08</v>
      </c>
      <c r="Z481" s="10">
        <v>1</v>
      </c>
      <c r="AA481" s="10" t="s">
        <v>481</v>
      </c>
      <c r="AB481" s="10"/>
      <c r="AC481" s="22">
        <v>43934</v>
      </c>
      <c r="AD481" s="22">
        <v>43950</v>
      </c>
      <c r="AE481" s="22">
        <v>43949</v>
      </c>
      <c r="AF481" s="22">
        <v>43949</v>
      </c>
      <c r="AG481" s="111" t="s">
        <v>482</v>
      </c>
      <c r="AH481" s="27">
        <v>100</v>
      </c>
      <c r="AI481" s="27">
        <v>100</v>
      </c>
      <c r="AJ481" s="27">
        <v>100</v>
      </c>
      <c r="AK481" s="27" t="s">
        <v>1061</v>
      </c>
      <c r="AL481" s="19" t="s">
        <v>1</v>
      </c>
      <c r="AM481" s="19" t="s">
        <v>1</v>
      </c>
    </row>
    <row r="482" spans="2:39" ht="15" x14ac:dyDescent="0.2">
      <c r="B482" s="118">
        <v>209</v>
      </c>
      <c r="C482" s="16">
        <v>20200413</v>
      </c>
      <c r="D482" s="23" t="s">
        <v>476</v>
      </c>
      <c r="E482" s="33" t="s">
        <v>75</v>
      </c>
      <c r="F482" s="87" t="s">
        <v>1109</v>
      </c>
      <c r="G482" s="33">
        <v>1375671</v>
      </c>
      <c r="H482" s="33"/>
      <c r="I482" s="121" t="s">
        <v>342</v>
      </c>
      <c r="J482" s="121"/>
      <c r="K482" s="10" t="s">
        <v>478</v>
      </c>
      <c r="L482" s="120">
        <v>81728</v>
      </c>
      <c r="M482" s="120"/>
      <c r="N482" s="120"/>
      <c r="O482" s="120"/>
      <c r="P482" s="19" t="s">
        <v>523</v>
      </c>
      <c r="Q482" s="16" t="s">
        <v>1223</v>
      </c>
      <c r="R482" s="16"/>
      <c r="S482" s="10" t="s">
        <v>261</v>
      </c>
      <c r="T482" s="10"/>
      <c r="U482" s="10"/>
      <c r="V482" s="33">
        <v>130</v>
      </c>
      <c r="W482" s="10">
        <v>130</v>
      </c>
      <c r="X482" s="10">
        <v>130</v>
      </c>
      <c r="Y482" s="10">
        <v>2.31</v>
      </c>
      <c r="Z482" s="10">
        <v>1</v>
      </c>
      <c r="AA482" s="10" t="s">
        <v>481</v>
      </c>
      <c r="AB482" s="10"/>
      <c r="AC482" s="22">
        <v>43934</v>
      </c>
      <c r="AD482" s="22">
        <v>43950</v>
      </c>
      <c r="AE482" s="22">
        <v>43949</v>
      </c>
      <c r="AF482" s="22">
        <v>43949</v>
      </c>
      <c r="AG482" s="106" t="s">
        <v>482</v>
      </c>
      <c r="AH482" s="27">
        <v>100</v>
      </c>
      <c r="AI482" s="27">
        <v>100</v>
      </c>
      <c r="AJ482" s="27">
        <v>100</v>
      </c>
      <c r="AK482" s="27" t="s">
        <v>1061</v>
      </c>
      <c r="AL482" s="19" t="s">
        <v>1</v>
      </c>
      <c r="AM482" s="19" t="s">
        <v>1</v>
      </c>
    </row>
    <row r="483" spans="2:39" ht="15" x14ac:dyDescent="0.2">
      <c r="B483" s="118">
        <v>210</v>
      </c>
      <c r="C483" s="16">
        <v>20200413</v>
      </c>
      <c r="D483" s="23" t="s">
        <v>476</v>
      </c>
      <c r="E483" s="33" t="s">
        <v>75</v>
      </c>
      <c r="F483" s="87" t="s">
        <v>1109</v>
      </c>
      <c r="G483" s="33">
        <v>1375671</v>
      </c>
      <c r="H483" s="33"/>
      <c r="I483" s="59" t="s">
        <v>14</v>
      </c>
      <c r="J483" s="59"/>
      <c r="K483" s="10" t="s">
        <v>478</v>
      </c>
      <c r="L483" s="120">
        <v>81728</v>
      </c>
      <c r="M483" s="120"/>
      <c r="N483" s="120"/>
      <c r="O483" s="120"/>
      <c r="P483" s="19" t="s">
        <v>523</v>
      </c>
      <c r="Q483" s="16" t="s">
        <v>1224</v>
      </c>
      <c r="R483" s="16"/>
      <c r="S483" s="10" t="s">
        <v>260</v>
      </c>
      <c r="T483" s="10"/>
      <c r="U483" s="10"/>
      <c r="V483" s="33">
        <v>196</v>
      </c>
      <c r="W483" s="10">
        <v>196</v>
      </c>
      <c r="X483" s="10">
        <v>196</v>
      </c>
      <c r="Y483" s="10">
        <v>3.48</v>
      </c>
      <c r="Z483" s="10">
        <v>1</v>
      </c>
      <c r="AA483" s="10" t="s">
        <v>481</v>
      </c>
      <c r="AB483" s="10"/>
      <c r="AC483" s="22">
        <v>43934</v>
      </c>
      <c r="AD483" s="22">
        <v>43950</v>
      </c>
      <c r="AE483" s="22">
        <v>43944</v>
      </c>
      <c r="AF483" s="22">
        <v>43944</v>
      </c>
      <c r="AG483" s="106" t="s">
        <v>482</v>
      </c>
      <c r="AH483" s="10">
        <v>100</v>
      </c>
      <c r="AI483" s="10">
        <v>100</v>
      </c>
      <c r="AJ483" s="10">
        <v>100</v>
      </c>
      <c r="AK483" s="10" t="s">
        <v>1061</v>
      </c>
      <c r="AL483" s="19" t="s">
        <v>1</v>
      </c>
      <c r="AM483" s="19" t="s">
        <v>1</v>
      </c>
    </row>
    <row r="484" spans="2:39" ht="15" x14ac:dyDescent="0.2">
      <c r="B484" s="118">
        <v>211</v>
      </c>
      <c r="C484" s="16">
        <v>20200413</v>
      </c>
      <c r="D484" s="23" t="s">
        <v>476</v>
      </c>
      <c r="E484" s="33" t="s">
        <v>75</v>
      </c>
      <c r="F484" s="87" t="s">
        <v>1109</v>
      </c>
      <c r="G484" s="33">
        <v>1375671</v>
      </c>
      <c r="H484" s="33"/>
      <c r="I484" s="59" t="s">
        <v>16</v>
      </c>
      <c r="J484" s="59"/>
      <c r="K484" s="10" t="s">
        <v>478</v>
      </c>
      <c r="L484" s="120">
        <v>81728</v>
      </c>
      <c r="M484" s="120"/>
      <c r="N484" s="120"/>
      <c r="O484" s="120"/>
      <c r="P484" s="19" t="s">
        <v>523</v>
      </c>
      <c r="Q484" s="16" t="s">
        <v>1225</v>
      </c>
      <c r="R484" s="16"/>
      <c r="S484" s="10" t="s">
        <v>260</v>
      </c>
      <c r="T484" s="10"/>
      <c r="U484" s="10"/>
      <c r="V484" s="33">
        <v>173</v>
      </c>
      <c r="W484" s="10">
        <v>173</v>
      </c>
      <c r="X484" s="10">
        <v>173</v>
      </c>
      <c r="Y484" s="10">
        <v>3.07</v>
      </c>
      <c r="Z484" s="10">
        <v>1</v>
      </c>
      <c r="AA484" s="10" t="s">
        <v>481</v>
      </c>
      <c r="AB484" s="10"/>
      <c r="AC484" s="22">
        <v>43934</v>
      </c>
      <c r="AD484" s="22">
        <v>43950</v>
      </c>
      <c r="AE484" s="22">
        <v>43944</v>
      </c>
      <c r="AF484" s="22">
        <v>43944</v>
      </c>
      <c r="AG484" s="106" t="s">
        <v>489</v>
      </c>
      <c r="AH484" s="10">
        <v>100</v>
      </c>
      <c r="AI484" s="10">
        <v>100</v>
      </c>
      <c r="AJ484" s="10">
        <v>87</v>
      </c>
      <c r="AK484" s="10" t="s">
        <v>490</v>
      </c>
      <c r="AL484" s="19" t="s">
        <v>1323</v>
      </c>
      <c r="AM484" s="19" t="s">
        <v>1</v>
      </c>
    </row>
    <row r="485" spans="2:39" ht="15" x14ac:dyDescent="0.2">
      <c r="B485" s="118">
        <v>212</v>
      </c>
      <c r="C485" s="16">
        <v>20200413</v>
      </c>
      <c r="D485" s="23" t="s">
        <v>476</v>
      </c>
      <c r="E485" s="33" t="s">
        <v>75</v>
      </c>
      <c r="F485" s="87" t="s">
        <v>1109</v>
      </c>
      <c r="G485" s="33">
        <v>1375671</v>
      </c>
      <c r="H485" s="33"/>
      <c r="I485" s="121" t="s">
        <v>121</v>
      </c>
      <c r="J485" s="121"/>
      <c r="K485" s="10" t="s">
        <v>478</v>
      </c>
      <c r="L485" s="120">
        <v>81728</v>
      </c>
      <c r="M485" s="120"/>
      <c r="N485" s="120"/>
      <c r="O485" s="120"/>
      <c r="P485" s="19" t="s">
        <v>523</v>
      </c>
      <c r="Q485" s="16" t="s">
        <v>1226</v>
      </c>
      <c r="R485" s="16"/>
      <c r="S485" s="10" t="s">
        <v>261</v>
      </c>
      <c r="T485" s="10"/>
      <c r="U485" s="10"/>
      <c r="V485" s="33">
        <v>119</v>
      </c>
      <c r="W485" s="10">
        <v>119</v>
      </c>
      <c r="X485" s="10">
        <v>119</v>
      </c>
      <c r="Y485" s="10">
        <v>2.11</v>
      </c>
      <c r="Z485" s="10">
        <v>2</v>
      </c>
      <c r="AA485" s="10" t="s">
        <v>481</v>
      </c>
      <c r="AB485" s="10"/>
      <c r="AC485" s="22">
        <v>43934</v>
      </c>
      <c r="AD485" s="22">
        <v>43950</v>
      </c>
      <c r="AE485" s="22">
        <v>43949</v>
      </c>
      <c r="AF485" s="22">
        <v>43949</v>
      </c>
      <c r="AG485" s="106" t="s">
        <v>489</v>
      </c>
      <c r="AH485" s="10">
        <v>97</v>
      </c>
      <c r="AI485" s="10">
        <v>95</v>
      </c>
      <c r="AJ485" s="10">
        <v>100</v>
      </c>
      <c r="AK485" s="10" t="s">
        <v>490</v>
      </c>
      <c r="AL485" s="19" t="s">
        <v>1324</v>
      </c>
      <c r="AM485" s="19" t="s">
        <v>1</v>
      </c>
    </row>
    <row r="486" spans="2:39" ht="15" x14ac:dyDescent="0.2">
      <c r="B486" s="118">
        <v>213</v>
      </c>
      <c r="C486" s="16">
        <v>20200413</v>
      </c>
      <c r="D486" s="23" t="s">
        <v>476</v>
      </c>
      <c r="E486" s="33" t="s">
        <v>75</v>
      </c>
      <c r="F486" s="87" t="s">
        <v>1109</v>
      </c>
      <c r="G486" s="33">
        <v>1375671</v>
      </c>
      <c r="H486" s="33"/>
      <c r="I486" s="121" t="s">
        <v>17</v>
      </c>
      <c r="J486" s="121"/>
      <c r="K486" s="10" t="s">
        <v>478</v>
      </c>
      <c r="L486" s="120">
        <v>81728</v>
      </c>
      <c r="M486" s="120"/>
      <c r="N486" s="120"/>
      <c r="O486" s="120"/>
      <c r="P486" s="19" t="s">
        <v>523</v>
      </c>
      <c r="Q486" s="16" t="s">
        <v>1227</v>
      </c>
      <c r="R486" s="16"/>
      <c r="S486" s="10" t="s">
        <v>261</v>
      </c>
      <c r="T486" s="10"/>
      <c r="U486" s="10"/>
      <c r="V486" s="33">
        <v>176</v>
      </c>
      <c r="W486" s="10">
        <v>176</v>
      </c>
      <c r="X486" s="10">
        <v>176</v>
      </c>
      <c r="Y486" s="10">
        <v>3.12</v>
      </c>
      <c r="Z486" s="10">
        <v>2</v>
      </c>
      <c r="AA486" s="10" t="s">
        <v>481</v>
      </c>
      <c r="AB486" s="10"/>
      <c r="AC486" s="22">
        <v>43934</v>
      </c>
      <c r="AD486" s="22">
        <v>43950</v>
      </c>
      <c r="AE486" s="22">
        <v>43949</v>
      </c>
      <c r="AF486" s="22">
        <v>43949</v>
      </c>
      <c r="AG486" s="106" t="s">
        <v>489</v>
      </c>
      <c r="AH486" s="10">
        <v>98</v>
      </c>
      <c r="AI486" s="10">
        <v>97</v>
      </c>
      <c r="AJ486" s="10">
        <v>100</v>
      </c>
      <c r="AK486" s="10" t="s">
        <v>490</v>
      </c>
      <c r="AL486" s="19" t="s">
        <v>1325</v>
      </c>
      <c r="AM486" s="19" t="s">
        <v>1</v>
      </c>
    </row>
    <row r="487" spans="2:39" ht="15" x14ac:dyDescent="0.2">
      <c r="B487" s="118">
        <v>214</v>
      </c>
      <c r="C487" s="16">
        <v>20200413</v>
      </c>
      <c r="D487" s="23" t="s">
        <v>476</v>
      </c>
      <c r="E487" s="33" t="s">
        <v>75</v>
      </c>
      <c r="F487" s="87" t="s">
        <v>1109</v>
      </c>
      <c r="G487" s="33">
        <v>1375671</v>
      </c>
      <c r="H487" s="33"/>
      <c r="I487" s="16" t="s">
        <v>120</v>
      </c>
      <c r="J487" s="16"/>
      <c r="K487" s="10" t="s">
        <v>478</v>
      </c>
      <c r="L487" s="120">
        <v>81728</v>
      </c>
      <c r="M487" s="120"/>
      <c r="N487" s="120"/>
      <c r="O487" s="120"/>
      <c r="P487" s="19" t="s">
        <v>523</v>
      </c>
      <c r="Q487" s="16" t="s">
        <v>1228</v>
      </c>
      <c r="R487" s="16"/>
      <c r="S487" s="10" t="s">
        <v>260</v>
      </c>
      <c r="T487" s="10"/>
      <c r="U487" s="10"/>
      <c r="V487" s="33">
        <v>116</v>
      </c>
      <c r="W487" s="10">
        <v>116</v>
      </c>
      <c r="X487" s="10">
        <v>116</v>
      </c>
      <c r="Y487" s="10">
        <v>2.06</v>
      </c>
      <c r="Z487" s="10">
        <v>1</v>
      </c>
      <c r="AA487" s="10" t="s">
        <v>481</v>
      </c>
      <c r="AB487" s="10"/>
      <c r="AC487" s="22">
        <v>43934</v>
      </c>
      <c r="AD487" s="22">
        <v>43950</v>
      </c>
      <c r="AE487" s="22">
        <v>43949</v>
      </c>
      <c r="AF487" s="22">
        <v>43949</v>
      </c>
      <c r="AG487" s="106" t="s">
        <v>482</v>
      </c>
      <c r="AH487" s="10">
        <v>100</v>
      </c>
      <c r="AI487" s="10">
        <v>100</v>
      </c>
      <c r="AJ487" s="10">
        <v>100</v>
      </c>
      <c r="AK487" s="10" t="s">
        <v>1061</v>
      </c>
      <c r="AL487" s="19" t="s">
        <v>1</v>
      </c>
      <c r="AM487" s="19" t="s">
        <v>1</v>
      </c>
    </row>
    <row r="488" spans="2:39" ht="15" x14ac:dyDescent="0.2">
      <c r="B488" s="118">
        <v>215</v>
      </c>
      <c r="C488" s="16">
        <v>20200413</v>
      </c>
      <c r="D488" s="23" t="s">
        <v>476</v>
      </c>
      <c r="E488" s="33" t="s">
        <v>75</v>
      </c>
      <c r="F488" s="87" t="s">
        <v>1109</v>
      </c>
      <c r="G488" s="33">
        <v>1375671</v>
      </c>
      <c r="H488" s="33"/>
      <c r="I488" s="59" t="s">
        <v>18</v>
      </c>
      <c r="J488" s="59"/>
      <c r="K488" s="10" t="s">
        <v>478</v>
      </c>
      <c r="L488" s="120">
        <v>81728</v>
      </c>
      <c r="M488" s="120"/>
      <c r="N488" s="120"/>
      <c r="O488" s="120"/>
      <c r="P488" s="19" t="s">
        <v>523</v>
      </c>
      <c r="Q488" s="16" t="s">
        <v>1229</v>
      </c>
      <c r="R488" s="16"/>
      <c r="S488" s="10" t="s">
        <v>260</v>
      </c>
      <c r="T488" s="10"/>
      <c r="U488" s="10"/>
      <c r="V488" s="33">
        <v>268</v>
      </c>
      <c r="W488" s="10">
        <v>268</v>
      </c>
      <c r="X488" s="10">
        <v>268</v>
      </c>
      <c r="Y488" s="10">
        <v>4.76</v>
      </c>
      <c r="Z488" s="10">
        <v>0.5</v>
      </c>
      <c r="AA488" s="10" t="s">
        <v>481</v>
      </c>
      <c r="AB488" s="10"/>
      <c r="AC488" s="22">
        <v>43934</v>
      </c>
      <c r="AD488" s="22">
        <v>43950</v>
      </c>
      <c r="AE488" s="22">
        <v>43938</v>
      </c>
      <c r="AF488" s="22">
        <v>43938</v>
      </c>
      <c r="AG488" s="106" t="s">
        <v>482</v>
      </c>
      <c r="AH488" s="10">
        <v>100</v>
      </c>
      <c r="AI488" s="10">
        <v>100</v>
      </c>
      <c r="AJ488" s="10">
        <v>100</v>
      </c>
      <c r="AK488" s="10" t="s">
        <v>1061</v>
      </c>
      <c r="AL488" s="19" t="s">
        <v>1</v>
      </c>
      <c r="AM488" s="19" t="s">
        <v>1</v>
      </c>
    </row>
    <row r="489" spans="2:39" ht="15" x14ac:dyDescent="0.2">
      <c r="B489" s="118">
        <v>216</v>
      </c>
      <c r="C489" s="16">
        <v>20200413</v>
      </c>
      <c r="D489" s="23" t="s">
        <v>476</v>
      </c>
      <c r="E489" s="33" t="s">
        <v>75</v>
      </c>
      <c r="F489" s="87" t="s">
        <v>1109</v>
      </c>
      <c r="G489" s="33">
        <v>1375671</v>
      </c>
      <c r="H489" s="33"/>
      <c r="I489" s="59" t="s">
        <v>19</v>
      </c>
      <c r="J489" s="59"/>
      <c r="K489" s="10" t="s">
        <v>478</v>
      </c>
      <c r="L489" s="120">
        <v>81728</v>
      </c>
      <c r="M489" s="120"/>
      <c r="N489" s="120"/>
      <c r="O489" s="120"/>
      <c r="P489" s="19" t="s">
        <v>523</v>
      </c>
      <c r="Q489" s="16" t="s">
        <v>1230</v>
      </c>
      <c r="R489" s="16"/>
      <c r="S489" s="10" t="s">
        <v>260</v>
      </c>
      <c r="T489" s="10"/>
      <c r="U489" s="10"/>
      <c r="V489" s="33">
        <v>237</v>
      </c>
      <c r="W489" s="10">
        <v>237</v>
      </c>
      <c r="X489" s="10">
        <v>237</v>
      </c>
      <c r="Y489" s="10">
        <v>4.21</v>
      </c>
      <c r="Z489" s="10">
        <v>0.5</v>
      </c>
      <c r="AA489" s="10" t="s">
        <v>481</v>
      </c>
      <c r="AB489" s="10"/>
      <c r="AC489" s="22">
        <v>43934</v>
      </c>
      <c r="AD489" s="22">
        <v>43950</v>
      </c>
      <c r="AE489" s="22">
        <v>43938</v>
      </c>
      <c r="AF489" s="22">
        <v>43938</v>
      </c>
      <c r="AG489" s="106" t="s">
        <v>482</v>
      </c>
      <c r="AH489" s="10">
        <v>100</v>
      </c>
      <c r="AI489" s="10">
        <v>100</v>
      </c>
      <c r="AJ489" s="10">
        <v>100</v>
      </c>
      <c r="AK489" s="10" t="s">
        <v>1061</v>
      </c>
      <c r="AL489" s="19" t="s">
        <v>1</v>
      </c>
      <c r="AM489" s="19" t="s">
        <v>1</v>
      </c>
    </row>
    <row r="490" spans="2:39" ht="15" x14ac:dyDescent="0.2">
      <c r="B490" s="118">
        <v>217</v>
      </c>
      <c r="C490" s="16">
        <v>20200413</v>
      </c>
      <c r="D490" s="23" t="s">
        <v>476</v>
      </c>
      <c r="E490" s="33" t="s">
        <v>75</v>
      </c>
      <c r="F490" s="87" t="s">
        <v>1110</v>
      </c>
      <c r="G490" s="33">
        <v>1375671</v>
      </c>
      <c r="H490" s="33"/>
      <c r="I490" s="59" t="s">
        <v>66</v>
      </c>
      <c r="J490" s="59"/>
      <c r="K490" s="10" t="s">
        <v>478</v>
      </c>
      <c r="L490" s="120">
        <v>81728</v>
      </c>
      <c r="M490" s="120"/>
      <c r="N490" s="120"/>
      <c r="O490" s="120"/>
      <c r="P490" s="19" t="s">
        <v>523</v>
      </c>
      <c r="Q490" s="16" t="s">
        <v>1231</v>
      </c>
      <c r="R490" s="16"/>
      <c r="S490" s="10" t="s">
        <v>260</v>
      </c>
      <c r="T490" s="10"/>
      <c r="U490" s="10"/>
      <c r="V490" s="33">
        <v>77</v>
      </c>
      <c r="W490" s="10">
        <v>77</v>
      </c>
      <c r="X490" s="10">
        <v>77</v>
      </c>
      <c r="Y490" s="10">
        <v>1.36</v>
      </c>
      <c r="Z490" s="10">
        <v>0.5</v>
      </c>
      <c r="AA490" s="10" t="s">
        <v>481</v>
      </c>
      <c r="AB490" s="10"/>
      <c r="AC490" s="22">
        <v>43934</v>
      </c>
      <c r="AD490" s="22">
        <v>43950</v>
      </c>
      <c r="AE490" s="22">
        <v>43938</v>
      </c>
      <c r="AF490" s="22">
        <v>43938</v>
      </c>
      <c r="AG490" s="106" t="s">
        <v>482</v>
      </c>
      <c r="AH490" s="10">
        <v>100</v>
      </c>
      <c r="AI490" s="10">
        <v>100</v>
      </c>
      <c r="AJ490" s="10">
        <v>100</v>
      </c>
      <c r="AK490" s="10" t="s">
        <v>1061</v>
      </c>
      <c r="AL490" s="19" t="s">
        <v>1</v>
      </c>
      <c r="AM490" s="19" t="s">
        <v>1</v>
      </c>
    </row>
    <row r="491" spans="2:39" ht="15" x14ac:dyDescent="0.2">
      <c r="B491" s="118">
        <v>218</v>
      </c>
      <c r="C491" s="16">
        <v>20200413</v>
      </c>
      <c r="D491" s="23" t="s">
        <v>476</v>
      </c>
      <c r="E491" s="33" t="s">
        <v>75</v>
      </c>
      <c r="F491" s="87" t="s">
        <v>1110</v>
      </c>
      <c r="G491" s="33">
        <v>1375671</v>
      </c>
      <c r="H491" s="33"/>
      <c r="I491" s="59" t="s">
        <v>10</v>
      </c>
      <c r="J491" s="59"/>
      <c r="K491" s="10" t="s">
        <v>478</v>
      </c>
      <c r="L491" s="120">
        <v>81728</v>
      </c>
      <c r="M491" s="120"/>
      <c r="N491" s="120"/>
      <c r="O491" s="120"/>
      <c r="P491" s="19" t="s">
        <v>523</v>
      </c>
      <c r="Q491" s="16" t="s">
        <v>1232</v>
      </c>
      <c r="R491" s="16"/>
      <c r="S491" s="10" t="s">
        <v>260</v>
      </c>
      <c r="T491" s="10"/>
      <c r="U491" s="10"/>
      <c r="V491" s="33">
        <v>44</v>
      </c>
      <c r="W491" s="10">
        <v>44</v>
      </c>
      <c r="X491" s="10">
        <v>44</v>
      </c>
      <c r="Y491" s="10">
        <v>0.78</v>
      </c>
      <c r="Z491" s="10">
        <v>0.5</v>
      </c>
      <c r="AA491" s="10" t="s">
        <v>481</v>
      </c>
      <c r="AB491" s="10"/>
      <c r="AC491" s="22">
        <v>43934</v>
      </c>
      <c r="AD491" s="22">
        <v>43950</v>
      </c>
      <c r="AE491" s="22">
        <v>43938</v>
      </c>
      <c r="AF491" s="22">
        <v>43938</v>
      </c>
      <c r="AG491" s="106" t="s">
        <v>482</v>
      </c>
      <c r="AH491" s="10">
        <v>100</v>
      </c>
      <c r="AI491" s="10">
        <v>100</v>
      </c>
      <c r="AJ491" s="10">
        <v>100</v>
      </c>
      <c r="AK491" s="10" t="s">
        <v>1061</v>
      </c>
      <c r="AL491" s="19" t="s">
        <v>1</v>
      </c>
      <c r="AM491" s="19" t="s">
        <v>1</v>
      </c>
    </row>
    <row r="492" spans="2:39" ht="15" x14ac:dyDescent="0.2">
      <c r="B492" s="118">
        <v>219</v>
      </c>
      <c r="C492" s="16">
        <v>20200413</v>
      </c>
      <c r="D492" s="23" t="s">
        <v>476</v>
      </c>
      <c r="E492" s="33" t="s">
        <v>75</v>
      </c>
      <c r="F492" s="87" t="s">
        <v>1110</v>
      </c>
      <c r="G492" s="33">
        <v>1375671</v>
      </c>
      <c r="H492" s="33"/>
      <c r="I492" s="59" t="s">
        <v>71</v>
      </c>
      <c r="J492" s="59"/>
      <c r="K492" s="10" t="s">
        <v>478</v>
      </c>
      <c r="L492" s="120">
        <v>81728</v>
      </c>
      <c r="M492" s="120"/>
      <c r="N492" s="120"/>
      <c r="O492" s="120"/>
      <c r="P492" s="19" t="s">
        <v>523</v>
      </c>
      <c r="Q492" s="16" t="s">
        <v>1233</v>
      </c>
      <c r="R492" s="16"/>
      <c r="S492" s="10" t="s">
        <v>260</v>
      </c>
      <c r="T492" s="10"/>
      <c r="U492" s="10"/>
      <c r="V492" s="33">
        <v>200</v>
      </c>
      <c r="W492" s="10">
        <v>200</v>
      </c>
      <c r="X492" s="10">
        <v>200</v>
      </c>
      <c r="Y492" s="10">
        <v>3.55</v>
      </c>
      <c r="Z492" s="10">
        <v>0.5</v>
      </c>
      <c r="AA492" s="10" t="s">
        <v>481</v>
      </c>
      <c r="AB492" s="10"/>
      <c r="AC492" s="22">
        <v>43934</v>
      </c>
      <c r="AD492" s="22">
        <v>43950</v>
      </c>
      <c r="AE492" s="22">
        <v>43938</v>
      </c>
      <c r="AF492" s="22">
        <v>43938</v>
      </c>
      <c r="AG492" s="106" t="s">
        <v>482</v>
      </c>
      <c r="AH492" s="10">
        <v>100</v>
      </c>
      <c r="AI492" s="10">
        <v>100</v>
      </c>
      <c r="AJ492" s="10">
        <v>100</v>
      </c>
      <c r="AK492" s="10" t="s">
        <v>1061</v>
      </c>
      <c r="AL492" s="19" t="s">
        <v>1</v>
      </c>
      <c r="AM492" s="19" t="s">
        <v>1</v>
      </c>
    </row>
    <row r="493" spans="2:39" ht="15" x14ac:dyDescent="0.25">
      <c r="B493" s="118">
        <v>220</v>
      </c>
      <c r="C493" s="16">
        <v>20200413</v>
      </c>
      <c r="D493" s="23" t="s">
        <v>476</v>
      </c>
      <c r="E493" s="33" t="s">
        <v>75</v>
      </c>
      <c r="F493" s="114" t="s">
        <v>1111</v>
      </c>
      <c r="G493" s="59">
        <v>1375671</v>
      </c>
      <c r="H493" s="59"/>
      <c r="I493" s="59" t="s">
        <v>161</v>
      </c>
      <c r="J493" s="59"/>
      <c r="K493" s="59" t="s">
        <v>478</v>
      </c>
      <c r="L493" s="119">
        <v>81728</v>
      </c>
      <c r="M493" s="119"/>
      <c r="N493" s="119"/>
      <c r="O493" s="119"/>
      <c r="P493" s="19" t="s">
        <v>523</v>
      </c>
      <c r="Q493" s="16" t="s">
        <v>1234</v>
      </c>
      <c r="R493" s="16"/>
      <c r="S493" s="10" t="s">
        <v>219</v>
      </c>
      <c r="T493" s="10"/>
      <c r="U493" s="10"/>
      <c r="V493" s="33">
        <v>34</v>
      </c>
      <c r="W493" s="16">
        <v>34</v>
      </c>
      <c r="X493" s="10">
        <v>34</v>
      </c>
      <c r="Y493" s="10">
        <v>0.6</v>
      </c>
      <c r="Z493" s="10">
        <v>1</v>
      </c>
      <c r="AA493" s="10" t="s">
        <v>481</v>
      </c>
      <c r="AB493" s="10"/>
      <c r="AC493" s="22">
        <v>43934</v>
      </c>
      <c r="AD493" s="22">
        <v>43950</v>
      </c>
      <c r="AE493" s="22">
        <v>43937</v>
      </c>
      <c r="AF493" s="22">
        <v>43937</v>
      </c>
      <c r="AG493" s="106" t="s">
        <v>482</v>
      </c>
      <c r="AH493" s="27">
        <v>100</v>
      </c>
      <c r="AI493" s="27">
        <v>100</v>
      </c>
      <c r="AJ493" s="27">
        <v>100</v>
      </c>
      <c r="AK493" s="27" t="s">
        <v>1061</v>
      </c>
      <c r="AL493" s="19" t="s">
        <v>1</v>
      </c>
      <c r="AM493" s="19" t="s">
        <v>1</v>
      </c>
    </row>
    <row r="494" spans="2:39" ht="15" x14ac:dyDescent="0.2">
      <c r="B494" s="118">
        <v>221</v>
      </c>
      <c r="C494" s="16">
        <v>20200413</v>
      </c>
      <c r="D494" s="23" t="s">
        <v>476</v>
      </c>
      <c r="E494" s="33" t="s">
        <v>75</v>
      </c>
      <c r="F494" s="87" t="s">
        <v>1111</v>
      </c>
      <c r="G494" s="33">
        <v>1375671</v>
      </c>
      <c r="H494" s="33"/>
      <c r="I494" s="59" t="s">
        <v>285</v>
      </c>
      <c r="J494" s="59"/>
      <c r="K494" s="10" t="s">
        <v>478</v>
      </c>
      <c r="L494" s="120">
        <v>81728</v>
      </c>
      <c r="M494" s="120"/>
      <c r="N494" s="120"/>
      <c r="O494" s="120"/>
      <c r="P494" s="19" t="s">
        <v>523</v>
      </c>
      <c r="Q494" s="16" t="s">
        <v>1235</v>
      </c>
      <c r="R494" s="16"/>
      <c r="S494" s="10" t="s">
        <v>279</v>
      </c>
      <c r="T494" s="10"/>
      <c r="U494" s="10"/>
      <c r="V494" s="33">
        <v>33</v>
      </c>
      <c r="W494" s="10">
        <v>33</v>
      </c>
      <c r="X494" s="10">
        <v>33</v>
      </c>
      <c r="Y494" s="10">
        <v>0.57999999999999996</v>
      </c>
      <c r="Z494" s="10">
        <v>0.5</v>
      </c>
      <c r="AA494" s="10" t="s">
        <v>481</v>
      </c>
      <c r="AB494" s="10"/>
      <c r="AC494" s="22">
        <v>43934</v>
      </c>
      <c r="AD494" s="22">
        <v>43950</v>
      </c>
      <c r="AE494" s="22">
        <v>43938</v>
      </c>
      <c r="AF494" s="22">
        <v>43938</v>
      </c>
      <c r="AG494" s="106" t="s">
        <v>482</v>
      </c>
      <c r="AH494" s="27">
        <v>100</v>
      </c>
      <c r="AI494" s="27">
        <v>100</v>
      </c>
      <c r="AJ494" s="27">
        <v>100</v>
      </c>
      <c r="AK494" s="27" t="s">
        <v>1061</v>
      </c>
      <c r="AL494" s="19" t="s">
        <v>1</v>
      </c>
      <c r="AM494" s="19" t="s">
        <v>1</v>
      </c>
    </row>
    <row r="495" spans="2:39" ht="15" x14ac:dyDescent="0.2">
      <c r="B495" s="118">
        <v>222</v>
      </c>
      <c r="C495" s="16">
        <v>20200413</v>
      </c>
      <c r="D495" s="23" t="s">
        <v>476</v>
      </c>
      <c r="E495" s="33" t="s">
        <v>75</v>
      </c>
      <c r="F495" s="87" t="s">
        <v>1111</v>
      </c>
      <c r="G495" s="33">
        <v>1375671</v>
      </c>
      <c r="H495" s="33"/>
      <c r="I495" s="121" t="s">
        <v>343</v>
      </c>
      <c r="J495" s="121"/>
      <c r="K495" s="10" t="s">
        <v>478</v>
      </c>
      <c r="L495" s="120">
        <v>81728</v>
      </c>
      <c r="M495" s="120"/>
      <c r="N495" s="120"/>
      <c r="O495" s="120"/>
      <c r="P495" s="19" t="s">
        <v>523</v>
      </c>
      <c r="Q495" s="16" t="s">
        <v>1236</v>
      </c>
      <c r="R495" s="16"/>
      <c r="S495" s="10" t="s">
        <v>261</v>
      </c>
      <c r="T495" s="10"/>
      <c r="U495" s="10"/>
      <c r="V495" s="33">
        <v>21</v>
      </c>
      <c r="W495" s="10">
        <v>21</v>
      </c>
      <c r="X495" s="10">
        <v>21</v>
      </c>
      <c r="Y495" s="10">
        <v>0.37</v>
      </c>
      <c r="Z495" s="10">
        <v>0.5</v>
      </c>
      <c r="AA495" s="10" t="s">
        <v>481</v>
      </c>
      <c r="AB495" s="10"/>
      <c r="AC495" s="22">
        <v>43934</v>
      </c>
      <c r="AD495" s="22">
        <v>43950</v>
      </c>
      <c r="AE495" s="22">
        <v>43949</v>
      </c>
      <c r="AF495" s="22">
        <v>43949</v>
      </c>
      <c r="AG495" s="106" t="s">
        <v>482</v>
      </c>
      <c r="AH495" s="27">
        <v>100</v>
      </c>
      <c r="AI495" s="27">
        <v>100</v>
      </c>
      <c r="AJ495" s="27">
        <v>100</v>
      </c>
      <c r="AK495" s="27" t="s">
        <v>1061</v>
      </c>
      <c r="AL495" s="19" t="s">
        <v>1</v>
      </c>
      <c r="AM495" s="19" t="s">
        <v>1</v>
      </c>
    </row>
    <row r="496" spans="2:39" ht="15" x14ac:dyDescent="0.2">
      <c r="B496" s="118">
        <v>223</v>
      </c>
      <c r="C496" s="16">
        <v>20200413</v>
      </c>
      <c r="D496" s="23" t="s">
        <v>476</v>
      </c>
      <c r="E496" s="33" t="s">
        <v>75</v>
      </c>
      <c r="F496" s="87" t="s">
        <v>1111</v>
      </c>
      <c r="G496" s="33">
        <v>1375671</v>
      </c>
      <c r="H496" s="33"/>
      <c r="I496" s="59" t="s">
        <v>344</v>
      </c>
      <c r="J496" s="59"/>
      <c r="K496" s="10" t="s">
        <v>478</v>
      </c>
      <c r="L496" s="120">
        <v>81728</v>
      </c>
      <c r="M496" s="120"/>
      <c r="N496" s="120"/>
      <c r="O496" s="120"/>
      <c r="P496" s="19" t="s">
        <v>523</v>
      </c>
      <c r="Q496" s="16" t="s">
        <v>1237</v>
      </c>
      <c r="R496" s="16"/>
      <c r="S496" s="10" t="s">
        <v>279</v>
      </c>
      <c r="T496" s="10"/>
      <c r="U496" s="10"/>
      <c r="V496" s="33">
        <v>54</v>
      </c>
      <c r="W496" s="10">
        <v>54</v>
      </c>
      <c r="X496" s="10">
        <v>54</v>
      </c>
      <c r="Y496" s="10">
        <v>0.96</v>
      </c>
      <c r="Z496" s="10">
        <v>0.5</v>
      </c>
      <c r="AA496" s="10" t="s">
        <v>481</v>
      </c>
      <c r="AB496" s="10"/>
      <c r="AC496" s="22">
        <v>43934</v>
      </c>
      <c r="AD496" s="22">
        <v>43950</v>
      </c>
      <c r="AE496" s="22">
        <v>43938</v>
      </c>
      <c r="AF496" s="22">
        <v>43938</v>
      </c>
      <c r="AG496" s="106" t="s">
        <v>482</v>
      </c>
      <c r="AH496" s="27">
        <v>100</v>
      </c>
      <c r="AI496" s="27">
        <v>100</v>
      </c>
      <c r="AJ496" s="27">
        <v>100</v>
      </c>
      <c r="AK496" s="27" t="s">
        <v>1061</v>
      </c>
      <c r="AL496" s="19" t="s">
        <v>1</v>
      </c>
      <c r="AM496" s="19" t="s">
        <v>1</v>
      </c>
    </row>
    <row r="497" spans="2:39" ht="15" x14ac:dyDescent="0.2">
      <c r="B497" s="118">
        <v>224</v>
      </c>
      <c r="C497" s="16">
        <v>20200413</v>
      </c>
      <c r="D497" s="23" t="s">
        <v>476</v>
      </c>
      <c r="E497" s="33" t="s">
        <v>75</v>
      </c>
      <c r="F497" s="87" t="s">
        <v>1111</v>
      </c>
      <c r="G497" s="33">
        <v>1375671</v>
      </c>
      <c r="H497" s="33"/>
      <c r="I497" s="59" t="s">
        <v>287</v>
      </c>
      <c r="J497" s="59"/>
      <c r="K497" s="10" t="s">
        <v>478</v>
      </c>
      <c r="L497" s="120">
        <v>81728</v>
      </c>
      <c r="M497" s="120"/>
      <c r="N497" s="120"/>
      <c r="O497" s="120"/>
      <c r="P497" s="19" t="s">
        <v>523</v>
      </c>
      <c r="Q497" s="16" t="s">
        <v>1238</v>
      </c>
      <c r="R497" s="16"/>
      <c r="S497" s="10" t="s">
        <v>260</v>
      </c>
      <c r="T497" s="10"/>
      <c r="U497" s="10"/>
      <c r="V497" s="33">
        <v>65</v>
      </c>
      <c r="W497" s="10">
        <v>65</v>
      </c>
      <c r="X497" s="10">
        <v>65</v>
      </c>
      <c r="Y497" s="10">
        <v>1.1499999999999999</v>
      </c>
      <c r="Z497" s="10">
        <v>0.5</v>
      </c>
      <c r="AA497" s="10" t="s">
        <v>481</v>
      </c>
      <c r="AB497" s="10"/>
      <c r="AC497" s="22">
        <v>43934</v>
      </c>
      <c r="AD497" s="22">
        <v>43950</v>
      </c>
      <c r="AE497" s="22">
        <v>43938</v>
      </c>
      <c r="AF497" s="22">
        <v>43938</v>
      </c>
      <c r="AG497" s="106" t="s">
        <v>482</v>
      </c>
      <c r="AH497" s="10">
        <v>100</v>
      </c>
      <c r="AI497" s="10">
        <v>100</v>
      </c>
      <c r="AJ497" s="10">
        <v>100</v>
      </c>
      <c r="AK497" s="10" t="s">
        <v>1061</v>
      </c>
      <c r="AL497" s="19" t="s">
        <v>1</v>
      </c>
      <c r="AM497" s="19" t="s">
        <v>1</v>
      </c>
    </row>
    <row r="498" spans="2:39" ht="15" x14ac:dyDescent="0.2">
      <c r="B498" s="118">
        <v>225</v>
      </c>
      <c r="C498" s="16">
        <v>20200413</v>
      </c>
      <c r="D498" s="23" t="s">
        <v>476</v>
      </c>
      <c r="E498" s="33" t="s">
        <v>75</v>
      </c>
      <c r="F498" s="87" t="s">
        <v>1111</v>
      </c>
      <c r="G498" s="33">
        <v>1375671</v>
      </c>
      <c r="H498" s="33"/>
      <c r="I498" s="59" t="s">
        <v>345</v>
      </c>
      <c r="J498" s="59"/>
      <c r="K498" s="10" t="s">
        <v>478</v>
      </c>
      <c r="L498" s="120">
        <v>81728</v>
      </c>
      <c r="M498" s="120"/>
      <c r="N498" s="120"/>
      <c r="O498" s="120"/>
      <c r="P498" s="19" t="s">
        <v>523</v>
      </c>
      <c r="Q498" s="16" t="s">
        <v>1239</v>
      </c>
      <c r="R498" s="16"/>
      <c r="S498" s="10" t="s">
        <v>260</v>
      </c>
      <c r="T498" s="10"/>
      <c r="U498" s="10"/>
      <c r="V498" s="33">
        <v>149</v>
      </c>
      <c r="W498" s="10">
        <v>149</v>
      </c>
      <c r="X498" s="10">
        <v>149</v>
      </c>
      <c r="Y498" s="10">
        <v>2.64</v>
      </c>
      <c r="Z498" s="10">
        <v>0.7</v>
      </c>
      <c r="AA498" s="10" t="s">
        <v>481</v>
      </c>
      <c r="AB498" s="10"/>
      <c r="AC498" s="22">
        <v>43934</v>
      </c>
      <c r="AD498" s="22">
        <v>43950</v>
      </c>
      <c r="AE498" s="22">
        <v>43938</v>
      </c>
      <c r="AF498" s="22">
        <v>43938</v>
      </c>
      <c r="AG498" s="106" t="s">
        <v>482</v>
      </c>
      <c r="AH498" s="10">
        <v>100</v>
      </c>
      <c r="AI498" s="10">
        <v>100</v>
      </c>
      <c r="AJ498" s="10">
        <v>100</v>
      </c>
      <c r="AK498" s="10" t="s">
        <v>1061</v>
      </c>
      <c r="AL498" s="19" t="s">
        <v>1</v>
      </c>
      <c r="AM498" s="19" t="s">
        <v>1</v>
      </c>
    </row>
    <row r="499" spans="2:39" ht="15" x14ac:dyDescent="0.2">
      <c r="B499" s="118">
        <v>226</v>
      </c>
      <c r="C499" s="16">
        <v>20200413</v>
      </c>
      <c r="D499" s="23" t="s">
        <v>476</v>
      </c>
      <c r="E499" s="33" t="s">
        <v>75</v>
      </c>
      <c r="F499" s="87" t="s">
        <v>1111</v>
      </c>
      <c r="G499" s="33">
        <v>1375671</v>
      </c>
      <c r="H499" s="33"/>
      <c r="I499" s="59" t="s">
        <v>346</v>
      </c>
      <c r="J499" s="59"/>
      <c r="K499" s="10" t="s">
        <v>478</v>
      </c>
      <c r="L499" s="120">
        <v>81728</v>
      </c>
      <c r="M499" s="120"/>
      <c r="N499" s="120"/>
      <c r="O499" s="120"/>
      <c r="P499" s="19" t="s">
        <v>523</v>
      </c>
      <c r="Q499" s="16" t="s">
        <v>1240</v>
      </c>
      <c r="R499" s="16"/>
      <c r="S499" s="10" t="s">
        <v>260</v>
      </c>
      <c r="T499" s="10"/>
      <c r="U499" s="10"/>
      <c r="V499" s="33">
        <v>200</v>
      </c>
      <c r="W499" s="10">
        <v>200</v>
      </c>
      <c r="X499" s="10">
        <v>200</v>
      </c>
      <c r="Y499" s="10">
        <v>3.55</v>
      </c>
      <c r="Z499" s="10">
        <v>0.7</v>
      </c>
      <c r="AA499" s="10" t="s">
        <v>481</v>
      </c>
      <c r="AB499" s="10"/>
      <c r="AC499" s="22">
        <v>43934</v>
      </c>
      <c r="AD499" s="22">
        <v>43950</v>
      </c>
      <c r="AE499" s="22">
        <v>43938</v>
      </c>
      <c r="AF499" s="22">
        <v>43938</v>
      </c>
      <c r="AG499" s="106" t="s">
        <v>482</v>
      </c>
      <c r="AH499" s="10">
        <v>100</v>
      </c>
      <c r="AI499" s="10">
        <v>100</v>
      </c>
      <c r="AJ499" s="10">
        <v>100</v>
      </c>
      <c r="AK499" s="10" t="s">
        <v>1061</v>
      </c>
      <c r="AL499" s="19" t="s">
        <v>1</v>
      </c>
      <c r="AM499" s="19" t="s">
        <v>1</v>
      </c>
    </row>
    <row r="500" spans="2:39" ht="15" x14ac:dyDescent="0.2">
      <c r="B500" s="118">
        <v>227</v>
      </c>
      <c r="C500" s="16">
        <v>20200413</v>
      </c>
      <c r="D500" s="23" t="s">
        <v>476</v>
      </c>
      <c r="E500" s="33" t="s">
        <v>75</v>
      </c>
      <c r="F500" s="87" t="s">
        <v>1111</v>
      </c>
      <c r="G500" s="33">
        <v>1375671</v>
      </c>
      <c r="H500" s="33"/>
      <c r="I500" s="122" t="s">
        <v>347</v>
      </c>
      <c r="J500" s="122"/>
      <c r="K500" s="10" t="s">
        <v>478</v>
      </c>
      <c r="L500" s="120">
        <v>81728</v>
      </c>
      <c r="M500" s="120"/>
      <c r="N500" s="120"/>
      <c r="O500" s="120"/>
      <c r="P500" s="19" t="s">
        <v>523</v>
      </c>
      <c r="Q500" s="16" t="s">
        <v>1241</v>
      </c>
      <c r="R500" s="16"/>
      <c r="S500" s="10" t="s">
        <v>261</v>
      </c>
      <c r="T500" s="10"/>
      <c r="U500" s="10"/>
      <c r="V500" s="33">
        <v>25</v>
      </c>
      <c r="W500" s="10">
        <v>25</v>
      </c>
      <c r="X500" s="10">
        <v>25</v>
      </c>
      <c r="Y500" s="10">
        <v>0.44</v>
      </c>
      <c r="Z500" s="10">
        <v>0.5</v>
      </c>
      <c r="AA500" s="10" t="s">
        <v>481</v>
      </c>
      <c r="AB500" s="10"/>
      <c r="AC500" s="22">
        <v>43934</v>
      </c>
      <c r="AD500" s="22">
        <v>43950</v>
      </c>
      <c r="AE500" s="22">
        <v>43949</v>
      </c>
      <c r="AF500" s="22">
        <v>43949</v>
      </c>
      <c r="AG500" s="106" t="s">
        <v>482</v>
      </c>
      <c r="AH500" s="27">
        <v>100</v>
      </c>
      <c r="AI500" s="27">
        <v>100</v>
      </c>
      <c r="AJ500" s="27">
        <v>100</v>
      </c>
      <c r="AK500" s="27" t="s">
        <v>1061</v>
      </c>
      <c r="AL500" s="19" t="s">
        <v>1</v>
      </c>
      <c r="AM500" s="19" t="s">
        <v>1</v>
      </c>
    </row>
    <row r="501" spans="2:39" ht="15" x14ac:dyDescent="0.25">
      <c r="B501" s="118">
        <v>228</v>
      </c>
      <c r="C501" s="16">
        <v>20200413</v>
      </c>
      <c r="D501" s="23" t="s">
        <v>476</v>
      </c>
      <c r="E501" s="33" t="s">
        <v>75</v>
      </c>
      <c r="F501" s="114" t="s">
        <v>1111</v>
      </c>
      <c r="G501" s="59">
        <v>1375671</v>
      </c>
      <c r="H501" s="59"/>
      <c r="I501" s="59" t="s">
        <v>348</v>
      </c>
      <c r="J501" s="59"/>
      <c r="K501" s="59" t="s">
        <v>478</v>
      </c>
      <c r="L501" s="119">
        <v>81728</v>
      </c>
      <c r="M501" s="119"/>
      <c r="N501" s="119"/>
      <c r="O501" s="119"/>
      <c r="P501" s="19" t="s">
        <v>523</v>
      </c>
      <c r="Q501" s="16" t="s">
        <v>1242</v>
      </c>
      <c r="R501" s="16"/>
      <c r="S501" s="10" t="s">
        <v>219</v>
      </c>
      <c r="T501" s="10"/>
      <c r="U501" s="10"/>
      <c r="V501" s="33">
        <v>82</v>
      </c>
      <c r="W501" s="16">
        <v>82</v>
      </c>
      <c r="X501" s="10">
        <v>82</v>
      </c>
      <c r="Y501" s="10">
        <v>1.45</v>
      </c>
      <c r="Z501" s="10">
        <v>1</v>
      </c>
      <c r="AA501" s="10" t="s">
        <v>481</v>
      </c>
      <c r="AB501" s="10"/>
      <c r="AC501" s="22">
        <v>43934</v>
      </c>
      <c r="AD501" s="22">
        <v>43950</v>
      </c>
      <c r="AE501" s="22">
        <v>43937</v>
      </c>
      <c r="AF501" s="22">
        <v>43937</v>
      </c>
      <c r="AG501" s="106" t="s">
        <v>482</v>
      </c>
      <c r="AH501" s="27">
        <v>100</v>
      </c>
      <c r="AI501" s="27">
        <v>100</v>
      </c>
      <c r="AJ501" s="27">
        <v>100</v>
      </c>
      <c r="AK501" s="27" t="s">
        <v>1061</v>
      </c>
      <c r="AL501" s="19" t="s">
        <v>1</v>
      </c>
      <c r="AM501" s="19" t="s">
        <v>1</v>
      </c>
    </row>
    <row r="502" spans="2:39" ht="15" x14ac:dyDescent="0.2">
      <c r="B502" s="118">
        <v>229</v>
      </c>
      <c r="C502" s="16">
        <v>20200413</v>
      </c>
      <c r="D502" s="23" t="s">
        <v>476</v>
      </c>
      <c r="E502" s="33" t="s">
        <v>75</v>
      </c>
      <c r="F502" s="87" t="s">
        <v>1111</v>
      </c>
      <c r="G502" s="33">
        <v>1375671</v>
      </c>
      <c r="H502" s="33"/>
      <c r="I502" s="59" t="s">
        <v>237</v>
      </c>
      <c r="J502" s="59"/>
      <c r="K502" s="10" t="s">
        <v>478</v>
      </c>
      <c r="L502" s="120">
        <v>81728</v>
      </c>
      <c r="M502" s="120"/>
      <c r="N502" s="120"/>
      <c r="O502" s="120"/>
      <c r="P502" s="19" t="s">
        <v>523</v>
      </c>
      <c r="Q502" s="16" t="s">
        <v>1243</v>
      </c>
      <c r="R502" s="16"/>
      <c r="S502" s="10" t="s">
        <v>279</v>
      </c>
      <c r="T502" s="10"/>
      <c r="U502" s="10"/>
      <c r="V502" s="33">
        <v>46</v>
      </c>
      <c r="W502" s="10">
        <v>46</v>
      </c>
      <c r="X502" s="10">
        <v>46</v>
      </c>
      <c r="Y502" s="10">
        <v>0.81</v>
      </c>
      <c r="Z502" s="10">
        <v>0.5</v>
      </c>
      <c r="AA502" s="10" t="s">
        <v>481</v>
      </c>
      <c r="AB502" s="10"/>
      <c r="AC502" s="22">
        <v>43934</v>
      </c>
      <c r="AD502" s="22">
        <v>43950</v>
      </c>
      <c r="AE502" s="22">
        <v>43938</v>
      </c>
      <c r="AF502" s="22">
        <v>43938</v>
      </c>
      <c r="AG502" s="106" t="s">
        <v>482</v>
      </c>
      <c r="AH502" s="27">
        <v>100</v>
      </c>
      <c r="AI502" s="27">
        <v>100</v>
      </c>
      <c r="AJ502" s="27">
        <v>100</v>
      </c>
      <c r="AK502" s="27" t="s">
        <v>1061</v>
      </c>
      <c r="AL502" s="19" t="s">
        <v>1</v>
      </c>
      <c r="AM502" s="19" t="s">
        <v>1</v>
      </c>
    </row>
    <row r="503" spans="2:39" ht="15" x14ac:dyDescent="0.2">
      <c r="B503" s="118">
        <v>230</v>
      </c>
      <c r="C503" s="16">
        <v>20200413</v>
      </c>
      <c r="D503" s="23" t="s">
        <v>476</v>
      </c>
      <c r="E503" s="33" t="s">
        <v>75</v>
      </c>
      <c r="F503" s="87" t="s">
        <v>1112</v>
      </c>
      <c r="G503" s="33">
        <v>1375671</v>
      </c>
      <c r="H503" s="33"/>
      <c r="I503" s="59" t="s">
        <v>162</v>
      </c>
      <c r="J503" s="59"/>
      <c r="K503" s="10" t="s">
        <v>478</v>
      </c>
      <c r="L503" s="120">
        <v>81728</v>
      </c>
      <c r="M503" s="120"/>
      <c r="N503" s="120"/>
      <c r="O503" s="120"/>
      <c r="P503" s="19" t="s">
        <v>523</v>
      </c>
      <c r="Q503" s="16" t="s">
        <v>1244</v>
      </c>
      <c r="R503" s="16"/>
      <c r="S503" s="10" t="s">
        <v>279</v>
      </c>
      <c r="T503" s="10"/>
      <c r="U503" s="10"/>
      <c r="V503" s="33">
        <v>441</v>
      </c>
      <c r="W503" s="10">
        <v>441</v>
      </c>
      <c r="X503" s="10">
        <v>441</v>
      </c>
      <c r="Y503" s="10">
        <v>7.84</v>
      </c>
      <c r="Z503" s="10">
        <v>2</v>
      </c>
      <c r="AA503" s="10" t="s">
        <v>481</v>
      </c>
      <c r="AB503" s="10"/>
      <c r="AC503" s="22">
        <v>43934</v>
      </c>
      <c r="AD503" s="22">
        <v>43950</v>
      </c>
      <c r="AE503" s="22">
        <v>43938</v>
      </c>
      <c r="AF503" s="22">
        <v>43938</v>
      </c>
      <c r="AG503" s="106" t="s">
        <v>482</v>
      </c>
      <c r="AH503" s="27">
        <v>100</v>
      </c>
      <c r="AI503" s="27">
        <v>100</v>
      </c>
      <c r="AJ503" s="27">
        <v>100</v>
      </c>
      <c r="AK503" s="27" t="s">
        <v>1061</v>
      </c>
      <c r="AL503" s="19" t="s">
        <v>1</v>
      </c>
      <c r="AM503" s="19" t="s">
        <v>1</v>
      </c>
    </row>
    <row r="504" spans="2:39" ht="15" x14ac:dyDescent="0.2">
      <c r="B504" s="118">
        <v>231</v>
      </c>
      <c r="C504" s="16">
        <v>20200413</v>
      </c>
      <c r="D504" s="23" t="s">
        <v>476</v>
      </c>
      <c r="E504" s="33" t="s">
        <v>75</v>
      </c>
      <c r="F504" s="87" t="s">
        <v>1112</v>
      </c>
      <c r="G504" s="33">
        <v>1375671</v>
      </c>
      <c r="H504" s="33"/>
      <c r="I504" s="59" t="s">
        <v>349</v>
      </c>
      <c r="J504" s="59"/>
      <c r="K504" s="10" t="s">
        <v>478</v>
      </c>
      <c r="L504" s="120">
        <v>81728</v>
      </c>
      <c r="M504" s="120"/>
      <c r="N504" s="120"/>
      <c r="O504" s="120"/>
      <c r="P504" s="19" t="s">
        <v>523</v>
      </c>
      <c r="Q504" s="16" t="s">
        <v>1245</v>
      </c>
      <c r="R504" s="16"/>
      <c r="S504" s="10" t="s">
        <v>260</v>
      </c>
      <c r="T504" s="10"/>
      <c r="U504" s="10"/>
      <c r="V504" s="33">
        <v>29</v>
      </c>
      <c r="W504" s="10">
        <v>29</v>
      </c>
      <c r="X504" s="10">
        <v>29</v>
      </c>
      <c r="Y504" s="10">
        <v>0.51</v>
      </c>
      <c r="Z504" s="10">
        <v>0.5</v>
      </c>
      <c r="AA504" s="10" t="s">
        <v>481</v>
      </c>
      <c r="AB504" s="10"/>
      <c r="AC504" s="22">
        <v>43934</v>
      </c>
      <c r="AD504" s="22">
        <v>43950</v>
      </c>
      <c r="AE504" s="22">
        <v>43938</v>
      </c>
      <c r="AF504" s="22">
        <v>43938</v>
      </c>
      <c r="AG504" s="106" t="s">
        <v>482</v>
      </c>
      <c r="AH504" s="10">
        <v>100</v>
      </c>
      <c r="AI504" s="10">
        <v>100</v>
      </c>
      <c r="AJ504" s="10">
        <v>100</v>
      </c>
      <c r="AK504" s="10" t="s">
        <v>1061</v>
      </c>
      <c r="AL504" s="19" t="s">
        <v>1</v>
      </c>
      <c r="AM504" s="19" t="s">
        <v>1</v>
      </c>
    </row>
    <row r="505" spans="2:39" ht="15" x14ac:dyDescent="0.25">
      <c r="B505" s="118">
        <v>232</v>
      </c>
      <c r="C505" s="16">
        <v>20200413</v>
      </c>
      <c r="D505" s="23" t="s">
        <v>476</v>
      </c>
      <c r="E505" s="33" t="s">
        <v>75</v>
      </c>
      <c r="F505" s="114" t="s">
        <v>1112</v>
      </c>
      <c r="G505" s="59">
        <v>1375671</v>
      </c>
      <c r="H505" s="59"/>
      <c r="I505" s="59" t="s">
        <v>297</v>
      </c>
      <c r="J505" s="59"/>
      <c r="K505" s="59" t="s">
        <v>478</v>
      </c>
      <c r="L505" s="119">
        <v>81728</v>
      </c>
      <c r="M505" s="119"/>
      <c r="N505" s="119"/>
      <c r="O505" s="119"/>
      <c r="P505" s="19" t="s">
        <v>523</v>
      </c>
      <c r="Q505" s="16" t="s">
        <v>1246</v>
      </c>
      <c r="R505" s="16"/>
      <c r="S505" s="10" t="s">
        <v>219</v>
      </c>
      <c r="T505" s="10"/>
      <c r="U505" s="10"/>
      <c r="V505" s="33">
        <v>124</v>
      </c>
      <c r="W505" s="16">
        <v>124</v>
      </c>
      <c r="X505" s="10">
        <v>124</v>
      </c>
      <c r="Y505" s="10">
        <v>2.2000000000000002</v>
      </c>
      <c r="Z505" s="10">
        <v>1</v>
      </c>
      <c r="AA505" s="10" t="s">
        <v>481</v>
      </c>
      <c r="AB505" s="10"/>
      <c r="AC505" s="22">
        <v>43934</v>
      </c>
      <c r="AD505" s="22">
        <v>43950</v>
      </c>
      <c r="AE505" s="22">
        <v>43937</v>
      </c>
      <c r="AF505" s="22">
        <v>43937</v>
      </c>
      <c r="AG505" s="106" t="s">
        <v>482</v>
      </c>
      <c r="AH505" s="27">
        <v>100</v>
      </c>
      <c r="AI505" s="27">
        <v>100</v>
      </c>
      <c r="AJ505" s="27">
        <v>100</v>
      </c>
      <c r="AK505" s="27" t="s">
        <v>1061</v>
      </c>
      <c r="AL505" s="19" t="s">
        <v>1</v>
      </c>
      <c r="AM505" s="19" t="s">
        <v>1</v>
      </c>
    </row>
    <row r="506" spans="2:39" ht="15" x14ac:dyDescent="0.2">
      <c r="B506" s="118">
        <v>233</v>
      </c>
      <c r="C506" s="16">
        <v>20200413</v>
      </c>
      <c r="D506" s="23" t="s">
        <v>476</v>
      </c>
      <c r="E506" s="33" t="s">
        <v>75</v>
      </c>
      <c r="F506" s="87" t="s">
        <v>1112</v>
      </c>
      <c r="G506" s="33">
        <v>1375671</v>
      </c>
      <c r="H506" s="33"/>
      <c r="I506" s="121" t="s">
        <v>350</v>
      </c>
      <c r="J506" s="121"/>
      <c r="K506" s="10" t="s">
        <v>478</v>
      </c>
      <c r="L506" s="120">
        <v>81728</v>
      </c>
      <c r="M506" s="120"/>
      <c r="N506" s="120"/>
      <c r="O506" s="120"/>
      <c r="P506" s="19" t="s">
        <v>523</v>
      </c>
      <c r="Q506" s="16" t="s">
        <v>1247</v>
      </c>
      <c r="R506" s="16"/>
      <c r="S506" s="10" t="s">
        <v>261</v>
      </c>
      <c r="T506" s="10"/>
      <c r="U506" s="10"/>
      <c r="V506" s="33">
        <v>61</v>
      </c>
      <c r="W506" s="10">
        <v>61</v>
      </c>
      <c r="X506" s="10">
        <v>61</v>
      </c>
      <c r="Y506" s="10">
        <v>1.08</v>
      </c>
      <c r="Z506" s="10">
        <v>1</v>
      </c>
      <c r="AA506" s="10" t="s">
        <v>481</v>
      </c>
      <c r="AB506" s="10"/>
      <c r="AC506" s="22">
        <v>43934</v>
      </c>
      <c r="AD506" s="22">
        <v>43950</v>
      </c>
      <c r="AE506" s="22">
        <v>43949</v>
      </c>
      <c r="AF506" s="22">
        <v>43949</v>
      </c>
      <c r="AG506" s="106" t="s">
        <v>482</v>
      </c>
      <c r="AH506" s="27">
        <v>100</v>
      </c>
      <c r="AI506" s="27">
        <v>100</v>
      </c>
      <c r="AJ506" s="27">
        <v>100</v>
      </c>
      <c r="AK506" s="27" t="s">
        <v>1061</v>
      </c>
      <c r="AL506" s="19" t="s">
        <v>1</v>
      </c>
      <c r="AM506" s="19" t="s">
        <v>1</v>
      </c>
    </row>
    <row r="507" spans="2:39" ht="15" x14ac:dyDescent="0.2">
      <c r="B507" s="118">
        <v>234</v>
      </c>
      <c r="C507" s="16">
        <v>20200413</v>
      </c>
      <c r="D507" s="23" t="s">
        <v>476</v>
      </c>
      <c r="E507" s="33" t="s">
        <v>75</v>
      </c>
      <c r="F507" s="87" t="s">
        <v>1112</v>
      </c>
      <c r="G507" s="33">
        <v>1375671</v>
      </c>
      <c r="H507" s="33"/>
      <c r="I507" s="59" t="s">
        <v>351</v>
      </c>
      <c r="J507" s="59"/>
      <c r="K507" s="10" t="s">
        <v>478</v>
      </c>
      <c r="L507" s="120">
        <v>81728</v>
      </c>
      <c r="M507" s="120"/>
      <c r="N507" s="120"/>
      <c r="O507" s="120"/>
      <c r="P507" s="19" t="s">
        <v>523</v>
      </c>
      <c r="Q507" s="16" t="s">
        <v>1248</v>
      </c>
      <c r="R507" s="16"/>
      <c r="S507" s="10" t="s">
        <v>279</v>
      </c>
      <c r="T507" s="10"/>
      <c r="U507" s="10"/>
      <c r="V507" s="33">
        <v>42</v>
      </c>
      <c r="W507" s="10">
        <v>42</v>
      </c>
      <c r="X507" s="10">
        <v>42</v>
      </c>
      <c r="Y507" s="10">
        <v>0.74</v>
      </c>
      <c r="Z507" s="10">
        <v>0.5</v>
      </c>
      <c r="AA507" s="10" t="s">
        <v>481</v>
      </c>
      <c r="AB507" s="10"/>
      <c r="AC507" s="22">
        <v>43934</v>
      </c>
      <c r="AD507" s="22">
        <v>43950</v>
      </c>
      <c r="AE507" s="22">
        <v>43938</v>
      </c>
      <c r="AF507" s="22">
        <v>43938</v>
      </c>
      <c r="AG507" s="106" t="s">
        <v>482</v>
      </c>
      <c r="AH507" s="27">
        <v>100</v>
      </c>
      <c r="AI507" s="27">
        <v>100</v>
      </c>
      <c r="AJ507" s="27">
        <v>100</v>
      </c>
      <c r="AK507" s="27" t="s">
        <v>1061</v>
      </c>
      <c r="AL507" s="19" t="s">
        <v>1</v>
      </c>
      <c r="AM507" s="19" t="s">
        <v>1</v>
      </c>
    </row>
    <row r="508" spans="2:39" ht="15" x14ac:dyDescent="0.2">
      <c r="B508" s="118">
        <v>235</v>
      </c>
      <c r="C508" s="16">
        <v>20200413</v>
      </c>
      <c r="D508" s="23" t="s">
        <v>476</v>
      </c>
      <c r="E508" s="33" t="s">
        <v>75</v>
      </c>
      <c r="F508" s="87" t="s">
        <v>1112</v>
      </c>
      <c r="G508" s="33">
        <v>1375671</v>
      </c>
      <c r="H508" s="33"/>
      <c r="I508" s="59" t="s">
        <v>352</v>
      </c>
      <c r="J508" s="59"/>
      <c r="K508" s="10" t="s">
        <v>478</v>
      </c>
      <c r="L508" s="120">
        <v>81728</v>
      </c>
      <c r="M508" s="120"/>
      <c r="N508" s="120"/>
      <c r="O508" s="120"/>
      <c r="P508" s="19" t="s">
        <v>523</v>
      </c>
      <c r="Q508" s="16" t="s">
        <v>1249</v>
      </c>
      <c r="R508" s="16"/>
      <c r="S508" s="10" t="s">
        <v>279</v>
      </c>
      <c r="T508" s="10"/>
      <c r="U508" s="10"/>
      <c r="V508" s="33">
        <v>40</v>
      </c>
      <c r="W508" s="10">
        <v>40</v>
      </c>
      <c r="X508" s="10">
        <v>40</v>
      </c>
      <c r="Y508" s="10">
        <v>0.71</v>
      </c>
      <c r="Z508" s="10">
        <v>0.5</v>
      </c>
      <c r="AA508" s="10" t="s">
        <v>481</v>
      </c>
      <c r="AB508" s="10"/>
      <c r="AC508" s="22">
        <v>43934</v>
      </c>
      <c r="AD508" s="22">
        <v>43950</v>
      </c>
      <c r="AE508" s="22">
        <v>43938</v>
      </c>
      <c r="AF508" s="22">
        <v>43938</v>
      </c>
      <c r="AG508" s="106" t="s">
        <v>482</v>
      </c>
      <c r="AH508" s="27">
        <v>100</v>
      </c>
      <c r="AI508" s="27">
        <v>100</v>
      </c>
      <c r="AJ508" s="27">
        <v>100</v>
      </c>
      <c r="AK508" s="27" t="s">
        <v>1061</v>
      </c>
      <c r="AL508" s="19" t="s">
        <v>1</v>
      </c>
      <c r="AM508" s="19" t="s">
        <v>1</v>
      </c>
    </row>
    <row r="509" spans="2:39" ht="15" x14ac:dyDescent="0.2">
      <c r="B509" s="23">
        <v>236</v>
      </c>
      <c r="C509" s="16">
        <v>20200413</v>
      </c>
      <c r="D509" s="23" t="s">
        <v>476</v>
      </c>
      <c r="E509" s="33" t="s">
        <v>353</v>
      </c>
      <c r="F509" s="43" t="s">
        <v>1113</v>
      </c>
      <c r="G509" s="123">
        <v>1412462</v>
      </c>
      <c r="H509" s="123"/>
      <c r="I509" s="16" t="s">
        <v>64</v>
      </c>
      <c r="J509" s="16"/>
      <c r="K509" s="10" t="s">
        <v>478</v>
      </c>
      <c r="L509" s="120">
        <v>80237</v>
      </c>
      <c r="M509" s="120"/>
      <c r="N509" s="120"/>
      <c r="O509" s="120"/>
      <c r="P509" s="19" t="s">
        <v>1058</v>
      </c>
      <c r="Q509" s="16" t="s">
        <v>1250</v>
      </c>
      <c r="R509" s="16"/>
      <c r="S509" s="10" t="s">
        <v>261</v>
      </c>
      <c r="T509" s="10"/>
      <c r="U509" s="10"/>
      <c r="V509" s="33">
        <v>259</v>
      </c>
      <c r="W509" s="10">
        <v>259</v>
      </c>
      <c r="X509" s="10">
        <v>259</v>
      </c>
      <c r="Y509" s="10">
        <v>4.5999999999999996</v>
      </c>
      <c r="Z509" s="10">
        <v>1</v>
      </c>
      <c r="AA509" s="10" t="s">
        <v>823</v>
      </c>
      <c r="AB509" s="10"/>
      <c r="AC509" s="22">
        <v>43963</v>
      </c>
      <c r="AD509" s="22">
        <v>43964</v>
      </c>
      <c r="AE509" s="22">
        <v>43963</v>
      </c>
      <c r="AF509" s="22">
        <v>43963</v>
      </c>
      <c r="AG509" s="106" t="s">
        <v>489</v>
      </c>
      <c r="AH509" s="27">
        <v>100</v>
      </c>
      <c r="AI509" s="27">
        <v>100</v>
      </c>
      <c r="AJ509" s="27">
        <v>87</v>
      </c>
      <c r="AK509" s="27" t="s">
        <v>490</v>
      </c>
      <c r="AL509" s="19" t="s">
        <v>1326</v>
      </c>
      <c r="AM509" s="19" t="s">
        <v>1</v>
      </c>
    </row>
    <row r="510" spans="2:39" ht="15" x14ac:dyDescent="0.2">
      <c r="B510" s="23">
        <v>237</v>
      </c>
      <c r="C510" s="16">
        <v>20200413</v>
      </c>
      <c r="D510" s="23" t="s">
        <v>476</v>
      </c>
      <c r="E510" s="33" t="s">
        <v>353</v>
      </c>
      <c r="F510" s="43" t="s">
        <v>1114</v>
      </c>
      <c r="G510" s="123">
        <v>1412462</v>
      </c>
      <c r="H510" s="123"/>
      <c r="I510" s="16" t="s">
        <v>354</v>
      </c>
      <c r="J510" s="16"/>
      <c r="K510" s="10" t="s">
        <v>478</v>
      </c>
      <c r="L510" s="120">
        <v>80237</v>
      </c>
      <c r="M510" s="120"/>
      <c r="N510" s="120"/>
      <c r="O510" s="120"/>
      <c r="P510" s="19" t="s">
        <v>1058</v>
      </c>
      <c r="Q510" s="16" t="s">
        <v>1251</v>
      </c>
      <c r="R510" s="16"/>
      <c r="S510" s="10" t="s">
        <v>261</v>
      </c>
      <c r="T510" s="10"/>
      <c r="U510" s="10"/>
      <c r="V510" s="33">
        <v>19</v>
      </c>
      <c r="W510" s="10">
        <v>19</v>
      </c>
      <c r="X510" s="10">
        <v>19</v>
      </c>
      <c r="Y510" s="10">
        <v>0.33</v>
      </c>
      <c r="Z510" s="10">
        <v>0.2</v>
      </c>
      <c r="AA510" s="10" t="s">
        <v>823</v>
      </c>
      <c r="AB510" s="10"/>
      <c r="AC510" s="22">
        <v>43963</v>
      </c>
      <c r="AD510" s="22">
        <v>43964</v>
      </c>
      <c r="AE510" s="22">
        <v>43963</v>
      </c>
      <c r="AF510" s="22">
        <v>43963</v>
      </c>
      <c r="AG510" s="106" t="s">
        <v>482</v>
      </c>
      <c r="AH510" s="27">
        <v>100</v>
      </c>
      <c r="AI510" s="27">
        <v>100</v>
      </c>
      <c r="AJ510" s="27">
        <v>100</v>
      </c>
      <c r="AK510" s="27" t="s">
        <v>1061</v>
      </c>
      <c r="AL510" s="19" t="s">
        <v>1</v>
      </c>
      <c r="AM510" s="19" t="s">
        <v>1</v>
      </c>
    </row>
    <row r="511" spans="2:39" ht="15" x14ac:dyDescent="0.2">
      <c r="B511" s="23">
        <v>238</v>
      </c>
      <c r="C511" s="16">
        <v>20200413</v>
      </c>
      <c r="D511" s="23" t="s">
        <v>476</v>
      </c>
      <c r="E511" s="33" t="s">
        <v>353</v>
      </c>
      <c r="F511" s="43" t="s">
        <v>1115</v>
      </c>
      <c r="G511" s="123">
        <v>1412462</v>
      </c>
      <c r="H511" s="123"/>
      <c r="I511" s="16" t="s">
        <v>8</v>
      </c>
      <c r="J511" s="16"/>
      <c r="K511" s="10" t="s">
        <v>478</v>
      </c>
      <c r="L511" s="120">
        <v>80237</v>
      </c>
      <c r="M511" s="120"/>
      <c r="N511" s="120"/>
      <c r="O511" s="120"/>
      <c r="P511" s="19" t="s">
        <v>1058</v>
      </c>
      <c r="Q511" s="16" t="s">
        <v>1252</v>
      </c>
      <c r="R511" s="16"/>
      <c r="S511" s="10" t="s">
        <v>261</v>
      </c>
      <c r="T511" s="10"/>
      <c r="U511" s="10"/>
      <c r="V511" s="33">
        <v>20</v>
      </c>
      <c r="W511" s="10">
        <v>20</v>
      </c>
      <c r="X511" s="10">
        <v>20</v>
      </c>
      <c r="Y511" s="10">
        <v>0.35</v>
      </c>
      <c r="Z511" s="10">
        <v>0.2</v>
      </c>
      <c r="AA511" s="10" t="s">
        <v>823</v>
      </c>
      <c r="AB511" s="10"/>
      <c r="AC511" s="22">
        <v>43963</v>
      </c>
      <c r="AD511" s="22">
        <v>43964</v>
      </c>
      <c r="AE511" s="22">
        <v>43963</v>
      </c>
      <c r="AF511" s="22">
        <v>43963</v>
      </c>
      <c r="AG511" s="106" t="s">
        <v>482</v>
      </c>
      <c r="AH511" s="27">
        <v>100</v>
      </c>
      <c r="AI511" s="27">
        <v>100</v>
      </c>
      <c r="AJ511" s="27">
        <v>100</v>
      </c>
      <c r="AK511" s="27" t="s">
        <v>1061</v>
      </c>
      <c r="AL511" s="19" t="s">
        <v>1</v>
      </c>
      <c r="AM511" s="19" t="s">
        <v>1</v>
      </c>
    </row>
    <row r="512" spans="2:39" ht="15" x14ac:dyDescent="0.2">
      <c r="B512" s="23">
        <v>239</v>
      </c>
      <c r="C512" s="16">
        <v>20200413</v>
      </c>
      <c r="D512" s="23" t="s">
        <v>476</v>
      </c>
      <c r="E512" s="33" t="s">
        <v>353</v>
      </c>
      <c r="F512" s="43" t="s">
        <v>1116</v>
      </c>
      <c r="G512" s="123">
        <v>1412462</v>
      </c>
      <c r="H512" s="123"/>
      <c r="I512" s="16" t="s">
        <v>337</v>
      </c>
      <c r="J512" s="16"/>
      <c r="K512" s="10" t="s">
        <v>478</v>
      </c>
      <c r="L512" s="120">
        <v>80237</v>
      </c>
      <c r="M512" s="120"/>
      <c r="N512" s="120"/>
      <c r="O512" s="120"/>
      <c r="P512" s="19" t="s">
        <v>1058</v>
      </c>
      <c r="Q512" s="16" t="s">
        <v>1253</v>
      </c>
      <c r="R512" s="16"/>
      <c r="S512" s="10" t="s">
        <v>261</v>
      </c>
      <c r="T512" s="10"/>
      <c r="U512" s="10"/>
      <c r="V512" s="33">
        <v>230</v>
      </c>
      <c r="W512" s="10">
        <v>230</v>
      </c>
      <c r="X512" s="10">
        <v>230</v>
      </c>
      <c r="Y512" s="10">
        <v>4.08</v>
      </c>
      <c r="Z512" s="10">
        <v>1</v>
      </c>
      <c r="AA512" s="10" t="s">
        <v>823</v>
      </c>
      <c r="AB512" s="10"/>
      <c r="AC512" s="22">
        <v>43963</v>
      </c>
      <c r="AD512" s="22">
        <v>43964</v>
      </c>
      <c r="AE512" s="22">
        <v>43963</v>
      </c>
      <c r="AF512" s="22">
        <v>43963</v>
      </c>
      <c r="AG512" s="106" t="s">
        <v>482</v>
      </c>
      <c r="AH512" s="27">
        <v>100</v>
      </c>
      <c r="AI512" s="27">
        <v>100</v>
      </c>
      <c r="AJ512" s="27">
        <v>100</v>
      </c>
      <c r="AK512" s="27" t="s">
        <v>1061</v>
      </c>
      <c r="AL512" s="19" t="s">
        <v>1</v>
      </c>
      <c r="AM512" s="19" t="s">
        <v>1</v>
      </c>
    </row>
    <row r="513" spans="2:39" ht="15" x14ac:dyDescent="0.2">
      <c r="B513" s="23">
        <v>240</v>
      </c>
      <c r="C513" s="16">
        <v>20200413</v>
      </c>
      <c r="D513" s="23" t="s">
        <v>476</v>
      </c>
      <c r="E513" s="33" t="s">
        <v>353</v>
      </c>
      <c r="F513" s="43" t="s">
        <v>1117</v>
      </c>
      <c r="G513" s="123">
        <v>1412462</v>
      </c>
      <c r="H513" s="123"/>
      <c r="I513" s="16" t="s">
        <v>63</v>
      </c>
      <c r="J513" s="16"/>
      <c r="K513" s="10" t="s">
        <v>478</v>
      </c>
      <c r="L513" s="120">
        <v>80237</v>
      </c>
      <c r="M513" s="120"/>
      <c r="N513" s="120"/>
      <c r="O513" s="120"/>
      <c r="P513" s="19" t="s">
        <v>1058</v>
      </c>
      <c r="Q513" s="16" t="s">
        <v>1254</v>
      </c>
      <c r="R513" s="16"/>
      <c r="S513" s="10" t="s">
        <v>279</v>
      </c>
      <c r="T513" s="10"/>
      <c r="U513" s="10"/>
      <c r="V513" s="33">
        <v>106</v>
      </c>
      <c r="W513" s="10">
        <v>106</v>
      </c>
      <c r="X513" s="10">
        <v>106</v>
      </c>
      <c r="Y513" s="10">
        <v>1.88</v>
      </c>
      <c r="Z513" s="10">
        <v>1</v>
      </c>
      <c r="AA513" s="10" t="s">
        <v>823</v>
      </c>
      <c r="AB513" s="10"/>
      <c r="AC513" s="22">
        <v>43963</v>
      </c>
      <c r="AD513" s="22">
        <v>43964</v>
      </c>
      <c r="AE513" s="22">
        <v>43963</v>
      </c>
      <c r="AF513" s="22">
        <v>43963</v>
      </c>
      <c r="AG513" s="106" t="s">
        <v>482</v>
      </c>
      <c r="AH513" s="27">
        <v>100</v>
      </c>
      <c r="AI513" s="27">
        <v>100</v>
      </c>
      <c r="AJ513" s="27">
        <v>100</v>
      </c>
      <c r="AK513" s="27" t="s">
        <v>1061</v>
      </c>
      <c r="AL513" s="19" t="s">
        <v>1</v>
      </c>
      <c r="AM513" s="19" t="s">
        <v>1</v>
      </c>
    </row>
    <row r="514" spans="2:39" ht="15" x14ac:dyDescent="0.2">
      <c r="B514" s="23">
        <v>241</v>
      </c>
      <c r="C514" s="16">
        <v>20200413</v>
      </c>
      <c r="D514" s="23" t="s">
        <v>476</v>
      </c>
      <c r="E514" s="33" t="s">
        <v>353</v>
      </c>
      <c r="F514" s="43" t="s">
        <v>1118</v>
      </c>
      <c r="G514" s="123">
        <v>1412462</v>
      </c>
      <c r="H514" s="123"/>
      <c r="I514" s="16" t="s">
        <v>295</v>
      </c>
      <c r="J514" s="16"/>
      <c r="K514" s="10" t="s">
        <v>478</v>
      </c>
      <c r="L514" s="120">
        <v>80237</v>
      </c>
      <c r="M514" s="120"/>
      <c r="N514" s="120"/>
      <c r="O514" s="120"/>
      <c r="P514" s="19" t="s">
        <v>1058</v>
      </c>
      <c r="Q514" s="16" t="s">
        <v>1255</v>
      </c>
      <c r="R514" s="16"/>
      <c r="S514" s="10" t="s">
        <v>279</v>
      </c>
      <c r="T514" s="10"/>
      <c r="U514" s="10"/>
      <c r="V514" s="33">
        <v>44</v>
      </c>
      <c r="W514" s="10">
        <v>44</v>
      </c>
      <c r="X514" s="10">
        <v>44</v>
      </c>
      <c r="Y514" s="10">
        <v>0.78</v>
      </c>
      <c r="Z514" s="10">
        <v>0.5</v>
      </c>
      <c r="AA514" s="10" t="s">
        <v>823</v>
      </c>
      <c r="AB514" s="10"/>
      <c r="AC514" s="22">
        <v>43963</v>
      </c>
      <c r="AD514" s="22">
        <v>43964</v>
      </c>
      <c r="AE514" s="22">
        <v>43963</v>
      </c>
      <c r="AF514" s="22">
        <v>43963</v>
      </c>
      <c r="AG514" s="106" t="s">
        <v>482</v>
      </c>
      <c r="AH514" s="27">
        <v>100</v>
      </c>
      <c r="AI514" s="27">
        <v>100</v>
      </c>
      <c r="AJ514" s="27">
        <v>100</v>
      </c>
      <c r="AK514" s="27" t="s">
        <v>1061</v>
      </c>
      <c r="AL514" s="19" t="s">
        <v>1</v>
      </c>
      <c r="AM514" s="19" t="s">
        <v>1</v>
      </c>
    </row>
    <row r="515" spans="2:39" ht="15" x14ac:dyDescent="0.2">
      <c r="B515" s="23">
        <v>242</v>
      </c>
      <c r="C515" s="16">
        <v>20200413</v>
      </c>
      <c r="D515" s="23" t="s">
        <v>476</v>
      </c>
      <c r="E515" s="33" t="s">
        <v>353</v>
      </c>
      <c r="F515" s="43" t="s">
        <v>1119</v>
      </c>
      <c r="G515" s="123">
        <v>1412462</v>
      </c>
      <c r="H515" s="123"/>
      <c r="I515" s="16" t="s">
        <v>68</v>
      </c>
      <c r="J515" s="16"/>
      <c r="K515" s="10" t="s">
        <v>478</v>
      </c>
      <c r="L515" s="120">
        <v>80237</v>
      </c>
      <c r="M515" s="120"/>
      <c r="N515" s="120"/>
      <c r="O515" s="120"/>
      <c r="P515" s="19" t="s">
        <v>1058</v>
      </c>
      <c r="Q515" s="16" t="s">
        <v>1256</v>
      </c>
      <c r="R515" s="16"/>
      <c r="S515" s="10" t="s">
        <v>279</v>
      </c>
      <c r="T515" s="10"/>
      <c r="U515" s="10"/>
      <c r="V515" s="33">
        <v>160</v>
      </c>
      <c r="W515" s="10">
        <v>160</v>
      </c>
      <c r="X515" s="10">
        <v>160</v>
      </c>
      <c r="Y515" s="10">
        <v>2.84</v>
      </c>
      <c r="Z515" s="10">
        <v>2</v>
      </c>
      <c r="AA515" s="10" t="s">
        <v>823</v>
      </c>
      <c r="AB515" s="10"/>
      <c r="AC515" s="22">
        <v>43963</v>
      </c>
      <c r="AD515" s="22">
        <v>43964</v>
      </c>
      <c r="AE515" s="22">
        <v>43963</v>
      </c>
      <c r="AF515" s="22">
        <v>43963</v>
      </c>
      <c r="AG515" s="106" t="s">
        <v>482</v>
      </c>
      <c r="AH515" s="27">
        <v>100</v>
      </c>
      <c r="AI515" s="27">
        <v>100</v>
      </c>
      <c r="AJ515" s="27">
        <v>100</v>
      </c>
      <c r="AK515" s="27" t="s">
        <v>1061</v>
      </c>
      <c r="AL515" s="19" t="s">
        <v>1</v>
      </c>
      <c r="AM515" s="19" t="s">
        <v>1</v>
      </c>
    </row>
    <row r="516" spans="2:39" ht="15" x14ac:dyDescent="0.2">
      <c r="B516" s="23">
        <v>243</v>
      </c>
      <c r="C516" s="16">
        <v>20200413</v>
      </c>
      <c r="D516" s="23" t="s">
        <v>476</v>
      </c>
      <c r="E516" s="33" t="s">
        <v>353</v>
      </c>
      <c r="F516" s="43" t="s">
        <v>1120</v>
      </c>
      <c r="G516" s="123">
        <v>1412462</v>
      </c>
      <c r="H516" s="123"/>
      <c r="I516" s="16" t="s">
        <v>355</v>
      </c>
      <c r="J516" s="16"/>
      <c r="K516" s="10" t="s">
        <v>478</v>
      </c>
      <c r="L516" s="120">
        <v>80237</v>
      </c>
      <c r="M516" s="120"/>
      <c r="N516" s="120"/>
      <c r="O516" s="120"/>
      <c r="P516" s="19" t="s">
        <v>1058</v>
      </c>
      <c r="Q516" s="16" t="s">
        <v>1257</v>
      </c>
      <c r="R516" s="16"/>
      <c r="S516" s="10" t="s">
        <v>279</v>
      </c>
      <c r="T516" s="10"/>
      <c r="U516" s="10"/>
      <c r="V516" s="33">
        <v>23</v>
      </c>
      <c r="W516" s="10">
        <v>23</v>
      </c>
      <c r="X516" s="10">
        <v>23</v>
      </c>
      <c r="Y516" s="10">
        <v>0.4</v>
      </c>
      <c r="Z516" s="10">
        <v>0.5</v>
      </c>
      <c r="AA516" s="10" t="s">
        <v>823</v>
      </c>
      <c r="AB516" s="10"/>
      <c r="AC516" s="22">
        <v>43963</v>
      </c>
      <c r="AD516" s="22">
        <v>43964</v>
      </c>
      <c r="AE516" s="22">
        <v>43963</v>
      </c>
      <c r="AF516" s="22">
        <v>43963</v>
      </c>
      <c r="AG516" s="106" t="s">
        <v>482</v>
      </c>
      <c r="AH516" s="27">
        <v>100</v>
      </c>
      <c r="AI516" s="27">
        <v>100</v>
      </c>
      <c r="AJ516" s="27">
        <v>100</v>
      </c>
      <c r="AK516" s="27" t="s">
        <v>1061</v>
      </c>
      <c r="AL516" s="19" t="s">
        <v>1</v>
      </c>
      <c r="AM516" s="19" t="s">
        <v>1</v>
      </c>
    </row>
    <row r="517" spans="2:39" ht="15" x14ac:dyDescent="0.2">
      <c r="B517" s="23">
        <v>244</v>
      </c>
      <c r="C517" s="16">
        <v>20200413</v>
      </c>
      <c r="D517" s="23" t="s">
        <v>476</v>
      </c>
      <c r="E517" s="33" t="s">
        <v>353</v>
      </c>
      <c r="F517" s="43" t="s">
        <v>1121</v>
      </c>
      <c r="G517" s="123">
        <v>1412462</v>
      </c>
      <c r="H517" s="123"/>
      <c r="I517" s="16" t="s">
        <v>12</v>
      </c>
      <c r="J517" s="16"/>
      <c r="K517" s="10" t="s">
        <v>478</v>
      </c>
      <c r="L517" s="120">
        <v>80237</v>
      </c>
      <c r="M517" s="120"/>
      <c r="N517" s="120"/>
      <c r="O517" s="120"/>
      <c r="P517" s="19" t="s">
        <v>1058</v>
      </c>
      <c r="Q517" s="16" t="s">
        <v>1258</v>
      </c>
      <c r="R517" s="16"/>
      <c r="S517" s="10" t="s">
        <v>279</v>
      </c>
      <c r="T517" s="10"/>
      <c r="U517" s="10"/>
      <c r="V517" s="33">
        <v>125</v>
      </c>
      <c r="W517" s="10">
        <v>125</v>
      </c>
      <c r="X517" s="10">
        <v>125</v>
      </c>
      <c r="Y517" s="10">
        <v>2.2200000000000002</v>
      </c>
      <c r="Z517" s="10">
        <v>1</v>
      </c>
      <c r="AA517" s="10" t="s">
        <v>823</v>
      </c>
      <c r="AB517" s="10"/>
      <c r="AC517" s="22">
        <v>43963</v>
      </c>
      <c r="AD517" s="22">
        <v>43964</v>
      </c>
      <c r="AE517" s="22">
        <v>43963</v>
      </c>
      <c r="AF517" s="22">
        <v>43963</v>
      </c>
      <c r="AG517" s="106" t="s">
        <v>482</v>
      </c>
      <c r="AH517" s="27">
        <v>100</v>
      </c>
      <c r="AI517" s="27">
        <v>100</v>
      </c>
      <c r="AJ517" s="27">
        <v>100</v>
      </c>
      <c r="AK517" s="27" t="s">
        <v>1061</v>
      </c>
      <c r="AL517" s="19" t="s">
        <v>1</v>
      </c>
      <c r="AM517" s="19" t="s">
        <v>1</v>
      </c>
    </row>
    <row r="518" spans="2:39" ht="15" x14ac:dyDescent="0.2">
      <c r="B518" s="23">
        <v>245</v>
      </c>
      <c r="C518" s="16">
        <v>20200413</v>
      </c>
      <c r="D518" s="23" t="s">
        <v>476</v>
      </c>
      <c r="E518" s="33" t="s">
        <v>353</v>
      </c>
      <c r="F518" s="43" t="s">
        <v>1122</v>
      </c>
      <c r="G518" s="123">
        <v>1412462</v>
      </c>
      <c r="H518" s="123"/>
      <c r="I518" s="16" t="s">
        <v>18</v>
      </c>
      <c r="J518" s="16"/>
      <c r="K518" s="10" t="s">
        <v>478</v>
      </c>
      <c r="L518" s="120">
        <v>80237</v>
      </c>
      <c r="M518" s="120"/>
      <c r="N518" s="120"/>
      <c r="O518" s="120"/>
      <c r="P518" s="19" t="s">
        <v>1058</v>
      </c>
      <c r="Q518" s="16" t="s">
        <v>1259</v>
      </c>
      <c r="R518" s="16"/>
      <c r="S518" s="10" t="s">
        <v>260</v>
      </c>
      <c r="T518" s="10"/>
      <c r="U518" s="10"/>
      <c r="V518" s="33">
        <v>268</v>
      </c>
      <c r="W518" s="10">
        <v>268</v>
      </c>
      <c r="X518" s="10">
        <v>268</v>
      </c>
      <c r="Y518" s="10">
        <v>4.76</v>
      </c>
      <c r="Z518" s="10">
        <v>0.5</v>
      </c>
      <c r="AA518" s="10" t="s">
        <v>823</v>
      </c>
      <c r="AB518" s="10"/>
      <c r="AC518" s="22">
        <v>43963</v>
      </c>
      <c r="AD518" s="22">
        <v>43964</v>
      </c>
      <c r="AE518" s="22">
        <v>43963</v>
      </c>
      <c r="AF518" s="22">
        <v>43963</v>
      </c>
      <c r="AG518" s="106" t="s">
        <v>482</v>
      </c>
      <c r="AH518" s="27">
        <v>100</v>
      </c>
      <c r="AI518" s="27">
        <v>100</v>
      </c>
      <c r="AJ518" s="27">
        <v>100</v>
      </c>
      <c r="AK518" s="27" t="s">
        <v>1061</v>
      </c>
      <c r="AL518" s="19" t="s">
        <v>1</v>
      </c>
      <c r="AM518" s="19" t="s">
        <v>1</v>
      </c>
    </row>
    <row r="519" spans="2:39" ht="15" x14ac:dyDescent="0.2">
      <c r="B519" s="23">
        <v>246</v>
      </c>
      <c r="C519" s="16">
        <v>20200413</v>
      </c>
      <c r="D519" s="23" t="s">
        <v>476</v>
      </c>
      <c r="E519" s="33" t="s">
        <v>353</v>
      </c>
      <c r="F519" s="43" t="s">
        <v>1123</v>
      </c>
      <c r="G519" s="123">
        <v>1412462</v>
      </c>
      <c r="H519" s="123"/>
      <c r="I519" s="16" t="s">
        <v>259</v>
      </c>
      <c r="J519" s="16"/>
      <c r="K519" s="10" t="s">
        <v>478</v>
      </c>
      <c r="L519" s="120">
        <v>80237</v>
      </c>
      <c r="M519" s="120"/>
      <c r="N519" s="120"/>
      <c r="O519" s="120"/>
      <c r="P519" s="19" t="s">
        <v>1058</v>
      </c>
      <c r="Q519" s="16" t="s">
        <v>1260</v>
      </c>
      <c r="R519" s="16"/>
      <c r="S519" s="10" t="s">
        <v>279</v>
      </c>
      <c r="T519" s="10"/>
      <c r="U519" s="10"/>
      <c r="V519" s="33">
        <v>143</v>
      </c>
      <c r="W519" s="10">
        <v>143</v>
      </c>
      <c r="X519" s="10">
        <v>143</v>
      </c>
      <c r="Y519" s="10">
        <v>2.54</v>
      </c>
      <c r="Z519" s="10">
        <v>2</v>
      </c>
      <c r="AA519" s="10" t="s">
        <v>823</v>
      </c>
      <c r="AB519" s="10"/>
      <c r="AC519" s="22">
        <v>43963</v>
      </c>
      <c r="AD519" s="22">
        <v>43964</v>
      </c>
      <c r="AE519" s="22">
        <v>43963</v>
      </c>
      <c r="AF519" s="22">
        <v>43963</v>
      </c>
      <c r="AG519" s="106" t="s">
        <v>489</v>
      </c>
      <c r="AH519" s="27">
        <v>98</v>
      </c>
      <c r="AI519" s="27">
        <v>96</v>
      </c>
      <c r="AJ519" s="27">
        <v>100</v>
      </c>
      <c r="AK519" s="27" t="s">
        <v>1061</v>
      </c>
      <c r="AL519" s="19" t="s">
        <v>1327</v>
      </c>
      <c r="AM519" s="19" t="s">
        <v>1</v>
      </c>
    </row>
    <row r="520" spans="2:39" ht="15" x14ac:dyDescent="0.2">
      <c r="B520" s="23">
        <v>247</v>
      </c>
      <c r="C520" s="16">
        <v>20200413</v>
      </c>
      <c r="D520" s="23" t="s">
        <v>476</v>
      </c>
      <c r="E520" s="33" t="s">
        <v>353</v>
      </c>
      <c r="F520" s="43" t="s">
        <v>1124</v>
      </c>
      <c r="G520" s="123">
        <v>1412462</v>
      </c>
      <c r="H520" s="123"/>
      <c r="I520" s="16" t="s">
        <v>237</v>
      </c>
      <c r="J520" s="16"/>
      <c r="K520" s="10" t="s">
        <v>478</v>
      </c>
      <c r="L520" s="120">
        <v>80237</v>
      </c>
      <c r="M520" s="120"/>
      <c r="N520" s="120"/>
      <c r="O520" s="120"/>
      <c r="P520" s="19" t="s">
        <v>1058</v>
      </c>
      <c r="Q520" s="16" t="s">
        <v>1261</v>
      </c>
      <c r="R520" s="16"/>
      <c r="S520" s="10" t="s">
        <v>261</v>
      </c>
      <c r="T520" s="10"/>
      <c r="U520" s="10"/>
      <c r="V520" s="33">
        <v>136</v>
      </c>
      <c r="W520" s="10">
        <v>136</v>
      </c>
      <c r="X520" s="10">
        <v>136</v>
      </c>
      <c r="Y520" s="10">
        <v>2.41</v>
      </c>
      <c r="Z520" s="10">
        <v>0.5</v>
      </c>
      <c r="AA520" s="10" t="s">
        <v>823</v>
      </c>
      <c r="AB520" s="10"/>
      <c r="AC520" s="22">
        <v>43963</v>
      </c>
      <c r="AD520" s="22">
        <v>43964</v>
      </c>
      <c r="AE520" s="22">
        <v>43963</v>
      </c>
      <c r="AF520" s="22">
        <v>43963</v>
      </c>
      <c r="AG520" s="106" t="s">
        <v>482</v>
      </c>
      <c r="AH520" s="27">
        <v>100</v>
      </c>
      <c r="AI520" s="27">
        <v>100</v>
      </c>
      <c r="AJ520" s="27">
        <v>100</v>
      </c>
      <c r="AK520" s="27" t="s">
        <v>1061</v>
      </c>
      <c r="AL520" s="19" t="s">
        <v>1</v>
      </c>
      <c r="AM520" s="19" t="s">
        <v>1</v>
      </c>
    </row>
    <row r="521" spans="2:39" ht="15" x14ac:dyDescent="0.2">
      <c r="B521" s="23">
        <v>248</v>
      </c>
      <c r="C521" s="16">
        <v>20200413</v>
      </c>
      <c r="D521" s="23" t="s">
        <v>476</v>
      </c>
      <c r="E521" s="33" t="s">
        <v>353</v>
      </c>
      <c r="F521" s="43" t="s">
        <v>1125</v>
      </c>
      <c r="G521" s="124">
        <v>1412476</v>
      </c>
      <c r="H521" s="124"/>
      <c r="I521" s="16" t="s">
        <v>356</v>
      </c>
      <c r="J521" s="16"/>
      <c r="K521" s="10" t="s">
        <v>478</v>
      </c>
      <c r="L521" s="120">
        <v>80237</v>
      </c>
      <c r="M521" s="120"/>
      <c r="N521" s="120"/>
      <c r="O521" s="120"/>
      <c r="P521" s="19" t="s">
        <v>1262</v>
      </c>
      <c r="Q521" s="16" t="s">
        <v>1263</v>
      </c>
      <c r="R521" s="16"/>
      <c r="S521" s="10" t="s">
        <v>261</v>
      </c>
      <c r="T521" s="10"/>
      <c r="U521" s="10"/>
      <c r="V521" s="33">
        <v>58</v>
      </c>
      <c r="W521" s="10">
        <v>58</v>
      </c>
      <c r="X521" s="10">
        <v>58</v>
      </c>
      <c r="Y521" s="10">
        <v>1.03</v>
      </c>
      <c r="Z521" s="10">
        <v>0.1</v>
      </c>
      <c r="AA521" s="10" t="s">
        <v>823</v>
      </c>
      <c r="AB521" s="10"/>
      <c r="AC521" s="22">
        <v>43963</v>
      </c>
      <c r="AD521" s="22">
        <v>43964</v>
      </c>
      <c r="AE521" s="22">
        <v>43963</v>
      </c>
      <c r="AF521" s="22">
        <v>43963</v>
      </c>
      <c r="AG521" s="106" t="s">
        <v>482</v>
      </c>
      <c r="AH521" s="27">
        <v>100</v>
      </c>
      <c r="AI521" s="27">
        <v>100</v>
      </c>
      <c r="AJ521" s="27">
        <v>100</v>
      </c>
      <c r="AK521" s="27" t="s">
        <v>1061</v>
      </c>
      <c r="AL521" s="19" t="s">
        <v>1</v>
      </c>
      <c r="AM521" s="19" t="s">
        <v>1</v>
      </c>
    </row>
    <row r="522" spans="2:39" ht="15" x14ac:dyDescent="0.2">
      <c r="B522" s="23">
        <v>249</v>
      </c>
      <c r="C522" s="16">
        <v>20200413</v>
      </c>
      <c r="D522" s="23" t="s">
        <v>476</v>
      </c>
      <c r="E522" s="33" t="s">
        <v>353</v>
      </c>
      <c r="F522" s="43" t="s">
        <v>1126</v>
      </c>
      <c r="G522" s="124">
        <v>1412476</v>
      </c>
      <c r="H522" s="124"/>
      <c r="I522" s="16" t="s">
        <v>357</v>
      </c>
      <c r="J522" s="16"/>
      <c r="K522" s="10" t="s">
        <v>478</v>
      </c>
      <c r="L522" s="120">
        <v>80237</v>
      </c>
      <c r="M522" s="120"/>
      <c r="N522" s="120"/>
      <c r="O522" s="120"/>
      <c r="P522" s="19" t="s">
        <v>1262</v>
      </c>
      <c r="Q522" s="16" t="s">
        <v>1264</v>
      </c>
      <c r="R522" s="16"/>
      <c r="S522" s="10" t="s">
        <v>260</v>
      </c>
      <c r="T522" s="10"/>
      <c r="U522" s="10"/>
      <c r="V522" s="33">
        <v>46</v>
      </c>
      <c r="W522" s="10">
        <v>46</v>
      </c>
      <c r="X522" s="10">
        <v>46</v>
      </c>
      <c r="Y522" s="10">
        <v>0.81</v>
      </c>
      <c r="Z522" s="10">
        <v>0.5</v>
      </c>
      <c r="AA522" s="10" t="s">
        <v>823</v>
      </c>
      <c r="AB522" s="10"/>
      <c r="AC522" s="22">
        <v>43963</v>
      </c>
      <c r="AD522" s="22">
        <v>43964</v>
      </c>
      <c r="AE522" s="22">
        <v>43963</v>
      </c>
      <c r="AF522" s="22">
        <v>43963</v>
      </c>
      <c r="AG522" s="106" t="s">
        <v>482</v>
      </c>
      <c r="AH522" s="27">
        <v>100</v>
      </c>
      <c r="AI522" s="27">
        <v>100</v>
      </c>
      <c r="AJ522" s="27">
        <v>100</v>
      </c>
      <c r="AK522" s="27" t="s">
        <v>1061</v>
      </c>
      <c r="AL522" s="19" t="s">
        <v>1</v>
      </c>
      <c r="AM522" s="19" t="s">
        <v>1</v>
      </c>
    </row>
    <row r="523" spans="2:39" ht="15" x14ac:dyDescent="0.2">
      <c r="B523" s="23">
        <v>250</v>
      </c>
      <c r="C523" s="16">
        <v>20200413</v>
      </c>
      <c r="D523" s="23" t="s">
        <v>476</v>
      </c>
      <c r="E523" s="33" t="s">
        <v>353</v>
      </c>
      <c r="F523" s="43" t="s">
        <v>1127</v>
      </c>
      <c r="G523" s="124">
        <v>1412476</v>
      </c>
      <c r="H523" s="124"/>
      <c r="I523" s="16" t="s">
        <v>358</v>
      </c>
      <c r="J523" s="16"/>
      <c r="K523" s="10" t="s">
        <v>478</v>
      </c>
      <c r="L523" s="120">
        <v>80237</v>
      </c>
      <c r="M523" s="120"/>
      <c r="N523" s="120"/>
      <c r="O523" s="120"/>
      <c r="P523" s="19" t="s">
        <v>1262</v>
      </c>
      <c r="Q523" s="16" t="s">
        <v>1265</v>
      </c>
      <c r="R523" s="16"/>
      <c r="S523" s="10" t="s">
        <v>260</v>
      </c>
      <c r="T523" s="10"/>
      <c r="U523" s="10"/>
      <c r="V523" s="33">
        <v>12</v>
      </c>
      <c r="W523" s="10">
        <v>12</v>
      </c>
      <c r="X523" s="10">
        <v>12</v>
      </c>
      <c r="Y523" s="10">
        <v>0.21</v>
      </c>
      <c r="Z523" s="10">
        <v>0.5</v>
      </c>
      <c r="AA523" s="10" t="s">
        <v>823</v>
      </c>
      <c r="AB523" s="10"/>
      <c r="AC523" s="22">
        <v>43963</v>
      </c>
      <c r="AD523" s="22">
        <v>43964</v>
      </c>
      <c r="AE523" s="22">
        <v>43963</v>
      </c>
      <c r="AF523" s="22">
        <v>43963</v>
      </c>
      <c r="AG523" s="106" t="s">
        <v>482</v>
      </c>
      <c r="AH523" s="27">
        <v>100</v>
      </c>
      <c r="AI523" s="27">
        <v>100</v>
      </c>
      <c r="AJ523" s="27">
        <v>100</v>
      </c>
      <c r="AK523" s="27" t="s">
        <v>1061</v>
      </c>
      <c r="AL523" s="19" t="s">
        <v>1</v>
      </c>
      <c r="AM523" s="19" t="s">
        <v>1</v>
      </c>
    </row>
    <row r="524" spans="2:39" ht="15" x14ac:dyDescent="0.2">
      <c r="B524" s="23">
        <v>251</v>
      </c>
      <c r="C524" s="16">
        <v>20200413</v>
      </c>
      <c r="D524" s="23" t="s">
        <v>476</v>
      </c>
      <c r="E524" s="33" t="s">
        <v>353</v>
      </c>
      <c r="F524" s="43" t="s">
        <v>1128</v>
      </c>
      <c r="G524" s="125">
        <v>1414275</v>
      </c>
      <c r="H524" s="125"/>
      <c r="I524" s="16" t="s">
        <v>21</v>
      </c>
      <c r="J524" s="16"/>
      <c r="K524" s="10" t="s">
        <v>478</v>
      </c>
      <c r="L524" s="120">
        <v>80237</v>
      </c>
      <c r="M524" s="120"/>
      <c r="N524" s="120"/>
      <c r="O524" s="120"/>
      <c r="P524" s="19" t="s">
        <v>1266</v>
      </c>
      <c r="Q524" s="16" t="s">
        <v>1267</v>
      </c>
      <c r="R524" s="16"/>
      <c r="S524" s="10" t="s">
        <v>260</v>
      </c>
      <c r="T524" s="10"/>
      <c r="U524" s="10"/>
      <c r="V524" s="33">
        <v>165</v>
      </c>
      <c r="W524" s="10">
        <v>165</v>
      </c>
      <c r="X524" s="10">
        <v>165</v>
      </c>
      <c r="Y524" s="10">
        <v>2.93</v>
      </c>
      <c r="Z524" s="10">
        <v>0.5</v>
      </c>
      <c r="AA524" s="10" t="s">
        <v>823</v>
      </c>
      <c r="AB524" s="10"/>
      <c r="AC524" s="22">
        <v>43963</v>
      </c>
      <c r="AD524" s="22">
        <v>43964</v>
      </c>
      <c r="AE524" s="22">
        <v>43963</v>
      </c>
      <c r="AF524" s="22">
        <v>43963</v>
      </c>
      <c r="AG524" s="106" t="s">
        <v>482</v>
      </c>
      <c r="AH524" s="27">
        <v>100</v>
      </c>
      <c r="AI524" s="27">
        <v>100</v>
      </c>
      <c r="AJ524" s="27">
        <v>100</v>
      </c>
      <c r="AK524" s="27" t="s">
        <v>1061</v>
      </c>
      <c r="AL524" s="19" t="s">
        <v>1</v>
      </c>
      <c r="AM524" s="19" t="s">
        <v>1</v>
      </c>
    </row>
    <row r="525" spans="2:39" ht="15" x14ac:dyDescent="0.2">
      <c r="B525" s="23">
        <v>252</v>
      </c>
      <c r="C525" s="16">
        <v>20200413</v>
      </c>
      <c r="D525" s="23" t="s">
        <v>476</v>
      </c>
      <c r="E525" s="33" t="s">
        <v>353</v>
      </c>
      <c r="F525" s="43" t="s">
        <v>1129</v>
      </c>
      <c r="G525" s="125">
        <v>1414275</v>
      </c>
      <c r="H525" s="125"/>
      <c r="I525" s="16" t="s">
        <v>217</v>
      </c>
      <c r="J525" s="16"/>
      <c r="K525" s="10" t="s">
        <v>478</v>
      </c>
      <c r="L525" s="120">
        <v>80237</v>
      </c>
      <c r="M525" s="120"/>
      <c r="N525" s="120"/>
      <c r="O525" s="120"/>
      <c r="P525" s="19" t="s">
        <v>1266</v>
      </c>
      <c r="Q525" s="16" t="s">
        <v>1268</v>
      </c>
      <c r="R525" s="16"/>
      <c r="S525" s="10" t="s">
        <v>260</v>
      </c>
      <c r="T525" s="10"/>
      <c r="U525" s="10"/>
      <c r="V525" s="33">
        <v>144</v>
      </c>
      <c r="W525" s="10">
        <v>144</v>
      </c>
      <c r="X525" s="10">
        <v>144</v>
      </c>
      <c r="Y525" s="10">
        <v>2.56</v>
      </c>
      <c r="Z525" s="10">
        <v>0.5</v>
      </c>
      <c r="AA525" s="10" t="s">
        <v>823</v>
      </c>
      <c r="AB525" s="10"/>
      <c r="AC525" s="22">
        <v>43963</v>
      </c>
      <c r="AD525" s="22">
        <v>43964</v>
      </c>
      <c r="AE525" s="22">
        <v>43963</v>
      </c>
      <c r="AF525" s="22">
        <v>43963</v>
      </c>
      <c r="AG525" s="106" t="s">
        <v>482</v>
      </c>
      <c r="AH525" s="27">
        <v>100</v>
      </c>
      <c r="AI525" s="27">
        <v>100</v>
      </c>
      <c r="AJ525" s="27">
        <v>100</v>
      </c>
      <c r="AK525" s="27" t="s">
        <v>1061</v>
      </c>
      <c r="AL525" s="19" t="s">
        <v>1</v>
      </c>
      <c r="AM525" s="19" t="s">
        <v>1</v>
      </c>
    </row>
    <row r="526" spans="2:39" ht="15" x14ac:dyDescent="0.2">
      <c r="B526" s="23">
        <v>253</v>
      </c>
      <c r="C526" s="16">
        <v>20200413</v>
      </c>
      <c r="D526" s="23" t="s">
        <v>476</v>
      </c>
      <c r="E526" s="33" t="s">
        <v>353</v>
      </c>
      <c r="F526" s="43" t="s">
        <v>1130</v>
      </c>
      <c r="G526" s="125">
        <v>1414275</v>
      </c>
      <c r="H526" s="125"/>
      <c r="I526" s="16" t="s">
        <v>26</v>
      </c>
      <c r="J526" s="16"/>
      <c r="K526" s="10" t="s">
        <v>478</v>
      </c>
      <c r="L526" s="120">
        <v>80237</v>
      </c>
      <c r="M526" s="120"/>
      <c r="N526" s="120"/>
      <c r="O526" s="120"/>
      <c r="P526" s="19" t="s">
        <v>1266</v>
      </c>
      <c r="Q526" s="16" t="s">
        <v>1269</v>
      </c>
      <c r="R526" s="16"/>
      <c r="S526" s="10" t="s">
        <v>261</v>
      </c>
      <c r="T526" s="10"/>
      <c r="U526" s="10"/>
      <c r="V526" s="33">
        <v>3</v>
      </c>
      <c r="W526" s="10">
        <v>3</v>
      </c>
      <c r="X526" s="10">
        <v>3</v>
      </c>
      <c r="Y526" s="10">
        <v>0.05</v>
      </c>
      <c r="Z526" s="10">
        <v>0.05</v>
      </c>
      <c r="AA526" s="10" t="s">
        <v>823</v>
      </c>
      <c r="AB526" s="10"/>
      <c r="AC526" s="22">
        <v>43963</v>
      </c>
      <c r="AD526" s="22">
        <v>43964</v>
      </c>
      <c r="AE526" s="22">
        <v>43963</v>
      </c>
      <c r="AF526" s="22">
        <v>43963</v>
      </c>
      <c r="AG526" s="106" t="s">
        <v>482</v>
      </c>
      <c r="AH526" s="27">
        <v>100</v>
      </c>
      <c r="AI526" s="27">
        <v>100</v>
      </c>
      <c r="AJ526" s="27">
        <v>100</v>
      </c>
      <c r="AK526" s="27" t="s">
        <v>1061</v>
      </c>
      <c r="AL526" s="19" t="s">
        <v>1</v>
      </c>
      <c r="AM526" s="19" t="s">
        <v>1</v>
      </c>
    </row>
    <row r="527" spans="2:39" ht="15" x14ac:dyDescent="0.2">
      <c r="B527" s="126">
        <v>254</v>
      </c>
      <c r="C527" s="16">
        <v>20200415</v>
      </c>
      <c r="D527" s="23" t="s">
        <v>797</v>
      </c>
      <c r="E527" s="16" t="s">
        <v>30</v>
      </c>
      <c r="F527" s="52" t="s">
        <v>1</v>
      </c>
      <c r="G527" s="16">
        <v>1419102</v>
      </c>
      <c r="H527" s="16"/>
      <c r="I527" s="59" t="s">
        <v>359</v>
      </c>
      <c r="J527" s="59"/>
      <c r="K527" s="19" t="s">
        <v>1</v>
      </c>
      <c r="L527" s="19" t="s">
        <v>1</v>
      </c>
      <c r="M527" s="19"/>
      <c r="N527" s="19"/>
      <c r="O527" s="19"/>
      <c r="P527" s="19" t="s">
        <v>1270</v>
      </c>
      <c r="Q527" s="16" t="s">
        <v>1271</v>
      </c>
      <c r="R527" s="16"/>
      <c r="S527" s="10" t="s">
        <v>260</v>
      </c>
      <c r="T527" s="10"/>
      <c r="U527" s="10"/>
      <c r="V527" s="10">
        <v>64</v>
      </c>
      <c r="W527" s="10">
        <v>64</v>
      </c>
      <c r="X527" s="10">
        <v>64</v>
      </c>
      <c r="Y527" s="10">
        <v>3.93</v>
      </c>
      <c r="Z527" s="10">
        <v>3</v>
      </c>
      <c r="AA527" s="10" t="s">
        <v>481</v>
      </c>
      <c r="AB527" s="10"/>
      <c r="AC527" s="22">
        <v>43937</v>
      </c>
      <c r="AD527" s="22">
        <v>43938</v>
      </c>
      <c r="AE527" s="22">
        <v>43938</v>
      </c>
      <c r="AF527" s="22">
        <v>43938</v>
      </c>
      <c r="AG527" s="106" t="s">
        <v>482</v>
      </c>
      <c r="AH527" s="10">
        <v>100</v>
      </c>
      <c r="AI527" s="10">
        <v>100</v>
      </c>
      <c r="AJ527" s="10">
        <v>100</v>
      </c>
      <c r="AK527" s="10" t="s">
        <v>1061</v>
      </c>
      <c r="AL527" s="19" t="s">
        <v>1</v>
      </c>
      <c r="AM527" s="19" t="s">
        <v>1</v>
      </c>
    </row>
    <row r="528" spans="2:39" ht="15" x14ac:dyDescent="0.25">
      <c r="B528" s="126">
        <v>255</v>
      </c>
      <c r="C528" s="16">
        <v>20200415</v>
      </c>
      <c r="D528" s="23" t="s">
        <v>797</v>
      </c>
      <c r="E528" s="16" t="s">
        <v>30</v>
      </c>
      <c r="F528" s="52" t="s">
        <v>1</v>
      </c>
      <c r="G528" s="16">
        <v>1419102</v>
      </c>
      <c r="H528" s="16"/>
      <c r="I528" s="59" t="s">
        <v>360</v>
      </c>
      <c r="J528" s="59"/>
      <c r="K528" s="19" t="s">
        <v>1</v>
      </c>
      <c r="L528" s="19" t="s">
        <v>1</v>
      </c>
      <c r="M528" s="19"/>
      <c r="N528" s="19"/>
      <c r="O528" s="19"/>
      <c r="P528" s="19" t="s">
        <v>1270</v>
      </c>
      <c r="Q528" s="16" t="s">
        <v>1272</v>
      </c>
      <c r="R528" s="16"/>
      <c r="S528" s="10" t="s">
        <v>219</v>
      </c>
      <c r="T528" s="10"/>
      <c r="U528" s="10"/>
      <c r="V528" s="10">
        <v>38</v>
      </c>
      <c r="W528" s="113">
        <v>38</v>
      </c>
      <c r="X528" s="10">
        <v>38</v>
      </c>
      <c r="Y528" s="10">
        <v>2.33</v>
      </c>
      <c r="Z528" s="10">
        <v>2</v>
      </c>
      <c r="AA528" s="10" t="s">
        <v>481</v>
      </c>
      <c r="AB528" s="10"/>
      <c r="AC528" s="22">
        <v>43937</v>
      </c>
      <c r="AD528" s="22">
        <v>43938</v>
      </c>
      <c r="AE528" s="22">
        <v>43938</v>
      </c>
      <c r="AF528" s="22">
        <v>43938</v>
      </c>
      <c r="AG528" s="106" t="s">
        <v>482</v>
      </c>
      <c r="AH528" s="27">
        <v>100</v>
      </c>
      <c r="AI528" s="27">
        <v>100</v>
      </c>
      <c r="AJ528" s="27">
        <v>100</v>
      </c>
      <c r="AK528" s="27" t="s">
        <v>1061</v>
      </c>
      <c r="AL528" s="19" t="s">
        <v>1</v>
      </c>
      <c r="AM528" s="19" t="s">
        <v>1</v>
      </c>
    </row>
    <row r="529" spans="2:39" ht="15" x14ac:dyDescent="0.2">
      <c r="B529" s="35">
        <v>256</v>
      </c>
      <c r="C529" s="16">
        <v>20200416</v>
      </c>
      <c r="D529" s="23" t="s">
        <v>476</v>
      </c>
      <c r="E529" s="16" t="s">
        <v>201</v>
      </c>
      <c r="F529" s="52" t="s">
        <v>1131</v>
      </c>
      <c r="G529" s="16">
        <v>1421044</v>
      </c>
      <c r="H529" s="16"/>
      <c r="I529" s="59" t="s">
        <v>361</v>
      </c>
      <c r="J529" s="59"/>
      <c r="K529" s="10" t="s">
        <v>478</v>
      </c>
      <c r="L529" s="105">
        <v>80336</v>
      </c>
      <c r="M529" s="105"/>
      <c r="N529" s="105"/>
      <c r="O529" s="105"/>
      <c r="P529" s="19" t="s">
        <v>1</v>
      </c>
      <c r="Q529" s="16" t="s">
        <v>1273</v>
      </c>
      <c r="R529" s="16"/>
      <c r="S529" s="10" t="s">
        <v>219</v>
      </c>
      <c r="T529" s="10"/>
      <c r="U529" s="10"/>
      <c r="V529" s="10">
        <v>277</v>
      </c>
      <c r="W529" s="16">
        <v>277</v>
      </c>
      <c r="X529" s="10">
        <v>277</v>
      </c>
      <c r="Y529" s="10">
        <v>4.92</v>
      </c>
      <c r="Z529" s="10">
        <v>3</v>
      </c>
      <c r="AA529" s="10" t="s">
        <v>481</v>
      </c>
      <c r="AB529" s="10"/>
      <c r="AC529" s="22">
        <v>43937</v>
      </c>
      <c r="AD529" s="22">
        <v>43937</v>
      </c>
      <c r="AE529" s="22">
        <v>43937</v>
      </c>
      <c r="AF529" s="22">
        <v>43937</v>
      </c>
      <c r="AG529" s="106" t="s">
        <v>489</v>
      </c>
      <c r="AH529" s="10">
        <v>100</v>
      </c>
      <c r="AI529" s="10">
        <v>98</v>
      </c>
      <c r="AJ529" s="10">
        <v>100</v>
      </c>
      <c r="AK529" s="10" t="s">
        <v>490</v>
      </c>
      <c r="AL529" s="19" t="s">
        <v>1328</v>
      </c>
      <c r="AM529" s="19" t="s">
        <v>1</v>
      </c>
    </row>
    <row r="530" spans="2:39" ht="15" x14ac:dyDescent="0.2">
      <c r="B530" s="35">
        <v>257</v>
      </c>
      <c r="C530" s="16">
        <v>20200416</v>
      </c>
      <c r="D530" s="23" t="s">
        <v>476</v>
      </c>
      <c r="E530" s="16" t="s">
        <v>201</v>
      </c>
      <c r="F530" s="52" t="s">
        <v>1131</v>
      </c>
      <c r="G530" s="16">
        <v>1421052</v>
      </c>
      <c r="H530" s="16"/>
      <c r="I530" s="59" t="s">
        <v>361</v>
      </c>
      <c r="J530" s="59"/>
      <c r="K530" s="10" t="s">
        <v>478</v>
      </c>
      <c r="L530" s="105">
        <v>80336</v>
      </c>
      <c r="M530" s="105"/>
      <c r="N530" s="105"/>
      <c r="O530" s="105"/>
      <c r="P530" s="19" t="s">
        <v>1</v>
      </c>
      <c r="Q530" s="16" t="s">
        <v>1274</v>
      </c>
      <c r="R530" s="16"/>
      <c r="S530" s="10" t="s">
        <v>219</v>
      </c>
      <c r="T530" s="10"/>
      <c r="U530" s="10"/>
      <c r="V530" s="10">
        <v>277</v>
      </c>
      <c r="W530" s="16">
        <v>277</v>
      </c>
      <c r="X530" s="10">
        <v>277</v>
      </c>
      <c r="Y530" s="10">
        <v>4.92</v>
      </c>
      <c r="Z530" s="10">
        <v>3</v>
      </c>
      <c r="AA530" s="10" t="s">
        <v>481</v>
      </c>
      <c r="AB530" s="10"/>
      <c r="AC530" s="22">
        <v>43937</v>
      </c>
      <c r="AD530" s="22">
        <v>43937</v>
      </c>
      <c r="AE530" s="22">
        <v>43937</v>
      </c>
      <c r="AF530" s="22">
        <v>43937</v>
      </c>
      <c r="AG530" s="106" t="s">
        <v>489</v>
      </c>
      <c r="AH530" s="10">
        <v>100</v>
      </c>
      <c r="AI530" s="10">
        <v>98</v>
      </c>
      <c r="AJ530" s="10">
        <v>100</v>
      </c>
      <c r="AK530" s="10" t="s">
        <v>490</v>
      </c>
      <c r="AL530" s="19" t="s">
        <v>1328</v>
      </c>
      <c r="AM530" s="19" t="s">
        <v>1</v>
      </c>
    </row>
    <row r="531" spans="2:39" ht="15" x14ac:dyDescent="0.2">
      <c r="B531" s="69">
        <v>258</v>
      </c>
      <c r="C531" s="16">
        <v>20200416</v>
      </c>
      <c r="D531" s="23" t="s">
        <v>797</v>
      </c>
      <c r="E531" s="16" t="s">
        <v>362</v>
      </c>
      <c r="F531" s="52" t="s">
        <v>1</v>
      </c>
      <c r="G531" s="52">
        <v>1413019</v>
      </c>
      <c r="H531" s="52"/>
      <c r="I531" s="59" t="s">
        <v>363</v>
      </c>
      <c r="J531" s="59"/>
      <c r="K531" s="19" t="s">
        <v>1</v>
      </c>
      <c r="L531" s="19" t="s">
        <v>1</v>
      </c>
      <c r="M531" s="19"/>
      <c r="N531" s="19"/>
      <c r="O531" s="19"/>
      <c r="P531" s="19" t="s">
        <v>1275</v>
      </c>
      <c r="Q531" s="16" t="s">
        <v>1276</v>
      </c>
      <c r="R531" s="16"/>
      <c r="S531" s="10" t="s">
        <v>260</v>
      </c>
      <c r="T531" s="10"/>
      <c r="U531" s="10"/>
      <c r="V531" s="10">
        <v>25</v>
      </c>
      <c r="W531" s="16">
        <v>25</v>
      </c>
      <c r="X531" s="10">
        <v>25</v>
      </c>
      <c r="Y531" s="10">
        <v>1.53</v>
      </c>
      <c r="Z531" s="10">
        <v>1</v>
      </c>
      <c r="AA531" s="10" t="s">
        <v>481</v>
      </c>
      <c r="AB531" s="10"/>
      <c r="AC531" s="22">
        <v>43938</v>
      </c>
      <c r="AD531" s="22">
        <v>43938</v>
      </c>
      <c r="AE531" s="22">
        <v>43938</v>
      </c>
      <c r="AF531" s="22">
        <v>43938</v>
      </c>
      <c r="AG531" s="106" t="s">
        <v>489</v>
      </c>
      <c r="AH531" s="10">
        <v>90</v>
      </c>
      <c r="AI531" s="10">
        <v>92</v>
      </c>
      <c r="AJ531" s="10">
        <v>100</v>
      </c>
      <c r="AK531" s="10" t="s">
        <v>1061</v>
      </c>
      <c r="AL531" s="19" t="s">
        <v>1329</v>
      </c>
      <c r="AM531" s="19" t="s">
        <v>1</v>
      </c>
    </row>
    <row r="532" spans="2:39" ht="15" x14ac:dyDescent="0.2">
      <c r="B532" s="69">
        <v>259</v>
      </c>
      <c r="C532" s="16">
        <v>20200416</v>
      </c>
      <c r="D532" s="23" t="s">
        <v>797</v>
      </c>
      <c r="E532" s="16" t="s">
        <v>172</v>
      </c>
      <c r="F532" s="52" t="s">
        <v>1</v>
      </c>
      <c r="G532" s="52">
        <v>1423192</v>
      </c>
      <c r="H532" s="52"/>
      <c r="I532" s="59" t="s">
        <v>364</v>
      </c>
      <c r="J532" s="59"/>
      <c r="K532" s="19" t="s">
        <v>1</v>
      </c>
      <c r="L532" s="19" t="s">
        <v>1</v>
      </c>
      <c r="M532" s="19"/>
      <c r="N532" s="19"/>
      <c r="O532" s="19"/>
      <c r="P532" s="19" t="s">
        <v>1277</v>
      </c>
      <c r="Q532" s="16" t="s">
        <v>1278</v>
      </c>
      <c r="R532" s="16"/>
      <c r="S532" s="10" t="s">
        <v>279</v>
      </c>
      <c r="T532" s="10"/>
      <c r="U532" s="10"/>
      <c r="V532" s="10">
        <v>173</v>
      </c>
      <c r="W532" s="16">
        <v>173</v>
      </c>
      <c r="X532" s="10">
        <v>173</v>
      </c>
      <c r="Y532" s="10">
        <v>10.64</v>
      </c>
      <c r="Z532" s="10">
        <v>10</v>
      </c>
      <c r="AA532" s="10" t="s">
        <v>481</v>
      </c>
      <c r="AB532" s="10"/>
      <c r="AC532" s="22">
        <v>43938</v>
      </c>
      <c r="AD532" s="22">
        <v>43944</v>
      </c>
      <c r="AE532" s="22">
        <v>43942</v>
      </c>
      <c r="AF532" s="22">
        <v>43948</v>
      </c>
      <c r="AG532" s="106" t="s">
        <v>489</v>
      </c>
      <c r="AH532" s="10">
        <v>93</v>
      </c>
      <c r="AI532" s="10">
        <v>92.7</v>
      </c>
      <c r="AJ532" s="10">
        <v>100</v>
      </c>
      <c r="AK532" s="10" t="s">
        <v>490</v>
      </c>
      <c r="AL532" s="19" t="s">
        <v>1</v>
      </c>
      <c r="AM532" s="19" t="s">
        <v>1</v>
      </c>
    </row>
    <row r="533" spans="2:39" ht="15" x14ac:dyDescent="0.2">
      <c r="B533" s="69">
        <v>260</v>
      </c>
      <c r="C533" s="16">
        <v>20200416</v>
      </c>
      <c r="D533" s="23" t="s">
        <v>797</v>
      </c>
      <c r="E533" s="16" t="s">
        <v>365</v>
      </c>
      <c r="F533" s="52" t="s">
        <v>1</v>
      </c>
      <c r="G533" s="52">
        <v>1424050</v>
      </c>
      <c r="H533" s="52"/>
      <c r="I533" s="59" t="s">
        <v>366</v>
      </c>
      <c r="J533" s="59"/>
      <c r="K533" s="19" t="s">
        <v>1</v>
      </c>
      <c r="L533" s="19" t="s">
        <v>1</v>
      </c>
      <c r="M533" s="19"/>
      <c r="N533" s="19"/>
      <c r="O533" s="19"/>
      <c r="P533" s="19" t="s">
        <v>1279</v>
      </c>
      <c r="Q533" s="16" t="s">
        <v>1280</v>
      </c>
      <c r="R533" s="16"/>
      <c r="S533" s="10" t="s">
        <v>261</v>
      </c>
      <c r="T533" s="10"/>
      <c r="U533" s="10"/>
      <c r="V533" s="10">
        <v>50</v>
      </c>
      <c r="W533" s="16">
        <v>50</v>
      </c>
      <c r="X533" s="10">
        <v>50</v>
      </c>
      <c r="Y533" s="10">
        <v>3.07</v>
      </c>
      <c r="Z533" s="10">
        <v>2</v>
      </c>
      <c r="AA533" s="10" t="s">
        <v>481</v>
      </c>
      <c r="AB533" s="10"/>
      <c r="AC533" s="22">
        <v>43938</v>
      </c>
      <c r="AD533" s="22">
        <v>43942</v>
      </c>
      <c r="AE533" s="22">
        <v>43938</v>
      </c>
      <c r="AF533" s="22">
        <v>43938</v>
      </c>
      <c r="AG533" s="106" t="s">
        <v>482</v>
      </c>
      <c r="AH533" s="27">
        <v>100</v>
      </c>
      <c r="AI533" s="27">
        <v>100</v>
      </c>
      <c r="AJ533" s="27">
        <v>100</v>
      </c>
      <c r="AK533" s="27" t="s">
        <v>1061</v>
      </c>
      <c r="AL533" s="19" t="s">
        <v>1</v>
      </c>
      <c r="AM533" s="19" t="s">
        <v>1</v>
      </c>
    </row>
    <row r="534" spans="2:39" ht="15" x14ac:dyDescent="0.2">
      <c r="B534" s="38">
        <v>261</v>
      </c>
      <c r="C534" s="16">
        <v>20200417</v>
      </c>
      <c r="D534" s="23" t="s">
        <v>476</v>
      </c>
      <c r="E534" s="16" t="s">
        <v>365</v>
      </c>
      <c r="F534" s="52" t="s">
        <v>1132</v>
      </c>
      <c r="G534" s="16">
        <v>1423277</v>
      </c>
      <c r="H534" s="16"/>
      <c r="I534" s="59" t="s">
        <v>367</v>
      </c>
      <c r="J534" s="59"/>
      <c r="K534" s="10" t="s">
        <v>478</v>
      </c>
      <c r="L534" s="19" t="s">
        <v>1</v>
      </c>
      <c r="M534" s="19"/>
      <c r="N534" s="19"/>
      <c r="O534" s="19"/>
      <c r="P534" s="19" t="s">
        <v>1281</v>
      </c>
      <c r="Q534" s="16" t="s">
        <v>1282</v>
      </c>
      <c r="R534" s="16"/>
      <c r="S534" s="10" t="s">
        <v>260</v>
      </c>
      <c r="T534" s="10"/>
      <c r="U534" s="10"/>
      <c r="V534" s="10">
        <v>143</v>
      </c>
      <c r="W534" s="16">
        <v>143</v>
      </c>
      <c r="X534" s="10">
        <v>143</v>
      </c>
      <c r="Y534" s="10">
        <v>2.54</v>
      </c>
      <c r="Z534" s="10">
        <v>1</v>
      </c>
      <c r="AA534" s="10" t="s">
        <v>481</v>
      </c>
      <c r="AB534" s="10"/>
      <c r="AC534" s="22">
        <v>43938</v>
      </c>
      <c r="AD534" s="22">
        <v>43941</v>
      </c>
      <c r="AE534" s="22">
        <v>43941</v>
      </c>
      <c r="AF534" s="22">
        <v>43941</v>
      </c>
      <c r="AG534" s="106" t="s">
        <v>482</v>
      </c>
      <c r="AH534" s="10">
        <v>100</v>
      </c>
      <c r="AI534" s="10">
        <v>100</v>
      </c>
      <c r="AJ534" s="10">
        <v>100</v>
      </c>
      <c r="AK534" s="10" t="s">
        <v>1061</v>
      </c>
      <c r="AL534" s="19" t="s">
        <v>1</v>
      </c>
      <c r="AM534" s="19" t="s">
        <v>1</v>
      </c>
    </row>
    <row r="535" spans="2:39" ht="15" x14ac:dyDescent="0.2">
      <c r="B535" s="38">
        <v>262</v>
      </c>
      <c r="C535" s="16">
        <v>20200417</v>
      </c>
      <c r="D535" s="23" t="s">
        <v>476</v>
      </c>
      <c r="E535" s="16" t="s">
        <v>365</v>
      </c>
      <c r="F535" s="52" t="s">
        <v>1132</v>
      </c>
      <c r="G535" s="16">
        <v>1423277</v>
      </c>
      <c r="H535" s="16"/>
      <c r="I535" s="59" t="s">
        <v>368</v>
      </c>
      <c r="J535" s="59"/>
      <c r="K535" s="10" t="s">
        <v>478</v>
      </c>
      <c r="L535" s="19" t="s">
        <v>1</v>
      </c>
      <c r="M535" s="19"/>
      <c r="N535" s="19"/>
      <c r="O535" s="19"/>
      <c r="P535" s="19" t="s">
        <v>1281</v>
      </c>
      <c r="Q535" s="16" t="s">
        <v>1283</v>
      </c>
      <c r="R535" s="16"/>
      <c r="S535" s="10" t="s">
        <v>260</v>
      </c>
      <c r="T535" s="10"/>
      <c r="U535" s="10"/>
      <c r="V535" s="10">
        <v>57</v>
      </c>
      <c r="W535" s="16">
        <v>57</v>
      </c>
      <c r="X535" s="10">
        <v>57</v>
      </c>
      <c r="Y535" s="10">
        <v>1.01</v>
      </c>
      <c r="Z535" s="10">
        <v>0.5</v>
      </c>
      <c r="AA535" s="10" t="s">
        <v>481</v>
      </c>
      <c r="AB535" s="10"/>
      <c r="AC535" s="22">
        <v>43938</v>
      </c>
      <c r="AD535" s="22">
        <v>43941</v>
      </c>
      <c r="AE535" s="22">
        <v>43941</v>
      </c>
      <c r="AF535" s="22">
        <v>43941</v>
      </c>
      <c r="AG535" s="106" t="s">
        <v>482</v>
      </c>
      <c r="AH535" s="10">
        <v>100</v>
      </c>
      <c r="AI535" s="10">
        <v>100</v>
      </c>
      <c r="AJ535" s="10">
        <v>100</v>
      </c>
      <c r="AK535" s="10" t="s">
        <v>1061</v>
      </c>
      <c r="AL535" s="19" t="s">
        <v>1</v>
      </c>
      <c r="AM535" s="19" t="s">
        <v>1</v>
      </c>
    </row>
    <row r="536" spans="2:39" ht="15" x14ac:dyDescent="0.2">
      <c r="B536" s="28">
        <v>263</v>
      </c>
      <c r="C536" s="16">
        <v>20200420</v>
      </c>
      <c r="D536" s="23" t="s">
        <v>797</v>
      </c>
      <c r="E536" s="16" t="s">
        <v>369</v>
      </c>
      <c r="F536" s="52" t="s">
        <v>1</v>
      </c>
      <c r="G536" s="16">
        <v>1405925</v>
      </c>
      <c r="H536" s="16"/>
      <c r="I536" s="59" t="s">
        <v>370</v>
      </c>
      <c r="J536" s="59"/>
      <c r="K536" s="19" t="s">
        <v>1</v>
      </c>
      <c r="L536" s="19" t="s">
        <v>1</v>
      </c>
      <c r="M536" s="19"/>
      <c r="N536" s="19"/>
      <c r="O536" s="19"/>
      <c r="P536" s="19" t="s">
        <v>1284</v>
      </c>
      <c r="Q536" s="16" t="s">
        <v>1285</v>
      </c>
      <c r="R536" s="16"/>
      <c r="S536" s="10" t="s">
        <v>260</v>
      </c>
      <c r="T536" s="10"/>
      <c r="U536" s="10"/>
      <c r="V536" s="10">
        <v>59</v>
      </c>
      <c r="W536" s="16">
        <v>59</v>
      </c>
      <c r="X536" s="10">
        <v>59</v>
      </c>
      <c r="Y536" s="10">
        <v>3.63</v>
      </c>
      <c r="Z536" s="10">
        <v>1</v>
      </c>
      <c r="AA536" s="10" t="s">
        <v>481</v>
      </c>
      <c r="AB536" s="10"/>
      <c r="AC536" s="22">
        <v>43942</v>
      </c>
      <c r="AD536" s="22">
        <v>43950</v>
      </c>
      <c r="AE536" s="22">
        <v>43942</v>
      </c>
      <c r="AF536" s="22">
        <v>43942</v>
      </c>
      <c r="AG536" s="106" t="s">
        <v>482</v>
      </c>
      <c r="AH536" s="10">
        <v>100</v>
      </c>
      <c r="AI536" s="10">
        <v>100</v>
      </c>
      <c r="AJ536" s="10">
        <v>100</v>
      </c>
      <c r="AK536" s="10" t="s">
        <v>1061</v>
      </c>
      <c r="AL536" s="19" t="s">
        <v>1</v>
      </c>
      <c r="AM536" s="19" t="s">
        <v>1</v>
      </c>
    </row>
    <row r="537" spans="2:39" ht="15" x14ac:dyDescent="0.2">
      <c r="B537" s="28">
        <v>264</v>
      </c>
      <c r="C537" s="16">
        <v>20200420</v>
      </c>
      <c r="D537" s="23" t="s">
        <v>797</v>
      </c>
      <c r="E537" s="16" t="s">
        <v>226</v>
      </c>
      <c r="F537" s="52" t="s">
        <v>1</v>
      </c>
      <c r="G537" s="16">
        <v>1369164</v>
      </c>
      <c r="H537" s="16"/>
      <c r="I537" s="59" t="s">
        <v>371</v>
      </c>
      <c r="J537" s="59"/>
      <c r="K537" s="52" t="s">
        <v>1</v>
      </c>
      <c r="L537" s="52" t="s">
        <v>1</v>
      </c>
      <c r="M537" s="52"/>
      <c r="N537" s="52"/>
      <c r="O537" s="52"/>
      <c r="P537" s="19" t="s">
        <v>1286</v>
      </c>
      <c r="Q537" s="16" t="s">
        <v>1287</v>
      </c>
      <c r="R537" s="16"/>
      <c r="S537" s="10" t="s">
        <v>219</v>
      </c>
      <c r="T537" s="10"/>
      <c r="U537" s="10"/>
      <c r="V537" s="10">
        <v>30</v>
      </c>
      <c r="W537" s="16">
        <v>30</v>
      </c>
      <c r="X537" s="10">
        <v>30</v>
      </c>
      <c r="Y537" s="10">
        <v>1.84</v>
      </c>
      <c r="Z537" s="10">
        <v>2</v>
      </c>
      <c r="AA537" s="10" t="s">
        <v>481</v>
      </c>
      <c r="AB537" s="10"/>
      <c r="AC537" s="22">
        <v>43942</v>
      </c>
      <c r="AD537" s="22">
        <v>43950</v>
      </c>
      <c r="AE537" s="22">
        <v>43949</v>
      </c>
      <c r="AF537" s="22">
        <v>43949</v>
      </c>
      <c r="AG537" s="106" t="s">
        <v>482</v>
      </c>
      <c r="AH537" s="27">
        <v>100</v>
      </c>
      <c r="AI537" s="27">
        <v>100</v>
      </c>
      <c r="AJ537" s="27">
        <v>100</v>
      </c>
      <c r="AK537" s="27" t="s">
        <v>1061</v>
      </c>
      <c r="AL537" s="19" t="s">
        <v>1</v>
      </c>
      <c r="AM537" s="19" t="s">
        <v>1</v>
      </c>
    </row>
    <row r="538" spans="2:39" ht="15" x14ac:dyDescent="0.2">
      <c r="B538" s="18">
        <v>265</v>
      </c>
      <c r="C538" s="16">
        <v>20200421</v>
      </c>
      <c r="D538" s="23" t="s">
        <v>476</v>
      </c>
      <c r="E538" s="16" t="s">
        <v>143</v>
      </c>
      <c r="F538" s="52" t="s">
        <v>486</v>
      </c>
      <c r="G538" s="16">
        <v>1416607</v>
      </c>
      <c r="H538" s="16"/>
      <c r="I538" s="127" t="s">
        <v>372</v>
      </c>
      <c r="J538" s="127"/>
      <c r="K538" s="10" t="s">
        <v>478</v>
      </c>
      <c r="L538" s="19" t="s">
        <v>1133</v>
      </c>
      <c r="M538" s="19"/>
      <c r="N538" s="19"/>
      <c r="O538" s="19"/>
      <c r="P538" s="19" t="s">
        <v>518</v>
      </c>
      <c r="Q538" s="16" t="s">
        <v>1288</v>
      </c>
      <c r="R538" s="16"/>
      <c r="S538" s="10" t="s">
        <v>261</v>
      </c>
      <c r="T538" s="10"/>
      <c r="U538" s="10"/>
      <c r="V538" s="33">
        <v>43</v>
      </c>
      <c r="W538" s="16">
        <v>43</v>
      </c>
      <c r="X538" s="10">
        <v>43</v>
      </c>
      <c r="Y538" s="10">
        <v>0.76</v>
      </c>
      <c r="Z538" s="10">
        <v>0.5</v>
      </c>
      <c r="AA538" s="10" t="s">
        <v>481</v>
      </c>
      <c r="AB538" s="10"/>
      <c r="AC538" s="22">
        <v>43942</v>
      </c>
      <c r="AD538" s="22">
        <v>43945</v>
      </c>
      <c r="AE538" s="22">
        <v>43943</v>
      </c>
      <c r="AF538" s="22">
        <v>43943</v>
      </c>
      <c r="AG538" s="106" t="s">
        <v>482</v>
      </c>
      <c r="AH538" s="27">
        <v>100</v>
      </c>
      <c r="AI538" s="27">
        <v>100</v>
      </c>
      <c r="AJ538" s="27">
        <v>100</v>
      </c>
      <c r="AK538" s="27" t="s">
        <v>1061</v>
      </c>
      <c r="AL538" s="19" t="s">
        <v>1</v>
      </c>
      <c r="AM538" s="19" t="s">
        <v>1</v>
      </c>
    </row>
    <row r="539" spans="2:39" ht="15" x14ac:dyDescent="0.2">
      <c r="B539" s="18">
        <v>266</v>
      </c>
      <c r="C539" s="16">
        <v>20200421</v>
      </c>
      <c r="D539" s="23" t="s">
        <v>476</v>
      </c>
      <c r="E539" s="16" t="s">
        <v>373</v>
      </c>
      <c r="F539" s="52" t="s">
        <v>486</v>
      </c>
      <c r="G539" s="16">
        <v>1416607</v>
      </c>
      <c r="H539" s="16"/>
      <c r="I539" s="127" t="s">
        <v>374</v>
      </c>
      <c r="J539" s="127"/>
      <c r="K539" s="10" t="s">
        <v>478</v>
      </c>
      <c r="L539" s="19" t="s">
        <v>1133</v>
      </c>
      <c r="M539" s="19"/>
      <c r="N539" s="19"/>
      <c r="O539" s="19"/>
      <c r="P539" s="19" t="s">
        <v>518</v>
      </c>
      <c r="Q539" s="16" t="s">
        <v>1289</v>
      </c>
      <c r="R539" s="16"/>
      <c r="S539" s="10" t="s">
        <v>261</v>
      </c>
      <c r="T539" s="10"/>
      <c r="U539" s="10"/>
      <c r="V539" s="33">
        <v>29</v>
      </c>
      <c r="W539" s="16">
        <v>29</v>
      </c>
      <c r="X539" s="10">
        <v>29</v>
      </c>
      <c r="Y539" s="10">
        <v>0.51</v>
      </c>
      <c r="Z539" s="10">
        <v>0.5</v>
      </c>
      <c r="AA539" s="10" t="s">
        <v>481</v>
      </c>
      <c r="AB539" s="10"/>
      <c r="AC539" s="22">
        <v>43942</v>
      </c>
      <c r="AD539" s="22">
        <v>43945</v>
      </c>
      <c r="AE539" s="22">
        <v>43943</v>
      </c>
      <c r="AF539" s="22">
        <v>43943</v>
      </c>
      <c r="AG539" s="106" t="s">
        <v>482</v>
      </c>
      <c r="AH539" s="27">
        <v>100</v>
      </c>
      <c r="AI539" s="27">
        <v>100</v>
      </c>
      <c r="AJ539" s="27">
        <v>100</v>
      </c>
      <c r="AK539" s="27" t="s">
        <v>1061</v>
      </c>
      <c r="AL539" s="19" t="s">
        <v>1</v>
      </c>
      <c r="AM539" s="19" t="s">
        <v>1</v>
      </c>
    </row>
    <row r="540" spans="2:39" ht="15" x14ac:dyDescent="0.2">
      <c r="B540" s="18">
        <v>267</v>
      </c>
      <c r="C540" s="16">
        <v>20200421</v>
      </c>
      <c r="D540" s="23" t="s">
        <v>476</v>
      </c>
      <c r="E540" s="16" t="s">
        <v>375</v>
      </c>
      <c r="F540" s="52" t="s">
        <v>486</v>
      </c>
      <c r="G540" s="16">
        <v>1416607</v>
      </c>
      <c r="H540" s="16"/>
      <c r="I540" s="59" t="s">
        <v>259</v>
      </c>
      <c r="J540" s="59"/>
      <c r="K540" s="10" t="s">
        <v>478</v>
      </c>
      <c r="L540" s="105" t="s">
        <v>1133</v>
      </c>
      <c r="M540" s="105"/>
      <c r="N540" s="105"/>
      <c r="O540" s="105"/>
      <c r="P540" s="19" t="s">
        <v>518</v>
      </c>
      <c r="Q540" s="16" t="s">
        <v>1290</v>
      </c>
      <c r="R540" s="16"/>
      <c r="S540" s="10" t="s">
        <v>219</v>
      </c>
      <c r="T540" s="10"/>
      <c r="U540" s="10"/>
      <c r="V540" s="33">
        <v>276</v>
      </c>
      <c r="W540" s="16">
        <v>276</v>
      </c>
      <c r="X540" s="10">
        <v>276</v>
      </c>
      <c r="Y540" s="10">
        <v>4.9000000000000004</v>
      </c>
      <c r="Z540" s="10">
        <v>1</v>
      </c>
      <c r="AA540" s="10" t="s">
        <v>481</v>
      </c>
      <c r="AB540" s="10"/>
      <c r="AC540" s="22">
        <v>43942</v>
      </c>
      <c r="AD540" s="22">
        <v>43945</v>
      </c>
      <c r="AE540" s="22">
        <v>43944</v>
      </c>
      <c r="AF540" s="22">
        <v>43944</v>
      </c>
      <c r="AG540" s="106" t="s">
        <v>482</v>
      </c>
      <c r="AH540" s="27">
        <v>100</v>
      </c>
      <c r="AI540" s="27">
        <v>100</v>
      </c>
      <c r="AJ540" s="27">
        <v>100</v>
      </c>
      <c r="AK540" s="27" t="s">
        <v>1061</v>
      </c>
      <c r="AL540" s="19" t="s">
        <v>1</v>
      </c>
      <c r="AM540" s="19" t="s">
        <v>1</v>
      </c>
    </row>
    <row r="541" spans="2:39" ht="15" x14ac:dyDescent="0.2">
      <c r="B541" s="18">
        <v>268</v>
      </c>
      <c r="C541" s="16">
        <v>20200421</v>
      </c>
      <c r="D541" s="23" t="s">
        <v>476</v>
      </c>
      <c r="E541" s="16" t="s">
        <v>376</v>
      </c>
      <c r="F541" s="52" t="s">
        <v>486</v>
      </c>
      <c r="G541" s="16">
        <v>1416607</v>
      </c>
      <c r="H541" s="16"/>
      <c r="I541" s="59" t="s">
        <v>377</v>
      </c>
      <c r="J541" s="59"/>
      <c r="K541" s="10" t="s">
        <v>478</v>
      </c>
      <c r="L541" s="105" t="s">
        <v>1133</v>
      </c>
      <c r="M541" s="105"/>
      <c r="N541" s="105"/>
      <c r="O541" s="105"/>
      <c r="P541" s="19" t="s">
        <v>518</v>
      </c>
      <c r="Q541" s="16" t="s">
        <v>1291</v>
      </c>
      <c r="R541" s="16"/>
      <c r="S541" s="10" t="s">
        <v>261</v>
      </c>
      <c r="T541" s="10"/>
      <c r="U541" s="10"/>
      <c r="V541" s="33">
        <v>15</v>
      </c>
      <c r="W541" s="16">
        <v>15</v>
      </c>
      <c r="X541" s="10">
        <v>15</v>
      </c>
      <c r="Y541" s="10">
        <v>0.26</v>
      </c>
      <c r="Z541" s="10">
        <v>0.2</v>
      </c>
      <c r="AA541" s="10" t="s">
        <v>481</v>
      </c>
      <c r="AB541" s="10"/>
      <c r="AC541" s="22">
        <v>43942</v>
      </c>
      <c r="AD541" s="22">
        <v>43945</v>
      </c>
      <c r="AE541" s="22">
        <v>43943</v>
      </c>
      <c r="AF541" s="22">
        <v>43943</v>
      </c>
      <c r="AG541" s="106" t="s">
        <v>482</v>
      </c>
      <c r="AH541" s="27">
        <v>100</v>
      </c>
      <c r="AI541" s="27">
        <v>100</v>
      </c>
      <c r="AJ541" s="27">
        <v>100</v>
      </c>
      <c r="AK541" s="27" t="s">
        <v>1061</v>
      </c>
      <c r="AL541" s="19" t="s">
        <v>1</v>
      </c>
      <c r="AM541" s="19" t="s">
        <v>1</v>
      </c>
    </row>
    <row r="542" spans="2:39" ht="15" x14ac:dyDescent="0.2">
      <c r="B542" s="18">
        <v>269</v>
      </c>
      <c r="C542" s="16">
        <v>20200421</v>
      </c>
      <c r="D542" s="23" t="s">
        <v>476</v>
      </c>
      <c r="E542" s="16" t="s">
        <v>376</v>
      </c>
      <c r="F542" s="52" t="s">
        <v>486</v>
      </c>
      <c r="G542" s="16">
        <v>1416607</v>
      </c>
      <c r="H542" s="16"/>
      <c r="I542" s="59" t="s">
        <v>146</v>
      </c>
      <c r="J542" s="59"/>
      <c r="K542" s="10" t="s">
        <v>478</v>
      </c>
      <c r="L542" s="105" t="s">
        <v>1133</v>
      </c>
      <c r="M542" s="105"/>
      <c r="N542" s="105"/>
      <c r="O542" s="105"/>
      <c r="P542" s="19" t="s">
        <v>518</v>
      </c>
      <c r="Q542" s="16" t="s">
        <v>1292</v>
      </c>
      <c r="R542" s="16"/>
      <c r="S542" s="10" t="s">
        <v>219</v>
      </c>
      <c r="T542" s="10"/>
      <c r="U542" s="10"/>
      <c r="V542" s="33">
        <v>135</v>
      </c>
      <c r="W542" s="16">
        <v>135</v>
      </c>
      <c r="X542" s="10">
        <v>135</v>
      </c>
      <c r="Y542" s="10">
        <v>2.4</v>
      </c>
      <c r="Z542" s="10">
        <v>1</v>
      </c>
      <c r="AA542" s="10" t="s">
        <v>481</v>
      </c>
      <c r="AB542" s="10"/>
      <c r="AC542" s="22">
        <v>43942</v>
      </c>
      <c r="AD542" s="22">
        <v>43945</v>
      </c>
      <c r="AE542" s="22">
        <v>43944</v>
      </c>
      <c r="AF542" s="22">
        <v>43944</v>
      </c>
      <c r="AG542" s="106" t="s">
        <v>482</v>
      </c>
      <c r="AH542" s="27">
        <v>100</v>
      </c>
      <c r="AI542" s="27">
        <v>100</v>
      </c>
      <c r="AJ542" s="27">
        <v>100</v>
      </c>
      <c r="AK542" s="27" t="s">
        <v>1061</v>
      </c>
      <c r="AL542" s="19"/>
      <c r="AM542" s="19"/>
    </row>
    <row r="543" spans="2:39" ht="15" x14ac:dyDescent="0.2">
      <c r="B543" s="18">
        <v>270</v>
      </c>
      <c r="C543" s="16">
        <v>20200421</v>
      </c>
      <c r="D543" s="23" t="s">
        <v>476</v>
      </c>
      <c r="E543" s="16" t="s">
        <v>148</v>
      </c>
      <c r="F543" s="52" t="s">
        <v>486</v>
      </c>
      <c r="G543" s="16">
        <v>1416606</v>
      </c>
      <c r="H543" s="16"/>
      <c r="I543" s="59" t="s">
        <v>372</v>
      </c>
      <c r="J543" s="59"/>
      <c r="K543" s="10" t="s">
        <v>478</v>
      </c>
      <c r="L543" s="105" t="s">
        <v>1065</v>
      </c>
      <c r="M543" s="105"/>
      <c r="N543" s="105"/>
      <c r="O543" s="105"/>
      <c r="P543" s="87" t="s">
        <v>518</v>
      </c>
      <c r="Q543" s="16" t="s">
        <v>1293</v>
      </c>
      <c r="R543" s="16"/>
      <c r="S543" s="10" t="s">
        <v>261</v>
      </c>
      <c r="T543" s="10"/>
      <c r="U543" s="10"/>
      <c r="V543" s="33">
        <v>43</v>
      </c>
      <c r="W543" s="16">
        <v>43</v>
      </c>
      <c r="X543" s="10">
        <v>43</v>
      </c>
      <c r="Y543" s="10">
        <v>0.76</v>
      </c>
      <c r="Z543" s="10">
        <v>0.5</v>
      </c>
      <c r="AA543" s="10" t="s">
        <v>481</v>
      </c>
      <c r="AB543" s="10"/>
      <c r="AC543" s="22">
        <v>43942</v>
      </c>
      <c r="AD543" s="22">
        <v>43945</v>
      </c>
      <c r="AE543" s="22">
        <v>43943</v>
      </c>
      <c r="AF543" s="22">
        <v>43943</v>
      </c>
      <c r="AG543" s="106" t="s">
        <v>482</v>
      </c>
      <c r="AH543" s="27">
        <v>100</v>
      </c>
      <c r="AI543" s="27">
        <v>100</v>
      </c>
      <c r="AJ543" s="27">
        <v>100</v>
      </c>
      <c r="AK543" s="27" t="s">
        <v>1061</v>
      </c>
      <c r="AL543" s="19" t="s">
        <v>1</v>
      </c>
      <c r="AM543" s="19" t="s">
        <v>1</v>
      </c>
    </row>
    <row r="544" spans="2:39" ht="15" x14ac:dyDescent="0.2">
      <c r="B544" s="18">
        <v>271</v>
      </c>
      <c r="C544" s="16">
        <v>20200421</v>
      </c>
      <c r="D544" s="23" t="s">
        <v>476</v>
      </c>
      <c r="E544" s="16" t="s">
        <v>148</v>
      </c>
      <c r="F544" s="52" t="s">
        <v>486</v>
      </c>
      <c r="G544" s="16">
        <v>1416606</v>
      </c>
      <c r="H544" s="16"/>
      <c r="I544" s="59" t="s">
        <v>378</v>
      </c>
      <c r="J544" s="59"/>
      <c r="K544" s="10" t="s">
        <v>478</v>
      </c>
      <c r="L544" s="105" t="s">
        <v>1134</v>
      </c>
      <c r="M544" s="105"/>
      <c r="N544" s="105"/>
      <c r="O544" s="105"/>
      <c r="P544" s="19" t="s">
        <v>518</v>
      </c>
      <c r="Q544" s="16" t="s">
        <v>1294</v>
      </c>
      <c r="R544" s="16"/>
      <c r="S544" s="10" t="s">
        <v>261</v>
      </c>
      <c r="T544" s="10"/>
      <c r="U544" s="10"/>
      <c r="V544" s="33">
        <v>205</v>
      </c>
      <c r="W544" s="16">
        <v>205</v>
      </c>
      <c r="X544" s="10">
        <v>205</v>
      </c>
      <c r="Y544" s="10">
        <v>3.64</v>
      </c>
      <c r="Z544" s="10">
        <v>2</v>
      </c>
      <c r="AA544" s="10" t="s">
        <v>481</v>
      </c>
      <c r="AB544" s="10"/>
      <c r="AC544" s="22">
        <v>43942</v>
      </c>
      <c r="AD544" s="22">
        <v>43945</v>
      </c>
      <c r="AE544" s="22">
        <v>43943</v>
      </c>
      <c r="AF544" s="22">
        <v>43943</v>
      </c>
      <c r="AG544" s="106" t="s">
        <v>482</v>
      </c>
      <c r="AH544" s="27">
        <v>100</v>
      </c>
      <c r="AI544" s="27">
        <v>100</v>
      </c>
      <c r="AJ544" s="27">
        <v>100</v>
      </c>
      <c r="AK544" s="27" t="s">
        <v>1061</v>
      </c>
      <c r="AL544" s="19" t="s">
        <v>1</v>
      </c>
      <c r="AM544" s="19" t="s">
        <v>1</v>
      </c>
    </row>
    <row r="545" spans="2:39" ht="15" x14ac:dyDescent="0.2">
      <c r="B545" s="18">
        <v>272</v>
      </c>
      <c r="C545" s="16">
        <v>20200421</v>
      </c>
      <c r="D545" s="23" t="s">
        <v>476</v>
      </c>
      <c r="E545" s="16" t="s">
        <v>148</v>
      </c>
      <c r="F545" s="52" t="s">
        <v>486</v>
      </c>
      <c r="G545" s="16">
        <v>1416606</v>
      </c>
      <c r="H545" s="16"/>
      <c r="I545" s="59" t="s">
        <v>259</v>
      </c>
      <c r="J545" s="59"/>
      <c r="K545" s="10" t="s">
        <v>478</v>
      </c>
      <c r="L545" s="105" t="s">
        <v>1135</v>
      </c>
      <c r="M545" s="105"/>
      <c r="N545" s="105"/>
      <c r="O545" s="105"/>
      <c r="P545" s="19" t="s">
        <v>518</v>
      </c>
      <c r="Q545" s="16" t="s">
        <v>1295</v>
      </c>
      <c r="R545" s="16"/>
      <c r="S545" s="10" t="s">
        <v>261</v>
      </c>
      <c r="T545" s="10"/>
      <c r="U545" s="10"/>
      <c r="V545" s="33">
        <v>276</v>
      </c>
      <c r="W545" s="16">
        <v>276</v>
      </c>
      <c r="X545" s="10">
        <v>276</v>
      </c>
      <c r="Y545" s="10">
        <v>4.9000000000000004</v>
      </c>
      <c r="Z545" s="10">
        <v>2</v>
      </c>
      <c r="AA545" s="10" t="s">
        <v>481</v>
      </c>
      <c r="AB545" s="10"/>
      <c r="AC545" s="22">
        <v>43942</v>
      </c>
      <c r="AD545" s="22">
        <v>43945</v>
      </c>
      <c r="AE545" s="22">
        <v>43943</v>
      </c>
      <c r="AF545" s="22">
        <v>43943</v>
      </c>
      <c r="AG545" s="106" t="s">
        <v>482</v>
      </c>
      <c r="AH545" s="27">
        <v>100</v>
      </c>
      <c r="AI545" s="27">
        <v>100</v>
      </c>
      <c r="AJ545" s="27">
        <v>100</v>
      </c>
      <c r="AK545" s="27" t="s">
        <v>1061</v>
      </c>
      <c r="AL545" s="19" t="s">
        <v>1</v>
      </c>
      <c r="AM545" s="19" t="s">
        <v>1</v>
      </c>
    </row>
    <row r="546" spans="2:39" ht="15" x14ac:dyDescent="0.2">
      <c r="B546" s="18">
        <v>273</v>
      </c>
      <c r="C546" s="16">
        <v>20200421</v>
      </c>
      <c r="D546" s="23" t="s">
        <v>476</v>
      </c>
      <c r="E546" s="16" t="s">
        <v>148</v>
      </c>
      <c r="F546" s="52" t="s">
        <v>486</v>
      </c>
      <c r="G546" s="16">
        <v>1416606</v>
      </c>
      <c r="H546" s="16"/>
      <c r="I546" s="59" t="s">
        <v>379</v>
      </c>
      <c r="J546" s="59"/>
      <c r="K546" s="10" t="s">
        <v>478</v>
      </c>
      <c r="L546" s="105" t="s">
        <v>1136</v>
      </c>
      <c r="M546" s="105"/>
      <c r="N546" s="105"/>
      <c r="O546" s="105"/>
      <c r="P546" s="19" t="s">
        <v>518</v>
      </c>
      <c r="Q546" s="16" t="s">
        <v>1296</v>
      </c>
      <c r="R546" s="16"/>
      <c r="S546" s="10" t="s">
        <v>260</v>
      </c>
      <c r="T546" s="10"/>
      <c r="U546" s="10"/>
      <c r="V546" s="33">
        <v>15</v>
      </c>
      <c r="W546" s="16">
        <v>15</v>
      </c>
      <c r="X546" s="10">
        <v>15</v>
      </c>
      <c r="Y546" s="10">
        <v>0.26</v>
      </c>
      <c r="Z546" s="10">
        <v>0.3</v>
      </c>
      <c r="AA546" s="10" t="s">
        <v>481</v>
      </c>
      <c r="AB546" s="10"/>
      <c r="AC546" s="22">
        <v>43942</v>
      </c>
      <c r="AD546" s="22">
        <v>43945</v>
      </c>
      <c r="AE546" s="22">
        <v>43942</v>
      </c>
      <c r="AF546" s="22">
        <v>43942</v>
      </c>
      <c r="AG546" s="106" t="s">
        <v>482</v>
      </c>
      <c r="AH546" s="10">
        <v>100</v>
      </c>
      <c r="AI546" s="10">
        <v>100</v>
      </c>
      <c r="AJ546" s="10">
        <v>100</v>
      </c>
      <c r="AK546" s="10" t="s">
        <v>1061</v>
      </c>
      <c r="AL546" s="19" t="s">
        <v>1</v>
      </c>
      <c r="AM546" s="19" t="s">
        <v>1</v>
      </c>
    </row>
    <row r="547" spans="2:39" ht="15" x14ac:dyDescent="0.2">
      <c r="B547" s="18">
        <v>274</v>
      </c>
      <c r="C547" s="16">
        <v>20200421</v>
      </c>
      <c r="D547" s="23" t="s">
        <v>476</v>
      </c>
      <c r="E547" s="16" t="s">
        <v>148</v>
      </c>
      <c r="F547" s="52" t="s">
        <v>487</v>
      </c>
      <c r="G547" s="16">
        <v>1416606</v>
      </c>
      <c r="H547" s="16"/>
      <c r="I547" s="59" t="s">
        <v>63</v>
      </c>
      <c r="J547" s="59"/>
      <c r="K547" s="10" t="s">
        <v>478</v>
      </c>
      <c r="L547" s="105" t="s">
        <v>1137</v>
      </c>
      <c r="M547" s="105"/>
      <c r="N547" s="105"/>
      <c r="O547" s="105"/>
      <c r="P547" s="19" t="s">
        <v>518</v>
      </c>
      <c r="Q547" s="16" t="s">
        <v>1297</v>
      </c>
      <c r="R547" s="16"/>
      <c r="S547" s="10" t="s">
        <v>219</v>
      </c>
      <c r="T547" s="10"/>
      <c r="U547" s="10"/>
      <c r="V547" s="10">
        <v>106</v>
      </c>
      <c r="W547" s="33">
        <v>106</v>
      </c>
      <c r="X547" s="10">
        <v>106</v>
      </c>
      <c r="Y547" s="10">
        <v>1.88</v>
      </c>
      <c r="Z547" s="10">
        <v>1</v>
      </c>
      <c r="AA547" s="10" t="s">
        <v>481</v>
      </c>
      <c r="AB547" s="10"/>
      <c r="AC547" s="22">
        <v>43942</v>
      </c>
      <c r="AD547" s="22">
        <v>43945</v>
      </c>
      <c r="AE547" s="22">
        <v>43944</v>
      </c>
      <c r="AF547" s="22">
        <v>43944</v>
      </c>
      <c r="AG547" s="106" t="s">
        <v>482</v>
      </c>
      <c r="AH547" s="27">
        <v>100</v>
      </c>
      <c r="AI547" s="27">
        <v>100</v>
      </c>
      <c r="AJ547" s="27">
        <v>100</v>
      </c>
      <c r="AK547" s="27" t="s">
        <v>1061</v>
      </c>
      <c r="AL547" s="19" t="s">
        <v>1</v>
      </c>
      <c r="AM547" s="19" t="s">
        <v>1</v>
      </c>
    </row>
    <row r="548" spans="2:39" ht="15" x14ac:dyDescent="0.2">
      <c r="B548" s="18">
        <v>275</v>
      </c>
      <c r="C548" s="16">
        <v>20200421</v>
      </c>
      <c r="D548" s="23" t="s">
        <v>476</v>
      </c>
      <c r="E548" s="16" t="s">
        <v>148</v>
      </c>
      <c r="F548" s="52" t="s">
        <v>486</v>
      </c>
      <c r="G548" s="16">
        <v>1416606</v>
      </c>
      <c r="H548" s="16"/>
      <c r="I548" s="59" t="s">
        <v>67</v>
      </c>
      <c r="J548" s="59"/>
      <c r="K548" s="10" t="s">
        <v>478</v>
      </c>
      <c r="L548" s="105" t="s">
        <v>1138</v>
      </c>
      <c r="M548" s="105"/>
      <c r="N548" s="105"/>
      <c r="O548" s="105"/>
      <c r="P548" s="19" t="s">
        <v>518</v>
      </c>
      <c r="Q548" s="16" t="s">
        <v>1298</v>
      </c>
      <c r="R548" s="16"/>
      <c r="S548" s="10" t="s">
        <v>219</v>
      </c>
      <c r="T548" s="10"/>
      <c r="U548" s="10"/>
      <c r="V548" s="10">
        <v>53</v>
      </c>
      <c r="W548" s="33">
        <v>53</v>
      </c>
      <c r="X548" s="10">
        <v>53</v>
      </c>
      <c r="Y548" s="10">
        <v>0.94</v>
      </c>
      <c r="Z548" s="10">
        <v>1</v>
      </c>
      <c r="AA548" s="10" t="s">
        <v>481</v>
      </c>
      <c r="AB548" s="10"/>
      <c r="AC548" s="22">
        <v>43942</v>
      </c>
      <c r="AD548" s="22">
        <v>43945</v>
      </c>
      <c r="AE548" s="22">
        <v>43944</v>
      </c>
      <c r="AF548" s="22">
        <v>43944</v>
      </c>
      <c r="AG548" s="106" t="s">
        <v>482</v>
      </c>
      <c r="AH548" s="27">
        <v>100</v>
      </c>
      <c r="AI548" s="27">
        <v>100</v>
      </c>
      <c r="AJ548" s="27">
        <v>100</v>
      </c>
      <c r="AK548" s="27" t="s">
        <v>1061</v>
      </c>
      <c r="AL548" s="19" t="s">
        <v>1</v>
      </c>
      <c r="AM548" s="19" t="s">
        <v>1</v>
      </c>
    </row>
    <row r="549" spans="2:39" ht="15" x14ac:dyDescent="0.2">
      <c r="B549" s="35">
        <v>276</v>
      </c>
      <c r="C549" s="16">
        <v>20200424</v>
      </c>
      <c r="D549" s="23" t="s">
        <v>797</v>
      </c>
      <c r="E549" s="16" t="s">
        <v>380</v>
      </c>
      <c r="F549" s="52" t="s">
        <v>1</v>
      </c>
      <c r="G549" s="16">
        <v>1434762</v>
      </c>
      <c r="H549" s="16"/>
      <c r="I549" s="16" t="s">
        <v>381</v>
      </c>
      <c r="J549" s="16"/>
      <c r="K549" s="19" t="s">
        <v>1</v>
      </c>
      <c r="L549" s="19" t="s">
        <v>1</v>
      </c>
      <c r="M549" s="19"/>
      <c r="N549" s="19"/>
      <c r="O549" s="19"/>
      <c r="P549" s="19" t="s">
        <v>1299</v>
      </c>
      <c r="Q549" s="16" t="s">
        <v>1300</v>
      </c>
      <c r="R549" s="16"/>
      <c r="S549" s="10" t="s">
        <v>261</v>
      </c>
      <c r="T549" s="10"/>
      <c r="U549" s="10"/>
      <c r="V549" s="10">
        <v>121</v>
      </c>
      <c r="W549" s="33">
        <v>121</v>
      </c>
      <c r="X549" s="10">
        <v>121</v>
      </c>
      <c r="Y549" s="10">
        <v>7.44</v>
      </c>
      <c r="Z549" s="10">
        <v>7</v>
      </c>
      <c r="AA549" s="10" t="s">
        <v>750</v>
      </c>
      <c r="AB549" s="10"/>
      <c r="AC549" s="22">
        <v>43945</v>
      </c>
      <c r="AD549" s="22">
        <v>43949</v>
      </c>
      <c r="AE549" s="22">
        <v>43948</v>
      </c>
      <c r="AF549" s="22">
        <v>43948</v>
      </c>
      <c r="AG549" s="106" t="s">
        <v>482</v>
      </c>
      <c r="AH549" s="27">
        <v>100</v>
      </c>
      <c r="AI549" s="27">
        <v>100</v>
      </c>
      <c r="AJ549" s="27">
        <v>100</v>
      </c>
      <c r="AK549" s="27" t="s">
        <v>1061</v>
      </c>
      <c r="AL549" s="19" t="s">
        <v>1</v>
      </c>
      <c r="AM549" s="19" t="s">
        <v>1</v>
      </c>
    </row>
    <row r="550" spans="2:39" ht="15" x14ac:dyDescent="0.2">
      <c r="B550" s="35">
        <v>277</v>
      </c>
      <c r="C550" s="16">
        <v>20200424</v>
      </c>
      <c r="D550" s="23" t="s">
        <v>797</v>
      </c>
      <c r="E550" s="16" t="s">
        <v>156</v>
      </c>
      <c r="F550" s="52" t="s">
        <v>1</v>
      </c>
      <c r="G550" s="16">
        <v>1434832</v>
      </c>
      <c r="H550" s="16"/>
      <c r="I550" s="59" t="s">
        <v>382</v>
      </c>
      <c r="J550" s="59"/>
      <c r="K550" s="19" t="s">
        <v>1</v>
      </c>
      <c r="L550" s="19" t="s">
        <v>1</v>
      </c>
      <c r="M550" s="19"/>
      <c r="N550" s="19"/>
      <c r="O550" s="19"/>
      <c r="P550" s="19" t="s">
        <v>1301</v>
      </c>
      <c r="Q550" s="16" t="s">
        <v>1302</v>
      </c>
      <c r="R550" s="16"/>
      <c r="S550" s="10" t="s">
        <v>260</v>
      </c>
      <c r="T550" s="10"/>
      <c r="U550" s="10"/>
      <c r="V550" s="10">
        <v>59</v>
      </c>
      <c r="W550" s="130">
        <v>60</v>
      </c>
      <c r="X550" s="10">
        <v>60</v>
      </c>
      <c r="Y550" s="10">
        <v>3.69</v>
      </c>
      <c r="Z550" s="10">
        <v>3</v>
      </c>
      <c r="AA550" s="10" t="s">
        <v>750</v>
      </c>
      <c r="AB550" s="10"/>
      <c r="AC550" s="22">
        <v>43945</v>
      </c>
      <c r="AD550" s="22">
        <v>43949</v>
      </c>
      <c r="AE550" s="22">
        <v>43948</v>
      </c>
      <c r="AF550" s="22">
        <v>43948</v>
      </c>
      <c r="AG550" s="106" t="s">
        <v>482</v>
      </c>
      <c r="AH550" s="27">
        <v>100</v>
      </c>
      <c r="AI550" s="27">
        <v>100</v>
      </c>
      <c r="AJ550" s="27">
        <v>100</v>
      </c>
      <c r="AK550" s="27" t="s">
        <v>1061</v>
      </c>
      <c r="AL550" s="19" t="s">
        <v>1</v>
      </c>
      <c r="AM550" s="19" t="s">
        <v>1</v>
      </c>
    </row>
    <row r="551" spans="2:39" ht="15" x14ac:dyDescent="0.2">
      <c r="B551" s="35">
        <v>278</v>
      </c>
      <c r="C551" s="16">
        <v>20200424</v>
      </c>
      <c r="D551" s="23" t="s">
        <v>797</v>
      </c>
      <c r="E551" s="16" t="s">
        <v>383</v>
      </c>
      <c r="F551" s="52" t="s">
        <v>1</v>
      </c>
      <c r="G551" s="16">
        <v>1439139</v>
      </c>
      <c r="H551" s="16"/>
      <c r="I551" s="10" t="s">
        <v>384</v>
      </c>
      <c r="J551" s="10"/>
      <c r="K551" s="19" t="s">
        <v>1</v>
      </c>
      <c r="L551" s="19" t="s">
        <v>1</v>
      </c>
      <c r="M551" s="19"/>
      <c r="N551" s="19"/>
      <c r="O551" s="19"/>
      <c r="P551" s="19" t="s">
        <v>1303</v>
      </c>
      <c r="Q551" s="16" t="s">
        <v>1304</v>
      </c>
      <c r="R551" s="16"/>
      <c r="S551" s="10" t="s">
        <v>279</v>
      </c>
      <c r="T551" s="10"/>
      <c r="U551" s="10"/>
      <c r="V551" s="10">
        <v>70</v>
      </c>
      <c r="W551" s="33">
        <v>70</v>
      </c>
      <c r="X551" s="10">
        <v>70</v>
      </c>
      <c r="Y551" s="10">
        <v>4.3</v>
      </c>
      <c r="Z551" s="10">
        <v>4</v>
      </c>
      <c r="AA551" s="10" t="s">
        <v>750</v>
      </c>
      <c r="AB551" s="10"/>
      <c r="AC551" s="22">
        <v>43945</v>
      </c>
      <c r="AD551" s="22">
        <v>43949</v>
      </c>
      <c r="AE551" s="22">
        <v>43949</v>
      </c>
      <c r="AF551" s="22">
        <v>43949</v>
      </c>
      <c r="AG551" s="106" t="s">
        <v>482</v>
      </c>
      <c r="AH551" s="27">
        <v>100</v>
      </c>
      <c r="AI551" s="27">
        <v>100</v>
      </c>
      <c r="AJ551" s="27">
        <v>100</v>
      </c>
      <c r="AK551" s="27" t="s">
        <v>1061</v>
      </c>
      <c r="AL551" s="19" t="s">
        <v>1</v>
      </c>
      <c r="AM551" s="19" t="s">
        <v>1</v>
      </c>
    </row>
    <row r="552" spans="2:39" ht="15" x14ac:dyDescent="0.2">
      <c r="B552" s="35">
        <v>279</v>
      </c>
      <c r="C552" s="16">
        <v>20200424</v>
      </c>
      <c r="D552" s="23" t="s">
        <v>797</v>
      </c>
      <c r="E552" s="16" t="s">
        <v>385</v>
      </c>
      <c r="F552" s="52" t="s">
        <v>1</v>
      </c>
      <c r="G552" s="16">
        <v>1439139</v>
      </c>
      <c r="H552" s="16"/>
      <c r="I552" s="59" t="s">
        <v>386</v>
      </c>
      <c r="J552" s="59"/>
      <c r="K552" s="19" t="s">
        <v>1</v>
      </c>
      <c r="L552" s="19" t="s">
        <v>1</v>
      </c>
      <c r="M552" s="19"/>
      <c r="N552" s="19"/>
      <c r="O552" s="19"/>
      <c r="P552" s="19" t="s">
        <v>1303</v>
      </c>
      <c r="Q552" s="16" t="s">
        <v>1305</v>
      </c>
      <c r="R552" s="16"/>
      <c r="S552" s="10" t="s">
        <v>219</v>
      </c>
      <c r="T552" s="10"/>
      <c r="U552" s="10"/>
      <c r="V552" s="10">
        <v>110</v>
      </c>
      <c r="W552" s="33">
        <v>110</v>
      </c>
      <c r="X552" s="10">
        <v>110</v>
      </c>
      <c r="Y552" s="10">
        <v>6.76</v>
      </c>
      <c r="Z552" s="10">
        <v>4</v>
      </c>
      <c r="AA552" s="10" t="s">
        <v>750</v>
      </c>
      <c r="AB552" s="10"/>
      <c r="AC552" s="22">
        <v>43945</v>
      </c>
      <c r="AD552" s="22">
        <v>43949</v>
      </c>
      <c r="AE552" s="22">
        <v>43949</v>
      </c>
      <c r="AF552" s="22">
        <v>43949</v>
      </c>
      <c r="AG552" s="106" t="s">
        <v>482</v>
      </c>
      <c r="AH552" s="27">
        <v>100</v>
      </c>
      <c r="AI552" s="27">
        <v>100</v>
      </c>
      <c r="AJ552" s="27">
        <v>100</v>
      </c>
      <c r="AK552" s="27" t="s">
        <v>1061</v>
      </c>
      <c r="AL552" s="19" t="s">
        <v>1</v>
      </c>
      <c r="AM552" s="19" t="s">
        <v>1</v>
      </c>
    </row>
    <row r="553" spans="2:39" ht="15" x14ac:dyDescent="0.2">
      <c r="B553" s="23">
        <v>280</v>
      </c>
      <c r="C553" s="16">
        <v>20200427</v>
      </c>
      <c r="D553" s="23" t="s">
        <v>797</v>
      </c>
      <c r="E553" s="16" t="s">
        <v>156</v>
      </c>
      <c r="F553" s="52" t="s">
        <v>1</v>
      </c>
      <c r="G553" s="52">
        <v>1434955</v>
      </c>
      <c r="H553" s="52"/>
      <c r="I553" s="127" t="s">
        <v>387</v>
      </c>
      <c r="J553" s="127"/>
      <c r="K553" s="19" t="s">
        <v>1</v>
      </c>
      <c r="L553" s="19" t="s">
        <v>1</v>
      </c>
      <c r="M553" s="19"/>
      <c r="N553" s="19"/>
      <c r="O553" s="19"/>
      <c r="P553" s="19" t="s">
        <v>1275</v>
      </c>
      <c r="Q553" s="16" t="s">
        <v>1306</v>
      </c>
      <c r="R553" s="16"/>
      <c r="S553" s="10" t="s">
        <v>261</v>
      </c>
      <c r="T553" s="10"/>
      <c r="U553" s="10"/>
      <c r="V553" s="10">
        <v>99</v>
      </c>
      <c r="W553" s="16">
        <v>99</v>
      </c>
      <c r="X553" s="10">
        <v>99</v>
      </c>
      <c r="Y553" s="10">
        <v>6.09</v>
      </c>
      <c r="Z553" s="10">
        <v>6</v>
      </c>
      <c r="AA553" s="10" t="s">
        <v>750</v>
      </c>
      <c r="AB553" s="10"/>
      <c r="AC553" s="22">
        <v>43948</v>
      </c>
      <c r="AD553" s="22">
        <v>43950</v>
      </c>
      <c r="AE553" s="22">
        <v>43950</v>
      </c>
      <c r="AF553" s="22">
        <v>43950</v>
      </c>
      <c r="AG553" s="106" t="s">
        <v>489</v>
      </c>
      <c r="AH553" s="10"/>
      <c r="AI553" s="10"/>
      <c r="AJ553" s="10"/>
      <c r="AK553" s="27" t="s">
        <v>490</v>
      </c>
      <c r="AL553" s="19" t="s">
        <v>1</v>
      </c>
      <c r="AM553" s="19" t="s">
        <v>1</v>
      </c>
    </row>
    <row r="554" spans="2:39" ht="15" x14ac:dyDescent="0.2">
      <c r="B554" s="23">
        <v>281</v>
      </c>
      <c r="C554" s="16">
        <v>20200427</v>
      </c>
      <c r="D554" s="23" t="s">
        <v>797</v>
      </c>
      <c r="E554" s="16" t="s">
        <v>156</v>
      </c>
      <c r="F554" s="52" t="s">
        <v>1</v>
      </c>
      <c r="G554" s="52">
        <v>1434955</v>
      </c>
      <c r="H554" s="52"/>
      <c r="I554" s="127" t="s">
        <v>388</v>
      </c>
      <c r="J554" s="127"/>
      <c r="K554" s="19" t="s">
        <v>1</v>
      </c>
      <c r="L554" s="19" t="s">
        <v>1</v>
      </c>
      <c r="M554" s="19"/>
      <c r="N554" s="19"/>
      <c r="O554" s="19"/>
      <c r="P554" s="19" t="s">
        <v>1275</v>
      </c>
      <c r="Q554" s="16" t="s">
        <v>1307</v>
      </c>
      <c r="R554" s="16"/>
      <c r="S554" s="10" t="s">
        <v>261</v>
      </c>
      <c r="T554" s="10"/>
      <c r="U554" s="10"/>
      <c r="V554" s="10">
        <v>70</v>
      </c>
      <c r="W554" s="16">
        <v>70</v>
      </c>
      <c r="X554" s="10">
        <v>70</v>
      </c>
      <c r="Y554" s="10">
        <v>4.3</v>
      </c>
      <c r="Z554" s="10">
        <v>4</v>
      </c>
      <c r="AA554" s="10" t="s">
        <v>750</v>
      </c>
      <c r="AB554" s="10"/>
      <c r="AC554" s="22">
        <v>43948</v>
      </c>
      <c r="AD554" s="22">
        <v>43950</v>
      </c>
      <c r="AE554" s="22">
        <v>43950</v>
      </c>
      <c r="AF554" s="22">
        <v>43950</v>
      </c>
      <c r="AG554" s="106" t="s">
        <v>482</v>
      </c>
      <c r="AH554" s="27">
        <v>100</v>
      </c>
      <c r="AI554" s="27">
        <v>100</v>
      </c>
      <c r="AJ554" s="27">
        <v>100</v>
      </c>
      <c r="AK554" s="27" t="s">
        <v>1061</v>
      </c>
      <c r="AL554" s="19" t="s">
        <v>1</v>
      </c>
      <c r="AM554" s="19" t="s">
        <v>1</v>
      </c>
    </row>
  </sheetData>
  <conditionalFormatting sqref="AG3 AG7:AG56 AG58:AG156 AG158:AG227">
    <cfRule type="cellIs" dxfId="70" priority="44" operator="equal">
      <formula>"OK"</formula>
    </cfRule>
    <cfRule type="cellIs" dxfId="69" priority="45" operator="equal">
      <formula>"NG"</formula>
    </cfRule>
  </conditionalFormatting>
  <conditionalFormatting sqref="AG4">
    <cfRule type="cellIs" dxfId="68" priority="41" operator="equal">
      <formula>"OK"</formula>
    </cfRule>
    <cfRule type="cellIs" dxfId="67" priority="42" operator="equal">
      <formula>"NG"</formula>
    </cfRule>
  </conditionalFormatting>
  <conditionalFormatting sqref="AG5">
    <cfRule type="cellIs" dxfId="66" priority="38" operator="equal">
      <formula>"OK"</formula>
    </cfRule>
    <cfRule type="cellIs" dxfId="65" priority="39" operator="equal">
      <formula>"NG"</formula>
    </cfRule>
  </conditionalFormatting>
  <conditionalFormatting sqref="AG6">
    <cfRule type="cellIs" dxfId="64" priority="35" operator="equal">
      <formula>"OK"</formula>
    </cfRule>
    <cfRule type="cellIs" dxfId="63" priority="36" operator="equal">
      <formula>"NG"</formula>
    </cfRule>
  </conditionalFormatting>
  <conditionalFormatting sqref="AG57">
    <cfRule type="cellIs" dxfId="62" priority="32" operator="equal">
      <formula>"OK"</formula>
    </cfRule>
    <cfRule type="cellIs" dxfId="61" priority="33" operator="equal">
      <formula>"NG"</formula>
    </cfRule>
  </conditionalFormatting>
  <conditionalFormatting sqref="AG244:AG245 AK244:AK245 AG247:AG374 AK247:AK374">
    <cfRule type="cellIs" dxfId="60" priority="30" operator="equal">
      <formula>"OK"</formula>
    </cfRule>
    <cfRule type="cellIs" dxfId="59" priority="31" operator="equal">
      <formula>"NG"</formula>
    </cfRule>
  </conditionalFormatting>
  <conditionalFormatting sqref="O228:P374">
    <cfRule type="cellIs" dxfId="58" priority="29" operator="equal">
      <formula>"PUT_VERSION"</formula>
    </cfRule>
  </conditionalFormatting>
  <conditionalFormatting sqref="AG228">
    <cfRule type="cellIs" dxfId="57" priority="27" operator="equal">
      <formula>"OK"</formula>
    </cfRule>
    <cfRule type="cellIs" dxfId="56" priority="28" operator="equal">
      <formula>"NG"</formula>
    </cfRule>
  </conditionalFormatting>
  <conditionalFormatting sqref="AG229:AG243">
    <cfRule type="cellIs" dxfId="55" priority="25" operator="equal">
      <formula>"OK"</formula>
    </cfRule>
    <cfRule type="cellIs" dxfId="54" priority="26" operator="equal">
      <formula>"NG"</formula>
    </cfRule>
  </conditionalFormatting>
  <conditionalFormatting sqref="K228:K374">
    <cfRule type="cellIs" dxfId="53" priority="21" operator="equal">
      <formula>"Manual"</formula>
    </cfRule>
    <cfRule type="cellIs" dxfId="52" priority="22" operator="equal">
      <formula>"Auto"</formula>
    </cfRule>
  </conditionalFormatting>
  <conditionalFormatting sqref="D228:D374">
    <cfRule type="cellIs" dxfId="51" priority="19" operator="equal">
      <formula>"ASW"</formula>
    </cfRule>
    <cfRule type="cellIs" dxfId="50" priority="20" operator="equal">
      <formula>"PSW"</formula>
    </cfRule>
  </conditionalFormatting>
  <conditionalFormatting sqref="D375:D554">
    <cfRule type="cellIs" dxfId="49" priority="17" operator="equal">
      <formula>"PSW"</formula>
    </cfRule>
    <cfRule type="cellIs" dxfId="48" priority="18" operator="equal">
      <formula>"ASW"</formula>
    </cfRule>
  </conditionalFormatting>
  <conditionalFormatting sqref="K375:K554">
    <cfRule type="cellIs" dxfId="47" priority="15" operator="equal">
      <formula>"Manual"</formula>
    </cfRule>
    <cfRule type="cellIs" dxfId="46" priority="16" operator="equal">
      <formula>"Auto"</formula>
    </cfRule>
  </conditionalFormatting>
  <conditionalFormatting sqref="AG385:AG396 AG398:AG554 AG375:AG383">
    <cfRule type="cellIs" dxfId="45" priority="13" operator="equal">
      <formula>"OK"</formula>
    </cfRule>
    <cfRule type="cellIs" dxfId="44" priority="14" operator="equal">
      <formula>"NG"</formula>
    </cfRule>
  </conditionalFormatting>
  <conditionalFormatting sqref="AG397">
    <cfRule type="cellIs" dxfId="43" priority="9" operator="equal">
      <formula>"OK"</formula>
    </cfRule>
    <cfRule type="cellIs" dxfId="42" priority="10" operator="equal">
      <formula>"NG"</formula>
    </cfRule>
  </conditionalFormatting>
  <conditionalFormatting sqref="AG384">
    <cfRule type="cellIs" dxfId="41" priority="5" operator="equal">
      <formula>"OK"</formula>
    </cfRule>
    <cfRule type="cellIs" dxfId="40" priority="6" operator="equal">
      <formula>"NG"</formula>
    </cfRule>
  </conditionalFormatting>
  <dataValidations disablePrompts="1" count="3">
    <dataValidation type="list" allowBlank="1" showInputMessage="1" showErrorMessage="1" sqref="K3:K227">
      <formula1>"Auto,Manual"</formula1>
    </dataValidation>
    <dataValidation type="list" allowBlank="1" showInputMessage="1" showErrorMessage="1" sqref="U349:U374 U228:U347">
      <formula1>"Yes,No"</formula1>
    </dataValidation>
    <dataValidation type="list" allowBlank="1" showInputMessage="1" showErrorMessage="1" sqref="AG3:AG156 AG158:AG227 AK264 AK249:AK251 AK261:AK262 AG244:AG245 AG247:AG374 AG375:AG554">
      <formula1>"OK,NG"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" id="{D801FE63-62A8-4501-AE41-365125B773A7}">
            <xm:f>OR(AK3='\\hc-ut40346c\nhi5hc\hieunguyen\0000_Project\001_Prj\02_JOEM\[Summary_JOEM_20200401.xlsm]Table'!#REF!,AK3='\\hc-ut40346c\nhi5hc\hieunguyen\0000_Project\001_Prj\02_JOEM\[Summary_JOEM_20200401.xlsm]Table'!#REF!)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AK3 AK7:AK156 AK158:AK227</xm:sqref>
        </x14:conditionalFormatting>
        <x14:conditionalFormatting xmlns:xm="http://schemas.microsoft.com/office/excel/2006/main">
          <x14:cfRule type="expression" priority="40" id="{C8EDBD53-CBDB-43F0-A9BD-D1FE0F664757}">
            <xm:f>OR(AK4='\\hc-ut40346c\nhi5hc\hieunguyen\0000_Project\001_Prj\02_JOEM\[Summary_JOEM_20200401.xlsm]Table'!#REF!,AK4='\\hc-ut40346c\nhi5hc\hieunguyen\0000_Project\001_Prj\02_JOEM\[Summary_JOEM_20200401.xlsm]Table'!#REF!)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AK4</xm:sqref>
        </x14:conditionalFormatting>
        <x14:conditionalFormatting xmlns:xm="http://schemas.microsoft.com/office/excel/2006/main">
          <x14:cfRule type="expression" priority="37" id="{ECE8963A-97EE-4779-AADC-5C06FCE4077A}">
            <xm:f>OR(AK5='\\hc-ut40346c\nhi5hc\hieunguyen\0000_Project\001_Prj\02_JOEM\[Summary_JOEM_20200401.xlsm]Table'!#REF!,AK5='\\hc-ut40346c\nhi5hc\hieunguyen\0000_Project\001_Prj\02_JOEM\[Summary_JOEM_20200401.xlsm]Table'!#REF!)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AK5</xm:sqref>
        </x14:conditionalFormatting>
        <x14:conditionalFormatting xmlns:xm="http://schemas.microsoft.com/office/excel/2006/main">
          <x14:cfRule type="expression" priority="34" id="{BB82B250-9D63-4F7D-8530-5CDF3259A198}">
            <xm:f>OR(AK6='\\hc-ut40346c\nhi5hc\hieunguyen\0000_Project\001_Prj\02_JOEM\[Summary_JOEM_20200401.xlsm]Table'!#REF!,AK6='\\hc-ut40346c\nhi5hc\hieunguyen\0000_Project\001_Prj\02_JOEM\[Summary_JOEM_20200401.xlsm]Table'!#REF!)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AK6</xm:sqref>
        </x14:conditionalFormatting>
        <x14:conditionalFormatting xmlns:xm="http://schemas.microsoft.com/office/excel/2006/main">
          <x14:cfRule type="cellIs" priority="23" operator="equal" id="{795BDAFE-0468-419A-951C-71987C8BB39F}">
            <xm:f>'\\hc-ut40346c\nhi5hc\hieunguyen\0000_Project\001_Prj\02_JOEM\[Summary_JOEM_COEM_20200501.xlsm]Table'!#REF!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ellIs" priority="24" operator="equal" id="{259DE8C1-B557-45A4-AFB8-3CD5444C0DE4}">
            <xm:f>'\\hc-ut40346c\nhi5hc\hieunguyen\0000_Project\001_Prj\02_JOEM\[Summary_JOEM_COEM_20200501.xlsm]Table'!#REF!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AK228:AK245 AK247:AK374</xm:sqref>
        </x14:conditionalFormatting>
        <x14:conditionalFormatting xmlns:xm="http://schemas.microsoft.com/office/excel/2006/main">
          <x14:cfRule type="cellIs" priority="11" operator="equal" id="{B2B7D1CD-F0B3-4105-9794-1568A5596562}">
            <xm:f>'\\hc-ut40346c\nhi5hc\hieunguyen\0000_Project\001_Prj\01_COEM\[Summary_COEM_20200401.xlsx]Table'!#REF!</xm:f>
            <x14:dxf>
              <fill>
                <patternFill>
                  <bgColor rgb="FFFF0000"/>
                </patternFill>
              </fill>
            </x14:dxf>
          </x14:cfRule>
          <x14:cfRule type="cellIs" priority="12" operator="equal" id="{E14CED10-B328-49EB-8A05-6914E4C4D593}">
            <xm:f>'\\hc-ut40346c\nhi5hc\hieunguyen\0000_Project\001_Prj\01_COEM\[Summary_COEM_20200401.xlsx]Table'!#REF!</xm:f>
            <x14:dxf>
              <fill>
                <patternFill>
                  <bgColor rgb="FFFFFF00"/>
                </patternFill>
              </fill>
            </x14:dxf>
          </x14:cfRule>
          <xm:sqref>AK385:AK396 AK398:AK553 AK375:AK383</xm:sqref>
        </x14:conditionalFormatting>
        <x14:conditionalFormatting xmlns:xm="http://schemas.microsoft.com/office/excel/2006/main">
          <x14:cfRule type="cellIs" priority="7" operator="equal" id="{C86F3882-3AA2-4E0A-A550-C06A5F7B609E}">
            <xm:f>'\\hc-ut40346c\nhi5hc\hieunguyen\0000_Project\001_Prj\01_COEM\[Summary_COEM_20200401.xlsx]Table'!#REF!</xm:f>
            <x14:dxf>
              <fill>
                <patternFill>
                  <bgColor rgb="FFFF0000"/>
                </patternFill>
              </fill>
            </x14:dxf>
          </x14:cfRule>
          <x14:cfRule type="cellIs" priority="8" operator="equal" id="{D03E6275-D8DB-467F-A3BD-F3D2C0E2048A}">
            <xm:f>'\\hc-ut40346c\nhi5hc\hieunguyen\0000_Project\001_Prj\01_COEM\[Summary_COEM_20200401.xlsx]Table'!#REF!</xm:f>
            <x14:dxf>
              <fill>
                <patternFill>
                  <bgColor rgb="FFFFFF00"/>
                </patternFill>
              </fill>
            </x14:dxf>
          </x14:cfRule>
          <xm:sqref>AK397</xm:sqref>
        </x14:conditionalFormatting>
        <x14:conditionalFormatting xmlns:xm="http://schemas.microsoft.com/office/excel/2006/main">
          <x14:cfRule type="cellIs" priority="3" operator="equal" id="{1A1C297D-3527-47EF-B8A7-E30C10FE2B36}">
            <xm:f>'\\hc-ut40346c\nhi5hc\hieunguyen\0000_Project\001_Prj\01_COEM\[Summary_COEM_20200401.xlsx]Table'!#REF!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A88852D6-33E6-48AE-A255-535C329F3528}">
            <xm:f>'\\hc-ut40346c\nhi5hc\hieunguyen\0000_Project\001_Prj\01_COEM\[Summary_COEM_20200401.xlsx]Table'!#REF!</xm:f>
            <x14:dxf>
              <fill>
                <patternFill>
                  <bgColor rgb="FFFFFF00"/>
                </patternFill>
              </fill>
            </x14:dxf>
          </x14:cfRule>
          <xm:sqref>AK384</xm:sqref>
        </x14:conditionalFormatting>
        <x14:conditionalFormatting xmlns:xm="http://schemas.microsoft.com/office/excel/2006/main">
          <x14:cfRule type="cellIs" priority="1" operator="equal" id="{9A312C7B-4409-42FA-9149-49F52E1F1D6B}">
            <xm:f>'\\hc-ut40346c\nhi5hc\hieunguyen\0000_Project\001_Prj\01_COEM\[Summary_COEM_20200401.xlsx]Table'!#REF!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93DE7703-6F5B-4733-94D8-981E730EC240}">
            <xm:f>'\\hc-ut40346c\nhi5hc\hieunguyen\0000_Project\001_Prj\01_COEM\[Summary_COEM_20200401.xlsx]Table'!#REF!</xm:f>
            <x14:dxf>
              <fill>
                <patternFill>
                  <bgColor rgb="FFFFFF00"/>
                </patternFill>
              </fill>
            </x14:dxf>
          </x14:cfRule>
          <xm:sqref>AK554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5">
        <x14:dataValidation type="list" allowBlank="1" showInputMessage="1" showErrorMessage="1">
          <x14:formula1>
            <xm:f>'\\hc-ut40346c\nhi5hc\hieunguyen\0000_Project\001_Prj\02_JOEM\[Summary_JOEM_20200401.xlsm]Table'!#REF!</xm:f>
          </x14:formula1>
          <xm:sqref>D3:D227</xm:sqref>
        </x14:dataValidation>
        <x14:dataValidation type="list" allowBlank="1" showInputMessage="1" showErrorMessage="1">
          <x14:formula1>
            <xm:f>'\\hc-ut40346c\nhi5hc\hieunguyen\0000_Project\001_Prj\02_JOEM\[Summary_JOEM_20200401.xlsm]Table'!#REF!</xm:f>
          </x14:formula1>
          <xm:sqref>AK3:AK156 AK158:AK227</xm:sqref>
        </x14:dataValidation>
        <x14:dataValidation type="list" allowBlank="1" showInputMessage="1" showErrorMessage="1">
          <x14:formula1>
            <xm:f>'\\hc-ut40346c\nhi5hc\hieunguyen\0000_Project\001_Prj\02_JOEM\[Summary_JOEM_20200401.xlsm]Table'!#REF!</xm:f>
          </x14:formula1>
          <xm:sqref>AA3:AA77 AA79:AA156 AA158:AA227</xm:sqref>
        </x14:dataValidation>
        <x14:dataValidation type="list" allowBlank="1" showInputMessage="1" showErrorMessage="1">
          <x14:formula1>
            <xm:f>'\\hc-ut40346c\nhi5hc\hieunguyen\0000_Project\001_Prj\02_JOEM\[Summary_JOEM_20200401.xlsm]Table'!#REF!</xm:f>
          </x14:formula1>
          <xm:sqref>S3:S227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K228:K374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D228:D374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S228:T374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AG228:AG243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AK252:AK260 AK263 AK247:AK248 AK228:AK245 AK265:AK374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AA228:AA245 AA247:AA374</xm:sqref>
        </x14:dataValidation>
        <x14:dataValidation type="list" allowBlank="1" showInputMessage="1" showErrorMessage="1">
          <x14:formula1>
            <xm:f>[Summary_COEM_20200401.xlsx]Table!#REF!</xm:f>
          </x14:formula1>
          <xm:sqref>AA375:AB554</xm:sqref>
        </x14:dataValidation>
        <x14:dataValidation type="list" allowBlank="1" showInputMessage="1" showErrorMessage="1">
          <x14:formula1>
            <xm:f>[Summary_COEM_20200401.xlsx]Table!#REF!</xm:f>
          </x14:formula1>
          <xm:sqref>AK375:AK554</xm:sqref>
        </x14:dataValidation>
        <x14:dataValidation type="list" allowBlank="1" showInputMessage="1" showErrorMessage="1">
          <x14:formula1>
            <xm:f>[Summary_COEM_20200401.xlsx]Table!#REF!</xm:f>
          </x14:formula1>
          <xm:sqref>S375:U554</xm:sqref>
        </x14:dataValidation>
        <x14:dataValidation type="list" allowBlank="1" showInputMessage="1" showErrorMessage="1">
          <x14:formula1>
            <xm:f>[Summary_COEM_20200401.xlsx]Table!#REF!</xm:f>
          </x14:formula1>
          <xm:sqref>K375:K554</xm:sqref>
        </x14:dataValidation>
        <x14:dataValidation type="list" allowBlank="1" showInputMessage="1" showErrorMessage="1">
          <x14:formula1>
            <xm:f>[Summary_COEM_20200401.xlsx]Table!#REF!</xm:f>
          </x14:formula1>
          <xm:sqref>D375:D554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B2:O554"/>
  <sheetViews>
    <sheetView tabSelected="1" workbookViewId="0">
      <selection activeCell="E2" sqref="E2"/>
    </sheetView>
  </sheetViews>
  <sheetFormatPr defaultRowHeight="12.75" x14ac:dyDescent="0.2"/>
  <cols>
    <col min="2" max="4" width="9.28515625" customWidth="1"/>
    <col min="5" max="5" width="62.85546875" bestFit="1" customWidth="1"/>
    <col min="6" max="6" width="62.85546875" customWidth="1"/>
    <col min="7" max="7" width="19" bestFit="1" customWidth="1"/>
    <col min="8" max="8" width="22.7109375" bestFit="1" customWidth="1"/>
    <col min="9" max="9" width="20.42578125" bestFit="1" customWidth="1"/>
    <col min="10" max="10" width="17.28515625" bestFit="1" customWidth="1"/>
    <col min="11" max="11" width="12.85546875" bestFit="1" customWidth="1"/>
    <col min="12" max="12" width="12" bestFit="1" customWidth="1"/>
    <col min="13" max="14" width="11.7109375" bestFit="1" customWidth="1"/>
    <col min="15" max="15" width="9.28515625" customWidth="1"/>
  </cols>
  <sheetData>
    <row r="2" spans="2:15" ht="15" x14ac:dyDescent="0.2">
      <c r="B2" s="2" t="s">
        <v>454</v>
      </c>
      <c r="C2" s="2" t="s">
        <v>455</v>
      </c>
      <c r="D2" s="2" t="s">
        <v>456</v>
      </c>
      <c r="E2" s="2" t="s">
        <v>239</v>
      </c>
      <c r="F2" s="2" t="s">
        <v>1335</v>
      </c>
      <c r="G2" s="3" t="s">
        <v>248</v>
      </c>
      <c r="H2" s="3" t="s">
        <v>252</v>
      </c>
      <c r="I2" s="3" t="s">
        <v>254</v>
      </c>
      <c r="J2" s="3" t="s">
        <v>462</v>
      </c>
      <c r="K2" s="3" t="s">
        <v>464</v>
      </c>
      <c r="L2" s="3" t="s">
        <v>465</v>
      </c>
      <c r="M2" s="2" t="s">
        <v>466</v>
      </c>
      <c r="N2" s="2" t="s">
        <v>467</v>
      </c>
      <c r="O2" s="2" t="s">
        <v>468</v>
      </c>
    </row>
    <row r="3" spans="2:15" ht="15" x14ac:dyDescent="0.2">
      <c r="B3" s="18">
        <v>70</v>
      </c>
      <c r="C3" s="16">
        <v>20200414</v>
      </c>
      <c r="D3" s="10" t="s">
        <v>476</v>
      </c>
      <c r="E3" s="10" t="s">
        <v>0</v>
      </c>
      <c r="F3" s="10" t="s">
        <v>0</v>
      </c>
      <c r="G3" s="10" t="s">
        <v>4</v>
      </c>
      <c r="H3" s="10">
        <v>62</v>
      </c>
      <c r="I3" s="10">
        <v>1.1000000000000001</v>
      </c>
      <c r="J3" s="10" t="s">
        <v>481</v>
      </c>
      <c r="K3" s="22">
        <v>43935</v>
      </c>
      <c r="L3" s="22">
        <v>43938</v>
      </c>
      <c r="M3" s="22">
        <v>43935</v>
      </c>
      <c r="N3" s="22">
        <v>43935</v>
      </c>
      <c r="O3" s="23" t="s">
        <v>482</v>
      </c>
    </row>
    <row r="4" spans="2:15" ht="15" x14ac:dyDescent="0.2">
      <c r="B4" s="18">
        <v>71</v>
      </c>
      <c r="C4" s="16">
        <v>20200414</v>
      </c>
      <c r="D4" s="10" t="s">
        <v>476</v>
      </c>
      <c r="E4" s="10" t="s">
        <v>0</v>
      </c>
      <c r="F4" s="10" t="s">
        <v>0</v>
      </c>
      <c r="G4" s="10" t="s">
        <v>4</v>
      </c>
      <c r="H4" s="10">
        <v>22</v>
      </c>
      <c r="I4" s="10">
        <v>0.39</v>
      </c>
      <c r="J4" s="10" t="s">
        <v>481</v>
      </c>
      <c r="K4" s="22">
        <v>43935</v>
      </c>
      <c r="L4" s="22">
        <v>43938</v>
      </c>
      <c r="M4" s="22">
        <v>43936</v>
      </c>
      <c r="N4" s="22">
        <v>43936</v>
      </c>
      <c r="O4" s="23" t="s">
        <v>482</v>
      </c>
    </row>
    <row r="5" spans="2:15" ht="15" x14ac:dyDescent="0.2">
      <c r="B5" s="18">
        <v>72</v>
      </c>
      <c r="C5" s="16">
        <v>20200414</v>
      </c>
      <c r="D5" s="10" t="s">
        <v>476</v>
      </c>
      <c r="E5" s="10" t="s">
        <v>0</v>
      </c>
      <c r="F5" s="10" t="s">
        <v>0</v>
      </c>
      <c r="G5" s="10" t="s">
        <v>4</v>
      </c>
      <c r="H5" s="10">
        <v>26</v>
      </c>
      <c r="I5" s="10">
        <v>0.46</v>
      </c>
      <c r="J5" s="10" t="s">
        <v>481</v>
      </c>
      <c r="K5" s="22">
        <v>43935</v>
      </c>
      <c r="L5" s="22">
        <v>43938</v>
      </c>
      <c r="M5" s="22">
        <v>43936</v>
      </c>
      <c r="N5" s="22">
        <v>43936</v>
      </c>
      <c r="O5" s="23" t="s">
        <v>482</v>
      </c>
    </row>
    <row r="6" spans="2:15" ht="15" x14ac:dyDescent="0.2">
      <c r="B6" s="18">
        <v>73</v>
      </c>
      <c r="C6" s="16">
        <v>20200414</v>
      </c>
      <c r="D6" s="10" t="s">
        <v>476</v>
      </c>
      <c r="E6" s="10" t="s">
        <v>0</v>
      </c>
      <c r="F6" s="10" t="s">
        <v>0</v>
      </c>
      <c r="G6" s="10" t="s">
        <v>4</v>
      </c>
      <c r="H6" s="10">
        <v>35</v>
      </c>
      <c r="I6" s="10">
        <v>0.62</v>
      </c>
      <c r="J6" s="10" t="s">
        <v>481</v>
      </c>
      <c r="K6" s="22">
        <v>43935</v>
      </c>
      <c r="L6" s="22">
        <v>43938</v>
      </c>
      <c r="M6" s="22">
        <v>43936</v>
      </c>
      <c r="N6" s="22">
        <v>43936</v>
      </c>
      <c r="O6" s="23" t="s">
        <v>482</v>
      </c>
    </row>
    <row r="7" spans="2:15" ht="15" x14ac:dyDescent="0.2">
      <c r="B7" s="18">
        <v>74</v>
      </c>
      <c r="C7" s="16">
        <v>20200414</v>
      </c>
      <c r="D7" s="10" t="s">
        <v>476</v>
      </c>
      <c r="E7" s="10" t="s">
        <v>0</v>
      </c>
      <c r="F7" s="10" t="s">
        <v>0</v>
      </c>
      <c r="G7" s="10" t="s">
        <v>4</v>
      </c>
      <c r="H7" s="10">
        <v>101</v>
      </c>
      <c r="I7" s="10">
        <v>1.79</v>
      </c>
      <c r="J7" s="10" t="s">
        <v>481</v>
      </c>
      <c r="K7" s="22">
        <v>43935</v>
      </c>
      <c r="L7" s="22">
        <v>43938</v>
      </c>
      <c r="M7" s="22">
        <v>43936</v>
      </c>
      <c r="N7" s="22">
        <v>43936</v>
      </c>
      <c r="O7" s="23" t="s">
        <v>482</v>
      </c>
    </row>
    <row r="8" spans="2:15" ht="15" x14ac:dyDescent="0.2">
      <c r="B8" s="18">
        <v>75</v>
      </c>
      <c r="C8" s="16">
        <v>20200414</v>
      </c>
      <c r="D8" s="10" t="s">
        <v>476</v>
      </c>
      <c r="E8" s="10" t="s">
        <v>0</v>
      </c>
      <c r="F8" s="10" t="s">
        <v>0</v>
      </c>
      <c r="G8" s="10" t="s">
        <v>4</v>
      </c>
      <c r="H8" s="10">
        <v>67</v>
      </c>
      <c r="I8" s="10">
        <v>1.19</v>
      </c>
      <c r="J8" s="10" t="s">
        <v>481</v>
      </c>
      <c r="K8" s="22">
        <v>43935</v>
      </c>
      <c r="L8" s="22">
        <v>43938</v>
      </c>
      <c r="M8" s="22">
        <v>43936</v>
      </c>
      <c r="N8" s="22">
        <v>43936</v>
      </c>
      <c r="O8" s="23" t="s">
        <v>482</v>
      </c>
    </row>
    <row r="9" spans="2:15" ht="15" x14ac:dyDescent="0.2">
      <c r="B9" s="18">
        <v>76</v>
      </c>
      <c r="C9" s="16">
        <v>20200414</v>
      </c>
      <c r="D9" s="10" t="s">
        <v>476</v>
      </c>
      <c r="E9" s="10" t="s">
        <v>0</v>
      </c>
      <c r="F9" s="10" t="s">
        <v>0</v>
      </c>
      <c r="G9" s="10" t="s">
        <v>4</v>
      </c>
      <c r="H9" s="10">
        <v>137</v>
      </c>
      <c r="I9" s="10">
        <v>2.4300000000000002</v>
      </c>
      <c r="J9" s="10" t="s">
        <v>481</v>
      </c>
      <c r="K9" s="22">
        <v>43935</v>
      </c>
      <c r="L9" s="22">
        <v>43938</v>
      </c>
      <c r="M9" s="22">
        <v>43936</v>
      </c>
      <c r="N9" s="22">
        <v>43936</v>
      </c>
      <c r="O9" s="23" t="s">
        <v>482</v>
      </c>
    </row>
    <row r="10" spans="2:15" ht="15" x14ac:dyDescent="0.2">
      <c r="B10" s="18">
        <v>77</v>
      </c>
      <c r="C10" s="16">
        <v>20200414</v>
      </c>
      <c r="D10" s="10" t="s">
        <v>476</v>
      </c>
      <c r="E10" s="10" t="s">
        <v>0</v>
      </c>
      <c r="F10" s="10" t="s">
        <v>0</v>
      </c>
      <c r="G10" s="10" t="s">
        <v>4</v>
      </c>
      <c r="H10" s="10">
        <v>160</v>
      </c>
      <c r="I10" s="10">
        <v>2.84</v>
      </c>
      <c r="J10" s="10" t="s">
        <v>481</v>
      </c>
      <c r="K10" s="22">
        <v>43935</v>
      </c>
      <c r="L10" s="22">
        <v>43938</v>
      </c>
      <c r="M10" s="22">
        <v>43936</v>
      </c>
      <c r="N10" s="22">
        <v>43936</v>
      </c>
      <c r="O10" s="23" t="s">
        <v>482</v>
      </c>
    </row>
    <row r="11" spans="2:15" ht="15" x14ac:dyDescent="0.2">
      <c r="B11" s="18">
        <v>78</v>
      </c>
      <c r="C11" s="16">
        <v>20200414</v>
      </c>
      <c r="D11" s="10" t="s">
        <v>476</v>
      </c>
      <c r="E11" s="10" t="s">
        <v>0</v>
      </c>
      <c r="F11" s="10" t="s">
        <v>0</v>
      </c>
      <c r="G11" s="10" t="s">
        <v>4</v>
      </c>
      <c r="H11" s="10">
        <v>138</v>
      </c>
      <c r="I11" s="10">
        <v>2.4500000000000002</v>
      </c>
      <c r="J11" s="10" t="s">
        <v>481</v>
      </c>
      <c r="K11" s="22">
        <v>43935</v>
      </c>
      <c r="L11" s="22">
        <v>43938</v>
      </c>
      <c r="M11" s="22">
        <v>43936</v>
      </c>
      <c r="N11" s="22">
        <v>43936</v>
      </c>
      <c r="O11" s="23" t="s">
        <v>482</v>
      </c>
    </row>
    <row r="12" spans="2:15" ht="15" x14ac:dyDescent="0.2">
      <c r="B12" s="18">
        <v>79</v>
      </c>
      <c r="C12" s="16">
        <v>20200414</v>
      </c>
      <c r="D12" s="10" t="s">
        <v>476</v>
      </c>
      <c r="E12" s="10" t="s">
        <v>0</v>
      </c>
      <c r="F12" s="10" t="s">
        <v>0</v>
      </c>
      <c r="G12" s="10" t="s">
        <v>4</v>
      </c>
      <c r="H12" s="10">
        <v>188</v>
      </c>
      <c r="I12" s="10">
        <v>3.34</v>
      </c>
      <c r="J12" s="10" t="s">
        <v>481</v>
      </c>
      <c r="K12" s="22">
        <v>43935</v>
      </c>
      <c r="L12" s="22">
        <v>43938</v>
      </c>
      <c r="M12" s="22">
        <v>43936</v>
      </c>
      <c r="N12" s="22">
        <v>43936</v>
      </c>
      <c r="O12" s="23" t="s">
        <v>482</v>
      </c>
    </row>
    <row r="13" spans="2:15" ht="15" x14ac:dyDescent="0.2">
      <c r="B13" s="18">
        <v>80</v>
      </c>
      <c r="C13" s="16">
        <v>20200414</v>
      </c>
      <c r="D13" s="10" t="s">
        <v>476</v>
      </c>
      <c r="E13" s="10" t="s">
        <v>0</v>
      </c>
      <c r="F13" s="10" t="s">
        <v>0</v>
      </c>
      <c r="G13" s="10" t="s">
        <v>15</v>
      </c>
      <c r="H13" s="10">
        <v>189</v>
      </c>
      <c r="I13" s="10">
        <v>3.36</v>
      </c>
      <c r="J13" s="10" t="s">
        <v>481</v>
      </c>
      <c r="K13" s="22">
        <v>43935</v>
      </c>
      <c r="L13" s="22">
        <v>43938</v>
      </c>
      <c r="M13" s="22">
        <v>43935</v>
      </c>
      <c r="N13" s="22">
        <v>43935</v>
      </c>
      <c r="O13" s="23" t="s">
        <v>482</v>
      </c>
    </row>
    <row r="14" spans="2:15" ht="15" x14ac:dyDescent="0.2">
      <c r="B14" s="18">
        <v>81</v>
      </c>
      <c r="C14" s="16">
        <v>20200414</v>
      </c>
      <c r="D14" s="10" t="s">
        <v>476</v>
      </c>
      <c r="E14" s="10" t="s">
        <v>0</v>
      </c>
      <c r="F14" s="10" t="s">
        <v>0</v>
      </c>
      <c r="G14" s="10" t="s">
        <v>15</v>
      </c>
      <c r="H14" s="10">
        <v>173</v>
      </c>
      <c r="I14" s="10">
        <v>3.07</v>
      </c>
      <c r="J14" s="10" t="s">
        <v>481</v>
      </c>
      <c r="K14" s="22">
        <v>43935</v>
      </c>
      <c r="L14" s="22">
        <v>43938</v>
      </c>
      <c r="M14" s="22">
        <v>43935</v>
      </c>
      <c r="N14" s="22">
        <v>43935</v>
      </c>
      <c r="O14" s="23" t="s">
        <v>482</v>
      </c>
    </row>
    <row r="15" spans="2:15" ht="15" x14ac:dyDescent="0.2">
      <c r="B15" s="18">
        <v>82</v>
      </c>
      <c r="C15" s="16">
        <v>20200414</v>
      </c>
      <c r="D15" s="10" t="s">
        <v>476</v>
      </c>
      <c r="E15" s="10" t="s">
        <v>0</v>
      </c>
      <c r="F15" s="10" t="s">
        <v>0</v>
      </c>
      <c r="G15" s="10" t="s">
        <v>15</v>
      </c>
      <c r="H15" s="10">
        <v>176</v>
      </c>
      <c r="I15" s="10">
        <v>3.12</v>
      </c>
      <c r="J15" s="10" t="s">
        <v>481</v>
      </c>
      <c r="K15" s="22">
        <v>43935</v>
      </c>
      <c r="L15" s="22">
        <v>43938</v>
      </c>
      <c r="M15" s="22">
        <v>43935</v>
      </c>
      <c r="N15" s="22">
        <v>43935</v>
      </c>
      <c r="O15" s="23" t="s">
        <v>489</v>
      </c>
    </row>
    <row r="16" spans="2:15" ht="15" x14ac:dyDescent="0.2">
      <c r="B16" s="18">
        <v>83</v>
      </c>
      <c r="C16" s="16">
        <v>20200414</v>
      </c>
      <c r="D16" s="10" t="s">
        <v>476</v>
      </c>
      <c r="E16" s="10" t="s">
        <v>0</v>
      </c>
      <c r="F16" s="10" t="s">
        <v>0</v>
      </c>
      <c r="G16" s="10" t="s">
        <v>15</v>
      </c>
      <c r="H16" s="10">
        <v>239</v>
      </c>
      <c r="I16" s="10">
        <v>4.24</v>
      </c>
      <c r="J16" s="10" t="s">
        <v>481</v>
      </c>
      <c r="K16" s="22">
        <v>43935</v>
      </c>
      <c r="L16" s="22">
        <v>43938</v>
      </c>
      <c r="M16" s="22">
        <v>43936</v>
      </c>
      <c r="N16" s="22">
        <v>43936</v>
      </c>
      <c r="O16" s="23" t="s">
        <v>482</v>
      </c>
    </row>
    <row r="17" spans="2:15" ht="15" x14ac:dyDescent="0.2">
      <c r="B17" s="18">
        <v>84</v>
      </c>
      <c r="C17" s="16">
        <v>20200414</v>
      </c>
      <c r="D17" s="10" t="s">
        <v>476</v>
      </c>
      <c r="E17" s="10" t="s">
        <v>0</v>
      </c>
      <c r="F17" s="10" t="s">
        <v>0</v>
      </c>
      <c r="G17" s="10" t="s">
        <v>15</v>
      </c>
      <c r="H17" s="10">
        <v>237</v>
      </c>
      <c r="I17" s="10">
        <v>4.21</v>
      </c>
      <c r="J17" s="10" t="s">
        <v>481</v>
      </c>
      <c r="K17" s="22">
        <v>43935</v>
      </c>
      <c r="L17" s="22">
        <v>43938</v>
      </c>
      <c r="M17" s="22">
        <v>43936</v>
      </c>
      <c r="N17" s="22">
        <v>43936</v>
      </c>
      <c r="O17" s="23" t="s">
        <v>482</v>
      </c>
    </row>
    <row r="18" spans="2:15" ht="15" x14ac:dyDescent="0.2">
      <c r="B18" s="18">
        <v>85</v>
      </c>
      <c r="C18" s="16">
        <v>20200414</v>
      </c>
      <c r="D18" s="10" t="s">
        <v>476</v>
      </c>
      <c r="E18" s="10" t="s">
        <v>0</v>
      </c>
      <c r="F18" s="10" t="s">
        <v>0</v>
      </c>
      <c r="G18" s="10" t="s">
        <v>15</v>
      </c>
      <c r="H18" s="10">
        <v>8</v>
      </c>
      <c r="I18" s="10">
        <v>0.14000000000000001</v>
      </c>
      <c r="J18" s="10" t="s">
        <v>481</v>
      </c>
      <c r="K18" s="22">
        <v>43935</v>
      </c>
      <c r="L18" s="22">
        <v>43938</v>
      </c>
      <c r="M18" s="22">
        <v>43936</v>
      </c>
      <c r="N18" s="22">
        <v>43936</v>
      </c>
      <c r="O18" s="23" t="s">
        <v>482</v>
      </c>
    </row>
    <row r="19" spans="2:15" ht="15" x14ac:dyDescent="0.2">
      <c r="B19" s="18">
        <v>86</v>
      </c>
      <c r="C19" s="16">
        <v>20200414</v>
      </c>
      <c r="D19" s="10" t="s">
        <v>476</v>
      </c>
      <c r="E19" s="10" t="s">
        <v>0</v>
      </c>
      <c r="F19" s="10" t="s">
        <v>0</v>
      </c>
      <c r="G19" s="10" t="s">
        <v>15</v>
      </c>
      <c r="H19" s="10">
        <v>165</v>
      </c>
      <c r="I19" s="10">
        <v>2.93</v>
      </c>
      <c r="J19" s="10" t="s">
        <v>481</v>
      </c>
      <c r="K19" s="22">
        <v>43935</v>
      </c>
      <c r="L19" s="22">
        <v>43938</v>
      </c>
      <c r="M19" s="22">
        <v>43936</v>
      </c>
      <c r="N19" s="22">
        <v>43936</v>
      </c>
      <c r="O19" s="23" t="s">
        <v>482</v>
      </c>
    </row>
    <row r="20" spans="2:15" ht="15" x14ac:dyDescent="0.2">
      <c r="B20" s="18">
        <v>87</v>
      </c>
      <c r="C20" s="16">
        <v>20200414</v>
      </c>
      <c r="D20" s="10" t="s">
        <v>476</v>
      </c>
      <c r="E20" s="10" t="s">
        <v>0</v>
      </c>
      <c r="F20" s="10" t="s">
        <v>0</v>
      </c>
      <c r="G20" s="10" t="s">
        <v>15</v>
      </c>
      <c r="H20" s="10">
        <v>0</v>
      </c>
      <c r="I20" s="10">
        <v>0</v>
      </c>
      <c r="J20" s="10" t="s">
        <v>481</v>
      </c>
      <c r="K20" s="22">
        <v>43935</v>
      </c>
      <c r="L20" s="22">
        <v>43938</v>
      </c>
      <c r="M20" s="22">
        <v>43936</v>
      </c>
      <c r="N20" s="22">
        <v>43936</v>
      </c>
      <c r="O20" s="23" t="s">
        <v>482</v>
      </c>
    </row>
    <row r="21" spans="2:15" ht="15" x14ac:dyDescent="0.2">
      <c r="B21" s="18">
        <v>88</v>
      </c>
      <c r="C21" s="16">
        <v>20200414</v>
      </c>
      <c r="D21" s="10" t="s">
        <v>476</v>
      </c>
      <c r="E21" s="10" t="s">
        <v>0</v>
      </c>
      <c r="F21" s="10" t="s">
        <v>0</v>
      </c>
      <c r="G21" s="10" t="s">
        <v>24</v>
      </c>
      <c r="H21" s="10">
        <v>12</v>
      </c>
      <c r="I21" s="10">
        <v>0.21</v>
      </c>
      <c r="J21" s="10" t="s">
        <v>481</v>
      </c>
      <c r="K21" s="22">
        <v>43935</v>
      </c>
      <c r="L21" s="22">
        <v>43938</v>
      </c>
      <c r="M21" s="22">
        <v>43936</v>
      </c>
      <c r="N21" s="22">
        <v>43936</v>
      </c>
      <c r="O21" s="23" t="s">
        <v>482</v>
      </c>
    </row>
    <row r="22" spans="2:15" ht="15" x14ac:dyDescent="0.2">
      <c r="B22" s="18">
        <v>89</v>
      </c>
      <c r="C22" s="16">
        <v>20200414</v>
      </c>
      <c r="D22" s="10" t="s">
        <v>476</v>
      </c>
      <c r="E22" s="10" t="s">
        <v>0</v>
      </c>
      <c r="F22" s="10" t="s">
        <v>0</v>
      </c>
      <c r="G22" s="10" t="s">
        <v>24</v>
      </c>
      <c r="H22" s="10">
        <v>37</v>
      </c>
      <c r="I22" s="10">
        <v>0.65</v>
      </c>
      <c r="J22" s="10" t="s">
        <v>481</v>
      </c>
      <c r="K22" s="22">
        <v>43935</v>
      </c>
      <c r="L22" s="22">
        <v>43938</v>
      </c>
      <c r="M22" s="22">
        <v>43936</v>
      </c>
      <c r="N22" s="22">
        <v>43936</v>
      </c>
      <c r="O22" s="23" t="s">
        <v>482</v>
      </c>
    </row>
    <row r="23" spans="2:15" ht="15" x14ac:dyDescent="0.2">
      <c r="B23" s="18">
        <v>90</v>
      </c>
      <c r="C23" s="16">
        <v>20200414</v>
      </c>
      <c r="D23" s="10" t="s">
        <v>476</v>
      </c>
      <c r="E23" s="10" t="s">
        <v>0</v>
      </c>
      <c r="F23" s="10" t="s">
        <v>0</v>
      </c>
      <c r="G23" s="10" t="s">
        <v>24</v>
      </c>
      <c r="H23" s="10">
        <v>3</v>
      </c>
      <c r="I23" s="10">
        <v>0.05</v>
      </c>
      <c r="J23" s="10" t="s">
        <v>481</v>
      </c>
      <c r="K23" s="22">
        <v>43935</v>
      </c>
      <c r="L23" s="22">
        <v>43938</v>
      </c>
      <c r="M23" s="22">
        <v>43936</v>
      </c>
      <c r="N23" s="22">
        <v>43936</v>
      </c>
      <c r="O23" s="23" t="s">
        <v>482</v>
      </c>
    </row>
    <row r="24" spans="2:15" ht="15" x14ac:dyDescent="0.2">
      <c r="B24" s="26">
        <v>91</v>
      </c>
      <c r="C24" s="16">
        <v>20200414</v>
      </c>
      <c r="D24" s="10" t="s">
        <v>476</v>
      </c>
      <c r="E24" s="10" t="s">
        <v>27</v>
      </c>
      <c r="F24" s="10" t="s">
        <v>415</v>
      </c>
      <c r="G24" s="10" t="s">
        <v>24</v>
      </c>
      <c r="H24" s="10">
        <v>322</v>
      </c>
      <c r="I24" s="10">
        <v>5.72</v>
      </c>
      <c r="J24" s="10" t="s">
        <v>481</v>
      </c>
      <c r="K24" s="22">
        <v>43935</v>
      </c>
      <c r="L24" s="22">
        <v>43938</v>
      </c>
      <c r="M24" s="22">
        <v>43936</v>
      </c>
      <c r="N24" s="22">
        <v>43936</v>
      </c>
      <c r="O24" s="23" t="s">
        <v>482</v>
      </c>
    </row>
    <row r="25" spans="2:15" ht="15" x14ac:dyDescent="0.2">
      <c r="B25" s="26">
        <v>92</v>
      </c>
      <c r="C25" s="16">
        <v>20200414</v>
      </c>
      <c r="D25" s="10" t="s">
        <v>476</v>
      </c>
      <c r="E25" s="10" t="s">
        <v>30</v>
      </c>
      <c r="F25" s="10" t="s">
        <v>415</v>
      </c>
      <c r="G25" s="10" t="s">
        <v>24</v>
      </c>
      <c r="H25" s="10">
        <v>25</v>
      </c>
      <c r="I25" s="10">
        <v>0.44</v>
      </c>
      <c r="J25" s="10" t="s">
        <v>481</v>
      </c>
      <c r="K25" s="22">
        <v>43935</v>
      </c>
      <c r="L25" s="22">
        <v>43938</v>
      </c>
      <c r="M25" s="22">
        <v>43936</v>
      </c>
      <c r="N25" s="22">
        <v>43936</v>
      </c>
      <c r="O25" s="23" t="s">
        <v>482</v>
      </c>
    </row>
    <row r="26" spans="2:15" ht="15" x14ac:dyDescent="0.2">
      <c r="B26" s="26">
        <v>93</v>
      </c>
      <c r="C26" s="16">
        <v>20200414</v>
      </c>
      <c r="D26" s="10" t="s">
        <v>476</v>
      </c>
      <c r="E26" s="10" t="s">
        <v>30</v>
      </c>
      <c r="F26" s="10" t="s">
        <v>415</v>
      </c>
      <c r="G26" s="10" t="s">
        <v>24</v>
      </c>
      <c r="H26" s="10">
        <v>28</v>
      </c>
      <c r="I26" s="10">
        <v>0.49</v>
      </c>
      <c r="J26" s="10" t="s">
        <v>481</v>
      </c>
      <c r="K26" s="22">
        <v>43935</v>
      </c>
      <c r="L26" s="22">
        <v>43938</v>
      </c>
      <c r="M26" s="22">
        <v>43936</v>
      </c>
      <c r="N26" s="22">
        <v>43936</v>
      </c>
      <c r="O26" s="23" t="s">
        <v>482</v>
      </c>
    </row>
    <row r="27" spans="2:15" ht="15" x14ac:dyDescent="0.2">
      <c r="B27" s="26">
        <v>94</v>
      </c>
      <c r="C27" s="16">
        <v>20200414</v>
      </c>
      <c r="D27" s="10" t="s">
        <v>476</v>
      </c>
      <c r="E27" s="10" t="s">
        <v>30</v>
      </c>
      <c r="F27" s="10" t="s">
        <v>415</v>
      </c>
      <c r="G27" s="10" t="s">
        <v>24</v>
      </c>
      <c r="H27" s="10">
        <v>46</v>
      </c>
      <c r="I27" s="10">
        <v>0.81</v>
      </c>
      <c r="J27" s="10" t="s">
        <v>481</v>
      </c>
      <c r="K27" s="22">
        <v>43935</v>
      </c>
      <c r="L27" s="22">
        <v>43938</v>
      </c>
      <c r="M27" s="22">
        <v>43936</v>
      </c>
      <c r="N27" s="22">
        <v>43936</v>
      </c>
      <c r="O27" s="23" t="s">
        <v>482</v>
      </c>
    </row>
    <row r="28" spans="2:15" ht="15" x14ac:dyDescent="0.2">
      <c r="B28" s="26">
        <v>95</v>
      </c>
      <c r="C28" s="16">
        <v>20200414</v>
      </c>
      <c r="D28" s="10" t="s">
        <v>476</v>
      </c>
      <c r="E28" s="10" t="s">
        <v>30</v>
      </c>
      <c r="F28" s="10" t="s">
        <v>415</v>
      </c>
      <c r="G28" s="10" t="s">
        <v>24</v>
      </c>
      <c r="H28" s="10">
        <v>31</v>
      </c>
      <c r="I28" s="10">
        <v>0.55000000000000004</v>
      </c>
      <c r="J28" s="10" t="s">
        <v>481</v>
      </c>
      <c r="K28" s="22">
        <v>43935</v>
      </c>
      <c r="L28" s="22">
        <v>43938</v>
      </c>
      <c r="M28" s="22">
        <v>43936</v>
      </c>
      <c r="N28" s="22">
        <v>43936</v>
      </c>
      <c r="O28" s="23" t="s">
        <v>482</v>
      </c>
    </row>
    <row r="29" spans="2:15" ht="15" x14ac:dyDescent="0.2">
      <c r="B29" s="26">
        <v>96</v>
      </c>
      <c r="C29" s="16">
        <v>20200414</v>
      </c>
      <c r="D29" s="10" t="s">
        <v>476</v>
      </c>
      <c r="E29" s="10" t="s">
        <v>30</v>
      </c>
      <c r="F29" s="10" t="s">
        <v>415</v>
      </c>
      <c r="G29" s="10" t="s">
        <v>24</v>
      </c>
      <c r="H29" s="10">
        <v>102</v>
      </c>
      <c r="I29" s="10">
        <v>1.81</v>
      </c>
      <c r="J29" s="10" t="s">
        <v>481</v>
      </c>
      <c r="K29" s="22">
        <v>43935</v>
      </c>
      <c r="L29" s="22">
        <v>43938</v>
      </c>
      <c r="M29" s="22">
        <v>43936</v>
      </c>
      <c r="N29" s="22">
        <v>43936</v>
      </c>
      <c r="O29" s="23" t="s">
        <v>482</v>
      </c>
    </row>
    <row r="30" spans="2:15" ht="15" x14ac:dyDescent="0.2">
      <c r="B30" s="26">
        <v>97</v>
      </c>
      <c r="C30" s="16">
        <v>20200414</v>
      </c>
      <c r="D30" s="10" t="s">
        <v>476</v>
      </c>
      <c r="E30" s="10" t="s">
        <v>30</v>
      </c>
      <c r="F30" s="10" t="s">
        <v>415</v>
      </c>
      <c r="G30" s="10" t="s">
        <v>24</v>
      </c>
      <c r="H30" s="10">
        <v>66</v>
      </c>
      <c r="I30" s="10">
        <v>1.17</v>
      </c>
      <c r="J30" s="10" t="s">
        <v>481</v>
      </c>
      <c r="K30" s="22">
        <v>43935</v>
      </c>
      <c r="L30" s="22">
        <v>43938</v>
      </c>
      <c r="M30" s="22">
        <v>43936</v>
      </c>
      <c r="N30" s="22">
        <v>43936</v>
      </c>
      <c r="O30" s="23" t="s">
        <v>482</v>
      </c>
    </row>
    <row r="31" spans="2:15" ht="15" x14ac:dyDescent="0.2">
      <c r="B31" s="26">
        <v>98</v>
      </c>
      <c r="C31" s="16">
        <v>20200414</v>
      </c>
      <c r="D31" s="10" t="s">
        <v>476</v>
      </c>
      <c r="E31" s="10" t="s">
        <v>30</v>
      </c>
      <c r="F31" s="10" t="s">
        <v>415</v>
      </c>
      <c r="G31" s="10" t="s">
        <v>24</v>
      </c>
      <c r="H31" s="10">
        <v>19</v>
      </c>
      <c r="I31" s="10">
        <v>0.33</v>
      </c>
      <c r="J31" s="10" t="s">
        <v>481</v>
      </c>
      <c r="K31" s="22">
        <v>43935</v>
      </c>
      <c r="L31" s="22">
        <v>43938</v>
      </c>
      <c r="M31" s="22">
        <v>43936</v>
      </c>
      <c r="N31" s="22">
        <v>43936</v>
      </c>
      <c r="O31" s="23" t="s">
        <v>482</v>
      </c>
    </row>
    <row r="32" spans="2:15" ht="15" x14ac:dyDescent="0.2">
      <c r="B32" s="28">
        <v>99</v>
      </c>
      <c r="C32" s="16">
        <v>20200414</v>
      </c>
      <c r="D32" s="10" t="s">
        <v>476</v>
      </c>
      <c r="E32" s="10" t="s">
        <v>39</v>
      </c>
      <c r="F32" s="10" t="s">
        <v>416</v>
      </c>
      <c r="G32" s="10" t="s">
        <v>40</v>
      </c>
      <c r="H32" s="10">
        <v>25</v>
      </c>
      <c r="I32" s="10">
        <v>0.44</v>
      </c>
      <c r="J32" s="10" t="s">
        <v>481</v>
      </c>
      <c r="K32" s="22">
        <v>43935</v>
      </c>
      <c r="L32" s="22">
        <v>43938</v>
      </c>
      <c r="M32" s="22">
        <v>43938</v>
      </c>
      <c r="N32" s="22">
        <v>43938</v>
      </c>
      <c r="O32" s="23" t="s">
        <v>482</v>
      </c>
    </row>
    <row r="33" spans="2:15" ht="15" x14ac:dyDescent="0.2">
      <c r="B33" s="28">
        <v>100</v>
      </c>
      <c r="C33" s="16">
        <v>20200414</v>
      </c>
      <c r="D33" s="10" t="s">
        <v>476</v>
      </c>
      <c r="E33" s="10" t="s">
        <v>39</v>
      </c>
      <c r="F33" s="10" t="s">
        <v>416</v>
      </c>
      <c r="G33" s="10" t="s">
        <v>40</v>
      </c>
      <c r="H33" s="10">
        <v>28</v>
      </c>
      <c r="I33" s="10">
        <v>0.49</v>
      </c>
      <c r="J33" s="10" t="s">
        <v>481</v>
      </c>
      <c r="K33" s="22">
        <v>43935</v>
      </c>
      <c r="L33" s="22">
        <v>43938</v>
      </c>
      <c r="M33" s="22">
        <v>43938</v>
      </c>
      <c r="N33" s="22">
        <v>43938</v>
      </c>
      <c r="O33" s="23" t="s">
        <v>482</v>
      </c>
    </row>
    <row r="34" spans="2:15" ht="15" x14ac:dyDescent="0.2">
      <c r="B34" s="28">
        <v>101</v>
      </c>
      <c r="C34" s="16">
        <v>20200414</v>
      </c>
      <c r="D34" s="10" t="s">
        <v>476</v>
      </c>
      <c r="E34" s="10" t="s">
        <v>39</v>
      </c>
      <c r="F34" s="10" t="s">
        <v>416</v>
      </c>
      <c r="G34" s="10" t="s">
        <v>40</v>
      </c>
      <c r="H34" s="10">
        <v>46</v>
      </c>
      <c r="I34" s="10">
        <v>0.81</v>
      </c>
      <c r="J34" s="10" t="s">
        <v>481</v>
      </c>
      <c r="K34" s="22">
        <v>43935</v>
      </c>
      <c r="L34" s="22">
        <v>43938</v>
      </c>
      <c r="M34" s="22">
        <v>43938</v>
      </c>
      <c r="N34" s="22">
        <v>43938</v>
      </c>
      <c r="O34" s="23" t="s">
        <v>482</v>
      </c>
    </row>
    <row r="35" spans="2:15" ht="15" x14ac:dyDescent="0.2">
      <c r="B35" s="28">
        <v>102</v>
      </c>
      <c r="C35" s="16">
        <v>20200414</v>
      </c>
      <c r="D35" s="10" t="s">
        <v>476</v>
      </c>
      <c r="E35" s="10" t="s">
        <v>39</v>
      </c>
      <c r="F35" s="10" t="s">
        <v>416</v>
      </c>
      <c r="G35" s="10" t="s">
        <v>40</v>
      </c>
      <c r="H35" s="10">
        <v>31</v>
      </c>
      <c r="I35" s="10">
        <v>0.55000000000000004</v>
      </c>
      <c r="J35" s="10" t="s">
        <v>481</v>
      </c>
      <c r="K35" s="22">
        <v>43935</v>
      </c>
      <c r="L35" s="22">
        <v>43938</v>
      </c>
      <c r="M35" s="22">
        <v>43938</v>
      </c>
      <c r="N35" s="22">
        <v>43938</v>
      </c>
      <c r="O35" s="23" t="s">
        <v>482</v>
      </c>
    </row>
    <row r="36" spans="2:15" ht="15" x14ac:dyDescent="0.2">
      <c r="B36" s="28">
        <v>103</v>
      </c>
      <c r="C36" s="16">
        <v>20200414</v>
      </c>
      <c r="D36" s="10" t="s">
        <v>476</v>
      </c>
      <c r="E36" s="10" t="s">
        <v>39</v>
      </c>
      <c r="F36" s="10" t="s">
        <v>416</v>
      </c>
      <c r="G36" s="10" t="s">
        <v>24</v>
      </c>
      <c r="H36" s="10">
        <v>102</v>
      </c>
      <c r="I36" s="10">
        <v>1.81</v>
      </c>
      <c r="J36" s="10" t="s">
        <v>481</v>
      </c>
      <c r="K36" s="22">
        <v>43935</v>
      </c>
      <c r="L36" s="22">
        <v>43938</v>
      </c>
      <c r="M36" s="22">
        <v>43936</v>
      </c>
      <c r="N36" s="22">
        <v>43936</v>
      </c>
      <c r="O36" s="23" t="s">
        <v>482</v>
      </c>
    </row>
    <row r="37" spans="2:15" ht="15" x14ac:dyDescent="0.2">
      <c r="B37" s="28">
        <v>104</v>
      </c>
      <c r="C37" s="16">
        <v>20200414</v>
      </c>
      <c r="D37" s="10" t="s">
        <v>476</v>
      </c>
      <c r="E37" s="10" t="s">
        <v>39</v>
      </c>
      <c r="F37" s="10" t="s">
        <v>416</v>
      </c>
      <c r="G37" s="10" t="s">
        <v>24</v>
      </c>
      <c r="H37" s="10">
        <v>66</v>
      </c>
      <c r="I37" s="10">
        <v>1.17</v>
      </c>
      <c r="J37" s="10" t="s">
        <v>481</v>
      </c>
      <c r="K37" s="22">
        <v>43935</v>
      </c>
      <c r="L37" s="22">
        <v>43938</v>
      </c>
      <c r="M37" s="22">
        <v>43936</v>
      </c>
      <c r="N37" s="22">
        <v>43936</v>
      </c>
      <c r="O37" s="23" t="s">
        <v>482</v>
      </c>
    </row>
    <row r="38" spans="2:15" ht="15" x14ac:dyDescent="0.2">
      <c r="B38" s="28">
        <v>105</v>
      </c>
      <c r="C38" s="16">
        <v>20200414</v>
      </c>
      <c r="D38" s="10" t="s">
        <v>476</v>
      </c>
      <c r="E38" s="10" t="s">
        <v>39</v>
      </c>
      <c r="F38" s="10" t="s">
        <v>416</v>
      </c>
      <c r="G38" s="10" t="s">
        <v>24</v>
      </c>
      <c r="H38" s="10">
        <v>19</v>
      </c>
      <c r="I38" s="10">
        <v>0.33</v>
      </c>
      <c r="J38" s="10" t="s">
        <v>481</v>
      </c>
      <c r="K38" s="22">
        <v>43935</v>
      </c>
      <c r="L38" s="22">
        <v>43938</v>
      </c>
      <c r="M38" s="22">
        <v>43936</v>
      </c>
      <c r="N38" s="22">
        <v>43936</v>
      </c>
      <c r="O38" s="23" t="s">
        <v>482</v>
      </c>
    </row>
    <row r="39" spans="2:15" ht="15" x14ac:dyDescent="0.2">
      <c r="B39" s="28">
        <v>106</v>
      </c>
      <c r="C39" s="16">
        <v>20200414</v>
      </c>
      <c r="D39" s="10" t="s">
        <v>476</v>
      </c>
      <c r="E39" s="10" t="s">
        <v>39</v>
      </c>
      <c r="F39" s="10" t="s">
        <v>416</v>
      </c>
      <c r="G39" s="10" t="s">
        <v>41</v>
      </c>
      <c r="H39" s="10">
        <v>322</v>
      </c>
      <c r="I39" s="10">
        <v>5.72</v>
      </c>
      <c r="J39" s="10" t="s">
        <v>481</v>
      </c>
      <c r="K39" s="22">
        <v>43935</v>
      </c>
      <c r="L39" s="22">
        <v>43938</v>
      </c>
      <c r="M39" s="22">
        <v>43935</v>
      </c>
      <c r="N39" s="22">
        <v>43935</v>
      </c>
      <c r="O39" s="23" t="s">
        <v>482</v>
      </c>
    </row>
    <row r="40" spans="2:15" ht="15" x14ac:dyDescent="0.2">
      <c r="B40" s="28">
        <v>107</v>
      </c>
      <c r="C40" s="16">
        <v>20200414</v>
      </c>
      <c r="D40" s="10" t="s">
        <v>476</v>
      </c>
      <c r="E40" s="10" t="s">
        <v>39</v>
      </c>
      <c r="F40" s="10" t="s">
        <v>416</v>
      </c>
      <c r="G40" s="10" t="s">
        <v>41</v>
      </c>
      <c r="H40" s="10">
        <v>268</v>
      </c>
      <c r="I40" s="10">
        <v>4.76</v>
      </c>
      <c r="J40" s="10" t="s">
        <v>481</v>
      </c>
      <c r="K40" s="22">
        <v>43935</v>
      </c>
      <c r="L40" s="22">
        <v>43938</v>
      </c>
      <c r="M40" s="22">
        <v>43936</v>
      </c>
      <c r="N40" s="22">
        <v>43936</v>
      </c>
      <c r="O40" s="23" t="s">
        <v>482</v>
      </c>
    </row>
    <row r="41" spans="2:15" ht="15" x14ac:dyDescent="0.2">
      <c r="B41" s="28">
        <v>108</v>
      </c>
      <c r="C41" s="16">
        <v>20200414</v>
      </c>
      <c r="D41" s="10" t="s">
        <v>476</v>
      </c>
      <c r="E41" s="10" t="s">
        <v>39</v>
      </c>
      <c r="F41" s="10" t="s">
        <v>416</v>
      </c>
      <c r="G41" s="10" t="s">
        <v>41</v>
      </c>
      <c r="H41" s="10">
        <v>275</v>
      </c>
      <c r="I41" s="10">
        <v>4.88</v>
      </c>
      <c r="J41" s="10" t="s">
        <v>481</v>
      </c>
      <c r="K41" s="22">
        <v>43935</v>
      </c>
      <c r="L41" s="22">
        <v>43938</v>
      </c>
      <c r="M41" s="22">
        <v>43936</v>
      </c>
      <c r="N41" s="22">
        <v>43936</v>
      </c>
      <c r="O41" s="23" t="s">
        <v>482</v>
      </c>
    </row>
    <row r="42" spans="2:15" ht="15" x14ac:dyDescent="0.2">
      <c r="B42" s="28">
        <v>109</v>
      </c>
      <c r="C42" s="16">
        <v>20200414</v>
      </c>
      <c r="D42" s="10" t="s">
        <v>476</v>
      </c>
      <c r="E42" s="10" t="s">
        <v>39</v>
      </c>
      <c r="F42" s="10" t="s">
        <v>416</v>
      </c>
      <c r="G42" s="10" t="s">
        <v>41</v>
      </c>
      <c r="H42" s="10">
        <v>267</v>
      </c>
      <c r="I42" s="10">
        <v>4.74</v>
      </c>
      <c r="J42" s="10" t="s">
        <v>481</v>
      </c>
      <c r="K42" s="22">
        <v>43935</v>
      </c>
      <c r="L42" s="22">
        <v>43938</v>
      </c>
      <c r="M42" s="22">
        <v>43936</v>
      </c>
      <c r="N42" s="22">
        <v>43936</v>
      </c>
      <c r="O42" s="23" t="s">
        <v>482</v>
      </c>
    </row>
    <row r="43" spans="2:15" ht="15" x14ac:dyDescent="0.2">
      <c r="B43" s="29">
        <v>110</v>
      </c>
      <c r="C43" s="16">
        <v>20200414</v>
      </c>
      <c r="D43" s="10" t="s">
        <v>476</v>
      </c>
      <c r="E43" s="10" t="s">
        <v>45</v>
      </c>
      <c r="F43" s="10" t="s">
        <v>406</v>
      </c>
      <c r="G43" s="10" t="s">
        <v>24</v>
      </c>
      <c r="H43" s="10">
        <v>200</v>
      </c>
      <c r="I43" s="10">
        <v>3.55</v>
      </c>
      <c r="J43" s="10" t="s">
        <v>481</v>
      </c>
      <c r="K43" s="22">
        <v>43935</v>
      </c>
      <c r="L43" s="22">
        <v>43938</v>
      </c>
      <c r="M43" s="22">
        <v>43936</v>
      </c>
      <c r="N43" s="22">
        <v>43936</v>
      </c>
      <c r="O43" s="23" t="s">
        <v>482</v>
      </c>
    </row>
    <row r="44" spans="2:15" ht="15" x14ac:dyDescent="0.2">
      <c r="B44" s="29">
        <v>111</v>
      </c>
      <c r="C44" s="16">
        <v>20200414</v>
      </c>
      <c r="D44" s="10" t="s">
        <v>476</v>
      </c>
      <c r="E44" s="10" t="s">
        <v>45</v>
      </c>
      <c r="F44" s="10" t="s">
        <v>406</v>
      </c>
      <c r="G44" s="10" t="s">
        <v>24</v>
      </c>
      <c r="H44" s="10">
        <v>137</v>
      </c>
      <c r="I44" s="10">
        <v>2.4300000000000002</v>
      </c>
      <c r="J44" s="10" t="s">
        <v>481</v>
      </c>
      <c r="K44" s="22">
        <v>43935</v>
      </c>
      <c r="L44" s="22">
        <v>43938</v>
      </c>
      <c r="M44" s="22">
        <v>43936</v>
      </c>
      <c r="N44" s="22">
        <v>43936</v>
      </c>
      <c r="O44" s="23" t="s">
        <v>482</v>
      </c>
    </row>
    <row r="45" spans="2:15" ht="15" x14ac:dyDescent="0.2">
      <c r="B45" s="29">
        <v>112</v>
      </c>
      <c r="C45" s="16">
        <v>20200414</v>
      </c>
      <c r="D45" s="10" t="s">
        <v>476</v>
      </c>
      <c r="E45" s="10" t="s">
        <v>45</v>
      </c>
      <c r="F45" s="10" t="s">
        <v>406</v>
      </c>
      <c r="G45" s="10" t="s">
        <v>4</v>
      </c>
      <c r="H45" s="10">
        <v>343</v>
      </c>
      <c r="I45" s="10">
        <v>6.09</v>
      </c>
      <c r="J45" s="10" t="s">
        <v>481</v>
      </c>
      <c r="K45" s="22">
        <v>43935</v>
      </c>
      <c r="L45" s="22">
        <v>43938</v>
      </c>
      <c r="M45" s="22">
        <v>43938</v>
      </c>
      <c r="N45" s="22">
        <v>43938</v>
      </c>
      <c r="O45" s="23" t="s">
        <v>489</v>
      </c>
    </row>
    <row r="46" spans="2:15" ht="15" x14ac:dyDescent="0.2">
      <c r="B46" s="29">
        <v>113</v>
      </c>
      <c r="C46" s="16">
        <v>20200414</v>
      </c>
      <c r="D46" s="10" t="s">
        <v>476</v>
      </c>
      <c r="E46" s="10" t="s">
        <v>45</v>
      </c>
      <c r="F46" s="10" t="s">
        <v>406</v>
      </c>
      <c r="G46" s="10" t="s">
        <v>24</v>
      </c>
      <c r="H46" s="10">
        <v>36</v>
      </c>
      <c r="I46" s="10">
        <v>0.64</v>
      </c>
      <c r="J46" s="10" t="s">
        <v>481</v>
      </c>
      <c r="K46" s="22">
        <v>43935</v>
      </c>
      <c r="L46" s="22">
        <v>43938</v>
      </c>
      <c r="M46" s="22">
        <v>43936</v>
      </c>
      <c r="N46" s="22">
        <v>43936</v>
      </c>
      <c r="O46" s="23" t="s">
        <v>482</v>
      </c>
    </row>
    <row r="47" spans="2:15" ht="15" x14ac:dyDescent="0.2">
      <c r="B47" s="29">
        <v>114</v>
      </c>
      <c r="C47" s="16">
        <v>20200414</v>
      </c>
      <c r="D47" s="10" t="s">
        <v>476</v>
      </c>
      <c r="E47" s="10" t="s">
        <v>45</v>
      </c>
      <c r="F47" s="10" t="s">
        <v>406</v>
      </c>
      <c r="G47" s="10" t="s">
        <v>24</v>
      </c>
      <c r="H47" s="10">
        <v>225</v>
      </c>
      <c r="I47" s="10">
        <v>4</v>
      </c>
      <c r="J47" s="10" t="s">
        <v>481</v>
      </c>
      <c r="K47" s="22">
        <v>43935</v>
      </c>
      <c r="L47" s="22">
        <v>43938</v>
      </c>
      <c r="M47" s="22">
        <v>43936</v>
      </c>
      <c r="N47" s="22">
        <v>43936</v>
      </c>
      <c r="O47" s="23" t="s">
        <v>489</v>
      </c>
    </row>
    <row r="48" spans="2:15" ht="15" x14ac:dyDescent="0.2">
      <c r="B48" s="29">
        <v>115</v>
      </c>
      <c r="C48" s="16">
        <v>20200414</v>
      </c>
      <c r="D48" s="10" t="s">
        <v>476</v>
      </c>
      <c r="E48" s="10" t="s">
        <v>45</v>
      </c>
      <c r="F48" s="10" t="s">
        <v>406</v>
      </c>
      <c r="G48" s="10" t="s">
        <v>41</v>
      </c>
      <c r="H48" s="10">
        <v>194</v>
      </c>
      <c r="I48" s="10">
        <v>3.44</v>
      </c>
      <c r="J48" s="10" t="s">
        <v>481</v>
      </c>
      <c r="K48" s="22">
        <v>43935</v>
      </c>
      <c r="L48" s="22">
        <v>43938</v>
      </c>
      <c r="M48" s="22">
        <v>43936</v>
      </c>
      <c r="N48" s="22">
        <v>43936</v>
      </c>
      <c r="O48" s="23" t="s">
        <v>482</v>
      </c>
    </row>
    <row r="49" spans="2:15" ht="15" x14ac:dyDescent="0.2">
      <c r="B49" s="29">
        <v>116</v>
      </c>
      <c r="C49" s="16">
        <v>20200414</v>
      </c>
      <c r="D49" s="10" t="s">
        <v>476</v>
      </c>
      <c r="E49" s="10" t="s">
        <v>45</v>
      </c>
      <c r="F49" s="10" t="s">
        <v>406</v>
      </c>
      <c r="G49" s="10" t="s">
        <v>41</v>
      </c>
      <c r="H49" s="10">
        <v>321</v>
      </c>
      <c r="I49" s="10">
        <v>5.7</v>
      </c>
      <c r="J49" s="10" t="s">
        <v>481</v>
      </c>
      <c r="K49" s="22">
        <v>43935</v>
      </c>
      <c r="L49" s="22">
        <v>43938</v>
      </c>
      <c r="M49" s="22">
        <v>43937</v>
      </c>
      <c r="N49" s="22">
        <v>43937</v>
      </c>
      <c r="O49" s="23" t="s">
        <v>482</v>
      </c>
    </row>
    <row r="50" spans="2:15" ht="15" x14ac:dyDescent="0.2">
      <c r="B50" s="29">
        <v>117</v>
      </c>
      <c r="C50" s="16">
        <v>20200414</v>
      </c>
      <c r="D50" s="10" t="s">
        <v>476</v>
      </c>
      <c r="E50" s="10" t="s">
        <v>45</v>
      </c>
      <c r="F50" s="10" t="s">
        <v>406</v>
      </c>
      <c r="G50" s="10" t="s">
        <v>41</v>
      </c>
      <c r="H50" s="10">
        <v>52</v>
      </c>
      <c r="I50" s="10">
        <v>0.92</v>
      </c>
      <c r="J50" s="10" t="s">
        <v>481</v>
      </c>
      <c r="K50" s="22">
        <v>43935</v>
      </c>
      <c r="L50" s="22">
        <v>43938</v>
      </c>
      <c r="M50" s="22">
        <v>43938</v>
      </c>
      <c r="N50" s="22">
        <v>43938</v>
      </c>
      <c r="O50" s="23" t="s">
        <v>482</v>
      </c>
    </row>
    <row r="51" spans="2:15" ht="15" x14ac:dyDescent="0.2">
      <c r="B51" s="29">
        <v>118</v>
      </c>
      <c r="C51" s="16">
        <v>20200414</v>
      </c>
      <c r="D51" s="10" t="s">
        <v>476</v>
      </c>
      <c r="E51" s="10" t="s">
        <v>45</v>
      </c>
      <c r="F51" s="10" t="s">
        <v>406</v>
      </c>
      <c r="G51" s="10" t="s">
        <v>41</v>
      </c>
      <c r="H51" s="10">
        <v>209</v>
      </c>
      <c r="I51" s="10">
        <v>3.71</v>
      </c>
      <c r="J51" s="10" t="s">
        <v>481</v>
      </c>
      <c r="K51" s="22">
        <v>43935</v>
      </c>
      <c r="L51" s="22">
        <v>43938</v>
      </c>
      <c r="M51" s="22">
        <v>43938</v>
      </c>
      <c r="N51" s="22">
        <v>43938</v>
      </c>
      <c r="O51" s="23" t="s">
        <v>489</v>
      </c>
    </row>
    <row r="52" spans="2:15" ht="15" x14ac:dyDescent="0.2">
      <c r="B52" s="29">
        <v>119</v>
      </c>
      <c r="C52" s="16">
        <v>20200414</v>
      </c>
      <c r="D52" s="10" t="s">
        <v>476</v>
      </c>
      <c r="E52" s="10" t="s">
        <v>45</v>
      </c>
      <c r="F52" s="10" t="s">
        <v>406</v>
      </c>
      <c r="G52" s="10" t="s">
        <v>41</v>
      </c>
      <c r="H52" s="10">
        <v>67</v>
      </c>
      <c r="I52" s="10">
        <v>1.19</v>
      </c>
      <c r="J52" s="10" t="s">
        <v>481</v>
      </c>
      <c r="K52" s="22">
        <v>43935</v>
      </c>
      <c r="L52" s="22">
        <v>43938</v>
      </c>
      <c r="M52" s="22">
        <v>43938</v>
      </c>
      <c r="N52" s="22">
        <v>43938</v>
      </c>
      <c r="O52" s="23" t="s">
        <v>482</v>
      </c>
    </row>
    <row r="53" spans="2:15" ht="15" x14ac:dyDescent="0.2">
      <c r="B53" s="29">
        <v>120</v>
      </c>
      <c r="C53" s="16">
        <v>20200414</v>
      </c>
      <c r="D53" s="10" t="s">
        <v>476</v>
      </c>
      <c r="E53" s="10" t="s">
        <v>45</v>
      </c>
      <c r="F53" s="10" t="s">
        <v>406</v>
      </c>
      <c r="G53" s="10" t="s">
        <v>41</v>
      </c>
      <c r="H53" s="10">
        <v>202</v>
      </c>
      <c r="I53" s="10">
        <v>3.59</v>
      </c>
      <c r="J53" s="10" t="s">
        <v>481</v>
      </c>
      <c r="K53" s="22">
        <v>43935</v>
      </c>
      <c r="L53" s="22">
        <v>43938</v>
      </c>
      <c r="M53" s="22">
        <v>43938</v>
      </c>
      <c r="N53" s="22">
        <v>43938</v>
      </c>
      <c r="O53" s="23" t="s">
        <v>482</v>
      </c>
    </row>
    <row r="54" spans="2:15" ht="15" x14ac:dyDescent="0.2">
      <c r="B54" s="29">
        <v>121</v>
      </c>
      <c r="C54" s="16">
        <v>20200414</v>
      </c>
      <c r="D54" s="10" t="s">
        <v>476</v>
      </c>
      <c r="E54" s="10" t="s">
        <v>45</v>
      </c>
      <c r="F54" s="10" t="s">
        <v>406</v>
      </c>
      <c r="G54" s="10" t="s">
        <v>15</v>
      </c>
      <c r="H54" s="10">
        <v>133</v>
      </c>
      <c r="I54" s="10">
        <v>2.36</v>
      </c>
      <c r="J54" s="10" t="s">
        <v>481</v>
      </c>
      <c r="K54" s="22">
        <v>43935</v>
      </c>
      <c r="L54" s="22">
        <v>43938</v>
      </c>
      <c r="M54" s="22">
        <v>43937</v>
      </c>
      <c r="N54" s="22">
        <v>43937</v>
      </c>
      <c r="O54" s="23" t="s">
        <v>482</v>
      </c>
    </row>
    <row r="55" spans="2:15" ht="15" x14ac:dyDescent="0.2">
      <c r="B55" s="29">
        <v>122</v>
      </c>
      <c r="C55" s="16">
        <v>20200414</v>
      </c>
      <c r="D55" s="10" t="s">
        <v>476</v>
      </c>
      <c r="E55" s="10" t="s">
        <v>45</v>
      </c>
      <c r="F55" s="10" t="s">
        <v>406</v>
      </c>
      <c r="G55" s="10" t="s">
        <v>15</v>
      </c>
      <c r="H55" s="10">
        <v>141</v>
      </c>
      <c r="I55" s="10">
        <v>2.5</v>
      </c>
      <c r="J55" s="10" t="s">
        <v>481</v>
      </c>
      <c r="K55" s="22">
        <v>43935</v>
      </c>
      <c r="L55" s="22">
        <v>43938</v>
      </c>
      <c r="M55" s="22">
        <v>43937</v>
      </c>
      <c r="N55" s="22">
        <v>43937</v>
      </c>
      <c r="O55" s="23" t="s">
        <v>482</v>
      </c>
    </row>
    <row r="56" spans="2:15" ht="15" x14ac:dyDescent="0.2">
      <c r="B56" s="31">
        <v>123</v>
      </c>
      <c r="C56" s="16">
        <v>20200414</v>
      </c>
      <c r="D56" s="10" t="s">
        <v>476</v>
      </c>
      <c r="E56" s="10" t="s">
        <v>60</v>
      </c>
      <c r="F56" s="10" t="s">
        <v>60</v>
      </c>
      <c r="G56" s="10" t="s">
        <v>15</v>
      </c>
      <c r="H56" s="10">
        <v>84</v>
      </c>
      <c r="I56" s="10">
        <v>1.49</v>
      </c>
      <c r="J56" s="10" t="s">
        <v>481</v>
      </c>
      <c r="K56" s="22">
        <v>43935</v>
      </c>
      <c r="L56" s="22">
        <v>43938</v>
      </c>
      <c r="M56" s="22">
        <v>43936</v>
      </c>
      <c r="N56" s="22">
        <v>43936</v>
      </c>
      <c r="O56" s="23" t="s">
        <v>482</v>
      </c>
    </row>
    <row r="57" spans="2:15" ht="15" x14ac:dyDescent="0.2">
      <c r="B57" s="31">
        <v>124</v>
      </c>
      <c r="C57" s="16">
        <v>20200414</v>
      </c>
      <c r="D57" s="10" t="s">
        <v>476</v>
      </c>
      <c r="E57" s="10" t="s">
        <v>60</v>
      </c>
      <c r="F57" s="10" t="s">
        <v>60</v>
      </c>
      <c r="G57" s="10" t="s">
        <v>15</v>
      </c>
      <c r="H57" s="10">
        <v>106</v>
      </c>
      <c r="I57" s="10">
        <v>1.88</v>
      </c>
      <c r="J57" s="10" t="s">
        <v>481</v>
      </c>
      <c r="K57" s="22">
        <v>43935</v>
      </c>
      <c r="L57" s="22">
        <v>43938</v>
      </c>
      <c r="M57" s="22">
        <v>43936</v>
      </c>
      <c r="N57" s="22">
        <v>43936</v>
      </c>
      <c r="O57" s="23" t="s">
        <v>482</v>
      </c>
    </row>
    <row r="58" spans="2:15" ht="15" x14ac:dyDescent="0.2">
      <c r="B58" s="31">
        <v>125</v>
      </c>
      <c r="C58" s="16">
        <v>20200414</v>
      </c>
      <c r="D58" s="10" t="s">
        <v>476</v>
      </c>
      <c r="E58" s="10" t="s">
        <v>60</v>
      </c>
      <c r="F58" s="10" t="s">
        <v>60</v>
      </c>
      <c r="G58" s="10" t="s">
        <v>15</v>
      </c>
      <c r="H58" s="10">
        <v>259</v>
      </c>
      <c r="I58" s="10">
        <v>4.5999999999999996</v>
      </c>
      <c r="J58" s="10" t="s">
        <v>481</v>
      </c>
      <c r="K58" s="22">
        <v>43935</v>
      </c>
      <c r="L58" s="22">
        <v>43938</v>
      </c>
      <c r="M58" s="22">
        <v>43937</v>
      </c>
      <c r="N58" s="22">
        <v>43937</v>
      </c>
      <c r="O58" s="23" t="s">
        <v>489</v>
      </c>
    </row>
    <row r="59" spans="2:15" ht="15" x14ac:dyDescent="0.2">
      <c r="B59" s="31">
        <v>126</v>
      </c>
      <c r="C59" s="16">
        <v>20200414</v>
      </c>
      <c r="D59" s="10" t="s">
        <v>476</v>
      </c>
      <c r="E59" s="10" t="s">
        <v>60</v>
      </c>
      <c r="F59" s="10" t="s">
        <v>60</v>
      </c>
      <c r="G59" s="10" t="s">
        <v>15</v>
      </c>
      <c r="H59" s="10">
        <v>140</v>
      </c>
      <c r="I59" s="10">
        <v>2.48</v>
      </c>
      <c r="J59" s="10" t="s">
        <v>481</v>
      </c>
      <c r="K59" s="22">
        <v>43935</v>
      </c>
      <c r="L59" s="22">
        <v>43938</v>
      </c>
      <c r="M59" s="22">
        <v>43937</v>
      </c>
      <c r="N59" s="22">
        <v>43937</v>
      </c>
      <c r="O59" s="23" t="s">
        <v>482</v>
      </c>
    </row>
    <row r="60" spans="2:15" ht="15" x14ac:dyDescent="0.2">
      <c r="B60" s="31">
        <v>127</v>
      </c>
      <c r="C60" s="16">
        <v>20200414</v>
      </c>
      <c r="D60" s="10" t="s">
        <v>476</v>
      </c>
      <c r="E60" s="10" t="s">
        <v>60</v>
      </c>
      <c r="F60" s="10" t="s">
        <v>60</v>
      </c>
      <c r="G60" s="10" t="s">
        <v>15</v>
      </c>
      <c r="H60" s="10">
        <v>77</v>
      </c>
      <c r="I60" s="10">
        <v>1.36</v>
      </c>
      <c r="J60" s="10" t="s">
        <v>481</v>
      </c>
      <c r="K60" s="22">
        <v>43935</v>
      </c>
      <c r="L60" s="22">
        <v>43938</v>
      </c>
      <c r="M60" s="22">
        <v>43937</v>
      </c>
      <c r="N60" s="22">
        <v>43937</v>
      </c>
      <c r="O60" s="23" t="s">
        <v>482</v>
      </c>
    </row>
    <row r="61" spans="2:15" ht="15" x14ac:dyDescent="0.2">
      <c r="B61" s="31">
        <v>128</v>
      </c>
      <c r="C61" s="16">
        <v>20200414</v>
      </c>
      <c r="D61" s="10" t="s">
        <v>476</v>
      </c>
      <c r="E61" s="10" t="s">
        <v>60</v>
      </c>
      <c r="F61" s="10" t="s">
        <v>60</v>
      </c>
      <c r="G61" s="10" t="s">
        <v>15</v>
      </c>
      <c r="H61" s="10">
        <v>53</v>
      </c>
      <c r="I61" s="10">
        <v>0.94</v>
      </c>
      <c r="J61" s="10" t="s">
        <v>481</v>
      </c>
      <c r="K61" s="22">
        <v>43935</v>
      </c>
      <c r="L61" s="22">
        <v>43938</v>
      </c>
      <c r="M61" s="22">
        <v>43937</v>
      </c>
      <c r="N61" s="22">
        <v>43937</v>
      </c>
      <c r="O61" s="23" t="s">
        <v>489</v>
      </c>
    </row>
    <row r="62" spans="2:15" ht="15" x14ac:dyDescent="0.2">
      <c r="B62" s="31">
        <v>129</v>
      </c>
      <c r="C62" s="16">
        <v>20200414</v>
      </c>
      <c r="D62" s="10" t="s">
        <v>476</v>
      </c>
      <c r="E62" s="10" t="s">
        <v>60</v>
      </c>
      <c r="F62" s="10" t="s">
        <v>60</v>
      </c>
      <c r="G62" s="10" t="s">
        <v>15</v>
      </c>
      <c r="H62" s="10">
        <v>160</v>
      </c>
      <c r="I62" s="10">
        <v>2.84</v>
      </c>
      <c r="J62" s="10" t="s">
        <v>481</v>
      </c>
      <c r="K62" s="22">
        <v>43935</v>
      </c>
      <c r="L62" s="22">
        <v>43938</v>
      </c>
      <c r="M62" s="22">
        <v>43937</v>
      </c>
      <c r="N62" s="22">
        <v>43937</v>
      </c>
      <c r="O62" s="23" t="s">
        <v>482</v>
      </c>
    </row>
    <row r="63" spans="2:15" ht="15" x14ac:dyDescent="0.2">
      <c r="B63" s="31">
        <v>130</v>
      </c>
      <c r="C63" s="16">
        <v>20200414</v>
      </c>
      <c r="D63" s="10" t="s">
        <v>476</v>
      </c>
      <c r="E63" s="10" t="s">
        <v>60</v>
      </c>
      <c r="F63" s="10" t="s">
        <v>60</v>
      </c>
      <c r="G63" s="10" t="s">
        <v>4</v>
      </c>
      <c r="H63" s="10">
        <v>436</v>
      </c>
      <c r="I63" s="10">
        <v>7.75</v>
      </c>
      <c r="J63" s="10" t="s">
        <v>481</v>
      </c>
      <c r="K63" s="22">
        <v>43935</v>
      </c>
      <c r="L63" s="22">
        <v>43938</v>
      </c>
      <c r="M63" s="22">
        <v>43937</v>
      </c>
      <c r="N63" s="22">
        <v>43937</v>
      </c>
      <c r="O63" s="23" t="s">
        <v>482</v>
      </c>
    </row>
    <row r="64" spans="2:15" ht="15" x14ac:dyDescent="0.2">
      <c r="B64" s="31">
        <v>131</v>
      </c>
      <c r="C64" s="16">
        <v>20200414</v>
      </c>
      <c r="D64" s="10" t="s">
        <v>476</v>
      </c>
      <c r="E64" s="10" t="s">
        <v>60</v>
      </c>
      <c r="F64" s="10" t="s">
        <v>60</v>
      </c>
      <c r="G64" s="10" t="s">
        <v>4</v>
      </c>
      <c r="H64" s="10">
        <v>55</v>
      </c>
      <c r="I64" s="10">
        <v>0.97</v>
      </c>
      <c r="J64" s="10" t="s">
        <v>481</v>
      </c>
      <c r="K64" s="22">
        <v>43935</v>
      </c>
      <c r="L64" s="22">
        <v>43938</v>
      </c>
      <c r="M64" s="22">
        <v>43937</v>
      </c>
      <c r="N64" s="22">
        <v>43937</v>
      </c>
      <c r="O64" s="23" t="s">
        <v>482</v>
      </c>
    </row>
    <row r="65" spans="2:15" ht="15" x14ac:dyDescent="0.2">
      <c r="B65" s="31">
        <v>132</v>
      </c>
      <c r="C65" s="16">
        <v>20200414</v>
      </c>
      <c r="D65" s="10" t="s">
        <v>476</v>
      </c>
      <c r="E65" s="10" t="s">
        <v>60</v>
      </c>
      <c r="F65" s="10" t="s">
        <v>60</v>
      </c>
      <c r="G65" s="10" t="s">
        <v>4</v>
      </c>
      <c r="H65" s="10">
        <v>200</v>
      </c>
      <c r="I65" s="10">
        <v>3.55</v>
      </c>
      <c r="J65" s="10" t="s">
        <v>481</v>
      </c>
      <c r="K65" s="22">
        <v>43935</v>
      </c>
      <c r="L65" s="22">
        <v>43938</v>
      </c>
      <c r="M65" s="22">
        <v>43937</v>
      </c>
      <c r="N65" s="22">
        <v>43937</v>
      </c>
      <c r="O65" s="23" t="s">
        <v>482</v>
      </c>
    </row>
    <row r="66" spans="2:15" ht="15" x14ac:dyDescent="0.2">
      <c r="B66" s="31">
        <v>133</v>
      </c>
      <c r="C66" s="16">
        <v>20200414</v>
      </c>
      <c r="D66" s="10" t="s">
        <v>476</v>
      </c>
      <c r="E66" s="10" t="s">
        <v>60</v>
      </c>
      <c r="F66" s="10" t="s">
        <v>60</v>
      </c>
      <c r="G66" s="10" t="s">
        <v>4</v>
      </c>
      <c r="H66" s="10">
        <v>130</v>
      </c>
      <c r="I66" s="10">
        <v>2.31</v>
      </c>
      <c r="J66" s="10" t="s">
        <v>481</v>
      </c>
      <c r="K66" s="22">
        <v>43935</v>
      </c>
      <c r="L66" s="22">
        <v>43938</v>
      </c>
      <c r="M66" s="22">
        <v>43937</v>
      </c>
      <c r="N66" s="22">
        <v>43937</v>
      </c>
      <c r="O66" s="23" t="s">
        <v>482</v>
      </c>
    </row>
    <row r="67" spans="2:15" ht="15" x14ac:dyDescent="0.2">
      <c r="B67" s="31">
        <v>134</v>
      </c>
      <c r="C67" s="16">
        <v>20200414</v>
      </c>
      <c r="D67" s="10" t="s">
        <v>476</v>
      </c>
      <c r="E67" s="10" t="s">
        <v>60</v>
      </c>
      <c r="F67" s="10" t="s">
        <v>60</v>
      </c>
      <c r="G67" s="10" t="s">
        <v>4</v>
      </c>
      <c r="H67" s="10">
        <v>199</v>
      </c>
      <c r="I67" s="10">
        <v>3.53</v>
      </c>
      <c r="J67" s="10" t="s">
        <v>481</v>
      </c>
      <c r="K67" s="22">
        <v>43935</v>
      </c>
      <c r="L67" s="22">
        <v>43938</v>
      </c>
      <c r="M67" s="22">
        <v>43937</v>
      </c>
      <c r="N67" s="22">
        <v>43937</v>
      </c>
      <c r="O67" s="23" t="s">
        <v>482</v>
      </c>
    </row>
    <row r="68" spans="2:15" ht="15" x14ac:dyDescent="0.2">
      <c r="B68" s="31">
        <v>135</v>
      </c>
      <c r="C68" s="16">
        <v>20200414</v>
      </c>
      <c r="D68" s="10" t="s">
        <v>476</v>
      </c>
      <c r="E68" s="10" t="s">
        <v>60</v>
      </c>
      <c r="F68" s="10" t="s">
        <v>60</v>
      </c>
      <c r="G68" s="10" t="s">
        <v>4</v>
      </c>
      <c r="H68" s="10">
        <v>6</v>
      </c>
      <c r="I68" s="10">
        <v>0.1</v>
      </c>
      <c r="J68" s="10" t="s">
        <v>481</v>
      </c>
      <c r="K68" s="22">
        <v>43935</v>
      </c>
      <c r="L68" s="22">
        <v>43938</v>
      </c>
      <c r="M68" s="22">
        <v>43937</v>
      </c>
      <c r="N68" s="22">
        <v>43937</v>
      </c>
      <c r="O68" s="23" t="s">
        <v>482</v>
      </c>
    </row>
    <row r="69" spans="2:15" ht="15" x14ac:dyDescent="0.2">
      <c r="B69" s="32">
        <v>136</v>
      </c>
      <c r="C69" s="16">
        <v>20200414</v>
      </c>
      <c r="D69" s="10" t="s">
        <v>476</v>
      </c>
      <c r="E69" s="10" t="s">
        <v>75</v>
      </c>
      <c r="F69" s="10" t="s">
        <v>417</v>
      </c>
      <c r="G69" s="10" t="s">
        <v>77</v>
      </c>
      <c r="H69" s="10">
        <v>60</v>
      </c>
      <c r="I69" s="10">
        <v>1.06</v>
      </c>
      <c r="J69" s="10" t="s">
        <v>481</v>
      </c>
      <c r="K69" s="22">
        <v>43935</v>
      </c>
      <c r="L69" s="22">
        <v>43938</v>
      </c>
      <c r="M69" s="22">
        <v>43935</v>
      </c>
      <c r="N69" s="22">
        <v>43935</v>
      </c>
      <c r="O69" s="23" t="s">
        <v>482</v>
      </c>
    </row>
    <row r="70" spans="2:15" ht="15" x14ac:dyDescent="0.2">
      <c r="B70" s="32">
        <v>137</v>
      </c>
      <c r="C70" s="16">
        <v>20200414</v>
      </c>
      <c r="D70" s="10" t="s">
        <v>476</v>
      </c>
      <c r="E70" s="10" t="s">
        <v>75</v>
      </c>
      <c r="F70" s="10" t="s">
        <v>417</v>
      </c>
      <c r="G70" s="10" t="s">
        <v>77</v>
      </c>
      <c r="H70" s="10">
        <v>0</v>
      </c>
      <c r="I70" s="10">
        <v>0</v>
      </c>
      <c r="J70" s="10" t="s">
        <v>481</v>
      </c>
      <c r="K70" s="22">
        <v>43935</v>
      </c>
      <c r="L70" s="22">
        <v>43938</v>
      </c>
      <c r="M70" s="22">
        <v>43935</v>
      </c>
      <c r="N70" s="22">
        <v>43935</v>
      </c>
      <c r="O70" s="23" t="s">
        <v>482</v>
      </c>
    </row>
    <row r="71" spans="2:15" ht="15" x14ac:dyDescent="0.2">
      <c r="B71" s="32">
        <v>138</v>
      </c>
      <c r="C71" s="16">
        <v>20200414</v>
      </c>
      <c r="D71" s="10" t="s">
        <v>476</v>
      </c>
      <c r="E71" s="10" t="s">
        <v>75</v>
      </c>
      <c r="F71" s="10" t="s">
        <v>417</v>
      </c>
      <c r="G71" s="10" t="s">
        <v>77</v>
      </c>
      <c r="H71" s="10">
        <v>0</v>
      </c>
      <c r="I71" s="10">
        <v>0</v>
      </c>
      <c r="J71" s="10" t="s">
        <v>481</v>
      </c>
      <c r="K71" s="22">
        <v>43936</v>
      </c>
      <c r="L71" s="22">
        <v>43938</v>
      </c>
      <c r="M71" s="22">
        <v>43935</v>
      </c>
      <c r="N71" s="22">
        <v>43935</v>
      </c>
      <c r="O71" s="23" t="s">
        <v>482</v>
      </c>
    </row>
    <row r="72" spans="2:15" ht="15" x14ac:dyDescent="0.2">
      <c r="B72" s="32">
        <v>139</v>
      </c>
      <c r="C72" s="16">
        <v>20200414</v>
      </c>
      <c r="D72" s="10" t="s">
        <v>476</v>
      </c>
      <c r="E72" s="10" t="s">
        <v>75</v>
      </c>
      <c r="F72" s="10" t="s">
        <v>417</v>
      </c>
      <c r="G72" s="10" t="s">
        <v>77</v>
      </c>
      <c r="H72" s="10">
        <v>0</v>
      </c>
      <c r="I72" s="10">
        <v>0</v>
      </c>
      <c r="J72" s="10" t="s">
        <v>481</v>
      </c>
      <c r="K72" s="22">
        <v>43937</v>
      </c>
      <c r="L72" s="22">
        <v>43938</v>
      </c>
      <c r="M72" s="22">
        <v>43935</v>
      </c>
      <c r="N72" s="22">
        <v>43935</v>
      </c>
      <c r="O72" s="23" t="s">
        <v>482</v>
      </c>
    </row>
    <row r="73" spans="2:15" ht="15" x14ac:dyDescent="0.2">
      <c r="B73" s="32">
        <v>140</v>
      </c>
      <c r="C73" s="16">
        <v>20200414</v>
      </c>
      <c r="D73" s="10" t="s">
        <v>476</v>
      </c>
      <c r="E73" s="10" t="s">
        <v>75</v>
      </c>
      <c r="F73" s="10" t="s">
        <v>417</v>
      </c>
      <c r="G73" s="10" t="s">
        <v>77</v>
      </c>
      <c r="H73" s="10">
        <v>5</v>
      </c>
      <c r="I73" s="10">
        <v>0.08</v>
      </c>
      <c r="J73" s="10" t="s">
        <v>481</v>
      </c>
      <c r="K73" s="22">
        <v>43935</v>
      </c>
      <c r="L73" s="22">
        <v>43938</v>
      </c>
      <c r="M73" s="22">
        <v>43935</v>
      </c>
      <c r="N73" s="22">
        <v>43935</v>
      </c>
      <c r="O73" s="23" t="s">
        <v>482</v>
      </c>
    </row>
    <row r="74" spans="2:15" ht="15" x14ac:dyDescent="0.2">
      <c r="B74" s="32">
        <v>141</v>
      </c>
      <c r="C74" s="16">
        <v>20200414</v>
      </c>
      <c r="D74" s="10" t="s">
        <v>476</v>
      </c>
      <c r="E74" s="10" t="s">
        <v>75</v>
      </c>
      <c r="F74" s="10" t="s">
        <v>417</v>
      </c>
      <c r="G74" s="10" t="s">
        <v>77</v>
      </c>
      <c r="H74" s="10">
        <v>13</v>
      </c>
      <c r="I74" s="10">
        <v>0.23</v>
      </c>
      <c r="J74" s="10" t="s">
        <v>481</v>
      </c>
      <c r="K74" s="22">
        <v>43935</v>
      </c>
      <c r="L74" s="22">
        <v>43938</v>
      </c>
      <c r="M74" s="22">
        <v>43935</v>
      </c>
      <c r="N74" s="22">
        <v>43935</v>
      </c>
      <c r="O74" s="23" t="s">
        <v>482</v>
      </c>
    </row>
    <row r="75" spans="2:15" ht="15" x14ac:dyDescent="0.2">
      <c r="B75" s="32">
        <v>142</v>
      </c>
      <c r="C75" s="16">
        <v>20200414</v>
      </c>
      <c r="D75" s="10" t="s">
        <v>476</v>
      </c>
      <c r="E75" s="10" t="s">
        <v>75</v>
      </c>
      <c r="F75" s="10" t="s">
        <v>417</v>
      </c>
      <c r="G75" s="10" t="s">
        <v>77</v>
      </c>
      <c r="H75" s="10">
        <v>4</v>
      </c>
      <c r="I75" s="10">
        <v>7.0000000000000007E-2</v>
      </c>
      <c r="J75" s="10" t="s">
        <v>481</v>
      </c>
      <c r="K75" s="22">
        <v>43935</v>
      </c>
      <c r="L75" s="22">
        <v>43938</v>
      </c>
      <c r="M75" s="22">
        <v>43935</v>
      </c>
      <c r="N75" s="22">
        <v>43935</v>
      </c>
      <c r="O75" s="23" t="s">
        <v>482</v>
      </c>
    </row>
    <row r="76" spans="2:15" ht="15" x14ac:dyDescent="0.2">
      <c r="B76" s="32">
        <v>143</v>
      </c>
      <c r="C76" s="16">
        <v>20200414</v>
      </c>
      <c r="D76" s="10" t="s">
        <v>476</v>
      </c>
      <c r="E76" s="10" t="s">
        <v>75</v>
      </c>
      <c r="F76" s="10" t="s">
        <v>417</v>
      </c>
      <c r="G76" s="10" t="s">
        <v>77</v>
      </c>
      <c r="H76" s="10">
        <v>329</v>
      </c>
      <c r="I76" s="10">
        <v>5.84</v>
      </c>
      <c r="J76" s="10" t="s">
        <v>481</v>
      </c>
      <c r="K76" s="22">
        <v>43935</v>
      </c>
      <c r="L76" s="22">
        <v>43938</v>
      </c>
      <c r="M76" s="22">
        <v>43935</v>
      </c>
      <c r="N76" s="22">
        <v>43935</v>
      </c>
      <c r="O76" s="23" t="s">
        <v>482</v>
      </c>
    </row>
    <row r="77" spans="2:15" ht="15" x14ac:dyDescent="0.2">
      <c r="B77" s="32">
        <v>144</v>
      </c>
      <c r="C77" s="16">
        <v>20200414</v>
      </c>
      <c r="D77" s="10" t="s">
        <v>476</v>
      </c>
      <c r="E77" s="10" t="s">
        <v>75</v>
      </c>
      <c r="F77" s="10" t="s">
        <v>417</v>
      </c>
      <c r="G77" s="10" t="s">
        <v>77</v>
      </c>
      <c r="H77" s="10">
        <v>96</v>
      </c>
      <c r="I77" s="10">
        <v>1.7</v>
      </c>
      <c r="J77" s="10" t="s">
        <v>481</v>
      </c>
      <c r="K77" s="22">
        <v>43935</v>
      </c>
      <c r="L77" s="22">
        <v>43938</v>
      </c>
      <c r="M77" s="22">
        <v>43935</v>
      </c>
      <c r="N77" s="22">
        <v>43935</v>
      </c>
      <c r="O77" s="23" t="s">
        <v>482</v>
      </c>
    </row>
    <row r="78" spans="2:15" ht="15" x14ac:dyDescent="0.2">
      <c r="B78" s="32">
        <v>145</v>
      </c>
      <c r="C78" s="16">
        <v>20200414</v>
      </c>
      <c r="D78" s="10" t="s">
        <v>476</v>
      </c>
      <c r="E78" s="10" t="s">
        <v>75</v>
      </c>
      <c r="F78" s="10" t="s">
        <v>417</v>
      </c>
      <c r="G78" s="10" t="s">
        <v>77</v>
      </c>
      <c r="H78" s="10">
        <v>518</v>
      </c>
      <c r="I78" s="10">
        <v>9.1999999999999993</v>
      </c>
      <c r="J78" s="10" t="s">
        <v>481</v>
      </c>
      <c r="K78" s="22">
        <v>43935</v>
      </c>
      <c r="L78" s="22">
        <v>43938</v>
      </c>
      <c r="M78" s="22">
        <v>43935</v>
      </c>
      <c r="N78" s="22">
        <v>43938</v>
      </c>
      <c r="O78" s="23" t="s">
        <v>489</v>
      </c>
    </row>
    <row r="79" spans="2:15" ht="15" x14ac:dyDescent="0.2">
      <c r="B79" s="32">
        <v>146</v>
      </c>
      <c r="C79" s="16">
        <v>20200414</v>
      </c>
      <c r="D79" s="10" t="s">
        <v>476</v>
      </c>
      <c r="E79" s="10" t="s">
        <v>75</v>
      </c>
      <c r="F79" s="10" t="s">
        <v>417</v>
      </c>
      <c r="G79" s="10" t="s">
        <v>77</v>
      </c>
      <c r="H79" s="10">
        <v>51</v>
      </c>
      <c r="I79" s="10">
        <v>0.9</v>
      </c>
      <c r="J79" s="10" t="s">
        <v>481</v>
      </c>
      <c r="K79" s="22">
        <v>43935</v>
      </c>
      <c r="L79" s="22">
        <v>43938</v>
      </c>
      <c r="M79" s="22">
        <v>43935</v>
      </c>
      <c r="N79" s="22">
        <v>43935</v>
      </c>
      <c r="O79" s="23" t="s">
        <v>482</v>
      </c>
    </row>
    <row r="80" spans="2:15" ht="15" x14ac:dyDescent="0.2">
      <c r="B80" s="32">
        <v>147</v>
      </c>
      <c r="C80" s="16">
        <v>20200414</v>
      </c>
      <c r="D80" s="10" t="s">
        <v>476</v>
      </c>
      <c r="E80" s="10" t="s">
        <v>75</v>
      </c>
      <c r="F80" s="10" t="s">
        <v>417</v>
      </c>
      <c r="G80" s="10" t="s">
        <v>77</v>
      </c>
      <c r="H80" s="10">
        <v>0</v>
      </c>
      <c r="I80" s="10">
        <v>0</v>
      </c>
      <c r="J80" s="10" t="s">
        <v>481</v>
      </c>
      <c r="K80" s="22">
        <v>43935</v>
      </c>
      <c r="L80" s="22">
        <v>43938</v>
      </c>
      <c r="M80" s="22">
        <v>43935</v>
      </c>
      <c r="N80" s="22">
        <v>43935</v>
      </c>
      <c r="O80" s="23" t="s">
        <v>482</v>
      </c>
    </row>
    <row r="81" spans="2:15" ht="15" x14ac:dyDescent="0.2">
      <c r="B81" s="32">
        <v>148</v>
      </c>
      <c r="C81" s="16">
        <v>20200414</v>
      </c>
      <c r="D81" s="10" t="s">
        <v>476</v>
      </c>
      <c r="E81" s="10" t="s">
        <v>75</v>
      </c>
      <c r="F81" s="10" t="s">
        <v>417</v>
      </c>
      <c r="G81" s="10" t="s">
        <v>40</v>
      </c>
      <c r="H81" s="10">
        <v>7</v>
      </c>
      <c r="I81" s="10">
        <v>0.12</v>
      </c>
      <c r="J81" s="10" t="s">
        <v>481</v>
      </c>
      <c r="K81" s="22">
        <v>43935</v>
      </c>
      <c r="L81" s="22">
        <v>43938</v>
      </c>
      <c r="M81" s="22">
        <v>43935</v>
      </c>
      <c r="N81" s="22">
        <v>43935</v>
      </c>
      <c r="O81" s="23" t="s">
        <v>482</v>
      </c>
    </row>
    <row r="82" spans="2:15" ht="15" x14ac:dyDescent="0.2">
      <c r="B82" s="32">
        <v>149</v>
      </c>
      <c r="C82" s="16">
        <v>20200414</v>
      </c>
      <c r="D82" s="10" t="s">
        <v>476</v>
      </c>
      <c r="E82" s="10" t="s">
        <v>75</v>
      </c>
      <c r="F82" s="10" t="s">
        <v>417</v>
      </c>
      <c r="G82" s="10" t="s">
        <v>40</v>
      </c>
      <c r="H82" s="10">
        <v>78</v>
      </c>
      <c r="I82" s="10">
        <v>1.38</v>
      </c>
      <c r="J82" s="10" t="s">
        <v>481</v>
      </c>
      <c r="K82" s="22">
        <v>43935</v>
      </c>
      <c r="L82" s="22">
        <v>43938</v>
      </c>
      <c r="M82" s="22">
        <v>43935</v>
      </c>
      <c r="N82" s="22">
        <v>43935</v>
      </c>
      <c r="O82" s="23" t="s">
        <v>482</v>
      </c>
    </row>
    <row r="83" spans="2:15" ht="15" x14ac:dyDescent="0.2">
      <c r="B83" s="32">
        <v>150</v>
      </c>
      <c r="C83" s="16">
        <v>20200414</v>
      </c>
      <c r="D83" s="10" t="s">
        <v>476</v>
      </c>
      <c r="E83" s="10" t="s">
        <v>75</v>
      </c>
      <c r="F83" s="10" t="s">
        <v>417</v>
      </c>
      <c r="G83" s="10" t="s">
        <v>40</v>
      </c>
      <c r="H83" s="10">
        <v>24</v>
      </c>
      <c r="I83" s="10">
        <v>0.42</v>
      </c>
      <c r="J83" s="10" t="s">
        <v>481</v>
      </c>
      <c r="K83" s="22">
        <v>43935</v>
      </c>
      <c r="L83" s="22">
        <v>43938</v>
      </c>
      <c r="M83" s="22">
        <v>43935</v>
      </c>
      <c r="N83" s="22">
        <v>43935</v>
      </c>
      <c r="O83" s="23" t="s">
        <v>482</v>
      </c>
    </row>
    <row r="84" spans="2:15" ht="15" x14ac:dyDescent="0.2">
      <c r="B84" s="32">
        <v>151</v>
      </c>
      <c r="C84" s="16">
        <v>20200414</v>
      </c>
      <c r="D84" s="10" t="s">
        <v>476</v>
      </c>
      <c r="E84" s="10" t="s">
        <v>75</v>
      </c>
      <c r="F84" s="10" t="s">
        <v>417</v>
      </c>
      <c r="G84" s="10" t="s">
        <v>40</v>
      </c>
      <c r="H84" s="10">
        <v>12</v>
      </c>
      <c r="I84" s="10">
        <v>0.21</v>
      </c>
      <c r="J84" s="10" t="s">
        <v>481</v>
      </c>
      <c r="K84" s="22">
        <v>43935</v>
      </c>
      <c r="L84" s="22">
        <v>43938</v>
      </c>
      <c r="M84" s="22">
        <v>43935</v>
      </c>
      <c r="N84" s="22">
        <v>43935</v>
      </c>
      <c r="O84" s="23" t="s">
        <v>482</v>
      </c>
    </row>
    <row r="85" spans="2:15" ht="15" x14ac:dyDescent="0.2">
      <c r="B85" s="32">
        <v>152</v>
      </c>
      <c r="C85" s="16">
        <v>20200414</v>
      </c>
      <c r="D85" s="10" t="s">
        <v>476</v>
      </c>
      <c r="E85" s="10" t="s">
        <v>75</v>
      </c>
      <c r="F85" s="10" t="s">
        <v>417</v>
      </c>
      <c r="G85" s="10" t="s">
        <v>40</v>
      </c>
      <c r="H85" s="10">
        <v>0</v>
      </c>
      <c r="I85" s="10">
        <v>0</v>
      </c>
      <c r="J85" s="10" t="s">
        <v>481</v>
      </c>
      <c r="K85" s="22">
        <v>43935</v>
      </c>
      <c r="L85" s="22">
        <v>43938</v>
      </c>
      <c r="M85" s="22">
        <v>43935</v>
      </c>
      <c r="N85" s="22">
        <v>43935</v>
      </c>
      <c r="O85" s="23" t="s">
        <v>482</v>
      </c>
    </row>
    <row r="86" spans="2:15" ht="15" x14ac:dyDescent="0.2">
      <c r="B86" s="32">
        <v>153</v>
      </c>
      <c r="C86" s="16">
        <v>20200414</v>
      </c>
      <c r="D86" s="10" t="s">
        <v>476</v>
      </c>
      <c r="E86" s="10" t="s">
        <v>75</v>
      </c>
      <c r="F86" s="10" t="s">
        <v>417</v>
      </c>
      <c r="G86" s="10" t="s">
        <v>40</v>
      </c>
      <c r="H86" s="10">
        <v>5</v>
      </c>
      <c r="I86" s="10">
        <v>0.08</v>
      </c>
      <c r="J86" s="10" t="s">
        <v>481</v>
      </c>
      <c r="K86" s="22">
        <v>43935</v>
      </c>
      <c r="L86" s="22">
        <v>43938</v>
      </c>
      <c r="M86" s="22">
        <v>43935</v>
      </c>
      <c r="N86" s="22">
        <v>43935</v>
      </c>
      <c r="O86" s="23" t="s">
        <v>482</v>
      </c>
    </row>
    <row r="87" spans="2:15" ht="15" x14ac:dyDescent="0.2">
      <c r="B87" s="32">
        <v>154</v>
      </c>
      <c r="C87" s="16">
        <v>20200414</v>
      </c>
      <c r="D87" s="10" t="s">
        <v>476</v>
      </c>
      <c r="E87" s="10" t="s">
        <v>75</v>
      </c>
      <c r="F87" s="10" t="s">
        <v>417</v>
      </c>
      <c r="G87" s="10" t="s">
        <v>40</v>
      </c>
      <c r="H87" s="10">
        <v>8</v>
      </c>
      <c r="I87" s="10">
        <v>0.14000000000000001</v>
      </c>
      <c r="J87" s="10" t="s">
        <v>481</v>
      </c>
      <c r="K87" s="22">
        <v>43935</v>
      </c>
      <c r="L87" s="22">
        <v>43938</v>
      </c>
      <c r="M87" s="22">
        <v>43935</v>
      </c>
      <c r="N87" s="22">
        <v>43935</v>
      </c>
      <c r="O87" s="23" t="s">
        <v>482</v>
      </c>
    </row>
    <row r="88" spans="2:15" ht="15" x14ac:dyDescent="0.2">
      <c r="B88" s="32">
        <v>155</v>
      </c>
      <c r="C88" s="16">
        <v>20200414</v>
      </c>
      <c r="D88" s="10" t="s">
        <v>476</v>
      </c>
      <c r="E88" s="10" t="s">
        <v>75</v>
      </c>
      <c r="F88" s="10" t="s">
        <v>417</v>
      </c>
      <c r="G88" s="10" t="s">
        <v>40</v>
      </c>
      <c r="H88" s="10">
        <v>5</v>
      </c>
      <c r="I88" s="10">
        <v>0.08</v>
      </c>
      <c r="J88" s="10" t="s">
        <v>481</v>
      </c>
      <c r="K88" s="22">
        <v>43935</v>
      </c>
      <c r="L88" s="22">
        <v>43938</v>
      </c>
      <c r="M88" s="22">
        <v>43935</v>
      </c>
      <c r="N88" s="22">
        <v>43935</v>
      </c>
      <c r="O88" s="23" t="s">
        <v>482</v>
      </c>
    </row>
    <row r="89" spans="2:15" ht="15" x14ac:dyDescent="0.2">
      <c r="B89" s="32">
        <v>156</v>
      </c>
      <c r="C89" s="16">
        <v>20200414</v>
      </c>
      <c r="D89" s="10" t="s">
        <v>476</v>
      </c>
      <c r="E89" s="10" t="s">
        <v>75</v>
      </c>
      <c r="F89" s="10" t="s">
        <v>417</v>
      </c>
      <c r="G89" s="10" t="s">
        <v>40</v>
      </c>
      <c r="H89" s="10">
        <v>10</v>
      </c>
      <c r="I89" s="10">
        <v>0.17</v>
      </c>
      <c r="J89" s="10" t="s">
        <v>481</v>
      </c>
      <c r="K89" s="22">
        <v>43935</v>
      </c>
      <c r="L89" s="22">
        <v>43938</v>
      </c>
      <c r="M89" s="22">
        <v>43935</v>
      </c>
      <c r="N89" s="22">
        <v>43935</v>
      </c>
      <c r="O89" s="23" t="s">
        <v>482</v>
      </c>
    </row>
    <row r="90" spans="2:15" ht="15" x14ac:dyDescent="0.2">
      <c r="B90" s="32">
        <v>157</v>
      </c>
      <c r="C90" s="16">
        <v>20200414</v>
      </c>
      <c r="D90" s="10" t="s">
        <v>476</v>
      </c>
      <c r="E90" s="10" t="s">
        <v>75</v>
      </c>
      <c r="F90" s="10" t="s">
        <v>417</v>
      </c>
      <c r="G90" s="10" t="s">
        <v>40</v>
      </c>
      <c r="H90" s="10">
        <v>52</v>
      </c>
      <c r="I90" s="10">
        <v>0.92</v>
      </c>
      <c r="J90" s="10" t="s">
        <v>481</v>
      </c>
      <c r="K90" s="22">
        <v>43935</v>
      </c>
      <c r="L90" s="22">
        <v>43938</v>
      </c>
      <c r="M90" s="22">
        <v>43935</v>
      </c>
      <c r="N90" s="22">
        <v>43935</v>
      </c>
      <c r="O90" s="23" t="s">
        <v>482</v>
      </c>
    </row>
    <row r="91" spans="2:15" ht="15" x14ac:dyDescent="0.2">
      <c r="B91" s="32">
        <v>158</v>
      </c>
      <c r="C91" s="16">
        <v>20200414</v>
      </c>
      <c r="D91" s="10" t="s">
        <v>476</v>
      </c>
      <c r="E91" s="10" t="s">
        <v>75</v>
      </c>
      <c r="F91" s="10" t="s">
        <v>417</v>
      </c>
      <c r="G91" s="10" t="s">
        <v>40</v>
      </c>
      <c r="H91" s="10">
        <v>18</v>
      </c>
      <c r="I91" s="10">
        <v>0.32</v>
      </c>
      <c r="J91" s="10" t="s">
        <v>481</v>
      </c>
      <c r="K91" s="22">
        <v>43935</v>
      </c>
      <c r="L91" s="22">
        <v>43938</v>
      </c>
      <c r="M91" s="22">
        <v>43935</v>
      </c>
      <c r="N91" s="22">
        <v>43935</v>
      </c>
      <c r="O91" s="23" t="s">
        <v>489</v>
      </c>
    </row>
    <row r="92" spans="2:15" ht="15" x14ac:dyDescent="0.2">
      <c r="B92" s="32">
        <v>159</v>
      </c>
      <c r="C92" s="16">
        <v>20200414</v>
      </c>
      <c r="D92" s="10" t="s">
        <v>476</v>
      </c>
      <c r="E92" s="10" t="s">
        <v>75</v>
      </c>
      <c r="F92" s="10" t="s">
        <v>417</v>
      </c>
      <c r="G92" s="10" t="s">
        <v>40</v>
      </c>
      <c r="H92" s="10">
        <v>0</v>
      </c>
      <c r="I92" s="10">
        <v>0</v>
      </c>
      <c r="J92" s="10" t="s">
        <v>481</v>
      </c>
      <c r="K92" s="22">
        <v>43935</v>
      </c>
      <c r="L92" s="22">
        <v>43938</v>
      </c>
      <c r="M92" s="22">
        <v>43935</v>
      </c>
      <c r="N92" s="22">
        <v>43935</v>
      </c>
      <c r="O92" s="23" t="s">
        <v>482</v>
      </c>
    </row>
    <row r="93" spans="2:15" ht="15" x14ac:dyDescent="0.2">
      <c r="B93" s="32">
        <v>160</v>
      </c>
      <c r="C93" s="16">
        <v>20200414</v>
      </c>
      <c r="D93" s="10" t="s">
        <v>476</v>
      </c>
      <c r="E93" s="10" t="s">
        <v>75</v>
      </c>
      <c r="F93" s="10" t="s">
        <v>417</v>
      </c>
      <c r="G93" s="10" t="s">
        <v>40</v>
      </c>
      <c r="H93" s="10">
        <v>47</v>
      </c>
      <c r="I93" s="10">
        <v>0.83</v>
      </c>
      <c r="J93" s="10" t="s">
        <v>481</v>
      </c>
      <c r="K93" s="22">
        <v>43935</v>
      </c>
      <c r="L93" s="22">
        <v>43938</v>
      </c>
      <c r="M93" s="22">
        <v>43935</v>
      </c>
      <c r="N93" s="22">
        <v>43935</v>
      </c>
      <c r="O93" s="23" t="s">
        <v>489</v>
      </c>
    </row>
    <row r="94" spans="2:15" ht="15" x14ac:dyDescent="0.2">
      <c r="B94" s="32">
        <v>161</v>
      </c>
      <c r="C94" s="16">
        <v>20200414</v>
      </c>
      <c r="D94" s="10" t="s">
        <v>476</v>
      </c>
      <c r="E94" s="10" t="s">
        <v>75</v>
      </c>
      <c r="F94" s="10" t="s">
        <v>417</v>
      </c>
      <c r="G94" s="10" t="s">
        <v>40</v>
      </c>
      <c r="H94" s="10">
        <v>101</v>
      </c>
      <c r="I94" s="10">
        <v>1.79</v>
      </c>
      <c r="J94" s="10" t="s">
        <v>481</v>
      </c>
      <c r="K94" s="22">
        <v>43935</v>
      </c>
      <c r="L94" s="22">
        <v>43938</v>
      </c>
      <c r="M94" s="22">
        <v>43935</v>
      </c>
      <c r="N94" s="22">
        <v>43936</v>
      </c>
      <c r="O94" s="23" t="s">
        <v>482</v>
      </c>
    </row>
    <row r="95" spans="2:15" ht="15" x14ac:dyDescent="0.2">
      <c r="B95" s="32">
        <v>162</v>
      </c>
      <c r="C95" s="16">
        <v>20200414</v>
      </c>
      <c r="D95" s="10" t="s">
        <v>476</v>
      </c>
      <c r="E95" s="10" t="s">
        <v>75</v>
      </c>
      <c r="F95" s="10" t="s">
        <v>417</v>
      </c>
      <c r="G95" s="10" t="s">
        <v>40</v>
      </c>
      <c r="H95" s="10">
        <v>7</v>
      </c>
      <c r="I95" s="10">
        <v>0.12</v>
      </c>
      <c r="J95" s="10" t="s">
        <v>481</v>
      </c>
      <c r="K95" s="22">
        <v>43935</v>
      </c>
      <c r="L95" s="22">
        <v>43938</v>
      </c>
      <c r="M95" s="22">
        <v>43935</v>
      </c>
      <c r="N95" s="22">
        <v>43936</v>
      </c>
      <c r="O95" s="23" t="s">
        <v>482</v>
      </c>
    </row>
    <row r="96" spans="2:15" ht="15" x14ac:dyDescent="0.2">
      <c r="B96" s="32">
        <v>163</v>
      </c>
      <c r="C96" s="16">
        <v>20200414</v>
      </c>
      <c r="D96" s="10" t="s">
        <v>476</v>
      </c>
      <c r="E96" s="10" t="s">
        <v>75</v>
      </c>
      <c r="F96" s="10" t="s">
        <v>417</v>
      </c>
      <c r="G96" s="10" t="s">
        <v>40</v>
      </c>
      <c r="H96" s="10">
        <v>5</v>
      </c>
      <c r="I96" s="10">
        <v>0.08</v>
      </c>
      <c r="J96" s="10" t="s">
        <v>481</v>
      </c>
      <c r="K96" s="22">
        <v>43935</v>
      </c>
      <c r="L96" s="22">
        <v>43938</v>
      </c>
      <c r="M96" s="22">
        <v>43935</v>
      </c>
      <c r="N96" s="22">
        <v>43936</v>
      </c>
      <c r="O96" s="23" t="s">
        <v>482</v>
      </c>
    </row>
    <row r="97" spans="2:15" ht="15" x14ac:dyDescent="0.2">
      <c r="B97" s="32">
        <v>164</v>
      </c>
      <c r="C97" s="16">
        <v>20200414</v>
      </c>
      <c r="D97" s="10" t="s">
        <v>476</v>
      </c>
      <c r="E97" s="10" t="s">
        <v>75</v>
      </c>
      <c r="F97" s="10" t="s">
        <v>417</v>
      </c>
      <c r="G97" s="10" t="s">
        <v>40</v>
      </c>
      <c r="H97" s="10">
        <v>58</v>
      </c>
      <c r="I97" s="10">
        <v>1.03</v>
      </c>
      <c r="J97" s="10" t="s">
        <v>481</v>
      </c>
      <c r="K97" s="22">
        <v>43935</v>
      </c>
      <c r="L97" s="22">
        <v>43938</v>
      </c>
      <c r="M97" s="22">
        <v>43935</v>
      </c>
      <c r="N97" s="22">
        <v>43936</v>
      </c>
      <c r="O97" s="23" t="s">
        <v>482</v>
      </c>
    </row>
    <row r="98" spans="2:15" ht="15" x14ac:dyDescent="0.2">
      <c r="B98" s="32">
        <v>165</v>
      </c>
      <c r="C98" s="16">
        <v>20200414</v>
      </c>
      <c r="D98" s="10" t="s">
        <v>476</v>
      </c>
      <c r="E98" s="10" t="s">
        <v>75</v>
      </c>
      <c r="F98" s="10" t="s">
        <v>417</v>
      </c>
      <c r="G98" s="10" t="s">
        <v>40</v>
      </c>
      <c r="H98" s="10">
        <v>13</v>
      </c>
      <c r="I98" s="10">
        <v>0.23</v>
      </c>
      <c r="J98" s="10" t="s">
        <v>481</v>
      </c>
      <c r="K98" s="22">
        <v>43935</v>
      </c>
      <c r="L98" s="22">
        <v>43938</v>
      </c>
      <c r="M98" s="22">
        <v>43935</v>
      </c>
      <c r="N98" s="22">
        <v>43936</v>
      </c>
      <c r="O98" s="23" t="s">
        <v>482</v>
      </c>
    </row>
    <row r="99" spans="2:15" ht="15" x14ac:dyDescent="0.2">
      <c r="B99" s="35">
        <v>166</v>
      </c>
      <c r="C99" s="16">
        <v>20200415</v>
      </c>
      <c r="D99" s="10" t="s">
        <v>476</v>
      </c>
      <c r="E99" s="10" t="s">
        <v>107</v>
      </c>
      <c r="F99" s="10" t="s">
        <v>418</v>
      </c>
      <c r="G99" s="10" t="s">
        <v>40</v>
      </c>
      <c r="H99" s="10">
        <v>74</v>
      </c>
      <c r="I99" s="10">
        <v>1.31</v>
      </c>
      <c r="J99" s="10" t="s">
        <v>481</v>
      </c>
      <c r="K99" s="22">
        <v>43936</v>
      </c>
      <c r="L99" s="22">
        <v>43938</v>
      </c>
      <c r="M99" s="22">
        <v>43936</v>
      </c>
      <c r="N99" s="22">
        <v>43936</v>
      </c>
      <c r="O99" s="23" t="s">
        <v>482</v>
      </c>
    </row>
    <row r="100" spans="2:15" ht="15" x14ac:dyDescent="0.2">
      <c r="B100" s="36">
        <v>167</v>
      </c>
      <c r="C100" s="16">
        <v>20200416</v>
      </c>
      <c r="D100" s="10" t="s">
        <v>476</v>
      </c>
      <c r="E100" s="10" t="s">
        <v>109</v>
      </c>
      <c r="F100" s="10" t="s">
        <v>419</v>
      </c>
      <c r="G100" s="10" t="s">
        <v>40</v>
      </c>
      <c r="H100" s="10">
        <v>14</v>
      </c>
      <c r="I100" s="10">
        <v>0.24</v>
      </c>
      <c r="J100" s="10" t="s">
        <v>481</v>
      </c>
      <c r="K100" s="22">
        <v>43937</v>
      </c>
      <c r="L100" s="22">
        <v>43938</v>
      </c>
      <c r="M100" s="22">
        <v>43937</v>
      </c>
      <c r="N100" s="22">
        <v>43937</v>
      </c>
      <c r="O100" s="23" t="s">
        <v>482</v>
      </c>
    </row>
    <row r="101" spans="2:15" ht="15" x14ac:dyDescent="0.2">
      <c r="B101" s="36">
        <v>168</v>
      </c>
      <c r="C101" s="16">
        <v>20200416</v>
      </c>
      <c r="D101" s="10" t="s">
        <v>476</v>
      </c>
      <c r="E101" s="10" t="s">
        <v>109</v>
      </c>
      <c r="F101" s="10" t="s">
        <v>419</v>
      </c>
      <c r="G101" s="10" t="s">
        <v>40</v>
      </c>
      <c r="H101" s="10">
        <v>14</v>
      </c>
      <c r="I101" s="10">
        <v>0.24</v>
      </c>
      <c r="J101" s="10" t="s">
        <v>481</v>
      </c>
      <c r="K101" s="22">
        <v>43937</v>
      </c>
      <c r="L101" s="22">
        <v>43938</v>
      </c>
      <c r="M101" s="22">
        <v>43937</v>
      </c>
      <c r="N101" s="22">
        <v>43937</v>
      </c>
      <c r="O101" s="23" t="s">
        <v>482</v>
      </c>
    </row>
    <row r="102" spans="2:15" ht="15" x14ac:dyDescent="0.2">
      <c r="B102" s="36">
        <v>169</v>
      </c>
      <c r="C102" s="16">
        <v>20200416</v>
      </c>
      <c r="D102" s="10" t="s">
        <v>476</v>
      </c>
      <c r="E102" s="10" t="s">
        <v>109</v>
      </c>
      <c r="F102" s="10" t="s">
        <v>419</v>
      </c>
      <c r="G102" s="10" t="s">
        <v>40</v>
      </c>
      <c r="H102" s="10">
        <v>13</v>
      </c>
      <c r="I102" s="10">
        <v>0.23</v>
      </c>
      <c r="J102" s="10" t="s">
        <v>481</v>
      </c>
      <c r="K102" s="22">
        <v>43937</v>
      </c>
      <c r="L102" s="22">
        <v>43938</v>
      </c>
      <c r="M102" s="22">
        <v>43937</v>
      </c>
      <c r="N102" s="22">
        <v>43937</v>
      </c>
      <c r="O102" s="23" t="s">
        <v>482</v>
      </c>
    </row>
    <row r="103" spans="2:15" ht="15" x14ac:dyDescent="0.2">
      <c r="B103" s="36">
        <v>170</v>
      </c>
      <c r="C103" s="16">
        <v>20200416</v>
      </c>
      <c r="D103" s="10" t="s">
        <v>476</v>
      </c>
      <c r="E103" s="10" t="s">
        <v>109</v>
      </c>
      <c r="F103" s="10" t="s">
        <v>419</v>
      </c>
      <c r="G103" s="10" t="s">
        <v>40</v>
      </c>
      <c r="H103" s="10">
        <v>13</v>
      </c>
      <c r="I103" s="10">
        <v>0.23</v>
      </c>
      <c r="J103" s="10" t="s">
        <v>481</v>
      </c>
      <c r="K103" s="22">
        <v>43937</v>
      </c>
      <c r="L103" s="22">
        <v>43938</v>
      </c>
      <c r="M103" s="22">
        <v>43937</v>
      </c>
      <c r="N103" s="22">
        <v>43937</v>
      </c>
      <c r="O103" s="23" t="s">
        <v>482</v>
      </c>
    </row>
    <row r="104" spans="2:15" ht="15" x14ac:dyDescent="0.2">
      <c r="B104" s="37">
        <v>171</v>
      </c>
      <c r="C104" s="16">
        <v>20200416</v>
      </c>
      <c r="D104" s="10" t="s">
        <v>476</v>
      </c>
      <c r="E104" s="10" t="s">
        <v>115</v>
      </c>
      <c r="F104" s="10" t="s">
        <v>115</v>
      </c>
      <c r="G104" s="10" t="s">
        <v>40</v>
      </c>
      <c r="H104" s="10">
        <v>28</v>
      </c>
      <c r="I104" s="10">
        <v>0.49</v>
      </c>
      <c r="J104" s="10" t="s">
        <v>481</v>
      </c>
      <c r="K104" s="22">
        <v>43937</v>
      </c>
      <c r="L104" s="22">
        <v>43938</v>
      </c>
      <c r="M104" s="22">
        <v>43937</v>
      </c>
      <c r="N104" s="22">
        <v>43937</v>
      </c>
      <c r="O104" s="23" t="s">
        <v>482</v>
      </c>
    </row>
    <row r="105" spans="2:15" ht="15" x14ac:dyDescent="0.2">
      <c r="B105" s="37">
        <v>172</v>
      </c>
      <c r="C105" s="16">
        <v>20200416</v>
      </c>
      <c r="D105" s="10" t="s">
        <v>476</v>
      </c>
      <c r="E105" s="10" t="s">
        <v>115</v>
      </c>
      <c r="F105" s="10" t="s">
        <v>115</v>
      </c>
      <c r="G105" s="10" t="s">
        <v>40</v>
      </c>
      <c r="H105" s="10">
        <v>50</v>
      </c>
      <c r="I105" s="10">
        <v>0.88</v>
      </c>
      <c r="J105" s="10" t="s">
        <v>481</v>
      </c>
      <c r="K105" s="22">
        <v>43937</v>
      </c>
      <c r="L105" s="22">
        <v>43938</v>
      </c>
      <c r="M105" s="22">
        <v>43937</v>
      </c>
      <c r="N105" s="22">
        <v>43937</v>
      </c>
      <c r="O105" s="23" t="s">
        <v>482</v>
      </c>
    </row>
    <row r="106" spans="2:15" ht="15" x14ac:dyDescent="0.2">
      <c r="B106" s="38">
        <v>173</v>
      </c>
      <c r="C106" s="16">
        <v>20200416</v>
      </c>
      <c r="D106" s="10" t="s">
        <v>476</v>
      </c>
      <c r="E106" s="10" t="s">
        <v>119</v>
      </c>
      <c r="F106" s="10" t="s">
        <v>119</v>
      </c>
      <c r="G106" s="10" t="s">
        <v>15</v>
      </c>
      <c r="H106" s="10">
        <v>116</v>
      </c>
      <c r="I106" s="10">
        <v>2.06</v>
      </c>
      <c r="J106" s="10" t="s">
        <v>481</v>
      </c>
      <c r="K106" s="22">
        <v>43937</v>
      </c>
      <c r="L106" s="22">
        <v>43938</v>
      </c>
      <c r="M106" s="22">
        <v>43938</v>
      </c>
      <c r="N106" s="22">
        <v>43938</v>
      </c>
      <c r="O106" s="23" t="s">
        <v>482</v>
      </c>
    </row>
    <row r="107" spans="2:15" ht="15" x14ac:dyDescent="0.2">
      <c r="B107" s="38">
        <v>174</v>
      </c>
      <c r="C107" s="16">
        <v>20200416</v>
      </c>
      <c r="D107" s="10" t="s">
        <v>476</v>
      </c>
      <c r="E107" s="10" t="s">
        <v>119</v>
      </c>
      <c r="F107" s="10" t="s">
        <v>119</v>
      </c>
      <c r="G107" s="10" t="s">
        <v>15</v>
      </c>
      <c r="H107" s="10">
        <v>119</v>
      </c>
      <c r="I107" s="10">
        <v>2.11</v>
      </c>
      <c r="J107" s="10" t="s">
        <v>481</v>
      </c>
      <c r="K107" s="22">
        <v>43937</v>
      </c>
      <c r="L107" s="22">
        <v>43938</v>
      </c>
      <c r="M107" s="22">
        <v>43938</v>
      </c>
      <c r="N107" s="22">
        <v>43938</v>
      </c>
      <c r="O107" s="23" t="s">
        <v>482</v>
      </c>
    </row>
    <row r="108" spans="2:15" ht="15" x14ac:dyDescent="0.2">
      <c r="B108" s="38">
        <v>175</v>
      </c>
      <c r="C108" s="16">
        <v>20200416</v>
      </c>
      <c r="D108" s="10" t="s">
        <v>476</v>
      </c>
      <c r="E108" s="10" t="s">
        <v>122</v>
      </c>
      <c r="F108" s="10" t="s">
        <v>420</v>
      </c>
      <c r="G108" s="10" t="s">
        <v>15</v>
      </c>
      <c r="H108" s="39">
        <v>394</v>
      </c>
      <c r="I108" s="10">
        <v>7</v>
      </c>
      <c r="J108" s="10" t="s">
        <v>481</v>
      </c>
      <c r="K108" s="22">
        <v>43937</v>
      </c>
      <c r="L108" s="22">
        <v>43938</v>
      </c>
      <c r="M108" s="22">
        <v>43938</v>
      </c>
      <c r="N108" s="22">
        <v>43938</v>
      </c>
      <c r="O108" s="23" t="s">
        <v>482</v>
      </c>
    </row>
    <row r="109" spans="2:15" ht="15" x14ac:dyDescent="0.2">
      <c r="B109" s="38">
        <v>176</v>
      </c>
      <c r="C109" s="16">
        <v>20200416</v>
      </c>
      <c r="D109" s="10" t="s">
        <v>476</v>
      </c>
      <c r="E109" s="10" t="s">
        <v>122</v>
      </c>
      <c r="F109" s="10" t="s">
        <v>420</v>
      </c>
      <c r="G109" s="10" t="s">
        <v>15</v>
      </c>
      <c r="H109" s="10">
        <v>21</v>
      </c>
      <c r="I109" s="10">
        <v>0.37</v>
      </c>
      <c r="J109" s="10" t="s">
        <v>481</v>
      </c>
      <c r="K109" s="22">
        <v>43937</v>
      </c>
      <c r="L109" s="22">
        <v>43938</v>
      </c>
      <c r="M109" s="22">
        <v>43938</v>
      </c>
      <c r="N109" s="22">
        <v>43938</v>
      </c>
      <c r="O109" s="23" t="s">
        <v>482</v>
      </c>
    </row>
    <row r="110" spans="2:15" ht="15" x14ac:dyDescent="0.2">
      <c r="B110" s="40">
        <v>177</v>
      </c>
      <c r="C110" s="21">
        <v>20200416</v>
      </c>
      <c r="D110" s="21" t="s">
        <v>476</v>
      </c>
      <c r="E110" s="21" t="s">
        <v>126</v>
      </c>
      <c r="F110" s="21" t="s">
        <v>126</v>
      </c>
      <c r="G110" s="10" t="s">
        <v>24</v>
      </c>
      <c r="H110" s="10">
        <v>199</v>
      </c>
      <c r="I110" s="10">
        <v>3.53</v>
      </c>
      <c r="J110" s="10" t="s">
        <v>481</v>
      </c>
      <c r="K110" s="22">
        <v>43937</v>
      </c>
      <c r="L110" s="22">
        <v>43938</v>
      </c>
      <c r="M110" s="22">
        <v>43938</v>
      </c>
      <c r="N110" s="22">
        <v>43938</v>
      </c>
      <c r="O110" s="23" t="s">
        <v>482</v>
      </c>
    </row>
    <row r="111" spans="2:15" ht="15" x14ac:dyDescent="0.2">
      <c r="B111" s="40">
        <v>178</v>
      </c>
      <c r="C111" s="21">
        <v>20200416</v>
      </c>
      <c r="D111" s="21" t="s">
        <v>476</v>
      </c>
      <c r="E111" s="21" t="s">
        <v>126</v>
      </c>
      <c r="F111" s="21" t="s">
        <v>126</v>
      </c>
      <c r="G111" s="10" t="s">
        <v>24</v>
      </c>
      <c r="H111" s="10">
        <v>6</v>
      </c>
      <c r="I111" s="10">
        <v>0.1</v>
      </c>
      <c r="J111" s="10" t="s">
        <v>481</v>
      </c>
      <c r="K111" s="22">
        <v>43937</v>
      </c>
      <c r="L111" s="22">
        <v>43938</v>
      </c>
      <c r="M111" s="22">
        <v>43938</v>
      </c>
      <c r="N111" s="22">
        <v>43938</v>
      </c>
      <c r="O111" s="23" t="s">
        <v>482</v>
      </c>
    </row>
    <row r="112" spans="2:15" ht="15" x14ac:dyDescent="0.2">
      <c r="B112" s="40">
        <v>179</v>
      </c>
      <c r="C112" s="21">
        <v>20200416</v>
      </c>
      <c r="D112" s="21" t="s">
        <v>476</v>
      </c>
      <c r="E112" s="21" t="s">
        <v>126</v>
      </c>
      <c r="F112" s="21" t="s">
        <v>126</v>
      </c>
      <c r="G112" s="10" t="s">
        <v>24</v>
      </c>
      <c r="H112" s="10">
        <v>72</v>
      </c>
      <c r="I112" s="10">
        <v>1.28</v>
      </c>
      <c r="J112" s="10" t="s">
        <v>481</v>
      </c>
      <c r="K112" s="22">
        <v>43937</v>
      </c>
      <c r="L112" s="22">
        <v>43938</v>
      </c>
      <c r="M112" s="22">
        <v>43938</v>
      </c>
      <c r="N112" s="22">
        <v>43938</v>
      </c>
      <c r="O112" s="23" t="s">
        <v>482</v>
      </c>
    </row>
    <row r="113" spans="2:15" ht="15" x14ac:dyDescent="0.2">
      <c r="B113" s="42">
        <v>180</v>
      </c>
      <c r="C113" s="16" t="s">
        <v>564</v>
      </c>
      <c r="D113" s="10" t="s">
        <v>476</v>
      </c>
      <c r="E113" s="10" t="s">
        <v>128</v>
      </c>
      <c r="F113" s="10" t="s">
        <v>128</v>
      </c>
      <c r="G113" s="10" t="s">
        <v>41</v>
      </c>
      <c r="H113" s="10">
        <v>1434</v>
      </c>
      <c r="I113" s="10">
        <v>25.49</v>
      </c>
      <c r="J113" s="10" t="s">
        <v>481</v>
      </c>
      <c r="K113" s="22">
        <v>43941</v>
      </c>
      <c r="L113" s="22">
        <v>43945</v>
      </c>
      <c r="M113" s="22">
        <v>43943</v>
      </c>
      <c r="N113" s="22">
        <v>43943</v>
      </c>
      <c r="O113" s="23" t="s">
        <v>489</v>
      </c>
    </row>
    <row r="114" spans="2:15" ht="15" x14ac:dyDescent="0.2">
      <c r="B114" s="42">
        <v>181</v>
      </c>
      <c r="C114" s="16" t="s">
        <v>564</v>
      </c>
      <c r="D114" s="10" t="s">
        <v>476</v>
      </c>
      <c r="E114" s="10" t="s">
        <v>128</v>
      </c>
      <c r="F114" s="10" t="s">
        <v>128</v>
      </c>
      <c r="G114" s="10" t="s">
        <v>77</v>
      </c>
      <c r="H114" s="10">
        <v>75</v>
      </c>
      <c r="I114" s="10">
        <v>1.33</v>
      </c>
      <c r="J114" s="10" t="s">
        <v>481</v>
      </c>
      <c r="K114" s="22">
        <v>43941</v>
      </c>
      <c r="L114" s="22">
        <v>43945</v>
      </c>
      <c r="M114" s="22">
        <v>43944</v>
      </c>
      <c r="N114" s="22">
        <v>43944</v>
      </c>
      <c r="O114" s="23" t="s">
        <v>482</v>
      </c>
    </row>
    <row r="115" spans="2:15" ht="15" x14ac:dyDescent="0.2">
      <c r="B115" s="42">
        <v>182</v>
      </c>
      <c r="C115" s="15" t="s">
        <v>564</v>
      </c>
      <c r="D115" s="15" t="s">
        <v>476</v>
      </c>
      <c r="E115" s="15" t="s">
        <v>128</v>
      </c>
      <c r="F115" s="15" t="s">
        <v>128</v>
      </c>
      <c r="G115" s="15" t="s">
        <v>77</v>
      </c>
      <c r="H115" s="15">
        <v>166</v>
      </c>
      <c r="I115" s="15">
        <v>2.95</v>
      </c>
      <c r="J115" s="10" t="s">
        <v>481</v>
      </c>
      <c r="K115" s="22">
        <v>43941</v>
      </c>
      <c r="L115" s="48">
        <v>43945</v>
      </c>
      <c r="M115" s="49">
        <v>43944</v>
      </c>
      <c r="N115" s="49">
        <v>43944</v>
      </c>
      <c r="O115" s="50" t="s">
        <v>482</v>
      </c>
    </row>
    <row r="116" spans="2:15" ht="15" x14ac:dyDescent="0.2">
      <c r="B116" s="42">
        <v>183</v>
      </c>
      <c r="C116" s="16" t="s">
        <v>564</v>
      </c>
      <c r="D116" s="10" t="s">
        <v>476</v>
      </c>
      <c r="E116" s="10" t="s">
        <v>128</v>
      </c>
      <c r="F116" s="10" t="s">
        <v>128</v>
      </c>
      <c r="G116" s="10" t="s">
        <v>4</v>
      </c>
      <c r="H116" s="10">
        <v>46</v>
      </c>
      <c r="I116" s="10">
        <v>0.81</v>
      </c>
      <c r="J116" s="10" t="s">
        <v>481</v>
      </c>
      <c r="K116" s="22">
        <v>43941</v>
      </c>
      <c r="L116" s="22">
        <v>43945</v>
      </c>
      <c r="M116" s="22">
        <v>43944</v>
      </c>
      <c r="N116" s="22">
        <v>43944</v>
      </c>
      <c r="O116" s="23" t="s">
        <v>482</v>
      </c>
    </row>
    <row r="117" spans="2:15" ht="15" x14ac:dyDescent="0.2">
      <c r="B117" s="42">
        <v>184</v>
      </c>
      <c r="C117" s="16" t="s">
        <v>564</v>
      </c>
      <c r="D117" s="10" t="s">
        <v>476</v>
      </c>
      <c r="E117" s="10" t="s">
        <v>133</v>
      </c>
      <c r="F117" s="10" t="s">
        <v>421</v>
      </c>
      <c r="G117" s="10" t="s">
        <v>77</v>
      </c>
      <c r="H117" s="21">
        <v>60</v>
      </c>
      <c r="I117" s="10">
        <v>1.06</v>
      </c>
      <c r="J117" s="10" t="s">
        <v>481</v>
      </c>
      <c r="K117" s="22">
        <v>43941</v>
      </c>
      <c r="L117" s="22">
        <v>43945</v>
      </c>
      <c r="M117" s="22">
        <v>43944</v>
      </c>
      <c r="N117" s="22">
        <v>43944</v>
      </c>
      <c r="O117" s="23" t="s">
        <v>482</v>
      </c>
    </row>
    <row r="118" spans="2:15" ht="15" x14ac:dyDescent="0.2">
      <c r="B118" s="42">
        <v>185</v>
      </c>
      <c r="C118" s="16" t="s">
        <v>564</v>
      </c>
      <c r="D118" s="16" t="s">
        <v>476</v>
      </c>
      <c r="E118" s="16" t="s">
        <v>135</v>
      </c>
      <c r="F118" s="16" t="s">
        <v>422</v>
      </c>
      <c r="G118" s="16" t="s">
        <v>77</v>
      </c>
      <c r="H118" s="16">
        <v>221</v>
      </c>
      <c r="I118" s="16">
        <v>3.92</v>
      </c>
      <c r="J118" s="16" t="s">
        <v>481</v>
      </c>
      <c r="K118" s="22">
        <v>43941</v>
      </c>
      <c r="L118" s="49">
        <v>43942</v>
      </c>
      <c r="M118" s="49">
        <v>43941</v>
      </c>
      <c r="N118" s="49">
        <v>43941</v>
      </c>
      <c r="O118" s="23" t="s">
        <v>482</v>
      </c>
    </row>
    <row r="119" spans="2:15" ht="15" x14ac:dyDescent="0.2">
      <c r="B119" s="42">
        <v>186</v>
      </c>
      <c r="C119" s="16" t="s">
        <v>564</v>
      </c>
      <c r="D119" s="10" t="s">
        <v>476</v>
      </c>
      <c r="E119" s="10" t="s">
        <v>135</v>
      </c>
      <c r="F119" s="10" t="s">
        <v>422</v>
      </c>
      <c r="G119" s="10" t="s">
        <v>4</v>
      </c>
      <c r="H119" s="10">
        <v>919</v>
      </c>
      <c r="I119" s="10">
        <v>16.329999999999998</v>
      </c>
      <c r="J119" s="10" t="s">
        <v>481</v>
      </c>
      <c r="K119" s="22">
        <v>43941</v>
      </c>
      <c r="L119" s="22">
        <v>43942</v>
      </c>
      <c r="M119" s="49">
        <v>43941</v>
      </c>
      <c r="N119" s="22">
        <v>43942</v>
      </c>
      <c r="O119" s="23" t="s">
        <v>489</v>
      </c>
    </row>
    <row r="120" spans="2:15" ht="15" x14ac:dyDescent="0.2">
      <c r="B120" s="42">
        <v>187</v>
      </c>
      <c r="C120" s="16" t="s">
        <v>564</v>
      </c>
      <c r="D120" s="16" t="s">
        <v>476</v>
      </c>
      <c r="E120" s="16" t="s">
        <v>139</v>
      </c>
      <c r="F120" s="16" t="s">
        <v>423</v>
      </c>
      <c r="G120" s="16" t="s">
        <v>77</v>
      </c>
      <c r="H120" s="16">
        <v>101</v>
      </c>
      <c r="I120" s="16">
        <v>1.79</v>
      </c>
      <c r="J120" s="16" t="s">
        <v>481</v>
      </c>
      <c r="K120" s="22">
        <v>43941</v>
      </c>
      <c r="L120" s="49">
        <v>43942</v>
      </c>
      <c r="M120" s="49">
        <v>43941</v>
      </c>
      <c r="N120" s="49">
        <v>43941</v>
      </c>
      <c r="O120" s="23" t="s">
        <v>482</v>
      </c>
    </row>
    <row r="121" spans="2:15" ht="15" x14ac:dyDescent="0.2">
      <c r="B121" s="42">
        <v>188</v>
      </c>
      <c r="C121" s="16" t="s">
        <v>564</v>
      </c>
      <c r="D121" s="10" t="s">
        <v>476</v>
      </c>
      <c r="E121" s="10" t="s">
        <v>139</v>
      </c>
      <c r="F121" s="10" t="s">
        <v>423</v>
      </c>
      <c r="G121" s="10" t="s">
        <v>77</v>
      </c>
      <c r="H121" s="10">
        <v>51</v>
      </c>
      <c r="I121" s="10">
        <v>0.9</v>
      </c>
      <c r="J121" s="10" t="s">
        <v>481</v>
      </c>
      <c r="K121" s="22">
        <v>43941</v>
      </c>
      <c r="L121" s="22">
        <v>43942</v>
      </c>
      <c r="M121" s="22">
        <v>43941</v>
      </c>
      <c r="N121" s="22">
        <v>43941</v>
      </c>
      <c r="O121" s="23" t="s">
        <v>482</v>
      </c>
    </row>
    <row r="122" spans="2:15" ht="15" x14ac:dyDescent="0.2">
      <c r="B122" s="42">
        <v>189</v>
      </c>
      <c r="C122" s="16" t="s">
        <v>564</v>
      </c>
      <c r="D122" s="10" t="s">
        <v>476</v>
      </c>
      <c r="E122" s="10" t="s">
        <v>143</v>
      </c>
      <c r="F122" s="10" t="s">
        <v>143</v>
      </c>
      <c r="G122" s="10" t="s">
        <v>77</v>
      </c>
      <c r="H122" s="10">
        <v>84</v>
      </c>
      <c r="I122" s="10">
        <v>1.49</v>
      </c>
      <c r="J122" s="10" t="s">
        <v>481</v>
      </c>
      <c r="K122" s="22">
        <v>43941</v>
      </c>
      <c r="L122" s="22">
        <v>43951</v>
      </c>
      <c r="M122" s="22">
        <v>43944</v>
      </c>
      <c r="N122" s="22">
        <v>43944</v>
      </c>
      <c r="O122" s="23" t="s">
        <v>482</v>
      </c>
    </row>
    <row r="123" spans="2:15" ht="15" x14ac:dyDescent="0.2">
      <c r="B123" s="42">
        <v>190</v>
      </c>
      <c r="C123" s="16" t="s">
        <v>564</v>
      </c>
      <c r="D123" s="10" t="s">
        <v>476</v>
      </c>
      <c r="E123" s="10" t="s">
        <v>143</v>
      </c>
      <c r="F123" s="10" t="s">
        <v>143</v>
      </c>
      <c r="G123" s="10" t="s">
        <v>77</v>
      </c>
      <c r="H123" s="16">
        <v>7</v>
      </c>
      <c r="I123" s="10">
        <v>0.12</v>
      </c>
      <c r="J123" s="10" t="s">
        <v>481</v>
      </c>
      <c r="K123" s="22">
        <v>43941</v>
      </c>
      <c r="L123" s="22">
        <v>43951</v>
      </c>
      <c r="M123" s="22">
        <v>43944</v>
      </c>
      <c r="N123" s="22">
        <v>43944</v>
      </c>
      <c r="O123" s="23" t="s">
        <v>482</v>
      </c>
    </row>
    <row r="124" spans="2:15" ht="15" x14ac:dyDescent="0.2">
      <c r="B124" s="42">
        <v>191</v>
      </c>
      <c r="C124" s="16" t="s">
        <v>564</v>
      </c>
      <c r="D124" s="10" t="s">
        <v>476</v>
      </c>
      <c r="E124" s="10" t="s">
        <v>143</v>
      </c>
      <c r="F124" s="10" t="s">
        <v>143</v>
      </c>
      <c r="G124" s="10" t="s">
        <v>77</v>
      </c>
      <c r="H124" s="10">
        <v>259</v>
      </c>
      <c r="I124" s="10">
        <v>4.5999999999999996</v>
      </c>
      <c r="J124" s="10" t="s">
        <v>481</v>
      </c>
      <c r="K124" s="22">
        <v>43941</v>
      </c>
      <c r="L124" s="22">
        <v>43951</v>
      </c>
      <c r="M124" s="22">
        <v>43944</v>
      </c>
      <c r="N124" s="22">
        <v>43944</v>
      </c>
      <c r="O124" s="23" t="s">
        <v>489</v>
      </c>
    </row>
    <row r="125" spans="2:15" ht="15" x14ac:dyDescent="0.2">
      <c r="B125" s="42">
        <v>192</v>
      </c>
      <c r="C125" s="16" t="s">
        <v>564</v>
      </c>
      <c r="D125" s="10" t="s">
        <v>476</v>
      </c>
      <c r="E125" s="10" t="s">
        <v>143</v>
      </c>
      <c r="F125" s="10" t="s">
        <v>143</v>
      </c>
      <c r="G125" s="10" t="s">
        <v>77</v>
      </c>
      <c r="H125" s="10">
        <v>135</v>
      </c>
      <c r="I125" s="10">
        <v>2.4</v>
      </c>
      <c r="J125" s="10" t="s">
        <v>481</v>
      </c>
      <c r="K125" s="22">
        <v>43941</v>
      </c>
      <c r="L125" s="22">
        <v>43951</v>
      </c>
      <c r="M125" s="22">
        <v>43944</v>
      </c>
      <c r="N125" s="22">
        <v>43944</v>
      </c>
      <c r="O125" s="23" t="s">
        <v>482</v>
      </c>
    </row>
    <row r="126" spans="2:15" ht="15" x14ac:dyDescent="0.2">
      <c r="B126" s="42">
        <v>193</v>
      </c>
      <c r="C126" s="16" t="s">
        <v>564</v>
      </c>
      <c r="D126" s="10" t="s">
        <v>476</v>
      </c>
      <c r="E126" s="10" t="s">
        <v>143</v>
      </c>
      <c r="F126" s="10" t="s">
        <v>143</v>
      </c>
      <c r="G126" s="10" t="s">
        <v>77</v>
      </c>
      <c r="H126" s="10">
        <v>82</v>
      </c>
      <c r="I126" s="10">
        <v>1.45</v>
      </c>
      <c r="J126" s="10" t="s">
        <v>481</v>
      </c>
      <c r="K126" s="22">
        <v>43941</v>
      </c>
      <c r="L126" s="22">
        <v>43951</v>
      </c>
      <c r="M126" s="22">
        <v>43944</v>
      </c>
      <c r="N126" s="22">
        <v>43944</v>
      </c>
      <c r="O126" s="23" t="s">
        <v>482</v>
      </c>
    </row>
    <row r="127" spans="2:15" ht="15" x14ac:dyDescent="0.2">
      <c r="B127" s="42">
        <v>194</v>
      </c>
      <c r="C127" s="16" t="s">
        <v>564</v>
      </c>
      <c r="D127" s="10" t="s">
        <v>476</v>
      </c>
      <c r="E127" s="10" t="s">
        <v>143</v>
      </c>
      <c r="F127" s="10" t="s">
        <v>143</v>
      </c>
      <c r="G127" s="10" t="s">
        <v>77</v>
      </c>
      <c r="H127" s="10">
        <v>313</v>
      </c>
      <c r="I127" s="10">
        <v>5.56</v>
      </c>
      <c r="J127" s="10" t="s">
        <v>481</v>
      </c>
      <c r="K127" s="22">
        <v>43941</v>
      </c>
      <c r="L127" s="22">
        <v>43951</v>
      </c>
      <c r="M127" s="22">
        <v>43944</v>
      </c>
      <c r="N127" s="22">
        <v>43944</v>
      </c>
      <c r="O127" s="23" t="s">
        <v>482</v>
      </c>
    </row>
    <row r="128" spans="2:15" ht="15" x14ac:dyDescent="0.2">
      <c r="B128" s="42">
        <v>195</v>
      </c>
      <c r="C128" s="16" t="s">
        <v>564</v>
      </c>
      <c r="D128" s="10" t="s">
        <v>476</v>
      </c>
      <c r="E128" s="10" t="s">
        <v>143</v>
      </c>
      <c r="F128" s="10" t="s">
        <v>143</v>
      </c>
      <c r="G128" s="10" t="s">
        <v>77</v>
      </c>
      <c r="H128" s="10">
        <v>54</v>
      </c>
      <c r="I128" s="10">
        <v>0.96</v>
      </c>
      <c r="J128" s="10" t="s">
        <v>481</v>
      </c>
      <c r="K128" s="22">
        <v>43941</v>
      </c>
      <c r="L128" s="22">
        <v>43951</v>
      </c>
      <c r="M128" s="22">
        <v>43944</v>
      </c>
      <c r="N128" s="22">
        <v>43944</v>
      </c>
      <c r="O128" s="23" t="s">
        <v>482</v>
      </c>
    </row>
    <row r="129" spans="2:15" ht="15" x14ac:dyDescent="0.2">
      <c r="B129" s="42">
        <v>196</v>
      </c>
      <c r="C129" s="16" t="s">
        <v>564</v>
      </c>
      <c r="D129" s="10" t="s">
        <v>476</v>
      </c>
      <c r="E129" s="10" t="s">
        <v>143</v>
      </c>
      <c r="F129" s="10" t="s">
        <v>143</v>
      </c>
      <c r="G129" s="10" t="s">
        <v>77</v>
      </c>
      <c r="H129" s="10">
        <v>144</v>
      </c>
      <c r="I129" s="10">
        <v>2.56</v>
      </c>
      <c r="J129" s="10" t="s">
        <v>481</v>
      </c>
      <c r="K129" s="22">
        <v>43941</v>
      </c>
      <c r="L129" s="22">
        <v>43951</v>
      </c>
      <c r="M129" s="22">
        <v>43945</v>
      </c>
      <c r="N129" s="22">
        <v>43945</v>
      </c>
      <c r="O129" s="23" t="s">
        <v>482</v>
      </c>
    </row>
    <row r="130" spans="2:15" ht="15" x14ac:dyDescent="0.2">
      <c r="B130" s="42">
        <v>197</v>
      </c>
      <c r="C130" s="16" t="s">
        <v>564</v>
      </c>
      <c r="D130" s="10" t="s">
        <v>476</v>
      </c>
      <c r="E130" s="10" t="s">
        <v>143</v>
      </c>
      <c r="F130" s="10" t="s">
        <v>143</v>
      </c>
      <c r="G130" s="10" t="s">
        <v>77</v>
      </c>
      <c r="H130" s="10">
        <v>59</v>
      </c>
      <c r="I130" s="10">
        <v>1.04</v>
      </c>
      <c r="J130" s="10" t="s">
        <v>481</v>
      </c>
      <c r="K130" s="22">
        <v>43941</v>
      </c>
      <c r="L130" s="22">
        <v>43951</v>
      </c>
      <c r="M130" s="22">
        <v>43945</v>
      </c>
      <c r="N130" s="22">
        <v>43945</v>
      </c>
      <c r="O130" s="23" t="s">
        <v>482</v>
      </c>
    </row>
    <row r="131" spans="2:15" ht="15" x14ac:dyDescent="0.2">
      <c r="B131" s="42">
        <v>198</v>
      </c>
      <c r="C131" s="16" t="s">
        <v>564</v>
      </c>
      <c r="D131" s="10" t="s">
        <v>476</v>
      </c>
      <c r="E131" s="10" t="s">
        <v>143</v>
      </c>
      <c r="F131" s="10" t="s">
        <v>143</v>
      </c>
      <c r="G131" s="10" t="s">
        <v>77</v>
      </c>
      <c r="H131" s="10">
        <v>354</v>
      </c>
      <c r="I131" s="10">
        <v>6.29</v>
      </c>
      <c r="J131" s="10" t="s">
        <v>481</v>
      </c>
      <c r="K131" s="22">
        <v>43941</v>
      </c>
      <c r="L131" s="22">
        <v>43951</v>
      </c>
      <c r="M131" s="22">
        <v>43945</v>
      </c>
      <c r="N131" s="22">
        <v>43945</v>
      </c>
      <c r="O131" s="23" t="s">
        <v>482</v>
      </c>
    </row>
    <row r="132" spans="2:15" ht="15" x14ac:dyDescent="0.2">
      <c r="B132" s="42">
        <v>199</v>
      </c>
      <c r="C132" s="16" t="s">
        <v>564</v>
      </c>
      <c r="D132" s="10" t="s">
        <v>476</v>
      </c>
      <c r="E132" s="10" t="s">
        <v>143</v>
      </c>
      <c r="F132" s="10" t="s">
        <v>143</v>
      </c>
      <c r="G132" s="10" t="s">
        <v>77</v>
      </c>
      <c r="H132" s="10">
        <v>186</v>
      </c>
      <c r="I132" s="10">
        <v>3.3</v>
      </c>
      <c r="J132" s="10" t="s">
        <v>481</v>
      </c>
      <c r="K132" s="22">
        <v>43941</v>
      </c>
      <c r="L132" s="22">
        <v>43951</v>
      </c>
      <c r="M132" s="22">
        <v>43945</v>
      </c>
      <c r="N132" s="22">
        <v>43945</v>
      </c>
      <c r="O132" s="23" t="s">
        <v>482</v>
      </c>
    </row>
    <row r="133" spans="2:15" ht="15" x14ac:dyDescent="0.2">
      <c r="B133" s="42">
        <v>200</v>
      </c>
      <c r="C133" s="16" t="s">
        <v>564</v>
      </c>
      <c r="D133" s="10" t="s">
        <v>476</v>
      </c>
      <c r="E133" s="10" t="s">
        <v>143</v>
      </c>
      <c r="F133" s="10" t="s">
        <v>143</v>
      </c>
      <c r="G133" s="10" t="s">
        <v>77</v>
      </c>
      <c r="H133" s="10">
        <v>159</v>
      </c>
      <c r="I133" s="10">
        <v>2.82</v>
      </c>
      <c r="J133" s="10" t="s">
        <v>481</v>
      </c>
      <c r="K133" s="22">
        <v>43941</v>
      </c>
      <c r="L133" s="22">
        <v>43951</v>
      </c>
      <c r="M133" s="22">
        <v>43945</v>
      </c>
      <c r="N133" s="22">
        <v>43945</v>
      </c>
      <c r="O133" s="23" t="s">
        <v>482</v>
      </c>
    </row>
    <row r="134" spans="2:15" ht="15" x14ac:dyDescent="0.2">
      <c r="B134" s="42">
        <v>201</v>
      </c>
      <c r="C134" s="16" t="s">
        <v>564</v>
      </c>
      <c r="D134" s="10" t="s">
        <v>476</v>
      </c>
      <c r="E134" s="10" t="s">
        <v>143</v>
      </c>
      <c r="F134" s="10" t="s">
        <v>143</v>
      </c>
      <c r="G134" s="10" t="s">
        <v>77</v>
      </c>
      <c r="H134" s="10">
        <v>199</v>
      </c>
      <c r="I134" s="10">
        <v>3.53</v>
      </c>
      <c r="J134" s="10" t="s">
        <v>481</v>
      </c>
      <c r="K134" s="22">
        <v>43941</v>
      </c>
      <c r="L134" s="22">
        <v>43951</v>
      </c>
      <c r="M134" s="22">
        <v>43945</v>
      </c>
      <c r="N134" s="22">
        <v>43945</v>
      </c>
      <c r="O134" s="23" t="s">
        <v>482</v>
      </c>
    </row>
    <row r="135" spans="2:15" ht="15" x14ac:dyDescent="0.2">
      <c r="B135" s="42">
        <v>202</v>
      </c>
      <c r="C135" s="16" t="s">
        <v>564</v>
      </c>
      <c r="D135" s="10" t="s">
        <v>476</v>
      </c>
      <c r="E135" s="10" t="s">
        <v>143</v>
      </c>
      <c r="F135" s="10" t="s">
        <v>143</v>
      </c>
      <c r="G135" s="10" t="s">
        <v>77</v>
      </c>
      <c r="H135" s="16">
        <v>6</v>
      </c>
      <c r="I135" s="10">
        <v>0.1</v>
      </c>
      <c r="J135" s="10" t="s">
        <v>481</v>
      </c>
      <c r="K135" s="22">
        <v>43941</v>
      </c>
      <c r="L135" s="22">
        <v>43951</v>
      </c>
      <c r="M135" s="22">
        <v>43945</v>
      </c>
      <c r="N135" s="22">
        <v>43945</v>
      </c>
      <c r="O135" s="23" t="s">
        <v>482</v>
      </c>
    </row>
    <row r="136" spans="2:15" ht="15" x14ac:dyDescent="0.2">
      <c r="B136" s="42">
        <v>203</v>
      </c>
      <c r="C136" s="16" t="s">
        <v>564</v>
      </c>
      <c r="D136" s="10" t="s">
        <v>476</v>
      </c>
      <c r="E136" s="10" t="s">
        <v>148</v>
      </c>
      <c r="F136" s="10" t="s">
        <v>148</v>
      </c>
      <c r="G136" s="10" t="s">
        <v>41</v>
      </c>
      <c r="H136" s="10">
        <v>84</v>
      </c>
      <c r="I136" s="10">
        <v>1.49</v>
      </c>
      <c r="J136" s="10" t="s">
        <v>481</v>
      </c>
      <c r="K136" s="22">
        <v>43941</v>
      </c>
      <c r="L136" s="22">
        <v>43951</v>
      </c>
      <c r="M136" s="22">
        <v>43945</v>
      </c>
      <c r="N136" s="22">
        <v>43945</v>
      </c>
      <c r="O136" s="23" t="s">
        <v>482</v>
      </c>
    </row>
    <row r="137" spans="2:15" ht="15" x14ac:dyDescent="0.2">
      <c r="B137" s="42">
        <v>204</v>
      </c>
      <c r="C137" s="16" t="s">
        <v>564</v>
      </c>
      <c r="D137" s="10" t="s">
        <v>476</v>
      </c>
      <c r="E137" s="10" t="s">
        <v>148</v>
      </c>
      <c r="F137" s="10" t="s">
        <v>148</v>
      </c>
      <c r="G137" s="10" t="s">
        <v>41</v>
      </c>
      <c r="H137" s="10">
        <v>7</v>
      </c>
      <c r="I137" s="10">
        <v>0.12</v>
      </c>
      <c r="J137" s="10" t="s">
        <v>481</v>
      </c>
      <c r="K137" s="22">
        <v>43941</v>
      </c>
      <c r="L137" s="22">
        <v>43951</v>
      </c>
      <c r="M137" s="22">
        <v>43945</v>
      </c>
      <c r="N137" s="22">
        <v>43945</v>
      </c>
      <c r="O137" s="23" t="s">
        <v>482</v>
      </c>
    </row>
    <row r="138" spans="2:15" ht="15" x14ac:dyDescent="0.2">
      <c r="B138" s="42">
        <v>205</v>
      </c>
      <c r="C138" s="16" t="s">
        <v>564</v>
      </c>
      <c r="D138" s="10" t="s">
        <v>476</v>
      </c>
      <c r="E138" s="10" t="s">
        <v>148</v>
      </c>
      <c r="F138" s="10" t="s">
        <v>148</v>
      </c>
      <c r="G138" s="10" t="s">
        <v>41</v>
      </c>
      <c r="H138" s="10">
        <v>259</v>
      </c>
      <c r="I138" s="10">
        <v>4.5999999999999996</v>
      </c>
      <c r="J138" s="10" t="s">
        <v>481</v>
      </c>
      <c r="K138" s="22">
        <v>43941</v>
      </c>
      <c r="L138" s="22">
        <v>43951</v>
      </c>
      <c r="M138" s="22">
        <v>43945</v>
      </c>
      <c r="N138" s="22">
        <v>43945</v>
      </c>
      <c r="O138" s="23" t="s">
        <v>489</v>
      </c>
    </row>
    <row r="139" spans="2:15" ht="15" x14ac:dyDescent="0.2">
      <c r="B139" s="42">
        <v>206</v>
      </c>
      <c r="C139" s="16" t="s">
        <v>564</v>
      </c>
      <c r="D139" s="10" t="s">
        <v>476</v>
      </c>
      <c r="E139" s="10" t="s">
        <v>148</v>
      </c>
      <c r="F139" s="10" t="s">
        <v>148</v>
      </c>
      <c r="G139" s="10" t="s">
        <v>41</v>
      </c>
      <c r="H139" s="10">
        <v>140</v>
      </c>
      <c r="I139" s="10">
        <v>2.48</v>
      </c>
      <c r="J139" s="10" t="s">
        <v>481</v>
      </c>
      <c r="K139" s="22">
        <v>43941</v>
      </c>
      <c r="L139" s="22">
        <v>43951</v>
      </c>
      <c r="M139" s="22">
        <v>43945</v>
      </c>
      <c r="N139" s="22">
        <v>43945</v>
      </c>
      <c r="O139" s="23" t="s">
        <v>482</v>
      </c>
    </row>
    <row r="140" spans="2:15" ht="15" x14ac:dyDescent="0.2">
      <c r="B140" s="42">
        <v>207</v>
      </c>
      <c r="C140" s="16" t="s">
        <v>564</v>
      </c>
      <c r="D140" s="10" t="s">
        <v>476</v>
      </c>
      <c r="E140" s="10" t="s">
        <v>148</v>
      </c>
      <c r="F140" s="10" t="s">
        <v>148</v>
      </c>
      <c r="G140" s="10" t="s">
        <v>41</v>
      </c>
      <c r="H140" s="10">
        <v>313</v>
      </c>
      <c r="I140" s="10">
        <v>5.56</v>
      </c>
      <c r="J140" s="10" t="s">
        <v>481</v>
      </c>
      <c r="K140" s="22">
        <v>43941</v>
      </c>
      <c r="L140" s="22">
        <v>43951</v>
      </c>
      <c r="M140" s="22">
        <v>43945</v>
      </c>
      <c r="N140" s="22">
        <v>43945</v>
      </c>
      <c r="O140" s="23" t="s">
        <v>482</v>
      </c>
    </row>
    <row r="141" spans="2:15" ht="15" x14ac:dyDescent="0.2">
      <c r="B141" s="42">
        <v>208</v>
      </c>
      <c r="C141" s="16" t="s">
        <v>564</v>
      </c>
      <c r="D141" s="10" t="s">
        <v>476</v>
      </c>
      <c r="E141" s="10" t="s">
        <v>148</v>
      </c>
      <c r="F141" s="10" t="s">
        <v>148</v>
      </c>
      <c r="G141" s="10" t="s">
        <v>41</v>
      </c>
      <c r="H141" s="10">
        <v>144</v>
      </c>
      <c r="I141" s="10">
        <v>2.56</v>
      </c>
      <c r="J141" s="10" t="s">
        <v>481</v>
      </c>
      <c r="K141" s="22">
        <v>43941</v>
      </c>
      <c r="L141" s="22">
        <v>43951</v>
      </c>
      <c r="M141" s="22">
        <v>43945</v>
      </c>
      <c r="N141" s="22">
        <v>43945</v>
      </c>
      <c r="O141" s="23" t="s">
        <v>482</v>
      </c>
    </row>
    <row r="142" spans="2:15" ht="15" x14ac:dyDescent="0.2">
      <c r="B142" s="42">
        <v>209</v>
      </c>
      <c r="C142" s="16" t="s">
        <v>564</v>
      </c>
      <c r="D142" s="10" t="s">
        <v>476</v>
      </c>
      <c r="E142" s="10" t="s">
        <v>148</v>
      </c>
      <c r="F142" s="10" t="s">
        <v>148</v>
      </c>
      <c r="G142" s="10" t="s">
        <v>41</v>
      </c>
      <c r="H142" s="10">
        <v>59</v>
      </c>
      <c r="I142" s="10">
        <v>1.04</v>
      </c>
      <c r="J142" s="10" t="s">
        <v>481</v>
      </c>
      <c r="K142" s="22">
        <v>43941</v>
      </c>
      <c r="L142" s="22">
        <v>43951</v>
      </c>
      <c r="M142" s="22">
        <v>43945</v>
      </c>
      <c r="N142" s="22">
        <v>43945</v>
      </c>
      <c r="O142" s="23" t="s">
        <v>482</v>
      </c>
    </row>
    <row r="143" spans="2:15" ht="15" x14ac:dyDescent="0.2">
      <c r="B143" s="42">
        <v>210</v>
      </c>
      <c r="C143" s="16" t="s">
        <v>564</v>
      </c>
      <c r="D143" s="10" t="s">
        <v>476</v>
      </c>
      <c r="E143" s="10" t="s">
        <v>148</v>
      </c>
      <c r="F143" s="10" t="s">
        <v>148</v>
      </c>
      <c r="G143" s="10" t="s">
        <v>41</v>
      </c>
      <c r="H143" s="10">
        <v>354</v>
      </c>
      <c r="I143" s="10">
        <v>6.29</v>
      </c>
      <c r="J143" s="10" t="s">
        <v>481</v>
      </c>
      <c r="K143" s="22">
        <v>43941</v>
      </c>
      <c r="L143" s="22">
        <v>43951</v>
      </c>
      <c r="M143" s="22">
        <v>43945</v>
      </c>
      <c r="N143" s="22">
        <v>43945</v>
      </c>
      <c r="O143" s="23" t="s">
        <v>482</v>
      </c>
    </row>
    <row r="144" spans="2:15" ht="15" x14ac:dyDescent="0.2">
      <c r="B144" s="42">
        <v>211</v>
      </c>
      <c r="C144" s="16" t="s">
        <v>564</v>
      </c>
      <c r="D144" s="10" t="s">
        <v>476</v>
      </c>
      <c r="E144" s="10" t="s">
        <v>148</v>
      </c>
      <c r="F144" s="10" t="s">
        <v>148</v>
      </c>
      <c r="G144" s="10" t="s">
        <v>41</v>
      </c>
      <c r="H144" s="10">
        <v>186</v>
      </c>
      <c r="I144" s="10">
        <v>3.3</v>
      </c>
      <c r="J144" s="10" t="s">
        <v>481</v>
      </c>
      <c r="K144" s="22">
        <v>43941</v>
      </c>
      <c r="L144" s="22">
        <v>43951</v>
      </c>
      <c r="M144" s="22">
        <v>43945</v>
      </c>
      <c r="N144" s="22">
        <v>43945</v>
      </c>
      <c r="O144" s="23" t="s">
        <v>482</v>
      </c>
    </row>
    <row r="145" spans="2:15" ht="15" x14ac:dyDescent="0.2">
      <c r="B145" s="42">
        <v>212</v>
      </c>
      <c r="C145" s="16" t="s">
        <v>564</v>
      </c>
      <c r="D145" s="10" t="s">
        <v>476</v>
      </c>
      <c r="E145" s="10" t="s">
        <v>148</v>
      </c>
      <c r="F145" s="10" t="s">
        <v>148</v>
      </c>
      <c r="G145" s="10" t="s">
        <v>41</v>
      </c>
      <c r="H145" s="10">
        <v>159</v>
      </c>
      <c r="I145" s="10">
        <v>2.82</v>
      </c>
      <c r="J145" s="10" t="s">
        <v>481</v>
      </c>
      <c r="K145" s="22">
        <v>43941</v>
      </c>
      <c r="L145" s="22">
        <v>43951</v>
      </c>
      <c r="M145" s="22">
        <v>43945</v>
      </c>
      <c r="N145" s="22">
        <v>43945</v>
      </c>
      <c r="O145" s="23" t="s">
        <v>482</v>
      </c>
    </row>
    <row r="146" spans="2:15" ht="15" x14ac:dyDescent="0.2">
      <c r="B146" s="42">
        <v>213</v>
      </c>
      <c r="C146" s="16" t="s">
        <v>564</v>
      </c>
      <c r="D146" s="10" t="s">
        <v>476</v>
      </c>
      <c r="E146" s="10" t="s">
        <v>148</v>
      </c>
      <c r="F146" s="10" t="s">
        <v>148</v>
      </c>
      <c r="G146" s="10" t="s">
        <v>41</v>
      </c>
      <c r="H146" s="10">
        <v>199</v>
      </c>
      <c r="I146" s="10">
        <v>3.53</v>
      </c>
      <c r="J146" s="10" t="s">
        <v>481</v>
      </c>
      <c r="K146" s="22">
        <v>43941</v>
      </c>
      <c r="L146" s="22">
        <v>43951</v>
      </c>
      <c r="M146" s="22">
        <v>43945</v>
      </c>
      <c r="N146" s="22">
        <v>43945</v>
      </c>
      <c r="O146" s="23" t="s">
        <v>482</v>
      </c>
    </row>
    <row r="147" spans="2:15" ht="15" x14ac:dyDescent="0.2">
      <c r="B147" s="42">
        <v>214</v>
      </c>
      <c r="C147" s="16" t="s">
        <v>564</v>
      </c>
      <c r="D147" s="10" t="s">
        <v>476</v>
      </c>
      <c r="E147" s="10" t="s">
        <v>148</v>
      </c>
      <c r="F147" s="10" t="s">
        <v>148</v>
      </c>
      <c r="G147" s="10" t="s">
        <v>41</v>
      </c>
      <c r="H147" s="10">
        <v>6</v>
      </c>
      <c r="I147" s="10">
        <v>0.1</v>
      </c>
      <c r="J147" s="10" t="s">
        <v>481</v>
      </c>
      <c r="K147" s="22">
        <v>43941</v>
      </c>
      <c r="L147" s="22">
        <v>43951</v>
      </c>
      <c r="M147" s="22">
        <v>43945</v>
      </c>
      <c r="N147" s="22">
        <v>43945</v>
      </c>
      <c r="O147" s="23" t="s">
        <v>482</v>
      </c>
    </row>
    <row r="148" spans="2:15" ht="15" x14ac:dyDescent="0.2">
      <c r="B148" s="42">
        <v>215</v>
      </c>
      <c r="C148" s="16" t="s">
        <v>564</v>
      </c>
      <c r="D148" s="16" t="s">
        <v>476</v>
      </c>
      <c r="E148" s="16" t="s">
        <v>149</v>
      </c>
      <c r="F148" s="16" t="s">
        <v>424</v>
      </c>
      <c r="G148" s="16" t="s">
        <v>77</v>
      </c>
      <c r="H148" s="16">
        <v>90</v>
      </c>
      <c r="I148" s="16">
        <v>1.6</v>
      </c>
      <c r="J148" s="16" t="s">
        <v>481</v>
      </c>
      <c r="K148" s="22">
        <v>43941</v>
      </c>
      <c r="L148" s="49">
        <v>43943</v>
      </c>
      <c r="M148" s="49">
        <v>43942</v>
      </c>
      <c r="N148" s="49">
        <v>43942</v>
      </c>
      <c r="O148" s="23" t="s">
        <v>482</v>
      </c>
    </row>
    <row r="149" spans="2:15" ht="15" x14ac:dyDescent="0.2">
      <c r="B149" s="42">
        <v>216</v>
      </c>
      <c r="C149" s="16" t="s">
        <v>564</v>
      </c>
      <c r="D149" s="16" t="s">
        <v>476</v>
      </c>
      <c r="E149" s="16" t="s">
        <v>149</v>
      </c>
      <c r="F149" s="16" t="s">
        <v>424</v>
      </c>
      <c r="G149" s="16" t="s">
        <v>77</v>
      </c>
      <c r="H149" s="16">
        <v>212</v>
      </c>
      <c r="I149" s="16">
        <v>3.76</v>
      </c>
      <c r="J149" s="16" t="s">
        <v>481</v>
      </c>
      <c r="K149" s="22">
        <v>43941</v>
      </c>
      <c r="L149" s="49">
        <v>43943</v>
      </c>
      <c r="M149" s="49">
        <v>43942</v>
      </c>
      <c r="N149" s="49">
        <v>43942</v>
      </c>
      <c r="O149" s="23" t="s">
        <v>482</v>
      </c>
    </row>
    <row r="150" spans="2:15" ht="15" x14ac:dyDescent="0.2">
      <c r="B150" s="42">
        <v>217</v>
      </c>
      <c r="C150" s="16" t="s">
        <v>564</v>
      </c>
      <c r="D150" s="16" t="s">
        <v>476</v>
      </c>
      <c r="E150" s="16" t="s">
        <v>149</v>
      </c>
      <c r="F150" s="16" t="s">
        <v>424</v>
      </c>
      <c r="G150" s="16" t="s">
        <v>77</v>
      </c>
      <c r="H150" s="16">
        <v>361</v>
      </c>
      <c r="I150" s="16">
        <v>6.41</v>
      </c>
      <c r="J150" s="16" t="s">
        <v>481</v>
      </c>
      <c r="K150" s="22">
        <v>43941</v>
      </c>
      <c r="L150" s="49">
        <v>43943</v>
      </c>
      <c r="M150" s="49">
        <v>43942</v>
      </c>
      <c r="N150" s="49">
        <v>43942</v>
      </c>
      <c r="O150" s="23" t="s">
        <v>482</v>
      </c>
    </row>
    <row r="151" spans="2:15" ht="15" x14ac:dyDescent="0.2">
      <c r="B151" s="42">
        <v>218</v>
      </c>
      <c r="C151" s="16" t="s">
        <v>564</v>
      </c>
      <c r="D151" s="10" t="s">
        <v>476</v>
      </c>
      <c r="E151" s="10" t="s">
        <v>149</v>
      </c>
      <c r="F151" s="10" t="s">
        <v>424</v>
      </c>
      <c r="G151" s="10" t="s">
        <v>77</v>
      </c>
      <c r="H151" s="10">
        <v>437</v>
      </c>
      <c r="I151" s="10">
        <v>7.76</v>
      </c>
      <c r="J151" s="16" t="s">
        <v>481</v>
      </c>
      <c r="K151" s="22">
        <v>43941</v>
      </c>
      <c r="L151" s="22">
        <v>43943</v>
      </c>
      <c r="M151" s="22">
        <v>43943</v>
      </c>
      <c r="N151" s="22">
        <v>43943</v>
      </c>
      <c r="O151" s="23" t="s">
        <v>482</v>
      </c>
    </row>
    <row r="152" spans="2:15" ht="15" x14ac:dyDescent="0.2">
      <c r="B152" s="42">
        <v>219</v>
      </c>
      <c r="C152" s="16" t="s">
        <v>564</v>
      </c>
      <c r="D152" s="10" t="s">
        <v>476</v>
      </c>
      <c r="E152" s="10" t="s">
        <v>149</v>
      </c>
      <c r="F152" s="10" t="s">
        <v>424</v>
      </c>
      <c r="G152" s="10" t="s">
        <v>77</v>
      </c>
      <c r="H152" s="10">
        <v>32</v>
      </c>
      <c r="I152" s="10">
        <v>0.56000000000000005</v>
      </c>
      <c r="J152" s="16" t="s">
        <v>481</v>
      </c>
      <c r="K152" s="22">
        <v>43941</v>
      </c>
      <c r="L152" s="22">
        <v>43943</v>
      </c>
      <c r="M152" s="22">
        <v>43943</v>
      </c>
      <c r="N152" s="22">
        <v>43943</v>
      </c>
      <c r="O152" s="23" t="s">
        <v>482</v>
      </c>
    </row>
    <row r="153" spans="2:15" ht="15" x14ac:dyDescent="0.2">
      <c r="B153" s="42">
        <v>220</v>
      </c>
      <c r="C153" s="16" t="s">
        <v>564</v>
      </c>
      <c r="D153" s="10" t="s">
        <v>476</v>
      </c>
      <c r="E153" s="10" t="s">
        <v>149</v>
      </c>
      <c r="F153" s="10" t="s">
        <v>424</v>
      </c>
      <c r="G153" s="10" t="s">
        <v>15</v>
      </c>
      <c r="H153" s="16">
        <v>30</v>
      </c>
      <c r="I153" s="10">
        <v>0.53</v>
      </c>
      <c r="J153" s="16" t="s">
        <v>481</v>
      </c>
      <c r="K153" s="22">
        <v>43941</v>
      </c>
      <c r="L153" s="22">
        <v>43943</v>
      </c>
      <c r="M153" s="22">
        <v>43941</v>
      </c>
      <c r="N153" s="22">
        <v>43941</v>
      </c>
      <c r="O153" s="23" t="s">
        <v>482</v>
      </c>
    </row>
    <row r="154" spans="2:15" ht="15" x14ac:dyDescent="0.2">
      <c r="B154" s="42">
        <v>221</v>
      </c>
      <c r="C154" s="16" t="s">
        <v>564</v>
      </c>
      <c r="D154" s="10" t="s">
        <v>476</v>
      </c>
      <c r="E154" s="10" t="s">
        <v>149</v>
      </c>
      <c r="F154" s="10" t="s">
        <v>424</v>
      </c>
      <c r="G154" s="10" t="s">
        <v>77</v>
      </c>
      <c r="H154" s="10">
        <v>99</v>
      </c>
      <c r="I154" s="10">
        <v>1.76</v>
      </c>
      <c r="J154" s="16" t="s">
        <v>481</v>
      </c>
      <c r="K154" s="22">
        <v>43941</v>
      </c>
      <c r="L154" s="22">
        <v>43943</v>
      </c>
      <c r="M154" s="22">
        <v>43943</v>
      </c>
      <c r="N154" s="22">
        <v>43943</v>
      </c>
      <c r="O154" s="23" t="s">
        <v>482</v>
      </c>
    </row>
    <row r="155" spans="2:15" ht="15" x14ac:dyDescent="0.2">
      <c r="B155" s="42">
        <v>222</v>
      </c>
      <c r="C155" s="16" t="s">
        <v>564</v>
      </c>
      <c r="D155" s="10" t="s">
        <v>476</v>
      </c>
      <c r="E155" s="10" t="s">
        <v>156</v>
      </c>
      <c r="F155" s="10" t="s">
        <v>425</v>
      </c>
      <c r="G155" s="10" t="s">
        <v>77</v>
      </c>
      <c r="H155" s="10">
        <v>368</v>
      </c>
      <c r="I155" s="10">
        <v>6.54</v>
      </c>
      <c r="J155" s="16" t="s">
        <v>481</v>
      </c>
      <c r="K155" s="22">
        <v>43941</v>
      </c>
      <c r="L155" s="22">
        <v>43943</v>
      </c>
      <c r="M155" s="22">
        <v>43943</v>
      </c>
      <c r="N155" s="22">
        <v>43943</v>
      </c>
      <c r="O155" s="23" t="s">
        <v>482</v>
      </c>
    </row>
    <row r="156" spans="2:15" ht="15" x14ac:dyDescent="0.2">
      <c r="B156" s="42">
        <v>223</v>
      </c>
      <c r="C156" s="16" t="s">
        <v>564</v>
      </c>
      <c r="D156" s="10" t="s">
        <v>476</v>
      </c>
      <c r="E156" s="10" t="s">
        <v>156</v>
      </c>
      <c r="F156" s="10" t="s">
        <v>425</v>
      </c>
      <c r="G156" s="10" t="s">
        <v>40</v>
      </c>
      <c r="H156" s="21">
        <v>636</v>
      </c>
      <c r="I156" s="10">
        <v>11.3</v>
      </c>
      <c r="J156" s="16" t="s">
        <v>481</v>
      </c>
      <c r="K156" s="22">
        <v>43941</v>
      </c>
      <c r="L156" s="22">
        <v>43943</v>
      </c>
      <c r="M156" s="22">
        <v>43941</v>
      </c>
      <c r="N156" s="22">
        <v>43941</v>
      </c>
      <c r="O156" s="23" t="s">
        <v>482</v>
      </c>
    </row>
    <row r="157" spans="2:15" ht="15" x14ac:dyDescent="0.2">
      <c r="B157" s="42">
        <v>224</v>
      </c>
      <c r="C157" s="16" t="s">
        <v>564</v>
      </c>
      <c r="D157" s="10" t="s">
        <v>476</v>
      </c>
      <c r="E157" s="10" t="s">
        <v>156</v>
      </c>
      <c r="F157" s="10" t="s">
        <v>425</v>
      </c>
      <c r="G157" s="10" t="s">
        <v>40</v>
      </c>
      <c r="H157" s="55">
        <v>125</v>
      </c>
      <c r="I157" s="17">
        <v>2.2200000000000002</v>
      </c>
      <c r="J157" s="16" t="s">
        <v>481</v>
      </c>
      <c r="K157" s="22">
        <v>43941</v>
      </c>
      <c r="L157" s="56">
        <v>43943</v>
      </c>
      <c r="M157" s="56">
        <v>43941</v>
      </c>
      <c r="N157" s="56">
        <v>43941</v>
      </c>
      <c r="O157" s="23" t="s">
        <v>482</v>
      </c>
    </row>
    <row r="158" spans="2:15" ht="15" x14ac:dyDescent="0.2">
      <c r="B158" s="42">
        <v>225</v>
      </c>
      <c r="C158" s="16" t="s">
        <v>564</v>
      </c>
      <c r="D158" s="10" t="s">
        <v>476</v>
      </c>
      <c r="E158" s="10" t="s">
        <v>156</v>
      </c>
      <c r="F158" s="10" t="s">
        <v>425</v>
      </c>
      <c r="G158" s="10" t="s">
        <v>40</v>
      </c>
      <c r="H158" s="10">
        <v>129</v>
      </c>
      <c r="I158" s="10">
        <v>2.29</v>
      </c>
      <c r="J158" s="16" t="s">
        <v>481</v>
      </c>
      <c r="K158" s="22">
        <v>43941</v>
      </c>
      <c r="L158" s="22">
        <v>43943</v>
      </c>
      <c r="M158" s="22">
        <v>43942</v>
      </c>
      <c r="N158" s="22">
        <v>43942</v>
      </c>
      <c r="O158" s="23" t="s">
        <v>482</v>
      </c>
    </row>
    <row r="159" spans="2:15" ht="15" x14ac:dyDescent="0.2">
      <c r="B159" s="42">
        <v>226</v>
      </c>
      <c r="C159" s="16" t="s">
        <v>564</v>
      </c>
      <c r="D159" s="10" t="s">
        <v>476</v>
      </c>
      <c r="E159" s="10" t="s">
        <v>156</v>
      </c>
      <c r="F159" s="10" t="s">
        <v>425</v>
      </c>
      <c r="G159" s="10" t="s">
        <v>40</v>
      </c>
      <c r="H159" s="21">
        <v>489</v>
      </c>
      <c r="I159" s="10">
        <v>8.69</v>
      </c>
      <c r="J159" s="16" t="s">
        <v>481</v>
      </c>
      <c r="K159" s="22">
        <v>43941</v>
      </c>
      <c r="L159" s="22">
        <v>43943</v>
      </c>
      <c r="M159" s="22">
        <v>43942</v>
      </c>
      <c r="N159" s="22">
        <v>43942</v>
      </c>
      <c r="O159" s="23" t="s">
        <v>482</v>
      </c>
    </row>
    <row r="160" spans="2:15" ht="15" x14ac:dyDescent="0.2">
      <c r="B160" s="42">
        <v>227</v>
      </c>
      <c r="C160" s="16" t="s">
        <v>564</v>
      </c>
      <c r="D160" s="10" t="s">
        <v>476</v>
      </c>
      <c r="E160" s="10" t="s">
        <v>156</v>
      </c>
      <c r="F160" s="10" t="s">
        <v>425</v>
      </c>
      <c r="G160" s="10" t="s">
        <v>40</v>
      </c>
      <c r="H160" s="10">
        <v>37</v>
      </c>
      <c r="I160" s="10">
        <v>0.65</v>
      </c>
      <c r="J160" s="16" t="s">
        <v>481</v>
      </c>
      <c r="K160" s="22">
        <v>43941</v>
      </c>
      <c r="L160" s="22">
        <v>43943</v>
      </c>
      <c r="M160" s="22">
        <v>43942</v>
      </c>
      <c r="N160" s="22">
        <v>43942</v>
      </c>
      <c r="O160" s="23" t="s">
        <v>482</v>
      </c>
    </row>
    <row r="161" spans="2:15" ht="15" x14ac:dyDescent="0.2">
      <c r="B161" s="42">
        <v>228</v>
      </c>
      <c r="C161" s="16" t="s">
        <v>564</v>
      </c>
      <c r="D161" s="10" t="s">
        <v>476</v>
      </c>
      <c r="E161" s="10" t="s">
        <v>156</v>
      </c>
      <c r="F161" s="10" t="s">
        <v>425</v>
      </c>
      <c r="G161" s="10" t="s">
        <v>40</v>
      </c>
      <c r="H161" s="59">
        <v>488</v>
      </c>
      <c r="I161" s="10">
        <v>8.67</v>
      </c>
      <c r="J161" s="16" t="s">
        <v>481</v>
      </c>
      <c r="K161" s="22">
        <v>43941</v>
      </c>
      <c r="L161" s="22">
        <v>43943</v>
      </c>
      <c r="M161" s="22">
        <v>43942</v>
      </c>
      <c r="N161" s="22">
        <v>43943</v>
      </c>
      <c r="O161" s="23" t="s">
        <v>482</v>
      </c>
    </row>
    <row r="162" spans="2:15" ht="15" x14ac:dyDescent="0.2">
      <c r="B162" s="42">
        <v>229</v>
      </c>
      <c r="C162" s="16" t="s">
        <v>564</v>
      </c>
      <c r="D162" s="10" t="s">
        <v>476</v>
      </c>
      <c r="E162" s="10" t="s">
        <v>163</v>
      </c>
      <c r="F162" s="10" t="s">
        <v>426</v>
      </c>
      <c r="G162" s="10" t="s">
        <v>40</v>
      </c>
      <c r="H162" s="10">
        <v>55</v>
      </c>
      <c r="I162" s="10">
        <v>0.97</v>
      </c>
      <c r="J162" s="16" t="s">
        <v>481</v>
      </c>
      <c r="K162" s="22">
        <v>43941</v>
      </c>
      <c r="L162" s="22">
        <v>43943</v>
      </c>
      <c r="M162" s="22">
        <v>43943</v>
      </c>
      <c r="N162" s="22">
        <v>43943</v>
      </c>
      <c r="O162" s="23" t="s">
        <v>482</v>
      </c>
    </row>
    <row r="163" spans="2:15" ht="15" x14ac:dyDescent="0.2">
      <c r="B163" s="42">
        <v>230</v>
      </c>
      <c r="C163" s="16" t="s">
        <v>564</v>
      </c>
      <c r="D163" s="10" t="s">
        <v>476</v>
      </c>
      <c r="E163" s="10" t="s">
        <v>163</v>
      </c>
      <c r="F163" s="10" t="s">
        <v>426</v>
      </c>
      <c r="G163" s="10" t="s">
        <v>40</v>
      </c>
      <c r="H163" s="10">
        <v>55</v>
      </c>
      <c r="I163" s="10">
        <v>0.97</v>
      </c>
      <c r="J163" s="16" t="s">
        <v>481</v>
      </c>
      <c r="K163" s="22">
        <v>43941</v>
      </c>
      <c r="L163" s="22">
        <v>43943</v>
      </c>
      <c r="M163" s="22">
        <v>43943</v>
      </c>
      <c r="N163" s="22">
        <v>43943</v>
      </c>
      <c r="O163" s="23" t="s">
        <v>482</v>
      </c>
    </row>
    <row r="164" spans="2:15" ht="15" x14ac:dyDescent="0.2">
      <c r="B164" s="42">
        <v>231</v>
      </c>
      <c r="C164" s="16" t="s">
        <v>564</v>
      </c>
      <c r="D164" s="10" t="s">
        <v>476</v>
      </c>
      <c r="E164" s="10" t="s">
        <v>163</v>
      </c>
      <c r="F164" s="10" t="s">
        <v>426</v>
      </c>
      <c r="G164" s="10" t="s">
        <v>40</v>
      </c>
      <c r="H164" s="10">
        <v>55</v>
      </c>
      <c r="I164" s="10">
        <v>0.97</v>
      </c>
      <c r="J164" s="16" t="s">
        <v>481</v>
      </c>
      <c r="K164" s="22">
        <v>43941</v>
      </c>
      <c r="L164" s="22">
        <v>43943</v>
      </c>
      <c r="M164" s="22">
        <v>43943</v>
      </c>
      <c r="N164" s="22">
        <v>43943</v>
      </c>
      <c r="O164" s="23" t="s">
        <v>482</v>
      </c>
    </row>
    <row r="165" spans="2:15" ht="15" x14ac:dyDescent="0.2">
      <c r="B165" s="42">
        <v>232</v>
      </c>
      <c r="C165" s="16" t="s">
        <v>564</v>
      </c>
      <c r="D165" s="10" t="s">
        <v>476</v>
      </c>
      <c r="E165" s="10" t="s">
        <v>165</v>
      </c>
      <c r="F165" s="10" t="s">
        <v>427</v>
      </c>
      <c r="G165" s="10" t="s">
        <v>40</v>
      </c>
      <c r="H165" s="10">
        <v>19</v>
      </c>
      <c r="I165" s="10">
        <v>0.33</v>
      </c>
      <c r="J165" s="16" t="s">
        <v>481</v>
      </c>
      <c r="K165" s="22">
        <v>43941</v>
      </c>
      <c r="L165" s="22">
        <v>43943</v>
      </c>
      <c r="M165" s="22">
        <v>43943</v>
      </c>
      <c r="N165" s="22">
        <v>43943</v>
      </c>
      <c r="O165" s="23" t="s">
        <v>482</v>
      </c>
    </row>
    <row r="166" spans="2:15" ht="15" x14ac:dyDescent="0.2">
      <c r="B166" s="42">
        <v>233</v>
      </c>
      <c r="C166" s="16" t="s">
        <v>564</v>
      </c>
      <c r="D166" s="10" t="s">
        <v>476</v>
      </c>
      <c r="E166" s="10" t="s">
        <v>165</v>
      </c>
      <c r="F166" s="10" t="s">
        <v>427</v>
      </c>
      <c r="G166" s="10" t="s">
        <v>40</v>
      </c>
      <c r="H166" s="10">
        <v>244</v>
      </c>
      <c r="I166" s="10">
        <v>4.33</v>
      </c>
      <c r="J166" s="16" t="s">
        <v>481</v>
      </c>
      <c r="K166" s="22">
        <v>43941</v>
      </c>
      <c r="L166" s="22">
        <v>43943</v>
      </c>
      <c r="M166" s="22">
        <v>43943</v>
      </c>
      <c r="N166" s="22">
        <v>43943</v>
      </c>
      <c r="O166" s="23" t="s">
        <v>482</v>
      </c>
    </row>
    <row r="167" spans="2:15" ht="15" x14ac:dyDescent="0.2">
      <c r="B167" s="42">
        <v>234</v>
      </c>
      <c r="C167" s="16" t="s">
        <v>564</v>
      </c>
      <c r="D167" s="10" t="s">
        <v>476</v>
      </c>
      <c r="E167" s="39" t="s">
        <v>169</v>
      </c>
      <c r="F167" s="39" t="s">
        <v>422</v>
      </c>
      <c r="G167" s="10" t="s">
        <v>41</v>
      </c>
      <c r="H167" s="10">
        <v>803</v>
      </c>
      <c r="I167" s="10">
        <v>14.27</v>
      </c>
      <c r="J167" s="10" t="s">
        <v>481</v>
      </c>
      <c r="K167" s="22">
        <v>43941</v>
      </c>
      <c r="L167" s="22">
        <v>43942</v>
      </c>
      <c r="M167" s="22">
        <v>43941</v>
      </c>
      <c r="N167" s="22">
        <v>43942</v>
      </c>
      <c r="O167" s="23" t="s">
        <v>489</v>
      </c>
    </row>
    <row r="168" spans="2:15" ht="15" x14ac:dyDescent="0.2">
      <c r="B168" s="60">
        <v>235</v>
      </c>
      <c r="C168" s="61" t="s">
        <v>564</v>
      </c>
      <c r="D168" s="61" t="s">
        <v>476</v>
      </c>
      <c r="E168" s="61" t="s">
        <v>169</v>
      </c>
      <c r="F168" s="61" t="s">
        <v>422</v>
      </c>
      <c r="G168" s="61"/>
      <c r="H168" s="61"/>
      <c r="I168" s="61"/>
      <c r="J168" s="61"/>
      <c r="K168" s="63"/>
      <c r="L168" s="63"/>
      <c r="M168" s="63"/>
      <c r="N168" s="63"/>
      <c r="O168" s="60"/>
    </row>
    <row r="169" spans="2:15" ht="15" x14ac:dyDescent="0.2">
      <c r="B169" s="42">
        <v>236</v>
      </c>
      <c r="C169" s="16" t="s">
        <v>564</v>
      </c>
      <c r="D169" s="10" t="s">
        <v>476</v>
      </c>
      <c r="E169" s="39" t="s">
        <v>172</v>
      </c>
      <c r="F169" s="39" t="s">
        <v>422</v>
      </c>
      <c r="G169" s="10" t="s">
        <v>24</v>
      </c>
      <c r="H169" s="10">
        <v>259</v>
      </c>
      <c r="I169" s="10">
        <v>4.5999999999999996</v>
      </c>
      <c r="J169" s="10" t="s">
        <v>481</v>
      </c>
      <c r="K169" s="22">
        <v>43941</v>
      </c>
      <c r="L169" s="22">
        <v>43942</v>
      </c>
      <c r="M169" s="22">
        <v>43941</v>
      </c>
      <c r="N169" s="22">
        <v>43941</v>
      </c>
      <c r="O169" s="23" t="s">
        <v>489</v>
      </c>
    </row>
    <row r="170" spans="2:15" ht="15" x14ac:dyDescent="0.2">
      <c r="B170" s="42">
        <v>237</v>
      </c>
      <c r="C170" s="16" t="s">
        <v>564</v>
      </c>
      <c r="D170" s="10" t="s">
        <v>476</v>
      </c>
      <c r="E170" s="39" t="s">
        <v>172</v>
      </c>
      <c r="F170" s="39" t="s">
        <v>422</v>
      </c>
      <c r="G170" s="10" t="s">
        <v>24</v>
      </c>
      <c r="H170" s="10">
        <v>85</v>
      </c>
      <c r="I170" s="10">
        <v>1.51</v>
      </c>
      <c r="J170" s="10" t="s">
        <v>481</v>
      </c>
      <c r="K170" s="22">
        <v>43941</v>
      </c>
      <c r="L170" s="22">
        <v>43942</v>
      </c>
      <c r="M170" s="22">
        <v>43942</v>
      </c>
      <c r="N170" s="22">
        <v>43942</v>
      </c>
      <c r="O170" s="23" t="s">
        <v>482</v>
      </c>
    </row>
    <row r="171" spans="2:15" ht="15" x14ac:dyDescent="0.2">
      <c r="B171" s="42">
        <v>238</v>
      </c>
      <c r="C171" s="16" t="s">
        <v>564</v>
      </c>
      <c r="D171" s="10" t="s">
        <v>476</v>
      </c>
      <c r="E171" s="39" t="s">
        <v>172</v>
      </c>
      <c r="F171" s="39" t="s">
        <v>422</v>
      </c>
      <c r="G171" s="10" t="s">
        <v>24</v>
      </c>
      <c r="H171" s="10">
        <v>208</v>
      </c>
      <c r="I171" s="10">
        <v>3.69</v>
      </c>
      <c r="J171" s="10" t="s">
        <v>481</v>
      </c>
      <c r="K171" s="22">
        <v>43941</v>
      </c>
      <c r="L171" s="22">
        <v>43942</v>
      </c>
      <c r="M171" s="22">
        <v>43942</v>
      </c>
      <c r="N171" s="22">
        <v>43942</v>
      </c>
      <c r="O171" s="23" t="s">
        <v>482</v>
      </c>
    </row>
    <row r="172" spans="2:15" ht="15" x14ac:dyDescent="0.2">
      <c r="B172" s="42">
        <v>239</v>
      </c>
      <c r="C172" s="16" t="s">
        <v>564</v>
      </c>
      <c r="D172" s="10" t="s">
        <v>476</v>
      </c>
      <c r="E172" s="39" t="s">
        <v>172</v>
      </c>
      <c r="F172" s="39" t="s">
        <v>422</v>
      </c>
      <c r="G172" s="10" t="s">
        <v>24</v>
      </c>
      <c r="H172" s="10">
        <v>321</v>
      </c>
      <c r="I172" s="10">
        <v>5.7</v>
      </c>
      <c r="J172" s="10" t="s">
        <v>481</v>
      </c>
      <c r="K172" s="22">
        <v>43941</v>
      </c>
      <c r="L172" s="22">
        <v>43942</v>
      </c>
      <c r="M172" s="22">
        <v>43941</v>
      </c>
      <c r="N172" s="22">
        <v>43941</v>
      </c>
      <c r="O172" s="23" t="s">
        <v>482</v>
      </c>
    </row>
    <row r="173" spans="2:15" ht="15" x14ac:dyDescent="0.2">
      <c r="B173" s="42">
        <v>240</v>
      </c>
      <c r="C173" s="16" t="s">
        <v>564</v>
      </c>
      <c r="D173" s="10" t="s">
        <v>476</v>
      </c>
      <c r="E173" s="10" t="s">
        <v>177</v>
      </c>
      <c r="F173" s="10" t="s">
        <v>417</v>
      </c>
      <c r="G173" s="10" t="s">
        <v>24</v>
      </c>
      <c r="H173" s="10">
        <v>118</v>
      </c>
      <c r="I173" s="10">
        <v>2.09</v>
      </c>
      <c r="J173" s="10" t="s">
        <v>481</v>
      </c>
      <c r="K173" s="22">
        <v>43941</v>
      </c>
      <c r="L173" s="22">
        <v>43942</v>
      </c>
      <c r="M173" s="22">
        <v>43941</v>
      </c>
      <c r="N173" s="22">
        <v>43941</v>
      </c>
      <c r="O173" s="23" t="s">
        <v>482</v>
      </c>
    </row>
    <row r="174" spans="2:15" ht="15" x14ac:dyDescent="0.2">
      <c r="B174" s="42">
        <v>241</v>
      </c>
      <c r="C174" s="16" t="s">
        <v>564</v>
      </c>
      <c r="D174" s="10" t="s">
        <v>476</v>
      </c>
      <c r="E174" s="10" t="s">
        <v>180</v>
      </c>
      <c r="F174" s="10" t="s">
        <v>428</v>
      </c>
      <c r="G174" s="10" t="s">
        <v>24</v>
      </c>
      <c r="H174" s="10">
        <v>116</v>
      </c>
      <c r="I174" s="10">
        <v>2.06</v>
      </c>
      <c r="J174" s="16" t="s">
        <v>481</v>
      </c>
      <c r="K174" s="22">
        <v>43941</v>
      </c>
      <c r="L174" s="22">
        <v>43943</v>
      </c>
      <c r="M174" s="22">
        <v>43942</v>
      </c>
      <c r="N174" s="22">
        <v>43942</v>
      </c>
      <c r="O174" s="23" t="s">
        <v>482</v>
      </c>
    </row>
    <row r="175" spans="2:15" ht="15" x14ac:dyDescent="0.2">
      <c r="B175" s="42">
        <v>242</v>
      </c>
      <c r="C175" s="16" t="s">
        <v>564</v>
      </c>
      <c r="D175" s="10" t="s">
        <v>476</v>
      </c>
      <c r="E175" s="10" t="s">
        <v>180</v>
      </c>
      <c r="F175" s="10" t="s">
        <v>428</v>
      </c>
      <c r="G175" s="10" t="s">
        <v>24</v>
      </c>
      <c r="H175" s="10">
        <v>119</v>
      </c>
      <c r="I175" s="10">
        <v>2.11</v>
      </c>
      <c r="J175" s="16" t="s">
        <v>481</v>
      </c>
      <c r="K175" s="22">
        <v>43941</v>
      </c>
      <c r="L175" s="22">
        <v>43943</v>
      </c>
      <c r="M175" s="22">
        <v>43942</v>
      </c>
      <c r="N175" s="22">
        <v>43942</v>
      </c>
      <c r="O175" s="23" t="s">
        <v>482</v>
      </c>
    </row>
    <row r="176" spans="2:15" ht="15" x14ac:dyDescent="0.2">
      <c r="B176" s="42">
        <v>243</v>
      </c>
      <c r="C176" s="16" t="s">
        <v>564</v>
      </c>
      <c r="D176" s="10" t="s">
        <v>476</v>
      </c>
      <c r="E176" s="10" t="s">
        <v>181</v>
      </c>
      <c r="F176" s="10" t="s">
        <v>429</v>
      </c>
      <c r="G176" s="10" t="s">
        <v>24</v>
      </c>
      <c r="H176" s="10">
        <v>73</v>
      </c>
      <c r="I176" s="10">
        <v>1.29</v>
      </c>
      <c r="J176" s="10" t="s">
        <v>481</v>
      </c>
      <c r="K176" s="22">
        <v>43941</v>
      </c>
      <c r="L176" s="22">
        <v>43951</v>
      </c>
      <c r="M176" s="22">
        <v>43942</v>
      </c>
      <c r="N176" s="22">
        <v>43942</v>
      </c>
      <c r="O176" s="23" t="s">
        <v>482</v>
      </c>
    </row>
    <row r="177" spans="2:15" ht="15" x14ac:dyDescent="0.2">
      <c r="B177" s="42">
        <v>244</v>
      </c>
      <c r="C177" s="16" t="s">
        <v>564</v>
      </c>
      <c r="D177" s="10" t="s">
        <v>476</v>
      </c>
      <c r="E177" s="10" t="s">
        <v>181</v>
      </c>
      <c r="F177" s="10" t="s">
        <v>429</v>
      </c>
      <c r="G177" s="10" t="s">
        <v>24</v>
      </c>
      <c r="H177" s="10">
        <v>131</v>
      </c>
      <c r="I177" s="10">
        <v>2.3199999999999998</v>
      </c>
      <c r="J177" s="10" t="s">
        <v>481</v>
      </c>
      <c r="K177" s="22">
        <v>43941</v>
      </c>
      <c r="L177" s="22">
        <v>43951</v>
      </c>
      <c r="M177" s="22">
        <v>43943</v>
      </c>
      <c r="N177" s="22">
        <v>43943</v>
      </c>
      <c r="O177" s="23" t="s">
        <v>489</v>
      </c>
    </row>
    <row r="178" spans="2:15" ht="15" x14ac:dyDescent="0.2">
      <c r="B178" s="42">
        <v>245</v>
      </c>
      <c r="C178" s="16" t="s">
        <v>564</v>
      </c>
      <c r="D178" s="10" t="s">
        <v>476</v>
      </c>
      <c r="E178" s="10" t="s">
        <v>181</v>
      </c>
      <c r="F178" s="10" t="s">
        <v>429</v>
      </c>
      <c r="G178" s="10" t="s">
        <v>24</v>
      </c>
      <c r="H178" s="10">
        <v>191</v>
      </c>
      <c r="I178" s="10">
        <v>3.39</v>
      </c>
      <c r="J178" s="10" t="s">
        <v>481</v>
      </c>
      <c r="K178" s="22">
        <v>43941</v>
      </c>
      <c r="L178" s="22">
        <v>43951</v>
      </c>
      <c r="M178" s="22">
        <v>43944</v>
      </c>
      <c r="N178" s="22">
        <v>43944</v>
      </c>
      <c r="O178" s="23" t="s">
        <v>489</v>
      </c>
    </row>
    <row r="179" spans="2:15" ht="15" x14ac:dyDescent="0.2">
      <c r="B179" s="42">
        <v>246</v>
      </c>
      <c r="C179" s="16" t="s">
        <v>564</v>
      </c>
      <c r="D179" s="10" t="s">
        <v>476</v>
      </c>
      <c r="E179" s="10" t="s">
        <v>181</v>
      </c>
      <c r="F179" s="10" t="s">
        <v>429</v>
      </c>
      <c r="G179" s="10" t="s">
        <v>24</v>
      </c>
      <c r="H179" s="10">
        <v>344</v>
      </c>
      <c r="I179" s="10">
        <v>6.11</v>
      </c>
      <c r="J179" s="10" t="s">
        <v>481</v>
      </c>
      <c r="K179" s="22">
        <v>43941</v>
      </c>
      <c r="L179" s="22">
        <v>43951</v>
      </c>
      <c r="M179" s="22">
        <v>43943</v>
      </c>
      <c r="N179" s="22">
        <v>43943</v>
      </c>
      <c r="O179" s="23" t="s">
        <v>489</v>
      </c>
    </row>
    <row r="180" spans="2:15" ht="15" x14ac:dyDescent="0.2">
      <c r="B180" s="42">
        <v>247</v>
      </c>
      <c r="C180" s="16" t="s">
        <v>564</v>
      </c>
      <c r="D180" s="10" t="s">
        <v>476</v>
      </c>
      <c r="E180" s="10" t="s">
        <v>181</v>
      </c>
      <c r="F180" s="10" t="s">
        <v>429</v>
      </c>
      <c r="G180" s="10" t="s">
        <v>24</v>
      </c>
      <c r="H180" s="10">
        <v>40</v>
      </c>
      <c r="I180" s="10">
        <v>0.71</v>
      </c>
      <c r="J180" s="10" t="s">
        <v>481</v>
      </c>
      <c r="K180" s="22">
        <v>43941</v>
      </c>
      <c r="L180" s="22">
        <v>43951</v>
      </c>
      <c r="M180" s="22">
        <v>43944</v>
      </c>
      <c r="N180" s="22">
        <v>43944</v>
      </c>
      <c r="O180" s="23" t="s">
        <v>482</v>
      </c>
    </row>
    <row r="181" spans="2:15" ht="15" x14ac:dyDescent="0.2">
      <c r="B181" s="42">
        <v>248</v>
      </c>
      <c r="C181" s="16" t="s">
        <v>564</v>
      </c>
      <c r="D181" s="10" t="s">
        <v>476</v>
      </c>
      <c r="E181" s="10" t="s">
        <v>181</v>
      </c>
      <c r="F181" s="10" t="s">
        <v>429</v>
      </c>
      <c r="G181" s="10" t="s">
        <v>24</v>
      </c>
      <c r="H181" s="10">
        <v>146</v>
      </c>
      <c r="I181" s="10">
        <v>2.59</v>
      </c>
      <c r="J181" s="10" t="s">
        <v>481</v>
      </c>
      <c r="K181" s="22">
        <v>43941</v>
      </c>
      <c r="L181" s="22">
        <v>43951</v>
      </c>
      <c r="M181" s="22">
        <v>43942</v>
      </c>
      <c r="N181" s="22">
        <v>43942</v>
      </c>
      <c r="O181" s="23" t="s">
        <v>482</v>
      </c>
    </row>
    <row r="182" spans="2:15" ht="15" x14ac:dyDescent="0.2">
      <c r="B182" s="42">
        <v>249</v>
      </c>
      <c r="C182" s="16" t="s">
        <v>564</v>
      </c>
      <c r="D182" s="10" t="s">
        <v>476</v>
      </c>
      <c r="E182" s="10" t="s">
        <v>181</v>
      </c>
      <c r="F182" s="10" t="s">
        <v>429</v>
      </c>
      <c r="G182" s="10" t="s">
        <v>24</v>
      </c>
      <c r="H182" s="10">
        <v>51</v>
      </c>
      <c r="I182" s="10">
        <v>0.9</v>
      </c>
      <c r="J182" s="10" t="s">
        <v>481</v>
      </c>
      <c r="K182" s="22">
        <v>43941</v>
      </c>
      <c r="L182" s="22">
        <v>43951</v>
      </c>
      <c r="M182" s="22">
        <v>43942</v>
      </c>
      <c r="N182" s="22">
        <v>43942</v>
      </c>
      <c r="O182" s="23" t="s">
        <v>482</v>
      </c>
    </row>
    <row r="183" spans="2:15" ht="15" x14ac:dyDescent="0.2">
      <c r="B183" s="42">
        <v>250</v>
      </c>
      <c r="C183" s="16" t="s">
        <v>564</v>
      </c>
      <c r="D183" s="10" t="s">
        <v>476</v>
      </c>
      <c r="E183" s="10" t="s">
        <v>189</v>
      </c>
      <c r="F183" s="10" t="s">
        <v>422</v>
      </c>
      <c r="G183" s="10" t="s">
        <v>24</v>
      </c>
      <c r="H183" s="10">
        <v>101</v>
      </c>
      <c r="I183" s="10">
        <v>1.79</v>
      </c>
      <c r="J183" s="16" t="s">
        <v>481</v>
      </c>
      <c r="K183" s="22">
        <v>43941</v>
      </c>
      <c r="L183" s="22">
        <v>43943</v>
      </c>
      <c r="M183" s="22">
        <v>43941</v>
      </c>
      <c r="N183" s="22">
        <v>43941</v>
      </c>
      <c r="O183" s="23" t="s">
        <v>489</v>
      </c>
    </row>
    <row r="184" spans="2:15" ht="15" x14ac:dyDescent="0.2">
      <c r="B184" s="42">
        <v>251</v>
      </c>
      <c r="C184" s="16" t="s">
        <v>564</v>
      </c>
      <c r="D184" s="10" t="s">
        <v>476</v>
      </c>
      <c r="E184" s="10" t="s">
        <v>189</v>
      </c>
      <c r="F184" s="10" t="s">
        <v>422</v>
      </c>
      <c r="G184" s="10" t="s">
        <v>24</v>
      </c>
      <c r="H184" s="10">
        <v>116</v>
      </c>
      <c r="I184" s="10">
        <v>2.06</v>
      </c>
      <c r="J184" s="16" t="s">
        <v>481</v>
      </c>
      <c r="K184" s="22">
        <v>43941</v>
      </c>
      <c r="L184" s="22">
        <v>43943</v>
      </c>
      <c r="M184" s="22">
        <v>43941</v>
      </c>
      <c r="N184" s="22">
        <v>43941</v>
      </c>
      <c r="O184" s="23" t="s">
        <v>489</v>
      </c>
    </row>
    <row r="185" spans="2:15" ht="15" x14ac:dyDescent="0.2">
      <c r="B185" s="42">
        <v>252</v>
      </c>
      <c r="C185" s="16" t="s">
        <v>564</v>
      </c>
      <c r="D185" s="10" t="s">
        <v>476</v>
      </c>
      <c r="E185" s="10" t="s">
        <v>189</v>
      </c>
      <c r="F185" s="10" t="s">
        <v>422</v>
      </c>
      <c r="G185" s="10" t="s">
        <v>24</v>
      </c>
      <c r="H185" s="10">
        <v>60</v>
      </c>
      <c r="I185" s="10">
        <v>1.06</v>
      </c>
      <c r="J185" s="16" t="s">
        <v>481</v>
      </c>
      <c r="K185" s="22">
        <v>43941</v>
      </c>
      <c r="L185" s="22">
        <v>43943</v>
      </c>
      <c r="M185" s="22">
        <v>43941</v>
      </c>
      <c r="N185" s="22">
        <v>43941</v>
      </c>
      <c r="O185" s="23" t="s">
        <v>489</v>
      </c>
    </row>
    <row r="186" spans="2:15" ht="15" x14ac:dyDescent="0.2">
      <c r="B186" s="37">
        <v>253</v>
      </c>
      <c r="C186" s="16">
        <v>20200417</v>
      </c>
      <c r="D186" s="10" t="s">
        <v>476</v>
      </c>
      <c r="E186" s="10" t="s">
        <v>193</v>
      </c>
      <c r="F186" s="10" t="s">
        <v>430</v>
      </c>
      <c r="G186" s="10" t="s">
        <v>41</v>
      </c>
      <c r="H186" s="10">
        <v>180</v>
      </c>
      <c r="I186" s="10">
        <v>3.2</v>
      </c>
      <c r="J186" s="10" t="s">
        <v>481</v>
      </c>
      <c r="K186" s="22">
        <v>43941</v>
      </c>
      <c r="L186" s="22">
        <v>43945</v>
      </c>
      <c r="M186" s="22">
        <v>43943</v>
      </c>
      <c r="N186" s="22">
        <v>43943</v>
      </c>
      <c r="O186" s="23" t="s">
        <v>482</v>
      </c>
    </row>
    <row r="187" spans="2:15" ht="15" x14ac:dyDescent="0.2">
      <c r="B187" s="37">
        <v>254</v>
      </c>
      <c r="C187" s="16">
        <v>20200417</v>
      </c>
      <c r="D187" s="10" t="s">
        <v>476</v>
      </c>
      <c r="E187" s="10" t="s">
        <v>194</v>
      </c>
      <c r="F187" s="10" t="s">
        <v>431</v>
      </c>
      <c r="G187" s="10" t="s">
        <v>15</v>
      </c>
      <c r="H187" s="10">
        <v>224</v>
      </c>
      <c r="I187" s="10">
        <v>3.98</v>
      </c>
      <c r="J187" s="10" t="s">
        <v>481</v>
      </c>
      <c r="K187" s="22">
        <v>43941</v>
      </c>
      <c r="L187" s="22">
        <v>43945</v>
      </c>
      <c r="M187" s="22">
        <v>43942</v>
      </c>
      <c r="N187" s="22">
        <v>43942</v>
      </c>
      <c r="O187" s="23" t="s">
        <v>482</v>
      </c>
    </row>
    <row r="188" spans="2:15" ht="15" x14ac:dyDescent="0.2">
      <c r="B188" s="37">
        <v>255</v>
      </c>
      <c r="C188" s="16">
        <v>20200417</v>
      </c>
      <c r="D188" s="10" t="s">
        <v>476</v>
      </c>
      <c r="E188" s="10" t="s">
        <v>194</v>
      </c>
      <c r="F188" s="10" t="s">
        <v>431</v>
      </c>
      <c r="G188" s="10" t="s">
        <v>15</v>
      </c>
      <c r="H188" s="10">
        <v>309</v>
      </c>
      <c r="I188" s="10">
        <v>5.49</v>
      </c>
      <c r="J188" s="10" t="s">
        <v>481</v>
      </c>
      <c r="K188" s="22">
        <v>43941</v>
      </c>
      <c r="L188" s="22">
        <v>43945</v>
      </c>
      <c r="M188" s="22">
        <v>43942</v>
      </c>
      <c r="N188" s="22">
        <v>43942</v>
      </c>
      <c r="O188" s="23" t="s">
        <v>489</v>
      </c>
    </row>
    <row r="189" spans="2:15" ht="15" x14ac:dyDescent="0.2">
      <c r="B189" s="37">
        <v>256</v>
      </c>
      <c r="C189" s="16">
        <v>20200417</v>
      </c>
      <c r="D189" s="10" t="s">
        <v>476</v>
      </c>
      <c r="E189" s="10" t="s">
        <v>194</v>
      </c>
      <c r="F189" s="10" t="s">
        <v>431</v>
      </c>
      <c r="G189" s="10" t="s">
        <v>15</v>
      </c>
      <c r="H189" s="10">
        <v>25</v>
      </c>
      <c r="I189" s="10">
        <v>0.44</v>
      </c>
      <c r="J189" s="10" t="s">
        <v>481</v>
      </c>
      <c r="K189" s="22">
        <v>43941</v>
      </c>
      <c r="L189" s="22">
        <v>43945</v>
      </c>
      <c r="M189" s="22">
        <v>43942</v>
      </c>
      <c r="N189" s="22">
        <v>43942</v>
      </c>
      <c r="O189" s="23" t="s">
        <v>482</v>
      </c>
    </row>
    <row r="190" spans="2:15" ht="15" x14ac:dyDescent="0.2">
      <c r="B190" s="37">
        <v>257</v>
      </c>
      <c r="C190" s="16">
        <v>20200417</v>
      </c>
      <c r="D190" s="10" t="s">
        <v>476</v>
      </c>
      <c r="E190" s="10" t="s">
        <v>194</v>
      </c>
      <c r="F190" s="10" t="s">
        <v>431</v>
      </c>
      <c r="G190" s="10" t="s">
        <v>15</v>
      </c>
      <c r="H190" s="10">
        <v>215</v>
      </c>
      <c r="I190" s="10">
        <v>3.82</v>
      </c>
      <c r="J190" s="10" t="s">
        <v>481</v>
      </c>
      <c r="K190" s="22">
        <v>43941</v>
      </c>
      <c r="L190" s="22">
        <v>43945</v>
      </c>
      <c r="M190" s="22">
        <v>43942</v>
      </c>
      <c r="N190" s="22">
        <v>43942</v>
      </c>
      <c r="O190" s="23" t="s">
        <v>482</v>
      </c>
    </row>
    <row r="191" spans="2:15" ht="15" x14ac:dyDescent="0.2">
      <c r="B191" s="37">
        <v>258</v>
      </c>
      <c r="C191" s="16">
        <v>20200417</v>
      </c>
      <c r="D191" s="10" t="s">
        <v>476</v>
      </c>
      <c r="E191" s="10" t="s">
        <v>194</v>
      </c>
      <c r="F191" s="10" t="s">
        <v>431</v>
      </c>
      <c r="G191" s="10" t="s">
        <v>15</v>
      </c>
      <c r="H191" s="10">
        <v>1703</v>
      </c>
      <c r="I191" s="10">
        <v>30.27</v>
      </c>
      <c r="J191" s="10" t="s">
        <v>481</v>
      </c>
      <c r="K191" s="22">
        <v>43941</v>
      </c>
      <c r="L191" s="22">
        <v>43945</v>
      </c>
      <c r="M191" s="22">
        <v>43942</v>
      </c>
      <c r="N191" s="22">
        <v>43942</v>
      </c>
      <c r="O191" s="23" t="s">
        <v>482</v>
      </c>
    </row>
    <row r="192" spans="2:15" ht="15" x14ac:dyDescent="0.2">
      <c r="B192" s="37">
        <v>259</v>
      </c>
      <c r="C192" s="16">
        <v>20200417</v>
      </c>
      <c r="D192" s="10" t="s">
        <v>476</v>
      </c>
      <c r="E192" s="10" t="s">
        <v>201</v>
      </c>
      <c r="F192" s="10" t="s">
        <v>432</v>
      </c>
      <c r="G192" s="10" t="s">
        <v>40</v>
      </c>
      <c r="H192" s="10">
        <v>224</v>
      </c>
      <c r="I192" s="10">
        <v>3.98</v>
      </c>
      <c r="J192" s="10" t="s">
        <v>481</v>
      </c>
      <c r="K192" s="22">
        <v>43941</v>
      </c>
      <c r="L192" s="22">
        <v>43945</v>
      </c>
      <c r="M192" s="22">
        <v>43943</v>
      </c>
      <c r="N192" s="22">
        <v>43943</v>
      </c>
      <c r="O192" s="23" t="s">
        <v>482</v>
      </c>
    </row>
    <row r="193" spans="2:15" ht="15" x14ac:dyDescent="0.2">
      <c r="B193" s="37">
        <v>260</v>
      </c>
      <c r="C193" s="16">
        <v>20200417</v>
      </c>
      <c r="D193" s="10" t="s">
        <v>476</v>
      </c>
      <c r="E193" s="10" t="s">
        <v>201</v>
      </c>
      <c r="F193" s="10" t="s">
        <v>432</v>
      </c>
      <c r="G193" s="10" t="s">
        <v>40</v>
      </c>
      <c r="H193" s="10">
        <v>309</v>
      </c>
      <c r="I193" s="10">
        <v>5.49</v>
      </c>
      <c r="J193" s="10" t="s">
        <v>481</v>
      </c>
      <c r="K193" s="22">
        <v>43941</v>
      </c>
      <c r="L193" s="22">
        <v>43945</v>
      </c>
      <c r="M193" s="22">
        <v>43944</v>
      </c>
      <c r="N193" s="22">
        <v>43944</v>
      </c>
      <c r="O193" s="23" t="s">
        <v>489</v>
      </c>
    </row>
    <row r="194" spans="2:15" ht="15" x14ac:dyDescent="0.2">
      <c r="B194" s="37">
        <v>261</v>
      </c>
      <c r="C194" s="16">
        <v>20200417</v>
      </c>
      <c r="D194" s="10" t="s">
        <v>476</v>
      </c>
      <c r="E194" s="10" t="s">
        <v>201</v>
      </c>
      <c r="F194" s="10" t="s">
        <v>432</v>
      </c>
      <c r="G194" s="10" t="s">
        <v>40</v>
      </c>
      <c r="H194" s="10">
        <v>25</v>
      </c>
      <c r="I194" s="10">
        <v>0.44</v>
      </c>
      <c r="J194" s="10" t="s">
        <v>481</v>
      </c>
      <c r="K194" s="22">
        <v>43941</v>
      </c>
      <c r="L194" s="22">
        <v>43945</v>
      </c>
      <c r="M194" s="22">
        <v>43944</v>
      </c>
      <c r="N194" s="22">
        <v>43944</v>
      </c>
      <c r="O194" s="23" t="s">
        <v>482</v>
      </c>
    </row>
    <row r="195" spans="2:15" ht="15" x14ac:dyDescent="0.2">
      <c r="B195" s="37">
        <v>262</v>
      </c>
      <c r="C195" s="16">
        <v>20200417</v>
      </c>
      <c r="D195" s="10" t="s">
        <v>476</v>
      </c>
      <c r="E195" s="10" t="s">
        <v>201</v>
      </c>
      <c r="F195" s="10" t="s">
        <v>432</v>
      </c>
      <c r="G195" s="10" t="s">
        <v>40</v>
      </c>
      <c r="H195" s="10">
        <v>215</v>
      </c>
      <c r="I195" s="10">
        <v>3.82</v>
      </c>
      <c r="J195" s="10" t="s">
        <v>481</v>
      </c>
      <c r="K195" s="22">
        <v>43941</v>
      </c>
      <c r="L195" s="22">
        <v>43945</v>
      </c>
      <c r="M195" s="22">
        <v>43944</v>
      </c>
      <c r="N195" s="22">
        <v>43944</v>
      </c>
      <c r="O195" s="23" t="s">
        <v>482</v>
      </c>
    </row>
    <row r="196" spans="2:15" ht="15" x14ac:dyDescent="0.2">
      <c r="B196" s="37">
        <v>263</v>
      </c>
      <c r="C196" s="16">
        <v>20200417</v>
      </c>
      <c r="D196" s="10" t="s">
        <v>476</v>
      </c>
      <c r="E196" s="10" t="s">
        <v>201</v>
      </c>
      <c r="F196" s="10" t="s">
        <v>432</v>
      </c>
      <c r="G196" s="10" t="s">
        <v>4</v>
      </c>
      <c r="H196" s="10">
        <v>1703</v>
      </c>
      <c r="I196" s="10">
        <v>30.27</v>
      </c>
      <c r="J196" s="10" t="s">
        <v>481</v>
      </c>
      <c r="K196" s="22">
        <v>43941</v>
      </c>
      <c r="L196" s="22">
        <v>43945</v>
      </c>
      <c r="M196" s="22">
        <v>43944</v>
      </c>
      <c r="N196" s="22">
        <v>43944</v>
      </c>
      <c r="O196" s="23" t="s">
        <v>482</v>
      </c>
    </row>
    <row r="197" spans="2:15" ht="15" x14ac:dyDescent="0.2">
      <c r="B197" s="37">
        <v>264</v>
      </c>
      <c r="C197" s="16">
        <v>20200417</v>
      </c>
      <c r="D197" s="10" t="s">
        <v>476</v>
      </c>
      <c r="E197" s="10" t="s">
        <v>202</v>
      </c>
      <c r="F197" s="10" t="s">
        <v>433</v>
      </c>
      <c r="G197" s="10" t="s">
        <v>24</v>
      </c>
      <c r="H197" s="10">
        <v>168</v>
      </c>
      <c r="I197" s="10">
        <v>2.98</v>
      </c>
      <c r="J197" s="10" t="s">
        <v>481</v>
      </c>
      <c r="K197" s="22">
        <v>43941</v>
      </c>
      <c r="L197" s="22">
        <v>43942</v>
      </c>
      <c r="M197" s="22">
        <v>43941</v>
      </c>
      <c r="N197" s="22">
        <v>43941</v>
      </c>
      <c r="O197" s="23" t="s">
        <v>482</v>
      </c>
    </row>
    <row r="198" spans="2:15" ht="15" x14ac:dyDescent="0.2">
      <c r="B198" s="37">
        <v>265</v>
      </c>
      <c r="C198" s="16">
        <v>20200417</v>
      </c>
      <c r="D198" s="10" t="s">
        <v>476</v>
      </c>
      <c r="E198" s="10" t="s">
        <v>205</v>
      </c>
      <c r="F198" s="10" t="s">
        <v>434</v>
      </c>
      <c r="G198" s="10" t="s">
        <v>40</v>
      </c>
      <c r="H198" s="10">
        <v>145</v>
      </c>
      <c r="I198" s="10">
        <v>2.57</v>
      </c>
      <c r="J198" s="10" t="s">
        <v>481</v>
      </c>
      <c r="K198" s="22">
        <v>43941</v>
      </c>
      <c r="L198" s="22">
        <v>43949</v>
      </c>
      <c r="M198" s="22">
        <v>43945</v>
      </c>
      <c r="N198" s="22">
        <v>43945</v>
      </c>
      <c r="O198" s="23" t="s">
        <v>482</v>
      </c>
    </row>
    <row r="199" spans="2:15" ht="15" x14ac:dyDescent="0.2">
      <c r="B199" s="37">
        <v>266</v>
      </c>
      <c r="C199" s="16">
        <v>20200417</v>
      </c>
      <c r="D199" s="10" t="s">
        <v>476</v>
      </c>
      <c r="E199" s="10" t="s">
        <v>205</v>
      </c>
      <c r="F199" s="10" t="s">
        <v>434</v>
      </c>
      <c r="G199" s="10" t="s">
        <v>40</v>
      </c>
      <c r="H199" s="10">
        <v>89</v>
      </c>
      <c r="I199" s="10">
        <v>1.58</v>
      </c>
      <c r="J199" s="10" t="s">
        <v>481</v>
      </c>
      <c r="K199" s="22">
        <v>43941</v>
      </c>
      <c r="L199" s="22">
        <v>43949</v>
      </c>
      <c r="M199" s="22">
        <v>43945</v>
      </c>
      <c r="N199" s="22">
        <v>43945</v>
      </c>
      <c r="O199" s="23" t="s">
        <v>482</v>
      </c>
    </row>
    <row r="200" spans="2:15" ht="15" x14ac:dyDescent="0.2">
      <c r="B200" s="37">
        <v>267</v>
      </c>
      <c r="C200" s="16">
        <v>20200417</v>
      </c>
      <c r="D200" s="10" t="s">
        <v>476</v>
      </c>
      <c r="E200" s="10" t="s">
        <v>205</v>
      </c>
      <c r="F200" s="10" t="s">
        <v>434</v>
      </c>
      <c r="G200" s="10" t="s">
        <v>40</v>
      </c>
      <c r="H200" s="10">
        <v>186</v>
      </c>
      <c r="I200" s="10">
        <v>3.3</v>
      </c>
      <c r="J200" s="10" t="s">
        <v>481</v>
      </c>
      <c r="K200" s="22">
        <v>43941</v>
      </c>
      <c r="L200" s="22">
        <v>43949</v>
      </c>
      <c r="M200" s="22">
        <v>43945</v>
      </c>
      <c r="N200" s="22">
        <v>43945</v>
      </c>
      <c r="O200" s="23" t="s">
        <v>482</v>
      </c>
    </row>
    <row r="201" spans="2:15" ht="15" x14ac:dyDescent="0.2">
      <c r="B201" s="37">
        <v>268</v>
      </c>
      <c r="C201" s="16">
        <v>20200417</v>
      </c>
      <c r="D201" s="10" t="s">
        <v>476</v>
      </c>
      <c r="E201" s="10" t="s">
        <v>205</v>
      </c>
      <c r="F201" s="10" t="s">
        <v>434</v>
      </c>
      <c r="G201" s="10" t="s">
        <v>40</v>
      </c>
      <c r="H201" s="10">
        <v>18</v>
      </c>
      <c r="I201" s="10">
        <v>0.32</v>
      </c>
      <c r="J201" s="10" t="s">
        <v>481</v>
      </c>
      <c r="K201" s="22">
        <v>43941</v>
      </c>
      <c r="L201" s="22">
        <v>43949</v>
      </c>
      <c r="M201" s="22">
        <v>43948</v>
      </c>
      <c r="N201" s="22">
        <v>43948</v>
      </c>
      <c r="O201" s="23" t="s">
        <v>482</v>
      </c>
    </row>
    <row r="202" spans="2:15" ht="15" x14ac:dyDescent="0.2">
      <c r="B202" s="37">
        <v>269</v>
      </c>
      <c r="C202" s="16">
        <v>20200417</v>
      </c>
      <c r="D202" s="10" t="s">
        <v>476</v>
      </c>
      <c r="E202" s="10" t="s">
        <v>205</v>
      </c>
      <c r="F202" s="10" t="s">
        <v>434</v>
      </c>
      <c r="G202" s="10" t="s">
        <v>40</v>
      </c>
      <c r="H202" s="10">
        <v>124</v>
      </c>
      <c r="I202" s="10">
        <v>2.2000000000000002</v>
      </c>
      <c r="J202" s="10" t="s">
        <v>481</v>
      </c>
      <c r="K202" s="22">
        <v>43941</v>
      </c>
      <c r="L202" s="22">
        <v>43949</v>
      </c>
      <c r="M202" s="22">
        <v>43948</v>
      </c>
      <c r="N202" s="22">
        <v>43948</v>
      </c>
      <c r="O202" s="23" t="s">
        <v>489</v>
      </c>
    </row>
    <row r="203" spans="2:15" ht="15" x14ac:dyDescent="0.2">
      <c r="B203" s="37">
        <v>270</v>
      </c>
      <c r="C203" s="16">
        <v>20200417</v>
      </c>
      <c r="D203" s="10" t="s">
        <v>476</v>
      </c>
      <c r="E203" s="10" t="s">
        <v>205</v>
      </c>
      <c r="F203" s="10" t="s">
        <v>434</v>
      </c>
      <c r="G203" s="10" t="s">
        <v>40</v>
      </c>
      <c r="H203" s="10">
        <v>154</v>
      </c>
      <c r="I203" s="10">
        <v>2.73</v>
      </c>
      <c r="J203" s="10" t="s">
        <v>481</v>
      </c>
      <c r="K203" s="22">
        <v>43941</v>
      </c>
      <c r="L203" s="22">
        <v>43949</v>
      </c>
      <c r="M203" s="22">
        <v>43948</v>
      </c>
      <c r="N203" s="22">
        <v>43948</v>
      </c>
      <c r="O203" s="23" t="s">
        <v>489</v>
      </c>
    </row>
    <row r="204" spans="2:15" ht="15" x14ac:dyDescent="0.2">
      <c r="B204" s="37">
        <v>271</v>
      </c>
      <c r="C204" s="16">
        <v>20200417</v>
      </c>
      <c r="D204" s="10" t="s">
        <v>476</v>
      </c>
      <c r="E204" s="10" t="s">
        <v>205</v>
      </c>
      <c r="F204" s="10" t="s">
        <v>434</v>
      </c>
      <c r="G204" s="10" t="s">
        <v>40</v>
      </c>
      <c r="H204" s="10">
        <v>135</v>
      </c>
      <c r="I204" s="10">
        <v>2.4</v>
      </c>
      <c r="J204" s="10" t="s">
        <v>481</v>
      </c>
      <c r="K204" s="22">
        <v>43941</v>
      </c>
      <c r="L204" s="22">
        <v>43949</v>
      </c>
      <c r="M204" s="22">
        <v>43948</v>
      </c>
      <c r="N204" s="22">
        <v>43948</v>
      </c>
      <c r="O204" s="23" t="s">
        <v>482</v>
      </c>
    </row>
    <row r="205" spans="2:15" ht="15" x14ac:dyDescent="0.2">
      <c r="B205" s="37">
        <v>272</v>
      </c>
      <c r="C205" s="16">
        <v>20200417</v>
      </c>
      <c r="D205" s="10" t="s">
        <v>476</v>
      </c>
      <c r="E205" s="10" t="s">
        <v>205</v>
      </c>
      <c r="F205" s="10" t="s">
        <v>434</v>
      </c>
      <c r="G205" s="10" t="s">
        <v>24</v>
      </c>
      <c r="H205" s="10">
        <v>178</v>
      </c>
      <c r="I205" s="10">
        <v>3.16</v>
      </c>
      <c r="J205" s="10" t="s">
        <v>481</v>
      </c>
      <c r="K205" s="22">
        <v>43941</v>
      </c>
      <c r="L205" s="22">
        <v>43949</v>
      </c>
      <c r="M205" s="22">
        <v>43943</v>
      </c>
      <c r="N205" s="22">
        <v>43943</v>
      </c>
      <c r="O205" s="23" t="s">
        <v>482</v>
      </c>
    </row>
    <row r="206" spans="2:15" ht="15" x14ac:dyDescent="0.2">
      <c r="B206" s="37">
        <v>273</v>
      </c>
      <c r="C206" s="16">
        <v>20200417</v>
      </c>
      <c r="D206" s="10" t="s">
        <v>476</v>
      </c>
      <c r="E206" s="10" t="s">
        <v>205</v>
      </c>
      <c r="F206" s="10" t="s">
        <v>434</v>
      </c>
      <c r="G206" s="10" t="s">
        <v>24</v>
      </c>
      <c r="H206" s="10">
        <v>71</v>
      </c>
      <c r="I206" s="10">
        <v>1.26</v>
      </c>
      <c r="J206" s="10" t="s">
        <v>481</v>
      </c>
      <c r="K206" s="22">
        <v>43941</v>
      </c>
      <c r="L206" s="22">
        <v>43949</v>
      </c>
      <c r="M206" s="22">
        <v>43943</v>
      </c>
      <c r="N206" s="22">
        <v>43943</v>
      </c>
      <c r="O206" s="23" t="s">
        <v>482</v>
      </c>
    </row>
    <row r="207" spans="2:15" ht="15" x14ac:dyDescent="0.2">
      <c r="B207" s="37">
        <v>274</v>
      </c>
      <c r="C207" s="16">
        <v>20200417</v>
      </c>
      <c r="D207" s="10" t="s">
        <v>476</v>
      </c>
      <c r="E207" s="10" t="s">
        <v>205</v>
      </c>
      <c r="F207" s="10" t="s">
        <v>434</v>
      </c>
      <c r="G207" s="10" t="s">
        <v>24</v>
      </c>
      <c r="H207" s="10">
        <v>326</v>
      </c>
      <c r="I207" s="10">
        <v>5.79</v>
      </c>
      <c r="J207" s="10" t="s">
        <v>481</v>
      </c>
      <c r="K207" s="22">
        <v>43941</v>
      </c>
      <c r="L207" s="22">
        <v>43949</v>
      </c>
      <c r="M207" s="22">
        <v>43943</v>
      </c>
      <c r="N207" s="22">
        <v>43943</v>
      </c>
      <c r="O207" s="23" t="s">
        <v>482</v>
      </c>
    </row>
    <row r="208" spans="2:15" ht="15" x14ac:dyDescent="0.2">
      <c r="B208" s="37">
        <v>275</v>
      </c>
      <c r="C208" s="16">
        <v>20200417</v>
      </c>
      <c r="D208" s="10" t="s">
        <v>476</v>
      </c>
      <c r="E208" s="10" t="s">
        <v>205</v>
      </c>
      <c r="F208" s="10" t="s">
        <v>434</v>
      </c>
      <c r="G208" s="10" t="s">
        <v>24</v>
      </c>
      <c r="H208" s="10">
        <v>112</v>
      </c>
      <c r="I208" s="10">
        <v>1.99</v>
      </c>
      <c r="J208" s="10" t="s">
        <v>481</v>
      </c>
      <c r="K208" s="22">
        <v>43941</v>
      </c>
      <c r="L208" s="22">
        <v>43949</v>
      </c>
      <c r="M208" s="22">
        <v>43943</v>
      </c>
      <c r="N208" s="22">
        <v>43943</v>
      </c>
      <c r="O208" s="23" t="s">
        <v>482</v>
      </c>
    </row>
    <row r="209" spans="2:15" ht="15" x14ac:dyDescent="0.2">
      <c r="B209" s="37">
        <v>276</v>
      </c>
      <c r="C209" s="16">
        <v>20200417</v>
      </c>
      <c r="D209" s="10" t="s">
        <v>476</v>
      </c>
      <c r="E209" s="10" t="s">
        <v>205</v>
      </c>
      <c r="F209" s="10" t="s">
        <v>434</v>
      </c>
      <c r="G209" s="10" t="s">
        <v>24</v>
      </c>
      <c r="H209" s="10">
        <v>135</v>
      </c>
      <c r="I209" s="10">
        <v>2.4</v>
      </c>
      <c r="J209" s="10" t="s">
        <v>481</v>
      </c>
      <c r="K209" s="22">
        <v>43941</v>
      </c>
      <c r="L209" s="22">
        <v>43949</v>
      </c>
      <c r="M209" s="22">
        <v>43943</v>
      </c>
      <c r="N209" s="22">
        <v>43943</v>
      </c>
      <c r="O209" s="23" t="s">
        <v>489</v>
      </c>
    </row>
    <row r="210" spans="2:15" ht="15" x14ac:dyDescent="0.2">
      <c r="B210" s="69">
        <v>277</v>
      </c>
      <c r="C210" s="16">
        <v>20200420</v>
      </c>
      <c r="D210" s="10" t="s">
        <v>476</v>
      </c>
      <c r="E210" s="10" t="s">
        <v>216</v>
      </c>
      <c r="F210" s="10" t="s">
        <v>216</v>
      </c>
      <c r="G210" s="10" t="s">
        <v>219</v>
      </c>
      <c r="H210" s="10">
        <v>260</v>
      </c>
      <c r="I210" s="10">
        <v>4.62</v>
      </c>
      <c r="J210" s="10" t="s">
        <v>481</v>
      </c>
      <c r="K210" s="22">
        <v>43941</v>
      </c>
      <c r="L210" s="22">
        <v>43950</v>
      </c>
      <c r="M210" s="22">
        <v>43948</v>
      </c>
      <c r="N210" s="22">
        <v>43948</v>
      </c>
      <c r="O210" s="23" t="s">
        <v>482</v>
      </c>
    </row>
    <row r="211" spans="2:15" ht="15" x14ac:dyDescent="0.2">
      <c r="B211" s="69">
        <v>278</v>
      </c>
      <c r="C211" s="16">
        <v>20200420</v>
      </c>
      <c r="D211" s="10" t="s">
        <v>476</v>
      </c>
      <c r="E211" s="10" t="s">
        <v>216</v>
      </c>
      <c r="F211" s="10" t="s">
        <v>216</v>
      </c>
      <c r="G211" s="10" t="s">
        <v>219</v>
      </c>
      <c r="H211" s="10">
        <v>330</v>
      </c>
      <c r="I211" s="10">
        <v>5.86</v>
      </c>
      <c r="J211" s="10" t="s">
        <v>481</v>
      </c>
      <c r="K211" s="22">
        <v>43941</v>
      </c>
      <c r="L211" s="22">
        <v>43950</v>
      </c>
      <c r="M211" s="22">
        <v>43948</v>
      </c>
      <c r="N211" s="22">
        <v>43948</v>
      </c>
      <c r="O211" s="23" t="s">
        <v>482</v>
      </c>
    </row>
    <row r="212" spans="2:15" ht="15" x14ac:dyDescent="0.2">
      <c r="B212" s="69">
        <v>279</v>
      </c>
      <c r="C212" s="16">
        <v>20200420</v>
      </c>
      <c r="D212" s="10" t="s">
        <v>476</v>
      </c>
      <c r="E212" s="10" t="s">
        <v>156</v>
      </c>
      <c r="F212" s="10" t="s">
        <v>425</v>
      </c>
      <c r="G212" s="10" t="s">
        <v>219</v>
      </c>
      <c r="H212" s="10">
        <v>83</v>
      </c>
      <c r="I212" s="10">
        <v>1.47</v>
      </c>
      <c r="J212" s="10" t="s">
        <v>481</v>
      </c>
      <c r="K212" s="22">
        <v>43941</v>
      </c>
      <c r="L212" s="22">
        <v>43950</v>
      </c>
      <c r="M212" s="22">
        <v>43948</v>
      </c>
      <c r="N212" s="22">
        <v>43948</v>
      </c>
      <c r="O212" s="23" t="s">
        <v>482</v>
      </c>
    </row>
    <row r="213" spans="2:15" ht="15" x14ac:dyDescent="0.2">
      <c r="B213" s="69">
        <v>280</v>
      </c>
      <c r="C213" s="16">
        <v>20200420</v>
      </c>
      <c r="D213" s="10" t="s">
        <v>476</v>
      </c>
      <c r="E213" s="10" t="s">
        <v>156</v>
      </c>
      <c r="F213" s="10" t="s">
        <v>425</v>
      </c>
      <c r="G213" s="10" t="s">
        <v>219</v>
      </c>
      <c r="H213" s="10">
        <v>80</v>
      </c>
      <c r="I213" s="10">
        <v>1.42</v>
      </c>
      <c r="J213" s="10" t="s">
        <v>481</v>
      </c>
      <c r="K213" s="22">
        <v>43941</v>
      </c>
      <c r="L213" s="22">
        <v>43950</v>
      </c>
      <c r="M213" s="22">
        <v>43948</v>
      </c>
      <c r="N213" s="22">
        <v>43948</v>
      </c>
      <c r="O213" s="23" t="s">
        <v>482</v>
      </c>
    </row>
    <row r="214" spans="2:15" ht="15" x14ac:dyDescent="0.2">
      <c r="B214" s="69">
        <v>281</v>
      </c>
      <c r="C214" s="16">
        <v>20200420</v>
      </c>
      <c r="D214" s="10" t="s">
        <v>476</v>
      </c>
      <c r="E214" s="10" t="s">
        <v>156</v>
      </c>
      <c r="F214" s="10" t="s">
        <v>425</v>
      </c>
      <c r="G214" s="10" t="s">
        <v>219</v>
      </c>
      <c r="H214" s="10">
        <v>59</v>
      </c>
      <c r="I214" s="10">
        <v>1.04</v>
      </c>
      <c r="J214" s="10" t="s">
        <v>481</v>
      </c>
      <c r="K214" s="22">
        <v>43941</v>
      </c>
      <c r="L214" s="22">
        <v>43950</v>
      </c>
      <c r="M214" s="22">
        <v>43948</v>
      </c>
      <c r="N214" s="22">
        <v>43948</v>
      </c>
      <c r="O214" s="23" t="s">
        <v>482</v>
      </c>
    </row>
    <row r="215" spans="2:15" ht="15" x14ac:dyDescent="0.2">
      <c r="B215" s="69">
        <v>282</v>
      </c>
      <c r="C215" s="16">
        <v>20200420</v>
      </c>
      <c r="D215" s="10" t="s">
        <v>476</v>
      </c>
      <c r="E215" s="10" t="s">
        <v>156</v>
      </c>
      <c r="F215" s="10" t="s">
        <v>425</v>
      </c>
      <c r="G215" s="10" t="s">
        <v>219</v>
      </c>
      <c r="H215" s="10">
        <v>84</v>
      </c>
      <c r="I215" s="10">
        <v>1.49</v>
      </c>
      <c r="J215" s="10" t="s">
        <v>481</v>
      </c>
      <c r="K215" s="22">
        <v>43941</v>
      </c>
      <c r="L215" s="22">
        <v>43950</v>
      </c>
      <c r="M215" s="22">
        <v>43948</v>
      </c>
      <c r="N215" s="22">
        <v>43948</v>
      </c>
      <c r="O215" s="23" t="s">
        <v>482</v>
      </c>
    </row>
    <row r="216" spans="2:15" ht="15" x14ac:dyDescent="0.2">
      <c r="B216" s="69">
        <v>283</v>
      </c>
      <c r="C216" s="16">
        <v>20200420</v>
      </c>
      <c r="D216" s="10" t="s">
        <v>476</v>
      </c>
      <c r="E216" s="10" t="s">
        <v>222</v>
      </c>
      <c r="F216" s="10" t="s">
        <v>435</v>
      </c>
      <c r="G216" s="10" t="s">
        <v>219</v>
      </c>
      <c r="H216" s="10">
        <v>188</v>
      </c>
      <c r="I216" s="10">
        <v>3.34</v>
      </c>
      <c r="J216" s="10" t="s">
        <v>481</v>
      </c>
      <c r="K216" s="22">
        <v>43941</v>
      </c>
      <c r="L216" s="22">
        <v>43950</v>
      </c>
      <c r="M216" s="22">
        <v>43943</v>
      </c>
      <c r="N216" s="22">
        <v>43943</v>
      </c>
      <c r="O216" s="23" t="s">
        <v>482</v>
      </c>
    </row>
    <row r="217" spans="2:15" ht="15" x14ac:dyDescent="0.2">
      <c r="B217" s="69">
        <v>284</v>
      </c>
      <c r="C217" s="16">
        <v>20200420</v>
      </c>
      <c r="D217" s="10" t="s">
        <v>476</v>
      </c>
      <c r="E217" s="10" t="s">
        <v>222</v>
      </c>
      <c r="F217" s="10" t="s">
        <v>435</v>
      </c>
      <c r="G217" s="10" t="s">
        <v>219</v>
      </c>
      <c r="H217" s="10">
        <v>1141</v>
      </c>
      <c r="I217" s="10">
        <v>20.28</v>
      </c>
      <c r="J217" s="10" t="s">
        <v>481</v>
      </c>
      <c r="K217" s="22">
        <v>43941</v>
      </c>
      <c r="L217" s="22">
        <v>43950</v>
      </c>
      <c r="M217" s="22">
        <v>43943</v>
      </c>
      <c r="N217" s="22">
        <v>43943</v>
      </c>
      <c r="O217" s="23" t="s">
        <v>482</v>
      </c>
    </row>
    <row r="218" spans="2:15" ht="15" x14ac:dyDescent="0.2">
      <c r="B218" s="69">
        <v>285</v>
      </c>
      <c r="C218" s="16">
        <v>20200420</v>
      </c>
      <c r="D218" s="10" t="s">
        <v>476</v>
      </c>
      <c r="E218" s="10" t="s">
        <v>226</v>
      </c>
      <c r="F218" s="10" t="s">
        <v>422</v>
      </c>
      <c r="G218" s="10" t="s">
        <v>219</v>
      </c>
      <c r="H218" s="10">
        <v>574</v>
      </c>
      <c r="I218" s="10">
        <v>10.199999999999999</v>
      </c>
      <c r="J218" s="10" t="s">
        <v>481</v>
      </c>
      <c r="K218" s="22">
        <v>43941</v>
      </c>
      <c r="L218" s="22">
        <v>43950</v>
      </c>
      <c r="M218" s="22">
        <v>43945</v>
      </c>
      <c r="N218" s="22">
        <v>43945</v>
      </c>
      <c r="O218" s="23" t="s">
        <v>482</v>
      </c>
    </row>
    <row r="219" spans="2:15" ht="15" x14ac:dyDescent="0.2">
      <c r="B219" s="69">
        <v>286</v>
      </c>
      <c r="C219" s="16">
        <v>20200420</v>
      </c>
      <c r="D219" s="10" t="s">
        <v>476</v>
      </c>
      <c r="E219" s="10" t="s">
        <v>226</v>
      </c>
      <c r="F219" s="10" t="s">
        <v>422</v>
      </c>
      <c r="G219" s="10" t="s">
        <v>219</v>
      </c>
      <c r="H219" s="10">
        <v>33</v>
      </c>
      <c r="I219" s="10">
        <v>0.57999999999999996</v>
      </c>
      <c r="J219" s="10" t="s">
        <v>481</v>
      </c>
      <c r="K219" s="22">
        <v>43941</v>
      </c>
      <c r="L219" s="22">
        <v>43950</v>
      </c>
      <c r="M219" s="22">
        <v>43944</v>
      </c>
      <c r="N219" s="22">
        <v>43944</v>
      </c>
      <c r="O219" s="23" t="s">
        <v>482</v>
      </c>
    </row>
    <row r="220" spans="2:15" ht="15" x14ac:dyDescent="0.2">
      <c r="B220" s="69">
        <v>287</v>
      </c>
      <c r="C220" s="16">
        <v>20200420</v>
      </c>
      <c r="D220" s="10" t="s">
        <v>476</v>
      </c>
      <c r="E220" s="10" t="s">
        <v>226</v>
      </c>
      <c r="F220" s="10" t="s">
        <v>422</v>
      </c>
      <c r="G220" s="10" t="s">
        <v>219</v>
      </c>
      <c r="H220" s="10">
        <v>69</v>
      </c>
      <c r="I220" s="10">
        <v>1.22</v>
      </c>
      <c r="J220" s="10" t="s">
        <v>481</v>
      </c>
      <c r="K220" s="22">
        <v>43941</v>
      </c>
      <c r="L220" s="22">
        <v>43950</v>
      </c>
      <c r="M220" s="22">
        <v>43944</v>
      </c>
      <c r="N220" s="22">
        <v>43944</v>
      </c>
      <c r="O220" s="23" t="s">
        <v>489</v>
      </c>
    </row>
    <row r="221" spans="2:15" ht="15" x14ac:dyDescent="0.2">
      <c r="B221" s="70">
        <v>288</v>
      </c>
      <c r="C221" s="16">
        <v>20200420</v>
      </c>
      <c r="D221" s="10" t="s">
        <v>476</v>
      </c>
      <c r="E221" s="16" t="s">
        <v>231</v>
      </c>
      <c r="F221" s="16" t="s">
        <v>231</v>
      </c>
      <c r="G221" s="10" t="s">
        <v>219</v>
      </c>
      <c r="H221" s="10">
        <v>386</v>
      </c>
      <c r="I221" s="10">
        <v>6.86</v>
      </c>
      <c r="J221" s="10" t="s">
        <v>481</v>
      </c>
      <c r="K221" s="22">
        <v>43941</v>
      </c>
      <c r="L221" s="22">
        <v>43944</v>
      </c>
      <c r="M221" s="22">
        <v>43943</v>
      </c>
      <c r="N221" s="22">
        <v>43943</v>
      </c>
      <c r="O221" s="23" t="s">
        <v>482</v>
      </c>
    </row>
    <row r="222" spans="2:15" ht="15" x14ac:dyDescent="0.2">
      <c r="B222" s="70">
        <v>289</v>
      </c>
      <c r="C222" s="16">
        <v>20200420</v>
      </c>
      <c r="D222" s="10" t="s">
        <v>476</v>
      </c>
      <c r="E222" s="59" t="s">
        <v>231</v>
      </c>
      <c r="F222" s="59" t="s">
        <v>231</v>
      </c>
      <c r="G222" s="10" t="s">
        <v>219</v>
      </c>
      <c r="H222" s="21">
        <v>303</v>
      </c>
      <c r="I222" s="10">
        <v>5.38</v>
      </c>
      <c r="J222" s="10" t="s">
        <v>481</v>
      </c>
      <c r="K222" s="22">
        <v>43941</v>
      </c>
      <c r="L222" s="22">
        <v>43944</v>
      </c>
      <c r="M222" s="22">
        <v>43942</v>
      </c>
      <c r="N222" s="22">
        <v>43942</v>
      </c>
      <c r="O222" s="23" t="s">
        <v>482</v>
      </c>
    </row>
    <row r="223" spans="2:15" ht="15" x14ac:dyDescent="0.2">
      <c r="B223" s="70">
        <v>290</v>
      </c>
      <c r="C223" s="16">
        <v>20200420</v>
      </c>
      <c r="D223" s="10" t="s">
        <v>476</v>
      </c>
      <c r="E223" s="59" t="s">
        <v>231</v>
      </c>
      <c r="F223" s="59" t="s">
        <v>231</v>
      </c>
      <c r="G223" s="10" t="s">
        <v>219</v>
      </c>
      <c r="H223" s="10">
        <v>57</v>
      </c>
      <c r="I223" s="10">
        <v>1.01</v>
      </c>
      <c r="J223" s="10" t="s">
        <v>481</v>
      </c>
      <c r="K223" s="22">
        <v>43941</v>
      </c>
      <c r="L223" s="22">
        <v>43944</v>
      </c>
      <c r="M223" s="22">
        <v>43942</v>
      </c>
      <c r="N223" s="22">
        <v>43942</v>
      </c>
      <c r="O223" s="23" t="s">
        <v>482</v>
      </c>
    </row>
    <row r="224" spans="2:15" ht="15" x14ac:dyDescent="0.2">
      <c r="B224" s="70">
        <v>291</v>
      </c>
      <c r="C224" s="16">
        <v>20200420</v>
      </c>
      <c r="D224" s="10" t="s">
        <v>476</v>
      </c>
      <c r="E224" s="59" t="s">
        <v>231</v>
      </c>
      <c r="F224" s="59" t="s">
        <v>231</v>
      </c>
      <c r="G224" s="10" t="s">
        <v>219</v>
      </c>
      <c r="H224" s="10">
        <v>90</v>
      </c>
      <c r="I224" s="10">
        <v>1.6</v>
      </c>
      <c r="J224" s="10" t="s">
        <v>481</v>
      </c>
      <c r="K224" s="22">
        <v>43941</v>
      </c>
      <c r="L224" s="22">
        <v>43944</v>
      </c>
      <c r="M224" s="22">
        <v>43942</v>
      </c>
      <c r="N224" s="22">
        <v>43942</v>
      </c>
      <c r="O224" s="23" t="s">
        <v>482</v>
      </c>
    </row>
    <row r="225" spans="2:15" ht="15" x14ac:dyDescent="0.2">
      <c r="B225" s="70">
        <v>292</v>
      </c>
      <c r="C225" s="16">
        <v>20200420</v>
      </c>
      <c r="D225" s="10" t="s">
        <v>476</v>
      </c>
      <c r="E225" s="59" t="s">
        <v>231</v>
      </c>
      <c r="F225" s="59" t="s">
        <v>231</v>
      </c>
      <c r="G225" s="10" t="s">
        <v>219</v>
      </c>
      <c r="H225" s="10">
        <v>115</v>
      </c>
      <c r="I225" s="10">
        <v>2.04</v>
      </c>
      <c r="J225" s="10" t="s">
        <v>481</v>
      </c>
      <c r="K225" s="22">
        <v>43941</v>
      </c>
      <c r="L225" s="22">
        <v>43944</v>
      </c>
      <c r="M225" s="22">
        <v>43942</v>
      </c>
      <c r="N225" s="22">
        <v>43942</v>
      </c>
      <c r="O225" s="23" t="s">
        <v>482</v>
      </c>
    </row>
    <row r="226" spans="2:15" ht="15" x14ac:dyDescent="0.2">
      <c r="B226" s="70">
        <v>293</v>
      </c>
      <c r="C226" s="16">
        <v>20200420</v>
      </c>
      <c r="D226" s="10" t="s">
        <v>476</v>
      </c>
      <c r="E226" s="59" t="s">
        <v>231</v>
      </c>
      <c r="F226" s="59" t="s">
        <v>231</v>
      </c>
      <c r="G226" s="10" t="s">
        <v>219</v>
      </c>
      <c r="H226" s="10">
        <v>280</v>
      </c>
      <c r="I226" s="10">
        <v>4.97</v>
      </c>
      <c r="J226" s="10" t="s">
        <v>481</v>
      </c>
      <c r="K226" s="22">
        <v>43941</v>
      </c>
      <c r="L226" s="22">
        <v>43944</v>
      </c>
      <c r="M226" s="22">
        <v>43942</v>
      </c>
      <c r="N226" s="22">
        <v>43942</v>
      </c>
      <c r="O226" s="23" t="s">
        <v>482</v>
      </c>
    </row>
    <row r="227" spans="2:15" ht="15" x14ac:dyDescent="0.2">
      <c r="B227" s="70">
        <v>294</v>
      </c>
      <c r="C227" s="16">
        <v>20200420</v>
      </c>
      <c r="D227" s="10" t="s">
        <v>476</v>
      </c>
      <c r="E227" s="59" t="s">
        <v>231</v>
      </c>
      <c r="F227" s="59" t="s">
        <v>231</v>
      </c>
      <c r="G227" s="10" t="s">
        <v>219</v>
      </c>
      <c r="H227" s="10">
        <v>99</v>
      </c>
      <c r="I227" s="10">
        <v>1.76</v>
      </c>
      <c r="J227" s="10" t="s">
        <v>481</v>
      </c>
      <c r="K227" s="22">
        <v>43941</v>
      </c>
      <c r="L227" s="22">
        <v>43944</v>
      </c>
      <c r="M227" s="22">
        <v>43942</v>
      </c>
      <c r="N227" s="22">
        <v>43942</v>
      </c>
      <c r="O227" s="23" t="s">
        <v>482</v>
      </c>
    </row>
    <row r="228" spans="2:15" ht="15" x14ac:dyDescent="0.2">
      <c r="B228" s="72">
        <v>1</v>
      </c>
      <c r="C228" s="16">
        <v>20200428</v>
      </c>
      <c r="D228" s="10" t="s">
        <v>476</v>
      </c>
      <c r="E228" s="10" t="s">
        <v>389</v>
      </c>
      <c r="F228" s="10" t="s">
        <v>441</v>
      </c>
      <c r="G228" s="10" t="s">
        <v>40</v>
      </c>
      <c r="H228" s="10">
        <v>145</v>
      </c>
      <c r="I228" s="10">
        <v>2.57</v>
      </c>
      <c r="J228" s="10" t="s">
        <v>750</v>
      </c>
      <c r="K228" s="22">
        <v>43949</v>
      </c>
      <c r="L228" s="22">
        <v>43956</v>
      </c>
      <c r="M228" s="22">
        <v>43956</v>
      </c>
      <c r="N228" s="22">
        <v>43956</v>
      </c>
      <c r="O228" s="22" t="s">
        <v>482</v>
      </c>
    </row>
    <row r="229" spans="2:15" ht="15" x14ac:dyDescent="0.2">
      <c r="B229" s="72">
        <f t="shared" ref="B229:B292" si="0">B228+1</f>
        <v>2</v>
      </c>
      <c r="C229" s="16">
        <v>20200428</v>
      </c>
      <c r="D229" s="10" t="s">
        <v>476</v>
      </c>
      <c r="E229" s="10" t="s">
        <v>389</v>
      </c>
      <c r="F229" s="10" t="s">
        <v>441</v>
      </c>
      <c r="G229" s="10" t="s">
        <v>40</v>
      </c>
      <c r="H229" s="10">
        <v>101</v>
      </c>
      <c r="I229" s="10">
        <v>1.79</v>
      </c>
      <c r="J229" s="10" t="s">
        <v>750</v>
      </c>
      <c r="K229" s="22">
        <v>43949</v>
      </c>
      <c r="L229" s="22">
        <v>43956</v>
      </c>
      <c r="M229" s="22">
        <v>43955</v>
      </c>
      <c r="N229" s="22">
        <v>43955</v>
      </c>
      <c r="O229" s="22" t="s">
        <v>482</v>
      </c>
    </row>
    <row r="230" spans="2:15" ht="15" x14ac:dyDescent="0.2">
      <c r="B230" s="72">
        <f t="shared" si="0"/>
        <v>3</v>
      </c>
      <c r="C230" s="16">
        <v>20200428</v>
      </c>
      <c r="D230" s="10" t="s">
        <v>476</v>
      </c>
      <c r="E230" s="10" t="s">
        <v>389</v>
      </c>
      <c r="F230" s="10" t="s">
        <v>441</v>
      </c>
      <c r="G230" s="10" t="s">
        <v>40</v>
      </c>
      <c r="H230" s="10">
        <v>154</v>
      </c>
      <c r="I230" s="10">
        <v>2.73</v>
      </c>
      <c r="J230" s="10" t="s">
        <v>750</v>
      </c>
      <c r="K230" s="22">
        <v>43949</v>
      </c>
      <c r="L230" s="22">
        <v>43956</v>
      </c>
      <c r="M230" s="22">
        <v>43955</v>
      </c>
      <c r="N230" s="22">
        <v>43955</v>
      </c>
      <c r="O230" s="22" t="s">
        <v>489</v>
      </c>
    </row>
    <row r="231" spans="2:15" ht="15" x14ac:dyDescent="0.2">
      <c r="B231" s="72">
        <f t="shared" si="0"/>
        <v>4</v>
      </c>
      <c r="C231" s="16">
        <v>20200428</v>
      </c>
      <c r="D231" s="10" t="s">
        <v>476</v>
      </c>
      <c r="E231" s="10" t="s">
        <v>389</v>
      </c>
      <c r="F231" s="10" t="s">
        <v>441</v>
      </c>
      <c r="G231" s="10" t="s">
        <v>40</v>
      </c>
      <c r="H231" s="10">
        <v>120</v>
      </c>
      <c r="I231" s="10">
        <v>2.13</v>
      </c>
      <c r="J231" s="10" t="s">
        <v>750</v>
      </c>
      <c r="K231" s="22">
        <v>43949</v>
      </c>
      <c r="L231" s="22">
        <v>43956</v>
      </c>
      <c r="M231" s="22">
        <v>43955</v>
      </c>
      <c r="N231" s="22">
        <v>43955</v>
      </c>
      <c r="O231" s="22" t="s">
        <v>489</v>
      </c>
    </row>
    <row r="232" spans="2:15" ht="15" x14ac:dyDescent="0.2">
      <c r="B232" s="72">
        <f t="shared" si="0"/>
        <v>5</v>
      </c>
      <c r="C232" s="16">
        <v>20200428</v>
      </c>
      <c r="D232" s="10" t="s">
        <v>476</v>
      </c>
      <c r="E232" s="10" t="s">
        <v>389</v>
      </c>
      <c r="F232" s="10" t="s">
        <v>441</v>
      </c>
      <c r="G232" s="10" t="s">
        <v>15</v>
      </c>
      <c r="H232" s="10">
        <v>178</v>
      </c>
      <c r="I232" s="10">
        <v>3.16</v>
      </c>
      <c r="J232" s="10" t="s">
        <v>750</v>
      </c>
      <c r="K232" s="22">
        <v>43949</v>
      </c>
      <c r="L232" s="22">
        <v>43956</v>
      </c>
      <c r="M232" s="22">
        <v>43955</v>
      </c>
      <c r="N232" s="22">
        <v>43955</v>
      </c>
      <c r="O232" s="22" t="s">
        <v>482</v>
      </c>
    </row>
    <row r="233" spans="2:15" ht="15" x14ac:dyDescent="0.2">
      <c r="B233" s="72">
        <f t="shared" si="0"/>
        <v>6</v>
      </c>
      <c r="C233" s="16">
        <v>20200428</v>
      </c>
      <c r="D233" s="10" t="s">
        <v>476</v>
      </c>
      <c r="E233" s="10" t="s">
        <v>389</v>
      </c>
      <c r="F233" s="10" t="s">
        <v>441</v>
      </c>
      <c r="G233" s="10" t="s">
        <v>15</v>
      </c>
      <c r="H233" s="10">
        <v>124</v>
      </c>
      <c r="I233" s="10">
        <v>2.2000000000000002</v>
      </c>
      <c r="J233" s="10" t="s">
        <v>750</v>
      </c>
      <c r="K233" s="22">
        <v>43949</v>
      </c>
      <c r="L233" s="22">
        <v>43956</v>
      </c>
      <c r="M233" s="22">
        <v>43955</v>
      </c>
      <c r="N233" s="22">
        <v>43955</v>
      </c>
      <c r="O233" s="22" t="s">
        <v>489</v>
      </c>
    </row>
    <row r="234" spans="2:15" ht="15" x14ac:dyDescent="0.2">
      <c r="B234" s="72">
        <f t="shared" si="0"/>
        <v>7</v>
      </c>
      <c r="C234" s="16">
        <v>20200428</v>
      </c>
      <c r="D234" s="10" t="s">
        <v>476</v>
      </c>
      <c r="E234" s="10" t="s">
        <v>389</v>
      </c>
      <c r="F234" s="10" t="s">
        <v>441</v>
      </c>
      <c r="G234" s="10" t="s">
        <v>15</v>
      </c>
      <c r="H234" s="10">
        <v>106</v>
      </c>
      <c r="I234" s="10">
        <v>1.88</v>
      </c>
      <c r="J234" s="10" t="s">
        <v>750</v>
      </c>
      <c r="K234" s="22">
        <v>43949</v>
      </c>
      <c r="L234" s="22">
        <v>43956</v>
      </c>
      <c r="M234" s="22">
        <v>43955</v>
      </c>
      <c r="N234" s="22">
        <v>43955</v>
      </c>
      <c r="O234" s="22" t="s">
        <v>489</v>
      </c>
    </row>
    <row r="235" spans="2:15" ht="15" x14ac:dyDescent="0.2">
      <c r="B235" s="72">
        <f t="shared" si="0"/>
        <v>8</v>
      </c>
      <c r="C235" s="16">
        <v>20200428</v>
      </c>
      <c r="D235" s="10" t="s">
        <v>476</v>
      </c>
      <c r="E235" s="10" t="s">
        <v>139</v>
      </c>
      <c r="F235" s="10" t="s">
        <v>423</v>
      </c>
      <c r="G235" s="10" t="s">
        <v>15</v>
      </c>
      <c r="H235" s="10">
        <v>188</v>
      </c>
      <c r="I235" s="10">
        <v>3.34</v>
      </c>
      <c r="J235" s="10" t="s">
        <v>750</v>
      </c>
      <c r="K235" s="22">
        <v>43949</v>
      </c>
      <c r="L235" s="22">
        <v>43956</v>
      </c>
      <c r="M235" s="22">
        <v>43955</v>
      </c>
      <c r="N235" s="22">
        <v>43955</v>
      </c>
      <c r="O235" s="22" t="s">
        <v>482</v>
      </c>
    </row>
    <row r="236" spans="2:15" ht="15" x14ac:dyDescent="0.2">
      <c r="B236" s="72">
        <f t="shared" si="0"/>
        <v>9</v>
      </c>
      <c r="C236" s="16">
        <v>20200428</v>
      </c>
      <c r="D236" s="10" t="s">
        <v>476</v>
      </c>
      <c r="E236" s="10" t="s">
        <v>139</v>
      </c>
      <c r="F236" s="10" t="s">
        <v>423</v>
      </c>
      <c r="G236" s="10" t="s">
        <v>15</v>
      </c>
      <c r="H236" s="10">
        <v>257</v>
      </c>
      <c r="I236" s="10">
        <v>4.5599999999999996</v>
      </c>
      <c r="J236" s="10" t="s">
        <v>750</v>
      </c>
      <c r="K236" s="22">
        <v>43949</v>
      </c>
      <c r="L236" s="22">
        <v>43956</v>
      </c>
      <c r="M236" s="22">
        <v>43955</v>
      </c>
      <c r="N236" s="22">
        <v>43955</v>
      </c>
      <c r="O236" s="22" t="s">
        <v>482</v>
      </c>
    </row>
    <row r="237" spans="2:15" ht="15" x14ac:dyDescent="0.2">
      <c r="B237" s="72">
        <f t="shared" si="0"/>
        <v>10</v>
      </c>
      <c r="C237" s="16">
        <v>20200428</v>
      </c>
      <c r="D237" s="10" t="s">
        <v>476</v>
      </c>
      <c r="E237" s="10" t="s">
        <v>139</v>
      </c>
      <c r="F237" s="10" t="s">
        <v>423</v>
      </c>
      <c r="G237" s="10" t="s">
        <v>15</v>
      </c>
      <c r="H237" s="10">
        <v>1141</v>
      </c>
      <c r="I237" s="10">
        <v>20.28</v>
      </c>
      <c r="J237" s="10" t="s">
        <v>750</v>
      </c>
      <c r="K237" s="22">
        <v>43949</v>
      </c>
      <c r="L237" s="22">
        <v>43956</v>
      </c>
      <c r="M237" s="22">
        <v>43950</v>
      </c>
      <c r="N237" s="22">
        <v>43950</v>
      </c>
      <c r="O237" s="22" t="s">
        <v>482</v>
      </c>
    </row>
    <row r="238" spans="2:15" ht="15" x14ac:dyDescent="0.2">
      <c r="B238" s="72">
        <f t="shared" si="0"/>
        <v>11</v>
      </c>
      <c r="C238" s="16">
        <v>20200428</v>
      </c>
      <c r="D238" s="10" t="s">
        <v>476</v>
      </c>
      <c r="E238" s="10" t="s">
        <v>139</v>
      </c>
      <c r="F238" s="10" t="s">
        <v>423</v>
      </c>
      <c r="G238" s="10" t="s">
        <v>41</v>
      </c>
      <c r="H238" s="10">
        <v>997</v>
      </c>
      <c r="I238" s="10">
        <v>17.72</v>
      </c>
      <c r="J238" s="10" t="s">
        <v>750</v>
      </c>
      <c r="K238" s="22">
        <v>43949</v>
      </c>
      <c r="L238" s="22">
        <v>43956</v>
      </c>
      <c r="M238" s="22">
        <v>43956</v>
      </c>
      <c r="N238" s="22">
        <v>43956</v>
      </c>
      <c r="O238" s="22" t="s">
        <v>482</v>
      </c>
    </row>
    <row r="239" spans="2:15" ht="15" x14ac:dyDescent="0.2">
      <c r="B239" s="72">
        <f t="shared" si="0"/>
        <v>12</v>
      </c>
      <c r="C239" s="16">
        <v>20200428</v>
      </c>
      <c r="D239" s="10" t="s">
        <v>476</v>
      </c>
      <c r="E239" s="10" t="s">
        <v>390</v>
      </c>
      <c r="F239" s="10" t="s">
        <v>1330</v>
      </c>
      <c r="G239" s="10" t="s">
        <v>40</v>
      </c>
      <c r="H239" s="10">
        <v>142</v>
      </c>
      <c r="I239" s="10">
        <v>2.52</v>
      </c>
      <c r="J239" s="10" t="s">
        <v>750</v>
      </c>
      <c r="K239" s="22">
        <v>43949</v>
      </c>
      <c r="L239" s="22">
        <v>43956</v>
      </c>
      <c r="M239" s="22">
        <v>43955</v>
      </c>
      <c r="N239" s="22">
        <v>43955</v>
      </c>
      <c r="O239" s="22" t="s">
        <v>482</v>
      </c>
    </row>
    <row r="240" spans="2:15" ht="15" x14ac:dyDescent="0.2">
      <c r="B240" s="72">
        <f t="shared" si="0"/>
        <v>13</v>
      </c>
      <c r="C240" s="16">
        <v>20200428</v>
      </c>
      <c r="D240" s="10" t="s">
        <v>476</v>
      </c>
      <c r="E240" s="10" t="s">
        <v>390</v>
      </c>
      <c r="F240" s="10" t="s">
        <v>1330</v>
      </c>
      <c r="G240" s="10" t="s">
        <v>40</v>
      </c>
      <c r="H240" s="10">
        <v>35</v>
      </c>
      <c r="I240" s="10">
        <v>0.62</v>
      </c>
      <c r="J240" s="10" t="s">
        <v>750</v>
      </c>
      <c r="K240" s="22">
        <v>43949</v>
      </c>
      <c r="L240" s="22">
        <v>43956</v>
      </c>
      <c r="M240" s="22">
        <v>43949</v>
      </c>
      <c r="N240" s="22">
        <v>43949</v>
      </c>
      <c r="O240" s="22" t="s">
        <v>482</v>
      </c>
    </row>
    <row r="241" spans="2:15" ht="15" x14ac:dyDescent="0.2">
      <c r="B241" s="72">
        <f t="shared" si="0"/>
        <v>14</v>
      </c>
      <c r="C241" s="16">
        <v>20200428</v>
      </c>
      <c r="D241" s="10" t="s">
        <v>476</v>
      </c>
      <c r="E241" s="10" t="s">
        <v>390</v>
      </c>
      <c r="F241" s="10" t="s">
        <v>1330</v>
      </c>
      <c r="G241" s="10" t="s">
        <v>40</v>
      </c>
      <c r="H241" s="39">
        <v>278</v>
      </c>
      <c r="I241" s="10">
        <v>4.9400000000000004</v>
      </c>
      <c r="J241" s="10" t="s">
        <v>750</v>
      </c>
      <c r="K241" s="22">
        <v>43949</v>
      </c>
      <c r="L241" s="22">
        <v>43956</v>
      </c>
      <c r="M241" s="22">
        <v>43955</v>
      </c>
      <c r="N241" s="22">
        <v>43955</v>
      </c>
      <c r="O241" s="22" t="s">
        <v>482</v>
      </c>
    </row>
    <row r="242" spans="2:15" ht="15" x14ac:dyDescent="0.2">
      <c r="B242" s="72">
        <f t="shared" si="0"/>
        <v>15</v>
      </c>
      <c r="C242" s="16">
        <v>20200428</v>
      </c>
      <c r="D242" s="10" t="s">
        <v>476</v>
      </c>
      <c r="E242" s="10" t="s">
        <v>391</v>
      </c>
      <c r="F242" s="10" t="s">
        <v>428</v>
      </c>
      <c r="G242" s="10" t="s">
        <v>40</v>
      </c>
      <c r="H242" s="10">
        <v>76</v>
      </c>
      <c r="I242" s="10">
        <v>1.35</v>
      </c>
      <c r="J242" s="10" t="s">
        <v>750</v>
      </c>
      <c r="K242" s="22">
        <v>43949</v>
      </c>
      <c r="L242" s="22">
        <v>43956</v>
      </c>
      <c r="M242" s="22">
        <v>43949</v>
      </c>
      <c r="N242" s="22">
        <v>43949</v>
      </c>
      <c r="O242" s="22" t="s">
        <v>482</v>
      </c>
    </row>
    <row r="243" spans="2:15" ht="15" x14ac:dyDescent="0.2">
      <c r="B243" s="72">
        <f t="shared" si="0"/>
        <v>16</v>
      </c>
      <c r="C243" s="16">
        <v>20200428</v>
      </c>
      <c r="D243" s="10" t="s">
        <v>476</v>
      </c>
      <c r="E243" s="10" t="s">
        <v>391</v>
      </c>
      <c r="F243" s="10" t="s">
        <v>428</v>
      </c>
      <c r="G243" s="10" t="s">
        <v>40</v>
      </c>
      <c r="H243" s="10">
        <v>61</v>
      </c>
      <c r="I243" s="10">
        <v>1.08</v>
      </c>
      <c r="J243" s="10" t="s">
        <v>750</v>
      </c>
      <c r="K243" s="22">
        <v>43949</v>
      </c>
      <c r="L243" s="22">
        <v>43956</v>
      </c>
      <c r="M243" s="22">
        <v>43949</v>
      </c>
      <c r="N243" s="22">
        <v>43949</v>
      </c>
      <c r="O243" s="22" t="s">
        <v>482</v>
      </c>
    </row>
    <row r="244" spans="2:15" ht="15" x14ac:dyDescent="0.2">
      <c r="B244" s="36">
        <f t="shared" si="0"/>
        <v>17</v>
      </c>
      <c r="C244" s="16">
        <v>20200429</v>
      </c>
      <c r="D244" s="10" t="s">
        <v>476</v>
      </c>
      <c r="E244" s="10" t="s">
        <v>392</v>
      </c>
      <c r="F244" s="10" t="s">
        <v>442</v>
      </c>
      <c r="G244" s="10" t="s">
        <v>41</v>
      </c>
      <c r="H244" s="10">
        <v>431</v>
      </c>
      <c r="I244" s="10">
        <v>7.66</v>
      </c>
      <c r="J244" s="10" t="s">
        <v>481</v>
      </c>
      <c r="K244" s="22">
        <v>43950</v>
      </c>
      <c r="L244" s="22">
        <v>43957</v>
      </c>
      <c r="M244" s="22">
        <v>43956</v>
      </c>
      <c r="N244" s="22">
        <v>43956</v>
      </c>
      <c r="O244" s="22" t="s">
        <v>482</v>
      </c>
    </row>
    <row r="245" spans="2:15" ht="15" x14ac:dyDescent="0.2">
      <c r="B245" s="36">
        <f t="shared" si="0"/>
        <v>18</v>
      </c>
      <c r="C245" s="16">
        <v>20200429</v>
      </c>
      <c r="D245" s="10" t="s">
        <v>476</v>
      </c>
      <c r="E245" s="10" t="s">
        <v>392</v>
      </c>
      <c r="F245" s="10" t="s">
        <v>442</v>
      </c>
      <c r="G245" s="10" t="s">
        <v>41</v>
      </c>
      <c r="H245" s="10">
        <v>184</v>
      </c>
      <c r="I245" s="10">
        <v>3.27</v>
      </c>
      <c r="J245" s="10" t="s">
        <v>481</v>
      </c>
      <c r="K245" s="22">
        <v>43950</v>
      </c>
      <c r="L245" s="22">
        <v>43957</v>
      </c>
      <c r="M245" s="22">
        <v>43956</v>
      </c>
      <c r="N245" s="22">
        <v>43956</v>
      </c>
      <c r="O245" s="22" t="s">
        <v>482</v>
      </c>
    </row>
    <row r="246" spans="2:15" ht="15" x14ac:dyDescent="0.2">
      <c r="B246" s="36">
        <f t="shared" si="0"/>
        <v>19</v>
      </c>
      <c r="C246" s="16">
        <v>20200429</v>
      </c>
      <c r="D246" s="10" t="s">
        <v>476</v>
      </c>
      <c r="E246" s="10" t="s">
        <v>156</v>
      </c>
      <c r="F246" s="10" t="s">
        <v>425</v>
      </c>
      <c r="G246" s="10" t="s">
        <v>40</v>
      </c>
      <c r="H246" s="39">
        <v>636</v>
      </c>
      <c r="I246" s="10">
        <v>11.3</v>
      </c>
      <c r="J246" s="33" t="s">
        <v>750</v>
      </c>
      <c r="K246" s="22">
        <v>43950</v>
      </c>
      <c r="L246" s="22">
        <v>43957</v>
      </c>
      <c r="M246" s="75">
        <v>43956</v>
      </c>
      <c r="N246" s="75">
        <v>43956</v>
      </c>
      <c r="O246" s="75" t="s">
        <v>482</v>
      </c>
    </row>
    <row r="247" spans="2:15" ht="15" x14ac:dyDescent="0.2">
      <c r="B247" s="36">
        <f t="shared" si="0"/>
        <v>20</v>
      </c>
      <c r="C247" s="16">
        <v>20200429</v>
      </c>
      <c r="D247" s="10" t="s">
        <v>476</v>
      </c>
      <c r="E247" s="10" t="s">
        <v>391</v>
      </c>
      <c r="F247" s="10" t="s">
        <v>428</v>
      </c>
      <c r="G247" s="10" t="s">
        <v>40</v>
      </c>
      <c r="H247" s="10">
        <v>163</v>
      </c>
      <c r="I247" s="10">
        <v>2.89</v>
      </c>
      <c r="J247" s="10" t="s">
        <v>794</v>
      </c>
      <c r="K247" s="22">
        <v>43950</v>
      </c>
      <c r="L247" s="22">
        <v>43957</v>
      </c>
      <c r="M247" s="22">
        <v>43956</v>
      </c>
      <c r="N247" s="22">
        <v>43956</v>
      </c>
      <c r="O247" s="22" t="s">
        <v>489</v>
      </c>
    </row>
    <row r="248" spans="2:15" ht="15" x14ac:dyDescent="0.2">
      <c r="B248" s="18">
        <f t="shared" si="0"/>
        <v>21</v>
      </c>
      <c r="C248" s="16">
        <v>20200429</v>
      </c>
      <c r="D248" s="10" t="s">
        <v>797</v>
      </c>
      <c r="E248" s="10" t="s">
        <v>393</v>
      </c>
      <c r="F248" s="10" t="s">
        <v>443</v>
      </c>
      <c r="G248" s="10" t="s">
        <v>219</v>
      </c>
      <c r="H248" s="10">
        <v>84</v>
      </c>
      <c r="I248" s="10">
        <v>5.16</v>
      </c>
      <c r="J248" s="10" t="s">
        <v>750</v>
      </c>
      <c r="K248" s="22">
        <v>43955</v>
      </c>
      <c r="L248" s="22">
        <v>43959</v>
      </c>
      <c r="M248" s="22">
        <v>43957</v>
      </c>
      <c r="N248" s="22">
        <v>43957</v>
      </c>
      <c r="O248" s="22" t="s">
        <v>489</v>
      </c>
    </row>
    <row r="249" spans="2:15" ht="15" x14ac:dyDescent="0.2">
      <c r="B249" s="18">
        <f t="shared" si="0"/>
        <v>22</v>
      </c>
      <c r="C249" s="16">
        <v>20200429</v>
      </c>
      <c r="D249" s="10" t="s">
        <v>476</v>
      </c>
      <c r="E249" s="10" t="s">
        <v>394</v>
      </c>
      <c r="F249" s="10" t="s">
        <v>394</v>
      </c>
      <c r="G249" s="10" t="s">
        <v>261</v>
      </c>
      <c r="H249" s="10">
        <v>1264</v>
      </c>
      <c r="I249" s="10">
        <v>22.47</v>
      </c>
      <c r="J249" s="10" t="s">
        <v>750</v>
      </c>
      <c r="K249" s="22">
        <v>43955</v>
      </c>
      <c r="L249" s="22">
        <v>43959</v>
      </c>
      <c r="M249" s="22">
        <v>43955</v>
      </c>
      <c r="N249" s="22">
        <v>43955</v>
      </c>
      <c r="O249" s="22" t="s">
        <v>482</v>
      </c>
    </row>
    <row r="250" spans="2:15" ht="15" x14ac:dyDescent="0.2">
      <c r="B250" s="18">
        <f t="shared" si="0"/>
        <v>23</v>
      </c>
      <c r="C250" s="16">
        <v>20200429</v>
      </c>
      <c r="D250" s="10" t="s">
        <v>476</v>
      </c>
      <c r="E250" s="10" t="s">
        <v>394</v>
      </c>
      <c r="F250" s="10" t="s">
        <v>394</v>
      </c>
      <c r="G250" s="10" t="s">
        <v>260</v>
      </c>
      <c r="H250" s="10">
        <v>324</v>
      </c>
      <c r="I250" s="10">
        <v>5.76</v>
      </c>
      <c r="J250" s="10" t="s">
        <v>750</v>
      </c>
      <c r="K250" s="22">
        <v>43955</v>
      </c>
      <c r="L250" s="22">
        <v>43959</v>
      </c>
      <c r="M250" s="22">
        <v>43955</v>
      </c>
      <c r="N250" s="22">
        <v>43955</v>
      </c>
      <c r="O250" s="22" t="s">
        <v>482</v>
      </c>
    </row>
    <row r="251" spans="2:15" ht="15" x14ac:dyDescent="0.2">
      <c r="B251" s="18">
        <f t="shared" si="0"/>
        <v>24</v>
      </c>
      <c r="C251" s="16">
        <v>20200429</v>
      </c>
      <c r="D251" s="10" t="s">
        <v>797</v>
      </c>
      <c r="E251" s="10" t="s">
        <v>395</v>
      </c>
      <c r="F251" s="10" t="s">
        <v>444</v>
      </c>
      <c r="G251" s="10" t="s">
        <v>279</v>
      </c>
      <c r="H251" s="10">
        <v>36</v>
      </c>
      <c r="I251" s="10">
        <v>2.21</v>
      </c>
      <c r="J251" s="10" t="s">
        <v>750</v>
      </c>
      <c r="K251" s="22">
        <v>43955</v>
      </c>
      <c r="L251" s="22">
        <v>43959</v>
      </c>
      <c r="M251" s="22">
        <v>43955</v>
      </c>
      <c r="N251" s="22">
        <v>43955</v>
      </c>
      <c r="O251" s="22" t="s">
        <v>489</v>
      </c>
    </row>
    <row r="252" spans="2:15" ht="15" x14ac:dyDescent="0.2">
      <c r="B252" s="18">
        <f t="shared" si="0"/>
        <v>25</v>
      </c>
      <c r="C252" s="16">
        <v>20200429</v>
      </c>
      <c r="D252" s="10" t="s">
        <v>797</v>
      </c>
      <c r="E252" s="10" t="s">
        <v>395</v>
      </c>
      <c r="F252" s="10" t="s">
        <v>444</v>
      </c>
      <c r="G252" s="10" t="s">
        <v>279</v>
      </c>
      <c r="H252" s="10">
        <v>116</v>
      </c>
      <c r="I252" s="10">
        <v>7.13</v>
      </c>
      <c r="J252" s="10" t="s">
        <v>750</v>
      </c>
      <c r="K252" s="22">
        <v>43955</v>
      </c>
      <c r="L252" s="22">
        <v>43959</v>
      </c>
      <c r="M252" s="22">
        <v>43957</v>
      </c>
      <c r="N252" s="22">
        <v>43957</v>
      </c>
      <c r="O252" s="22" t="s">
        <v>482</v>
      </c>
    </row>
    <row r="253" spans="2:15" ht="15" x14ac:dyDescent="0.2">
      <c r="B253" s="18">
        <f t="shared" si="0"/>
        <v>26</v>
      </c>
      <c r="C253" s="16">
        <v>20200429</v>
      </c>
      <c r="D253" s="10" t="s">
        <v>797</v>
      </c>
      <c r="E253" s="10" t="s">
        <v>395</v>
      </c>
      <c r="F253" s="10" t="s">
        <v>444</v>
      </c>
      <c r="G253" s="10" t="s">
        <v>219</v>
      </c>
      <c r="H253" s="21">
        <v>82</v>
      </c>
      <c r="I253" s="10">
        <v>5.04</v>
      </c>
      <c r="J253" s="10" t="s">
        <v>750</v>
      </c>
      <c r="K253" s="22">
        <v>43955</v>
      </c>
      <c r="L253" s="22">
        <v>43959</v>
      </c>
      <c r="M253" s="22">
        <v>43957</v>
      </c>
      <c r="N253" s="22">
        <v>43957</v>
      </c>
      <c r="O253" s="22" t="s">
        <v>489</v>
      </c>
    </row>
    <row r="254" spans="2:15" ht="15" x14ac:dyDescent="0.2">
      <c r="B254" s="18">
        <f t="shared" si="0"/>
        <v>27</v>
      </c>
      <c r="C254" s="16">
        <v>20200429</v>
      </c>
      <c r="D254" s="10" t="s">
        <v>797</v>
      </c>
      <c r="E254" s="10" t="s">
        <v>395</v>
      </c>
      <c r="F254" s="10" t="s">
        <v>444</v>
      </c>
      <c r="G254" s="10" t="s">
        <v>261</v>
      </c>
      <c r="H254" s="10">
        <v>8</v>
      </c>
      <c r="I254" s="10">
        <v>0.49</v>
      </c>
      <c r="J254" s="10" t="s">
        <v>750</v>
      </c>
      <c r="K254" s="22">
        <v>43955</v>
      </c>
      <c r="L254" s="22">
        <v>43959</v>
      </c>
      <c r="M254" s="22">
        <v>43957</v>
      </c>
      <c r="N254" s="22">
        <v>43957</v>
      </c>
      <c r="O254" s="22" t="s">
        <v>482</v>
      </c>
    </row>
    <row r="255" spans="2:15" ht="15" x14ac:dyDescent="0.2">
      <c r="B255" s="80">
        <f t="shared" si="0"/>
        <v>28</v>
      </c>
      <c r="C255" s="16">
        <v>20200429</v>
      </c>
      <c r="D255" s="10" t="s">
        <v>476</v>
      </c>
      <c r="E255" s="10" t="s">
        <v>396</v>
      </c>
      <c r="F255" s="10" t="s">
        <v>396</v>
      </c>
      <c r="G255" s="83" t="s">
        <v>219</v>
      </c>
      <c r="H255" s="10">
        <v>92</v>
      </c>
      <c r="I255" s="10">
        <v>1.63</v>
      </c>
      <c r="J255" s="10" t="s">
        <v>823</v>
      </c>
      <c r="K255" s="22">
        <v>43955</v>
      </c>
      <c r="L255" s="22">
        <v>43966</v>
      </c>
      <c r="M255" s="22">
        <v>43959</v>
      </c>
      <c r="N255" s="22">
        <v>43959</v>
      </c>
      <c r="O255" s="22" t="s">
        <v>482</v>
      </c>
    </row>
    <row r="256" spans="2:15" ht="15" x14ac:dyDescent="0.2">
      <c r="B256" s="80">
        <f t="shared" si="0"/>
        <v>29</v>
      </c>
      <c r="C256" s="16">
        <v>20200429</v>
      </c>
      <c r="D256" s="10" t="s">
        <v>476</v>
      </c>
      <c r="E256" s="10" t="s">
        <v>396</v>
      </c>
      <c r="F256" s="10" t="s">
        <v>396</v>
      </c>
      <c r="G256" s="10" t="s">
        <v>261</v>
      </c>
      <c r="H256" s="10">
        <v>99</v>
      </c>
      <c r="I256" s="10">
        <v>1.76</v>
      </c>
      <c r="J256" s="10" t="s">
        <v>823</v>
      </c>
      <c r="K256" s="22">
        <v>43955</v>
      </c>
      <c r="L256" s="22">
        <v>43966</v>
      </c>
      <c r="M256" s="22">
        <v>43956</v>
      </c>
      <c r="N256" s="22">
        <v>43956</v>
      </c>
      <c r="O256" s="10" t="s">
        <v>1</v>
      </c>
    </row>
    <row r="257" spans="2:15" ht="15" x14ac:dyDescent="0.2">
      <c r="B257" s="80">
        <f t="shared" si="0"/>
        <v>30</v>
      </c>
      <c r="C257" s="16">
        <v>20200429</v>
      </c>
      <c r="D257" s="10" t="s">
        <v>476</v>
      </c>
      <c r="E257" s="10" t="s">
        <v>396</v>
      </c>
      <c r="F257" s="10" t="s">
        <v>396</v>
      </c>
      <c r="G257" s="10" t="s">
        <v>261</v>
      </c>
      <c r="H257" s="39">
        <v>16</v>
      </c>
      <c r="I257" s="10">
        <v>0.28000000000000003</v>
      </c>
      <c r="J257" s="10" t="s">
        <v>823</v>
      </c>
      <c r="K257" s="22">
        <v>43955</v>
      </c>
      <c r="L257" s="22">
        <v>43966</v>
      </c>
      <c r="M257" s="22">
        <v>43956</v>
      </c>
      <c r="N257" s="22">
        <v>43956</v>
      </c>
      <c r="O257" s="22" t="s">
        <v>482</v>
      </c>
    </row>
    <row r="258" spans="2:15" ht="15" x14ac:dyDescent="0.2">
      <c r="B258" s="80">
        <f t="shared" si="0"/>
        <v>31</v>
      </c>
      <c r="C258" s="16">
        <v>20200429</v>
      </c>
      <c r="D258" s="10" t="s">
        <v>476</v>
      </c>
      <c r="E258" s="10" t="s">
        <v>396</v>
      </c>
      <c r="F258" s="10" t="s">
        <v>396</v>
      </c>
      <c r="G258" s="10" t="s">
        <v>279</v>
      </c>
      <c r="H258" s="10">
        <v>108</v>
      </c>
      <c r="I258" s="10">
        <v>1.92</v>
      </c>
      <c r="J258" s="10" t="s">
        <v>823</v>
      </c>
      <c r="K258" s="22">
        <v>43955</v>
      </c>
      <c r="L258" s="22">
        <v>43966</v>
      </c>
      <c r="M258" s="22">
        <v>43955</v>
      </c>
      <c r="N258" s="22">
        <v>43955</v>
      </c>
      <c r="O258" s="22" t="s">
        <v>489</v>
      </c>
    </row>
    <row r="259" spans="2:15" ht="15" x14ac:dyDescent="0.2">
      <c r="B259" s="80">
        <f t="shared" si="0"/>
        <v>32</v>
      </c>
      <c r="C259" s="16">
        <v>20200429</v>
      </c>
      <c r="D259" s="10" t="s">
        <v>476</v>
      </c>
      <c r="E259" s="10" t="s">
        <v>396</v>
      </c>
      <c r="F259" s="10" t="s">
        <v>396</v>
      </c>
      <c r="G259" s="10" t="s">
        <v>260</v>
      </c>
      <c r="H259" s="10">
        <v>159</v>
      </c>
      <c r="I259" s="10">
        <v>2.82</v>
      </c>
      <c r="J259" s="10" t="s">
        <v>823</v>
      </c>
      <c r="K259" s="22">
        <v>43955</v>
      </c>
      <c r="L259" s="22">
        <v>43966</v>
      </c>
      <c r="M259" s="22">
        <v>43956</v>
      </c>
      <c r="N259" s="22">
        <v>43956</v>
      </c>
      <c r="O259" s="22" t="s">
        <v>482</v>
      </c>
    </row>
    <row r="260" spans="2:15" ht="15" x14ac:dyDescent="0.2">
      <c r="B260" s="80">
        <f t="shared" si="0"/>
        <v>33</v>
      </c>
      <c r="C260" s="16">
        <v>20200429</v>
      </c>
      <c r="D260" s="10" t="s">
        <v>476</v>
      </c>
      <c r="E260" s="10" t="s">
        <v>396</v>
      </c>
      <c r="F260" s="10" t="s">
        <v>396</v>
      </c>
      <c r="G260" s="83" t="s">
        <v>219</v>
      </c>
      <c r="H260" s="10">
        <v>51</v>
      </c>
      <c r="I260" s="10">
        <v>0.9</v>
      </c>
      <c r="J260" s="10" t="s">
        <v>823</v>
      </c>
      <c r="K260" s="22">
        <v>43955</v>
      </c>
      <c r="L260" s="22">
        <v>43966</v>
      </c>
      <c r="M260" s="22">
        <v>43959</v>
      </c>
      <c r="N260" s="22">
        <v>43959</v>
      </c>
      <c r="O260" s="22" t="s">
        <v>482</v>
      </c>
    </row>
    <row r="261" spans="2:15" ht="15" x14ac:dyDescent="0.2">
      <c r="B261" s="80">
        <f t="shared" si="0"/>
        <v>34</v>
      </c>
      <c r="C261" s="16">
        <v>20200429</v>
      </c>
      <c r="D261" s="10" t="s">
        <v>476</v>
      </c>
      <c r="E261" s="10" t="s">
        <v>396</v>
      </c>
      <c r="F261" s="10" t="s">
        <v>396</v>
      </c>
      <c r="G261" s="10" t="s">
        <v>260</v>
      </c>
      <c r="H261" s="10">
        <v>44</v>
      </c>
      <c r="I261" s="10">
        <v>0.78</v>
      </c>
      <c r="J261" s="10" t="s">
        <v>823</v>
      </c>
      <c r="K261" s="22">
        <v>43955</v>
      </c>
      <c r="L261" s="22">
        <v>43966</v>
      </c>
      <c r="M261" s="22">
        <v>43955</v>
      </c>
      <c r="N261" s="22">
        <v>43955</v>
      </c>
      <c r="O261" s="22" t="s">
        <v>482</v>
      </c>
    </row>
    <row r="262" spans="2:15" ht="15" x14ac:dyDescent="0.2">
      <c r="B262" s="80">
        <f t="shared" si="0"/>
        <v>35</v>
      </c>
      <c r="C262" s="16">
        <v>20200429</v>
      </c>
      <c r="D262" s="10" t="s">
        <v>476</v>
      </c>
      <c r="E262" s="10" t="s">
        <v>396</v>
      </c>
      <c r="F262" s="10" t="s">
        <v>396</v>
      </c>
      <c r="G262" s="10" t="s">
        <v>260</v>
      </c>
      <c r="H262" s="10">
        <v>119</v>
      </c>
      <c r="I262" s="10">
        <v>2.11</v>
      </c>
      <c r="J262" s="10" t="s">
        <v>823</v>
      </c>
      <c r="K262" s="22">
        <v>43955</v>
      </c>
      <c r="L262" s="22">
        <v>43966</v>
      </c>
      <c r="M262" s="22">
        <v>43955</v>
      </c>
      <c r="N262" s="22">
        <v>43955</v>
      </c>
      <c r="O262" s="22" t="s">
        <v>489</v>
      </c>
    </row>
    <row r="263" spans="2:15" ht="15" x14ac:dyDescent="0.2">
      <c r="B263" s="80">
        <f t="shared" si="0"/>
        <v>36</v>
      </c>
      <c r="C263" s="16">
        <v>20200429</v>
      </c>
      <c r="D263" s="10" t="s">
        <v>476</v>
      </c>
      <c r="E263" s="10" t="s">
        <v>396</v>
      </c>
      <c r="F263" s="10" t="s">
        <v>396</v>
      </c>
      <c r="G263" s="10" t="s">
        <v>279</v>
      </c>
      <c r="H263" s="10">
        <v>131</v>
      </c>
      <c r="I263" s="10">
        <v>2.3199999999999998</v>
      </c>
      <c r="J263" s="10" t="s">
        <v>823</v>
      </c>
      <c r="K263" s="22">
        <v>43955</v>
      </c>
      <c r="L263" s="22">
        <v>43966</v>
      </c>
      <c r="M263" s="22">
        <v>43956</v>
      </c>
      <c r="N263" s="22">
        <v>43956</v>
      </c>
      <c r="O263" s="22" t="s">
        <v>482</v>
      </c>
    </row>
    <row r="264" spans="2:15" ht="15" x14ac:dyDescent="0.2">
      <c r="B264" s="80">
        <f t="shared" si="0"/>
        <v>37</v>
      </c>
      <c r="C264" s="16">
        <v>20200429</v>
      </c>
      <c r="D264" s="10" t="s">
        <v>476</v>
      </c>
      <c r="E264" s="10" t="s">
        <v>396</v>
      </c>
      <c r="F264" s="10" t="s">
        <v>396</v>
      </c>
      <c r="G264" s="10" t="s">
        <v>260</v>
      </c>
      <c r="H264" s="10">
        <v>265</v>
      </c>
      <c r="I264" s="10">
        <v>4.71</v>
      </c>
      <c r="J264" s="10" t="s">
        <v>823</v>
      </c>
      <c r="K264" s="22">
        <v>43955</v>
      </c>
      <c r="L264" s="22">
        <v>43966</v>
      </c>
      <c r="M264" s="22">
        <v>43955</v>
      </c>
      <c r="N264" s="22">
        <v>43955</v>
      </c>
      <c r="O264" s="22" t="s">
        <v>482</v>
      </c>
    </row>
    <row r="265" spans="2:15" ht="15" x14ac:dyDescent="0.2">
      <c r="B265" s="80">
        <f t="shared" si="0"/>
        <v>38</v>
      </c>
      <c r="C265" s="16">
        <v>20200429</v>
      </c>
      <c r="D265" s="10" t="s">
        <v>476</v>
      </c>
      <c r="E265" s="10" t="s">
        <v>396</v>
      </c>
      <c r="F265" s="10" t="s">
        <v>396</v>
      </c>
      <c r="G265" s="10" t="s">
        <v>260</v>
      </c>
      <c r="H265" s="10">
        <v>368</v>
      </c>
      <c r="I265" s="10">
        <v>6.54</v>
      </c>
      <c r="J265" s="10" t="s">
        <v>823</v>
      </c>
      <c r="K265" s="22">
        <v>43955</v>
      </c>
      <c r="L265" s="22">
        <v>43966</v>
      </c>
      <c r="M265" s="22">
        <v>43956</v>
      </c>
      <c r="N265" s="22">
        <v>43956</v>
      </c>
      <c r="O265" s="22" t="s">
        <v>489</v>
      </c>
    </row>
    <row r="266" spans="2:15" ht="15" x14ac:dyDescent="0.2">
      <c r="B266" s="80">
        <f t="shared" si="0"/>
        <v>39</v>
      </c>
      <c r="C266" s="16">
        <v>20200429</v>
      </c>
      <c r="D266" s="10" t="s">
        <v>476</v>
      </c>
      <c r="E266" s="10" t="s">
        <v>396</v>
      </c>
      <c r="F266" s="10" t="s">
        <v>396</v>
      </c>
      <c r="G266" s="10" t="s">
        <v>261</v>
      </c>
      <c r="H266" s="10">
        <v>195</v>
      </c>
      <c r="I266" s="10">
        <v>3.46</v>
      </c>
      <c r="J266" s="10" t="s">
        <v>823</v>
      </c>
      <c r="K266" s="22">
        <v>43955</v>
      </c>
      <c r="L266" s="22">
        <v>43966</v>
      </c>
      <c r="M266" s="22">
        <v>43959</v>
      </c>
      <c r="N266" s="22">
        <v>43959</v>
      </c>
      <c r="O266" s="22" t="s">
        <v>489</v>
      </c>
    </row>
    <row r="267" spans="2:15" ht="15" x14ac:dyDescent="0.2">
      <c r="B267" s="80">
        <f t="shared" si="0"/>
        <v>40</v>
      </c>
      <c r="C267" s="16">
        <v>20200429</v>
      </c>
      <c r="D267" s="10" t="s">
        <v>476</v>
      </c>
      <c r="E267" s="10" t="s">
        <v>396</v>
      </c>
      <c r="F267" s="10" t="s">
        <v>396</v>
      </c>
      <c r="G267" s="10" t="s">
        <v>219</v>
      </c>
      <c r="H267" s="10">
        <v>351</v>
      </c>
      <c r="I267" s="10">
        <v>6.24</v>
      </c>
      <c r="J267" s="10" t="s">
        <v>823</v>
      </c>
      <c r="K267" s="22">
        <v>43955</v>
      </c>
      <c r="L267" s="22">
        <v>43966</v>
      </c>
      <c r="M267" s="22">
        <v>43955</v>
      </c>
      <c r="N267" s="22">
        <v>43955</v>
      </c>
      <c r="O267" s="22" t="s">
        <v>482</v>
      </c>
    </row>
    <row r="268" spans="2:15" ht="15" x14ac:dyDescent="0.2">
      <c r="B268" s="80">
        <f t="shared" si="0"/>
        <v>41</v>
      </c>
      <c r="C268" s="16">
        <v>20200429</v>
      </c>
      <c r="D268" s="10" t="s">
        <v>476</v>
      </c>
      <c r="E268" s="10" t="s">
        <v>396</v>
      </c>
      <c r="F268" s="10" t="s">
        <v>396</v>
      </c>
      <c r="G268" s="10" t="s">
        <v>279</v>
      </c>
      <c r="H268" s="10">
        <v>164</v>
      </c>
      <c r="I268" s="10">
        <v>2.91</v>
      </c>
      <c r="J268" s="10" t="s">
        <v>823</v>
      </c>
      <c r="K268" s="22">
        <v>43955</v>
      </c>
      <c r="L268" s="22">
        <v>43966</v>
      </c>
      <c r="M268" s="22">
        <v>43955</v>
      </c>
      <c r="N268" s="22">
        <v>43955</v>
      </c>
      <c r="O268" s="22" t="s">
        <v>489</v>
      </c>
    </row>
    <row r="269" spans="2:15" ht="15" x14ac:dyDescent="0.2">
      <c r="B269" s="80">
        <f t="shared" si="0"/>
        <v>42</v>
      </c>
      <c r="C269" s="16">
        <v>20200429</v>
      </c>
      <c r="D269" s="10" t="s">
        <v>476</v>
      </c>
      <c r="E269" s="10" t="s">
        <v>396</v>
      </c>
      <c r="F269" s="10" t="s">
        <v>396</v>
      </c>
      <c r="G269" s="10" t="s">
        <v>279</v>
      </c>
      <c r="H269" s="10">
        <v>24</v>
      </c>
      <c r="I269" s="10">
        <v>0.42</v>
      </c>
      <c r="J269" s="10" t="s">
        <v>823</v>
      </c>
      <c r="K269" s="22">
        <v>43955</v>
      </c>
      <c r="L269" s="22">
        <v>43966</v>
      </c>
      <c r="M269" s="22">
        <v>43955</v>
      </c>
      <c r="N269" s="22">
        <v>43955</v>
      </c>
      <c r="O269" s="22" t="s">
        <v>482</v>
      </c>
    </row>
    <row r="270" spans="2:15" ht="15" x14ac:dyDescent="0.2">
      <c r="B270" s="80">
        <f t="shared" si="0"/>
        <v>43</v>
      </c>
      <c r="C270" s="16">
        <v>20200429</v>
      </c>
      <c r="D270" s="10" t="s">
        <v>476</v>
      </c>
      <c r="E270" s="10" t="s">
        <v>396</v>
      </c>
      <c r="F270" s="10" t="s">
        <v>396</v>
      </c>
      <c r="G270" s="10" t="s">
        <v>279</v>
      </c>
      <c r="H270" s="10">
        <v>182</v>
      </c>
      <c r="I270" s="10">
        <v>3.23</v>
      </c>
      <c r="J270" s="10" t="s">
        <v>823</v>
      </c>
      <c r="K270" s="22">
        <v>43955</v>
      </c>
      <c r="L270" s="22">
        <v>43966</v>
      </c>
      <c r="M270" s="22">
        <v>43955</v>
      </c>
      <c r="N270" s="22">
        <v>43955</v>
      </c>
      <c r="O270" s="22" t="s">
        <v>482</v>
      </c>
    </row>
    <row r="271" spans="2:15" ht="15" x14ac:dyDescent="0.2">
      <c r="B271" s="80">
        <f t="shared" si="0"/>
        <v>44</v>
      </c>
      <c r="C271" s="16">
        <v>20200429</v>
      </c>
      <c r="D271" s="10" t="s">
        <v>476</v>
      </c>
      <c r="E271" s="10" t="s">
        <v>396</v>
      </c>
      <c r="F271" s="10" t="s">
        <v>396</v>
      </c>
      <c r="G271" s="10" t="s">
        <v>279</v>
      </c>
      <c r="H271" s="10">
        <v>161</v>
      </c>
      <c r="I271" s="10">
        <v>2.86</v>
      </c>
      <c r="J271" s="10" t="s">
        <v>823</v>
      </c>
      <c r="K271" s="22">
        <v>43955</v>
      </c>
      <c r="L271" s="22">
        <v>43966</v>
      </c>
      <c r="M271" s="22">
        <v>43955</v>
      </c>
      <c r="N271" s="22">
        <v>43955</v>
      </c>
      <c r="O271" s="22" t="s">
        <v>482</v>
      </c>
    </row>
    <row r="272" spans="2:15" ht="15" x14ac:dyDescent="0.2">
      <c r="B272" s="80">
        <f t="shared" si="0"/>
        <v>45</v>
      </c>
      <c r="C272" s="16">
        <v>20200429</v>
      </c>
      <c r="D272" s="10" t="s">
        <v>476</v>
      </c>
      <c r="E272" s="10" t="s">
        <v>396</v>
      </c>
      <c r="F272" s="10" t="s">
        <v>396</v>
      </c>
      <c r="G272" s="10" t="s">
        <v>279</v>
      </c>
      <c r="H272" s="10">
        <v>210</v>
      </c>
      <c r="I272" s="10">
        <v>3.73</v>
      </c>
      <c r="J272" s="10" t="s">
        <v>823</v>
      </c>
      <c r="K272" s="22">
        <v>43955</v>
      </c>
      <c r="L272" s="22">
        <v>43966</v>
      </c>
      <c r="M272" s="22">
        <v>43956</v>
      </c>
      <c r="N272" s="22">
        <v>43956</v>
      </c>
      <c r="O272" s="22" t="s">
        <v>489</v>
      </c>
    </row>
    <row r="273" spans="2:15" ht="15" x14ac:dyDescent="0.2">
      <c r="B273" s="80">
        <f t="shared" si="0"/>
        <v>46</v>
      </c>
      <c r="C273" s="16">
        <v>20200429</v>
      </c>
      <c r="D273" s="10" t="s">
        <v>476</v>
      </c>
      <c r="E273" s="10" t="s">
        <v>396</v>
      </c>
      <c r="F273" s="10" t="s">
        <v>396</v>
      </c>
      <c r="G273" s="10" t="s">
        <v>279</v>
      </c>
      <c r="H273" s="10">
        <v>83</v>
      </c>
      <c r="I273" s="10">
        <v>1.47</v>
      </c>
      <c r="J273" s="10" t="s">
        <v>823</v>
      </c>
      <c r="K273" s="22">
        <v>43955</v>
      </c>
      <c r="L273" s="22">
        <v>43966</v>
      </c>
      <c r="M273" s="22">
        <v>43955</v>
      </c>
      <c r="N273" s="22">
        <v>43955</v>
      </c>
      <c r="O273" s="22" t="s">
        <v>482</v>
      </c>
    </row>
    <row r="274" spans="2:15" ht="15" x14ac:dyDescent="0.2">
      <c r="B274" s="80">
        <f t="shared" si="0"/>
        <v>47</v>
      </c>
      <c r="C274" s="16">
        <v>20200429</v>
      </c>
      <c r="D274" s="10" t="s">
        <v>476</v>
      </c>
      <c r="E274" s="10" t="s">
        <v>396</v>
      </c>
      <c r="F274" s="10" t="s">
        <v>396</v>
      </c>
      <c r="G274" s="10" t="s">
        <v>261</v>
      </c>
      <c r="H274" s="10">
        <v>101</v>
      </c>
      <c r="I274" s="10">
        <v>1.79</v>
      </c>
      <c r="J274" s="10" t="s">
        <v>823</v>
      </c>
      <c r="K274" s="22">
        <v>43955</v>
      </c>
      <c r="L274" s="22">
        <v>43966</v>
      </c>
      <c r="M274" s="22">
        <v>43959</v>
      </c>
      <c r="N274" s="22">
        <v>43959</v>
      </c>
      <c r="O274" s="22" t="s">
        <v>482</v>
      </c>
    </row>
    <row r="275" spans="2:15" ht="15" x14ac:dyDescent="0.2">
      <c r="B275" s="80">
        <f t="shared" si="0"/>
        <v>48</v>
      </c>
      <c r="C275" s="16">
        <v>20200429</v>
      </c>
      <c r="D275" s="10" t="s">
        <v>476</v>
      </c>
      <c r="E275" s="10" t="s">
        <v>396</v>
      </c>
      <c r="F275" s="10" t="s">
        <v>396</v>
      </c>
      <c r="G275" s="10" t="s">
        <v>261</v>
      </c>
      <c r="H275" s="10">
        <v>116</v>
      </c>
      <c r="I275" s="10">
        <v>2.06</v>
      </c>
      <c r="J275" s="10" t="s">
        <v>823</v>
      </c>
      <c r="K275" s="22">
        <v>43955</v>
      </c>
      <c r="L275" s="22">
        <v>43966</v>
      </c>
      <c r="M275" s="22">
        <v>43959</v>
      </c>
      <c r="N275" s="22">
        <v>43959</v>
      </c>
      <c r="O275" s="22" t="s">
        <v>489</v>
      </c>
    </row>
    <row r="276" spans="2:15" ht="15" x14ac:dyDescent="0.2">
      <c r="B276" s="80">
        <f t="shared" si="0"/>
        <v>49</v>
      </c>
      <c r="C276" s="16">
        <v>20200429</v>
      </c>
      <c r="D276" s="10" t="s">
        <v>476</v>
      </c>
      <c r="E276" s="10" t="s">
        <v>396</v>
      </c>
      <c r="F276" s="10" t="s">
        <v>396</v>
      </c>
      <c r="G276" s="10" t="s">
        <v>261</v>
      </c>
      <c r="H276" s="10">
        <v>204</v>
      </c>
      <c r="I276" s="10">
        <v>3.62</v>
      </c>
      <c r="J276" s="10" t="s">
        <v>823</v>
      </c>
      <c r="K276" s="22">
        <v>43955</v>
      </c>
      <c r="L276" s="22">
        <v>43966</v>
      </c>
      <c r="M276" s="22">
        <v>43959</v>
      </c>
      <c r="N276" s="22">
        <v>43959</v>
      </c>
      <c r="O276" s="22" t="s">
        <v>482</v>
      </c>
    </row>
    <row r="277" spans="2:15" ht="15" x14ac:dyDescent="0.2">
      <c r="B277" s="80">
        <f t="shared" si="0"/>
        <v>50</v>
      </c>
      <c r="C277" s="16">
        <v>20200429</v>
      </c>
      <c r="D277" s="10" t="s">
        <v>476</v>
      </c>
      <c r="E277" s="10" t="s">
        <v>396</v>
      </c>
      <c r="F277" s="10" t="s">
        <v>396</v>
      </c>
      <c r="G277" s="10" t="s">
        <v>219</v>
      </c>
      <c r="H277" s="10">
        <v>210</v>
      </c>
      <c r="I277" s="10">
        <v>3.73</v>
      </c>
      <c r="J277" s="10" t="s">
        <v>823</v>
      </c>
      <c r="K277" s="22">
        <v>43955</v>
      </c>
      <c r="L277" s="22">
        <v>43966</v>
      </c>
      <c r="M277" s="22">
        <v>43955</v>
      </c>
      <c r="N277" s="22">
        <v>43955</v>
      </c>
      <c r="O277" s="22" t="s">
        <v>482</v>
      </c>
    </row>
    <row r="278" spans="2:15" ht="15" x14ac:dyDescent="0.2">
      <c r="B278" s="80">
        <f t="shared" si="0"/>
        <v>51</v>
      </c>
      <c r="C278" s="16">
        <v>20200429</v>
      </c>
      <c r="D278" s="10" t="s">
        <v>476</v>
      </c>
      <c r="E278" s="10" t="s">
        <v>396</v>
      </c>
      <c r="F278" s="10" t="s">
        <v>396</v>
      </c>
      <c r="G278" s="10" t="s">
        <v>219</v>
      </c>
      <c r="H278" s="10">
        <v>182</v>
      </c>
      <c r="I278" s="10">
        <v>3.23</v>
      </c>
      <c r="J278" s="10" t="s">
        <v>823</v>
      </c>
      <c r="K278" s="22">
        <v>43955</v>
      </c>
      <c r="L278" s="22">
        <v>43966</v>
      </c>
      <c r="M278" s="22">
        <v>43956</v>
      </c>
      <c r="N278" s="22">
        <v>43956</v>
      </c>
      <c r="O278" s="22" t="s">
        <v>482</v>
      </c>
    </row>
    <row r="279" spans="2:15" ht="15" x14ac:dyDescent="0.2">
      <c r="B279" s="80">
        <f t="shared" si="0"/>
        <v>52</v>
      </c>
      <c r="C279" s="16">
        <v>20200429</v>
      </c>
      <c r="D279" s="10" t="s">
        <v>476</v>
      </c>
      <c r="E279" s="10" t="s">
        <v>396</v>
      </c>
      <c r="F279" s="10" t="s">
        <v>396</v>
      </c>
      <c r="G279" s="10" t="s">
        <v>219</v>
      </c>
      <c r="H279" s="10">
        <v>92</v>
      </c>
      <c r="I279" s="10">
        <v>1.63</v>
      </c>
      <c r="J279" s="10" t="s">
        <v>823</v>
      </c>
      <c r="K279" s="22">
        <v>43955</v>
      </c>
      <c r="L279" s="22">
        <v>43966</v>
      </c>
      <c r="M279" s="22">
        <v>43958</v>
      </c>
      <c r="N279" s="22">
        <v>43958</v>
      </c>
      <c r="O279" s="22" t="s">
        <v>482</v>
      </c>
    </row>
    <row r="280" spans="2:15" ht="15" x14ac:dyDescent="0.2">
      <c r="B280" s="80">
        <f t="shared" si="0"/>
        <v>53</v>
      </c>
      <c r="C280" s="16">
        <v>20200429</v>
      </c>
      <c r="D280" s="10" t="s">
        <v>476</v>
      </c>
      <c r="E280" s="10" t="s">
        <v>396</v>
      </c>
      <c r="F280" s="10" t="s">
        <v>396</v>
      </c>
      <c r="G280" s="10" t="s">
        <v>260</v>
      </c>
      <c r="H280" s="10">
        <v>767</v>
      </c>
      <c r="I280" s="10">
        <v>13.63</v>
      </c>
      <c r="J280" s="10" t="s">
        <v>823</v>
      </c>
      <c r="K280" s="22">
        <v>43955</v>
      </c>
      <c r="L280" s="22">
        <v>43966</v>
      </c>
      <c r="M280" s="22">
        <v>43956</v>
      </c>
      <c r="N280" s="22">
        <v>43956</v>
      </c>
      <c r="O280" s="22" t="s">
        <v>482</v>
      </c>
    </row>
    <row r="281" spans="2:15" ht="15" x14ac:dyDescent="0.2">
      <c r="B281" s="80">
        <f t="shared" si="0"/>
        <v>54</v>
      </c>
      <c r="C281" s="16">
        <v>20200429</v>
      </c>
      <c r="D281" s="10" t="s">
        <v>476</v>
      </c>
      <c r="E281" s="10" t="s">
        <v>396</v>
      </c>
      <c r="F281" s="10" t="s">
        <v>396</v>
      </c>
      <c r="G281" s="10" t="s">
        <v>219</v>
      </c>
      <c r="H281" s="10">
        <v>93</v>
      </c>
      <c r="I281" s="10">
        <v>1.65</v>
      </c>
      <c r="J281" s="10" t="s">
        <v>823</v>
      </c>
      <c r="K281" s="22">
        <v>43955</v>
      </c>
      <c r="L281" s="22">
        <v>43966</v>
      </c>
      <c r="M281" s="22">
        <v>43958</v>
      </c>
      <c r="N281" s="22">
        <v>43958</v>
      </c>
      <c r="O281" s="22" t="s">
        <v>482</v>
      </c>
    </row>
    <row r="282" spans="2:15" ht="15" x14ac:dyDescent="0.2">
      <c r="B282" s="80">
        <f t="shared" si="0"/>
        <v>55</v>
      </c>
      <c r="C282" s="16">
        <v>20200429</v>
      </c>
      <c r="D282" s="10" t="s">
        <v>476</v>
      </c>
      <c r="E282" s="10" t="s">
        <v>396</v>
      </c>
      <c r="F282" s="10" t="s">
        <v>396</v>
      </c>
      <c r="G282" s="10" t="s">
        <v>279</v>
      </c>
      <c r="H282" s="10">
        <v>118</v>
      </c>
      <c r="I282" s="10">
        <v>2.09</v>
      </c>
      <c r="J282" s="10" t="s">
        <v>823</v>
      </c>
      <c r="K282" s="22">
        <v>43955</v>
      </c>
      <c r="L282" s="22">
        <v>43966</v>
      </c>
      <c r="M282" s="22">
        <v>43956</v>
      </c>
      <c r="N282" s="22">
        <v>43956</v>
      </c>
      <c r="O282" s="22" t="s">
        <v>482</v>
      </c>
    </row>
    <row r="283" spans="2:15" ht="15" x14ac:dyDescent="0.2">
      <c r="B283" s="80">
        <f t="shared" si="0"/>
        <v>56</v>
      </c>
      <c r="C283" s="16">
        <v>20200429</v>
      </c>
      <c r="D283" s="10" t="s">
        <v>476</v>
      </c>
      <c r="E283" s="10" t="s">
        <v>396</v>
      </c>
      <c r="F283" s="10" t="s">
        <v>396</v>
      </c>
      <c r="G283" s="10" t="s">
        <v>279</v>
      </c>
      <c r="H283" s="10">
        <v>47</v>
      </c>
      <c r="I283" s="10">
        <v>0.83</v>
      </c>
      <c r="J283" s="10" t="s">
        <v>823</v>
      </c>
      <c r="K283" s="22">
        <v>43955</v>
      </c>
      <c r="L283" s="22">
        <v>43966</v>
      </c>
      <c r="M283" s="22">
        <v>43956</v>
      </c>
      <c r="N283" s="22">
        <v>43956</v>
      </c>
      <c r="O283" s="22" t="s">
        <v>482</v>
      </c>
    </row>
    <row r="284" spans="2:15" ht="15" x14ac:dyDescent="0.2">
      <c r="B284" s="80">
        <f t="shared" si="0"/>
        <v>57</v>
      </c>
      <c r="C284" s="16">
        <v>20200429</v>
      </c>
      <c r="D284" s="10" t="s">
        <v>476</v>
      </c>
      <c r="E284" s="10" t="s">
        <v>396</v>
      </c>
      <c r="F284" s="10" t="s">
        <v>396</v>
      </c>
      <c r="G284" s="10" t="s">
        <v>219</v>
      </c>
      <c r="H284" s="10">
        <v>104</v>
      </c>
      <c r="I284" s="10">
        <v>1.84</v>
      </c>
      <c r="J284" s="10" t="s">
        <v>823</v>
      </c>
      <c r="K284" s="22">
        <v>43955</v>
      </c>
      <c r="L284" s="22">
        <v>43966</v>
      </c>
      <c r="M284" s="22">
        <v>43958</v>
      </c>
      <c r="N284" s="22">
        <v>43958</v>
      </c>
      <c r="O284" s="22" t="s">
        <v>482</v>
      </c>
    </row>
    <row r="285" spans="2:15" ht="15" x14ac:dyDescent="0.2">
      <c r="B285" s="80">
        <f t="shared" si="0"/>
        <v>58</v>
      </c>
      <c r="C285" s="16">
        <v>20200429</v>
      </c>
      <c r="D285" s="10" t="s">
        <v>476</v>
      </c>
      <c r="E285" s="10" t="s">
        <v>396</v>
      </c>
      <c r="F285" s="10" t="s">
        <v>396</v>
      </c>
      <c r="G285" s="10" t="s">
        <v>219</v>
      </c>
      <c r="H285" s="10">
        <v>138</v>
      </c>
      <c r="I285" s="10">
        <v>2.4500000000000002</v>
      </c>
      <c r="J285" s="10" t="s">
        <v>823</v>
      </c>
      <c r="K285" s="22">
        <v>43955</v>
      </c>
      <c r="L285" s="22">
        <v>43966</v>
      </c>
      <c r="M285" s="22">
        <v>43959</v>
      </c>
      <c r="N285" s="22">
        <v>43959</v>
      </c>
      <c r="O285" s="22" t="s">
        <v>482</v>
      </c>
    </row>
    <row r="286" spans="2:15" ht="15" x14ac:dyDescent="0.2">
      <c r="B286" s="80">
        <f t="shared" si="0"/>
        <v>59</v>
      </c>
      <c r="C286" s="16">
        <v>20200429</v>
      </c>
      <c r="D286" s="10" t="s">
        <v>476</v>
      </c>
      <c r="E286" s="10" t="s">
        <v>396</v>
      </c>
      <c r="F286" s="10" t="s">
        <v>396</v>
      </c>
      <c r="G286" s="83" t="s">
        <v>219</v>
      </c>
      <c r="H286" s="10">
        <v>135</v>
      </c>
      <c r="I286" s="10">
        <v>2.4</v>
      </c>
      <c r="J286" s="10" t="s">
        <v>823</v>
      </c>
      <c r="K286" s="22">
        <v>43955</v>
      </c>
      <c r="L286" s="22">
        <v>43966</v>
      </c>
      <c r="M286" s="22">
        <v>43959</v>
      </c>
      <c r="N286" s="22">
        <v>43959</v>
      </c>
      <c r="O286" s="22" t="s">
        <v>482</v>
      </c>
    </row>
    <row r="287" spans="2:15" ht="15" x14ac:dyDescent="0.2">
      <c r="B287" s="80">
        <f t="shared" si="0"/>
        <v>60</v>
      </c>
      <c r="C287" s="16">
        <v>20200429</v>
      </c>
      <c r="D287" s="10" t="s">
        <v>476</v>
      </c>
      <c r="E287" s="10" t="s">
        <v>396</v>
      </c>
      <c r="F287" s="10" t="s">
        <v>396</v>
      </c>
      <c r="G287" s="10" t="s">
        <v>219</v>
      </c>
      <c r="H287" s="10">
        <v>90</v>
      </c>
      <c r="I287" s="10">
        <v>1.6</v>
      </c>
      <c r="J287" s="10" t="s">
        <v>823</v>
      </c>
      <c r="K287" s="22">
        <v>43955</v>
      </c>
      <c r="L287" s="22">
        <v>43966</v>
      </c>
      <c r="M287" s="22">
        <v>43959</v>
      </c>
      <c r="N287" s="22">
        <v>43959</v>
      </c>
      <c r="O287" s="22" t="s">
        <v>482</v>
      </c>
    </row>
    <row r="288" spans="2:15" ht="15" x14ac:dyDescent="0.2">
      <c r="B288" s="80">
        <f t="shared" si="0"/>
        <v>61</v>
      </c>
      <c r="C288" s="16">
        <v>20200429</v>
      </c>
      <c r="D288" s="10" t="s">
        <v>476</v>
      </c>
      <c r="E288" s="10" t="s">
        <v>396</v>
      </c>
      <c r="F288" s="10" t="s">
        <v>396</v>
      </c>
      <c r="G288" s="10" t="s">
        <v>279</v>
      </c>
      <c r="H288" s="10">
        <v>45</v>
      </c>
      <c r="I288" s="10">
        <v>0.8</v>
      </c>
      <c r="J288" s="10" t="s">
        <v>823</v>
      </c>
      <c r="K288" s="22">
        <v>43955</v>
      </c>
      <c r="L288" s="22">
        <v>43966</v>
      </c>
      <c r="M288" s="22">
        <v>43956</v>
      </c>
      <c r="N288" s="22">
        <v>43956</v>
      </c>
      <c r="O288" s="22" t="s">
        <v>489</v>
      </c>
    </row>
    <row r="289" spans="2:15" ht="15" x14ac:dyDescent="0.2">
      <c r="B289" s="80">
        <f t="shared" si="0"/>
        <v>62</v>
      </c>
      <c r="C289" s="16">
        <v>20200429</v>
      </c>
      <c r="D289" s="10" t="s">
        <v>476</v>
      </c>
      <c r="E289" s="10" t="s">
        <v>396</v>
      </c>
      <c r="F289" s="10" t="s">
        <v>396</v>
      </c>
      <c r="G289" s="10" t="s">
        <v>279</v>
      </c>
      <c r="H289" s="10">
        <v>68</v>
      </c>
      <c r="I289" s="10">
        <v>1.2</v>
      </c>
      <c r="J289" s="10" t="s">
        <v>823</v>
      </c>
      <c r="K289" s="22">
        <v>43955</v>
      </c>
      <c r="L289" s="22">
        <v>43966</v>
      </c>
      <c r="M289" s="22">
        <v>43956</v>
      </c>
      <c r="N289" s="22">
        <v>43956</v>
      </c>
      <c r="O289" s="22" t="s">
        <v>482</v>
      </c>
    </row>
    <row r="290" spans="2:15" ht="15" x14ac:dyDescent="0.2">
      <c r="B290" s="80">
        <f t="shared" si="0"/>
        <v>63</v>
      </c>
      <c r="C290" s="16">
        <v>20200429</v>
      </c>
      <c r="D290" s="10" t="s">
        <v>476</v>
      </c>
      <c r="E290" s="10" t="s">
        <v>396</v>
      </c>
      <c r="F290" s="10" t="s">
        <v>396</v>
      </c>
      <c r="G290" s="10" t="s">
        <v>279</v>
      </c>
      <c r="H290" s="10">
        <v>137</v>
      </c>
      <c r="I290" s="10">
        <v>2.4300000000000002</v>
      </c>
      <c r="J290" s="10" t="s">
        <v>823</v>
      </c>
      <c r="K290" s="22">
        <v>43955</v>
      </c>
      <c r="L290" s="22">
        <v>43966</v>
      </c>
      <c r="M290" s="22">
        <v>43956</v>
      </c>
      <c r="N290" s="22">
        <v>43956</v>
      </c>
      <c r="O290" s="22" t="s">
        <v>489</v>
      </c>
    </row>
    <row r="291" spans="2:15" ht="15" x14ac:dyDescent="0.2">
      <c r="B291" s="80">
        <f t="shared" si="0"/>
        <v>64</v>
      </c>
      <c r="C291" s="16">
        <v>20200429</v>
      </c>
      <c r="D291" s="10" t="s">
        <v>476</v>
      </c>
      <c r="E291" s="10" t="s">
        <v>396</v>
      </c>
      <c r="F291" s="10" t="s">
        <v>396</v>
      </c>
      <c r="G291" s="10" t="s">
        <v>219</v>
      </c>
      <c r="H291" s="10">
        <v>102</v>
      </c>
      <c r="I291" s="10">
        <v>1.81</v>
      </c>
      <c r="J291" s="10" t="s">
        <v>823</v>
      </c>
      <c r="K291" s="22">
        <v>43955</v>
      </c>
      <c r="L291" s="22">
        <v>43966</v>
      </c>
      <c r="M291" s="22">
        <v>43959</v>
      </c>
      <c r="N291" s="22">
        <v>43959</v>
      </c>
      <c r="O291" s="22" t="s">
        <v>489</v>
      </c>
    </row>
    <row r="292" spans="2:15" ht="15" x14ac:dyDescent="0.2">
      <c r="B292" s="37">
        <f t="shared" si="0"/>
        <v>65</v>
      </c>
      <c r="C292" s="16">
        <v>20200504</v>
      </c>
      <c r="D292" s="10" t="s">
        <v>476</v>
      </c>
      <c r="E292" s="33" t="s">
        <v>397</v>
      </c>
      <c r="F292" s="33" t="s">
        <v>397</v>
      </c>
      <c r="G292" s="10" t="s">
        <v>279</v>
      </c>
      <c r="H292" s="10">
        <v>82</v>
      </c>
      <c r="I292" s="10">
        <v>1.45</v>
      </c>
      <c r="J292" s="10" t="s">
        <v>481</v>
      </c>
      <c r="K292" s="22">
        <v>43955</v>
      </c>
      <c r="L292" s="22">
        <v>43957</v>
      </c>
      <c r="M292" s="22">
        <v>43956</v>
      </c>
      <c r="N292" s="22">
        <v>43956</v>
      </c>
      <c r="O292" s="22" t="s">
        <v>482</v>
      </c>
    </row>
    <row r="293" spans="2:15" ht="15" x14ac:dyDescent="0.2">
      <c r="B293" s="37">
        <f t="shared" ref="B293:B356" si="1">B292+1</f>
        <v>66</v>
      </c>
      <c r="C293" s="16">
        <v>20200504</v>
      </c>
      <c r="D293" s="10" t="s">
        <v>797</v>
      </c>
      <c r="E293" s="33" t="s">
        <v>398</v>
      </c>
      <c r="F293" s="33" t="s">
        <v>445</v>
      </c>
      <c r="G293" s="10" t="s">
        <v>261</v>
      </c>
      <c r="H293" s="10">
        <v>45</v>
      </c>
      <c r="I293" s="10">
        <v>2.76</v>
      </c>
      <c r="J293" s="10" t="s">
        <v>481</v>
      </c>
      <c r="K293" s="22">
        <v>43955</v>
      </c>
      <c r="L293" s="22">
        <v>43957</v>
      </c>
      <c r="M293" s="22">
        <v>43956</v>
      </c>
      <c r="N293" s="22">
        <v>43956</v>
      </c>
      <c r="O293" s="22" t="s">
        <v>482</v>
      </c>
    </row>
    <row r="294" spans="2:15" ht="15" x14ac:dyDescent="0.2">
      <c r="B294" s="89">
        <f t="shared" si="1"/>
        <v>67</v>
      </c>
      <c r="C294" s="16">
        <v>20200506</v>
      </c>
      <c r="D294" s="10" t="s">
        <v>476</v>
      </c>
      <c r="E294" s="10" t="s">
        <v>399</v>
      </c>
      <c r="F294" s="10" t="s">
        <v>1331</v>
      </c>
      <c r="G294" s="10" t="s">
        <v>15</v>
      </c>
      <c r="H294" s="10">
        <v>101</v>
      </c>
      <c r="I294" s="10">
        <v>1.79</v>
      </c>
      <c r="J294" s="10" t="s">
        <v>481</v>
      </c>
      <c r="K294" s="22">
        <v>43957</v>
      </c>
      <c r="L294" s="22">
        <v>43959</v>
      </c>
      <c r="M294" s="22">
        <v>43957</v>
      </c>
      <c r="N294" s="22">
        <v>43957</v>
      </c>
      <c r="O294" s="22" t="s">
        <v>482</v>
      </c>
    </row>
    <row r="295" spans="2:15" ht="15" x14ac:dyDescent="0.2">
      <c r="B295" s="89">
        <f t="shared" si="1"/>
        <v>68</v>
      </c>
      <c r="C295" s="16">
        <v>20200506</v>
      </c>
      <c r="D295" s="10" t="s">
        <v>476</v>
      </c>
      <c r="E295" s="10" t="s">
        <v>399</v>
      </c>
      <c r="F295" s="10" t="s">
        <v>1331</v>
      </c>
      <c r="G295" s="10" t="s">
        <v>15</v>
      </c>
      <c r="H295" s="10">
        <v>66</v>
      </c>
      <c r="I295" s="10">
        <v>1.17</v>
      </c>
      <c r="J295" s="10" t="s">
        <v>481</v>
      </c>
      <c r="K295" s="22">
        <v>43957</v>
      </c>
      <c r="L295" s="22">
        <v>43959</v>
      </c>
      <c r="M295" s="22">
        <v>43957</v>
      </c>
      <c r="N295" s="22">
        <v>43957</v>
      </c>
      <c r="O295" s="22" t="s">
        <v>482</v>
      </c>
    </row>
    <row r="296" spans="2:15" ht="15" x14ac:dyDescent="0.2">
      <c r="B296" s="89">
        <f t="shared" si="1"/>
        <v>69</v>
      </c>
      <c r="C296" s="16">
        <v>20200506</v>
      </c>
      <c r="D296" s="10" t="s">
        <v>476</v>
      </c>
      <c r="E296" s="10" t="s">
        <v>400</v>
      </c>
      <c r="F296" s="10" t="s">
        <v>446</v>
      </c>
      <c r="G296" s="10" t="s">
        <v>15</v>
      </c>
      <c r="H296" s="10">
        <v>86</v>
      </c>
      <c r="I296" s="10">
        <v>1.52</v>
      </c>
      <c r="J296" s="10" t="s">
        <v>481</v>
      </c>
      <c r="K296" s="22">
        <v>43957</v>
      </c>
      <c r="L296" s="22">
        <v>43959</v>
      </c>
      <c r="M296" s="22">
        <v>43958</v>
      </c>
      <c r="N296" s="22">
        <v>43958</v>
      </c>
      <c r="O296" s="22" t="s">
        <v>482</v>
      </c>
    </row>
    <row r="297" spans="2:15" ht="15" x14ac:dyDescent="0.2">
      <c r="B297" s="89">
        <f t="shared" si="1"/>
        <v>70</v>
      </c>
      <c r="C297" s="16">
        <v>20200506</v>
      </c>
      <c r="D297" s="10" t="s">
        <v>476</v>
      </c>
      <c r="E297" s="10" t="s">
        <v>401</v>
      </c>
      <c r="F297" s="10" t="s">
        <v>447</v>
      </c>
      <c r="G297" s="10" t="s">
        <v>15</v>
      </c>
      <c r="H297" s="10">
        <v>145</v>
      </c>
      <c r="I297" s="10">
        <v>2.57</v>
      </c>
      <c r="J297" s="10" t="s">
        <v>794</v>
      </c>
      <c r="K297" s="22">
        <v>43957</v>
      </c>
      <c r="L297" s="22">
        <v>43959</v>
      </c>
      <c r="M297" s="22">
        <v>43958</v>
      </c>
      <c r="N297" s="22">
        <v>43958</v>
      </c>
      <c r="O297" s="22" t="s">
        <v>482</v>
      </c>
    </row>
    <row r="298" spans="2:15" ht="15" x14ac:dyDescent="0.2">
      <c r="B298" s="89">
        <f t="shared" si="1"/>
        <v>71</v>
      </c>
      <c r="C298" s="16">
        <v>20200506</v>
      </c>
      <c r="D298" s="10" t="s">
        <v>476</v>
      </c>
      <c r="E298" s="10" t="s">
        <v>401</v>
      </c>
      <c r="F298" s="10" t="s">
        <v>447</v>
      </c>
      <c r="G298" s="10" t="s">
        <v>15</v>
      </c>
      <c r="H298" s="10">
        <v>503</v>
      </c>
      <c r="I298" s="10">
        <v>8.94</v>
      </c>
      <c r="J298" s="10" t="s">
        <v>750</v>
      </c>
      <c r="K298" s="22">
        <v>43962</v>
      </c>
      <c r="L298" s="22">
        <v>43962</v>
      </c>
      <c r="M298" s="22">
        <v>43962</v>
      </c>
      <c r="N298" s="22">
        <v>43962</v>
      </c>
      <c r="O298" s="22" t="s">
        <v>482</v>
      </c>
    </row>
    <row r="299" spans="2:15" ht="15" x14ac:dyDescent="0.2">
      <c r="B299" s="89">
        <f t="shared" si="1"/>
        <v>72</v>
      </c>
      <c r="C299" s="16">
        <v>20200506</v>
      </c>
      <c r="D299" s="10" t="s">
        <v>476</v>
      </c>
      <c r="E299" s="10" t="s">
        <v>402</v>
      </c>
      <c r="F299" s="10" t="s">
        <v>448</v>
      </c>
      <c r="G299" s="10" t="s">
        <v>4</v>
      </c>
      <c r="H299" s="10">
        <v>444</v>
      </c>
      <c r="I299" s="10">
        <v>7.89</v>
      </c>
      <c r="J299" s="10" t="s">
        <v>750</v>
      </c>
      <c r="K299" s="22">
        <v>43957</v>
      </c>
      <c r="L299" s="22">
        <v>43959</v>
      </c>
      <c r="M299" s="22">
        <v>43958</v>
      </c>
      <c r="N299" s="22">
        <v>43958</v>
      </c>
      <c r="O299" s="22" t="s">
        <v>482</v>
      </c>
    </row>
    <row r="300" spans="2:15" ht="15" x14ac:dyDescent="0.2">
      <c r="B300" s="89">
        <f t="shared" si="1"/>
        <v>73</v>
      </c>
      <c r="C300" s="16">
        <v>20200506</v>
      </c>
      <c r="D300" s="10" t="s">
        <v>476</v>
      </c>
      <c r="E300" s="10" t="s">
        <v>402</v>
      </c>
      <c r="F300" s="10" t="s">
        <v>448</v>
      </c>
      <c r="G300" s="10" t="s">
        <v>41</v>
      </c>
      <c r="H300" s="10">
        <v>117</v>
      </c>
      <c r="I300" s="10">
        <v>2.08</v>
      </c>
      <c r="J300" s="10" t="s">
        <v>750</v>
      </c>
      <c r="K300" s="22">
        <v>43957</v>
      </c>
      <c r="L300" s="22">
        <v>43959</v>
      </c>
      <c r="M300" s="22">
        <v>43957</v>
      </c>
      <c r="N300" s="22">
        <v>43957</v>
      </c>
      <c r="O300" s="22" t="s">
        <v>482</v>
      </c>
    </row>
    <row r="301" spans="2:15" ht="15" x14ac:dyDescent="0.2">
      <c r="B301" s="89">
        <f t="shared" si="1"/>
        <v>74</v>
      </c>
      <c r="C301" s="16">
        <v>20200506</v>
      </c>
      <c r="D301" s="10" t="s">
        <v>476</v>
      </c>
      <c r="E301" s="10" t="s">
        <v>402</v>
      </c>
      <c r="F301" s="10" t="s">
        <v>448</v>
      </c>
      <c r="G301" s="10" t="s">
        <v>41</v>
      </c>
      <c r="H301" s="10">
        <v>76</v>
      </c>
      <c r="I301" s="10">
        <v>1.35</v>
      </c>
      <c r="J301" s="10" t="s">
        <v>750</v>
      </c>
      <c r="K301" s="22">
        <v>43957</v>
      </c>
      <c r="L301" s="22">
        <v>43959</v>
      </c>
      <c r="M301" s="22">
        <v>43957</v>
      </c>
      <c r="N301" s="22">
        <v>43957</v>
      </c>
      <c r="O301" s="22" t="s">
        <v>482</v>
      </c>
    </row>
    <row r="302" spans="2:15" ht="15" x14ac:dyDescent="0.2">
      <c r="B302" s="89">
        <f t="shared" si="1"/>
        <v>75</v>
      </c>
      <c r="C302" s="16">
        <v>20200506</v>
      </c>
      <c r="D302" s="10" t="s">
        <v>476</v>
      </c>
      <c r="E302" s="10" t="s">
        <v>402</v>
      </c>
      <c r="F302" s="10" t="s">
        <v>448</v>
      </c>
      <c r="G302" s="10" t="s">
        <v>41</v>
      </c>
      <c r="H302" s="10">
        <v>114</v>
      </c>
      <c r="I302" s="10">
        <v>2.02</v>
      </c>
      <c r="J302" s="10" t="s">
        <v>750</v>
      </c>
      <c r="K302" s="22">
        <v>43957</v>
      </c>
      <c r="L302" s="22">
        <v>43959</v>
      </c>
      <c r="M302" s="22">
        <v>43957</v>
      </c>
      <c r="N302" s="22">
        <v>43957</v>
      </c>
      <c r="O302" s="22" t="s">
        <v>482</v>
      </c>
    </row>
    <row r="303" spans="2:15" ht="15" x14ac:dyDescent="0.2">
      <c r="B303" s="89">
        <f t="shared" si="1"/>
        <v>76</v>
      </c>
      <c r="C303" s="16">
        <v>20200506</v>
      </c>
      <c r="D303" s="10" t="s">
        <v>476</v>
      </c>
      <c r="E303" s="10" t="s">
        <v>402</v>
      </c>
      <c r="F303" s="10" t="s">
        <v>448</v>
      </c>
      <c r="G303" s="10" t="s">
        <v>4</v>
      </c>
      <c r="H303" s="10">
        <v>262</v>
      </c>
      <c r="I303" s="10">
        <v>4.6500000000000004</v>
      </c>
      <c r="J303" s="10" t="s">
        <v>750</v>
      </c>
      <c r="K303" s="22">
        <v>43957</v>
      </c>
      <c r="L303" s="22">
        <v>43959</v>
      </c>
      <c r="M303" s="22">
        <v>43958</v>
      </c>
      <c r="N303" s="22">
        <v>43958</v>
      </c>
      <c r="O303" s="22" t="s">
        <v>482</v>
      </c>
    </row>
    <row r="304" spans="2:15" ht="15" x14ac:dyDescent="0.2">
      <c r="B304" s="89">
        <f t="shared" si="1"/>
        <v>77</v>
      </c>
      <c r="C304" s="16">
        <v>20200506</v>
      </c>
      <c r="D304" s="10" t="s">
        <v>476</v>
      </c>
      <c r="E304" s="10" t="s">
        <v>402</v>
      </c>
      <c r="F304" s="10" t="s">
        <v>448</v>
      </c>
      <c r="G304" s="10" t="s">
        <v>40</v>
      </c>
      <c r="H304" s="10">
        <v>41</v>
      </c>
      <c r="I304" s="10">
        <v>0.72</v>
      </c>
      <c r="J304" s="10" t="s">
        <v>750</v>
      </c>
      <c r="K304" s="22">
        <v>43957</v>
      </c>
      <c r="L304" s="22">
        <v>43959</v>
      </c>
      <c r="M304" s="22">
        <v>43957</v>
      </c>
      <c r="N304" s="22">
        <v>43957</v>
      </c>
      <c r="O304" s="22" t="s">
        <v>482</v>
      </c>
    </row>
    <row r="305" spans="2:15" ht="15" x14ac:dyDescent="0.2">
      <c r="B305" s="89">
        <f t="shared" si="1"/>
        <v>78</v>
      </c>
      <c r="C305" s="16">
        <v>20200506</v>
      </c>
      <c r="D305" s="10" t="s">
        <v>476</v>
      </c>
      <c r="E305" s="10" t="s">
        <v>402</v>
      </c>
      <c r="F305" s="10" t="s">
        <v>448</v>
      </c>
      <c r="G305" s="10" t="s">
        <v>40</v>
      </c>
      <c r="H305" s="10">
        <v>122</v>
      </c>
      <c r="I305" s="10">
        <v>2.16</v>
      </c>
      <c r="J305" s="10" t="s">
        <v>750</v>
      </c>
      <c r="K305" s="22">
        <v>43957</v>
      </c>
      <c r="L305" s="22">
        <v>43959</v>
      </c>
      <c r="M305" s="22">
        <v>43957</v>
      </c>
      <c r="N305" s="22">
        <v>43957</v>
      </c>
      <c r="O305" s="22" t="s">
        <v>482</v>
      </c>
    </row>
    <row r="306" spans="2:15" ht="15" x14ac:dyDescent="0.2">
      <c r="B306" s="89">
        <f t="shared" si="1"/>
        <v>79</v>
      </c>
      <c r="C306" s="16">
        <v>20200506</v>
      </c>
      <c r="D306" s="10" t="s">
        <v>476</v>
      </c>
      <c r="E306" s="10" t="s">
        <v>402</v>
      </c>
      <c r="F306" s="10" t="s">
        <v>448</v>
      </c>
      <c r="G306" s="10" t="s">
        <v>40</v>
      </c>
      <c r="H306" s="10">
        <v>205</v>
      </c>
      <c r="I306" s="10">
        <v>3.64</v>
      </c>
      <c r="J306" s="10" t="s">
        <v>750</v>
      </c>
      <c r="K306" s="22">
        <v>43957</v>
      </c>
      <c r="L306" s="22">
        <v>43959</v>
      </c>
      <c r="M306" s="22">
        <v>43958</v>
      </c>
      <c r="N306" s="22">
        <v>43958</v>
      </c>
      <c r="O306" s="22" t="s">
        <v>482</v>
      </c>
    </row>
    <row r="307" spans="2:15" ht="15" x14ac:dyDescent="0.2">
      <c r="B307" s="89">
        <f t="shared" si="1"/>
        <v>80</v>
      </c>
      <c r="C307" s="16">
        <v>20200506</v>
      </c>
      <c r="D307" s="10" t="s">
        <v>476</v>
      </c>
      <c r="E307" s="10" t="s">
        <v>402</v>
      </c>
      <c r="F307" s="10" t="s">
        <v>448</v>
      </c>
      <c r="G307" s="10" t="s">
        <v>40</v>
      </c>
      <c r="H307" s="10">
        <v>124</v>
      </c>
      <c r="I307" s="10">
        <v>2.2000000000000002</v>
      </c>
      <c r="J307" s="10" t="s">
        <v>750</v>
      </c>
      <c r="K307" s="22">
        <v>43957</v>
      </c>
      <c r="L307" s="22">
        <v>43959</v>
      </c>
      <c r="M307" s="22">
        <v>43958</v>
      </c>
      <c r="N307" s="22">
        <v>43958</v>
      </c>
      <c r="O307" s="22" t="s">
        <v>482</v>
      </c>
    </row>
    <row r="308" spans="2:15" ht="15" x14ac:dyDescent="0.2">
      <c r="B308" s="89">
        <f t="shared" si="1"/>
        <v>81</v>
      </c>
      <c r="C308" s="16">
        <v>20200506</v>
      </c>
      <c r="D308" s="10" t="s">
        <v>476</v>
      </c>
      <c r="E308" s="10" t="s">
        <v>402</v>
      </c>
      <c r="F308" s="10" t="s">
        <v>448</v>
      </c>
      <c r="G308" s="10" t="s">
        <v>4</v>
      </c>
      <c r="H308" s="10">
        <v>143</v>
      </c>
      <c r="I308" s="10">
        <v>2.54</v>
      </c>
      <c r="J308" s="10" t="s">
        <v>750</v>
      </c>
      <c r="K308" s="22">
        <v>43957</v>
      </c>
      <c r="L308" s="22">
        <v>43959</v>
      </c>
      <c r="M308" s="22">
        <v>43958</v>
      </c>
      <c r="N308" s="22">
        <v>43958</v>
      </c>
      <c r="O308" s="22" t="s">
        <v>482</v>
      </c>
    </row>
    <row r="309" spans="2:15" ht="15" x14ac:dyDescent="0.2">
      <c r="B309" s="89">
        <f t="shared" si="1"/>
        <v>82</v>
      </c>
      <c r="C309" s="16">
        <v>20200506</v>
      </c>
      <c r="D309" s="10" t="s">
        <v>476</v>
      </c>
      <c r="E309" s="10" t="s">
        <v>402</v>
      </c>
      <c r="F309" s="10" t="s">
        <v>448</v>
      </c>
      <c r="G309" s="10" t="s">
        <v>4</v>
      </c>
      <c r="H309" s="10">
        <v>263</v>
      </c>
      <c r="I309" s="10">
        <v>4.67</v>
      </c>
      <c r="J309" s="10" t="s">
        <v>750</v>
      </c>
      <c r="K309" s="22">
        <v>43957</v>
      </c>
      <c r="L309" s="22">
        <v>43959</v>
      </c>
      <c r="M309" s="22">
        <v>43958</v>
      </c>
      <c r="N309" s="22">
        <v>43958</v>
      </c>
      <c r="O309" s="22" t="s">
        <v>482</v>
      </c>
    </row>
    <row r="310" spans="2:15" ht="15" x14ac:dyDescent="0.2">
      <c r="B310" s="18">
        <f t="shared" si="1"/>
        <v>83</v>
      </c>
      <c r="C310" s="16">
        <v>20200506</v>
      </c>
      <c r="D310" s="10" t="s">
        <v>476</v>
      </c>
      <c r="E310" s="10" t="s">
        <v>391</v>
      </c>
      <c r="F310" s="10" t="s">
        <v>428</v>
      </c>
      <c r="G310" s="10" t="s">
        <v>261</v>
      </c>
      <c r="H310" s="10">
        <v>1009</v>
      </c>
      <c r="I310" s="10">
        <v>17.93</v>
      </c>
      <c r="J310" s="10" t="s">
        <v>750</v>
      </c>
      <c r="K310" s="22">
        <v>43957</v>
      </c>
      <c r="L310" s="22">
        <v>43958</v>
      </c>
      <c r="M310" s="22">
        <v>43958</v>
      </c>
      <c r="N310" s="22">
        <v>43958</v>
      </c>
      <c r="O310" s="22" t="s">
        <v>489</v>
      </c>
    </row>
    <row r="311" spans="2:15" ht="15" x14ac:dyDescent="0.2">
      <c r="B311" s="18">
        <f t="shared" si="1"/>
        <v>84</v>
      </c>
      <c r="C311" s="16">
        <v>20200506</v>
      </c>
      <c r="D311" s="10" t="s">
        <v>476</v>
      </c>
      <c r="E311" s="10" t="s">
        <v>403</v>
      </c>
      <c r="F311" s="10" t="s">
        <v>449</v>
      </c>
      <c r="G311" s="10" t="s">
        <v>279</v>
      </c>
      <c r="H311" s="10">
        <v>290</v>
      </c>
      <c r="I311" s="10">
        <v>5.15</v>
      </c>
      <c r="J311" s="10" t="s">
        <v>750</v>
      </c>
      <c r="K311" s="22">
        <v>43957</v>
      </c>
      <c r="L311" s="22">
        <v>43958</v>
      </c>
      <c r="M311" s="22">
        <v>43958</v>
      </c>
      <c r="N311" s="22">
        <v>43958</v>
      </c>
      <c r="O311" s="22" t="s">
        <v>482</v>
      </c>
    </row>
    <row r="312" spans="2:15" ht="15" x14ac:dyDescent="0.2">
      <c r="B312" s="18">
        <f t="shared" si="1"/>
        <v>85</v>
      </c>
      <c r="C312" s="16">
        <v>20200506</v>
      </c>
      <c r="D312" s="10" t="s">
        <v>476</v>
      </c>
      <c r="E312" s="10" t="s">
        <v>403</v>
      </c>
      <c r="F312" s="10" t="s">
        <v>449</v>
      </c>
      <c r="G312" s="10" t="s">
        <v>260</v>
      </c>
      <c r="H312" s="10">
        <v>456</v>
      </c>
      <c r="I312" s="10">
        <v>8.1</v>
      </c>
      <c r="J312" s="10" t="s">
        <v>750</v>
      </c>
      <c r="K312" s="22">
        <v>43957</v>
      </c>
      <c r="L312" s="22">
        <v>43958</v>
      </c>
      <c r="M312" s="22">
        <v>43958</v>
      </c>
      <c r="N312" s="22">
        <v>43958</v>
      </c>
      <c r="O312" s="22" t="s">
        <v>489</v>
      </c>
    </row>
    <row r="313" spans="2:15" ht="15" x14ac:dyDescent="0.2">
      <c r="B313" s="18">
        <f t="shared" si="1"/>
        <v>86</v>
      </c>
      <c r="C313" s="16">
        <v>20200506</v>
      </c>
      <c r="D313" s="10" t="s">
        <v>476</v>
      </c>
      <c r="E313" s="33" t="s">
        <v>404</v>
      </c>
      <c r="F313" s="33" t="s">
        <v>449</v>
      </c>
      <c r="G313" s="10" t="s">
        <v>260</v>
      </c>
      <c r="H313" s="10">
        <v>456</v>
      </c>
      <c r="I313" s="10">
        <v>8.1</v>
      </c>
      <c r="J313" s="10" t="s">
        <v>750</v>
      </c>
      <c r="K313" s="22">
        <v>43957</v>
      </c>
      <c r="L313" s="22">
        <v>43958</v>
      </c>
      <c r="M313" s="22">
        <v>43958</v>
      </c>
      <c r="N313" s="22">
        <v>43958</v>
      </c>
      <c r="O313" s="22" t="s">
        <v>489</v>
      </c>
    </row>
    <row r="314" spans="2:15" ht="15" x14ac:dyDescent="0.2">
      <c r="B314" s="18">
        <f t="shared" si="1"/>
        <v>87</v>
      </c>
      <c r="C314" s="16">
        <v>20200506</v>
      </c>
      <c r="D314" s="10" t="s">
        <v>476</v>
      </c>
      <c r="E314" s="10" t="s">
        <v>156</v>
      </c>
      <c r="F314" s="10" t="s">
        <v>425</v>
      </c>
      <c r="G314" s="10" t="s">
        <v>260</v>
      </c>
      <c r="H314" s="10">
        <v>456</v>
      </c>
      <c r="I314" s="10">
        <v>8.1</v>
      </c>
      <c r="J314" s="10" t="s">
        <v>750</v>
      </c>
      <c r="K314" s="22">
        <v>43957</v>
      </c>
      <c r="L314" s="22">
        <v>43964</v>
      </c>
      <c r="M314" s="22">
        <v>43958</v>
      </c>
      <c r="N314" s="22">
        <v>43958</v>
      </c>
      <c r="O314" s="22" t="s">
        <v>482</v>
      </c>
    </row>
    <row r="315" spans="2:15" ht="15" x14ac:dyDescent="0.2">
      <c r="B315" s="18">
        <f t="shared" si="1"/>
        <v>88</v>
      </c>
      <c r="C315" s="16">
        <v>20200506</v>
      </c>
      <c r="D315" s="10" t="s">
        <v>476</v>
      </c>
      <c r="E315" s="10" t="s">
        <v>156</v>
      </c>
      <c r="F315" s="10" t="s">
        <v>425</v>
      </c>
      <c r="G315" s="10" t="s">
        <v>279</v>
      </c>
      <c r="H315" s="10">
        <v>91</v>
      </c>
      <c r="I315" s="10">
        <v>1.61</v>
      </c>
      <c r="J315" s="10" t="s">
        <v>750</v>
      </c>
      <c r="K315" s="22">
        <v>43957</v>
      </c>
      <c r="L315" s="22">
        <v>43964</v>
      </c>
      <c r="M315" s="22">
        <v>43958</v>
      </c>
      <c r="N315" s="22">
        <v>43958</v>
      </c>
      <c r="O315" s="22" t="s">
        <v>482</v>
      </c>
    </row>
    <row r="316" spans="2:15" ht="15" x14ac:dyDescent="0.2">
      <c r="B316" s="18">
        <f t="shared" si="1"/>
        <v>89</v>
      </c>
      <c r="C316" s="16">
        <v>20200506</v>
      </c>
      <c r="D316" s="10" t="s">
        <v>476</v>
      </c>
      <c r="E316" s="10" t="s">
        <v>156</v>
      </c>
      <c r="F316" s="10" t="s">
        <v>425</v>
      </c>
      <c r="G316" s="10" t="s">
        <v>279</v>
      </c>
      <c r="H316" s="10">
        <v>576</v>
      </c>
      <c r="I316" s="10">
        <v>10.24</v>
      </c>
      <c r="J316" s="10" t="s">
        <v>750</v>
      </c>
      <c r="K316" s="22">
        <v>43957</v>
      </c>
      <c r="L316" s="22">
        <v>43964</v>
      </c>
      <c r="M316" s="22">
        <v>43959</v>
      </c>
      <c r="N316" s="22">
        <v>43959</v>
      </c>
      <c r="O316" s="22" t="s">
        <v>482</v>
      </c>
    </row>
    <row r="317" spans="2:15" ht="15" x14ac:dyDescent="0.2">
      <c r="B317" s="18">
        <f t="shared" si="1"/>
        <v>90</v>
      </c>
      <c r="C317" s="16">
        <v>20200506</v>
      </c>
      <c r="D317" s="10" t="s">
        <v>476</v>
      </c>
      <c r="E317" s="10" t="s">
        <v>156</v>
      </c>
      <c r="F317" s="10" t="s">
        <v>425</v>
      </c>
      <c r="G317" s="10" t="s">
        <v>261</v>
      </c>
      <c r="H317" s="10">
        <v>1009</v>
      </c>
      <c r="I317" s="10">
        <v>17.93</v>
      </c>
      <c r="J317" s="10" t="s">
        <v>750</v>
      </c>
      <c r="K317" s="22">
        <v>43957</v>
      </c>
      <c r="L317" s="22">
        <v>43964</v>
      </c>
      <c r="M317" s="22">
        <v>43959</v>
      </c>
      <c r="N317" s="22">
        <v>43959</v>
      </c>
      <c r="O317" s="22" t="s">
        <v>482</v>
      </c>
    </row>
    <row r="318" spans="2:15" ht="15" x14ac:dyDescent="0.2">
      <c r="B318" s="18">
        <f t="shared" si="1"/>
        <v>91</v>
      </c>
      <c r="C318" s="16">
        <v>20200506</v>
      </c>
      <c r="D318" s="10" t="s">
        <v>476</v>
      </c>
      <c r="E318" s="10" t="s">
        <v>156</v>
      </c>
      <c r="F318" s="10" t="s">
        <v>425</v>
      </c>
      <c r="G318" s="10" t="s">
        <v>279</v>
      </c>
      <c r="H318" s="10">
        <v>290</v>
      </c>
      <c r="I318" s="10">
        <v>5.15</v>
      </c>
      <c r="J318" s="10" t="s">
        <v>750</v>
      </c>
      <c r="K318" s="22">
        <v>43957</v>
      </c>
      <c r="L318" s="22">
        <v>43964</v>
      </c>
      <c r="M318" s="22">
        <v>43958</v>
      </c>
      <c r="N318" s="22">
        <v>43958</v>
      </c>
      <c r="O318" s="22" t="s">
        <v>482</v>
      </c>
    </row>
    <row r="319" spans="2:15" ht="15" x14ac:dyDescent="0.2">
      <c r="B319" s="18">
        <f t="shared" si="1"/>
        <v>92</v>
      </c>
      <c r="C319" s="16">
        <v>20200506</v>
      </c>
      <c r="D319" s="10" t="s">
        <v>476</v>
      </c>
      <c r="E319" s="10" t="s">
        <v>156</v>
      </c>
      <c r="F319" s="10" t="s">
        <v>425</v>
      </c>
      <c r="G319" s="10" t="s">
        <v>279</v>
      </c>
      <c r="H319" s="10">
        <v>236</v>
      </c>
      <c r="I319" s="10">
        <v>4.1900000000000004</v>
      </c>
      <c r="J319" s="10" t="s">
        <v>750</v>
      </c>
      <c r="K319" s="22">
        <v>43957</v>
      </c>
      <c r="L319" s="22">
        <v>43964</v>
      </c>
      <c r="M319" s="22">
        <v>43958</v>
      </c>
      <c r="N319" s="22">
        <v>43958</v>
      </c>
      <c r="O319" s="22" t="s">
        <v>482</v>
      </c>
    </row>
    <row r="320" spans="2:15" ht="15" x14ac:dyDescent="0.2">
      <c r="B320" s="18">
        <f t="shared" si="1"/>
        <v>93</v>
      </c>
      <c r="C320" s="16">
        <v>20200506</v>
      </c>
      <c r="D320" s="10" t="s">
        <v>476</v>
      </c>
      <c r="E320" s="10" t="s">
        <v>156</v>
      </c>
      <c r="F320" s="10" t="s">
        <v>425</v>
      </c>
      <c r="G320" s="10" t="s">
        <v>260</v>
      </c>
      <c r="H320" s="10">
        <v>588</v>
      </c>
      <c r="I320" s="10">
        <v>10.45</v>
      </c>
      <c r="J320" s="10" t="s">
        <v>750</v>
      </c>
      <c r="K320" s="22">
        <v>43957</v>
      </c>
      <c r="L320" s="22">
        <v>43964</v>
      </c>
      <c r="M320" s="22">
        <v>43958</v>
      </c>
      <c r="N320" s="22">
        <v>43958</v>
      </c>
      <c r="O320" s="22" t="s">
        <v>482</v>
      </c>
    </row>
    <row r="321" spans="2:15" ht="15" x14ac:dyDescent="0.2">
      <c r="B321" s="18">
        <f t="shared" si="1"/>
        <v>94</v>
      </c>
      <c r="C321" s="16">
        <v>20200506</v>
      </c>
      <c r="D321" s="10" t="s">
        <v>476</v>
      </c>
      <c r="E321" s="10" t="s">
        <v>156</v>
      </c>
      <c r="F321" s="10" t="s">
        <v>425</v>
      </c>
      <c r="G321" s="10" t="s">
        <v>219</v>
      </c>
      <c r="H321" s="10">
        <v>2042</v>
      </c>
      <c r="I321" s="10">
        <v>36.299999999999997</v>
      </c>
      <c r="J321" s="10" t="s">
        <v>750</v>
      </c>
      <c r="K321" s="22">
        <v>43957</v>
      </c>
      <c r="L321" s="22">
        <v>43964</v>
      </c>
      <c r="M321" s="22">
        <v>43958</v>
      </c>
      <c r="N321" s="22">
        <v>43959</v>
      </c>
      <c r="O321" s="22" t="s">
        <v>482</v>
      </c>
    </row>
    <row r="322" spans="2:15" ht="15" x14ac:dyDescent="0.2">
      <c r="B322" s="18">
        <f t="shared" si="1"/>
        <v>95</v>
      </c>
      <c r="C322" s="16">
        <v>20200506</v>
      </c>
      <c r="D322" s="10" t="s">
        <v>476</v>
      </c>
      <c r="E322" s="10" t="s">
        <v>156</v>
      </c>
      <c r="F322" s="10" t="s">
        <v>425</v>
      </c>
      <c r="G322" s="10" t="s">
        <v>279</v>
      </c>
      <c r="H322" s="10">
        <v>103</v>
      </c>
      <c r="I322" s="10">
        <v>1.83</v>
      </c>
      <c r="J322" s="10" t="s">
        <v>750</v>
      </c>
      <c r="K322" s="22">
        <v>43957</v>
      </c>
      <c r="L322" s="22">
        <v>43964</v>
      </c>
      <c r="M322" s="22">
        <v>43958</v>
      </c>
      <c r="N322" s="22">
        <v>43958</v>
      </c>
      <c r="O322" s="22" t="s">
        <v>482</v>
      </c>
    </row>
    <row r="323" spans="2:15" ht="15" x14ac:dyDescent="0.2">
      <c r="B323" s="91">
        <f t="shared" si="1"/>
        <v>96</v>
      </c>
      <c r="C323" s="16">
        <v>20200507</v>
      </c>
      <c r="D323" s="10" t="s">
        <v>476</v>
      </c>
      <c r="E323" s="10" t="s">
        <v>406</v>
      </c>
      <c r="F323" s="10" t="s">
        <v>406</v>
      </c>
      <c r="G323" s="10" t="s">
        <v>40</v>
      </c>
      <c r="H323" s="10">
        <v>20</v>
      </c>
      <c r="I323" s="10">
        <v>0.35</v>
      </c>
      <c r="J323" s="10" t="s">
        <v>481</v>
      </c>
      <c r="K323" s="22">
        <v>43958</v>
      </c>
      <c r="L323" s="22">
        <v>43963</v>
      </c>
      <c r="M323" s="22">
        <v>43959</v>
      </c>
      <c r="N323" s="22">
        <v>43959</v>
      </c>
      <c r="O323" s="22" t="s">
        <v>482</v>
      </c>
    </row>
    <row r="324" spans="2:15" ht="15" x14ac:dyDescent="0.2">
      <c r="B324" s="91">
        <f t="shared" si="1"/>
        <v>97</v>
      </c>
      <c r="C324" s="16">
        <v>20200507</v>
      </c>
      <c r="D324" s="10" t="s">
        <v>476</v>
      </c>
      <c r="E324" s="10" t="s">
        <v>406</v>
      </c>
      <c r="F324" s="10" t="s">
        <v>406</v>
      </c>
      <c r="G324" s="10" t="s">
        <v>40</v>
      </c>
      <c r="H324" s="10">
        <v>149</v>
      </c>
      <c r="I324" s="10">
        <v>2.64</v>
      </c>
      <c r="J324" s="10" t="s">
        <v>481</v>
      </c>
      <c r="K324" s="22">
        <v>43958</v>
      </c>
      <c r="L324" s="22">
        <v>43963</v>
      </c>
      <c r="M324" s="22">
        <v>43959</v>
      </c>
      <c r="N324" s="22">
        <v>43959</v>
      </c>
      <c r="O324" s="22" t="s">
        <v>482</v>
      </c>
    </row>
    <row r="325" spans="2:15" ht="15" x14ac:dyDescent="0.2">
      <c r="B325" s="91">
        <f t="shared" si="1"/>
        <v>98</v>
      </c>
      <c r="C325" s="16">
        <v>20200507</v>
      </c>
      <c r="D325" s="10" t="s">
        <v>476</v>
      </c>
      <c r="E325" s="10" t="s">
        <v>406</v>
      </c>
      <c r="F325" s="10" t="s">
        <v>406</v>
      </c>
      <c r="G325" s="10" t="s">
        <v>40</v>
      </c>
      <c r="H325" s="10">
        <v>173</v>
      </c>
      <c r="I325" s="10">
        <v>3.07</v>
      </c>
      <c r="J325" s="10" t="s">
        <v>481</v>
      </c>
      <c r="K325" s="22">
        <v>43958</v>
      </c>
      <c r="L325" s="22">
        <v>43963</v>
      </c>
      <c r="M325" s="22">
        <v>43959</v>
      </c>
      <c r="N325" s="22">
        <v>43959</v>
      </c>
      <c r="O325" s="22" t="s">
        <v>482</v>
      </c>
    </row>
    <row r="326" spans="2:15" ht="15" x14ac:dyDescent="0.2">
      <c r="B326" s="91">
        <f t="shared" si="1"/>
        <v>99</v>
      </c>
      <c r="C326" s="16">
        <v>20200507</v>
      </c>
      <c r="D326" s="10" t="s">
        <v>476</v>
      </c>
      <c r="E326" s="10" t="s">
        <v>398</v>
      </c>
      <c r="F326" s="10" t="s">
        <v>445</v>
      </c>
      <c r="G326" s="10" t="s">
        <v>40</v>
      </c>
      <c r="H326" s="10">
        <v>132</v>
      </c>
      <c r="I326" s="10">
        <v>2.34</v>
      </c>
      <c r="J326" s="10" t="s">
        <v>481</v>
      </c>
      <c r="K326" s="22">
        <v>43958</v>
      </c>
      <c r="L326" s="22">
        <v>43963</v>
      </c>
      <c r="M326" s="22">
        <v>43959</v>
      </c>
      <c r="N326" s="22">
        <v>43959</v>
      </c>
      <c r="O326" s="22" t="s">
        <v>482</v>
      </c>
    </row>
    <row r="327" spans="2:15" ht="15" x14ac:dyDescent="0.2">
      <c r="B327" s="91">
        <f t="shared" si="1"/>
        <v>100</v>
      </c>
      <c r="C327" s="16">
        <v>20200507</v>
      </c>
      <c r="D327" s="10" t="s">
        <v>476</v>
      </c>
      <c r="E327" s="10" t="s">
        <v>398</v>
      </c>
      <c r="F327" s="10" t="s">
        <v>445</v>
      </c>
      <c r="G327" s="10" t="s">
        <v>40</v>
      </c>
      <c r="H327" s="10">
        <v>156</v>
      </c>
      <c r="I327" s="10">
        <v>2.77</v>
      </c>
      <c r="J327" s="10" t="s">
        <v>481</v>
      </c>
      <c r="K327" s="22">
        <v>43958</v>
      </c>
      <c r="L327" s="22">
        <v>43963</v>
      </c>
      <c r="M327" s="22">
        <v>43959</v>
      </c>
      <c r="N327" s="22">
        <v>43959</v>
      </c>
      <c r="O327" s="22" t="s">
        <v>482</v>
      </c>
    </row>
    <row r="328" spans="2:15" ht="15" x14ac:dyDescent="0.2">
      <c r="B328" s="91">
        <f t="shared" si="1"/>
        <v>101</v>
      </c>
      <c r="C328" s="16">
        <v>20200507</v>
      </c>
      <c r="D328" s="10" t="s">
        <v>476</v>
      </c>
      <c r="E328" s="10" t="s">
        <v>398</v>
      </c>
      <c r="F328" s="10" t="s">
        <v>445</v>
      </c>
      <c r="G328" s="10" t="s">
        <v>41</v>
      </c>
      <c r="H328" s="10">
        <v>309</v>
      </c>
      <c r="I328" s="10">
        <v>5.49</v>
      </c>
      <c r="J328" s="10" t="s">
        <v>481</v>
      </c>
      <c r="K328" s="22">
        <v>43958</v>
      </c>
      <c r="L328" s="22">
        <v>43963</v>
      </c>
      <c r="M328" s="22">
        <v>43962</v>
      </c>
      <c r="N328" s="22">
        <v>43962</v>
      </c>
      <c r="O328" s="22" t="s">
        <v>489</v>
      </c>
    </row>
    <row r="329" spans="2:15" ht="15" x14ac:dyDescent="0.2">
      <c r="B329" s="91">
        <f t="shared" si="1"/>
        <v>102</v>
      </c>
      <c r="C329" s="16">
        <v>20200507</v>
      </c>
      <c r="D329" s="10" t="s">
        <v>476</v>
      </c>
      <c r="E329" s="10" t="s">
        <v>398</v>
      </c>
      <c r="F329" s="10" t="s">
        <v>445</v>
      </c>
      <c r="G329" s="10" t="s">
        <v>41</v>
      </c>
      <c r="H329" s="10">
        <v>25</v>
      </c>
      <c r="I329" s="10">
        <v>0.44</v>
      </c>
      <c r="J329" s="10" t="s">
        <v>481</v>
      </c>
      <c r="K329" s="22">
        <v>43958</v>
      </c>
      <c r="L329" s="22">
        <v>43963</v>
      </c>
      <c r="M329" s="22">
        <v>43962</v>
      </c>
      <c r="N329" s="22">
        <v>43962</v>
      </c>
      <c r="O329" s="22" t="s">
        <v>482</v>
      </c>
    </row>
    <row r="330" spans="2:15" ht="15" x14ac:dyDescent="0.2">
      <c r="B330" s="91">
        <f t="shared" si="1"/>
        <v>103</v>
      </c>
      <c r="C330" s="16">
        <v>20200507</v>
      </c>
      <c r="D330" s="10" t="s">
        <v>476</v>
      </c>
      <c r="E330" s="10" t="s">
        <v>398</v>
      </c>
      <c r="F330" s="10" t="s">
        <v>445</v>
      </c>
      <c r="G330" s="10" t="s">
        <v>41</v>
      </c>
      <c r="H330" s="10">
        <v>215</v>
      </c>
      <c r="I330" s="10">
        <v>3.82</v>
      </c>
      <c r="J330" s="10" t="s">
        <v>481</v>
      </c>
      <c r="K330" s="22">
        <v>43958</v>
      </c>
      <c r="L330" s="22">
        <v>43963</v>
      </c>
      <c r="M330" s="22">
        <v>43962</v>
      </c>
      <c r="N330" s="22">
        <v>43962</v>
      </c>
      <c r="O330" s="22" t="s">
        <v>482</v>
      </c>
    </row>
    <row r="331" spans="2:15" ht="15" x14ac:dyDescent="0.2">
      <c r="B331" s="91">
        <f t="shared" si="1"/>
        <v>104</v>
      </c>
      <c r="C331" s="16">
        <v>20200507</v>
      </c>
      <c r="D331" s="10" t="s">
        <v>476</v>
      </c>
      <c r="E331" s="10" t="s">
        <v>398</v>
      </c>
      <c r="F331" s="10" t="s">
        <v>445</v>
      </c>
      <c r="G331" s="10" t="s">
        <v>4</v>
      </c>
      <c r="H331" s="10">
        <v>1703</v>
      </c>
      <c r="I331" s="10">
        <v>30.27</v>
      </c>
      <c r="J331" s="10" t="s">
        <v>481</v>
      </c>
      <c r="K331" s="22">
        <v>43958</v>
      </c>
      <c r="L331" s="22">
        <v>43963</v>
      </c>
      <c r="M331" s="22">
        <v>43959</v>
      </c>
      <c r="N331" s="22">
        <v>43962</v>
      </c>
      <c r="O331" s="22" t="s">
        <v>482</v>
      </c>
    </row>
    <row r="332" spans="2:15" ht="15" x14ac:dyDescent="0.2">
      <c r="B332" s="91">
        <f t="shared" si="1"/>
        <v>105</v>
      </c>
      <c r="C332" s="16">
        <v>20200507</v>
      </c>
      <c r="D332" s="10" t="s">
        <v>476</v>
      </c>
      <c r="E332" s="10" t="s">
        <v>139</v>
      </c>
      <c r="F332" s="10" t="s">
        <v>423</v>
      </c>
      <c r="G332" s="10" t="s">
        <v>15</v>
      </c>
      <c r="H332" s="10">
        <v>1193</v>
      </c>
      <c r="I332" s="10">
        <v>21.2</v>
      </c>
      <c r="J332" s="10" t="s">
        <v>481</v>
      </c>
      <c r="K332" s="22">
        <v>43958</v>
      </c>
      <c r="L332" s="22">
        <v>43963</v>
      </c>
      <c r="M332" s="22">
        <v>43959</v>
      </c>
      <c r="N332" s="22">
        <v>43959</v>
      </c>
      <c r="O332" s="22" t="s">
        <v>482</v>
      </c>
    </row>
    <row r="333" spans="2:15" ht="15" x14ac:dyDescent="0.2">
      <c r="B333" s="93">
        <f t="shared" si="1"/>
        <v>106</v>
      </c>
      <c r="C333" s="94">
        <v>20200508</v>
      </c>
      <c r="D333" s="94" t="s">
        <v>476</v>
      </c>
      <c r="E333" s="94" t="s">
        <v>407</v>
      </c>
      <c r="F333" s="94" t="s">
        <v>407</v>
      </c>
      <c r="G333" s="94"/>
      <c r="H333" s="94"/>
      <c r="I333" s="94"/>
      <c r="J333" s="94"/>
      <c r="K333" s="97">
        <v>43959</v>
      </c>
      <c r="L333" s="97">
        <v>43965</v>
      </c>
      <c r="M333" s="97"/>
      <c r="N333" s="97"/>
      <c r="O333" s="97"/>
    </row>
    <row r="334" spans="2:15" ht="15" x14ac:dyDescent="0.2">
      <c r="B334" s="93">
        <f t="shared" si="1"/>
        <v>107</v>
      </c>
      <c r="C334" s="94">
        <v>20200508</v>
      </c>
      <c r="D334" s="94" t="s">
        <v>476</v>
      </c>
      <c r="E334" s="94" t="s">
        <v>407</v>
      </c>
      <c r="F334" s="94" t="s">
        <v>407</v>
      </c>
      <c r="G334" s="94"/>
      <c r="H334" s="94"/>
      <c r="I334" s="94"/>
      <c r="J334" s="94"/>
      <c r="K334" s="97">
        <v>43959</v>
      </c>
      <c r="L334" s="97">
        <v>43965</v>
      </c>
      <c r="M334" s="97"/>
      <c r="N334" s="97"/>
      <c r="O334" s="97"/>
    </row>
    <row r="335" spans="2:15" ht="15" x14ac:dyDescent="0.2">
      <c r="B335" s="93">
        <f t="shared" si="1"/>
        <v>108</v>
      </c>
      <c r="C335" s="94">
        <v>20200508</v>
      </c>
      <c r="D335" s="94" t="s">
        <v>476</v>
      </c>
      <c r="E335" s="94" t="s">
        <v>407</v>
      </c>
      <c r="F335" s="94" t="s">
        <v>407</v>
      </c>
      <c r="G335" s="94"/>
      <c r="H335" s="94"/>
      <c r="I335" s="94"/>
      <c r="J335" s="94"/>
      <c r="K335" s="97">
        <v>43959</v>
      </c>
      <c r="L335" s="97">
        <v>43965</v>
      </c>
      <c r="M335" s="97">
        <v>43963</v>
      </c>
      <c r="N335" s="97">
        <v>43963</v>
      </c>
      <c r="O335" s="97" t="s">
        <v>482</v>
      </c>
    </row>
    <row r="336" spans="2:15" ht="15" x14ac:dyDescent="0.2">
      <c r="B336" s="93">
        <f t="shared" si="1"/>
        <v>109</v>
      </c>
      <c r="C336" s="94">
        <v>20200508</v>
      </c>
      <c r="D336" s="94" t="s">
        <v>476</v>
      </c>
      <c r="E336" s="94" t="s">
        <v>407</v>
      </c>
      <c r="F336" s="94" t="s">
        <v>407</v>
      </c>
      <c r="G336" s="94"/>
      <c r="H336" s="94"/>
      <c r="I336" s="94"/>
      <c r="J336" s="94"/>
      <c r="K336" s="97">
        <v>43959</v>
      </c>
      <c r="L336" s="97">
        <v>43965</v>
      </c>
      <c r="M336" s="97"/>
      <c r="N336" s="97"/>
      <c r="O336" s="97"/>
    </row>
    <row r="337" spans="2:15" ht="15" x14ac:dyDescent="0.2">
      <c r="B337" s="93">
        <f t="shared" si="1"/>
        <v>110</v>
      </c>
      <c r="C337" s="94">
        <v>20200508</v>
      </c>
      <c r="D337" s="94" t="s">
        <v>476</v>
      </c>
      <c r="E337" s="94" t="s">
        <v>407</v>
      </c>
      <c r="F337" s="94" t="s">
        <v>407</v>
      </c>
      <c r="G337" s="94"/>
      <c r="H337" s="94"/>
      <c r="I337" s="94"/>
      <c r="J337" s="94"/>
      <c r="K337" s="97">
        <v>43959</v>
      </c>
      <c r="L337" s="97">
        <v>43965</v>
      </c>
      <c r="M337" s="97"/>
      <c r="N337" s="97"/>
      <c r="O337" s="97"/>
    </row>
    <row r="338" spans="2:15" ht="15" x14ac:dyDescent="0.2">
      <c r="B338" s="93">
        <f t="shared" si="1"/>
        <v>111</v>
      </c>
      <c r="C338" s="94">
        <v>20200508</v>
      </c>
      <c r="D338" s="94" t="s">
        <v>476</v>
      </c>
      <c r="E338" s="94" t="s">
        <v>407</v>
      </c>
      <c r="F338" s="94" t="s">
        <v>407</v>
      </c>
      <c r="G338" s="94"/>
      <c r="H338" s="94"/>
      <c r="I338" s="94"/>
      <c r="J338" s="94"/>
      <c r="K338" s="97">
        <v>43959</v>
      </c>
      <c r="L338" s="97">
        <v>43965</v>
      </c>
      <c r="M338" s="97"/>
      <c r="N338" s="97"/>
      <c r="O338" s="97"/>
    </row>
    <row r="339" spans="2:15" ht="15" x14ac:dyDescent="0.2">
      <c r="B339" s="93">
        <f t="shared" si="1"/>
        <v>112</v>
      </c>
      <c r="C339" s="94">
        <v>20200508</v>
      </c>
      <c r="D339" s="94" t="s">
        <v>476</v>
      </c>
      <c r="E339" s="94" t="s">
        <v>407</v>
      </c>
      <c r="F339" s="94" t="s">
        <v>407</v>
      </c>
      <c r="G339" s="94"/>
      <c r="H339" s="94"/>
      <c r="I339" s="94"/>
      <c r="J339" s="94"/>
      <c r="K339" s="97">
        <v>43959</v>
      </c>
      <c r="L339" s="97">
        <v>43965</v>
      </c>
      <c r="M339" s="97">
        <v>43963</v>
      </c>
      <c r="N339" s="97">
        <v>43963</v>
      </c>
      <c r="O339" s="97" t="s">
        <v>489</v>
      </c>
    </row>
    <row r="340" spans="2:15" ht="15" x14ac:dyDescent="0.2">
      <c r="B340" s="93">
        <f t="shared" si="1"/>
        <v>113</v>
      </c>
      <c r="C340" s="94">
        <v>20200508</v>
      </c>
      <c r="D340" s="94" t="s">
        <v>476</v>
      </c>
      <c r="E340" s="94" t="s">
        <v>407</v>
      </c>
      <c r="F340" s="94" t="s">
        <v>407</v>
      </c>
      <c r="G340" s="94"/>
      <c r="H340" s="94"/>
      <c r="I340" s="94"/>
      <c r="J340" s="94"/>
      <c r="K340" s="97">
        <v>43959</v>
      </c>
      <c r="L340" s="97">
        <v>43965</v>
      </c>
      <c r="M340" s="97"/>
      <c r="N340" s="97"/>
      <c r="O340" s="97"/>
    </row>
    <row r="341" spans="2:15" ht="15" x14ac:dyDescent="0.2">
      <c r="B341" s="93">
        <f t="shared" si="1"/>
        <v>114</v>
      </c>
      <c r="C341" s="94">
        <v>20200508</v>
      </c>
      <c r="D341" s="94" t="s">
        <v>476</v>
      </c>
      <c r="E341" s="94" t="s">
        <v>407</v>
      </c>
      <c r="F341" s="94" t="s">
        <v>407</v>
      </c>
      <c r="G341" s="94"/>
      <c r="H341" s="94"/>
      <c r="I341" s="94"/>
      <c r="J341" s="94"/>
      <c r="K341" s="97">
        <v>43959</v>
      </c>
      <c r="L341" s="97">
        <v>43965</v>
      </c>
      <c r="M341" s="97"/>
      <c r="N341" s="97"/>
      <c r="O341" s="97"/>
    </row>
    <row r="342" spans="2:15" ht="15" x14ac:dyDescent="0.2">
      <c r="B342" s="35">
        <f t="shared" si="1"/>
        <v>115</v>
      </c>
      <c r="C342" s="16">
        <v>20200508</v>
      </c>
      <c r="D342" s="10" t="s">
        <v>476</v>
      </c>
      <c r="E342" s="10" t="s">
        <v>407</v>
      </c>
      <c r="F342" s="10" t="s">
        <v>407</v>
      </c>
      <c r="G342" s="10" t="s">
        <v>41</v>
      </c>
      <c r="H342" s="10">
        <v>107</v>
      </c>
      <c r="I342" s="10">
        <v>1.9</v>
      </c>
      <c r="J342" s="10" t="s">
        <v>823</v>
      </c>
      <c r="K342" s="22">
        <v>43959</v>
      </c>
      <c r="L342" s="22">
        <v>43965</v>
      </c>
      <c r="M342" s="22">
        <v>43962</v>
      </c>
      <c r="N342" s="22">
        <v>43962</v>
      </c>
      <c r="O342" s="22" t="s">
        <v>482</v>
      </c>
    </row>
    <row r="343" spans="2:15" ht="15" x14ac:dyDescent="0.2">
      <c r="B343" s="93">
        <f t="shared" si="1"/>
        <v>116</v>
      </c>
      <c r="C343" s="94">
        <v>20200508</v>
      </c>
      <c r="D343" s="94" t="s">
        <v>476</v>
      </c>
      <c r="E343" s="94" t="s">
        <v>407</v>
      </c>
      <c r="F343" s="94" t="s">
        <v>407</v>
      </c>
      <c r="G343" s="94"/>
      <c r="H343" s="94"/>
      <c r="I343" s="94"/>
      <c r="J343" s="94"/>
      <c r="K343" s="97">
        <v>43959</v>
      </c>
      <c r="L343" s="97">
        <v>43965</v>
      </c>
      <c r="M343" s="97"/>
      <c r="N343" s="97"/>
      <c r="O343" s="97"/>
    </row>
    <row r="344" spans="2:15" ht="15" x14ac:dyDescent="0.2">
      <c r="B344" s="93">
        <f t="shared" si="1"/>
        <v>117</v>
      </c>
      <c r="C344" s="94">
        <v>20200508</v>
      </c>
      <c r="D344" s="94" t="s">
        <v>476</v>
      </c>
      <c r="E344" s="94" t="s">
        <v>407</v>
      </c>
      <c r="F344" s="94" t="s">
        <v>407</v>
      </c>
      <c r="G344" s="94"/>
      <c r="H344" s="94"/>
      <c r="I344" s="94"/>
      <c r="J344" s="94"/>
      <c r="K344" s="97">
        <v>43959</v>
      </c>
      <c r="L344" s="97">
        <v>43965</v>
      </c>
      <c r="M344" s="97"/>
      <c r="N344" s="97"/>
      <c r="O344" s="97"/>
    </row>
    <row r="345" spans="2:15" ht="15" x14ac:dyDescent="0.2">
      <c r="B345" s="93">
        <f t="shared" si="1"/>
        <v>118</v>
      </c>
      <c r="C345" s="94">
        <v>20200508</v>
      </c>
      <c r="D345" s="94" t="s">
        <v>476</v>
      </c>
      <c r="E345" s="94" t="s">
        <v>407</v>
      </c>
      <c r="F345" s="94" t="s">
        <v>407</v>
      </c>
      <c r="G345" s="94"/>
      <c r="H345" s="94"/>
      <c r="I345" s="94"/>
      <c r="J345" s="94"/>
      <c r="K345" s="97">
        <v>43959</v>
      </c>
      <c r="L345" s="97">
        <v>43965</v>
      </c>
      <c r="M345" s="97"/>
      <c r="N345" s="97"/>
      <c r="O345" s="97"/>
    </row>
    <row r="346" spans="2:15" ht="15" x14ac:dyDescent="0.2">
      <c r="B346" s="93">
        <f t="shared" si="1"/>
        <v>119</v>
      </c>
      <c r="C346" s="94">
        <v>20200508</v>
      </c>
      <c r="D346" s="94" t="s">
        <v>476</v>
      </c>
      <c r="E346" s="94" t="s">
        <v>407</v>
      </c>
      <c r="F346" s="94" t="s">
        <v>407</v>
      </c>
      <c r="G346" s="94"/>
      <c r="H346" s="94"/>
      <c r="I346" s="94"/>
      <c r="J346" s="94"/>
      <c r="K346" s="97">
        <v>43959</v>
      </c>
      <c r="L346" s="97">
        <v>43965</v>
      </c>
      <c r="M346" s="97"/>
      <c r="N346" s="97"/>
      <c r="O346" s="97"/>
    </row>
    <row r="347" spans="2:15" ht="15" x14ac:dyDescent="0.2">
      <c r="B347" s="93">
        <f t="shared" si="1"/>
        <v>120</v>
      </c>
      <c r="C347" s="94">
        <v>20200508</v>
      </c>
      <c r="D347" s="94" t="s">
        <v>476</v>
      </c>
      <c r="E347" s="94" t="s">
        <v>407</v>
      </c>
      <c r="F347" s="94" t="s">
        <v>407</v>
      </c>
      <c r="G347" s="94"/>
      <c r="H347" s="94"/>
      <c r="I347" s="94"/>
      <c r="J347" s="94"/>
      <c r="K347" s="97">
        <v>43959</v>
      </c>
      <c r="L347" s="97">
        <v>43965</v>
      </c>
      <c r="M347" s="97"/>
      <c r="N347" s="97"/>
      <c r="O347" s="97"/>
    </row>
    <row r="348" spans="2:15" ht="15" x14ac:dyDescent="0.2">
      <c r="B348" s="35">
        <f t="shared" si="1"/>
        <v>121</v>
      </c>
      <c r="C348" s="16">
        <v>20200508</v>
      </c>
      <c r="D348" s="10" t="s">
        <v>476</v>
      </c>
      <c r="E348" s="10" t="s">
        <v>404</v>
      </c>
      <c r="F348" s="10" t="s">
        <v>449</v>
      </c>
      <c r="G348" s="10" t="s">
        <v>4</v>
      </c>
      <c r="H348" s="10">
        <v>1009</v>
      </c>
      <c r="I348" s="10">
        <v>17.93</v>
      </c>
      <c r="J348" s="10" t="s">
        <v>481</v>
      </c>
      <c r="K348" s="103">
        <v>43959</v>
      </c>
      <c r="L348" s="103">
        <v>43962</v>
      </c>
      <c r="M348" s="22">
        <v>43963</v>
      </c>
      <c r="N348" s="22">
        <v>43963</v>
      </c>
      <c r="O348" s="22" t="s">
        <v>482</v>
      </c>
    </row>
    <row r="349" spans="2:15" ht="15" x14ac:dyDescent="0.2">
      <c r="B349" s="35">
        <f t="shared" si="1"/>
        <v>122</v>
      </c>
      <c r="C349" s="16">
        <v>20200508</v>
      </c>
      <c r="D349" s="10" t="s">
        <v>476</v>
      </c>
      <c r="E349" s="10" t="s">
        <v>404</v>
      </c>
      <c r="F349" s="10" t="s">
        <v>449</v>
      </c>
      <c r="G349" s="10" t="s">
        <v>40</v>
      </c>
      <c r="H349" s="10">
        <v>90</v>
      </c>
      <c r="I349" s="10">
        <v>1.6</v>
      </c>
      <c r="J349" s="10" t="s">
        <v>481</v>
      </c>
      <c r="K349" s="103">
        <v>43959</v>
      </c>
      <c r="L349" s="103">
        <v>43962</v>
      </c>
      <c r="M349" s="22">
        <v>43963</v>
      </c>
      <c r="N349" s="22">
        <v>43963</v>
      </c>
      <c r="O349" s="22" t="s">
        <v>482</v>
      </c>
    </row>
    <row r="350" spans="2:15" ht="15" x14ac:dyDescent="0.2">
      <c r="B350" s="35">
        <f t="shared" si="1"/>
        <v>123</v>
      </c>
      <c r="C350" s="16">
        <v>20200508</v>
      </c>
      <c r="D350" s="10" t="s">
        <v>476</v>
      </c>
      <c r="E350" s="10" t="s">
        <v>408</v>
      </c>
      <c r="F350" s="10" t="s">
        <v>451</v>
      </c>
      <c r="G350" s="10" t="s">
        <v>40</v>
      </c>
      <c r="H350" s="10">
        <v>36</v>
      </c>
      <c r="I350" s="10">
        <v>0.64</v>
      </c>
      <c r="J350" s="10" t="s">
        <v>481</v>
      </c>
      <c r="K350" s="103">
        <v>43959</v>
      </c>
      <c r="L350" s="103">
        <v>43962</v>
      </c>
      <c r="M350" s="22">
        <v>43963</v>
      </c>
      <c r="N350" s="22">
        <v>43963</v>
      </c>
      <c r="O350" s="22" t="s">
        <v>482</v>
      </c>
    </row>
    <row r="351" spans="2:15" ht="15" x14ac:dyDescent="0.2">
      <c r="B351" s="35">
        <f t="shared" si="1"/>
        <v>124</v>
      </c>
      <c r="C351" s="16">
        <v>20200508</v>
      </c>
      <c r="D351" s="10" t="s">
        <v>476</v>
      </c>
      <c r="E351" s="10" t="s">
        <v>408</v>
      </c>
      <c r="F351" s="10" t="s">
        <v>451</v>
      </c>
      <c r="G351" s="10" t="s">
        <v>41</v>
      </c>
      <c r="H351" s="10">
        <v>236</v>
      </c>
      <c r="I351" s="10">
        <v>4.1900000000000004</v>
      </c>
      <c r="J351" s="10" t="s">
        <v>481</v>
      </c>
      <c r="K351" s="103">
        <v>43959</v>
      </c>
      <c r="L351" s="103">
        <v>43962</v>
      </c>
      <c r="M351" s="22">
        <v>43963</v>
      </c>
      <c r="N351" s="22">
        <v>43963</v>
      </c>
      <c r="O351" s="22" t="s">
        <v>482</v>
      </c>
    </row>
    <row r="352" spans="2:15" ht="15" x14ac:dyDescent="0.2">
      <c r="B352" s="35">
        <f t="shared" si="1"/>
        <v>125</v>
      </c>
      <c r="C352" s="16">
        <v>20200508</v>
      </c>
      <c r="D352" s="10" t="s">
        <v>476</v>
      </c>
      <c r="E352" s="10" t="s">
        <v>409</v>
      </c>
      <c r="F352" s="10" t="s">
        <v>428</v>
      </c>
      <c r="G352" s="10" t="s">
        <v>40</v>
      </c>
      <c r="H352" s="10">
        <v>63</v>
      </c>
      <c r="I352" s="10">
        <v>1.1200000000000001</v>
      </c>
      <c r="J352" s="10" t="s">
        <v>481</v>
      </c>
      <c r="K352" s="103">
        <v>43959</v>
      </c>
      <c r="L352" s="103">
        <v>43962</v>
      </c>
      <c r="M352" s="22">
        <v>43963</v>
      </c>
      <c r="N352" s="22">
        <v>43963</v>
      </c>
      <c r="O352" s="22" t="s">
        <v>482</v>
      </c>
    </row>
    <row r="353" spans="2:15" ht="15" x14ac:dyDescent="0.2">
      <c r="B353" s="29">
        <f t="shared" si="1"/>
        <v>126</v>
      </c>
      <c r="C353" s="16">
        <v>20200511</v>
      </c>
      <c r="D353" s="10" t="s">
        <v>797</v>
      </c>
      <c r="E353" s="10" t="s">
        <v>1001</v>
      </c>
      <c r="F353" s="10" t="s">
        <v>216</v>
      </c>
      <c r="G353" s="10" t="s">
        <v>40</v>
      </c>
      <c r="H353" s="10">
        <v>23</v>
      </c>
      <c r="I353" s="10">
        <v>1.41</v>
      </c>
      <c r="J353" s="10"/>
      <c r="K353" s="22">
        <v>43962</v>
      </c>
      <c r="L353" s="22">
        <v>43966</v>
      </c>
      <c r="M353" s="22"/>
      <c r="N353" s="22"/>
      <c r="O353" s="22"/>
    </row>
    <row r="354" spans="2:15" ht="15" x14ac:dyDescent="0.2">
      <c r="B354" s="29">
        <f t="shared" si="1"/>
        <v>127</v>
      </c>
      <c r="C354" s="16">
        <v>20200511</v>
      </c>
      <c r="D354" s="10" t="s">
        <v>797</v>
      </c>
      <c r="E354" s="10" t="s">
        <v>1001</v>
      </c>
      <c r="F354" s="10" t="s">
        <v>216</v>
      </c>
      <c r="G354" s="10" t="s">
        <v>40</v>
      </c>
      <c r="H354" s="10">
        <v>23</v>
      </c>
      <c r="I354" s="10">
        <v>1.41</v>
      </c>
      <c r="J354" s="10"/>
      <c r="K354" s="22">
        <v>43962</v>
      </c>
      <c r="L354" s="22">
        <v>43966</v>
      </c>
      <c r="M354" s="22"/>
      <c r="N354" s="22"/>
      <c r="O354" s="22"/>
    </row>
    <row r="355" spans="2:15" ht="15" x14ac:dyDescent="0.2">
      <c r="B355" s="29">
        <f t="shared" si="1"/>
        <v>128</v>
      </c>
      <c r="C355" s="16">
        <v>20200511</v>
      </c>
      <c r="D355" s="10" t="s">
        <v>797</v>
      </c>
      <c r="E355" s="10" t="s">
        <v>1001</v>
      </c>
      <c r="F355" s="10" t="s">
        <v>216</v>
      </c>
      <c r="G355" s="10" t="s">
        <v>40</v>
      </c>
      <c r="H355" s="10">
        <v>51</v>
      </c>
      <c r="I355" s="10">
        <v>3.13</v>
      </c>
      <c r="J355" s="10"/>
      <c r="K355" s="22">
        <v>43962</v>
      </c>
      <c r="L355" s="22">
        <v>43966</v>
      </c>
      <c r="M355" s="22"/>
      <c r="N355" s="22"/>
      <c r="O355" s="22"/>
    </row>
    <row r="356" spans="2:15" ht="15" x14ac:dyDescent="0.2">
      <c r="B356" s="29">
        <f t="shared" si="1"/>
        <v>129</v>
      </c>
      <c r="C356" s="16">
        <v>20200511</v>
      </c>
      <c r="D356" s="10" t="s">
        <v>476</v>
      </c>
      <c r="E356" s="10" t="s">
        <v>1010</v>
      </c>
      <c r="F356" s="10" t="s">
        <v>1010</v>
      </c>
      <c r="G356" s="10" t="s">
        <v>41</v>
      </c>
      <c r="H356" s="10">
        <v>134</v>
      </c>
      <c r="I356" s="10">
        <v>2.38</v>
      </c>
      <c r="J356" s="10"/>
      <c r="K356" s="22">
        <v>43962</v>
      </c>
      <c r="L356" s="22">
        <v>43966</v>
      </c>
      <c r="M356" s="22"/>
      <c r="N356" s="22"/>
      <c r="O356" s="22"/>
    </row>
    <row r="357" spans="2:15" ht="15" x14ac:dyDescent="0.2">
      <c r="B357" s="29">
        <f t="shared" ref="B357:B371" si="2">B356+1</f>
        <v>130</v>
      </c>
      <c r="C357" s="16">
        <v>20200511</v>
      </c>
      <c r="D357" s="10" t="s">
        <v>476</v>
      </c>
      <c r="E357" s="10" t="s">
        <v>1010</v>
      </c>
      <c r="F357" s="10" t="s">
        <v>1010</v>
      </c>
      <c r="G357" s="10" t="s">
        <v>41</v>
      </c>
      <c r="H357" s="10">
        <v>200</v>
      </c>
      <c r="I357" s="10">
        <v>3.55</v>
      </c>
      <c r="J357" s="10"/>
      <c r="K357" s="22">
        <v>43962</v>
      </c>
      <c r="L357" s="22">
        <v>43966</v>
      </c>
      <c r="M357" s="22"/>
      <c r="N357" s="22"/>
      <c r="O357" s="22"/>
    </row>
    <row r="358" spans="2:15" ht="15" x14ac:dyDescent="0.2">
      <c r="B358" s="29">
        <f t="shared" si="2"/>
        <v>131</v>
      </c>
      <c r="C358" s="16">
        <v>20200511</v>
      </c>
      <c r="D358" s="10" t="s">
        <v>476</v>
      </c>
      <c r="E358" s="10" t="s">
        <v>1010</v>
      </c>
      <c r="F358" s="10" t="s">
        <v>1010</v>
      </c>
      <c r="G358" s="10" t="s">
        <v>41</v>
      </c>
      <c r="H358" s="10">
        <v>145</v>
      </c>
      <c r="I358" s="10">
        <v>2.57</v>
      </c>
      <c r="J358" s="10"/>
      <c r="K358" s="22">
        <v>43962</v>
      </c>
      <c r="L358" s="22">
        <v>43966</v>
      </c>
      <c r="M358" s="22"/>
      <c r="N358" s="22"/>
      <c r="O358" s="22"/>
    </row>
    <row r="359" spans="2:15" ht="15" x14ac:dyDescent="0.2">
      <c r="B359" s="29">
        <f t="shared" si="2"/>
        <v>132</v>
      </c>
      <c r="C359" s="16">
        <v>20200511</v>
      </c>
      <c r="D359" s="10" t="s">
        <v>476</v>
      </c>
      <c r="E359" s="10" t="s">
        <v>1010</v>
      </c>
      <c r="F359" s="10" t="s">
        <v>1010</v>
      </c>
      <c r="G359" s="10" t="s">
        <v>41</v>
      </c>
      <c r="H359" s="10">
        <v>124</v>
      </c>
      <c r="I359" s="10">
        <v>2.2000000000000002</v>
      </c>
      <c r="J359" s="10"/>
      <c r="K359" s="22">
        <v>43962</v>
      </c>
      <c r="L359" s="22">
        <v>43966</v>
      </c>
      <c r="M359" s="22"/>
      <c r="N359" s="22"/>
      <c r="O359" s="22"/>
    </row>
    <row r="360" spans="2:15" ht="15" x14ac:dyDescent="0.2">
      <c r="B360" s="29">
        <f t="shared" si="2"/>
        <v>133</v>
      </c>
      <c r="C360" s="16">
        <v>20200511</v>
      </c>
      <c r="D360" s="10" t="s">
        <v>476</v>
      </c>
      <c r="E360" s="10" t="s">
        <v>1010</v>
      </c>
      <c r="F360" s="10" t="s">
        <v>1010</v>
      </c>
      <c r="G360" s="10" t="s">
        <v>41</v>
      </c>
      <c r="H360" s="10">
        <v>154</v>
      </c>
      <c r="I360" s="10">
        <v>2.73</v>
      </c>
      <c r="J360" s="10"/>
      <c r="K360" s="22">
        <v>43962</v>
      </c>
      <c r="L360" s="22">
        <v>43966</v>
      </c>
      <c r="M360" s="22"/>
      <c r="N360" s="22"/>
      <c r="O360" s="22"/>
    </row>
    <row r="361" spans="2:15" ht="15" x14ac:dyDescent="0.2">
      <c r="B361" s="29">
        <f t="shared" si="2"/>
        <v>134</v>
      </c>
      <c r="C361" s="16">
        <v>20200511</v>
      </c>
      <c r="D361" s="10" t="s">
        <v>476</v>
      </c>
      <c r="E361" s="10" t="s">
        <v>1010</v>
      </c>
      <c r="F361" s="10" t="s">
        <v>1010</v>
      </c>
      <c r="G361" s="10" t="s">
        <v>41</v>
      </c>
      <c r="H361" s="10">
        <v>71</v>
      </c>
      <c r="I361" s="10">
        <v>1.26</v>
      </c>
      <c r="J361" s="10"/>
      <c r="K361" s="22">
        <v>43962</v>
      </c>
      <c r="L361" s="22">
        <v>43966</v>
      </c>
      <c r="M361" s="22"/>
      <c r="N361" s="22"/>
      <c r="O361" s="22"/>
    </row>
    <row r="362" spans="2:15" ht="15" x14ac:dyDescent="0.2">
      <c r="B362" s="29">
        <f t="shared" si="2"/>
        <v>135</v>
      </c>
      <c r="C362" s="16">
        <v>20200511</v>
      </c>
      <c r="D362" s="10" t="s">
        <v>476</v>
      </c>
      <c r="E362" s="10" t="s">
        <v>1010</v>
      </c>
      <c r="F362" s="10" t="s">
        <v>1010</v>
      </c>
      <c r="G362" s="10" t="s">
        <v>41</v>
      </c>
      <c r="H362" s="10">
        <v>39</v>
      </c>
      <c r="I362" s="10">
        <v>0.69</v>
      </c>
      <c r="J362" s="10"/>
      <c r="K362" s="22">
        <v>43962</v>
      </c>
      <c r="L362" s="22">
        <v>43966</v>
      </c>
      <c r="M362" s="22"/>
      <c r="N362" s="22"/>
      <c r="O362" s="22"/>
    </row>
    <row r="363" spans="2:15" ht="15" x14ac:dyDescent="0.2">
      <c r="B363" s="29">
        <f t="shared" si="2"/>
        <v>136</v>
      </c>
      <c r="C363" s="16">
        <v>20200511</v>
      </c>
      <c r="D363" s="10" t="s">
        <v>476</v>
      </c>
      <c r="E363" s="10" t="s">
        <v>1010</v>
      </c>
      <c r="F363" s="10" t="s">
        <v>1010</v>
      </c>
      <c r="G363" s="10" t="s">
        <v>41</v>
      </c>
      <c r="H363" s="10">
        <v>82</v>
      </c>
      <c r="I363" s="10">
        <v>1.45</v>
      </c>
      <c r="J363" s="10"/>
      <c r="K363" s="22">
        <v>43962</v>
      </c>
      <c r="L363" s="22">
        <v>43966</v>
      </c>
      <c r="M363" s="22"/>
      <c r="N363" s="22"/>
      <c r="O363" s="22"/>
    </row>
    <row r="364" spans="2:15" ht="15" x14ac:dyDescent="0.2">
      <c r="B364" s="29">
        <f t="shared" si="2"/>
        <v>137</v>
      </c>
      <c r="C364" s="16">
        <v>20200511</v>
      </c>
      <c r="D364" s="10" t="s">
        <v>476</v>
      </c>
      <c r="E364" s="10" t="s">
        <v>1010</v>
      </c>
      <c r="F364" s="10" t="s">
        <v>1010</v>
      </c>
      <c r="G364" s="10" t="s">
        <v>41</v>
      </c>
      <c r="H364" s="10">
        <v>54</v>
      </c>
      <c r="I364" s="10">
        <v>0.96</v>
      </c>
      <c r="J364" s="10"/>
      <c r="K364" s="22">
        <v>43962</v>
      </c>
      <c r="L364" s="22">
        <v>43966</v>
      </c>
      <c r="M364" s="22"/>
      <c r="N364" s="22"/>
      <c r="O364" s="22"/>
    </row>
    <row r="365" spans="2:15" ht="15" x14ac:dyDescent="0.2">
      <c r="B365" s="29">
        <f t="shared" si="2"/>
        <v>138</v>
      </c>
      <c r="C365" s="16">
        <v>20200511</v>
      </c>
      <c r="D365" s="10" t="s">
        <v>476</v>
      </c>
      <c r="E365" s="10" t="s">
        <v>1010</v>
      </c>
      <c r="F365" s="10" t="s">
        <v>1010</v>
      </c>
      <c r="G365" s="10" t="s">
        <v>41</v>
      </c>
      <c r="H365" s="10">
        <v>109</v>
      </c>
      <c r="I365" s="10">
        <v>1.93</v>
      </c>
      <c r="J365" s="10"/>
      <c r="K365" s="22">
        <v>43962</v>
      </c>
      <c r="L365" s="22">
        <v>43966</v>
      </c>
      <c r="M365" s="22"/>
      <c r="N365" s="22"/>
      <c r="O365" s="22"/>
    </row>
    <row r="366" spans="2:15" ht="15" x14ac:dyDescent="0.2">
      <c r="B366" s="29">
        <f t="shared" si="2"/>
        <v>139</v>
      </c>
      <c r="C366" s="16">
        <v>20200511</v>
      </c>
      <c r="D366" s="10" t="s">
        <v>476</v>
      </c>
      <c r="E366" s="10" t="s">
        <v>1010</v>
      </c>
      <c r="F366" s="10" t="s">
        <v>1010</v>
      </c>
      <c r="G366" s="10" t="s">
        <v>41</v>
      </c>
      <c r="H366" s="10">
        <v>255</v>
      </c>
      <c r="I366" s="10">
        <v>4.53</v>
      </c>
      <c r="J366" s="10"/>
      <c r="K366" s="22">
        <v>43962</v>
      </c>
      <c r="L366" s="22">
        <v>43966</v>
      </c>
      <c r="M366" s="22"/>
      <c r="N366" s="22"/>
      <c r="O366" s="22"/>
    </row>
    <row r="367" spans="2:15" ht="15" x14ac:dyDescent="0.2">
      <c r="B367" s="29">
        <f t="shared" si="2"/>
        <v>140</v>
      </c>
      <c r="C367" s="16">
        <v>20200511</v>
      </c>
      <c r="D367" s="10" t="s">
        <v>476</v>
      </c>
      <c r="E367" s="10" t="s">
        <v>1010</v>
      </c>
      <c r="F367" s="10" t="s">
        <v>1010</v>
      </c>
      <c r="G367" s="10" t="s">
        <v>15</v>
      </c>
      <c r="H367" s="10">
        <v>146</v>
      </c>
      <c r="I367" s="10">
        <v>2.59</v>
      </c>
      <c r="J367" s="10" t="s">
        <v>823</v>
      </c>
      <c r="K367" s="22">
        <v>43962</v>
      </c>
      <c r="L367" s="22">
        <v>43966</v>
      </c>
      <c r="M367" s="22">
        <v>43964</v>
      </c>
      <c r="N367" s="22">
        <v>43964</v>
      </c>
      <c r="O367" s="22" t="s">
        <v>482</v>
      </c>
    </row>
    <row r="368" spans="2:15" ht="15" x14ac:dyDescent="0.2">
      <c r="B368" s="29">
        <f t="shared" si="2"/>
        <v>141</v>
      </c>
      <c r="C368" s="16">
        <v>20200511</v>
      </c>
      <c r="D368" s="10" t="s">
        <v>476</v>
      </c>
      <c r="E368" s="10" t="s">
        <v>1010</v>
      </c>
      <c r="F368" s="10" t="s">
        <v>1010</v>
      </c>
      <c r="G368" s="10" t="s">
        <v>15</v>
      </c>
      <c r="H368" s="10">
        <v>96</v>
      </c>
      <c r="I368" s="10">
        <v>1.7</v>
      </c>
      <c r="J368" s="10"/>
      <c r="K368" s="22">
        <v>43962</v>
      </c>
      <c r="L368" s="22">
        <v>43966</v>
      </c>
      <c r="M368" s="22"/>
      <c r="N368" s="22"/>
      <c r="O368" s="22"/>
    </row>
    <row r="369" spans="2:15" ht="15" x14ac:dyDescent="0.2">
      <c r="B369" s="29">
        <f t="shared" si="2"/>
        <v>142</v>
      </c>
      <c r="C369" s="16">
        <v>20200511</v>
      </c>
      <c r="D369" s="10" t="s">
        <v>476</v>
      </c>
      <c r="E369" s="10" t="s">
        <v>1030</v>
      </c>
      <c r="F369" s="10" t="s">
        <v>1332</v>
      </c>
      <c r="G369" s="10" t="s">
        <v>15</v>
      </c>
      <c r="H369" s="10">
        <v>163</v>
      </c>
      <c r="I369" s="10">
        <v>2.89</v>
      </c>
      <c r="J369" s="10"/>
      <c r="K369" s="22">
        <v>43962</v>
      </c>
      <c r="L369" s="22">
        <v>43966</v>
      </c>
      <c r="M369" s="22"/>
      <c r="N369" s="22"/>
      <c r="O369" s="22"/>
    </row>
    <row r="370" spans="2:15" ht="15" x14ac:dyDescent="0.2">
      <c r="B370" s="29">
        <f t="shared" si="2"/>
        <v>143</v>
      </c>
      <c r="C370" s="16">
        <v>20200511</v>
      </c>
      <c r="D370" s="10" t="s">
        <v>797</v>
      </c>
      <c r="E370" s="10" t="s">
        <v>440</v>
      </c>
      <c r="F370" s="10" t="s">
        <v>440</v>
      </c>
      <c r="G370" s="10" t="s">
        <v>15</v>
      </c>
      <c r="H370" s="10">
        <v>20</v>
      </c>
      <c r="I370" s="10">
        <v>1.23</v>
      </c>
      <c r="J370" s="10" t="s">
        <v>750</v>
      </c>
      <c r="K370" s="22">
        <v>43962</v>
      </c>
      <c r="L370" s="22">
        <v>43963</v>
      </c>
      <c r="M370" s="22">
        <v>43963</v>
      </c>
      <c r="N370" s="22">
        <v>43963</v>
      </c>
      <c r="O370" s="22" t="s">
        <v>482</v>
      </c>
    </row>
    <row r="371" spans="2:15" ht="15" x14ac:dyDescent="0.2">
      <c r="B371" s="29">
        <f t="shared" si="2"/>
        <v>144</v>
      </c>
      <c r="C371" s="16">
        <v>20200511</v>
      </c>
      <c r="D371" s="10" t="s">
        <v>476</v>
      </c>
      <c r="E371" s="10" t="s">
        <v>1042</v>
      </c>
      <c r="F371" s="10" t="s">
        <v>442</v>
      </c>
      <c r="G371" s="10" t="s">
        <v>40</v>
      </c>
      <c r="H371" s="10">
        <v>159</v>
      </c>
      <c r="I371" s="10">
        <v>2.82</v>
      </c>
      <c r="J371" s="10" t="s">
        <v>823</v>
      </c>
      <c r="K371" s="22">
        <v>43962</v>
      </c>
      <c r="L371" s="22">
        <v>43964</v>
      </c>
      <c r="M371" s="22">
        <v>43964</v>
      </c>
      <c r="N371" s="22">
        <v>43964</v>
      </c>
      <c r="O371" s="22" t="s">
        <v>482</v>
      </c>
    </row>
    <row r="372" spans="2:15" ht="15" x14ac:dyDescent="0.2">
      <c r="B372" s="37">
        <f>B371+1</f>
        <v>145</v>
      </c>
      <c r="C372" s="16">
        <v>20200513</v>
      </c>
      <c r="D372" s="10" t="s">
        <v>476</v>
      </c>
      <c r="E372" s="33" t="s">
        <v>1045</v>
      </c>
      <c r="F372" s="33" t="s">
        <v>1333</v>
      </c>
      <c r="G372" s="10" t="s">
        <v>279</v>
      </c>
      <c r="H372" s="10">
        <v>42</v>
      </c>
      <c r="I372" s="10">
        <v>0.74</v>
      </c>
      <c r="J372" s="10" t="s">
        <v>750</v>
      </c>
      <c r="K372" s="22">
        <v>43964</v>
      </c>
      <c r="L372" s="22">
        <v>43966</v>
      </c>
      <c r="M372" s="22">
        <v>43964</v>
      </c>
      <c r="N372" s="22">
        <v>43964</v>
      </c>
      <c r="O372" s="22" t="s">
        <v>482</v>
      </c>
    </row>
    <row r="373" spans="2:15" ht="15" x14ac:dyDescent="0.2">
      <c r="B373" s="37">
        <f>B372+1</f>
        <v>146</v>
      </c>
      <c r="C373" s="16">
        <v>20200513</v>
      </c>
      <c r="D373" s="10" t="s">
        <v>476</v>
      </c>
      <c r="E373" s="33" t="s">
        <v>1048</v>
      </c>
      <c r="F373" s="33" t="s">
        <v>1334</v>
      </c>
      <c r="G373" s="10" t="s">
        <v>279</v>
      </c>
      <c r="H373" s="10">
        <v>88</v>
      </c>
      <c r="I373" s="10">
        <v>1.56</v>
      </c>
      <c r="J373" s="10" t="s">
        <v>750</v>
      </c>
      <c r="K373" s="22">
        <v>43964</v>
      </c>
      <c r="L373" s="22">
        <v>43966</v>
      </c>
      <c r="M373" s="22">
        <v>43964</v>
      </c>
      <c r="N373" s="22">
        <v>43964</v>
      </c>
      <c r="O373" s="22" t="s">
        <v>482</v>
      </c>
    </row>
    <row r="374" spans="2:15" ht="15" x14ac:dyDescent="0.2">
      <c r="B374" s="37">
        <v>146</v>
      </c>
      <c r="C374" s="16">
        <v>20200513</v>
      </c>
      <c r="D374" s="10" t="s">
        <v>797</v>
      </c>
      <c r="E374" s="33" t="s">
        <v>1042</v>
      </c>
      <c r="F374" s="33" t="s">
        <v>442</v>
      </c>
      <c r="G374" s="10" t="s">
        <v>261</v>
      </c>
      <c r="H374" s="10">
        <v>40</v>
      </c>
      <c r="I374" s="10">
        <v>2.46</v>
      </c>
      <c r="J374" s="10" t="s">
        <v>750</v>
      </c>
      <c r="K374" s="22">
        <v>43964</v>
      </c>
      <c r="L374" s="22">
        <v>43966</v>
      </c>
      <c r="M374" s="22">
        <v>43964</v>
      </c>
      <c r="N374" s="22">
        <v>43964</v>
      </c>
      <c r="O374" s="22" t="s">
        <v>482</v>
      </c>
    </row>
    <row r="375" spans="2:15" ht="15" x14ac:dyDescent="0.2">
      <c r="B375" s="104">
        <v>92</v>
      </c>
      <c r="C375" s="16">
        <v>20200407</v>
      </c>
      <c r="D375" s="23" t="s">
        <v>476</v>
      </c>
      <c r="E375" s="33" t="s">
        <v>256</v>
      </c>
      <c r="F375" s="33" t="s">
        <v>256</v>
      </c>
      <c r="G375" s="10" t="s">
        <v>260</v>
      </c>
      <c r="H375" s="10">
        <v>242</v>
      </c>
      <c r="I375" s="10">
        <v>4.3</v>
      </c>
      <c r="J375" s="10" t="s">
        <v>481</v>
      </c>
      <c r="K375" s="22">
        <v>43928</v>
      </c>
      <c r="L375" s="22">
        <v>43938</v>
      </c>
      <c r="M375" s="22">
        <v>43930</v>
      </c>
      <c r="N375" s="22">
        <v>43930</v>
      </c>
      <c r="O375" s="106" t="s">
        <v>482</v>
      </c>
    </row>
    <row r="376" spans="2:15" ht="15" x14ac:dyDescent="0.2">
      <c r="B376" s="104">
        <v>93</v>
      </c>
      <c r="C376" s="16">
        <v>20200407</v>
      </c>
      <c r="D376" s="23" t="s">
        <v>476</v>
      </c>
      <c r="E376" s="33" t="s">
        <v>258</v>
      </c>
      <c r="F376" s="33" t="s">
        <v>436</v>
      </c>
      <c r="G376" s="10" t="s">
        <v>219</v>
      </c>
      <c r="H376" s="10">
        <v>300</v>
      </c>
      <c r="I376" s="10">
        <v>5.33</v>
      </c>
      <c r="J376" s="10" t="s">
        <v>481</v>
      </c>
      <c r="K376" s="22">
        <v>43928</v>
      </c>
      <c r="L376" s="22">
        <v>43938</v>
      </c>
      <c r="M376" s="22">
        <v>43929</v>
      </c>
      <c r="N376" s="22">
        <v>43929</v>
      </c>
      <c r="O376" s="106" t="s">
        <v>489</v>
      </c>
    </row>
    <row r="377" spans="2:15" ht="15" x14ac:dyDescent="0.2">
      <c r="B377" s="104">
        <v>94</v>
      </c>
      <c r="C377" s="16">
        <v>20200407</v>
      </c>
      <c r="D377" s="23" t="s">
        <v>476</v>
      </c>
      <c r="E377" s="33" t="s">
        <v>258</v>
      </c>
      <c r="F377" s="33" t="s">
        <v>436</v>
      </c>
      <c r="G377" s="10" t="s">
        <v>261</v>
      </c>
      <c r="H377" s="10">
        <v>115</v>
      </c>
      <c r="I377" s="10">
        <v>2.04</v>
      </c>
      <c r="J377" s="10" t="s">
        <v>481</v>
      </c>
      <c r="K377" s="22">
        <v>43928</v>
      </c>
      <c r="L377" s="22">
        <v>43938</v>
      </c>
      <c r="M377" s="22">
        <v>43930</v>
      </c>
      <c r="N377" s="22">
        <v>43930</v>
      </c>
      <c r="O377" s="23" t="s">
        <v>482</v>
      </c>
    </row>
    <row r="378" spans="2:15" ht="15" x14ac:dyDescent="0.2">
      <c r="B378" s="108">
        <v>100</v>
      </c>
      <c r="C378" s="16">
        <v>20200408</v>
      </c>
      <c r="D378" s="23" t="s">
        <v>476</v>
      </c>
      <c r="E378" s="33" t="s">
        <v>262</v>
      </c>
      <c r="F378" s="33" t="s">
        <v>262</v>
      </c>
      <c r="G378" s="10" t="s">
        <v>219</v>
      </c>
      <c r="H378" s="10">
        <v>34</v>
      </c>
      <c r="I378" s="10">
        <v>0.6</v>
      </c>
      <c r="J378" s="10" t="s">
        <v>481</v>
      </c>
      <c r="K378" s="22">
        <v>43929</v>
      </c>
      <c r="L378" s="22">
        <v>43941</v>
      </c>
      <c r="M378" s="22">
        <v>43930</v>
      </c>
      <c r="N378" s="22">
        <v>43930</v>
      </c>
      <c r="O378" s="106" t="s">
        <v>482</v>
      </c>
    </row>
    <row r="379" spans="2:15" ht="15" x14ac:dyDescent="0.2">
      <c r="B379" s="108">
        <v>101</v>
      </c>
      <c r="C379" s="16">
        <v>20200408</v>
      </c>
      <c r="D379" s="23" t="s">
        <v>476</v>
      </c>
      <c r="E379" s="33" t="s">
        <v>262</v>
      </c>
      <c r="F379" s="33" t="s">
        <v>262</v>
      </c>
      <c r="G379" s="10" t="s">
        <v>261</v>
      </c>
      <c r="H379" s="10">
        <v>65</v>
      </c>
      <c r="I379" s="10">
        <v>1.1499999999999999</v>
      </c>
      <c r="J379" s="10" t="s">
        <v>481</v>
      </c>
      <c r="K379" s="22">
        <v>43929</v>
      </c>
      <c r="L379" s="22">
        <v>43941</v>
      </c>
      <c r="M379" s="22">
        <v>43935</v>
      </c>
      <c r="N379" s="22">
        <v>43935</v>
      </c>
      <c r="O379" s="111" t="s">
        <v>482</v>
      </c>
    </row>
    <row r="380" spans="2:15" ht="15" x14ac:dyDescent="0.2">
      <c r="B380" s="108">
        <v>102</v>
      </c>
      <c r="C380" s="16">
        <v>20200408</v>
      </c>
      <c r="D380" s="23" t="s">
        <v>476</v>
      </c>
      <c r="E380" s="33" t="s">
        <v>262</v>
      </c>
      <c r="F380" s="33" t="s">
        <v>262</v>
      </c>
      <c r="G380" s="10" t="s">
        <v>219</v>
      </c>
      <c r="H380" s="10">
        <v>34</v>
      </c>
      <c r="I380" s="10">
        <v>0.6</v>
      </c>
      <c r="J380" s="10" t="s">
        <v>481</v>
      </c>
      <c r="K380" s="22">
        <v>43929</v>
      </c>
      <c r="L380" s="22">
        <v>43941</v>
      </c>
      <c r="M380" s="22">
        <v>43930</v>
      </c>
      <c r="N380" s="22">
        <v>43930</v>
      </c>
      <c r="O380" s="106" t="s">
        <v>482</v>
      </c>
    </row>
    <row r="381" spans="2:15" ht="15" x14ac:dyDescent="0.2">
      <c r="B381" s="108">
        <v>103</v>
      </c>
      <c r="C381" s="16">
        <v>20200408</v>
      </c>
      <c r="D381" s="23" t="s">
        <v>476</v>
      </c>
      <c r="E381" s="33" t="s">
        <v>262</v>
      </c>
      <c r="F381" s="33" t="s">
        <v>262</v>
      </c>
      <c r="G381" s="10" t="s">
        <v>261</v>
      </c>
      <c r="H381" s="10">
        <v>65</v>
      </c>
      <c r="I381" s="10">
        <v>1.1499999999999999</v>
      </c>
      <c r="J381" s="10" t="s">
        <v>481</v>
      </c>
      <c r="K381" s="22">
        <v>43929</v>
      </c>
      <c r="L381" s="22">
        <v>43941</v>
      </c>
      <c r="M381" s="22">
        <v>43935</v>
      </c>
      <c r="N381" s="22">
        <v>43935</v>
      </c>
      <c r="O381" s="111" t="s">
        <v>482</v>
      </c>
    </row>
    <row r="382" spans="2:15" ht="15" x14ac:dyDescent="0.2">
      <c r="B382" s="108">
        <v>104</v>
      </c>
      <c r="C382" s="16">
        <v>20200408</v>
      </c>
      <c r="D382" s="23" t="s">
        <v>476</v>
      </c>
      <c r="E382" s="33" t="s">
        <v>262</v>
      </c>
      <c r="F382" s="33" t="s">
        <v>262</v>
      </c>
      <c r="G382" s="10" t="s">
        <v>260</v>
      </c>
      <c r="H382" s="10">
        <v>1011</v>
      </c>
      <c r="I382" s="10">
        <v>17.97</v>
      </c>
      <c r="J382" s="10" t="s">
        <v>481</v>
      </c>
      <c r="K382" s="22">
        <v>43929</v>
      </c>
      <c r="L382" s="22">
        <v>43941</v>
      </c>
      <c r="M382" s="22">
        <v>43930</v>
      </c>
      <c r="N382" s="22">
        <v>43930</v>
      </c>
      <c r="O382" s="106" t="s">
        <v>482</v>
      </c>
    </row>
    <row r="383" spans="2:15" ht="15" x14ac:dyDescent="0.2">
      <c r="B383" s="108">
        <v>105</v>
      </c>
      <c r="C383" s="16">
        <v>20200408</v>
      </c>
      <c r="D383" s="23" t="s">
        <v>476</v>
      </c>
      <c r="E383" s="33" t="s">
        <v>262</v>
      </c>
      <c r="F383" s="33" t="s">
        <v>262</v>
      </c>
      <c r="G383" s="10" t="s">
        <v>261</v>
      </c>
      <c r="H383" s="10">
        <v>280</v>
      </c>
      <c r="I383" s="10">
        <v>4.97</v>
      </c>
      <c r="J383" s="10" t="s">
        <v>481</v>
      </c>
      <c r="K383" s="22">
        <v>43929</v>
      </c>
      <c r="L383" s="22">
        <v>43941</v>
      </c>
      <c r="M383" s="22">
        <v>43930</v>
      </c>
      <c r="N383" s="22">
        <v>43930</v>
      </c>
      <c r="O383" s="23" t="s">
        <v>482</v>
      </c>
    </row>
    <row r="384" spans="2:15" ht="15" x14ac:dyDescent="0.2">
      <c r="B384" s="108">
        <v>106</v>
      </c>
      <c r="C384" s="16">
        <v>20200408</v>
      </c>
      <c r="D384" s="23" t="s">
        <v>476</v>
      </c>
      <c r="E384" s="33" t="s">
        <v>262</v>
      </c>
      <c r="F384" s="33" t="s">
        <v>262</v>
      </c>
      <c r="G384" s="10" t="s">
        <v>261</v>
      </c>
      <c r="H384" s="10">
        <v>220</v>
      </c>
      <c r="I384" s="10">
        <v>3.91</v>
      </c>
      <c r="J384" s="10" t="s">
        <v>481</v>
      </c>
      <c r="K384" s="22">
        <v>43929</v>
      </c>
      <c r="L384" s="22">
        <v>43941</v>
      </c>
      <c r="M384" s="22">
        <v>43930</v>
      </c>
      <c r="N384" s="22">
        <v>43930</v>
      </c>
      <c r="O384" s="23" t="s">
        <v>482</v>
      </c>
    </row>
    <row r="385" spans="2:15" ht="15" x14ac:dyDescent="0.2">
      <c r="B385" s="108">
        <v>107</v>
      </c>
      <c r="C385" s="16">
        <v>20200408</v>
      </c>
      <c r="D385" s="23" t="s">
        <v>476</v>
      </c>
      <c r="E385" s="33" t="s">
        <v>262</v>
      </c>
      <c r="F385" s="33" t="s">
        <v>262</v>
      </c>
      <c r="G385" s="10" t="s">
        <v>279</v>
      </c>
      <c r="H385" s="10">
        <v>51</v>
      </c>
      <c r="I385" s="10">
        <v>0.9</v>
      </c>
      <c r="J385" s="10" t="s">
        <v>481</v>
      </c>
      <c r="K385" s="22">
        <v>43929</v>
      </c>
      <c r="L385" s="22">
        <v>43941</v>
      </c>
      <c r="M385" s="22">
        <v>43930</v>
      </c>
      <c r="N385" s="22">
        <v>43930</v>
      </c>
      <c r="O385" s="111" t="s">
        <v>482</v>
      </c>
    </row>
    <row r="386" spans="2:15" ht="15" x14ac:dyDescent="0.2">
      <c r="B386" s="108">
        <v>108</v>
      </c>
      <c r="C386" s="16">
        <v>20200408</v>
      </c>
      <c r="D386" s="23" t="s">
        <v>476</v>
      </c>
      <c r="E386" s="33" t="s">
        <v>262</v>
      </c>
      <c r="F386" s="33" t="s">
        <v>262</v>
      </c>
      <c r="G386" s="10" t="s">
        <v>279</v>
      </c>
      <c r="H386" s="39">
        <v>91</v>
      </c>
      <c r="I386" s="10">
        <v>1.61</v>
      </c>
      <c r="J386" s="10" t="s">
        <v>481</v>
      </c>
      <c r="K386" s="22">
        <v>43929</v>
      </c>
      <c r="L386" s="22">
        <v>43941</v>
      </c>
      <c r="M386" s="22">
        <v>43930</v>
      </c>
      <c r="N386" s="22">
        <v>43930</v>
      </c>
      <c r="O386" s="111" t="s">
        <v>482</v>
      </c>
    </row>
    <row r="387" spans="2:15" ht="15" x14ac:dyDescent="0.2">
      <c r="B387" s="108">
        <v>109</v>
      </c>
      <c r="C387" s="16">
        <v>20200408</v>
      </c>
      <c r="D387" s="23" t="s">
        <v>476</v>
      </c>
      <c r="E387" s="33" t="s">
        <v>262</v>
      </c>
      <c r="F387" s="33" t="s">
        <v>262</v>
      </c>
      <c r="G387" s="10" t="s">
        <v>279</v>
      </c>
      <c r="H387" s="10">
        <v>2</v>
      </c>
      <c r="I387" s="10">
        <v>0.03</v>
      </c>
      <c r="J387" s="10" t="s">
        <v>481</v>
      </c>
      <c r="K387" s="22">
        <v>43929</v>
      </c>
      <c r="L387" s="22">
        <v>43941</v>
      </c>
      <c r="M387" s="22">
        <v>43930</v>
      </c>
      <c r="N387" s="22">
        <v>43930</v>
      </c>
      <c r="O387" s="111" t="s">
        <v>482</v>
      </c>
    </row>
    <row r="388" spans="2:15" ht="15" x14ac:dyDescent="0.2">
      <c r="B388" s="108">
        <v>110</v>
      </c>
      <c r="C388" s="16">
        <v>20200408</v>
      </c>
      <c r="D388" s="23" t="s">
        <v>476</v>
      </c>
      <c r="E388" s="33" t="s">
        <v>262</v>
      </c>
      <c r="F388" s="33" t="s">
        <v>262</v>
      </c>
      <c r="G388" s="10" t="s">
        <v>279</v>
      </c>
      <c r="H388" s="10">
        <v>56</v>
      </c>
      <c r="I388" s="10">
        <v>0.99</v>
      </c>
      <c r="J388" s="10" t="s">
        <v>481</v>
      </c>
      <c r="K388" s="22">
        <v>43929</v>
      </c>
      <c r="L388" s="22">
        <v>43941</v>
      </c>
      <c r="M388" s="22">
        <v>43930</v>
      </c>
      <c r="N388" s="22">
        <v>43930</v>
      </c>
      <c r="O388" s="111" t="s">
        <v>482</v>
      </c>
    </row>
    <row r="389" spans="2:15" ht="15" x14ac:dyDescent="0.2">
      <c r="B389" s="108">
        <v>111</v>
      </c>
      <c r="C389" s="16">
        <v>20200408</v>
      </c>
      <c r="D389" s="23" t="s">
        <v>476</v>
      </c>
      <c r="E389" s="33" t="s">
        <v>262</v>
      </c>
      <c r="F389" s="33" t="s">
        <v>262</v>
      </c>
      <c r="G389" s="10" t="s">
        <v>279</v>
      </c>
      <c r="H389" s="10">
        <v>233</v>
      </c>
      <c r="I389" s="10">
        <v>4.1399999999999997</v>
      </c>
      <c r="J389" s="10" t="s">
        <v>481</v>
      </c>
      <c r="K389" s="22">
        <v>43929</v>
      </c>
      <c r="L389" s="22">
        <v>43941</v>
      </c>
      <c r="M389" s="22">
        <v>43930</v>
      </c>
      <c r="N389" s="22">
        <v>43930</v>
      </c>
      <c r="O389" s="111" t="s">
        <v>482</v>
      </c>
    </row>
    <row r="390" spans="2:15" ht="15" x14ac:dyDescent="0.2">
      <c r="B390" s="108">
        <v>112</v>
      </c>
      <c r="C390" s="16">
        <v>20200408</v>
      </c>
      <c r="D390" s="23" t="s">
        <v>476</v>
      </c>
      <c r="E390" s="33" t="s">
        <v>262</v>
      </c>
      <c r="F390" s="33" t="s">
        <v>262</v>
      </c>
      <c r="G390" s="10" t="s">
        <v>279</v>
      </c>
      <c r="H390" s="10">
        <v>78</v>
      </c>
      <c r="I390" s="10">
        <v>1.38</v>
      </c>
      <c r="J390" s="10" t="s">
        <v>481</v>
      </c>
      <c r="K390" s="22">
        <v>43929</v>
      </c>
      <c r="L390" s="22">
        <v>43941</v>
      </c>
      <c r="M390" s="22">
        <v>43931</v>
      </c>
      <c r="N390" s="22">
        <v>43931</v>
      </c>
      <c r="O390" s="111" t="s">
        <v>482</v>
      </c>
    </row>
    <row r="391" spans="2:15" ht="15" x14ac:dyDescent="0.2">
      <c r="B391" s="108">
        <v>113</v>
      </c>
      <c r="C391" s="16">
        <v>20200408</v>
      </c>
      <c r="D391" s="23" t="s">
        <v>476</v>
      </c>
      <c r="E391" s="33" t="s">
        <v>262</v>
      </c>
      <c r="F391" s="33" t="s">
        <v>262</v>
      </c>
      <c r="G391" s="10" t="s">
        <v>279</v>
      </c>
      <c r="H391" s="10">
        <v>23</v>
      </c>
      <c r="I391" s="10">
        <v>0.4</v>
      </c>
      <c r="J391" s="10" t="s">
        <v>481</v>
      </c>
      <c r="K391" s="22">
        <v>43929</v>
      </c>
      <c r="L391" s="22">
        <v>43941</v>
      </c>
      <c r="M391" s="22">
        <v>43931</v>
      </c>
      <c r="N391" s="22">
        <v>43931</v>
      </c>
      <c r="O391" s="111" t="s">
        <v>482</v>
      </c>
    </row>
    <row r="392" spans="2:15" ht="15" x14ac:dyDescent="0.2">
      <c r="B392" s="108">
        <v>114</v>
      </c>
      <c r="C392" s="16">
        <v>20200408</v>
      </c>
      <c r="D392" s="23" t="s">
        <v>476</v>
      </c>
      <c r="E392" s="33" t="s">
        <v>262</v>
      </c>
      <c r="F392" s="33" t="s">
        <v>262</v>
      </c>
      <c r="G392" s="10" t="s">
        <v>279</v>
      </c>
      <c r="H392" s="10">
        <v>127</v>
      </c>
      <c r="I392" s="10">
        <v>2.25</v>
      </c>
      <c r="J392" s="10" t="s">
        <v>481</v>
      </c>
      <c r="K392" s="22">
        <v>43929</v>
      </c>
      <c r="L392" s="22">
        <v>43941</v>
      </c>
      <c r="M392" s="22">
        <v>43931</v>
      </c>
      <c r="N392" s="22">
        <v>43931</v>
      </c>
      <c r="O392" s="111" t="s">
        <v>482</v>
      </c>
    </row>
    <row r="393" spans="2:15" ht="15" x14ac:dyDescent="0.2">
      <c r="B393" s="108">
        <v>115</v>
      </c>
      <c r="C393" s="16">
        <v>20200408</v>
      </c>
      <c r="D393" s="23" t="s">
        <v>476</v>
      </c>
      <c r="E393" s="33" t="s">
        <v>262</v>
      </c>
      <c r="F393" s="33" t="s">
        <v>262</v>
      </c>
      <c r="G393" s="10" t="s">
        <v>279</v>
      </c>
      <c r="H393" s="10">
        <v>41</v>
      </c>
      <c r="I393" s="10">
        <v>0.72</v>
      </c>
      <c r="J393" s="10" t="s">
        <v>481</v>
      </c>
      <c r="K393" s="22">
        <v>43929</v>
      </c>
      <c r="L393" s="22">
        <v>43941</v>
      </c>
      <c r="M393" s="22">
        <v>43931</v>
      </c>
      <c r="N393" s="22">
        <v>43931</v>
      </c>
      <c r="O393" s="111" t="s">
        <v>482</v>
      </c>
    </row>
    <row r="394" spans="2:15" ht="15" x14ac:dyDescent="0.2">
      <c r="B394" s="108">
        <v>116</v>
      </c>
      <c r="C394" s="16">
        <v>20200408</v>
      </c>
      <c r="D394" s="23" t="s">
        <v>476</v>
      </c>
      <c r="E394" s="33" t="s">
        <v>262</v>
      </c>
      <c r="F394" s="33" t="s">
        <v>262</v>
      </c>
      <c r="G394" s="10" t="s">
        <v>279</v>
      </c>
      <c r="H394" s="10">
        <v>25</v>
      </c>
      <c r="I394" s="10">
        <v>0.44</v>
      </c>
      <c r="J394" s="10" t="s">
        <v>481</v>
      </c>
      <c r="K394" s="22">
        <v>43929</v>
      </c>
      <c r="L394" s="22">
        <v>43941</v>
      </c>
      <c r="M394" s="22">
        <v>43931</v>
      </c>
      <c r="N394" s="22">
        <v>43931</v>
      </c>
      <c r="O394" s="111" t="s">
        <v>482</v>
      </c>
    </row>
    <row r="395" spans="2:15" ht="15" x14ac:dyDescent="0.2">
      <c r="B395" s="108">
        <v>117</v>
      </c>
      <c r="C395" s="16">
        <v>20200408</v>
      </c>
      <c r="D395" s="23" t="s">
        <v>476</v>
      </c>
      <c r="E395" s="33" t="s">
        <v>262</v>
      </c>
      <c r="F395" s="33" t="s">
        <v>262</v>
      </c>
      <c r="G395" s="10" t="s">
        <v>279</v>
      </c>
      <c r="H395" s="10">
        <v>8</v>
      </c>
      <c r="I395" s="10">
        <v>0.14000000000000001</v>
      </c>
      <c r="J395" s="10" t="s">
        <v>481</v>
      </c>
      <c r="K395" s="22">
        <v>43929</v>
      </c>
      <c r="L395" s="22">
        <v>43941</v>
      </c>
      <c r="M395" s="22">
        <v>43931</v>
      </c>
      <c r="N395" s="22">
        <v>43931</v>
      </c>
      <c r="O395" s="111" t="s">
        <v>482</v>
      </c>
    </row>
    <row r="396" spans="2:15" ht="15" x14ac:dyDescent="0.2">
      <c r="B396" s="108">
        <v>118</v>
      </c>
      <c r="C396" s="16">
        <v>20200408</v>
      </c>
      <c r="D396" s="23" t="s">
        <v>476</v>
      </c>
      <c r="E396" s="33" t="s">
        <v>262</v>
      </c>
      <c r="F396" s="33" t="s">
        <v>262</v>
      </c>
      <c r="G396" s="10" t="s">
        <v>279</v>
      </c>
      <c r="H396" s="10">
        <v>314</v>
      </c>
      <c r="I396" s="10">
        <v>5.58</v>
      </c>
      <c r="J396" s="10" t="s">
        <v>481</v>
      </c>
      <c r="K396" s="22">
        <v>43929</v>
      </c>
      <c r="L396" s="22">
        <v>43941</v>
      </c>
      <c r="M396" s="22">
        <v>43934</v>
      </c>
      <c r="N396" s="22">
        <v>43934</v>
      </c>
      <c r="O396" s="111" t="s">
        <v>482</v>
      </c>
    </row>
    <row r="397" spans="2:15" ht="15" x14ac:dyDescent="0.2">
      <c r="B397" s="108">
        <v>119</v>
      </c>
      <c r="C397" s="16">
        <v>20200408</v>
      </c>
      <c r="D397" s="23" t="s">
        <v>476</v>
      </c>
      <c r="E397" s="33" t="s">
        <v>262</v>
      </c>
      <c r="F397" s="33" t="s">
        <v>262</v>
      </c>
      <c r="G397" s="10" t="s">
        <v>261</v>
      </c>
      <c r="H397" s="10">
        <v>576</v>
      </c>
      <c r="I397" s="10">
        <v>10.24</v>
      </c>
      <c r="J397" s="10" t="s">
        <v>481</v>
      </c>
      <c r="K397" s="22">
        <v>43929</v>
      </c>
      <c r="L397" s="22">
        <v>43941</v>
      </c>
      <c r="M397" s="22">
        <v>43931</v>
      </c>
      <c r="N397" s="22">
        <v>43931</v>
      </c>
      <c r="O397" s="111" t="s">
        <v>482</v>
      </c>
    </row>
    <row r="398" spans="2:15" ht="15" x14ac:dyDescent="0.2">
      <c r="B398" s="108">
        <v>120</v>
      </c>
      <c r="C398" s="16">
        <v>20200408</v>
      </c>
      <c r="D398" s="23" t="s">
        <v>476</v>
      </c>
      <c r="E398" s="33" t="s">
        <v>262</v>
      </c>
      <c r="F398" s="33" t="s">
        <v>262</v>
      </c>
      <c r="G398" s="10" t="s">
        <v>260</v>
      </c>
      <c r="H398" s="10">
        <v>175</v>
      </c>
      <c r="I398" s="10">
        <v>3.11</v>
      </c>
      <c r="J398" s="10" t="s">
        <v>481</v>
      </c>
      <c r="K398" s="22">
        <v>43929</v>
      </c>
      <c r="L398" s="22">
        <v>43941</v>
      </c>
      <c r="M398" s="22">
        <v>43930</v>
      </c>
      <c r="N398" s="22">
        <v>43930</v>
      </c>
      <c r="O398" s="106" t="s">
        <v>482</v>
      </c>
    </row>
    <row r="399" spans="2:15" ht="15" x14ac:dyDescent="0.2">
      <c r="B399" s="108">
        <v>121</v>
      </c>
      <c r="C399" s="16">
        <v>20200408</v>
      </c>
      <c r="D399" s="23" t="s">
        <v>476</v>
      </c>
      <c r="E399" s="33" t="s">
        <v>262</v>
      </c>
      <c r="F399" s="33" t="s">
        <v>262</v>
      </c>
      <c r="G399" s="10" t="s">
        <v>279</v>
      </c>
      <c r="H399" s="39">
        <v>12</v>
      </c>
      <c r="I399" s="10">
        <v>0.21</v>
      </c>
      <c r="J399" s="10" t="s">
        <v>481</v>
      </c>
      <c r="K399" s="22">
        <v>43929</v>
      </c>
      <c r="L399" s="22">
        <v>43941</v>
      </c>
      <c r="M399" s="22">
        <v>43931</v>
      </c>
      <c r="N399" s="22">
        <v>43931</v>
      </c>
      <c r="O399" s="111" t="s">
        <v>482</v>
      </c>
    </row>
    <row r="400" spans="2:15" ht="15" x14ac:dyDescent="0.2">
      <c r="B400" s="89">
        <v>127</v>
      </c>
      <c r="C400" s="16">
        <v>20200410</v>
      </c>
      <c r="D400" s="23" t="s">
        <v>476</v>
      </c>
      <c r="E400" s="16" t="s">
        <v>280</v>
      </c>
      <c r="F400" s="16" t="s">
        <v>280</v>
      </c>
      <c r="G400" s="10" t="s">
        <v>279</v>
      </c>
      <c r="H400" s="10">
        <v>278</v>
      </c>
      <c r="I400" s="10">
        <v>4.9400000000000004</v>
      </c>
      <c r="J400" s="10" t="s">
        <v>481</v>
      </c>
      <c r="K400" s="22">
        <v>43934</v>
      </c>
      <c r="L400" s="22">
        <v>43945</v>
      </c>
      <c r="M400" s="22">
        <v>43934</v>
      </c>
      <c r="N400" s="22">
        <v>43934</v>
      </c>
      <c r="O400" s="111" t="s">
        <v>482</v>
      </c>
    </row>
    <row r="401" spans="2:15" ht="15" x14ac:dyDescent="0.2">
      <c r="B401" s="89">
        <v>128</v>
      </c>
      <c r="C401" s="16">
        <v>20200410</v>
      </c>
      <c r="D401" s="23" t="s">
        <v>476</v>
      </c>
      <c r="E401" s="16" t="s">
        <v>280</v>
      </c>
      <c r="F401" s="16" t="s">
        <v>280</v>
      </c>
      <c r="G401" s="10" t="s">
        <v>219</v>
      </c>
      <c r="H401" s="10">
        <v>715</v>
      </c>
      <c r="I401" s="10">
        <v>12.71</v>
      </c>
      <c r="J401" s="10" t="s">
        <v>481</v>
      </c>
      <c r="K401" s="22">
        <v>43934</v>
      </c>
      <c r="L401" s="22">
        <v>43945</v>
      </c>
      <c r="M401" s="22">
        <v>43930</v>
      </c>
      <c r="N401" s="22">
        <v>43930</v>
      </c>
      <c r="O401" s="106" t="s">
        <v>489</v>
      </c>
    </row>
    <row r="402" spans="2:15" ht="15" x14ac:dyDescent="0.2">
      <c r="B402" s="89">
        <v>129</v>
      </c>
      <c r="C402" s="16">
        <v>20200410</v>
      </c>
      <c r="D402" s="23" t="s">
        <v>476</v>
      </c>
      <c r="E402" s="16" t="s">
        <v>280</v>
      </c>
      <c r="F402" s="16" t="s">
        <v>280</v>
      </c>
      <c r="G402" s="10" t="s">
        <v>219</v>
      </c>
      <c r="H402" s="10">
        <v>137</v>
      </c>
      <c r="I402" s="10">
        <v>2.4300000000000002</v>
      </c>
      <c r="J402" s="10" t="s">
        <v>481</v>
      </c>
      <c r="K402" s="22">
        <v>43934</v>
      </c>
      <c r="L402" s="22">
        <v>43945</v>
      </c>
      <c r="M402" s="22">
        <v>43935</v>
      </c>
      <c r="N402" s="22">
        <v>43935</v>
      </c>
      <c r="O402" s="106" t="s">
        <v>489</v>
      </c>
    </row>
    <row r="403" spans="2:15" ht="15" x14ac:dyDescent="0.2">
      <c r="B403" s="89">
        <v>130</v>
      </c>
      <c r="C403" s="16">
        <v>20200410</v>
      </c>
      <c r="D403" s="23" t="s">
        <v>476</v>
      </c>
      <c r="E403" s="16" t="s">
        <v>280</v>
      </c>
      <c r="F403" s="16" t="s">
        <v>280</v>
      </c>
      <c r="G403" s="10" t="s">
        <v>219</v>
      </c>
      <c r="H403" s="10">
        <v>132</v>
      </c>
      <c r="I403" s="10">
        <v>2.34</v>
      </c>
      <c r="J403" s="10" t="s">
        <v>481</v>
      </c>
      <c r="K403" s="22">
        <v>43934</v>
      </c>
      <c r="L403" s="22">
        <v>43945</v>
      </c>
      <c r="M403" s="22">
        <v>43934</v>
      </c>
      <c r="N403" s="22">
        <v>43934</v>
      </c>
      <c r="O403" s="106" t="s">
        <v>482</v>
      </c>
    </row>
    <row r="404" spans="2:15" ht="15" x14ac:dyDescent="0.2">
      <c r="B404" s="89">
        <v>131</v>
      </c>
      <c r="C404" s="16">
        <v>20200410</v>
      </c>
      <c r="D404" s="23" t="s">
        <v>476</v>
      </c>
      <c r="E404" s="16" t="s">
        <v>280</v>
      </c>
      <c r="F404" s="16" t="s">
        <v>280</v>
      </c>
      <c r="G404" s="10" t="s">
        <v>219</v>
      </c>
      <c r="H404" s="10">
        <v>34</v>
      </c>
      <c r="I404" s="10">
        <v>0.6</v>
      </c>
      <c r="J404" s="10" t="s">
        <v>481</v>
      </c>
      <c r="K404" s="22">
        <v>43934</v>
      </c>
      <c r="L404" s="22">
        <v>43945</v>
      </c>
      <c r="M404" s="22">
        <v>43934</v>
      </c>
      <c r="N404" s="22">
        <v>43934</v>
      </c>
      <c r="O404" s="106" t="s">
        <v>482</v>
      </c>
    </row>
    <row r="405" spans="2:15" ht="15" x14ac:dyDescent="0.2">
      <c r="B405" s="89">
        <v>132</v>
      </c>
      <c r="C405" s="16">
        <v>20200410</v>
      </c>
      <c r="D405" s="23" t="s">
        <v>476</v>
      </c>
      <c r="E405" s="16" t="s">
        <v>280</v>
      </c>
      <c r="F405" s="16" t="s">
        <v>280</v>
      </c>
      <c r="G405" s="10" t="s">
        <v>219</v>
      </c>
      <c r="H405" s="10">
        <v>33</v>
      </c>
      <c r="I405" s="10">
        <v>0.57999999999999996</v>
      </c>
      <c r="J405" s="10" t="s">
        <v>481</v>
      </c>
      <c r="K405" s="22">
        <v>43934</v>
      </c>
      <c r="L405" s="22">
        <v>43945</v>
      </c>
      <c r="M405" s="22">
        <v>43934</v>
      </c>
      <c r="N405" s="22">
        <v>43934</v>
      </c>
      <c r="O405" s="106" t="s">
        <v>482</v>
      </c>
    </row>
    <row r="406" spans="2:15" ht="15" x14ac:dyDescent="0.2">
      <c r="B406" s="89">
        <v>133</v>
      </c>
      <c r="C406" s="16">
        <v>20200410</v>
      </c>
      <c r="D406" s="23" t="s">
        <v>476</v>
      </c>
      <c r="E406" s="16" t="s">
        <v>280</v>
      </c>
      <c r="F406" s="16" t="s">
        <v>280</v>
      </c>
      <c r="G406" s="10" t="s">
        <v>219</v>
      </c>
      <c r="H406" s="10">
        <v>78</v>
      </c>
      <c r="I406" s="10">
        <v>1.38</v>
      </c>
      <c r="J406" s="10" t="s">
        <v>481</v>
      </c>
      <c r="K406" s="22">
        <v>43934</v>
      </c>
      <c r="L406" s="22">
        <v>43945</v>
      </c>
      <c r="M406" s="22">
        <v>43934</v>
      </c>
      <c r="N406" s="22">
        <v>43934</v>
      </c>
      <c r="O406" s="106" t="s">
        <v>482</v>
      </c>
    </row>
    <row r="407" spans="2:15" ht="15" x14ac:dyDescent="0.2">
      <c r="B407" s="89">
        <v>134</v>
      </c>
      <c r="C407" s="16">
        <v>20200410</v>
      </c>
      <c r="D407" s="23" t="s">
        <v>476</v>
      </c>
      <c r="E407" s="16" t="s">
        <v>280</v>
      </c>
      <c r="F407" s="16" t="s">
        <v>280</v>
      </c>
      <c r="G407" s="10" t="s">
        <v>219</v>
      </c>
      <c r="H407" s="10">
        <v>65</v>
      </c>
      <c r="I407" s="10">
        <v>1.1499999999999999</v>
      </c>
      <c r="J407" s="10" t="s">
        <v>481</v>
      </c>
      <c r="K407" s="22">
        <v>43934</v>
      </c>
      <c r="L407" s="22">
        <v>43945</v>
      </c>
      <c r="M407" s="22">
        <v>43934</v>
      </c>
      <c r="N407" s="22">
        <v>43934</v>
      </c>
      <c r="O407" s="106" t="s">
        <v>482</v>
      </c>
    </row>
    <row r="408" spans="2:15" ht="15" x14ac:dyDescent="0.2">
      <c r="B408" s="89">
        <v>135</v>
      </c>
      <c r="C408" s="16">
        <v>20200410</v>
      </c>
      <c r="D408" s="23" t="s">
        <v>476</v>
      </c>
      <c r="E408" s="16" t="s">
        <v>280</v>
      </c>
      <c r="F408" s="16" t="s">
        <v>280</v>
      </c>
      <c r="G408" s="10" t="s">
        <v>219</v>
      </c>
      <c r="H408" s="10">
        <v>109</v>
      </c>
      <c r="I408" s="10">
        <v>1.93</v>
      </c>
      <c r="J408" s="10" t="s">
        <v>481</v>
      </c>
      <c r="K408" s="22">
        <v>43934</v>
      </c>
      <c r="L408" s="22">
        <v>43945</v>
      </c>
      <c r="M408" s="22">
        <v>43934</v>
      </c>
      <c r="N408" s="22">
        <v>43934</v>
      </c>
      <c r="O408" s="106" t="s">
        <v>482</v>
      </c>
    </row>
    <row r="409" spans="2:15" ht="15" x14ac:dyDescent="0.2">
      <c r="B409" s="89">
        <v>136</v>
      </c>
      <c r="C409" s="16">
        <v>20200410</v>
      </c>
      <c r="D409" s="23" t="s">
        <v>476</v>
      </c>
      <c r="E409" s="16" t="s">
        <v>280</v>
      </c>
      <c r="F409" s="16" t="s">
        <v>280</v>
      </c>
      <c r="G409" s="10" t="s">
        <v>219</v>
      </c>
      <c r="H409" s="10">
        <v>127</v>
      </c>
      <c r="I409" s="10">
        <v>2.25</v>
      </c>
      <c r="J409" s="10" t="s">
        <v>481</v>
      </c>
      <c r="K409" s="22">
        <v>43934</v>
      </c>
      <c r="L409" s="22">
        <v>43945</v>
      </c>
      <c r="M409" s="22">
        <v>43934</v>
      </c>
      <c r="N409" s="22">
        <v>43934</v>
      </c>
      <c r="O409" s="106" t="s">
        <v>482</v>
      </c>
    </row>
    <row r="410" spans="2:15" ht="15" x14ac:dyDescent="0.2">
      <c r="B410" s="89">
        <v>137</v>
      </c>
      <c r="C410" s="16">
        <v>20200410</v>
      </c>
      <c r="D410" s="23" t="s">
        <v>476</v>
      </c>
      <c r="E410" s="16" t="s">
        <v>280</v>
      </c>
      <c r="F410" s="16" t="s">
        <v>280</v>
      </c>
      <c r="G410" s="10" t="s">
        <v>219</v>
      </c>
      <c r="H410" s="10">
        <v>50</v>
      </c>
      <c r="I410" s="10">
        <v>0.88</v>
      </c>
      <c r="J410" s="10" t="s">
        <v>481</v>
      </c>
      <c r="K410" s="22">
        <v>43934</v>
      </c>
      <c r="L410" s="22">
        <v>43945</v>
      </c>
      <c r="M410" s="22">
        <v>43934</v>
      </c>
      <c r="N410" s="22">
        <v>43934</v>
      </c>
      <c r="O410" s="106" t="s">
        <v>482</v>
      </c>
    </row>
    <row r="411" spans="2:15" ht="15" x14ac:dyDescent="0.2">
      <c r="B411" s="89">
        <v>138</v>
      </c>
      <c r="C411" s="16">
        <v>20200410</v>
      </c>
      <c r="D411" s="23" t="s">
        <v>476</v>
      </c>
      <c r="E411" s="16" t="s">
        <v>280</v>
      </c>
      <c r="F411" s="16" t="s">
        <v>280</v>
      </c>
      <c r="G411" s="10" t="s">
        <v>219</v>
      </c>
      <c r="H411" s="10">
        <v>426</v>
      </c>
      <c r="I411" s="10">
        <v>7.57</v>
      </c>
      <c r="J411" s="10" t="s">
        <v>481</v>
      </c>
      <c r="K411" s="22">
        <v>43934</v>
      </c>
      <c r="L411" s="22">
        <v>43945</v>
      </c>
      <c r="M411" s="22">
        <v>43934</v>
      </c>
      <c r="N411" s="22">
        <v>43934</v>
      </c>
      <c r="O411" s="106" t="s">
        <v>482</v>
      </c>
    </row>
    <row r="412" spans="2:15" ht="15" x14ac:dyDescent="0.2">
      <c r="B412" s="89">
        <v>139</v>
      </c>
      <c r="C412" s="16">
        <v>20200410</v>
      </c>
      <c r="D412" s="23" t="s">
        <v>476</v>
      </c>
      <c r="E412" s="16" t="s">
        <v>280</v>
      </c>
      <c r="F412" s="16" t="s">
        <v>280</v>
      </c>
      <c r="G412" s="10" t="s">
        <v>219</v>
      </c>
      <c r="H412" s="10">
        <v>896</v>
      </c>
      <c r="I412" s="10">
        <v>15.92</v>
      </c>
      <c r="J412" s="10" t="s">
        <v>481</v>
      </c>
      <c r="K412" s="22">
        <v>43934</v>
      </c>
      <c r="L412" s="22">
        <v>43945</v>
      </c>
      <c r="M412" s="22">
        <v>43934</v>
      </c>
      <c r="N412" s="22">
        <v>43934</v>
      </c>
      <c r="O412" s="106" t="s">
        <v>482</v>
      </c>
    </row>
    <row r="413" spans="2:15" ht="15" x14ac:dyDescent="0.2">
      <c r="B413" s="89">
        <v>140</v>
      </c>
      <c r="C413" s="16">
        <v>20200410</v>
      </c>
      <c r="D413" s="23" t="s">
        <v>476</v>
      </c>
      <c r="E413" s="16" t="s">
        <v>280</v>
      </c>
      <c r="F413" s="16" t="s">
        <v>280</v>
      </c>
      <c r="G413" s="10" t="s">
        <v>279</v>
      </c>
      <c r="H413" s="10">
        <v>121</v>
      </c>
      <c r="I413" s="10">
        <v>2.15</v>
      </c>
      <c r="J413" s="10" t="s">
        <v>481</v>
      </c>
      <c r="K413" s="22">
        <v>43934</v>
      </c>
      <c r="L413" s="22">
        <v>43945</v>
      </c>
      <c r="M413" s="22">
        <v>43935</v>
      </c>
      <c r="N413" s="22">
        <v>43935</v>
      </c>
      <c r="O413" s="106" t="s">
        <v>482</v>
      </c>
    </row>
    <row r="414" spans="2:15" ht="15" x14ac:dyDescent="0.2">
      <c r="B414" s="89">
        <v>141</v>
      </c>
      <c r="C414" s="16">
        <v>20200410</v>
      </c>
      <c r="D414" s="23" t="s">
        <v>476</v>
      </c>
      <c r="E414" s="16" t="s">
        <v>280</v>
      </c>
      <c r="F414" s="16" t="s">
        <v>280</v>
      </c>
      <c r="G414" s="10" t="s">
        <v>279</v>
      </c>
      <c r="H414" s="10">
        <v>251</v>
      </c>
      <c r="I414" s="10">
        <v>4.46</v>
      </c>
      <c r="J414" s="10" t="s">
        <v>481</v>
      </c>
      <c r="K414" s="22">
        <v>43934</v>
      </c>
      <c r="L414" s="22">
        <v>43945</v>
      </c>
      <c r="M414" s="22">
        <v>43935</v>
      </c>
      <c r="N414" s="22">
        <v>43936</v>
      </c>
      <c r="O414" s="106" t="s">
        <v>489</v>
      </c>
    </row>
    <row r="415" spans="2:15" ht="15" x14ac:dyDescent="0.2">
      <c r="B415" s="89">
        <v>142</v>
      </c>
      <c r="C415" s="16">
        <v>20200410</v>
      </c>
      <c r="D415" s="23" t="s">
        <v>476</v>
      </c>
      <c r="E415" s="16" t="s">
        <v>280</v>
      </c>
      <c r="F415" s="16" t="s">
        <v>280</v>
      </c>
      <c r="G415" s="10" t="s">
        <v>279</v>
      </c>
      <c r="H415" s="10">
        <v>80</v>
      </c>
      <c r="I415" s="10">
        <v>1.42</v>
      </c>
      <c r="J415" s="10" t="s">
        <v>481</v>
      </c>
      <c r="K415" s="22">
        <v>43934</v>
      </c>
      <c r="L415" s="22">
        <v>43945</v>
      </c>
      <c r="M415" s="22">
        <v>43935</v>
      </c>
      <c r="N415" s="22">
        <v>43935</v>
      </c>
      <c r="O415" s="106" t="s">
        <v>482</v>
      </c>
    </row>
    <row r="416" spans="2:15" ht="15" x14ac:dyDescent="0.2">
      <c r="B416" s="89">
        <v>143</v>
      </c>
      <c r="C416" s="16">
        <v>20200410</v>
      </c>
      <c r="D416" s="23" t="s">
        <v>476</v>
      </c>
      <c r="E416" s="16" t="s">
        <v>280</v>
      </c>
      <c r="F416" s="16" t="s">
        <v>280</v>
      </c>
      <c r="G416" s="10" t="s">
        <v>279</v>
      </c>
      <c r="H416" s="10">
        <v>67</v>
      </c>
      <c r="I416" s="10">
        <v>1.19</v>
      </c>
      <c r="J416" s="10" t="s">
        <v>481</v>
      </c>
      <c r="K416" s="22">
        <v>43934</v>
      </c>
      <c r="L416" s="22">
        <v>43945</v>
      </c>
      <c r="M416" s="22">
        <v>43935</v>
      </c>
      <c r="N416" s="22">
        <v>43935</v>
      </c>
      <c r="O416" s="106" t="s">
        <v>482</v>
      </c>
    </row>
    <row r="417" spans="2:15" ht="15" x14ac:dyDescent="0.2">
      <c r="B417" s="89">
        <v>144</v>
      </c>
      <c r="C417" s="16">
        <v>20200410</v>
      </c>
      <c r="D417" s="23" t="s">
        <v>476</v>
      </c>
      <c r="E417" s="16" t="s">
        <v>280</v>
      </c>
      <c r="F417" s="16" t="s">
        <v>280</v>
      </c>
      <c r="G417" s="10" t="s">
        <v>279</v>
      </c>
      <c r="H417" s="10">
        <v>33</v>
      </c>
      <c r="I417" s="10">
        <v>0.57999999999999996</v>
      </c>
      <c r="J417" s="10" t="s">
        <v>481</v>
      </c>
      <c r="K417" s="22">
        <v>43934</v>
      </c>
      <c r="L417" s="22">
        <v>43945</v>
      </c>
      <c r="M417" s="22">
        <v>43935</v>
      </c>
      <c r="N417" s="22">
        <v>43935</v>
      </c>
      <c r="O417" s="106" t="s">
        <v>482</v>
      </c>
    </row>
    <row r="418" spans="2:15" ht="15" x14ac:dyDescent="0.2">
      <c r="B418" s="89">
        <v>145</v>
      </c>
      <c r="C418" s="16">
        <v>20200410</v>
      </c>
      <c r="D418" s="23" t="s">
        <v>476</v>
      </c>
      <c r="E418" s="16" t="s">
        <v>280</v>
      </c>
      <c r="F418" s="16" t="s">
        <v>280</v>
      </c>
      <c r="G418" s="10" t="s">
        <v>279</v>
      </c>
      <c r="H418" s="10">
        <v>23</v>
      </c>
      <c r="I418" s="10">
        <v>0.4</v>
      </c>
      <c r="J418" s="10" t="s">
        <v>481</v>
      </c>
      <c r="K418" s="22">
        <v>43934</v>
      </c>
      <c r="L418" s="22">
        <v>43945</v>
      </c>
      <c r="M418" s="22">
        <v>43935</v>
      </c>
      <c r="N418" s="22">
        <v>43935</v>
      </c>
      <c r="O418" s="106" t="s">
        <v>482</v>
      </c>
    </row>
    <row r="419" spans="2:15" ht="15" x14ac:dyDescent="0.2">
      <c r="B419" s="89">
        <v>146</v>
      </c>
      <c r="C419" s="16">
        <v>20200410</v>
      </c>
      <c r="D419" s="23" t="s">
        <v>476</v>
      </c>
      <c r="E419" s="16" t="s">
        <v>280</v>
      </c>
      <c r="F419" s="16" t="s">
        <v>280</v>
      </c>
      <c r="G419" s="10" t="s">
        <v>279</v>
      </c>
      <c r="H419" s="10">
        <v>124</v>
      </c>
      <c r="I419" s="10">
        <v>2.2000000000000002</v>
      </c>
      <c r="J419" s="10" t="s">
        <v>481</v>
      </c>
      <c r="K419" s="22">
        <v>43934</v>
      </c>
      <c r="L419" s="22">
        <v>43945</v>
      </c>
      <c r="M419" s="22">
        <v>43935</v>
      </c>
      <c r="N419" s="22">
        <v>43935</v>
      </c>
      <c r="O419" s="106" t="s">
        <v>482</v>
      </c>
    </row>
    <row r="420" spans="2:15" ht="15" x14ac:dyDescent="0.2">
      <c r="B420" s="89">
        <v>147</v>
      </c>
      <c r="C420" s="16">
        <v>20200410</v>
      </c>
      <c r="D420" s="23" t="s">
        <v>476</v>
      </c>
      <c r="E420" s="16" t="s">
        <v>280</v>
      </c>
      <c r="F420" s="16" t="s">
        <v>280</v>
      </c>
      <c r="G420" s="10" t="s">
        <v>279</v>
      </c>
      <c r="H420" s="10">
        <v>131</v>
      </c>
      <c r="I420" s="10">
        <v>2.3199999999999998</v>
      </c>
      <c r="J420" s="10" t="s">
        <v>481</v>
      </c>
      <c r="K420" s="22">
        <v>43934</v>
      </c>
      <c r="L420" s="22">
        <v>43945</v>
      </c>
      <c r="M420" s="22">
        <v>43935</v>
      </c>
      <c r="N420" s="22">
        <v>43935</v>
      </c>
      <c r="O420" s="106" t="s">
        <v>482</v>
      </c>
    </row>
    <row r="421" spans="2:15" ht="15" x14ac:dyDescent="0.2">
      <c r="B421" s="89">
        <v>148</v>
      </c>
      <c r="C421" s="16">
        <v>20200410</v>
      </c>
      <c r="D421" s="23" t="s">
        <v>476</v>
      </c>
      <c r="E421" s="16" t="s">
        <v>280</v>
      </c>
      <c r="F421" s="16" t="s">
        <v>280</v>
      </c>
      <c r="G421" s="16" t="s">
        <v>279</v>
      </c>
      <c r="H421" s="16">
        <v>227</v>
      </c>
      <c r="I421" s="16">
        <v>4.03</v>
      </c>
      <c r="J421" s="10" t="s">
        <v>481</v>
      </c>
      <c r="K421" s="49">
        <v>43934</v>
      </c>
      <c r="L421" s="49">
        <v>43945</v>
      </c>
      <c r="M421" s="49">
        <v>43935</v>
      </c>
      <c r="N421" s="49">
        <v>43936</v>
      </c>
      <c r="O421" s="129" t="s">
        <v>482</v>
      </c>
    </row>
    <row r="422" spans="2:15" ht="15" x14ac:dyDescent="0.2">
      <c r="B422" s="89">
        <v>149</v>
      </c>
      <c r="C422" s="16">
        <v>20200410</v>
      </c>
      <c r="D422" s="23" t="s">
        <v>476</v>
      </c>
      <c r="E422" s="16" t="s">
        <v>280</v>
      </c>
      <c r="F422" s="16" t="s">
        <v>280</v>
      </c>
      <c r="G422" s="10" t="s">
        <v>279</v>
      </c>
      <c r="H422" s="10">
        <v>194</v>
      </c>
      <c r="I422" s="10">
        <v>3.44</v>
      </c>
      <c r="J422" s="10" t="s">
        <v>481</v>
      </c>
      <c r="K422" s="22">
        <v>43934</v>
      </c>
      <c r="L422" s="22">
        <v>43945</v>
      </c>
      <c r="M422" s="22">
        <v>43936</v>
      </c>
      <c r="N422" s="22">
        <v>43937</v>
      </c>
      <c r="O422" s="106" t="s">
        <v>489</v>
      </c>
    </row>
    <row r="423" spans="2:15" ht="15" x14ac:dyDescent="0.2">
      <c r="B423" s="89">
        <v>150</v>
      </c>
      <c r="C423" s="16">
        <v>20200410</v>
      </c>
      <c r="D423" s="23" t="s">
        <v>476</v>
      </c>
      <c r="E423" s="16" t="s">
        <v>280</v>
      </c>
      <c r="F423" s="16" t="s">
        <v>280</v>
      </c>
      <c r="G423" s="10" t="s">
        <v>279</v>
      </c>
      <c r="H423" s="10">
        <v>186</v>
      </c>
      <c r="I423" s="10">
        <v>3.3</v>
      </c>
      <c r="J423" s="10" t="s">
        <v>481</v>
      </c>
      <c r="K423" s="22">
        <v>43934</v>
      </c>
      <c r="L423" s="22">
        <v>43945</v>
      </c>
      <c r="M423" s="22">
        <v>43937</v>
      </c>
      <c r="N423" s="22">
        <v>43937</v>
      </c>
      <c r="O423" s="106" t="s">
        <v>489</v>
      </c>
    </row>
    <row r="424" spans="2:15" ht="15" x14ac:dyDescent="0.2">
      <c r="B424" s="89">
        <v>151</v>
      </c>
      <c r="C424" s="16">
        <v>20200410</v>
      </c>
      <c r="D424" s="23" t="s">
        <v>476</v>
      </c>
      <c r="E424" s="16" t="s">
        <v>280</v>
      </c>
      <c r="F424" s="16" t="s">
        <v>280</v>
      </c>
      <c r="G424" s="10" t="s">
        <v>279</v>
      </c>
      <c r="H424" s="10">
        <v>439</v>
      </c>
      <c r="I424" s="10">
        <v>7.8</v>
      </c>
      <c r="J424" s="10" t="s">
        <v>481</v>
      </c>
      <c r="K424" s="22">
        <v>43934</v>
      </c>
      <c r="L424" s="22">
        <v>43945</v>
      </c>
      <c r="M424" s="22">
        <v>43937</v>
      </c>
      <c r="N424" s="22">
        <v>43937</v>
      </c>
      <c r="O424" s="106" t="s">
        <v>482</v>
      </c>
    </row>
    <row r="425" spans="2:15" ht="15" x14ac:dyDescent="0.2">
      <c r="B425" s="89">
        <v>152</v>
      </c>
      <c r="C425" s="16">
        <v>20200410</v>
      </c>
      <c r="D425" s="23" t="s">
        <v>476</v>
      </c>
      <c r="E425" s="16" t="s">
        <v>280</v>
      </c>
      <c r="F425" s="16" t="s">
        <v>280</v>
      </c>
      <c r="G425" s="10" t="s">
        <v>279</v>
      </c>
      <c r="H425" s="10">
        <v>134</v>
      </c>
      <c r="I425" s="10">
        <v>2.38</v>
      </c>
      <c r="J425" s="10" t="s">
        <v>481</v>
      </c>
      <c r="K425" s="22">
        <v>43934</v>
      </c>
      <c r="L425" s="22">
        <v>43945</v>
      </c>
      <c r="M425" s="22">
        <v>43937</v>
      </c>
      <c r="N425" s="22">
        <v>43937</v>
      </c>
      <c r="O425" s="106" t="s">
        <v>482</v>
      </c>
    </row>
    <row r="426" spans="2:15" ht="15" x14ac:dyDescent="0.2">
      <c r="B426" s="89">
        <v>153</v>
      </c>
      <c r="C426" s="16">
        <v>20200410</v>
      </c>
      <c r="D426" s="23" t="s">
        <v>476</v>
      </c>
      <c r="E426" s="16" t="s">
        <v>280</v>
      </c>
      <c r="F426" s="16" t="s">
        <v>280</v>
      </c>
      <c r="G426" s="10" t="s">
        <v>279</v>
      </c>
      <c r="H426" s="10">
        <v>237</v>
      </c>
      <c r="I426" s="10">
        <v>4.21</v>
      </c>
      <c r="J426" s="10" t="s">
        <v>481</v>
      </c>
      <c r="K426" s="22">
        <v>43934</v>
      </c>
      <c r="L426" s="22">
        <v>43945</v>
      </c>
      <c r="M426" s="22">
        <v>43937</v>
      </c>
      <c r="N426" s="22">
        <v>43937</v>
      </c>
      <c r="O426" s="106" t="s">
        <v>482</v>
      </c>
    </row>
    <row r="427" spans="2:15" ht="15" x14ac:dyDescent="0.2">
      <c r="B427" s="89">
        <v>154</v>
      </c>
      <c r="C427" s="16">
        <v>20200410</v>
      </c>
      <c r="D427" s="23" t="s">
        <v>476</v>
      </c>
      <c r="E427" s="16" t="s">
        <v>280</v>
      </c>
      <c r="F427" s="16" t="s">
        <v>280</v>
      </c>
      <c r="G427" s="10" t="s">
        <v>260</v>
      </c>
      <c r="H427" s="10">
        <v>155</v>
      </c>
      <c r="I427" s="10">
        <v>2.75</v>
      </c>
      <c r="J427" s="10" t="s">
        <v>481</v>
      </c>
      <c r="K427" s="22">
        <v>43934</v>
      </c>
      <c r="L427" s="22">
        <v>43945</v>
      </c>
      <c r="M427" s="22">
        <v>43934</v>
      </c>
      <c r="N427" s="22">
        <v>43934</v>
      </c>
      <c r="O427" s="106" t="s">
        <v>489</v>
      </c>
    </row>
    <row r="428" spans="2:15" ht="15" x14ac:dyDescent="0.2">
      <c r="B428" s="89">
        <v>155</v>
      </c>
      <c r="C428" s="16">
        <v>20200410</v>
      </c>
      <c r="D428" s="23" t="s">
        <v>476</v>
      </c>
      <c r="E428" s="16" t="s">
        <v>280</v>
      </c>
      <c r="F428" s="16" t="s">
        <v>280</v>
      </c>
      <c r="G428" s="10" t="s">
        <v>261</v>
      </c>
      <c r="H428" s="10">
        <v>261</v>
      </c>
      <c r="I428" s="10">
        <v>4.6399999999999997</v>
      </c>
      <c r="J428" s="10" t="s">
        <v>481</v>
      </c>
      <c r="K428" s="22">
        <v>43934</v>
      </c>
      <c r="L428" s="22">
        <v>43945</v>
      </c>
      <c r="M428" s="22">
        <v>43936</v>
      </c>
      <c r="N428" s="22">
        <v>43936</v>
      </c>
      <c r="O428" s="111" t="s">
        <v>482</v>
      </c>
    </row>
    <row r="429" spans="2:15" ht="15" x14ac:dyDescent="0.2">
      <c r="B429" s="89">
        <v>156</v>
      </c>
      <c r="C429" s="16">
        <v>20200410</v>
      </c>
      <c r="D429" s="23" t="s">
        <v>476</v>
      </c>
      <c r="E429" s="16" t="s">
        <v>280</v>
      </c>
      <c r="F429" s="16" t="s">
        <v>280</v>
      </c>
      <c r="G429" s="10" t="s">
        <v>261</v>
      </c>
      <c r="H429" s="10">
        <v>172</v>
      </c>
      <c r="I429" s="10">
        <v>3.05</v>
      </c>
      <c r="J429" s="10" t="s">
        <v>481</v>
      </c>
      <c r="K429" s="22">
        <v>43934</v>
      </c>
      <c r="L429" s="22">
        <v>43945</v>
      </c>
      <c r="M429" s="22">
        <v>43936</v>
      </c>
      <c r="N429" s="22">
        <v>43936</v>
      </c>
      <c r="O429" s="19" t="s">
        <v>1</v>
      </c>
    </row>
    <row r="430" spans="2:15" ht="15" x14ac:dyDescent="0.2">
      <c r="B430" s="89">
        <v>157</v>
      </c>
      <c r="C430" s="16">
        <v>20200410</v>
      </c>
      <c r="D430" s="23" t="s">
        <v>476</v>
      </c>
      <c r="E430" s="16" t="s">
        <v>280</v>
      </c>
      <c r="F430" s="16" t="s">
        <v>280</v>
      </c>
      <c r="G430" s="10" t="s">
        <v>261</v>
      </c>
      <c r="H430" s="10">
        <v>91</v>
      </c>
      <c r="I430" s="10">
        <v>1.61</v>
      </c>
      <c r="J430" s="10" t="s">
        <v>481</v>
      </c>
      <c r="K430" s="22">
        <v>43934</v>
      </c>
      <c r="L430" s="22">
        <v>43945</v>
      </c>
      <c r="M430" s="22">
        <v>43937</v>
      </c>
      <c r="N430" s="22">
        <v>43937</v>
      </c>
      <c r="O430" s="111" t="s">
        <v>482</v>
      </c>
    </row>
    <row r="431" spans="2:15" ht="15" x14ac:dyDescent="0.2">
      <c r="B431" s="89">
        <v>158</v>
      </c>
      <c r="C431" s="16">
        <v>20200410</v>
      </c>
      <c r="D431" s="23" t="s">
        <v>476</v>
      </c>
      <c r="E431" s="16" t="s">
        <v>280</v>
      </c>
      <c r="F431" s="16" t="s">
        <v>280</v>
      </c>
      <c r="G431" s="10" t="s">
        <v>261</v>
      </c>
      <c r="H431" s="10">
        <v>145</v>
      </c>
      <c r="I431" s="10">
        <v>2.57</v>
      </c>
      <c r="J431" s="10" t="s">
        <v>481</v>
      </c>
      <c r="K431" s="22">
        <v>43934</v>
      </c>
      <c r="L431" s="22">
        <v>43945</v>
      </c>
      <c r="M431" s="22">
        <v>43937</v>
      </c>
      <c r="N431" s="22">
        <v>43937</v>
      </c>
      <c r="O431" s="106" t="s">
        <v>489</v>
      </c>
    </row>
    <row r="432" spans="2:15" ht="15" x14ac:dyDescent="0.2">
      <c r="B432" s="89">
        <v>159</v>
      </c>
      <c r="C432" s="16">
        <v>20200410</v>
      </c>
      <c r="D432" s="23" t="s">
        <v>476</v>
      </c>
      <c r="E432" s="16" t="s">
        <v>280</v>
      </c>
      <c r="F432" s="16" t="s">
        <v>280</v>
      </c>
      <c r="G432" s="10" t="s">
        <v>261</v>
      </c>
      <c r="H432" s="10">
        <v>169</v>
      </c>
      <c r="I432" s="10">
        <v>3</v>
      </c>
      <c r="J432" s="10" t="s">
        <v>481</v>
      </c>
      <c r="K432" s="22">
        <v>43934</v>
      </c>
      <c r="L432" s="22">
        <v>43945</v>
      </c>
      <c r="M432" s="22">
        <v>43937</v>
      </c>
      <c r="N432" s="22">
        <v>43937</v>
      </c>
      <c r="O432" s="111" t="s">
        <v>482</v>
      </c>
    </row>
    <row r="433" spans="2:15" ht="15" x14ac:dyDescent="0.2">
      <c r="B433" s="89">
        <v>160</v>
      </c>
      <c r="C433" s="16">
        <v>20200410</v>
      </c>
      <c r="D433" s="23" t="s">
        <v>476</v>
      </c>
      <c r="E433" s="16" t="s">
        <v>280</v>
      </c>
      <c r="F433" s="16" t="s">
        <v>280</v>
      </c>
      <c r="G433" s="10" t="s">
        <v>261</v>
      </c>
      <c r="H433" s="10">
        <v>335</v>
      </c>
      <c r="I433" s="10">
        <v>5.95</v>
      </c>
      <c r="J433" s="10" t="s">
        <v>481</v>
      </c>
      <c r="K433" s="22">
        <v>43934</v>
      </c>
      <c r="L433" s="22">
        <v>43945</v>
      </c>
      <c r="M433" s="22">
        <v>43937</v>
      </c>
      <c r="N433" s="22">
        <v>43937</v>
      </c>
      <c r="O433" s="111" t="s">
        <v>482</v>
      </c>
    </row>
    <row r="434" spans="2:15" ht="15" x14ac:dyDescent="0.2">
      <c r="B434" s="89">
        <v>161</v>
      </c>
      <c r="C434" s="16">
        <v>20200410</v>
      </c>
      <c r="D434" s="23" t="s">
        <v>476</v>
      </c>
      <c r="E434" s="16" t="s">
        <v>280</v>
      </c>
      <c r="F434" s="16" t="s">
        <v>280</v>
      </c>
      <c r="G434" s="10" t="s">
        <v>261</v>
      </c>
      <c r="H434" s="10">
        <v>675</v>
      </c>
      <c r="I434" s="10">
        <v>12</v>
      </c>
      <c r="J434" s="10" t="s">
        <v>481</v>
      </c>
      <c r="K434" s="22">
        <v>43934</v>
      </c>
      <c r="L434" s="22">
        <v>43945</v>
      </c>
      <c r="M434" s="22">
        <v>43937</v>
      </c>
      <c r="N434" s="22">
        <v>43937</v>
      </c>
      <c r="O434" s="106" t="s">
        <v>489</v>
      </c>
    </row>
    <row r="435" spans="2:15" ht="15" x14ac:dyDescent="0.2">
      <c r="B435" s="89">
        <v>162</v>
      </c>
      <c r="C435" s="16">
        <v>20200410</v>
      </c>
      <c r="D435" s="23" t="s">
        <v>476</v>
      </c>
      <c r="E435" s="16" t="s">
        <v>280</v>
      </c>
      <c r="F435" s="16" t="s">
        <v>280</v>
      </c>
      <c r="G435" s="10" t="s">
        <v>261</v>
      </c>
      <c r="H435" s="10">
        <v>759</v>
      </c>
      <c r="I435" s="10">
        <v>13.49</v>
      </c>
      <c r="J435" s="10" t="s">
        <v>481</v>
      </c>
      <c r="K435" s="22">
        <v>43934</v>
      </c>
      <c r="L435" s="22">
        <v>43945</v>
      </c>
      <c r="M435" s="22">
        <v>43938</v>
      </c>
      <c r="N435" s="22">
        <v>43938</v>
      </c>
      <c r="O435" s="106" t="s">
        <v>489</v>
      </c>
    </row>
    <row r="436" spans="2:15" ht="15" x14ac:dyDescent="0.2">
      <c r="B436" s="89">
        <v>163</v>
      </c>
      <c r="C436" s="16">
        <v>20200410</v>
      </c>
      <c r="D436" s="23" t="s">
        <v>476</v>
      </c>
      <c r="E436" s="16" t="s">
        <v>280</v>
      </c>
      <c r="F436" s="16" t="s">
        <v>280</v>
      </c>
      <c r="G436" s="10" t="s">
        <v>260</v>
      </c>
      <c r="H436" s="10">
        <v>138</v>
      </c>
      <c r="I436" s="10">
        <v>2.4500000000000002</v>
      </c>
      <c r="J436" s="10" t="s">
        <v>481</v>
      </c>
      <c r="K436" s="22">
        <v>43934</v>
      </c>
      <c r="L436" s="22">
        <v>43945</v>
      </c>
      <c r="M436" s="22">
        <v>43935</v>
      </c>
      <c r="N436" s="22">
        <v>43935</v>
      </c>
      <c r="O436" s="106" t="s">
        <v>482</v>
      </c>
    </row>
    <row r="437" spans="2:15" ht="15" x14ac:dyDescent="0.2">
      <c r="B437" s="89">
        <v>164</v>
      </c>
      <c r="C437" s="16">
        <v>20200410</v>
      </c>
      <c r="D437" s="23" t="s">
        <v>476</v>
      </c>
      <c r="E437" s="16" t="s">
        <v>280</v>
      </c>
      <c r="F437" s="16" t="s">
        <v>280</v>
      </c>
      <c r="G437" s="10" t="s">
        <v>260</v>
      </c>
      <c r="H437" s="10">
        <v>266</v>
      </c>
      <c r="I437" s="10">
        <v>4.72</v>
      </c>
      <c r="J437" s="10" t="s">
        <v>481</v>
      </c>
      <c r="K437" s="22">
        <v>43934</v>
      </c>
      <c r="L437" s="22">
        <v>43945</v>
      </c>
      <c r="M437" s="22">
        <v>43935</v>
      </c>
      <c r="N437" s="22">
        <v>43935</v>
      </c>
      <c r="O437" s="106" t="s">
        <v>482</v>
      </c>
    </row>
    <row r="438" spans="2:15" ht="15" x14ac:dyDescent="0.2">
      <c r="B438" s="89">
        <v>165</v>
      </c>
      <c r="C438" s="16">
        <v>20200410</v>
      </c>
      <c r="D438" s="23" t="s">
        <v>476</v>
      </c>
      <c r="E438" s="16" t="s">
        <v>280</v>
      </c>
      <c r="F438" s="16" t="s">
        <v>280</v>
      </c>
      <c r="G438" s="10" t="s">
        <v>260</v>
      </c>
      <c r="H438" s="10">
        <v>152</v>
      </c>
      <c r="I438" s="10">
        <v>2.7</v>
      </c>
      <c r="J438" s="10" t="s">
        <v>481</v>
      </c>
      <c r="K438" s="22">
        <v>43934</v>
      </c>
      <c r="L438" s="22">
        <v>43945</v>
      </c>
      <c r="M438" s="22">
        <v>43935</v>
      </c>
      <c r="N438" s="22">
        <v>43935</v>
      </c>
      <c r="O438" s="106" t="s">
        <v>489</v>
      </c>
    </row>
    <row r="439" spans="2:15" ht="15" x14ac:dyDescent="0.2">
      <c r="B439" s="89">
        <v>166</v>
      </c>
      <c r="C439" s="16">
        <v>20200410</v>
      </c>
      <c r="D439" s="23" t="s">
        <v>476</v>
      </c>
      <c r="E439" s="16" t="s">
        <v>280</v>
      </c>
      <c r="F439" s="16" t="s">
        <v>280</v>
      </c>
      <c r="G439" s="10" t="s">
        <v>261</v>
      </c>
      <c r="H439" s="10">
        <v>9</v>
      </c>
      <c r="I439" s="10">
        <v>0.16</v>
      </c>
      <c r="J439" s="10" t="s">
        <v>481</v>
      </c>
      <c r="K439" s="22">
        <v>43934</v>
      </c>
      <c r="L439" s="22">
        <v>43945</v>
      </c>
      <c r="M439" s="22">
        <v>43942</v>
      </c>
      <c r="N439" s="22">
        <v>43942</v>
      </c>
      <c r="O439" s="111" t="s">
        <v>482</v>
      </c>
    </row>
    <row r="440" spans="2:15" ht="15" x14ac:dyDescent="0.2">
      <c r="B440" s="89">
        <v>167</v>
      </c>
      <c r="C440" s="16">
        <v>20200410</v>
      </c>
      <c r="D440" s="23" t="s">
        <v>476</v>
      </c>
      <c r="E440" s="16" t="s">
        <v>280</v>
      </c>
      <c r="F440" s="16" t="s">
        <v>280</v>
      </c>
      <c r="G440" s="10" t="s">
        <v>260</v>
      </c>
      <c r="H440" s="10">
        <v>254</v>
      </c>
      <c r="I440" s="10">
        <v>4.51</v>
      </c>
      <c r="J440" s="10" t="s">
        <v>481</v>
      </c>
      <c r="K440" s="22">
        <v>43934</v>
      </c>
      <c r="L440" s="22">
        <v>43945</v>
      </c>
      <c r="M440" s="22">
        <v>43935</v>
      </c>
      <c r="N440" s="22">
        <v>43935</v>
      </c>
      <c r="O440" s="106" t="s">
        <v>482</v>
      </c>
    </row>
    <row r="441" spans="2:15" ht="15" x14ac:dyDescent="0.2">
      <c r="B441" s="89">
        <v>168</v>
      </c>
      <c r="C441" s="16">
        <v>20200410</v>
      </c>
      <c r="D441" s="23" t="s">
        <v>476</v>
      </c>
      <c r="E441" s="16" t="s">
        <v>280</v>
      </c>
      <c r="F441" s="16" t="s">
        <v>280</v>
      </c>
      <c r="G441" s="10" t="s">
        <v>260</v>
      </c>
      <c r="H441" s="10">
        <v>38</v>
      </c>
      <c r="I441" s="10">
        <v>0.67</v>
      </c>
      <c r="J441" s="10" t="s">
        <v>481</v>
      </c>
      <c r="K441" s="22">
        <v>43934</v>
      </c>
      <c r="L441" s="22">
        <v>43945</v>
      </c>
      <c r="M441" s="22">
        <v>43936</v>
      </c>
      <c r="N441" s="22">
        <v>43936</v>
      </c>
      <c r="O441" s="106" t="s">
        <v>482</v>
      </c>
    </row>
    <row r="442" spans="2:15" ht="15" x14ac:dyDescent="0.2">
      <c r="B442" s="89">
        <v>169</v>
      </c>
      <c r="C442" s="16">
        <v>20200410</v>
      </c>
      <c r="D442" s="23" t="s">
        <v>476</v>
      </c>
      <c r="E442" s="16" t="s">
        <v>280</v>
      </c>
      <c r="F442" s="16" t="s">
        <v>280</v>
      </c>
      <c r="G442" s="10" t="s">
        <v>260</v>
      </c>
      <c r="H442" s="10">
        <v>81</v>
      </c>
      <c r="I442" s="10">
        <v>1.44</v>
      </c>
      <c r="J442" s="10" t="s">
        <v>481</v>
      </c>
      <c r="K442" s="22">
        <v>43934</v>
      </c>
      <c r="L442" s="22">
        <v>43945</v>
      </c>
      <c r="M442" s="22">
        <v>43936</v>
      </c>
      <c r="N442" s="22">
        <v>43936</v>
      </c>
      <c r="O442" s="106" t="s">
        <v>482</v>
      </c>
    </row>
    <row r="443" spans="2:15" ht="15" x14ac:dyDescent="0.2">
      <c r="B443" s="89">
        <v>170</v>
      </c>
      <c r="C443" s="16">
        <v>20200410</v>
      </c>
      <c r="D443" s="23" t="s">
        <v>476</v>
      </c>
      <c r="E443" s="16" t="s">
        <v>280</v>
      </c>
      <c r="F443" s="16" t="s">
        <v>280</v>
      </c>
      <c r="G443" s="10" t="s">
        <v>261</v>
      </c>
      <c r="H443" s="10">
        <v>35</v>
      </c>
      <c r="I443" s="10">
        <v>0.62</v>
      </c>
      <c r="J443" s="10" t="s">
        <v>481</v>
      </c>
      <c r="K443" s="22">
        <v>43934</v>
      </c>
      <c r="L443" s="22">
        <v>43945</v>
      </c>
      <c r="M443" s="22">
        <v>43943</v>
      </c>
      <c r="N443" s="22">
        <v>43943</v>
      </c>
      <c r="O443" s="111" t="s">
        <v>482</v>
      </c>
    </row>
    <row r="444" spans="2:15" ht="15" x14ac:dyDescent="0.2">
      <c r="B444" s="89">
        <v>171</v>
      </c>
      <c r="C444" s="16">
        <v>20200410</v>
      </c>
      <c r="D444" s="23" t="s">
        <v>476</v>
      </c>
      <c r="E444" s="16" t="s">
        <v>280</v>
      </c>
      <c r="F444" s="16" t="s">
        <v>280</v>
      </c>
      <c r="G444" s="10" t="s">
        <v>261</v>
      </c>
      <c r="H444" s="10">
        <v>17</v>
      </c>
      <c r="I444" s="10">
        <v>0.3</v>
      </c>
      <c r="J444" s="10" t="s">
        <v>481</v>
      </c>
      <c r="K444" s="22">
        <v>43934</v>
      </c>
      <c r="L444" s="22">
        <v>43945</v>
      </c>
      <c r="M444" s="22">
        <v>43943</v>
      </c>
      <c r="N444" s="22">
        <v>43943</v>
      </c>
      <c r="O444" s="111" t="s">
        <v>482</v>
      </c>
    </row>
    <row r="445" spans="2:15" ht="15" x14ac:dyDescent="0.2">
      <c r="B445" s="89">
        <v>172</v>
      </c>
      <c r="C445" s="16">
        <v>20200410</v>
      </c>
      <c r="D445" s="23" t="s">
        <v>476</v>
      </c>
      <c r="E445" s="16" t="s">
        <v>280</v>
      </c>
      <c r="F445" s="16" t="s">
        <v>280</v>
      </c>
      <c r="G445" s="10" t="s">
        <v>261</v>
      </c>
      <c r="H445" s="10">
        <v>9</v>
      </c>
      <c r="I445" s="10">
        <v>0.16</v>
      </c>
      <c r="J445" s="10" t="s">
        <v>481</v>
      </c>
      <c r="K445" s="22">
        <v>43934</v>
      </c>
      <c r="L445" s="22">
        <v>43945</v>
      </c>
      <c r="M445" s="22">
        <v>43943</v>
      </c>
      <c r="N445" s="22">
        <v>43943</v>
      </c>
      <c r="O445" s="111" t="s">
        <v>482</v>
      </c>
    </row>
    <row r="446" spans="2:15" ht="15" x14ac:dyDescent="0.2">
      <c r="B446" s="89">
        <v>173</v>
      </c>
      <c r="C446" s="16">
        <v>20200410</v>
      </c>
      <c r="D446" s="23" t="s">
        <v>476</v>
      </c>
      <c r="E446" s="16" t="s">
        <v>280</v>
      </c>
      <c r="F446" s="16" t="s">
        <v>280</v>
      </c>
      <c r="G446" s="10" t="s">
        <v>260</v>
      </c>
      <c r="H446" s="10">
        <v>123</v>
      </c>
      <c r="I446" s="10">
        <v>2.1800000000000002</v>
      </c>
      <c r="J446" s="10" t="s">
        <v>481</v>
      </c>
      <c r="K446" s="22">
        <v>43934</v>
      </c>
      <c r="L446" s="22">
        <v>43945</v>
      </c>
      <c r="M446" s="22">
        <v>43936</v>
      </c>
      <c r="N446" s="22">
        <v>43936</v>
      </c>
      <c r="O446" s="106" t="s">
        <v>482</v>
      </c>
    </row>
    <row r="447" spans="2:15" ht="15" x14ac:dyDescent="0.2">
      <c r="B447" s="89">
        <v>174</v>
      </c>
      <c r="C447" s="16">
        <v>20200410</v>
      </c>
      <c r="D447" s="23" t="s">
        <v>476</v>
      </c>
      <c r="E447" s="16" t="s">
        <v>280</v>
      </c>
      <c r="F447" s="16" t="s">
        <v>280</v>
      </c>
      <c r="G447" s="10" t="s">
        <v>260</v>
      </c>
      <c r="H447" s="10">
        <v>371</v>
      </c>
      <c r="I447" s="10">
        <v>6.59</v>
      </c>
      <c r="J447" s="10" t="s">
        <v>481</v>
      </c>
      <c r="K447" s="22">
        <v>43934</v>
      </c>
      <c r="L447" s="22">
        <v>43945</v>
      </c>
      <c r="M447" s="22">
        <v>43937</v>
      </c>
      <c r="N447" s="22">
        <v>43937</v>
      </c>
      <c r="O447" s="106" t="s">
        <v>482</v>
      </c>
    </row>
    <row r="448" spans="2:15" ht="15" x14ac:dyDescent="0.2">
      <c r="B448" s="89">
        <v>175</v>
      </c>
      <c r="C448" s="16">
        <v>20200410</v>
      </c>
      <c r="D448" s="23" t="s">
        <v>476</v>
      </c>
      <c r="E448" s="16" t="s">
        <v>280</v>
      </c>
      <c r="F448" s="16" t="s">
        <v>280</v>
      </c>
      <c r="G448" s="10" t="s">
        <v>260</v>
      </c>
      <c r="H448" s="10">
        <v>217</v>
      </c>
      <c r="I448" s="10">
        <v>3.85</v>
      </c>
      <c r="J448" s="10" t="s">
        <v>481</v>
      </c>
      <c r="K448" s="22">
        <v>43934</v>
      </c>
      <c r="L448" s="22">
        <v>43945</v>
      </c>
      <c r="M448" s="22">
        <v>43937</v>
      </c>
      <c r="N448" s="22">
        <v>43937</v>
      </c>
      <c r="O448" s="106" t="s">
        <v>482</v>
      </c>
    </row>
    <row r="449" spans="2:15" ht="15" x14ac:dyDescent="0.2">
      <c r="B449" s="89">
        <v>176</v>
      </c>
      <c r="C449" s="16">
        <v>20200410</v>
      </c>
      <c r="D449" s="23" t="s">
        <v>476</v>
      </c>
      <c r="E449" s="16" t="s">
        <v>280</v>
      </c>
      <c r="F449" s="16" t="s">
        <v>280</v>
      </c>
      <c r="G449" s="10" t="s">
        <v>260</v>
      </c>
      <c r="H449" s="10">
        <v>144</v>
      </c>
      <c r="I449" s="10">
        <v>2.56</v>
      </c>
      <c r="J449" s="10" t="s">
        <v>481</v>
      </c>
      <c r="K449" s="22">
        <v>43934</v>
      </c>
      <c r="L449" s="22">
        <v>43945</v>
      </c>
      <c r="M449" s="22">
        <v>43937</v>
      </c>
      <c r="N449" s="22">
        <v>43937</v>
      </c>
      <c r="O449" s="106" t="s">
        <v>482</v>
      </c>
    </row>
    <row r="450" spans="2:15" ht="15" x14ac:dyDescent="0.2">
      <c r="B450" s="89">
        <v>177</v>
      </c>
      <c r="C450" s="16">
        <v>20200410</v>
      </c>
      <c r="D450" s="23" t="s">
        <v>476</v>
      </c>
      <c r="E450" s="16" t="s">
        <v>280</v>
      </c>
      <c r="F450" s="16" t="s">
        <v>280</v>
      </c>
      <c r="G450" s="10" t="s">
        <v>260</v>
      </c>
      <c r="H450" s="10">
        <v>97</v>
      </c>
      <c r="I450" s="10">
        <v>1.72</v>
      </c>
      <c r="J450" s="10" t="s">
        <v>481</v>
      </c>
      <c r="K450" s="22">
        <v>43934</v>
      </c>
      <c r="L450" s="22">
        <v>43945</v>
      </c>
      <c r="M450" s="22">
        <v>43937</v>
      </c>
      <c r="N450" s="22">
        <v>43937</v>
      </c>
      <c r="O450" s="106" t="s">
        <v>489</v>
      </c>
    </row>
    <row r="451" spans="2:15" ht="15" x14ac:dyDescent="0.2">
      <c r="B451" s="118">
        <v>178</v>
      </c>
      <c r="C451" s="16">
        <v>20200413</v>
      </c>
      <c r="D451" s="23" t="s">
        <v>476</v>
      </c>
      <c r="E451" s="33" t="s">
        <v>75</v>
      </c>
      <c r="F451" s="33" t="s">
        <v>417</v>
      </c>
      <c r="G451" s="10" t="s">
        <v>219</v>
      </c>
      <c r="H451" s="16">
        <v>52</v>
      </c>
      <c r="I451" s="10">
        <v>0.92</v>
      </c>
      <c r="J451" s="10" t="s">
        <v>481</v>
      </c>
      <c r="K451" s="22">
        <v>43934</v>
      </c>
      <c r="L451" s="22">
        <v>43950</v>
      </c>
      <c r="M451" s="22">
        <v>43938</v>
      </c>
      <c r="N451" s="22">
        <v>43938</v>
      </c>
      <c r="O451" s="106" t="s">
        <v>482</v>
      </c>
    </row>
    <row r="452" spans="2:15" ht="15" x14ac:dyDescent="0.2">
      <c r="B452" s="118">
        <v>179</v>
      </c>
      <c r="C452" s="16">
        <v>20200413</v>
      </c>
      <c r="D452" s="23" t="s">
        <v>476</v>
      </c>
      <c r="E452" s="33" t="s">
        <v>75</v>
      </c>
      <c r="F452" s="33" t="s">
        <v>417</v>
      </c>
      <c r="G452" s="10" t="s">
        <v>219</v>
      </c>
      <c r="H452" s="16">
        <v>40</v>
      </c>
      <c r="I452" s="10">
        <v>0.71</v>
      </c>
      <c r="J452" s="10" t="s">
        <v>481</v>
      </c>
      <c r="K452" s="22">
        <v>43934</v>
      </c>
      <c r="L452" s="22">
        <v>43950</v>
      </c>
      <c r="M452" s="22">
        <v>43938</v>
      </c>
      <c r="N452" s="22">
        <v>43938</v>
      </c>
      <c r="O452" s="106" t="s">
        <v>482</v>
      </c>
    </row>
    <row r="453" spans="2:15" ht="15" x14ac:dyDescent="0.2">
      <c r="B453" s="118">
        <v>180</v>
      </c>
      <c r="C453" s="16">
        <v>20200413</v>
      </c>
      <c r="D453" s="23" t="s">
        <v>476</v>
      </c>
      <c r="E453" s="33" t="s">
        <v>75</v>
      </c>
      <c r="F453" s="33" t="s">
        <v>417</v>
      </c>
      <c r="G453" s="10" t="s">
        <v>219</v>
      </c>
      <c r="H453" s="16">
        <v>81</v>
      </c>
      <c r="I453" s="10">
        <v>1.44</v>
      </c>
      <c r="J453" s="10" t="s">
        <v>481</v>
      </c>
      <c r="K453" s="22">
        <v>43934</v>
      </c>
      <c r="L453" s="22">
        <v>43950</v>
      </c>
      <c r="M453" s="22">
        <v>43937</v>
      </c>
      <c r="N453" s="22">
        <v>43937</v>
      </c>
      <c r="O453" s="106" t="s">
        <v>482</v>
      </c>
    </row>
    <row r="454" spans="2:15" ht="15" x14ac:dyDescent="0.2">
      <c r="B454" s="118">
        <v>181</v>
      </c>
      <c r="C454" s="16">
        <v>20200413</v>
      </c>
      <c r="D454" s="23" t="s">
        <v>476</v>
      </c>
      <c r="E454" s="33" t="s">
        <v>75</v>
      </c>
      <c r="F454" s="33" t="s">
        <v>417</v>
      </c>
      <c r="G454" s="10" t="s">
        <v>219</v>
      </c>
      <c r="H454" s="16">
        <v>18</v>
      </c>
      <c r="I454" s="10">
        <v>0.32</v>
      </c>
      <c r="J454" s="10" t="s">
        <v>481</v>
      </c>
      <c r="K454" s="22">
        <v>43934</v>
      </c>
      <c r="L454" s="22">
        <v>43950</v>
      </c>
      <c r="M454" s="22">
        <v>43937</v>
      </c>
      <c r="N454" s="22">
        <v>43937</v>
      </c>
      <c r="O454" s="106" t="s">
        <v>482</v>
      </c>
    </row>
    <row r="455" spans="2:15" ht="15" x14ac:dyDescent="0.2">
      <c r="B455" s="118">
        <v>182</v>
      </c>
      <c r="C455" s="16">
        <v>20200413</v>
      </c>
      <c r="D455" s="23" t="s">
        <v>476</v>
      </c>
      <c r="E455" s="33" t="s">
        <v>75</v>
      </c>
      <c r="F455" s="33" t="s">
        <v>417</v>
      </c>
      <c r="G455" s="10" t="s">
        <v>219</v>
      </c>
      <c r="H455" s="16">
        <v>101</v>
      </c>
      <c r="I455" s="10">
        <v>1.79</v>
      </c>
      <c r="J455" s="10" t="s">
        <v>481</v>
      </c>
      <c r="K455" s="22">
        <v>43934</v>
      </c>
      <c r="L455" s="22">
        <v>43950</v>
      </c>
      <c r="M455" s="22">
        <v>43937</v>
      </c>
      <c r="N455" s="22">
        <v>43937</v>
      </c>
      <c r="O455" s="106" t="s">
        <v>482</v>
      </c>
    </row>
    <row r="456" spans="2:15" ht="15" x14ac:dyDescent="0.2">
      <c r="B456" s="118">
        <v>183</v>
      </c>
      <c r="C456" s="16">
        <v>20200413</v>
      </c>
      <c r="D456" s="23" t="s">
        <v>476</v>
      </c>
      <c r="E456" s="33" t="s">
        <v>75</v>
      </c>
      <c r="F456" s="33" t="s">
        <v>417</v>
      </c>
      <c r="G456" s="10" t="s">
        <v>279</v>
      </c>
      <c r="H456" s="10">
        <v>72</v>
      </c>
      <c r="I456" s="10">
        <v>1.28</v>
      </c>
      <c r="J456" s="10" t="s">
        <v>481</v>
      </c>
      <c r="K456" s="22">
        <v>43934</v>
      </c>
      <c r="L456" s="22">
        <v>43950</v>
      </c>
      <c r="M456" s="22">
        <v>43937</v>
      </c>
      <c r="N456" s="22">
        <v>43937</v>
      </c>
      <c r="O456" s="106" t="s">
        <v>482</v>
      </c>
    </row>
    <row r="457" spans="2:15" ht="15" x14ac:dyDescent="0.2">
      <c r="B457" s="118">
        <v>184</v>
      </c>
      <c r="C457" s="16">
        <v>20200413</v>
      </c>
      <c r="D457" s="23" t="s">
        <v>476</v>
      </c>
      <c r="E457" s="33" t="s">
        <v>75</v>
      </c>
      <c r="F457" s="33" t="s">
        <v>417</v>
      </c>
      <c r="G457" s="10" t="s">
        <v>279</v>
      </c>
      <c r="H457" s="10">
        <v>82</v>
      </c>
      <c r="I457" s="10">
        <v>1.45</v>
      </c>
      <c r="J457" s="10" t="s">
        <v>481</v>
      </c>
      <c r="K457" s="22">
        <v>43934</v>
      </c>
      <c r="L457" s="22">
        <v>43950</v>
      </c>
      <c r="M457" s="22">
        <v>43937</v>
      </c>
      <c r="N457" s="22">
        <v>43937</v>
      </c>
      <c r="O457" s="106" t="s">
        <v>482</v>
      </c>
    </row>
    <row r="458" spans="2:15" ht="15" x14ac:dyDescent="0.2">
      <c r="B458" s="118">
        <v>185</v>
      </c>
      <c r="C458" s="16">
        <v>20200413</v>
      </c>
      <c r="D458" s="23" t="s">
        <v>476</v>
      </c>
      <c r="E458" s="33" t="s">
        <v>75</v>
      </c>
      <c r="F458" s="33" t="s">
        <v>417</v>
      </c>
      <c r="G458" s="10" t="s">
        <v>279</v>
      </c>
      <c r="H458" s="10">
        <v>31</v>
      </c>
      <c r="I458" s="10">
        <v>0.55000000000000004</v>
      </c>
      <c r="J458" s="10" t="s">
        <v>481</v>
      </c>
      <c r="K458" s="22">
        <v>43934</v>
      </c>
      <c r="L458" s="22">
        <v>43950</v>
      </c>
      <c r="M458" s="22">
        <v>43937</v>
      </c>
      <c r="N458" s="22">
        <v>43937</v>
      </c>
      <c r="O458" s="106" t="s">
        <v>482</v>
      </c>
    </row>
    <row r="459" spans="2:15" ht="15" x14ac:dyDescent="0.2">
      <c r="B459" s="118">
        <v>186</v>
      </c>
      <c r="C459" s="16">
        <v>20200413</v>
      </c>
      <c r="D459" s="23" t="s">
        <v>476</v>
      </c>
      <c r="E459" s="33" t="s">
        <v>75</v>
      </c>
      <c r="F459" s="33" t="s">
        <v>417</v>
      </c>
      <c r="G459" s="10" t="s">
        <v>279</v>
      </c>
      <c r="H459" s="10">
        <v>38</v>
      </c>
      <c r="I459" s="10">
        <v>0.67</v>
      </c>
      <c r="J459" s="10" t="s">
        <v>481</v>
      </c>
      <c r="K459" s="22">
        <v>43934</v>
      </c>
      <c r="L459" s="22">
        <v>43950</v>
      </c>
      <c r="M459" s="22">
        <v>43937</v>
      </c>
      <c r="N459" s="22">
        <v>43937</v>
      </c>
      <c r="O459" s="106" t="s">
        <v>482</v>
      </c>
    </row>
    <row r="460" spans="2:15" ht="15" x14ac:dyDescent="0.2">
      <c r="B460" s="118">
        <v>187</v>
      </c>
      <c r="C460" s="16">
        <v>20200413</v>
      </c>
      <c r="D460" s="23" t="s">
        <v>476</v>
      </c>
      <c r="E460" s="33" t="s">
        <v>75</v>
      </c>
      <c r="F460" s="33" t="s">
        <v>417</v>
      </c>
      <c r="G460" s="10" t="s">
        <v>261</v>
      </c>
      <c r="H460" s="10">
        <v>28</v>
      </c>
      <c r="I460" s="10">
        <v>0.49</v>
      </c>
      <c r="J460" s="10" t="s">
        <v>481</v>
      </c>
      <c r="K460" s="22">
        <v>43934</v>
      </c>
      <c r="L460" s="22">
        <v>43950</v>
      </c>
      <c r="M460" s="22">
        <v>43943</v>
      </c>
      <c r="N460" s="22">
        <v>43943</v>
      </c>
      <c r="O460" s="111" t="s">
        <v>482</v>
      </c>
    </row>
    <row r="461" spans="2:15" ht="15" x14ac:dyDescent="0.2">
      <c r="B461" s="118">
        <v>188</v>
      </c>
      <c r="C461" s="16">
        <v>20200413</v>
      </c>
      <c r="D461" s="23" t="s">
        <v>476</v>
      </c>
      <c r="E461" s="33" t="s">
        <v>75</v>
      </c>
      <c r="F461" s="33" t="s">
        <v>417</v>
      </c>
      <c r="G461" s="10" t="s">
        <v>261</v>
      </c>
      <c r="H461" s="10">
        <v>35</v>
      </c>
      <c r="I461" s="10">
        <v>0.62</v>
      </c>
      <c r="J461" s="10" t="s">
        <v>481</v>
      </c>
      <c r="K461" s="22">
        <v>43934</v>
      </c>
      <c r="L461" s="22">
        <v>43950</v>
      </c>
      <c r="M461" s="22">
        <v>43943</v>
      </c>
      <c r="N461" s="22">
        <v>43943</v>
      </c>
      <c r="O461" s="111" t="s">
        <v>482</v>
      </c>
    </row>
    <row r="462" spans="2:15" ht="15" x14ac:dyDescent="0.2">
      <c r="B462" s="118">
        <v>189</v>
      </c>
      <c r="C462" s="16">
        <v>20200413</v>
      </c>
      <c r="D462" s="23" t="s">
        <v>476</v>
      </c>
      <c r="E462" s="33" t="s">
        <v>75</v>
      </c>
      <c r="F462" s="33" t="s">
        <v>417</v>
      </c>
      <c r="G462" s="10" t="s">
        <v>261</v>
      </c>
      <c r="H462" s="10">
        <v>259</v>
      </c>
      <c r="I462" s="10">
        <v>4.5999999999999996</v>
      </c>
      <c r="J462" s="10" t="s">
        <v>481</v>
      </c>
      <c r="K462" s="22">
        <v>43934</v>
      </c>
      <c r="L462" s="22">
        <v>43950</v>
      </c>
      <c r="M462" s="22">
        <v>43943</v>
      </c>
      <c r="N462" s="22">
        <v>43943</v>
      </c>
      <c r="O462" s="111" t="s">
        <v>482</v>
      </c>
    </row>
    <row r="463" spans="2:15" ht="15" x14ac:dyDescent="0.2">
      <c r="B463" s="118">
        <v>190</v>
      </c>
      <c r="C463" s="16">
        <v>20200413</v>
      </c>
      <c r="D463" s="23" t="s">
        <v>476</v>
      </c>
      <c r="E463" s="33" t="s">
        <v>75</v>
      </c>
      <c r="F463" s="33" t="s">
        <v>417</v>
      </c>
      <c r="G463" s="10" t="s">
        <v>261</v>
      </c>
      <c r="H463" s="10">
        <v>67</v>
      </c>
      <c r="I463" s="10">
        <v>1.19</v>
      </c>
      <c r="J463" s="10" t="s">
        <v>481</v>
      </c>
      <c r="K463" s="22">
        <v>43934</v>
      </c>
      <c r="L463" s="22">
        <v>43950</v>
      </c>
      <c r="M463" s="22">
        <v>43945</v>
      </c>
      <c r="N463" s="22">
        <v>43945</v>
      </c>
      <c r="O463" s="111" t="s">
        <v>482</v>
      </c>
    </row>
    <row r="464" spans="2:15" ht="15" x14ac:dyDescent="0.2">
      <c r="B464" s="118">
        <v>191</v>
      </c>
      <c r="C464" s="16">
        <v>20200413</v>
      </c>
      <c r="D464" s="23" t="s">
        <v>476</v>
      </c>
      <c r="E464" s="33" t="s">
        <v>75</v>
      </c>
      <c r="F464" s="33" t="s">
        <v>417</v>
      </c>
      <c r="G464" s="10" t="s">
        <v>260</v>
      </c>
      <c r="H464" s="10">
        <v>11</v>
      </c>
      <c r="I464" s="10">
        <v>0.19</v>
      </c>
      <c r="J464" s="10" t="s">
        <v>481</v>
      </c>
      <c r="K464" s="22">
        <v>43934</v>
      </c>
      <c r="L464" s="22">
        <v>43950</v>
      </c>
      <c r="M464" s="22">
        <v>43938</v>
      </c>
      <c r="N464" s="22">
        <v>43938</v>
      </c>
      <c r="O464" s="106" t="s">
        <v>482</v>
      </c>
    </row>
    <row r="465" spans="2:15" ht="15" x14ac:dyDescent="0.2">
      <c r="B465" s="118">
        <v>192</v>
      </c>
      <c r="C465" s="16">
        <v>20200413</v>
      </c>
      <c r="D465" s="23" t="s">
        <v>476</v>
      </c>
      <c r="E465" s="33" t="s">
        <v>75</v>
      </c>
      <c r="F465" s="33" t="s">
        <v>417</v>
      </c>
      <c r="G465" s="10" t="s">
        <v>260</v>
      </c>
      <c r="H465" s="10">
        <v>148</v>
      </c>
      <c r="I465" s="10">
        <v>2.63</v>
      </c>
      <c r="J465" s="10" t="s">
        <v>481</v>
      </c>
      <c r="K465" s="22">
        <v>43934</v>
      </c>
      <c r="L465" s="22">
        <v>43950</v>
      </c>
      <c r="M465" s="22">
        <v>43938</v>
      </c>
      <c r="N465" s="22">
        <v>43938</v>
      </c>
      <c r="O465" s="106" t="s">
        <v>482</v>
      </c>
    </row>
    <row r="466" spans="2:15" ht="15" x14ac:dyDescent="0.2">
      <c r="B466" s="118">
        <v>193</v>
      </c>
      <c r="C466" s="16">
        <v>20200413</v>
      </c>
      <c r="D466" s="23" t="s">
        <v>476</v>
      </c>
      <c r="E466" s="33" t="s">
        <v>75</v>
      </c>
      <c r="F466" s="33" t="s">
        <v>417</v>
      </c>
      <c r="G466" s="10" t="s">
        <v>260</v>
      </c>
      <c r="H466" s="10">
        <v>33</v>
      </c>
      <c r="I466" s="10">
        <v>0.57999999999999996</v>
      </c>
      <c r="J466" s="10" t="s">
        <v>481</v>
      </c>
      <c r="K466" s="22">
        <v>43934</v>
      </c>
      <c r="L466" s="22">
        <v>43950</v>
      </c>
      <c r="M466" s="22">
        <v>43938</v>
      </c>
      <c r="N466" s="22">
        <v>43938</v>
      </c>
      <c r="O466" s="106" t="s">
        <v>482</v>
      </c>
    </row>
    <row r="467" spans="2:15" ht="15" x14ac:dyDescent="0.2">
      <c r="B467" s="118">
        <v>194</v>
      </c>
      <c r="C467" s="16">
        <v>20200413</v>
      </c>
      <c r="D467" s="23" t="s">
        <v>476</v>
      </c>
      <c r="E467" s="33" t="s">
        <v>75</v>
      </c>
      <c r="F467" s="33" t="s">
        <v>417</v>
      </c>
      <c r="G467" s="10" t="s">
        <v>260</v>
      </c>
      <c r="H467" s="10">
        <v>54</v>
      </c>
      <c r="I467" s="10">
        <v>0.96</v>
      </c>
      <c r="J467" s="10" t="s">
        <v>481</v>
      </c>
      <c r="K467" s="22">
        <v>43934</v>
      </c>
      <c r="L467" s="22">
        <v>43950</v>
      </c>
      <c r="M467" s="22">
        <v>43938</v>
      </c>
      <c r="N467" s="22">
        <v>43938</v>
      </c>
      <c r="O467" s="106" t="s">
        <v>482</v>
      </c>
    </row>
    <row r="468" spans="2:15" ht="15" x14ac:dyDescent="0.2">
      <c r="B468" s="118">
        <v>195</v>
      </c>
      <c r="C468" s="16">
        <v>20200413</v>
      </c>
      <c r="D468" s="23" t="s">
        <v>476</v>
      </c>
      <c r="E468" s="33" t="s">
        <v>75</v>
      </c>
      <c r="F468" s="33" t="s">
        <v>417</v>
      </c>
      <c r="G468" s="10" t="s">
        <v>219</v>
      </c>
      <c r="H468" s="79">
        <v>132</v>
      </c>
      <c r="I468" s="10">
        <v>2.34</v>
      </c>
      <c r="J468" s="10" t="s">
        <v>481</v>
      </c>
      <c r="K468" s="22">
        <v>43934</v>
      </c>
      <c r="L468" s="22">
        <v>43950</v>
      </c>
      <c r="M468" s="22">
        <v>43937</v>
      </c>
      <c r="N468" s="22">
        <v>43937</v>
      </c>
      <c r="O468" s="106" t="s">
        <v>482</v>
      </c>
    </row>
    <row r="469" spans="2:15" ht="15" x14ac:dyDescent="0.2">
      <c r="B469" s="118">
        <v>196</v>
      </c>
      <c r="C469" s="16">
        <v>20200413</v>
      </c>
      <c r="D469" s="23" t="s">
        <v>476</v>
      </c>
      <c r="E469" s="33" t="s">
        <v>75</v>
      </c>
      <c r="F469" s="33" t="s">
        <v>417</v>
      </c>
      <c r="G469" s="10" t="s">
        <v>219</v>
      </c>
      <c r="H469" s="79">
        <v>116</v>
      </c>
      <c r="I469" s="10">
        <v>2.06</v>
      </c>
      <c r="J469" s="10" t="s">
        <v>481</v>
      </c>
      <c r="K469" s="22">
        <v>43934</v>
      </c>
      <c r="L469" s="22">
        <v>43950</v>
      </c>
      <c r="M469" s="22">
        <v>43937</v>
      </c>
      <c r="N469" s="22">
        <v>43937</v>
      </c>
      <c r="O469" s="106" t="s">
        <v>482</v>
      </c>
    </row>
    <row r="470" spans="2:15" ht="15" x14ac:dyDescent="0.2">
      <c r="B470" s="118">
        <v>197</v>
      </c>
      <c r="C470" s="16">
        <v>20200413</v>
      </c>
      <c r="D470" s="23" t="s">
        <v>476</v>
      </c>
      <c r="E470" s="33" t="s">
        <v>75</v>
      </c>
      <c r="F470" s="33" t="s">
        <v>417</v>
      </c>
      <c r="G470" s="10" t="s">
        <v>219</v>
      </c>
      <c r="H470" s="79">
        <v>134</v>
      </c>
      <c r="I470" s="10">
        <v>2.38</v>
      </c>
      <c r="J470" s="10" t="s">
        <v>481</v>
      </c>
      <c r="K470" s="22">
        <v>43934</v>
      </c>
      <c r="L470" s="22">
        <v>43950</v>
      </c>
      <c r="M470" s="22">
        <v>43937</v>
      </c>
      <c r="N470" s="22">
        <v>43937</v>
      </c>
      <c r="O470" s="106" t="s">
        <v>482</v>
      </c>
    </row>
    <row r="471" spans="2:15" ht="15" x14ac:dyDescent="0.2">
      <c r="B471" s="118">
        <v>198</v>
      </c>
      <c r="C471" s="16">
        <v>20200413</v>
      </c>
      <c r="D471" s="23" t="s">
        <v>476</v>
      </c>
      <c r="E471" s="33" t="s">
        <v>75</v>
      </c>
      <c r="F471" s="33" t="s">
        <v>417</v>
      </c>
      <c r="G471" s="10" t="s">
        <v>219</v>
      </c>
      <c r="H471" s="79">
        <v>257</v>
      </c>
      <c r="I471" s="10">
        <v>4.5599999999999996</v>
      </c>
      <c r="J471" s="10" t="s">
        <v>481</v>
      </c>
      <c r="K471" s="22">
        <v>43934</v>
      </c>
      <c r="L471" s="22">
        <v>43950</v>
      </c>
      <c r="M471" s="22">
        <v>43937</v>
      </c>
      <c r="N471" s="22">
        <v>43937</v>
      </c>
      <c r="O471" s="106" t="s">
        <v>482</v>
      </c>
    </row>
    <row r="472" spans="2:15" ht="15" x14ac:dyDescent="0.2">
      <c r="B472" s="118">
        <v>199</v>
      </c>
      <c r="C472" s="16">
        <v>20200413</v>
      </c>
      <c r="D472" s="23" t="s">
        <v>476</v>
      </c>
      <c r="E472" s="33" t="s">
        <v>75</v>
      </c>
      <c r="F472" s="33" t="s">
        <v>417</v>
      </c>
      <c r="G472" s="10" t="s">
        <v>219</v>
      </c>
      <c r="H472" s="79">
        <v>132</v>
      </c>
      <c r="I472" s="10">
        <v>2.34</v>
      </c>
      <c r="J472" s="10" t="s">
        <v>481</v>
      </c>
      <c r="K472" s="22">
        <v>43934</v>
      </c>
      <c r="L472" s="22">
        <v>43950</v>
      </c>
      <c r="M472" s="22">
        <v>43937</v>
      </c>
      <c r="N472" s="22">
        <v>43937</v>
      </c>
      <c r="O472" s="106" t="s">
        <v>482</v>
      </c>
    </row>
    <row r="473" spans="2:15" ht="15" x14ac:dyDescent="0.2">
      <c r="B473" s="118">
        <v>200</v>
      </c>
      <c r="C473" s="16">
        <v>20200413</v>
      </c>
      <c r="D473" s="23" t="s">
        <v>476</v>
      </c>
      <c r="E473" s="33" t="s">
        <v>75</v>
      </c>
      <c r="F473" s="33" t="s">
        <v>417</v>
      </c>
      <c r="G473" s="10" t="s">
        <v>279</v>
      </c>
      <c r="H473" s="10">
        <v>630</v>
      </c>
      <c r="I473" s="10">
        <v>11.2</v>
      </c>
      <c r="J473" s="10" t="s">
        <v>481</v>
      </c>
      <c r="K473" s="22">
        <v>43934</v>
      </c>
      <c r="L473" s="22">
        <v>43950</v>
      </c>
      <c r="M473" s="22">
        <v>43937</v>
      </c>
      <c r="N473" s="22">
        <v>43937</v>
      </c>
      <c r="O473" s="106" t="s">
        <v>482</v>
      </c>
    </row>
    <row r="474" spans="2:15" ht="15" x14ac:dyDescent="0.2">
      <c r="B474" s="118">
        <v>201</v>
      </c>
      <c r="C474" s="16">
        <v>20200413</v>
      </c>
      <c r="D474" s="23" t="s">
        <v>476</v>
      </c>
      <c r="E474" s="33" t="s">
        <v>75</v>
      </c>
      <c r="F474" s="33" t="s">
        <v>417</v>
      </c>
      <c r="G474" s="10" t="s">
        <v>279</v>
      </c>
      <c r="H474" s="10">
        <v>109</v>
      </c>
      <c r="I474" s="10">
        <v>1.93</v>
      </c>
      <c r="J474" s="10" t="s">
        <v>481</v>
      </c>
      <c r="K474" s="22">
        <v>43934</v>
      </c>
      <c r="L474" s="22">
        <v>43950</v>
      </c>
      <c r="M474" s="22">
        <v>43937</v>
      </c>
      <c r="N474" s="22">
        <v>43937</v>
      </c>
      <c r="O474" s="106" t="s">
        <v>482</v>
      </c>
    </row>
    <row r="475" spans="2:15" ht="15" x14ac:dyDescent="0.2">
      <c r="B475" s="118">
        <v>202</v>
      </c>
      <c r="C475" s="16">
        <v>20200413</v>
      </c>
      <c r="D475" s="23" t="s">
        <v>476</v>
      </c>
      <c r="E475" s="33" t="s">
        <v>75</v>
      </c>
      <c r="F475" s="33" t="s">
        <v>417</v>
      </c>
      <c r="G475" s="10" t="s">
        <v>279</v>
      </c>
      <c r="H475" s="10">
        <v>100</v>
      </c>
      <c r="I475" s="10">
        <v>1.77</v>
      </c>
      <c r="J475" s="10" t="s">
        <v>481</v>
      </c>
      <c r="K475" s="22">
        <v>43934</v>
      </c>
      <c r="L475" s="22">
        <v>43950</v>
      </c>
      <c r="M475" s="22">
        <v>43937</v>
      </c>
      <c r="N475" s="22">
        <v>43937</v>
      </c>
      <c r="O475" s="106" t="s">
        <v>482</v>
      </c>
    </row>
    <row r="476" spans="2:15" ht="15" x14ac:dyDescent="0.2">
      <c r="B476" s="118">
        <v>203</v>
      </c>
      <c r="C476" s="16">
        <v>20200413</v>
      </c>
      <c r="D476" s="23" t="s">
        <v>476</v>
      </c>
      <c r="E476" s="33" t="s">
        <v>75</v>
      </c>
      <c r="F476" s="33" t="s">
        <v>417</v>
      </c>
      <c r="G476" s="10" t="s">
        <v>279</v>
      </c>
      <c r="H476" s="10">
        <v>160</v>
      </c>
      <c r="I476" s="10">
        <v>2.84</v>
      </c>
      <c r="J476" s="10" t="s">
        <v>481</v>
      </c>
      <c r="K476" s="22">
        <v>43934</v>
      </c>
      <c r="L476" s="22">
        <v>43950</v>
      </c>
      <c r="M476" s="22">
        <v>43937</v>
      </c>
      <c r="N476" s="22">
        <v>43937</v>
      </c>
      <c r="O476" s="106" t="s">
        <v>482</v>
      </c>
    </row>
    <row r="477" spans="2:15" ht="15" x14ac:dyDescent="0.2">
      <c r="B477" s="118">
        <v>204</v>
      </c>
      <c r="C477" s="16">
        <v>20200413</v>
      </c>
      <c r="D477" s="23" t="s">
        <v>476</v>
      </c>
      <c r="E477" s="33" t="s">
        <v>75</v>
      </c>
      <c r="F477" s="33" t="s">
        <v>417</v>
      </c>
      <c r="G477" s="10" t="s">
        <v>261</v>
      </c>
      <c r="H477" s="10">
        <v>23</v>
      </c>
      <c r="I477" s="10">
        <v>0.4</v>
      </c>
      <c r="J477" s="10" t="s">
        <v>481</v>
      </c>
      <c r="K477" s="22">
        <v>43934</v>
      </c>
      <c r="L477" s="22">
        <v>43950</v>
      </c>
      <c r="M477" s="22">
        <v>43945</v>
      </c>
      <c r="N477" s="22">
        <v>43945</v>
      </c>
      <c r="O477" s="111" t="s">
        <v>482</v>
      </c>
    </row>
    <row r="478" spans="2:15" ht="15" x14ac:dyDescent="0.2">
      <c r="B478" s="118">
        <v>205</v>
      </c>
      <c r="C478" s="16">
        <v>20200413</v>
      </c>
      <c r="D478" s="23" t="s">
        <v>476</v>
      </c>
      <c r="E478" s="33" t="s">
        <v>75</v>
      </c>
      <c r="F478" s="33" t="s">
        <v>417</v>
      </c>
      <c r="G478" s="10" t="s">
        <v>219</v>
      </c>
      <c r="H478" s="16">
        <v>169</v>
      </c>
      <c r="I478" s="10">
        <v>3</v>
      </c>
      <c r="J478" s="10" t="s">
        <v>481</v>
      </c>
      <c r="K478" s="22">
        <v>43934</v>
      </c>
      <c r="L478" s="22">
        <v>43950</v>
      </c>
      <c r="M478" s="22">
        <v>43937</v>
      </c>
      <c r="N478" s="22">
        <v>43937</v>
      </c>
      <c r="O478" s="106" t="s">
        <v>489</v>
      </c>
    </row>
    <row r="479" spans="2:15" ht="15" x14ac:dyDescent="0.2">
      <c r="B479" s="118">
        <v>206</v>
      </c>
      <c r="C479" s="16">
        <v>20200413</v>
      </c>
      <c r="D479" s="23" t="s">
        <v>476</v>
      </c>
      <c r="E479" s="33" t="s">
        <v>75</v>
      </c>
      <c r="F479" s="33" t="s">
        <v>417</v>
      </c>
      <c r="G479" s="10" t="s">
        <v>261</v>
      </c>
      <c r="H479" s="10">
        <v>187</v>
      </c>
      <c r="I479" s="10">
        <v>3.32</v>
      </c>
      <c r="J479" s="10" t="s">
        <v>481</v>
      </c>
      <c r="K479" s="22">
        <v>43934</v>
      </c>
      <c r="L479" s="22">
        <v>43950</v>
      </c>
      <c r="M479" s="22">
        <v>43949</v>
      </c>
      <c r="N479" s="22">
        <v>43949</v>
      </c>
      <c r="O479" s="111" t="s">
        <v>482</v>
      </c>
    </row>
    <row r="480" spans="2:15" ht="15" x14ac:dyDescent="0.2">
      <c r="B480" s="118">
        <v>207</v>
      </c>
      <c r="C480" s="16">
        <v>20200413</v>
      </c>
      <c r="D480" s="23" t="s">
        <v>476</v>
      </c>
      <c r="E480" s="33" t="s">
        <v>75</v>
      </c>
      <c r="F480" s="33" t="s">
        <v>417</v>
      </c>
      <c r="G480" s="10" t="s">
        <v>261</v>
      </c>
      <c r="H480" s="10">
        <v>390</v>
      </c>
      <c r="I480" s="10">
        <v>6.93</v>
      </c>
      <c r="J480" s="10" t="s">
        <v>481</v>
      </c>
      <c r="K480" s="22">
        <v>43934</v>
      </c>
      <c r="L480" s="22">
        <v>43950</v>
      </c>
      <c r="M480" s="22">
        <v>43949</v>
      </c>
      <c r="N480" s="22">
        <v>43949</v>
      </c>
      <c r="O480" s="111" t="s">
        <v>482</v>
      </c>
    </row>
    <row r="481" spans="2:15" ht="15" x14ac:dyDescent="0.2">
      <c r="B481" s="118">
        <v>208</v>
      </c>
      <c r="C481" s="16">
        <v>20200413</v>
      </c>
      <c r="D481" s="23" t="s">
        <v>476</v>
      </c>
      <c r="E481" s="33" t="s">
        <v>75</v>
      </c>
      <c r="F481" s="33" t="s">
        <v>417</v>
      </c>
      <c r="G481" s="10" t="s">
        <v>261</v>
      </c>
      <c r="H481" s="10">
        <v>61</v>
      </c>
      <c r="I481" s="10">
        <v>1.08</v>
      </c>
      <c r="J481" s="10" t="s">
        <v>481</v>
      </c>
      <c r="K481" s="22">
        <v>43934</v>
      </c>
      <c r="L481" s="22">
        <v>43950</v>
      </c>
      <c r="M481" s="22">
        <v>43949</v>
      </c>
      <c r="N481" s="22">
        <v>43949</v>
      </c>
      <c r="O481" s="111" t="s">
        <v>482</v>
      </c>
    </row>
    <row r="482" spans="2:15" ht="15" x14ac:dyDescent="0.2">
      <c r="B482" s="118">
        <v>209</v>
      </c>
      <c r="C482" s="16">
        <v>20200413</v>
      </c>
      <c r="D482" s="23" t="s">
        <v>476</v>
      </c>
      <c r="E482" s="33" t="s">
        <v>75</v>
      </c>
      <c r="F482" s="33" t="s">
        <v>417</v>
      </c>
      <c r="G482" s="10" t="s">
        <v>261</v>
      </c>
      <c r="H482" s="10">
        <v>130</v>
      </c>
      <c r="I482" s="10">
        <v>2.31</v>
      </c>
      <c r="J482" s="10" t="s">
        <v>481</v>
      </c>
      <c r="K482" s="22">
        <v>43934</v>
      </c>
      <c r="L482" s="22">
        <v>43950</v>
      </c>
      <c r="M482" s="22">
        <v>43949</v>
      </c>
      <c r="N482" s="22">
        <v>43949</v>
      </c>
      <c r="O482" s="106" t="s">
        <v>482</v>
      </c>
    </row>
    <row r="483" spans="2:15" ht="15" x14ac:dyDescent="0.2">
      <c r="B483" s="118">
        <v>210</v>
      </c>
      <c r="C483" s="16">
        <v>20200413</v>
      </c>
      <c r="D483" s="23" t="s">
        <v>476</v>
      </c>
      <c r="E483" s="33" t="s">
        <v>75</v>
      </c>
      <c r="F483" s="33" t="s">
        <v>417</v>
      </c>
      <c r="G483" s="10" t="s">
        <v>260</v>
      </c>
      <c r="H483" s="10">
        <v>196</v>
      </c>
      <c r="I483" s="10">
        <v>3.48</v>
      </c>
      <c r="J483" s="10" t="s">
        <v>481</v>
      </c>
      <c r="K483" s="22">
        <v>43934</v>
      </c>
      <c r="L483" s="22">
        <v>43950</v>
      </c>
      <c r="M483" s="22">
        <v>43944</v>
      </c>
      <c r="N483" s="22">
        <v>43944</v>
      </c>
      <c r="O483" s="106" t="s">
        <v>482</v>
      </c>
    </row>
    <row r="484" spans="2:15" ht="15" x14ac:dyDescent="0.2">
      <c r="B484" s="118">
        <v>211</v>
      </c>
      <c r="C484" s="16">
        <v>20200413</v>
      </c>
      <c r="D484" s="23" t="s">
        <v>476</v>
      </c>
      <c r="E484" s="33" t="s">
        <v>75</v>
      </c>
      <c r="F484" s="33" t="s">
        <v>417</v>
      </c>
      <c r="G484" s="10" t="s">
        <v>260</v>
      </c>
      <c r="H484" s="10">
        <v>173</v>
      </c>
      <c r="I484" s="10">
        <v>3.07</v>
      </c>
      <c r="J484" s="10" t="s">
        <v>481</v>
      </c>
      <c r="K484" s="22">
        <v>43934</v>
      </c>
      <c r="L484" s="22">
        <v>43950</v>
      </c>
      <c r="M484" s="22">
        <v>43944</v>
      </c>
      <c r="N484" s="22">
        <v>43944</v>
      </c>
      <c r="O484" s="106" t="s">
        <v>489</v>
      </c>
    </row>
    <row r="485" spans="2:15" ht="15" x14ac:dyDescent="0.2">
      <c r="B485" s="118">
        <v>212</v>
      </c>
      <c r="C485" s="16">
        <v>20200413</v>
      </c>
      <c r="D485" s="23" t="s">
        <v>476</v>
      </c>
      <c r="E485" s="33" t="s">
        <v>75</v>
      </c>
      <c r="F485" s="33" t="s">
        <v>417</v>
      </c>
      <c r="G485" s="10" t="s">
        <v>261</v>
      </c>
      <c r="H485" s="10">
        <v>119</v>
      </c>
      <c r="I485" s="10">
        <v>2.11</v>
      </c>
      <c r="J485" s="10" t="s">
        <v>481</v>
      </c>
      <c r="K485" s="22">
        <v>43934</v>
      </c>
      <c r="L485" s="22">
        <v>43950</v>
      </c>
      <c r="M485" s="22">
        <v>43949</v>
      </c>
      <c r="N485" s="22">
        <v>43949</v>
      </c>
      <c r="O485" s="106" t="s">
        <v>489</v>
      </c>
    </row>
    <row r="486" spans="2:15" ht="15" x14ac:dyDescent="0.2">
      <c r="B486" s="118">
        <v>213</v>
      </c>
      <c r="C486" s="16">
        <v>20200413</v>
      </c>
      <c r="D486" s="23" t="s">
        <v>476</v>
      </c>
      <c r="E486" s="33" t="s">
        <v>75</v>
      </c>
      <c r="F486" s="33" t="s">
        <v>417</v>
      </c>
      <c r="G486" s="10" t="s">
        <v>261</v>
      </c>
      <c r="H486" s="10">
        <v>176</v>
      </c>
      <c r="I486" s="10">
        <v>3.12</v>
      </c>
      <c r="J486" s="10" t="s">
        <v>481</v>
      </c>
      <c r="K486" s="22">
        <v>43934</v>
      </c>
      <c r="L486" s="22">
        <v>43950</v>
      </c>
      <c r="M486" s="22">
        <v>43949</v>
      </c>
      <c r="N486" s="22">
        <v>43949</v>
      </c>
      <c r="O486" s="106" t="s">
        <v>489</v>
      </c>
    </row>
    <row r="487" spans="2:15" ht="15" x14ac:dyDescent="0.2">
      <c r="B487" s="118">
        <v>214</v>
      </c>
      <c r="C487" s="16">
        <v>20200413</v>
      </c>
      <c r="D487" s="23" t="s">
        <v>476</v>
      </c>
      <c r="E487" s="33" t="s">
        <v>75</v>
      </c>
      <c r="F487" s="33" t="s">
        <v>417</v>
      </c>
      <c r="G487" s="10" t="s">
        <v>260</v>
      </c>
      <c r="H487" s="10">
        <v>116</v>
      </c>
      <c r="I487" s="10">
        <v>2.06</v>
      </c>
      <c r="J487" s="10" t="s">
        <v>481</v>
      </c>
      <c r="K487" s="22">
        <v>43934</v>
      </c>
      <c r="L487" s="22">
        <v>43950</v>
      </c>
      <c r="M487" s="22">
        <v>43949</v>
      </c>
      <c r="N487" s="22">
        <v>43949</v>
      </c>
      <c r="O487" s="106" t="s">
        <v>482</v>
      </c>
    </row>
    <row r="488" spans="2:15" ht="15" x14ac:dyDescent="0.2">
      <c r="B488" s="118">
        <v>215</v>
      </c>
      <c r="C488" s="16">
        <v>20200413</v>
      </c>
      <c r="D488" s="23" t="s">
        <v>476</v>
      </c>
      <c r="E488" s="33" t="s">
        <v>75</v>
      </c>
      <c r="F488" s="33" t="s">
        <v>417</v>
      </c>
      <c r="G488" s="10" t="s">
        <v>260</v>
      </c>
      <c r="H488" s="10">
        <v>268</v>
      </c>
      <c r="I488" s="10">
        <v>4.76</v>
      </c>
      <c r="J488" s="10" t="s">
        <v>481</v>
      </c>
      <c r="K488" s="22">
        <v>43934</v>
      </c>
      <c r="L488" s="22">
        <v>43950</v>
      </c>
      <c r="M488" s="22">
        <v>43938</v>
      </c>
      <c r="N488" s="22">
        <v>43938</v>
      </c>
      <c r="O488" s="106" t="s">
        <v>482</v>
      </c>
    </row>
    <row r="489" spans="2:15" ht="15" x14ac:dyDescent="0.2">
      <c r="B489" s="118">
        <v>216</v>
      </c>
      <c r="C489" s="16">
        <v>20200413</v>
      </c>
      <c r="D489" s="23" t="s">
        <v>476</v>
      </c>
      <c r="E489" s="33" t="s">
        <v>75</v>
      </c>
      <c r="F489" s="33" t="s">
        <v>417</v>
      </c>
      <c r="G489" s="10" t="s">
        <v>260</v>
      </c>
      <c r="H489" s="10">
        <v>237</v>
      </c>
      <c r="I489" s="10">
        <v>4.21</v>
      </c>
      <c r="J489" s="10" t="s">
        <v>481</v>
      </c>
      <c r="K489" s="22">
        <v>43934</v>
      </c>
      <c r="L489" s="22">
        <v>43950</v>
      </c>
      <c r="M489" s="22">
        <v>43938</v>
      </c>
      <c r="N489" s="22">
        <v>43938</v>
      </c>
      <c r="O489" s="106" t="s">
        <v>482</v>
      </c>
    </row>
    <row r="490" spans="2:15" ht="15" x14ac:dyDescent="0.2">
      <c r="B490" s="118">
        <v>217</v>
      </c>
      <c r="C490" s="16">
        <v>20200413</v>
      </c>
      <c r="D490" s="23" t="s">
        <v>476</v>
      </c>
      <c r="E490" s="33" t="s">
        <v>75</v>
      </c>
      <c r="F490" s="33" t="s">
        <v>417</v>
      </c>
      <c r="G490" s="10" t="s">
        <v>260</v>
      </c>
      <c r="H490" s="10">
        <v>77</v>
      </c>
      <c r="I490" s="10">
        <v>1.36</v>
      </c>
      <c r="J490" s="10" t="s">
        <v>481</v>
      </c>
      <c r="K490" s="22">
        <v>43934</v>
      </c>
      <c r="L490" s="22">
        <v>43950</v>
      </c>
      <c r="M490" s="22">
        <v>43938</v>
      </c>
      <c r="N490" s="22">
        <v>43938</v>
      </c>
      <c r="O490" s="106" t="s">
        <v>482</v>
      </c>
    </row>
    <row r="491" spans="2:15" ht="15" x14ac:dyDescent="0.2">
      <c r="B491" s="118">
        <v>218</v>
      </c>
      <c r="C491" s="16">
        <v>20200413</v>
      </c>
      <c r="D491" s="23" t="s">
        <v>476</v>
      </c>
      <c r="E491" s="33" t="s">
        <v>75</v>
      </c>
      <c r="F491" s="33" t="s">
        <v>417</v>
      </c>
      <c r="G491" s="10" t="s">
        <v>260</v>
      </c>
      <c r="H491" s="10">
        <v>44</v>
      </c>
      <c r="I491" s="10">
        <v>0.78</v>
      </c>
      <c r="J491" s="10" t="s">
        <v>481</v>
      </c>
      <c r="K491" s="22">
        <v>43934</v>
      </c>
      <c r="L491" s="22">
        <v>43950</v>
      </c>
      <c r="M491" s="22">
        <v>43938</v>
      </c>
      <c r="N491" s="22">
        <v>43938</v>
      </c>
      <c r="O491" s="106" t="s">
        <v>482</v>
      </c>
    </row>
    <row r="492" spans="2:15" ht="15" x14ac:dyDescent="0.2">
      <c r="B492" s="118">
        <v>219</v>
      </c>
      <c r="C492" s="16">
        <v>20200413</v>
      </c>
      <c r="D492" s="23" t="s">
        <v>476</v>
      </c>
      <c r="E492" s="33" t="s">
        <v>75</v>
      </c>
      <c r="F492" s="33" t="s">
        <v>417</v>
      </c>
      <c r="G492" s="10" t="s">
        <v>260</v>
      </c>
      <c r="H492" s="10">
        <v>200</v>
      </c>
      <c r="I492" s="10">
        <v>3.55</v>
      </c>
      <c r="J492" s="10" t="s">
        <v>481</v>
      </c>
      <c r="K492" s="22">
        <v>43934</v>
      </c>
      <c r="L492" s="22">
        <v>43950</v>
      </c>
      <c r="M492" s="22">
        <v>43938</v>
      </c>
      <c r="N492" s="22">
        <v>43938</v>
      </c>
      <c r="O492" s="106" t="s">
        <v>482</v>
      </c>
    </row>
    <row r="493" spans="2:15" ht="15" x14ac:dyDescent="0.2">
      <c r="B493" s="118">
        <v>220</v>
      </c>
      <c r="C493" s="16">
        <v>20200413</v>
      </c>
      <c r="D493" s="23" t="s">
        <v>476</v>
      </c>
      <c r="E493" s="33" t="s">
        <v>75</v>
      </c>
      <c r="F493" s="33" t="s">
        <v>417</v>
      </c>
      <c r="G493" s="10" t="s">
        <v>219</v>
      </c>
      <c r="H493" s="16">
        <v>34</v>
      </c>
      <c r="I493" s="10">
        <v>0.6</v>
      </c>
      <c r="J493" s="10" t="s">
        <v>481</v>
      </c>
      <c r="K493" s="22">
        <v>43934</v>
      </c>
      <c r="L493" s="22">
        <v>43950</v>
      </c>
      <c r="M493" s="22">
        <v>43937</v>
      </c>
      <c r="N493" s="22">
        <v>43937</v>
      </c>
      <c r="O493" s="106" t="s">
        <v>482</v>
      </c>
    </row>
    <row r="494" spans="2:15" ht="15" x14ac:dyDescent="0.2">
      <c r="B494" s="118">
        <v>221</v>
      </c>
      <c r="C494" s="16">
        <v>20200413</v>
      </c>
      <c r="D494" s="23" t="s">
        <v>476</v>
      </c>
      <c r="E494" s="33" t="s">
        <v>75</v>
      </c>
      <c r="F494" s="33" t="s">
        <v>417</v>
      </c>
      <c r="G494" s="10" t="s">
        <v>279</v>
      </c>
      <c r="H494" s="10">
        <v>33</v>
      </c>
      <c r="I494" s="10">
        <v>0.57999999999999996</v>
      </c>
      <c r="J494" s="10" t="s">
        <v>481</v>
      </c>
      <c r="K494" s="22">
        <v>43934</v>
      </c>
      <c r="L494" s="22">
        <v>43950</v>
      </c>
      <c r="M494" s="22">
        <v>43938</v>
      </c>
      <c r="N494" s="22">
        <v>43938</v>
      </c>
      <c r="O494" s="106" t="s">
        <v>482</v>
      </c>
    </row>
    <row r="495" spans="2:15" ht="15" x14ac:dyDescent="0.2">
      <c r="B495" s="118">
        <v>222</v>
      </c>
      <c r="C495" s="16">
        <v>20200413</v>
      </c>
      <c r="D495" s="23" t="s">
        <v>476</v>
      </c>
      <c r="E495" s="33" t="s">
        <v>75</v>
      </c>
      <c r="F495" s="33" t="s">
        <v>417</v>
      </c>
      <c r="G495" s="10" t="s">
        <v>261</v>
      </c>
      <c r="H495" s="10">
        <v>21</v>
      </c>
      <c r="I495" s="10">
        <v>0.37</v>
      </c>
      <c r="J495" s="10" t="s">
        <v>481</v>
      </c>
      <c r="K495" s="22">
        <v>43934</v>
      </c>
      <c r="L495" s="22">
        <v>43950</v>
      </c>
      <c r="M495" s="22">
        <v>43949</v>
      </c>
      <c r="N495" s="22">
        <v>43949</v>
      </c>
      <c r="O495" s="106" t="s">
        <v>482</v>
      </c>
    </row>
    <row r="496" spans="2:15" ht="15" x14ac:dyDescent="0.2">
      <c r="B496" s="118">
        <v>223</v>
      </c>
      <c r="C496" s="16">
        <v>20200413</v>
      </c>
      <c r="D496" s="23" t="s">
        <v>476</v>
      </c>
      <c r="E496" s="33" t="s">
        <v>75</v>
      </c>
      <c r="F496" s="33" t="s">
        <v>417</v>
      </c>
      <c r="G496" s="10" t="s">
        <v>279</v>
      </c>
      <c r="H496" s="10">
        <v>54</v>
      </c>
      <c r="I496" s="10">
        <v>0.96</v>
      </c>
      <c r="J496" s="10" t="s">
        <v>481</v>
      </c>
      <c r="K496" s="22">
        <v>43934</v>
      </c>
      <c r="L496" s="22">
        <v>43950</v>
      </c>
      <c r="M496" s="22">
        <v>43938</v>
      </c>
      <c r="N496" s="22">
        <v>43938</v>
      </c>
      <c r="O496" s="106" t="s">
        <v>482</v>
      </c>
    </row>
    <row r="497" spans="2:15" ht="15" x14ac:dyDescent="0.2">
      <c r="B497" s="118">
        <v>224</v>
      </c>
      <c r="C497" s="16">
        <v>20200413</v>
      </c>
      <c r="D497" s="23" t="s">
        <v>476</v>
      </c>
      <c r="E497" s="33" t="s">
        <v>75</v>
      </c>
      <c r="F497" s="33" t="s">
        <v>417</v>
      </c>
      <c r="G497" s="10" t="s">
        <v>260</v>
      </c>
      <c r="H497" s="10">
        <v>65</v>
      </c>
      <c r="I497" s="10">
        <v>1.1499999999999999</v>
      </c>
      <c r="J497" s="10" t="s">
        <v>481</v>
      </c>
      <c r="K497" s="22">
        <v>43934</v>
      </c>
      <c r="L497" s="22">
        <v>43950</v>
      </c>
      <c r="M497" s="22">
        <v>43938</v>
      </c>
      <c r="N497" s="22">
        <v>43938</v>
      </c>
      <c r="O497" s="106" t="s">
        <v>482</v>
      </c>
    </row>
    <row r="498" spans="2:15" ht="15" x14ac:dyDescent="0.2">
      <c r="B498" s="118">
        <v>225</v>
      </c>
      <c r="C498" s="16">
        <v>20200413</v>
      </c>
      <c r="D498" s="23" t="s">
        <v>476</v>
      </c>
      <c r="E498" s="33" t="s">
        <v>75</v>
      </c>
      <c r="F498" s="33" t="s">
        <v>417</v>
      </c>
      <c r="G498" s="10" t="s">
        <v>260</v>
      </c>
      <c r="H498" s="10">
        <v>149</v>
      </c>
      <c r="I498" s="10">
        <v>2.64</v>
      </c>
      <c r="J498" s="10" t="s">
        <v>481</v>
      </c>
      <c r="K498" s="22">
        <v>43934</v>
      </c>
      <c r="L498" s="22">
        <v>43950</v>
      </c>
      <c r="M498" s="22">
        <v>43938</v>
      </c>
      <c r="N498" s="22">
        <v>43938</v>
      </c>
      <c r="O498" s="106" t="s">
        <v>482</v>
      </c>
    </row>
    <row r="499" spans="2:15" ht="15" x14ac:dyDescent="0.2">
      <c r="B499" s="118">
        <v>226</v>
      </c>
      <c r="C499" s="16">
        <v>20200413</v>
      </c>
      <c r="D499" s="23" t="s">
        <v>476</v>
      </c>
      <c r="E499" s="33" t="s">
        <v>75</v>
      </c>
      <c r="F499" s="33" t="s">
        <v>417</v>
      </c>
      <c r="G499" s="10" t="s">
        <v>260</v>
      </c>
      <c r="H499" s="10">
        <v>200</v>
      </c>
      <c r="I499" s="10">
        <v>3.55</v>
      </c>
      <c r="J499" s="10" t="s">
        <v>481</v>
      </c>
      <c r="K499" s="22">
        <v>43934</v>
      </c>
      <c r="L499" s="22">
        <v>43950</v>
      </c>
      <c r="M499" s="22">
        <v>43938</v>
      </c>
      <c r="N499" s="22">
        <v>43938</v>
      </c>
      <c r="O499" s="106" t="s">
        <v>482</v>
      </c>
    </row>
    <row r="500" spans="2:15" ht="15" x14ac:dyDescent="0.2">
      <c r="B500" s="118">
        <v>227</v>
      </c>
      <c r="C500" s="16">
        <v>20200413</v>
      </c>
      <c r="D500" s="23" t="s">
        <v>476</v>
      </c>
      <c r="E500" s="33" t="s">
        <v>75</v>
      </c>
      <c r="F500" s="33" t="s">
        <v>417</v>
      </c>
      <c r="G500" s="10" t="s">
        <v>261</v>
      </c>
      <c r="H500" s="10">
        <v>25</v>
      </c>
      <c r="I500" s="10">
        <v>0.44</v>
      </c>
      <c r="J500" s="10" t="s">
        <v>481</v>
      </c>
      <c r="K500" s="22">
        <v>43934</v>
      </c>
      <c r="L500" s="22">
        <v>43950</v>
      </c>
      <c r="M500" s="22">
        <v>43949</v>
      </c>
      <c r="N500" s="22">
        <v>43949</v>
      </c>
      <c r="O500" s="106" t="s">
        <v>482</v>
      </c>
    </row>
    <row r="501" spans="2:15" ht="15" x14ac:dyDescent="0.2">
      <c r="B501" s="118">
        <v>228</v>
      </c>
      <c r="C501" s="16">
        <v>20200413</v>
      </c>
      <c r="D501" s="23" t="s">
        <v>476</v>
      </c>
      <c r="E501" s="33" t="s">
        <v>75</v>
      </c>
      <c r="F501" s="33" t="s">
        <v>417</v>
      </c>
      <c r="G501" s="10" t="s">
        <v>219</v>
      </c>
      <c r="H501" s="16">
        <v>82</v>
      </c>
      <c r="I501" s="10">
        <v>1.45</v>
      </c>
      <c r="J501" s="10" t="s">
        <v>481</v>
      </c>
      <c r="K501" s="22">
        <v>43934</v>
      </c>
      <c r="L501" s="22">
        <v>43950</v>
      </c>
      <c r="M501" s="22">
        <v>43937</v>
      </c>
      <c r="N501" s="22">
        <v>43937</v>
      </c>
      <c r="O501" s="106" t="s">
        <v>482</v>
      </c>
    </row>
    <row r="502" spans="2:15" ht="15" x14ac:dyDescent="0.2">
      <c r="B502" s="118">
        <v>229</v>
      </c>
      <c r="C502" s="16">
        <v>20200413</v>
      </c>
      <c r="D502" s="23" t="s">
        <v>476</v>
      </c>
      <c r="E502" s="33" t="s">
        <v>75</v>
      </c>
      <c r="F502" s="33" t="s">
        <v>417</v>
      </c>
      <c r="G502" s="10" t="s">
        <v>279</v>
      </c>
      <c r="H502" s="10">
        <v>46</v>
      </c>
      <c r="I502" s="10">
        <v>0.81</v>
      </c>
      <c r="J502" s="10" t="s">
        <v>481</v>
      </c>
      <c r="K502" s="22">
        <v>43934</v>
      </c>
      <c r="L502" s="22">
        <v>43950</v>
      </c>
      <c r="M502" s="22">
        <v>43938</v>
      </c>
      <c r="N502" s="22">
        <v>43938</v>
      </c>
      <c r="O502" s="106" t="s">
        <v>482</v>
      </c>
    </row>
    <row r="503" spans="2:15" ht="15" x14ac:dyDescent="0.2">
      <c r="B503" s="118">
        <v>230</v>
      </c>
      <c r="C503" s="16">
        <v>20200413</v>
      </c>
      <c r="D503" s="23" t="s">
        <v>476</v>
      </c>
      <c r="E503" s="33" t="s">
        <v>75</v>
      </c>
      <c r="F503" s="33" t="s">
        <v>417</v>
      </c>
      <c r="G503" s="10" t="s">
        <v>279</v>
      </c>
      <c r="H503" s="10">
        <v>441</v>
      </c>
      <c r="I503" s="10">
        <v>7.84</v>
      </c>
      <c r="J503" s="10" t="s">
        <v>481</v>
      </c>
      <c r="K503" s="22">
        <v>43934</v>
      </c>
      <c r="L503" s="22">
        <v>43950</v>
      </c>
      <c r="M503" s="22">
        <v>43938</v>
      </c>
      <c r="N503" s="22">
        <v>43938</v>
      </c>
      <c r="O503" s="106" t="s">
        <v>482</v>
      </c>
    </row>
    <row r="504" spans="2:15" ht="15" x14ac:dyDescent="0.2">
      <c r="B504" s="118">
        <v>231</v>
      </c>
      <c r="C504" s="16">
        <v>20200413</v>
      </c>
      <c r="D504" s="23" t="s">
        <v>476</v>
      </c>
      <c r="E504" s="33" t="s">
        <v>75</v>
      </c>
      <c r="F504" s="33" t="s">
        <v>417</v>
      </c>
      <c r="G504" s="10" t="s">
        <v>260</v>
      </c>
      <c r="H504" s="10">
        <v>29</v>
      </c>
      <c r="I504" s="10">
        <v>0.51</v>
      </c>
      <c r="J504" s="10" t="s">
        <v>481</v>
      </c>
      <c r="K504" s="22">
        <v>43934</v>
      </c>
      <c r="L504" s="22">
        <v>43950</v>
      </c>
      <c r="M504" s="22">
        <v>43938</v>
      </c>
      <c r="N504" s="22">
        <v>43938</v>
      </c>
      <c r="O504" s="106" t="s">
        <v>482</v>
      </c>
    </row>
    <row r="505" spans="2:15" ht="15" x14ac:dyDescent="0.2">
      <c r="B505" s="118">
        <v>232</v>
      </c>
      <c r="C505" s="16">
        <v>20200413</v>
      </c>
      <c r="D505" s="23" t="s">
        <v>476</v>
      </c>
      <c r="E505" s="33" t="s">
        <v>75</v>
      </c>
      <c r="F505" s="33" t="s">
        <v>417</v>
      </c>
      <c r="G505" s="10" t="s">
        <v>219</v>
      </c>
      <c r="H505" s="16">
        <v>124</v>
      </c>
      <c r="I505" s="10">
        <v>2.2000000000000002</v>
      </c>
      <c r="J505" s="10" t="s">
        <v>481</v>
      </c>
      <c r="K505" s="22">
        <v>43934</v>
      </c>
      <c r="L505" s="22">
        <v>43950</v>
      </c>
      <c r="M505" s="22">
        <v>43937</v>
      </c>
      <c r="N505" s="22">
        <v>43937</v>
      </c>
      <c r="O505" s="106" t="s">
        <v>482</v>
      </c>
    </row>
    <row r="506" spans="2:15" ht="15" x14ac:dyDescent="0.2">
      <c r="B506" s="118">
        <v>233</v>
      </c>
      <c r="C506" s="16">
        <v>20200413</v>
      </c>
      <c r="D506" s="23" t="s">
        <v>476</v>
      </c>
      <c r="E506" s="33" t="s">
        <v>75</v>
      </c>
      <c r="F506" s="33" t="s">
        <v>417</v>
      </c>
      <c r="G506" s="10" t="s">
        <v>261</v>
      </c>
      <c r="H506" s="10">
        <v>61</v>
      </c>
      <c r="I506" s="10">
        <v>1.08</v>
      </c>
      <c r="J506" s="10" t="s">
        <v>481</v>
      </c>
      <c r="K506" s="22">
        <v>43934</v>
      </c>
      <c r="L506" s="22">
        <v>43950</v>
      </c>
      <c r="M506" s="22">
        <v>43949</v>
      </c>
      <c r="N506" s="22">
        <v>43949</v>
      </c>
      <c r="O506" s="106" t="s">
        <v>482</v>
      </c>
    </row>
    <row r="507" spans="2:15" ht="15" x14ac:dyDescent="0.2">
      <c r="B507" s="118">
        <v>234</v>
      </c>
      <c r="C507" s="16">
        <v>20200413</v>
      </c>
      <c r="D507" s="23" t="s">
        <v>476</v>
      </c>
      <c r="E507" s="33" t="s">
        <v>75</v>
      </c>
      <c r="F507" s="33" t="s">
        <v>417</v>
      </c>
      <c r="G507" s="10" t="s">
        <v>279</v>
      </c>
      <c r="H507" s="10">
        <v>42</v>
      </c>
      <c r="I507" s="10">
        <v>0.74</v>
      </c>
      <c r="J507" s="10" t="s">
        <v>481</v>
      </c>
      <c r="K507" s="22">
        <v>43934</v>
      </c>
      <c r="L507" s="22">
        <v>43950</v>
      </c>
      <c r="M507" s="22">
        <v>43938</v>
      </c>
      <c r="N507" s="22">
        <v>43938</v>
      </c>
      <c r="O507" s="106" t="s">
        <v>482</v>
      </c>
    </row>
    <row r="508" spans="2:15" ht="15" x14ac:dyDescent="0.2">
      <c r="B508" s="118">
        <v>235</v>
      </c>
      <c r="C508" s="16">
        <v>20200413</v>
      </c>
      <c r="D508" s="23" t="s">
        <v>476</v>
      </c>
      <c r="E508" s="33" t="s">
        <v>75</v>
      </c>
      <c r="F508" s="33" t="s">
        <v>417</v>
      </c>
      <c r="G508" s="10" t="s">
        <v>279</v>
      </c>
      <c r="H508" s="10">
        <v>40</v>
      </c>
      <c r="I508" s="10">
        <v>0.71</v>
      </c>
      <c r="J508" s="10" t="s">
        <v>481</v>
      </c>
      <c r="K508" s="22">
        <v>43934</v>
      </c>
      <c r="L508" s="22">
        <v>43950</v>
      </c>
      <c r="M508" s="22">
        <v>43938</v>
      </c>
      <c r="N508" s="22">
        <v>43938</v>
      </c>
      <c r="O508" s="106" t="s">
        <v>482</v>
      </c>
    </row>
    <row r="509" spans="2:15" ht="15" x14ac:dyDescent="0.2">
      <c r="B509" s="23">
        <v>236</v>
      </c>
      <c r="C509" s="16">
        <v>20200413</v>
      </c>
      <c r="D509" s="23" t="s">
        <v>476</v>
      </c>
      <c r="E509" s="33" t="s">
        <v>353</v>
      </c>
      <c r="F509" s="33" t="s">
        <v>353</v>
      </c>
      <c r="G509" s="10" t="s">
        <v>261</v>
      </c>
      <c r="H509" s="10">
        <v>259</v>
      </c>
      <c r="I509" s="10">
        <v>4.5999999999999996</v>
      </c>
      <c r="J509" s="10" t="s">
        <v>823</v>
      </c>
      <c r="K509" s="22">
        <v>43963</v>
      </c>
      <c r="L509" s="22">
        <v>43964</v>
      </c>
      <c r="M509" s="22">
        <v>43963</v>
      </c>
      <c r="N509" s="22">
        <v>43963</v>
      </c>
      <c r="O509" s="106" t="s">
        <v>489</v>
      </c>
    </row>
    <row r="510" spans="2:15" ht="15" x14ac:dyDescent="0.2">
      <c r="B510" s="23">
        <v>237</v>
      </c>
      <c r="C510" s="16">
        <v>20200413</v>
      </c>
      <c r="D510" s="23" t="s">
        <v>476</v>
      </c>
      <c r="E510" s="33" t="s">
        <v>353</v>
      </c>
      <c r="F510" s="33" t="s">
        <v>353</v>
      </c>
      <c r="G510" s="10" t="s">
        <v>261</v>
      </c>
      <c r="H510" s="10">
        <v>19</v>
      </c>
      <c r="I510" s="10">
        <v>0.33</v>
      </c>
      <c r="J510" s="10" t="s">
        <v>823</v>
      </c>
      <c r="K510" s="22">
        <v>43963</v>
      </c>
      <c r="L510" s="22">
        <v>43964</v>
      </c>
      <c r="M510" s="22">
        <v>43963</v>
      </c>
      <c r="N510" s="22">
        <v>43963</v>
      </c>
      <c r="O510" s="106" t="s">
        <v>482</v>
      </c>
    </row>
    <row r="511" spans="2:15" ht="15" x14ac:dyDescent="0.2">
      <c r="B511" s="23">
        <v>238</v>
      </c>
      <c r="C511" s="16">
        <v>20200413</v>
      </c>
      <c r="D511" s="23" t="s">
        <v>476</v>
      </c>
      <c r="E511" s="33" t="s">
        <v>353</v>
      </c>
      <c r="F511" s="33" t="s">
        <v>353</v>
      </c>
      <c r="G511" s="10" t="s">
        <v>261</v>
      </c>
      <c r="H511" s="10">
        <v>20</v>
      </c>
      <c r="I511" s="10">
        <v>0.35</v>
      </c>
      <c r="J511" s="10" t="s">
        <v>823</v>
      </c>
      <c r="K511" s="22">
        <v>43963</v>
      </c>
      <c r="L511" s="22">
        <v>43964</v>
      </c>
      <c r="M511" s="22">
        <v>43963</v>
      </c>
      <c r="N511" s="22">
        <v>43963</v>
      </c>
      <c r="O511" s="106" t="s">
        <v>482</v>
      </c>
    </row>
    <row r="512" spans="2:15" ht="15" x14ac:dyDescent="0.2">
      <c r="B512" s="23">
        <v>239</v>
      </c>
      <c r="C512" s="16">
        <v>20200413</v>
      </c>
      <c r="D512" s="23" t="s">
        <v>476</v>
      </c>
      <c r="E512" s="33" t="s">
        <v>353</v>
      </c>
      <c r="F512" s="33" t="s">
        <v>353</v>
      </c>
      <c r="G512" s="10" t="s">
        <v>261</v>
      </c>
      <c r="H512" s="10">
        <v>230</v>
      </c>
      <c r="I512" s="10">
        <v>4.08</v>
      </c>
      <c r="J512" s="10" t="s">
        <v>823</v>
      </c>
      <c r="K512" s="22">
        <v>43963</v>
      </c>
      <c r="L512" s="22">
        <v>43964</v>
      </c>
      <c r="M512" s="22">
        <v>43963</v>
      </c>
      <c r="N512" s="22">
        <v>43963</v>
      </c>
      <c r="O512" s="106" t="s">
        <v>482</v>
      </c>
    </row>
    <row r="513" spans="2:15" ht="15" x14ac:dyDescent="0.2">
      <c r="B513" s="23">
        <v>240</v>
      </c>
      <c r="C513" s="16">
        <v>20200413</v>
      </c>
      <c r="D513" s="23" t="s">
        <v>476</v>
      </c>
      <c r="E513" s="33" t="s">
        <v>353</v>
      </c>
      <c r="F513" s="33" t="s">
        <v>353</v>
      </c>
      <c r="G513" s="10" t="s">
        <v>279</v>
      </c>
      <c r="H513" s="10">
        <v>106</v>
      </c>
      <c r="I513" s="10">
        <v>1.88</v>
      </c>
      <c r="J513" s="10" t="s">
        <v>823</v>
      </c>
      <c r="K513" s="22">
        <v>43963</v>
      </c>
      <c r="L513" s="22">
        <v>43964</v>
      </c>
      <c r="M513" s="22">
        <v>43963</v>
      </c>
      <c r="N513" s="22">
        <v>43963</v>
      </c>
      <c r="O513" s="106" t="s">
        <v>482</v>
      </c>
    </row>
    <row r="514" spans="2:15" ht="15" x14ac:dyDescent="0.2">
      <c r="B514" s="23">
        <v>241</v>
      </c>
      <c r="C514" s="16">
        <v>20200413</v>
      </c>
      <c r="D514" s="23" t="s">
        <v>476</v>
      </c>
      <c r="E514" s="33" t="s">
        <v>353</v>
      </c>
      <c r="F514" s="33" t="s">
        <v>353</v>
      </c>
      <c r="G514" s="10" t="s">
        <v>279</v>
      </c>
      <c r="H514" s="10">
        <v>44</v>
      </c>
      <c r="I514" s="10">
        <v>0.78</v>
      </c>
      <c r="J514" s="10" t="s">
        <v>823</v>
      </c>
      <c r="K514" s="22">
        <v>43963</v>
      </c>
      <c r="L514" s="22">
        <v>43964</v>
      </c>
      <c r="M514" s="22">
        <v>43963</v>
      </c>
      <c r="N514" s="22">
        <v>43963</v>
      </c>
      <c r="O514" s="106" t="s">
        <v>482</v>
      </c>
    </row>
    <row r="515" spans="2:15" ht="15" x14ac:dyDescent="0.2">
      <c r="B515" s="23">
        <v>242</v>
      </c>
      <c r="C515" s="16">
        <v>20200413</v>
      </c>
      <c r="D515" s="23" t="s">
        <v>476</v>
      </c>
      <c r="E515" s="33" t="s">
        <v>353</v>
      </c>
      <c r="F515" s="33" t="s">
        <v>353</v>
      </c>
      <c r="G515" s="10" t="s">
        <v>279</v>
      </c>
      <c r="H515" s="10">
        <v>160</v>
      </c>
      <c r="I515" s="10">
        <v>2.84</v>
      </c>
      <c r="J515" s="10" t="s">
        <v>823</v>
      </c>
      <c r="K515" s="22">
        <v>43963</v>
      </c>
      <c r="L515" s="22">
        <v>43964</v>
      </c>
      <c r="M515" s="22">
        <v>43963</v>
      </c>
      <c r="N515" s="22">
        <v>43963</v>
      </c>
      <c r="O515" s="106" t="s">
        <v>482</v>
      </c>
    </row>
    <row r="516" spans="2:15" ht="15" x14ac:dyDescent="0.2">
      <c r="B516" s="23">
        <v>243</v>
      </c>
      <c r="C516" s="16">
        <v>20200413</v>
      </c>
      <c r="D516" s="23" t="s">
        <v>476</v>
      </c>
      <c r="E516" s="33" t="s">
        <v>353</v>
      </c>
      <c r="F516" s="33" t="s">
        <v>353</v>
      </c>
      <c r="G516" s="10" t="s">
        <v>279</v>
      </c>
      <c r="H516" s="10">
        <v>23</v>
      </c>
      <c r="I516" s="10">
        <v>0.4</v>
      </c>
      <c r="J516" s="10" t="s">
        <v>823</v>
      </c>
      <c r="K516" s="22">
        <v>43963</v>
      </c>
      <c r="L516" s="22">
        <v>43964</v>
      </c>
      <c r="M516" s="22">
        <v>43963</v>
      </c>
      <c r="N516" s="22">
        <v>43963</v>
      </c>
      <c r="O516" s="106" t="s">
        <v>482</v>
      </c>
    </row>
    <row r="517" spans="2:15" ht="15" x14ac:dyDescent="0.2">
      <c r="B517" s="23">
        <v>244</v>
      </c>
      <c r="C517" s="16">
        <v>20200413</v>
      </c>
      <c r="D517" s="23" t="s">
        <v>476</v>
      </c>
      <c r="E517" s="33" t="s">
        <v>353</v>
      </c>
      <c r="F517" s="33" t="s">
        <v>353</v>
      </c>
      <c r="G517" s="10" t="s">
        <v>279</v>
      </c>
      <c r="H517" s="10">
        <v>125</v>
      </c>
      <c r="I517" s="10">
        <v>2.2200000000000002</v>
      </c>
      <c r="J517" s="10" t="s">
        <v>823</v>
      </c>
      <c r="K517" s="22">
        <v>43963</v>
      </c>
      <c r="L517" s="22">
        <v>43964</v>
      </c>
      <c r="M517" s="22">
        <v>43963</v>
      </c>
      <c r="N517" s="22">
        <v>43963</v>
      </c>
      <c r="O517" s="106" t="s">
        <v>482</v>
      </c>
    </row>
    <row r="518" spans="2:15" ht="15" x14ac:dyDescent="0.2">
      <c r="B518" s="23">
        <v>245</v>
      </c>
      <c r="C518" s="16">
        <v>20200413</v>
      </c>
      <c r="D518" s="23" t="s">
        <v>476</v>
      </c>
      <c r="E518" s="33" t="s">
        <v>353</v>
      </c>
      <c r="F518" s="33" t="s">
        <v>353</v>
      </c>
      <c r="G518" s="10" t="s">
        <v>260</v>
      </c>
      <c r="H518" s="10">
        <v>268</v>
      </c>
      <c r="I518" s="10">
        <v>4.76</v>
      </c>
      <c r="J518" s="10" t="s">
        <v>823</v>
      </c>
      <c r="K518" s="22">
        <v>43963</v>
      </c>
      <c r="L518" s="22">
        <v>43964</v>
      </c>
      <c r="M518" s="22">
        <v>43963</v>
      </c>
      <c r="N518" s="22">
        <v>43963</v>
      </c>
      <c r="O518" s="106" t="s">
        <v>482</v>
      </c>
    </row>
    <row r="519" spans="2:15" ht="15" x14ac:dyDescent="0.2">
      <c r="B519" s="23">
        <v>246</v>
      </c>
      <c r="C519" s="16">
        <v>20200413</v>
      </c>
      <c r="D519" s="23" t="s">
        <v>476</v>
      </c>
      <c r="E519" s="33" t="s">
        <v>353</v>
      </c>
      <c r="F519" s="33" t="s">
        <v>353</v>
      </c>
      <c r="G519" s="10" t="s">
        <v>279</v>
      </c>
      <c r="H519" s="10">
        <v>143</v>
      </c>
      <c r="I519" s="10">
        <v>2.54</v>
      </c>
      <c r="J519" s="10" t="s">
        <v>823</v>
      </c>
      <c r="K519" s="22">
        <v>43963</v>
      </c>
      <c r="L519" s="22">
        <v>43964</v>
      </c>
      <c r="M519" s="22">
        <v>43963</v>
      </c>
      <c r="N519" s="22">
        <v>43963</v>
      </c>
      <c r="O519" s="106" t="s">
        <v>489</v>
      </c>
    </row>
    <row r="520" spans="2:15" ht="15" x14ac:dyDescent="0.2">
      <c r="B520" s="23">
        <v>247</v>
      </c>
      <c r="C520" s="16">
        <v>20200413</v>
      </c>
      <c r="D520" s="23" t="s">
        <v>476</v>
      </c>
      <c r="E520" s="33" t="s">
        <v>353</v>
      </c>
      <c r="F520" s="33" t="s">
        <v>353</v>
      </c>
      <c r="G520" s="10" t="s">
        <v>261</v>
      </c>
      <c r="H520" s="10">
        <v>136</v>
      </c>
      <c r="I520" s="10">
        <v>2.41</v>
      </c>
      <c r="J520" s="10" t="s">
        <v>823</v>
      </c>
      <c r="K520" s="22">
        <v>43963</v>
      </c>
      <c r="L520" s="22">
        <v>43964</v>
      </c>
      <c r="M520" s="22">
        <v>43963</v>
      </c>
      <c r="N520" s="22">
        <v>43963</v>
      </c>
      <c r="O520" s="106" t="s">
        <v>482</v>
      </c>
    </row>
    <row r="521" spans="2:15" ht="15" x14ac:dyDescent="0.2">
      <c r="B521" s="23">
        <v>248</v>
      </c>
      <c r="C521" s="16">
        <v>20200413</v>
      </c>
      <c r="D521" s="23" t="s">
        <v>476</v>
      </c>
      <c r="E521" s="33" t="s">
        <v>353</v>
      </c>
      <c r="F521" s="33" t="s">
        <v>353</v>
      </c>
      <c r="G521" s="10" t="s">
        <v>261</v>
      </c>
      <c r="H521" s="10">
        <v>58</v>
      </c>
      <c r="I521" s="10">
        <v>1.03</v>
      </c>
      <c r="J521" s="10" t="s">
        <v>823</v>
      </c>
      <c r="K521" s="22">
        <v>43963</v>
      </c>
      <c r="L521" s="22">
        <v>43964</v>
      </c>
      <c r="M521" s="22">
        <v>43963</v>
      </c>
      <c r="N521" s="22">
        <v>43963</v>
      </c>
      <c r="O521" s="106" t="s">
        <v>482</v>
      </c>
    </row>
    <row r="522" spans="2:15" ht="15" x14ac:dyDescent="0.2">
      <c r="B522" s="23">
        <v>249</v>
      </c>
      <c r="C522" s="16">
        <v>20200413</v>
      </c>
      <c r="D522" s="23" t="s">
        <v>476</v>
      </c>
      <c r="E522" s="33" t="s">
        <v>353</v>
      </c>
      <c r="F522" s="33" t="s">
        <v>353</v>
      </c>
      <c r="G522" s="10" t="s">
        <v>260</v>
      </c>
      <c r="H522" s="10">
        <v>46</v>
      </c>
      <c r="I522" s="10">
        <v>0.81</v>
      </c>
      <c r="J522" s="10" t="s">
        <v>823</v>
      </c>
      <c r="K522" s="22">
        <v>43963</v>
      </c>
      <c r="L522" s="22">
        <v>43964</v>
      </c>
      <c r="M522" s="22">
        <v>43963</v>
      </c>
      <c r="N522" s="22">
        <v>43963</v>
      </c>
      <c r="O522" s="106" t="s">
        <v>482</v>
      </c>
    </row>
    <row r="523" spans="2:15" ht="15" x14ac:dyDescent="0.2">
      <c r="B523" s="23">
        <v>250</v>
      </c>
      <c r="C523" s="16">
        <v>20200413</v>
      </c>
      <c r="D523" s="23" t="s">
        <v>476</v>
      </c>
      <c r="E523" s="33" t="s">
        <v>353</v>
      </c>
      <c r="F523" s="33" t="s">
        <v>353</v>
      </c>
      <c r="G523" s="10" t="s">
        <v>260</v>
      </c>
      <c r="H523" s="10">
        <v>12</v>
      </c>
      <c r="I523" s="10">
        <v>0.21</v>
      </c>
      <c r="J523" s="10" t="s">
        <v>823</v>
      </c>
      <c r="K523" s="22">
        <v>43963</v>
      </c>
      <c r="L523" s="22">
        <v>43964</v>
      </c>
      <c r="M523" s="22">
        <v>43963</v>
      </c>
      <c r="N523" s="22">
        <v>43963</v>
      </c>
      <c r="O523" s="106" t="s">
        <v>482</v>
      </c>
    </row>
    <row r="524" spans="2:15" ht="15" x14ac:dyDescent="0.2">
      <c r="B524" s="23">
        <v>251</v>
      </c>
      <c r="C524" s="16">
        <v>20200413</v>
      </c>
      <c r="D524" s="23" t="s">
        <v>476</v>
      </c>
      <c r="E524" s="33" t="s">
        <v>353</v>
      </c>
      <c r="F524" s="33" t="s">
        <v>353</v>
      </c>
      <c r="G524" s="10" t="s">
        <v>260</v>
      </c>
      <c r="H524" s="10">
        <v>165</v>
      </c>
      <c r="I524" s="10">
        <v>2.93</v>
      </c>
      <c r="J524" s="10" t="s">
        <v>823</v>
      </c>
      <c r="K524" s="22">
        <v>43963</v>
      </c>
      <c r="L524" s="22">
        <v>43964</v>
      </c>
      <c r="M524" s="22">
        <v>43963</v>
      </c>
      <c r="N524" s="22">
        <v>43963</v>
      </c>
      <c r="O524" s="106" t="s">
        <v>482</v>
      </c>
    </row>
    <row r="525" spans="2:15" ht="15" x14ac:dyDescent="0.2">
      <c r="B525" s="23">
        <v>252</v>
      </c>
      <c r="C525" s="16">
        <v>20200413</v>
      </c>
      <c r="D525" s="23" t="s">
        <v>476</v>
      </c>
      <c r="E525" s="33" t="s">
        <v>353</v>
      </c>
      <c r="F525" s="33" t="s">
        <v>353</v>
      </c>
      <c r="G525" s="10" t="s">
        <v>260</v>
      </c>
      <c r="H525" s="10">
        <v>144</v>
      </c>
      <c r="I525" s="10">
        <v>2.56</v>
      </c>
      <c r="J525" s="10" t="s">
        <v>823</v>
      </c>
      <c r="K525" s="22">
        <v>43963</v>
      </c>
      <c r="L525" s="22">
        <v>43964</v>
      </c>
      <c r="M525" s="22">
        <v>43963</v>
      </c>
      <c r="N525" s="22">
        <v>43963</v>
      </c>
      <c r="O525" s="106" t="s">
        <v>482</v>
      </c>
    </row>
    <row r="526" spans="2:15" ht="15" x14ac:dyDescent="0.2">
      <c r="B526" s="23">
        <v>253</v>
      </c>
      <c r="C526" s="16">
        <v>20200413</v>
      </c>
      <c r="D526" s="23" t="s">
        <v>476</v>
      </c>
      <c r="E526" s="33" t="s">
        <v>353</v>
      </c>
      <c r="F526" s="33" t="s">
        <v>353</v>
      </c>
      <c r="G526" s="10" t="s">
        <v>261</v>
      </c>
      <c r="H526" s="10">
        <v>3</v>
      </c>
      <c r="I526" s="10">
        <v>0.05</v>
      </c>
      <c r="J526" s="10" t="s">
        <v>823</v>
      </c>
      <c r="K526" s="22">
        <v>43963</v>
      </c>
      <c r="L526" s="22">
        <v>43964</v>
      </c>
      <c r="M526" s="22">
        <v>43963</v>
      </c>
      <c r="N526" s="22">
        <v>43963</v>
      </c>
      <c r="O526" s="106" t="s">
        <v>482</v>
      </c>
    </row>
    <row r="527" spans="2:15" ht="15" x14ac:dyDescent="0.2">
      <c r="B527" s="126">
        <v>254</v>
      </c>
      <c r="C527" s="16">
        <v>20200415</v>
      </c>
      <c r="D527" s="23" t="s">
        <v>797</v>
      </c>
      <c r="E527" s="16" t="s">
        <v>30</v>
      </c>
      <c r="F527" s="16" t="s">
        <v>415</v>
      </c>
      <c r="G527" s="10" t="s">
        <v>260</v>
      </c>
      <c r="H527" s="10">
        <v>64</v>
      </c>
      <c r="I527" s="10">
        <v>3.93</v>
      </c>
      <c r="J527" s="10" t="s">
        <v>481</v>
      </c>
      <c r="K527" s="22">
        <v>43937</v>
      </c>
      <c r="L527" s="22">
        <v>43938</v>
      </c>
      <c r="M527" s="22">
        <v>43938</v>
      </c>
      <c r="N527" s="22">
        <v>43938</v>
      </c>
      <c r="O527" s="106" t="s">
        <v>482</v>
      </c>
    </row>
    <row r="528" spans="2:15" ht="15" x14ac:dyDescent="0.25">
      <c r="B528" s="126">
        <v>255</v>
      </c>
      <c r="C528" s="16">
        <v>20200415</v>
      </c>
      <c r="D528" s="23" t="s">
        <v>797</v>
      </c>
      <c r="E528" s="16" t="s">
        <v>30</v>
      </c>
      <c r="F528" s="16" t="s">
        <v>415</v>
      </c>
      <c r="G528" s="10" t="s">
        <v>219</v>
      </c>
      <c r="H528" s="113">
        <v>38</v>
      </c>
      <c r="I528" s="10">
        <v>2.33</v>
      </c>
      <c r="J528" s="10" t="s">
        <v>481</v>
      </c>
      <c r="K528" s="22">
        <v>43937</v>
      </c>
      <c r="L528" s="22">
        <v>43938</v>
      </c>
      <c r="M528" s="22">
        <v>43938</v>
      </c>
      <c r="N528" s="22">
        <v>43938</v>
      </c>
      <c r="O528" s="106" t="s">
        <v>482</v>
      </c>
    </row>
    <row r="529" spans="2:15" ht="15" x14ac:dyDescent="0.2">
      <c r="B529" s="35">
        <v>256</v>
      </c>
      <c r="C529" s="16">
        <v>20200416</v>
      </c>
      <c r="D529" s="23" t="s">
        <v>476</v>
      </c>
      <c r="E529" s="16" t="s">
        <v>201</v>
      </c>
      <c r="F529" s="16" t="s">
        <v>432</v>
      </c>
      <c r="G529" s="10" t="s">
        <v>219</v>
      </c>
      <c r="H529" s="16">
        <v>277</v>
      </c>
      <c r="I529" s="10">
        <v>4.92</v>
      </c>
      <c r="J529" s="10" t="s">
        <v>481</v>
      </c>
      <c r="K529" s="22">
        <v>43937</v>
      </c>
      <c r="L529" s="22">
        <v>43937</v>
      </c>
      <c r="M529" s="22">
        <v>43937</v>
      </c>
      <c r="N529" s="22">
        <v>43937</v>
      </c>
      <c r="O529" s="106" t="s">
        <v>489</v>
      </c>
    </row>
    <row r="530" spans="2:15" ht="15" x14ac:dyDescent="0.2">
      <c r="B530" s="35">
        <v>257</v>
      </c>
      <c r="C530" s="16">
        <v>20200416</v>
      </c>
      <c r="D530" s="23" t="s">
        <v>476</v>
      </c>
      <c r="E530" s="16" t="s">
        <v>201</v>
      </c>
      <c r="F530" s="16" t="s">
        <v>432</v>
      </c>
      <c r="G530" s="10" t="s">
        <v>219</v>
      </c>
      <c r="H530" s="16">
        <v>277</v>
      </c>
      <c r="I530" s="10">
        <v>4.92</v>
      </c>
      <c r="J530" s="10" t="s">
        <v>481</v>
      </c>
      <c r="K530" s="22">
        <v>43937</v>
      </c>
      <c r="L530" s="22">
        <v>43937</v>
      </c>
      <c r="M530" s="22">
        <v>43937</v>
      </c>
      <c r="N530" s="22">
        <v>43937</v>
      </c>
      <c r="O530" s="106" t="s">
        <v>489</v>
      </c>
    </row>
    <row r="531" spans="2:15" ht="15" x14ac:dyDescent="0.2">
      <c r="B531" s="69">
        <v>258</v>
      </c>
      <c r="C531" s="16">
        <v>20200416</v>
      </c>
      <c r="D531" s="23" t="s">
        <v>797</v>
      </c>
      <c r="E531" s="16" t="s">
        <v>362</v>
      </c>
      <c r="F531" s="16" t="s">
        <v>437</v>
      </c>
      <c r="G531" s="10" t="s">
        <v>260</v>
      </c>
      <c r="H531" s="16">
        <v>25</v>
      </c>
      <c r="I531" s="10">
        <v>1.53</v>
      </c>
      <c r="J531" s="10" t="s">
        <v>481</v>
      </c>
      <c r="K531" s="22">
        <v>43938</v>
      </c>
      <c r="L531" s="22">
        <v>43938</v>
      </c>
      <c r="M531" s="22">
        <v>43938</v>
      </c>
      <c r="N531" s="22">
        <v>43938</v>
      </c>
      <c r="O531" s="106" t="s">
        <v>489</v>
      </c>
    </row>
    <row r="532" spans="2:15" ht="15" x14ac:dyDescent="0.2">
      <c r="B532" s="69">
        <v>259</v>
      </c>
      <c r="C532" s="16">
        <v>20200416</v>
      </c>
      <c r="D532" s="23" t="s">
        <v>797</v>
      </c>
      <c r="E532" s="16" t="s">
        <v>172</v>
      </c>
      <c r="F532" s="16" t="s">
        <v>422</v>
      </c>
      <c r="G532" s="10" t="s">
        <v>279</v>
      </c>
      <c r="H532" s="16">
        <v>173</v>
      </c>
      <c r="I532" s="10">
        <v>10.64</v>
      </c>
      <c r="J532" s="10" t="s">
        <v>481</v>
      </c>
      <c r="K532" s="22">
        <v>43938</v>
      </c>
      <c r="L532" s="22">
        <v>43944</v>
      </c>
      <c r="M532" s="22">
        <v>43942</v>
      </c>
      <c r="N532" s="22">
        <v>43948</v>
      </c>
      <c r="O532" s="106" t="s">
        <v>489</v>
      </c>
    </row>
    <row r="533" spans="2:15" ht="15" x14ac:dyDescent="0.2">
      <c r="B533" s="69">
        <v>260</v>
      </c>
      <c r="C533" s="16">
        <v>20200416</v>
      </c>
      <c r="D533" s="23" t="s">
        <v>797</v>
      </c>
      <c r="E533" s="16" t="s">
        <v>365</v>
      </c>
      <c r="F533" s="16" t="s">
        <v>438</v>
      </c>
      <c r="G533" s="10" t="s">
        <v>261</v>
      </c>
      <c r="H533" s="16">
        <v>50</v>
      </c>
      <c r="I533" s="10">
        <v>3.07</v>
      </c>
      <c r="J533" s="10" t="s">
        <v>481</v>
      </c>
      <c r="K533" s="22">
        <v>43938</v>
      </c>
      <c r="L533" s="22">
        <v>43942</v>
      </c>
      <c r="M533" s="22">
        <v>43938</v>
      </c>
      <c r="N533" s="22">
        <v>43938</v>
      </c>
      <c r="O533" s="106" t="s">
        <v>482</v>
      </c>
    </row>
    <row r="534" spans="2:15" ht="15" x14ac:dyDescent="0.2">
      <c r="B534" s="38">
        <v>261</v>
      </c>
      <c r="C534" s="16">
        <v>20200417</v>
      </c>
      <c r="D534" s="23" t="s">
        <v>476</v>
      </c>
      <c r="E534" s="16" t="s">
        <v>365</v>
      </c>
      <c r="F534" s="16" t="s">
        <v>438</v>
      </c>
      <c r="G534" s="10" t="s">
        <v>260</v>
      </c>
      <c r="H534" s="16">
        <v>143</v>
      </c>
      <c r="I534" s="10">
        <v>2.54</v>
      </c>
      <c r="J534" s="10" t="s">
        <v>481</v>
      </c>
      <c r="K534" s="22">
        <v>43938</v>
      </c>
      <c r="L534" s="22">
        <v>43941</v>
      </c>
      <c r="M534" s="22">
        <v>43941</v>
      </c>
      <c r="N534" s="22">
        <v>43941</v>
      </c>
      <c r="O534" s="106" t="s">
        <v>482</v>
      </c>
    </row>
    <row r="535" spans="2:15" ht="15" x14ac:dyDescent="0.2">
      <c r="B535" s="38">
        <v>262</v>
      </c>
      <c r="C535" s="16">
        <v>20200417</v>
      </c>
      <c r="D535" s="23" t="s">
        <v>476</v>
      </c>
      <c r="E535" s="16" t="s">
        <v>365</v>
      </c>
      <c r="F535" s="16" t="s">
        <v>438</v>
      </c>
      <c r="G535" s="10" t="s">
        <v>260</v>
      </c>
      <c r="H535" s="16">
        <v>57</v>
      </c>
      <c r="I535" s="10">
        <v>1.01</v>
      </c>
      <c r="J535" s="10" t="s">
        <v>481</v>
      </c>
      <c r="K535" s="22">
        <v>43938</v>
      </c>
      <c r="L535" s="22">
        <v>43941</v>
      </c>
      <c r="M535" s="22">
        <v>43941</v>
      </c>
      <c r="N535" s="22">
        <v>43941</v>
      </c>
      <c r="O535" s="106" t="s">
        <v>482</v>
      </c>
    </row>
    <row r="536" spans="2:15" ht="15" x14ac:dyDescent="0.2">
      <c r="B536" s="28">
        <v>263</v>
      </c>
      <c r="C536" s="16">
        <v>20200420</v>
      </c>
      <c r="D536" s="23" t="s">
        <v>797</v>
      </c>
      <c r="E536" s="16" t="s">
        <v>369</v>
      </c>
      <c r="F536" s="16" t="s">
        <v>424</v>
      </c>
      <c r="G536" s="10" t="s">
        <v>260</v>
      </c>
      <c r="H536" s="16">
        <v>59</v>
      </c>
      <c r="I536" s="10">
        <v>3.63</v>
      </c>
      <c r="J536" s="10" t="s">
        <v>481</v>
      </c>
      <c r="K536" s="22">
        <v>43942</v>
      </c>
      <c r="L536" s="22">
        <v>43950</v>
      </c>
      <c r="M536" s="22">
        <v>43942</v>
      </c>
      <c r="N536" s="22">
        <v>43942</v>
      </c>
      <c r="O536" s="106" t="s">
        <v>482</v>
      </c>
    </row>
    <row r="537" spans="2:15" ht="15" x14ac:dyDescent="0.2">
      <c r="B537" s="28">
        <v>264</v>
      </c>
      <c r="C537" s="16">
        <v>20200420</v>
      </c>
      <c r="D537" s="23" t="s">
        <v>797</v>
      </c>
      <c r="E537" s="16" t="s">
        <v>226</v>
      </c>
      <c r="F537" s="16" t="s">
        <v>422</v>
      </c>
      <c r="G537" s="10" t="s">
        <v>219</v>
      </c>
      <c r="H537" s="16">
        <v>30</v>
      </c>
      <c r="I537" s="10">
        <v>1.84</v>
      </c>
      <c r="J537" s="10" t="s">
        <v>481</v>
      </c>
      <c r="K537" s="22">
        <v>43942</v>
      </c>
      <c r="L537" s="22">
        <v>43950</v>
      </c>
      <c r="M537" s="22">
        <v>43949</v>
      </c>
      <c r="N537" s="22">
        <v>43949</v>
      </c>
      <c r="O537" s="106" t="s">
        <v>482</v>
      </c>
    </row>
    <row r="538" spans="2:15" ht="15" x14ac:dyDescent="0.2">
      <c r="B538" s="18">
        <v>265</v>
      </c>
      <c r="C538" s="16">
        <v>20200421</v>
      </c>
      <c r="D538" s="23" t="s">
        <v>476</v>
      </c>
      <c r="E538" s="16" t="s">
        <v>143</v>
      </c>
      <c r="F538" s="16" t="s">
        <v>143</v>
      </c>
      <c r="G538" s="10" t="s">
        <v>261</v>
      </c>
      <c r="H538" s="16">
        <v>43</v>
      </c>
      <c r="I538" s="10">
        <v>0.76</v>
      </c>
      <c r="J538" s="10" t="s">
        <v>481</v>
      </c>
      <c r="K538" s="22">
        <v>43942</v>
      </c>
      <c r="L538" s="22">
        <v>43945</v>
      </c>
      <c r="M538" s="22">
        <v>43943</v>
      </c>
      <c r="N538" s="22">
        <v>43943</v>
      </c>
      <c r="O538" s="106" t="s">
        <v>482</v>
      </c>
    </row>
    <row r="539" spans="2:15" ht="15" x14ac:dyDescent="0.2">
      <c r="B539" s="18">
        <v>266</v>
      </c>
      <c r="C539" s="16">
        <v>20200421</v>
      </c>
      <c r="D539" s="23" t="s">
        <v>476</v>
      </c>
      <c r="E539" s="16" t="s">
        <v>373</v>
      </c>
      <c r="F539" s="16" t="s">
        <v>373</v>
      </c>
      <c r="G539" s="10" t="s">
        <v>261</v>
      </c>
      <c r="H539" s="16">
        <v>29</v>
      </c>
      <c r="I539" s="10">
        <v>0.51</v>
      </c>
      <c r="J539" s="10" t="s">
        <v>481</v>
      </c>
      <c r="K539" s="22">
        <v>43942</v>
      </c>
      <c r="L539" s="22">
        <v>43945</v>
      </c>
      <c r="M539" s="22">
        <v>43943</v>
      </c>
      <c r="N539" s="22">
        <v>43943</v>
      </c>
      <c r="O539" s="106" t="s">
        <v>482</v>
      </c>
    </row>
    <row r="540" spans="2:15" ht="15" x14ac:dyDescent="0.2">
      <c r="B540" s="18">
        <v>267</v>
      </c>
      <c r="C540" s="16">
        <v>20200421</v>
      </c>
      <c r="D540" s="23" t="s">
        <v>476</v>
      </c>
      <c r="E540" s="16" t="s">
        <v>375</v>
      </c>
      <c r="F540" s="16" t="s">
        <v>375</v>
      </c>
      <c r="G540" s="10" t="s">
        <v>219</v>
      </c>
      <c r="H540" s="16">
        <v>276</v>
      </c>
      <c r="I540" s="10">
        <v>4.9000000000000004</v>
      </c>
      <c r="J540" s="10" t="s">
        <v>481</v>
      </c>
      <c r="K540" s="22">
        <v>43942</v>
      </c>
      <c r="L540" s="22">
        <v>43945</v>
      </c>
      <c r="M540" s="22">
        <v>43944</v>
      </c>
      <c r="N540" s="22">
        <v>43944</v>
      </c>
      <c r="O540" s="106" t="s">
        <v>482</v>
      </c>
    </row>
    <row r="541" spans="2:15" ht="15" x14ac:dyDescent="0.2">
      <c r="B541" s="18">
        <v>268</v>
      </c>
      <c r="C541" s="16">
        <v>20200421</v>
      </c>
      <c r="D541" s="23" t="s">
        <v>476</v>
      </c>
      <c r="E541" s="16" t="s">
        <v>376</v>
      </c>
      <c r="F541" s="16" t="s">
        <v>376</v>
      </c>
      <c r="G541" s="10" t="s">
        <v>261</v>
      </c>
      <c r="H541" s="16">
        <v>15</v>
      </c>
      <c r="I541" s="10">
        <v>0.26</v>
      </c>
      <c r="J541" s="10" t="s">
        <v>481</v>
      </c>
      <c r="K541" s="22">
        <v>43942</v>
      </c>
      <c r="L541" s="22">
        <v>43945</v>
      </c>
      <c r="M541" s="22">
        <v>43943</v>
      </c>
      <c r="N541" s="22">
        <v>43943</v>
      </c>
      <c r="O541" s="106" t="s">
        <v>482</v>
      </c>
    </row>
    <row r="542" spans="2:15" ht="15" x14ac:dyDescent="0.2">
      <c r="B542" s="18">
        <v>269</v>
      </c>
      <c r="C542" s="16">
        <v>20200421</v>
      </c>
      <c r="D542" s="23" t="s">
        <v>476</v>
      </c>
      <c r="E542" s="16" t="s">
        <v>376</v>
      </c>
      <c r="F542" s="16" t="s">
        <v>376</v>
      </c>
      <c r="G542" s="10" t="s">
        <v>219</v>
      </c>
      <c r="H542" s="16">
        <v>135</v>
      </c>
      <c r="I542" s="10">
        <v>2.4</v>
      </c>
      <c r="J542" s="10" t="s">
        <v>481</v>
      </c>
      <c r="K542" s="22">
        <v>43942</v>
      </c>
      <c r="L542" s="22">
        <v>43945</v>
      </c>
      <c r="M542" s="22">
        <v>43944</v>
      </c>
      <c r="N542" s="22">
        <v>43944</v>
      </c>
      <c r="O542" s="106" t="s">
        <v>482</v>
      </c>
    </row>
    <row r="543" spans="2:15" ht="15" x14ac:dyDescent="0.2">
      <c r="B543" s="18">
        <v>270</v>
      </c>
      <c r="C543" s="16">
        <v>20200421</v>
      </c>
      <c r="D543" s="23" t="s">
        <v>476</v>
      </c>
      <c r="E543" s="16" t="s">
        <v>148</v>
      </c>
      <c r="F543" s="16" t="s">
        <v>148</v>
      </c>
      <c r="G543" s="10" t="s">
        <v>261</v>
      </c>
      <c r="H543" s="16">
        <v>43</v>
      </c>
      <c r="I543" s="10">
        <v>0.76</v>
      </c>
      <c r="J543" s="10" t="s">
        <v>481</v>
      </c>
      <c r="K543" s="22">
        <v>43942</v>
      </c>
      <c r="L543" s="22">
        <v>43945</v>
      </c>
      <c r="M543" s="22">
        <v>43943</v>
      </c>
      <c r="N543" s="22">
        <v>43943</v>
      </c>
      <c r="O543" s="106" t="s">
        <v>482</v>
      </c>
    </row>
    <row r="544" spans="2:15" ht="15" x14ac:dyDescent="0.2">
      <c r="B544" s="18">
        <v>271</v>
      </c>
      <c r="C544" s="16">
        <v>20200421</v>
      </c>
      <c r="D544" s="23" t="s">
        <v>476</v>
      </c>
      <c r="E544" s="16" t="s">
        <v>148</v>
      </c>
      <c r="F544" s="16" t="s">
        <v>148</v>
      </c>
      <c r="G544" s="10" t="s">
        <v>261</v>
      </c>
      <c r="H544" s="16">
        <v>205</v>
      </c>
      <c r="I544" s="10">
        <v>3.64</v>
      </c>
      <c r="J544" s="10" t="s">
        <v>481</v>
      </c>
      <c r="K544" s="22">
        <v>43942</v>
      </c>
      <c r="L544" s="22">
        <v>43945</v>
      </c>
      <c r="M544" s="22">
        <v>43943</v>
      </c>
      <c r="N544" s="22">
        <v>43943</v>
      </c>
      <c r="O544" s="106" t="s">
        <v>482</v>
      </c>
    </row>
    <row r="545" spans="2:15" ht="15" x14ac:dyDescent="0.2">
      <c r="B545" s="18">
        <v>272</v>
      </c>
      <c r="C545" s="16">
        <v>20200421</v>
      </c>
      <c r="D545" s="23" t="s">
        <v>476</v>
      </c>
      <c r="E545" s="16" t="s">
        <v>148</v>
      </c>
      <c r="F545" s="16" t="s">
        <v>148</v>
      </c>
      <c r="G545" s="10" t="s">
        <v>261</v>
      </c>
      <c r="H545" s="16">
        <v>276</v>
      </c>
      <c r="I545" s="10">
        <v>4.9000000000000004</v>
      </c>
      <c r="J545" s="10" t="s">
        <v>481</v>
      </c>
      <c r="K545" s="22">
        <v>43942</v>
      </c>
      <c r="L545" s="22">
        <v>43945</v>
      </c>
      <c r="M545" s="22">
        <v>43943</v>
      </c>
      <c r="N545" s="22">
        <v>43943</v>
      </c>
      <c r="O545" s="106" t="s">
        <v>482</v>
      </c>
    </row>
    <row r="546" spans="2:15" ht="15" x14ac:dyDescent="0.2">
      <c r="B546" s="18">
        <v>273</v>
      </c>
      <c r="C546" s="16">
        <v>20200421</v>
      </c>
      <c r="D546" s="23" t="s">
        <v>476</v>
      </c>
      <c r="E546" s="16" t="s">
        <v>148</v>
      </c>
      <c r="F546" s="16" t="s">
        <v>148</v>
      </c>
      <c r="G546" s="10" t="s">
        <v>260</v>
      </c>
      <c r="H546" s="16">
        <v>15</v>
      </c>
      <c r="I546" s="10">
        <v>0.26</v>
      </c>
      <c r="J546" s="10" t="s">
        <v>481</v>
      </c>
      <c r="K546" s="22">
        <v>43942</v>
      </c>
      <c r="L546" s="22">
        <v>43945</v>
      </c>
      <c r="M546" s="22">
        <v>43942</v>
      </c>
      <c r="N546" s="22">
        <v>43942</v>
      </c>
      <c r="O546" s="106" t="s">
        <v>482</v>
      </c>
    </row>
    <row r="547" spans="2:15" ht="15" x14ac:dyDescent="0.2">
      <c r="B547" s="18">
        <v>274</v>
      </c>
      <c r="C547" s="16">
        <v>20200421</v>
      </c>
      <c r="D547" s="23" t="s">
        <v>476</v>
      </c>
      <c r="E547" s="16" t="s">
        <v>148</v>
      </c>
      <c r="F547" s="16" t="s">
        <v>148</v>
      </c>
      <c r="G547" s="10" t="s">
        <v>219</v>
      </c>
      <c r="H547" s="33">
        <v>106</v>
      </c>
      <c r="I547" s="10">
        <v>1.88</v>
      </c>
      <c r="J547" s="10" t="s">
        <v>481</v>
      </c>
      <c r="K547" s="22">
        <v>43942</v>
      </c>
      <c r="L547" s="22">
        <v>43945</v>
      </c>
      <c r="M547" s="22">
        <v>43944</v>
      </c>
      <c r="N547" s="22">
        <v>43944</v>
      </c>
      <c r="O547" s="106" t="s">
        <v>482</v>
      </c>
    </row>
    <row r="548" spans="2:15" ht="15" x14ac:dyDescent="0.2">
      <c r="B548" s="18">
        <v>275</v>
      </c>
      <c r="C548" s="16">
        <v>20200421</v>
      </c>
      <c r="D548" s="23" t="s">
        <v>476</v>
      </c>
      <c r="E548" s="16" t="s">
        <v>148</v>
      </c>
      <c r="F548" s="16" t="s">
        <v>148</v>
      </c>
      <c r="G548" s="10" t="s">
        <v>219</v>
      </c>
      <c r="H548" s="33">
        <v>53</v>
      </c>
      <c r="I548" s="10">
        <v>0.94</v>
      </c>
      <c r="J548" s="10" t="s">
        <v>481</v>
      </c>
      <c r="K548" s="22">
        <v>43942</v>
      </c>
      <c r="L548" s="22">
        <v>43945</v>
      </c>
      <c r="M548" s="22">
        <v>43944</v>
      </c>
      <c r="N548" s="22">
        <v>43944</v>
      </c>
      <c r="O548" s="106" t="s">
        <v>482</v>
      </c>
    </row>
    <row r="549" spans="2:15" ht="15" x14ac:dyDescent="0.2">
      <c r="B549" s="35">
        <v>276</v>
      </c>
      <c r="C549" s="16">
        <v>20200424</v>
      </c>
      <c r="D549" s="23" t="s">
        <v>797</v>
      </c>
      <c r="E549" s="16" t="s">
        <v>380</v>
      </c>
      <c r="F549" s="16" t="s">
        <v>439</v>
      </c>
      <c r="G549" s="10" t="s">
        <v>261</v>
      </c>
      <c r="H549" s="33">
        <v>121</v>
      </c>
      <c r="I549" s="10">
        <v>7.44</v>
      </c>
      <c r="J549" s="10" t="s">
        <v>750</v>
      </c>
      <c r="K549" s="22">
        <v>43945</v>
      </c>
      <c r="L549" s="22">
        <v>43949</v>
      </c>
      <c r="M549" s="22">
        <v>43948</v>
      </c>
      <c r="N549" s="22">
        <v>43948</v>
      </c>
      <c r="O549" s="106" t="s">
        <v>482</v>
      </c>
    </row>
    <row r="550" spans="2:15" ht="15" x14ac:dyDescent="0.2">
      <c r="B550" s="35">
        <v>277</v>
      </c>
      <c r="C550" s="16">
        <v>20200424</v>
      </c>
      <c r="D550" s="23" t="s">
        <v>797</v>
      </c>
      <c r="E550" s="16" t="s">
        <v>156</v>
      </c>
      <c r="F550" s="16" t="s">
        <v>425</v>
      </c>
      <c r="G550" s="10" t="s">
        <v>260</v>
      </c>
      <c r="H550" s="130">
        <v>60</v>
      </c>
      <c r="I550" s="10">
        <v>3.69</v>
      </c>
      <c r="J550" s="10" t="s">
        <v>750</v>
      </c>
      <c r="K550" s="22">
        <v>43945</v>
      </c>
      <c r="L550" s="22">
        <v>43949</v>
      </c>
      <c r="M550" s="22">
        <v>43948</v>
      </c>
      <c r="N550" s="22">
        <v>43948</v>
      </c>
      <c r="O550" s="106" t="s">
        <v>482</v>
      </c>
    </row>
    <row r="551" spans="2:15" ht="15" x14ac:dyDescent="0.2">
      <c r="B551" s="35">
        <v>278</v>
      </c>
      <c r="C551" s="16">
        <v>20200424</v>
      </c>
      <c r="D551" s="23" t="s">
        <v>797</v>
      </c>
      <c r="E551" s="16" t="s">
        <v>383</v>
      </c>
      <c r="F551" s="16" t="s">
        <v>440</v>
      </c>
      <c r="G551" s="10" t="s">
        <v>279</v>
      </c>
      <c r="H551" s="33">
        <v>70</v>
      </c>
      <c r="I551" s="10">
        <v>4.3</v>
      </c>
      <c r="J551" s="10" t="s">
        <v>750</v>
      </c>
      <c r="K551" s="22">
        <v>43945</v>
      </c>
      <c r="L551" s="22">
        <v>43949</v>
      </c>
      <c r="M551" s="22">
        <v>43949</v>
      </c>
      <c r="N551" s="22">
        <v>43949</v>
      </c>
      <c r="O551" s="106" t="s">
        <v>482</v>
      </c>
    </row>
    <row r="552" spans="2:15" ht="15" x14ac:dyDescent="0.2">
      <c r="B552" s="35">
        <v>279</v>
      </c>
      <c r="C552" s="16">
        <v>20200424</v>
      </c>
      <c r="D552" s="23" t="s">
        <v>797</v>
      </c>
      <c r="E552" s="16" t="s">
        <v>385</v>
      </c>
      <c r="F552" s="16" t="s">
        <v>440</v>
      </c>
      <c r="G552" s="10" t="s">
        <v>219</v>
      </c>
      <c r="H552" s="33">
        <v>110</v>
      </c>
      <c r="I552" s="10">
        <v>6.76</v>
      </c>
      <c r="J552" s="10" t="s">
        <v>750</v>
      </c>
      <c r="K552" s="22">
        <v>43945</v>
      </c>
      <c r="L552" s="22">
        <v>43949</v>
      </c>
      <c r="M552" s="22">
        <v>43949</v>
      </c>
      <c r="N552" s="22">
        <v>43949</v>
      </c>
      <c r="O552" s="106" t="s">
        <v>482</v>
      </c>
    </row>
    <row r="553" spans="2:15" ht="15" x14ac:dyDescent="0.2">
      <c r="B553" s="23">
        <v>280</v>
      </c>
      <c r="C553" s="16">
        <v>20200427</v>
      </c>
      <c r="D553" s="23" t="s">
        <v>797</v>
      </c>
      <c r="E553" s="16" t="s">
        <v>156</v>
      </c>
      <c r="F553" s="16" t="s">
        <v>425</v>
      </c>
      <c r="G553" s="10" t="s">
        <v>261</v>
      </c>
      <c r="H553" s="16">
        <v>99</v>
      </c>
      <c r="I553" s="10">
        <v>6.09</v>
      </c>
      <c r="J553" s="10" t="s">
        <v>750</v>
      </c>
      <c r="K553" s="22">
        <v>43948</v>
      </c>
      <c r="L553" s="22">
        <v>43950</v>
      </c>
      <c r="M553" s="22">
        <v>43950</v>
      </c>
      <c r="N553" s="22">
        <v>43950</v>
      </c>
      <c r="O553" s="106" t="s">
        <v>489</v>
      </c>
    </row>
    <row r="554" spans="2:15" ht="15" x14ac:dyDescent="0.2">
      <c r="B554" s="23">
        <v>281</v>
      </c>
      <c r="C554" s="16">
        <v>20200427</v>
      </c>
      <c r="D554" s="23" t="s">
        <v>797</v>
      </c>
      <c r="E554" s="16" t="s">
        <v>156</v>
      </c>
      <c r="F554" s="16" t="s">
        <v>425</v>
      </c>
      <c r="G554" s="10" t="s">
        <v>261</v>
      </c>
      <c r="H554" s="16">
        <v>70</v>
      </c>
      <c r="I554" s="10">
        <v>4.3</v>
      </c>
      <c r="J554" s="10" t="s">
        <v>750</v>
      </c>
      <c r="K554" s="22">
        <v>43948</v>
      </c>
      <c r="L554" s="22">
        <v>43950</v>
      </c>
      <c r="M554" s="22">
        <v>43950</v>
      </c>
      <c r="N554" s="22">
        <v>43950</v>
      </c>
      <c r="O554" s="106" t="s">
        <v>482</v>
      </c>
    </row>
  </sheetData>
  <conditionalFormatting sqref="D375:D554">
    <cfRule type="cellIs" dxfId="25" priority="17" operator="equal">
      <formula>"PSW"</formula>
    </cfRule>
    <cfRule type="cellIs" dxfId="24" priority="18" operator="equal">
      <formula>"ASW"</formula>
    </cfRule>
  </conditionalFormatting>
  <conditionalFormatting sqref="O385:O396 O398:O554 O375:O383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O397">
    <cfRule type="cellIs" dxfId="21" priority="9" operator="equal">
      <formula>"OK"</formula>
    </cfRule>
    <cfRule type="cellIs" dxfId="20" priority="10" operator="equal">
      <formula>"NG"</formula>
    </cfRule>
  </conditionalFormatting>
  <conditionalFormatting sqref="O384">
    <cfRule type="cellIs" dxfId="19" priority="5" operator="equal">
      <formula>"OK"</formula>
    </cfRule>
    <cfRule type="cellIs" dxfId="18" priority="6" operator="equal">
      <formula>"NG"</formula>
    </cfRule>
  </conditionalFormatting>
  <conditionalFormatting sqref="O3 O7:O56 O58:O156 O158:O227">
    <cfRule type="cellIs" dxfId="17" priority="44" operator="equal">
      <formula>"OK"</formula>
    </cfRule>
    <cfRule type="cellIs" dxfId="16" priority="45" operator="equal">
      <formula>"NG"</formula>
    </cfRule>
  </conditionalFormatting>
  <conditionalFormatting sqref="O4">
    <cfRule type="cellIs" dxfId="15" priority="41" operator="equal">
      <formula>"OK"</formula>
    </cfRule>
    <cfRule type="cellIs" dxfId="14" priority="42" operator="equal">
      <formula>"NG"</formula>
    </cfRule>
  </conditionalFormatting>
  <conditionalFormatting sqref="O5">
    <cfRule type="cellIs" dxfId="13" priority="38" operator="equal">
      <formula>"OK"</formula>
    </cfRule>
    <cfRule type="cellIs" dxfId="12" priority="39" operator="equal">
      <formula>"NG"</formula>
    </cfRule>
  </conditionalFormatting>
  <conditionalFormatting sqref="O6">
    <cfRule type="cellIs" dxfId="11" priority="35" operator="equal">
      <formula>"OK"</formula>
    </cfRule>
    <cfRule type="cellIs" dxfId="10" priority="36" operator="equal">
      <formula>"NG"</formula>
    </cfRule>
  </conditionalFormatting>
  <conditionalFormatting sqref="O57">
    <cfRule type="cellIs" dxfId="9" priority="32" operator="equal">
      <formula>"OK"</formula>
    </cfRule>
    <cfRule type="cellIs" dxfId="8" priority="33" operator="equal">
      <formula>"NG"</formula>
    </cfRule>
  </conditionalFormatting>
  <conditionalFormatting sqref="O244:O245 O247:O374">
    <cfRule type="cellIs" dxfId="7" priority="30" operator="equal">
      <formula>"OK"</formula>
    </cfRule>
    <cfRule type="cellIs" dxfId="6" priority="31" operator="equal">
      <formula>"NG"</formula>
    </cfRule>
  </conditionalFormatting>
  <conditionalFormatting sqref="O228">
    <cfRule type="cellIs" dxfId="5" priority="27" operator="equal">
      <formula>"OK"</formula>
    </cfRule>
    <cfRule type="cellIs" dxfId="4" priority="28" operator="equal">
      <formula>"NG"</formula>
    </cfRule>
  </conditionalFormatting>
  <conditionalFormatting sqref="O229:O243">
    <cfRule type="cellIs" dxfId="3" priority="25" operator="equal">
      <formula>"OK"</formula>
    </cfRule>
    <cfRule type="cellIs" dxfId="2" priority="26" operator="equal">
      <formula>"NG"</formula>
    </cfRule>
  </conditionalFormatting>
  <conditionalFormatting sqref="D228:D374">
    <cfRule type="cellIs" dxfId="1" priority="19" operator="equal">
      <formula>"ASW"</formula>
    </cfRule>
    <cfRule type="cellIs" dxfId="0" priority="20" operator="equal">
      <formula>"PSW"</formula>
    </cfRule>
  </conditionalFormatting>
  <dataValidations count="1">
    <dataValidation type="list" allowBlank="1" showInputMessage="1" showErrorMessage="1" sqref="O3:O156 O158:O227 O244:O245 O247:O554">
      <formula1>"OK,NG"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[Summary_COEM_20200401.xlsx]Table!#REF!</xm:f>
          </x14:formula1>
          <xm:sqref>D375:D554</xm:sqref>
        </x14:dataValidation>
        <x14:dataValidation type="list" allowBlank="1" showInputMessage="1" showErrorMessage="1">
          <x14:formula1>
            <xm:f>[Summary_COEM_20200401.xlsx]Table!#REF!</xm:f>
          </x14:formula1>
          <xm:sqref>G375:G554</xm:sqref>
        </x14:dataValidation>
        <x14:dataValidation type="list" allowBlank="1" showInputMessage="1" showErrorMessage="1">
          <x14:formula1>
            <xm:f>[Summary_COEM_20200401.xlsx]Table!#REF!</xm:f>
          </x14:formula1>
          <xm:sqref>J375:J554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J228:J245 J247:J374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O228:O243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G228:G374</xm:sqref>
        </x14:dataValidation>
        <x14:dataValidation type="list" allowBlank="1" showInputMessage="1" showErrorMessage="1">
          <x14:formula1>
            <xm:f>'\\hc-ut40346c\nhi5hc\hieunguyen\0000_Project\001_Prj\02_JOEM\[Summary_JOEM_COEM_20200501.xlsm]Table'!#REF!</xm:f>
          </x14:formula1>
          <xm:sqref>D228:D374</xm:sqref>
        </x14:dataValidation>
        <x14:dataValidation type="list" allowBlank="1" showInputMessage="1" showErrorMessage="1">
          <x14:formula1>
            <xm:f>'\\hc-ut40346c\nhi5hc\hieunguyen\0000_Project\001_Prj\02_JOEM\[Summary_JOEM_20200401.xlsm]Table'!#REF!</xm:f>
          </x14:formula1>
          <xm:sqref>G3:G227</xm:sqref>
        </x14:dataValidation>
        <x14:dataValidation type="list" allowBlank="1" showInputMessage="1" showErrorMessage="1">
          <x14:formula1>
            <xm:f>'\\hc-ut40346c\nhi5hc\hieunguyen\0000_Project\001_Prj\02_JOEM\[Summary_JOEM_20200401.xlsm]Table'!#REF!</xm:f>
          </x14:formula1>
          <xm:sqref>J3:J77 J79:J156 J158:J227</xm:sqref>
        </x14:dataValidation>
        <x14:dataValidation type="list" allowBlank="1" showInputMessage="1" showErrorMessage="1">
          <x14:formula1>
            <xm:f>'\\hc-ut40346c\nhi5hc\hieunguyen\0000_Project\001_Prj\02_JOEM\[Summary_JOEM_20200401.xlsm]Table'!#REF!</xm:f>
          </x14:formula1>
          <xm:sqref>D3:D227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Sheet3</vt:lpstr>
      <vt:lpstr>Sheet4</vt:lpstr>
      <vt:lpstr>Temp</vt:lpstr>
      <vt:lpstr>Sheet2</vt:lpstr>
      <vt:lpstr>|--&gt;</vt:lpstr>
      <vt:lpstr>Total</vt:lpstr>
      <vt:lpstr>Sheet7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EXTERNAL Nguyen Tuan Duong (Ban Vien, RBVH/EPS45)</dc:creator>
  <cp:lastModifiedBy>EXTERNAL Nguyen Tuan Duong (Ban Vien, RBVH/EPS45)</cp:lastModifiedBy>
  <dcterms:created xsi:type="dcterms:W3CDTF">2020-05-13T01:24:18Z</dcterms:created>
  <dcterms:modified xsi:type="dcterms:W3CDTF">2020-05-13T09:59:40Z</dcterms:modified>
</cp:coreProperties>
</file>