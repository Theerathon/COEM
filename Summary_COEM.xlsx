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70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62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Template_Weekly_Report_Apr" sheetId="5" r:id="rId5"/>
    <sheet name="Report_For_Each_Project" sheetId="6" r:id="rId6"/>
    <sheet name="Table" sheetId="7" r:id="rId7"/>
    <sheet name="Check_List" sheetId="8" r:id="rId8"/>
    <sheet name="|--&gt;" sheetId="9" r:id="rId9"/>
    <sheet name="Weekly_20200327" sheetId="10" r:id="rId10"/>
    <sheet name="Monthly_20200320" sheetId="11" r:id="rId11"/>
  </sheets>
  <definedNames>
    <definedName name="_xlnm._FilterDatabase" localSheetId="0" hidden="1">COEM_Package_20200302!$A$2:$AG$225</definedName>
    <definedName name="_xlnm._FilterDatabase" localSheetId="3" hidden="1">COEM_Package_20200401!$B$2:$AH$49</definedName>
    <definedName name="Z_00B4488D_95A4_4856_B7E0_BFC3373F6C87_.wvu.FilterData" localSheetId="0" hidden="1">COEM_Package_20200302!$A$2:$AG$219</definedName>
    <definedName name="Z_00B4488D_95A4_4856_B7E0_BFC3373F6C87_.wvu.FilterData" localSheetId="3" hidden="1">COEM_Package_20200401!$A$2:$AH$49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COEM_Package_20200401!$A$2:$AH$49</definedName>
    <definedName name="Z_0531E02C_D0F9_496B_B9D8_D7DCB56FE423_.wvu.FilterData" localSheetId="0" hidden="1">COEM_Package_20200302!$A$2:$AG$219</definedName>
    <definedName name="Z_0531E02C_D0F9_496B_B9D8_D7DCB56FE423_.wvu.FilterData" localSheetId="3" hidden="1">COEM_Package_20200401!$A$2:$AH$49</definedName>
    <definedName name="Z_08AD05A3_5E62_433E_8087_DE4F8055323F_.wvu.FilterData" localSheetId="0" hidden="1">COEM_Package_20200302!$A$2:$AG$219</definedName>
    <definedName name="Z_08AD05A3_5E62_433E_8087_DE4F8055323F_.wvu.FilterData" localSheetId="3" hidden="1">COEM_Package_20200401!$A$2:$AH$49</definedName>
    <definedName name="Z_09D01E11_5602_4BFB_B258_BB045597F741_.wvu.FilterData" localSheetId="0" hidden="1">COEM_Package_20200302!$B$2:$AG$219</definedName>
    <definedName name="Z_09D01E11_5602_4BFB_B258_BB045597F741_.wvu.FilterData" localSheetId="3" hidden="1">COEM_Package_20200401!$B$2:$AH$49</definedName>
    <definedName name="Z_0B50C99A_4F8B_4D04_B153_9175FBB2D1A1_.wvu.FilterData" localSheetId="0" hidden="1">COEM_Package_20200302!$A$2:$AG$225</definedName>
    <definedName name="Z_0B50C99A_4F8B_4D04_B153_9175FBB2D1A1_.wvu.FilterData" localSheetId="3" hidden="1">COEM_Package_20200401!$B$2:$AH$49</definedName>
    <definedName name="Z_0CA04276_5960_4E09_A4E8_0B181FA5A0A9_.wvu.FilterData" localSheetId="0" hidden="1">COEM_Package_20200302!$A$2:$AG$219</definedName>
    <definedName name="Z_0CA04276_5960_4E09_A4E8_0B181FA5A0A9_.wvu.FilterData" localSheetId="3" hidden="1">COEM_Package_20200401!$A$2:$AH$49</definedName>
    <definedName name="Z_11411C9A_0810_4019_A59C_236DBD1519E0_.wvu.FilterData" localSheetId="0" hidden="1">COEM_Package_20200302!$A$2:$AG$219</definedName>
    <definedName name="Z_11411C9A_0810_4019_A59C_236DBD1519E0_.wvu.FilterData" localSheetId="3" hidden="1">COEM_Package_20200401!$A$2:$AH$49</definedName>
    <definedName name="Z_12ECA52F_E1F6_4C62_BB28_211497D1C61B_.wvu.FilterData" localSheetId="0" hidden="1">COEM_Package_20200302!$B$2:$AG$219</definedName>
    <definedName name="Z_12ECA52F_E1F6_4C62_BB28_211497D1C61B_.wvu.FilterData" localSheetId="3" hidden="1">COEM_Package_20200401!$B$2:$AH$49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COEM_Package_20200401!$B$2:$AH$49</definedName>
    <definedName name="Z_17568297_DE94_42DB_A62D_8B9302C2B85A_.wvu.FilterData" localSheetId="0" hidden="1">COEM_Package_20200302!$B$2:$AF$160</definedName>
    <definedName name="Z_17568297_DE94_42DB_A62D_8B9302C2B85A_.wvu.FilterData" localSheetId="3" hidden="1">COEM_Package_20200401!$B$2:$AG$49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COEM_Package_20200401!$A$2:$AH$49</definedName>
    <definedName name="Z_189DD86A_197E_4AEE_A3E6_5814482A22F6_.wvu.FilterData" localSheetId="0" hidden="1">COEM_Package_20200302!$A$2:$AG$219</definedName>
    <definedName name="Z_189DD86A_197E_4AEE_A3E6_5814482A22F6_.wvu.FilterData" localSheetId="3" hidden="1">COEM_Package_20200401!$A$2:$AH$49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COEM_Package_20200401!$B$2:$AH$49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COEM_Package_20200401!$A$2:$AH$49</definedName>
    <definedName name="Z_250915DF_0B97_45D7_B29D_7EED4C89C1C1_.wvu.FilterData" localSheetId="0" hidden="1">COEM_Package_20200302!$A$2:$AG$219</definedName>
    <definedName name="Z_250915DF_0B97_45D7_B29D_7EED4C89C1C1_.wvu.FilterData" localSheetId="3" hidden="1">COEM_Package_20200401!$A$2:$AH$49</definedName>
    <definedName name="Z_250A96BD_283B_4529_9CB6_3A77A173C150_.wvu.FilterData" localSheetId="0" hidden="1">COEM_Package_20200302!$B$2:$AG$219</definedName>
    <definedName name="Z_250A96BD_283B_4529_9CB6_3A77A173C150_.wvu.FilterData" localSheetId="3" hidden="1">COEM_Package_20200401!$B$2:$AH$49</definedName>
    <definedName name="Z_2796A872_74B9_41A6_AD05_2D7FFBF27D76_.wvu.FilterData" localSheetId="0" hidden="1">COEM_Package_20200302!$B$2:$AF$160</definedName>
    <definedName name="Z_2796A872_74B9_41A6_AD05_2D7FFBF27D76_.wvu.FilterData" localSheetId="3" hidden="1">COEM_Package_20200401!$B$2:$AG$49</definedName>
    <definedName name="Z_2995490B_49AE_4FB9_A673_71F3589EA65B_.wvu.FilterData" localSheetId="0" hidden="1">COEM_Package_20200302!$A$2:$AG$219</definedName>
    <definedName name="Z_2995490B_49AE_4FB9_A673_71F3589EA65B_.wvu.FilterData" localSheetId="3" hidden="1">COEM_Package_20200401!$A$2:$AH$49</definedName>
    <definedName name="Z_2DAA5E76_B8FF_4CD7_93D9_37F81863218D_.wvu.FilterData" localSheetId="0" hidden="1">COEM_Package_20200302!$P$2:$P$242</definedName>
    <definedName name="Z_2DAA5E76_B8FF_4CD7_93D9_37F81863218D_.wvu.FilterData" localSheetId="3" hidden="1">COEM_Package_20200401!$P$2:$P$66</definedName>
    <definedName name="Z_3209B137_0A1A_4F2D_BBCA_FE6D9DBDF35B_.wvu.FilterData" localSheetId="0" hidden="1">COEM_Package_20200302!$A$2:$AG$219</definedName>
    <definedName name="Z_3209B137_0A1A_4F2D_BBCA_FE6D9DBDF35B_.wvu.FilterData" localSheetId="3" hidden="1">COEM_Package_20200401!$A$2:$AH$49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COEM_Package_20200401!$B$2:$AH$49</definedName>
    <definedName name="Z_36B29EBA_BA12_49AB_A275_F6A1D6C8C11A_.wvu.FilterData" localSheetId="0" hidden="1">COEM_Package_20200302!$A$2:$AG$219</definedName>
    <definedName name="Z_36B29EBA_BA12_49AB_A275_F6A1D6C8C11A_.wvu.FilterData" localSheetId="3" hidden="1">COEM_Package_20200401!$A$2:$AH$49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COEM_Package_20200401!$B$2:$AH$49</definedName>
    <definedName name="Z_3A83DD4B_D5BC_46AA_9637_066A6F10C0C7_.wvu.FilterData" localSheetId="0" hidden="1">COEM_Package_20200302!$A$2:$AG$219</definedName>
    <definedName name="Z_3A83DD4B_D5BC_46AA_9637_066A6F10C0C7_.wvu.FilterData" localSheetId="3" hidden="1">COEM_Package_20200401!$A$2:$AH$49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COEM_Package_20200401!$A$2:$AH$49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COEM_Package_20200401!$B$2:$AH$49</definedName>
    <definedName name="Z_400DF9EB_0384_48D4_A67E_686556C1B492_.wvu.FilterData" localSheetId="0" hidden="1">COEM_Package_20200302!$A$2:$AG$219</definedName>
    <definedName name="Z_400DF9EB_0384_48D4_A67E_686556C1B492_.wvu.FilterData" localSheetId="3" hidden="1">COEM_Package_20200401!$A$2:$AH$49</definedName>
    <definedName name="Z_40C2C641_E735_404F_AD62_31E9BAD1216F_.wvu.FilterData" localSheetId="0" hidden="1">COEM_Package_20200302!$A$2:$AG$219</definedName>
    <definedName name="Z_40C2C641_E735_404F_AD62_31E9BAD1216F_.wvu.FilterData" localSheetId="3" hidden="1">COEM_Package_20200401!$A$2:$AH$49</definedName>
    <definedName name="Z_41B1B4D1_A075_484C_97B9_D2394E82262D_.wvu.FilterData" localSheetId="0" hidden="1">COEM_Package_20200302!$B$2:$AG$219</definedName>
    <definedName name="Z_41B1B4D1_A075_484C_97B9_D2394E82262D_.wvu.FilterData" localSheetId="3" hidden="1">COEM_Package_20200401!$B$2:$AH$49</definedName>
    <definedName name="Z_41B6B490_4439_41A5_84D6_228571039AC9_.wvu.FilterData" localSheetId="0" hidden="1">COEM_Package_20200302!$O$2:$O$242</definedName>
    <definedName name="Z_41B6B490_4439_41A5_84D6_228571039AC9_.wvu.FilterData" localSheetId="3" hidden="1">COEM_Package_20200401!$O$2:$O$66</definedName>
    <definedName name="Z_41E0E866_DA86_4AEB_BF76_E491B63B8D67_.wvu.FilterData" localSheetId="0" hidden="1">COEM_Package_20200302!$A$2:$AG$219</definedName>
    <definedName name="Z_41E0E866_DA86_4AEB_BF76_E491B63B8D67_.wvu.FilterData" localSheetId="3" hidden="1">COEM_Package_20200401!$A$2:$AH$49</definedName>
    <definedName name="Z_4273BB64_909A_4779_AF1B_C6A535984875_.wvu.FilterData" localSheetId="0" hidden="1">COEM_Package_20200302!$A$2:$AG$219</definedName>
    <definedName name="Z_4273BB64_909A_4779_AF1B_C6A535984875_.wvu.FilterData" localSheetId="3" hidden="1">COEM_Package_20200401!$A$2:$AH$49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COEM_Package_20200401!$A$2:$AH$49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COEM_Package_20200302!$A$2:$AG$225</definedName>
    <definedName name="Z_4E06BDBF_2CED_473B_850B_2A6C7311FF41_.wvu.FilterData" localSheetId="3" hidden="1">COEM_Package_20200401!$B$2:$AH$49</definedName>
    <definedName name="Z_4FB3B41F_CA28_4DD6_8996_D23358E75053_.wvu.FilterData" localSheetId="0" hidden="1">COEM_Package_20200302!$B$2:$AG$219</definedName>
    <definedName name="Z_4FB3B41F_CA28_4DD6_8996_D23358E75053_.wvu.FilterData" localSheetId="3" hidden="1">COEM_Package_20200401!$B$2:$AH$49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COEM_Package_20200401!$A$2:$AH$49</definedName>
    <definedName name="Z_52DECCB7_0796_4506_B3E5_D75747700B63_.wvu.FilterData" localSheetId="0" hidden="1">COEM_Package_20200302!$A$2:$AG$219</definedName>
    <definedName name="Z_52DECCB7_0796_4506_B3E5_D75747700B63_.wvu.FilterData" localSheetId="3" hidden="1">COEM_Package_20200401!$A$2:$AH$49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COEM_Package_20200401!$A$2:$AH$49</definedName>
    <definedName name="Z_531D8BB1_1EA1_41B2_896B_A69A6024C4FA_.wvu.FilterData" localSheetId="0" hidden="1">COEM_Package_20200302!$B$2:$AG$219</definedName>
    <definedName name="Z_531D8BB1_1EA1_41B2_896B_A69A6024C4FA_.wvu.FilterData" localSheetId="3" hidden="1">COEM_Package_20200401!$B$2:$AH$49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COEM_Package_20200401!$B$2:$AH$49</definedName>
    <definedName name="Z_59E59F6B_2599_43D1_B9BD_FC6B6842D97D_.wvu.FilterData" localSheetId="3" hidden="1">COEM_Package_20200401!$B$2:$AH$49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COEM_Package_20200401!$B$2:$AH$49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COEM_Package_20200401!$A$2:$AH$49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COEM_Package_20200302!$B$2:$AG$225</definedName>
    <definedName name="Z_60D2C030_4E31_4E07_8E1C_44D2EE84B177_.wvu.FilterData" localSheetId="3" hidden="1">COEM_Package_20200401!$B$2:$AH$49</definedName>
    <definedName name="Z_67638758_F59B_4CE4_ABF7_530DFBE3C588_.wvu.FilterData" localSheetId="0" hidden="1">COEM_Package_20200302!$O$2:$O$242</definedName>
    <definedName name="Z_67638758_F59B_4CE4_ABF7_530DFBE3C588_.wvu.FilterData" localSheetId="3" hidden="1">COEM_Package_20200401!$O$2:$O$66</definedName>
    <definedName name="Z_67823219_E5F6_4230_86E0_7EF8352BE893_.wvu.FilterData" localSheetId="0" hidden="1">COEM_Package_20200302!$B$2:$AG$219</definedName>
    <definedName name="Z_67823219_E5F6_4230_86E0_7EF8352BE893_.wvu.FilterData" localSheetId="3" hidden="1">COEM_Package_20200401!$B$2:$AH$49</definedName>
    <definedName name="Z_6A105B8F_5BC5_43CB_A586_248CB47BBA9F_.wvu.FilterData" localSheetId="3" hidden="1">COEM_Package_20200401!$B$2:$AH$49</definedName>
    <definedName name="Z_6B1BA5A9_E057_4F4A_9C65_C6B9C02CC00C_.wvu.FilterData" localSheetId="0" hidden="1">COEM_Package_20200302!$P$2:$P$242</definedName>
    <definedName name="Z_6B1BA5A9_E057_4F4A_9C65_C6B9C02CC00C_.wvu.FilterData" localSheetId="3" hidden="1">COEM_Package_20200401!$P$2:$P$66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COEM_Package_20200302!$A$2:$AG$225</definedName>
    <definedName name="Z_72A6EB0A_84D5_4B8A_AC51_54CCD061630B_.wvu.FilterData" localSheetId="3" hidden="1">COEM_Package_20200401!$B$2:$AH$49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COEM_Package_20200401!$B$2:$AH$49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COEM_Package_20200401!$B$2:$AG$10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COEM_Package_20200401!$B$2:$AH$49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COEM_Package_20200401!$A$2:$AH$49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COEM_Package_20200302!$A$2:$AG$225</definedName>
    <definedName name="Z_7E0EA425_A420_4443_B9E0_CDF0AA9E5D09_.wvu.FilterData" localSheetId="3" hidden="1">COEM_Package_20200401!$B$2:$AH$49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COEM_Package_20200302!$P$2:$P$242</definedName>
    <definedName name="Z_7ECC2B8E_6A82_42F5_8AB0_4A51C54EA5EC_.wvu.FilterData" localSheetId="3" hidden="1">COEM_Package_20200401!$P$2:$P$66</definedName>
    <definedName name="Z_8285EB99_59BB_4F35_93B9_861616B51559_.wvu.FilterData" localSheetId="0" hidden="1">COEM_Package_20200302!$A$3:$AG$219</definedName>
    <definedName name="Z_8285EB99_59BB_4F35_93B9_861616B51559_.wvu.FilterData" localSheetId="3" hidden="1">COEM_Package_20200401!$A$3:$AH$49</definedName>
    <definedName name="Z_839DFCBD_B2E4_4623_A615_58494692EC74_.wvu.FilterData" localSheetId="0" hidden="1">COEM_Package_20200302!$P$2:$P$242</definedName>
    <definedName name="Z_839DFCBD_B2E4_4623_A615_58494692EC74_.wvu.FilterData" localSheetId="3" hidden="1">COEM_Package_20200401!$P$2:$P$66</definedName>
    <definedName name="Z_906FB9A6_0BB7_413C_A628_192CC46EA33D_.wvu.FilterData" localSheetId="0" hidden="1">COEM_Package_20200302!$A$2:$AG$219</definedName>
    <definedName name="Z_906FB9A6_0BB7_413C_A628_192CC46EA33D_.wvu.FilterData" localSheetId="3" hidden="1">COEM_Package_20200401!$A$2:$AH$49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COEM_Package_20200401!$A$2:$AH$49</definedName>
    <definedName name="Z_9AFC86BF_9493_4ED5_8763_E5A763C0997C_.wvu.FilterData" localSheetId="0" hidden="1">COEM_Package_20200302!$P$2:$P$242</definedName>
    <definedName name="Z_9AFC86BF_9493_4ED5_8763_E5A763C0997C_.wvu.FilterData" localSheetId="3" hidden="1">COEM_Package_20200401!$P$2:$P$66</definedName>
    <definedName name="Z_9B66F7EE_F031_4C71_8C98_51E05F7F8BB3_.wvu.FilterData" localSheetId="0" hidden="1">COEM_Package_20200302!$A$2:$AG$219</definedName>
    <definedName name="Z_9B66F7EE_F031_4C71_8C98_51E05F7F8BB3_.wvu.FilterData" localSheetId="3" hidden="1">COEM_Package_20200401!$A$2:$AH$49</definedName>
    <definedName name="Z_9BBC5FBB_CEC7_4B7E_8FC1_DC9F240B7B1A_.wvu.FilterData" localSheetId="0" hidden="1">COEM_Package_20200302!$B$2:$AF$160</definedName>
    <definedName name="Z_9BBC5FBB_CEC7_4B7E_8FC1_DC9F240B7B1A_.wvu.FilterData" localSheetId="3" hidden="1">COEM_Package_20200401!$B$2:$AG$49</definedName>
    <definedName name="Z_9D98A458_8FF5_4B71_8A8B_EE0D8BF161E6_.wvu.FilterData" localSheetId="0" hidden="1">COEM_Package_20200302!$A$2:$AG$219</definedName>
    <definedName name="Z_9D98A458_8FF5_4B71_8A8B_EE0D8BF161E6_.wvu.FilterData" localSheetId="3" hidden="1">COEM_Package_20200401!$A$2:$AH$49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COEM_Package_20200401!$B$2:$AG$10</definedName>
    <definedName name="Z_A239C479_B2DC_4DCA_A930_634A835634B0_.wvu.FilterData" localSheetId="0" hidden="1">COEM_Package_20200302!$B$2:$AF$160</definedName>
    <definedName name="Z_A239C479_B2DC_4DCA_A930_634A835634B0_.wvu.FilterData" localSheetId="3" hidden="1">COEM_Package_20200401!$B$2:$AG$49</definedName>
    <definedName name="Z_A496F5E6_8AE3_45F0_9591_4622E0FA0969_.wvu.FilterData" localSheetId="0" hidden="1">COEM_Package_20200302!$A$2:$AG$219</definedName>
    <definedName name="Z_A496F5E6_8AE3_45F0_9591_4622E0FA0969_.wvu.FilterData" localSheetId="3" hidden="1">COEM_Package_20200401!$A$2:$AH$49</definedName>
    <definedName name="Z_A51EBE84_CBC8_46F9_AE0C_B070690415D4_.wvu.FilterData" localSheetId="0" hidden="1">COEM_Package_20200302!$P$2:$P$242</definedName>
    <definedName name="Z_A51EBE84_CBC8_46F9_AE0C_B070690415D4_.wvu.FilterData" localSheetId="3" hidden="1">COEM_Package_20200401!$P$2:$P$66</definedName>
    <definedName name="Z_A9348308_BC55_49A4_8208_2434A4A6D1C9_.wvu.FilterData" localSheetId="3" hidden="1">COEM_Package_20200401!$B$2:$AH$49</definedName>
    <definedName name="Z_ACD49FC7_935A_41EE_92F2_C7EE22A85C5A_.wvu.FilterData" localSheetId="0" hidden="1">COEM_Package_20200302!$A$2:$AG$219</definedName>
    <definedName name="Z_ACD49FC7_935A_41EE_92F2_C7EE22A85C5A_.wvu.FilterData" localSheetId="3" hidden="1">COEM_Package_20200401!$A$2:$AH$49</definedName>
    <definedName name="Z_AEAF4D71_0127_4869_AEFB_E66F1C078419_.wvu.FilterData" localSheetId="0" hidden="1">COEM_Package_20200302!$B$2:$AG$219</definedName>
    <definedName name="Z_AEAF4D71_0127_4869_AEFB_E66F1C078419_.wvu.FilterData" localSheetId="3" hidden="1">COEM_Package_20200401!$B$2:$AH$49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COEM_Package_20200401!$B$2:$AH$49</definedName>
    <definedName name="Z_B57EF6F3_E59D_434B_9336_7B5B5B3634A8_.wvu.FilterData" localSheetId="0" hidden="1">COEM_Package_20200302!$A$2:$AG$219</definedName>
    <definedName name="Z_B57EF6F3_E59D_434B_9336_7B5B5B3634A8_.wvu.FilterData" localSheetId="3" hidden="1">COEM_Package_20200401!$A$2:$AH$49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COEM_Package_20200401!$B$2:$AH$49</definedName>
    <definedName name="Z_BA1EA899_A67B_4AE0_83A4_B82D05331D8F_.wvu.FilterData" localSheetId="0" hidden="1">COEM_Package_20200302!$P$2:$P$242</definedName>
    <definedName name="Z_BA1EA899_A67B_4AE0_83A4_B82D05331D8F_.wvu.FilterData" localSheetId="3" hidden="1">COEM_Package_20200401!$P$2:$P$66</definedName>
    <definedName name="Z_BB8AAD79_297D_4B1B_A758_DD8485F2DD4C_.wvu.FilterData" localSheetId="3" hidden="1">COEM_Package_20200401!$B$2:$AH$49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COEM_Package_20200401!$B$2:$AG$49</definedName>
    <definedName name="Z_BC3B5475_529F_43D1_84B4_27DD4352C85B_.wvu.FilterData" localSheetId="0" hidden="1">COEM_Package_20200302!$B$2:$AG$219</definedName>
    <definedName name="Z_BC3B5475_529F_43D1_84B4_27DD4352C85B_.wvu.FilterData" localSheetId="3" hidden="1">COEM_Package_20200401!$B$2:$AH$49</definedName>
    <definedName name="Z_BF6030AA_D1CA_4D5C_8CFB_69427E72B945_.wvu.FilterData" localSheetId="0" hidden="1">COEM_Package_20200302!$B$2:$AG$219</definedName>
    <definedName name="Z_BF6030AA_D1CA_4D5C_8CFB_69427E72B945_.wvu.FilterData" localSheetId="3" hidden="1">COEM_Package_20200401!$B$2:$AH$49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COEM_Package_20200401!$A$2:$AH$49</definedName>
    <definedName name="Z_C42196FB_05E2_43D7_B266_92F73D8A5D75_.wvu.FilterData" localSheetId="0" hidden="1">COEM_Package_20200302!$A$2:$AG$219</definedName>
    <definedName name="Z_C42196FB_05E2_43D7_B266_92F73D8A5D75_.wvu.FilterData" localSheetId="3" hidden="1">COEM_Package_20200401!$A$2:$AH$49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COEM_Package_20200401!$A$2:$AH$49</definedName>
    <definedName name="Z_C81A18B8_F373_4EA5_8BEE_9CCD78D9B614_.wvu.FilterData" localSheetId="0" hidden="1">COEM_Package_20200302!$A$2:$AG$219</definedName>
    <definedName name="Z_C81A18B8_F373_4EA5_8BEE_9CCD78D9B614_.wvu.FilterData" localSheetId="3" hidden="1">COEM_Package_20200401!$A$2:$AH$49</definedName>
    <definedName name="Z_CB28C596_9F9E_494B_B56D_ECD6004C6E89_.wvu.FilterData" localSheetId="0" hidden="1">COEM_Package_20200302!$A$2:$AG$219</definedName>
    <definedName name="Z_CB28C596_9F9E_494B_B56D_ECD6004C6E89_.wvu.FilterData" localSheetId="3" hidden="1">COEM_Package_20200401!$A$2:$AH$49</definedName>
    <definedName name="Z_CBEF51E1_FAD6_43D8_BBFD_6C1B32E55B4B_.wvu.FilterData" localSheetId="0" hidden="1">COEM_Package_20200302!$A$2:$AG$219</definedName>
    <definedName name="Z_CBEF51E1_FAD6_43D8_BBFD_6C1B32E55B4B_.wvu.FilterData" localSheetId="3" hidden="1">COEM_Package_20200401!$A$2:$AH$49</definedName>
    <definedName name="Z_CF7D8FA3_D125_4EB9_A053_2F4A0FE3836A_.wvu.FilterData" localSheetId="0" hidden="1">COEM_Package_20200302!$A$2:$AG$219</definedName>
    <definedName name="Z_CF7D8FA3_D125_4EB9_A053_2F4A0FE3836A_.wvu.FilterData" localSheetId="3" hidden="1">COEM_Package_20200401!$A$2:$AH$49</definedName>
    <definedName name="Z_D5F9A537_3EF6_4FA9_94D8_ABB431F3ED7F_.wvu.FilterData" localSheetId="0" hidden="1">COEM_Package_20200302!$P$2:$P$242</definedName>
    <definedName name="Z_D5F9A537_3EF6_4FA9_94D8_ABB431F3ED7F_.wvu.FilterData" localSheetId="3" hidden="1">COEM_Package_20200401!$P$2:$P$66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COEM_Package_20200401!$A$2:$AH$49</definedName>
    <definedName name="Z_D7052A08_90FA_48CA_82A8_5EA9416A6CAA_.wvu.FilterData" localSheetId="0" hidden="1">COEM_Package_20200302!$A$2:$AG$225</definedName>
    <definedName name="Z_D71C8170_5CF8_45BB_885E_2E519DB4B102_.wvu.FilterData" localSheetId="0" hidden="1">COEM_Package_20200302!$A$2:$AG$219</definedName>
    <definedName name="Z_D71C8170_5CF8_45BB_885E_2E519DB4B102_.wvu.FilterData" localSheetId="3" hidden="1">COEM_Package_20200401!$A$2:$AH$49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COEM_Package_20200401!$B$2:$AH$49</definedName>
    <definedName name="Z_DCCFDF96_A2B0_4317_A5B6_111D31103E37_.wvu.FilterData" localSheetId="3" hidden="1">COEM_Package_20200401!$B$2:$AH$49</definedName>
    <definedName name="Z_DDF827EC_E1F1_48B8_B7DB_C164C61411CF_.wvu.FilterData" localSheetId="0" hidden="1">COEM_Package_20200302!$A$2:$AG$219</definedName>
    <definedName name="Z_DDF827EC_E1F1_48B8_B7DB_C164C61411CF_.wvu.FilterData" localSheetId="3" hidden="1">COEM_Package_20200401!$A$2:$AH$49</definedName>
    <definedName name="Z_E30F7C3C_88AD_4DA8_91E9_12528CA3533B_.wvu.FilterData" localSheetId="0" hidden="1">COEM_Package_20200302!$A$2:$AG$219</definedName>
    <definedName name="Z_E30F7C3C_88AD_4DA8_91E9_12528CA3533B_.wvu.FilterData" localSheetId="3" hidden="1">COEM_Package_20200401!$A$2:$AH$49</definedName>
    <definedName name="Z_E37D5B95_51DD_42C5_B085_60C100330042_.wvu.FilterData" localSheetId="0" hidden="1">COEM_Package_20200302!$A$2:$AG$219</definedName>
    <definedName name="Z_E37D5B95_51DD_42C5_B085_60C100330042_.wvu.FilterData" localSheetId="3" hidden="1">COEM_Package_20200401!$A$2:$AH$49</definedName>
    <definedName name="Z_E3A26F30_0277_4A5E_993E_C53D19254B8A_.wvu.FilterData" localSheetId="0" hidden="1">COEM_Package_20200302!$A$2:$AG$219</definedName>
    <definedName name="Z_E3A26F30_0277_4A5E_993E_C53D19254B8A_.wvu.FilterData" localSheetId="3" hidden="1">COEM_Package_20200401!$A$2:$AH$49</definedName>
    <definedName name="Z_E5EEA525_3367_48FE_9E5F_ADB0EC9D430F_.wvu.FilterData" localSheetId="0" hidden="1">COEM_Package_20200302!$A$2:$AG$219</definedName>
    <definedName name="Z_E5EEA525_3367_48FE_9E5F_ADB0EC9D430F_.wvu.FilterData" localSheetId="3" hidden="1">COEM_Package_20200401!$A$2:$AH$49</definedName>
    <definedName name="Z_E812050A_1B97_4FAB_80D7_B16A7EC3293F_.wvu.FilterData" localSheetId="0" hidden="1">COEM_Package_20200302!$A$2:$AG$219</definedName>
    <definedName name="Z_E812050A_1B97_4FAB_80D7_B16A7EC3293F_.wvu.FilterData" localSheetId="3" hidden="1">COEM_Package_20200401!$A$2:$AH$49</definedName>
    <definedName name="Z_E8991E61_6D05_4C3B_B928_FD787FF86F58_.wvu.FilterData" localSheetId="0" hidden="1">COEM_Package_20200302!$P$2:$P$242</definedName>
    <definedName name="Z_E8991E61_6D05_4C3B_B928_FD787FF86F58_.wvu.FilterData" localSheetId="3" hidden="1">COEM_Package_20200401!$P$2:$P$66</definedName>
    <definedName name="Z_EB5E7E9A_951B_45B6_B0A1_60DAF7FD2DBC_.wvu.FilterData" localSheetId="3" hidden="1">COEM_Package_20200401!$B$2:$AH$49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COEM_Package_20200401!$A$2:$AH$49</definedName>
    <definedName name="Z_F84E6DFB_7743_4811_A5D0_FDD3F126A30C_.wvu.FilterData" localSheetId="0" hidden="1">COEM_Package_20200302!$A$2:$AG$219</definedName>
    <definedName name="Z_F84E6DFB_7743_4811_A5D0_FDD3F126A30C_.wvu.FilterData" localSheetId="3" hidden="1">COEM_Package_20200401!$A$2:$AH$49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COEM_Package_20200401!$A$2:$AH$49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activeSheetId="1"/>
    <customWorkbookView name="EXTERNAL Do Phu Loc (Ban Vien, RBVH/EPS45) - Personal View" guid="{72A6EB0A-84D5-4B8A-AC51-54CCD061630B}" mergeInterval="0" personalView="1" maximized="1" xWindow="-8" yWindow="-8" windowWidth="1936" windowHeight="1176" tabRatio="519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428" activeSheetId="1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1"/>
  </customWorkbookViews>
</workbook>
</file>

<file path=xl/calcChain.xml><?xml version="1.0" encoding="utf-8"?>
<calcChain xmlns="http://schemas.openxmlformats.org/spreadsheetml/2006/main">
  <c r="T48" i="4" l="1"/>
  <c r="T47" i="4"/>
  <c r="T46" i="4"/>
  <c r="T45" i="4"/>
  <c r="S44" i="4"/>
  <c r="T44" i="4" s="1"/>
  <c r="S45" i="4"/>
  <c r="E64" i="4"/>
  <c r="S42" i="4"/>
  <c r="T42" i="4" s="1"/>
  <c r="S41" i="4"/>
  <c r="T41" i="4" s="1"/>
  <c r="S40" i="4"/>
  <c r="T40" i="4" s="1"/>
  <c r="T23" i="4"/>
  <c r="T22" i="4"/>
  <c r="S17" i="4" l="1"/>
  <c r="T17" i="4" s="1"/>
  <c r="F63" i="4" l="1"/>
  <c r="F64" i="4"/>
  <c r="F65" i="4"/>
  <c r="F66" i="4"/>
  <c r="F67" i="4"/>
  <c r="S23" i="4" l="1"/>
  <c r="U23" i="4" s="1"/>
  <c r="S24" i="4"/>
  <c r="S25" i="4"/>
  <c r="U25" i="4" s="1"/>
  <c r="S26" i="4"/>
  <c r="U26" i="4" s="1"/>
  <c r="S27" i="4"/>
  <c r="U27" i="4" s="1"/>
  <c r="S28" i="4"/>
  <c r="U28" i="4" s="1"/>
  <c r="S29" i="4"/>
  <c r="U29" i="4" s="1"/>
  <c r="S30" i="4"/>
  <c r="U30" i="4" s="1"/>
  <c r="S31" i="4"/>
  <c r="U31" i="4" s="1"/>
  <c r="S32" i="4"/>
  <c r="U32" i="4" s="1"/>
  <c r="S33" i="4"/>
  <c r="U33" i="4" s="1"/>
  <c r="S34" i="4"/>
  <c r="U34" i="4" s="1"/>
  <c r="S35" i="4"/>
  <c r="U35" i="4" s="1"/>
  <c r="S36" i="4"/>
  <c r="U36" i="4" s="1"/>
  <c r="S37" i="4"/>
  <c r="U37" i="4" s="1"/>
  <c r="S38" i="4"/>
  <c r="U38" i="4" s="1"/>
  <c r="S39" i="4"/>
  <c r="U39" i="4" s="1"/>
  <c r="U40" i="4"/>
  <c r="U41" i="4"/>
  <c r="U42" i="4"/>
  <c r="S43" i="4"/>
  <c r="U43" i="4" s="1"/>
  <c r="U44" i="4"/>
  <c r="U45" i="4"/>
  <c r="S46" i="4"/>
  <c r="U46" i="4" s="1"/>
  <c r="S47" i="4"/>
  <c r="U47" i="4" s="1"/>
  <c r="S48" i="4"/>
  <c r="U48" i="4" s="1"/>
  <c r="S22" i="4"/>
  <c r="U22" i="4" s="1"/>
  <c r="S10" i="4"/>
  <c r="T10" i="4" s="1"/>
  <c r="S12" i="4"/>
  <c r="T12" i="4" s="1"/>
  <c r="S13" i="4"/>
  <c r="T13" i="4" s="1"/>
  <c r="S11" i="4"/>
  <c r="T11" i="4" s="1"/>
  <c r="U24" i="4" l="1"/>
  <c r="T24" i="4"/>
  <c r="S9" i="4"/>
  <c r="T9" i="4" s="1"/>
  <c r="S8" i="4"/>
  <c r="T8" i="4" s="1"/>
  <c r="S7" i="4"/>
  <c r="F30" i="5"/>
  <c r="F29" i="5"/>
  <c r="F28" i="5"/>
  <c r="F27" i="5"/>
  <c r="E30" i="5"/>
  <c r="E29" i="5"/>
  <c r="E28" i="5"/>
  <c r="E27" i="5"/>
  <c r="D1" i="5"/>
  <c r="B3" i="5" s="1"/>
  <c r="S5" i="4"/>
  <c r="T5" i="4" s="1"/>
  <c r="S4" i="4"/>
  <c r="F73" i="4" l="1"/>
  <c r="F72" i="4"/>
  <c r="F76" i="4"/>
  <c r="F74" i="4"/>
  <c r="F75" i="4"/>
  <c r="T4" i="4"/>
  <c r="D64" i="4"/>
  <c r="T7" i="4"/>
  <c r="E65" i="4"/>
  <c r="D65" i="4"/>
  <c r="B2" i="5"/>
  <c r="U5" i="4"/>
  <c r="S6" i="4"/>
  <c r="U7" i="4"/>
  <c r="U8" i="4"/>
  <c r="U9" i="4"/>
  <c r="U10" i="4"/>
  <c r="U11" i="4"/>
  <c r="U12" i="4"/>
  <c r="U13" i="4"/>
  <c r="S14" i="4"/>
  <c r="U14" i="4" s="1"/>
  <c r="S15" i="4"/>
  <c r="U15" i="4" s="1"/>
  <c r="S16" i="4"/>
  <c r="U17" i="4"/>
  <c r="S18" i="4"/>
  <c r="U18" i="4" s="1"/>
  <c r="S19" i="4"/>
  <c r="U19" i="4" s="1"/>
  <c r="S20" i="4"/>
  <c r="U20" i="4" s="1"/>
  <c r="S21" i="4"/>
  <c r="U4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S3" i="4"/>
  <c r="U3" i="4" s="1"/>
  <c r="F58" i="4"/>
  <c r="F57" i="4"/>
  <c r="D57" i="4"/>
  <c r="F56" i="4"/>
  <c r="F55" i="4"/>
  <c r="F54" i="4"/>
  <c r="E57" i="4"/>
  <c r="U6" i="4" l="1"/>
  <c r="E66" i="4"/>
  <c r="D66" i="4"/>
  <c r="D75" i="4" s="1"/>
  <c r="G65" i="4"/>
  <c r="H65" i="4"/>
  <c r="D67" i="4"/>
  <c r="E7" i="5" s="1"/>
  <c r="E67" i="4"/>
  <c r="F15" i="5"/>
  <c r="U16" i="4"/>
  <c r="D63" i="4"/>
  <c r="E63" i="4"/>
  <c r="E12" i="5" s="1"/>
  <c r="G64" i="4"/>
  <c r="H64" i="4"/>
  <c r="E13" i="5"/>
  <c r="U21" i="4"/>
  <c r="H57" i="4"/>
  <c r="E56" i="4"/>
  <c r="D56" i="4"/>
  <c r="D74" i="4" s="1"/>
  <c r="G57" i="4"/>
  <c r="D58" i="4"/>
  <c r="E8" i="5" s="1"/>
  <c r="D54" i="4"/>
  <c r="D55" i="4"/>
  <c r="D73" i="4" s="1"/>
  <c r="E14" i="5"/>
  <c r="E55" i="4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H67" i="4" l="1"/>
  <c r="G67" i="4"/>
  <c r="H66" i="4"/>
  <c r="G66" i="4"/>
  <c r="F14" i="5"/>
  <c r="E74" i="4"/>
  <c r="E75" i="4"/>
  <c r="F13" i="5"/>
  <c r="E73" i="4"/>
  <c r="D72" i="4"/>
  <c r="D76" i="4" s="1"/>
  <c r="F7" i="5"/>
  <c r="G7" i="5" s="1"/>
  <c r="H63" i="4"/>
  <c r="G63" i="4"/>
  <c r="E15" i="5"/>
  <c r="H55" i="4"/>
  <c r="G55" i="4"/>
  <c r="E58" i="4"/>
  <c r="F8" i="5" s="1"/>
  <c r="G8" i="5" s="1"/>
  <c r="G56" i="4"/>
  <c r="H56" i="4"/>
  <c r="E54" i="4"/>
  <c r="C148" i="6"/>
  <c r="C137" i="6"/>
  <c r="C136" i="6"/>
  <c r="C125" i="6"/>
  <c r="C124" i="6"/>
  <c r="C113" i="6"/>
  <c r="C112" i="6"/>
  <c r="C100" i="6"/>
  <c r="C88" i="6"/>
  <c r="H75" i="4" l="1"/>
  <c r="G75" i="4"/>
  <c r="G74" i="4"/>
  <c r="H74" i="4"/>
  <c r="F12" i="5"/>
  <c r="E72" i="4"/>
  <c r="G73" i="4"/>
  <c r="H73" i="4"/>
  <c r="H54" i="4"/>
  <c r="G54" i="4"/>
  <c r="H58" i="4"/>
  <c r="G58" i="4"/>
  <c r="D1" i="3"/>
  <c r="G72" i="4" l="1"/>
  <c r="E76" i="4"/>
  <c r="H72" i="4"/>
  <c r="H154" i="6"/>
  <c r="F154" i="6"/>
  <c r="E154" i="6"/>
  <c r="I154" i="6" s="1"/>
  <c r="A146" i="6"/>
  <c r="G76" i="4" l="1"/>
  <c r="H76" i="4"/>
  <c r="G154" i="6"/>
  <c r="A134" i="6"/>
  <c r="H142" i="6"/>
  <c r="F142" i="6"/>
  <c r="E142" i="6"/>
  <c r="I142" i="6" s="1"/>
  <c r="H141" i="6"/>
  <c r="G142" i="6" l="1"/>
  <c r="H130" i="6"/>
  <c r="F130" i="6"/>
  <c r="E130" i="6"/>
  <c r="I130" i="6" s="1"/>
  <c r="G130" i="6" l="1"/>
  <c r="T219" i="1" l="1"/>
  <c r="T218" i="1"/>
  <c r="T217" i="1"/>
  <c r="T216" i="1"/>
  <c r="T215" i="1"/>
  <c r="T214" i="1"/>
  <c r="T212" i="1"/>
  <c r="T210" i="1"/>
  <c r="B3" i="3" l="1"/>
  <c r="V176" i="1"/>
  <c r="V174" i="1"/>
  <c r="V172" i="1"/>
  <c r="V170" i="1"/>
  <c r="V164" i="1"/>
  <c r="T207" i="1"/>
  <c r="T206" i="1"/>
  <c r="T204" i="1"/>
  <c r="T203" i="1"/>
  <c r="T202" i="1"/>
  <c r="T197" i="1"/>
  <c r="T196" i="1"/>
  <c r="T195" i="1"/>
  <c r="T194" i="1"/>
  <c r="T193" i="1"/>
  <c r="T192" i="1"/>
  <c r="T191" i="1"/>
  <c r="T190" i="1"/>
  <c r="T189" i="1"/>
  <c r="T167" i="1"/>
  <c r="T166" i="1"/>
  <c r="T165" i="1"/>
  <c r="U181" i="1"/>
  <c r="U219" i="1"/>
  <c r="V219" i="1" s="1"/>
  <c r="U218" i="1"/>
  <c r="V218" i="1" s="1"/>
  <c r="U217" i="1"/>
  <c r="V217" i="1" s="1"/>
  <c r="U216" i="1"/>
  <c r="V216" i="1" s="1"/>
  <c r="U215" i="1"/>
  <c r="V215" i="1" s="1"/>
  <c r="U214" i="1"/>
  <c r="V214" i="1" s="1"/>
  <c r="S213" i="1"/>
  <c r="U213" i="1" s="1"/>
  <c r="U212" i="1"/>
  <c r="V212" i="1" s="1"/>
  <c r="S211" i="1"/>
  <c r="U211" i="1" s="1"/>
  <c r="U210" i="1"/>
  <c r="V210" i="1" s="1"/>
  <c r="U209" i="1"/>
  <c r="U208" i="1"/>
  <c r="U207" i="1"/>
  <c r="V207" i="1" s="1"/>
  <c r="U206" i="1"/>
  <c r="V206" i="1" s="1"/>
  <c r="S205" i="1"/>
  <c r="U205" i="1" s="1"/>
  <c r="V205" i="1" s="1"/>
  <c r="U204" i="1"/>
  <c r="V204" i="1" s="1"/>
  <c r="U203" i="1"/>
  <c r="V203" i="1" s="1"/>
  <c r="U202" i="1"/>
  <c r="V202" i="1" s="1"/>
  <c r="S201" i="1"/>
  <c r="T201" i="1" s="1"/>
  <c r="S200" i="1"/>
  <c r="U200" i="1" s="1"/>
  <c r="V200" i="1" s="1"/>
  <c r="S199" i="1"/>
  <c r="U199" i="1" s="1"/>
  <c r="V199" i="1" s="1"/>
  <c r="S198" i="1"/>
  <c r="U198" i="1" s="1"/>
  <c r="V198" i="1" s="1"/>
  <c r="U197" i="1"/>
  <c r="V197" i="1" s="1"/>
  <c r="U196" i="1"/>
  <c r="V196" i="1" s="1"/>
  <c r="U195" i="1"/>
  <c r="V195" i="1" s="1"/>
  <c r="U194" i="1"/>
  <c r="V194" i="1" s="1"/>
  <c r="U193" i="1"/>
  <c r="V193" i="1" s="1"/>
  <c r="U192" i="1"/>
  <c r="V192" i="1" s="1"/>
  <c r="U191" i="1"/>
  <c r="V191" i="1" s="1"/>
  <c r="U190" i="1"/>
  <c r="V190" i="1" s="1"/>
  <c r="U189" i="1"/>
  <c r="V189" i="1" s="1"/>
  <c r="S188" i="1"/>
  <c r="U188" i="1" s="1"/>
  <c r="V188" i="1" s="1"/>
  <c r="S187" i="1"/>
  <c r="T187" i="1" s="1"/>
  <c r="S186" i="1"/>
  <c r="T186" i="1" s="1"/>
  <c r="S185" i="1"/>
  <c r="U184" i="1"/>
  <c r="U183" i="1"/>
  <c r="U182" i="1"/>
  <c r="S179" i="1"/>
  <c r="T178" i="1"/>
  <c r="F248" i="1" l="1"/>
  <c r="E153" i="6"/>
  <c r="G153" i="6" s="1"/>
  <c r="C147" i="6" s="1"/>
  <c r="U179" i="1"/>
  <c r="T179" i="1"/>
  <c r="U180" i="1"/>
  <c r="T180" i="1"/>
  <c r="U178" i="1"/>
  <c r="E141" i="6"/>
  <c r="U185" i="1"/>
  <c r="V185" i="1" s="1"/>
  <c r="U187" i="1"/>
  <c r="V187" i="1" s="1"/>
  <c r="T185" i="1"/>
  <c r="T198" i="1"/>
  <c r="T199" i="1"/>
  <c r="T188" i="1"/>
  <c r="T200" i="1"/>
  <c r="T205" i="1"/>
  <c r="U186" i="1"/>
  <c r="V186" i="1" s="1"/>
  <c r="U201" i="1"/>
  <c r="V201" i="1" s="1"/>
  <c r="U167" i="1"/>
  <c r="V167" i="1" s="1"/>
  <c r="F141" i="6" l="1"/>
  <c r="I141" i="6" s="1"/>
  <c r="H153" i="6"/>
  <c r="C150" i="6" s="1"/>
  <c r="F153" i="6"/>
  <c r="I153" i="6" s="1"/>
  <c r="G141" i="6"/>
  <c r="S170" i="1"/>
  <c r="T170" i="1" s="1"/>
  <c r="S171" i="1"/>
  <c r="T171" i="1" s="1"/>
  <c r="S172" i="1"/>
  <c r="T172" i="1" s="1"/>
  <c r="S173" i="1"/>
  <c r="U173" i="1" s="1"/>
  <c r="S174" i="1"/>
  <c r="T174" i="1" s="1"/>
  <c r="S175" i="1"/>
  <c r="U175" i="1" s="1"/>
  <c r="S176" i="1"/>
  <c r="T176" i="1" s="1"/>
  <c r="S177" i="1"/>
  <c r="S169" i="1"/>
  <c r="T169" i="1" s="1"/>
  <c r="U165" i="1"/>
  <c r="V165" i="1" s="1"/>
  <c r="C135" i="6" l="1"/>
  <c r="C138" i="6"/>
  <c r="U177" i="1"/>
  <c r="V177" i="1" s="1"/>
  <c r="T177" i="1"/>
  <c r="U171" i="1"/>
  <c r="V171" i="1" s="1"/>
  <c r="U169" i="1"/>
  <c r="V169" i="1" s="1"/>
  <c r="S168" i="1"/>
  <c r="T168" i="1" s="1"/>
  <c r="U166" i="1"/>
  <c r="V166" i="1" s="1"/>
  <c r="S164" i="1"/>
  <c r="T164" i="1" s="1"/>
  <c r="S163" i="1"/>
  <c r="S162" i="1"/>
  <c r="U162" i="1" s="1"/>
  <c r="S161" i="1"/>
  <c r="T161" i="1" s="1"/>
  <c r="F129" i="6" l="1"/>
  <c r="U163" i="1"/>
  <c r="E129" i="6"/>
  <c r="U168" i="1"/>
  <c r="V168" i="1" s="1"/>
  <c r="H129" i="6" s="1"/>
  <c r="U161" i="1"/>
  <c r="T162" i="1"/>
  <c r="S154" i="1"/>
  <c r="T154" i="1" s="1"/>
  <c r="I129" i="6" l="1"/>
  <c r="G129" i="6"/>
  <c r="C123" i="6" s="1"/>
  <c r="U132" i="1"/>
  <c r="U131" i="1"/>
  <c r="U130" i="1"/>
  <c r="U128" i="1"/>
  <c r="U127" i="1"/>
  <c r="U126" i="1"/>
  <c r="U125" i="1"/>
  <c r="U124" i="1"/>
  <c r="U123" i="1"/>
  <c r="S159" i="1"/>
  <c r="U159" i="1" s="1"/>
  <c r="S129" i="1"/>
  <c r="U129" i="1" s="1"/>
  <c r="S158" i="1"/>
  <c r="U158" i="1" s="1"/>
  <c r="S157" i="1"/>
  <c r="S156" i="1"/>
  <c r="S155" i="1"/>
  <c r="U154" i="1"/>
  <c r="S153" i="1"/>
  <c r="U153" i="1" s="1"/>
  <c r="S152" i="1"/>
  <c r="U152" i="1" s="1"/>
  <c r="S151" i="1"/>
  <c r="U151" i="1" s="1"/>
  <c r="S150" i="1"/>
  <c r="U150" i="1" s="1"/>
  <c r="S149" i="1"/>
  <c r="U149" i="1" s="1"/>
  <c r="S148" i="1"/>
  <c r="U148" i="1" s="1"/>
  <c r="S147" i="1"/>
  <c r="U147" i="1" s="1"/>
  <c r="S146" i="1"/>
  <c r="U146" i="1" s="1"/>
  <c r="S145" i="1"/>
  <c r="U145" i="1" s="1"/>
  <c r="S144" i="1"/>
  <c r="S143" i="1"/>
  <c r="U143" i="1" s="1"/>
  <c r="U142" i="1"/>
  <c r="U141" i="1"/>
  <c r="S140" i="1"/>
  <c r="U140" i="1" s="1"/>
  <c r="S138" i="1"/>
  <c r="U138" i="1" s="1"/>
  <c r="S160" i="1"/>
  <c r="U139" i="1"/>
  <c r="U137" i="1"/>
  <c r="U136" i="1"/>
  <c r="U135" i="1"/>
  <c r="U134" i="1"/>
  <c r="U133" i="1"/>
  <c r="T123" i="1"/>
  <c r="C126" i="6" l="1"/>
  <c r="U157" i="1"/>
  <c r="T157" i="1"/>
  <c r="U160" i="1"/>
  <c r="T160" i="1"/>
  <c r="U144" i="1"/>
  <c r="T144" i="1"/>
  <c r="U156" i="1"/>
  <c r="T156" i="1"/>
  <c r="U155" i="1"/>
  <c r="T155" i="1"/>
  <c r="D234" i="1"/>
  <c r="T149" i="1"/>
  <c r="T148" i="1"/>
  <c r="T147" i="1"/>
  <c r="T145" i="1"/>
  <c r="T143" i="1"/>
  <c r="T142" i="1"/>
  <c r="T141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6"/>
  <c r="B2" i="3"/>
  <c r="H118" i="6"/>
  <c r="F118" i="6"/>
  <c r="H117" i="6"/>
  <c r="F117" i="6"/>
  <c r="E117" i="6"/>
  <c r="H106" i="6"/>
  <c r="E106" i="6"/>
  <c r="H105" i="6"/>
  <c r="H94" i="6"/>
  <c r="E94" i="6"/>
  <c r="G94" i="6" s="1"/>
  <c r="H93" i="6"/>
  <c r="H82" i="6"/>
  <c r="E82" i="6"/>
  <c r="H81" i="6"/>
  <c r="H70" i="6"/>
  <c r="E70" i="6"/>
  <c r="G70" i="6" s="1"/>
  <c r="H69" i="6"/>
  <c r="H58" i="6"/>
  <c r="E58" i="6"/>
  <c r="H57" i="6"/>
  <c r="H46" i="6"/>
  <c r="F46" i="6"/>
  <c r="E46" i="6"/>
  <c r="I46" i="6" s="1"/>
  <c r="H45" i="6"/>
  <c r="H34" i="6"/>
  <c r="F34" i="6"/>
  <c r="E34" i="6"/>
  <c r="I34" i="6" s="1"/>
  <c r="H33" i="6"/>
  <c r="H22" i="6"/>
  <c r="E22" i="6"/>
  <c r="H21" i="6"/>
  <c r="H10" i="6"/>
  <c r="H9" i="6"/>
  <c r="E10" i="6"/>
  <c r="G10" i="6" s="1"/>
  <c r="A14" i="6"/>
  <c r="A26" i="6" s="1"/>
  <c r="A38" i="6" s="1"/>
  <c r="A50" i="6" s="1"/>
  <c r="A62" i="6" s="1"/>
  <c r="A74" i="6" s="1"/>
  <c r="A86" i="6" s="1"/>
  <c r="A98" i="6" s="1"/>
  <c r="A110" i="6" s="1"/>
  <c r="A122" i="6" s="1"/>
  <c r="F10" i="6"/>
  <c r="T3" i="1"/>
  <c r="I117" i="6" l="1"/>
  <c r="I118" i="6"/>
  <c r="F82" i="6"/>
  <c r="I82" i="6" s="1"/>
  <c r="E8" i="11"/>
  <c r="G46" i="6"/>
  <c r="G117" i="6"/>
  <c r="F252" i="1"/>
  <c r="F249" i="1"/>
  <c r="F250" i="1"/>
  <c r="F251" i="1"/>
  <c r="G118" i="6"/>
  <c r="F58" i="6"/>
  <c r="I58" i="6" s="1"/>
  <c r="F22" i="6"/>
  <c r="I22" i="6" s="1"/>
  <c r="G22" i="6"/>
  <c r="F94" i="6"/>
  <c r="I94" i="6" s="1"/>
  <c r="F106" i="6"/>
  <c r="I106" i="6" s="1"/>
  <c r="I10" i="6"/>
  <c r="F70" i="6"/>
  <c r="I70" i="6" s="1"/>
  <c r="G106" i="6"/>
  <c r="G82" i="6"/>
  <c r="G58" i="6"/>
  <c r="G34" i="6"/>
  <c r="F10" i="1"/>
  <c r="F241" i="1"/>
  <c r="C111" i="6" l="1"/>
  <c r="C114" i="6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U6" i="1"/>
  <c r="E239" i="1" l="1"/>
  <c r="E12" i="11" l="1"/>
  <c r="E12" i="3"/>
  <c r="E230" i="1"/>
  <c r="F12" i="11" s="1"/>
  <c r="F12" i="3" l="1"/>
  <c r="E231" i="1"/>
  <c r="F13" i="11" s="1"/>
  <c r="E232" i="1"/>
  <c r="E233" i="1"/>
  <c r="E234" i="1"/>
  <c r="F8" i="11" s="1"/>
  <c r="G8" i="11" s="1"/>
  <c r="E248" i="1"/>
  <c r="G248" i="1" s="1"/>
  <c r="E240" i="1"/>
  <c r="E13" i="11" s="1"/>
  <c r="E241" i="1"/>
  <c r="E14" i="11" s="1"/>
  <c r="D230" i="1"/>
  <c r="D231" i="1"/>
  <c r="D232" i="1"/>
  <c r="D233" i="1"/>
  <c r="D239" i="1"/>
  <c r="D240" i="1"/>
  <c r="D241" i="1"/>
  <c r="F14" i="11" l="1"/>
  <c r="E250" i="1"/>
  <c r="F15" i="11"/>
  <c r="F14" i="3"/>
  <c r="E13" i="3"/>
  <c r="F13" i="3"/>
  <c r="F8" i="3"/>
  <c r="E8" i="3"/>
  <c r="E14" i="3"/>
  <c r="D250" i="1"/>
  <c r="E249" i="1"/>
  <c r="D248" i="1"/>
  <c r="D249" i="1"/>
  <c r="F243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6" l="1"/>
  <c r="E33" i="6"/>
  <c r="E57" i="6"/>
  <c r="E21" i="6"/>
  <c r="E81" i="6"/>
  <c r="E69" i="6"/>
  <c r="E105" i="6"/>
  <c r="E93" i="6"/>
  <c r="F45" i="6"/>
  <c r="E45" i="6"/>
  <c r="F9" i="6"/>
  <c r="E9" i="6"/>
  <c r="D243" i="1"/>
  <c r="E7" i="11" s="1"/>
  <c r="U110" i="1"/>
  <c r="U116" i="1"/>
  <c r="D242" i="1"/>
  <c r="D251" i="1" s="1"/>
  <c r="D252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2" i="1"/>
  <c r="E15" i="11" l="1"/>
  <c r="G105" i="6"/>
  <c r="G57" i="6"/>
  <c r="G93" i="6"/>
  <c r="I45" i="6"/>
  <c r="G45" i="6"/>
  <c r="G69" i="6"/>
  <c r="F81" i="6"/>
  <c r="I81" i="6" s="1"/>
  <c r="F69" i="6"/>
  <c r="I69" i="6" s="1"/>
  <c r="F105" i="6"/>
  <c r="I105" i="6" s="1"/>
  <c r="F93" i="6"/>
  <c r="I93" i="6" s="1"/>
  <c r="F21" i="6"/>
  <c r="I21" i="6" s="1"/>
  <c r="F57" i="6"/>
  <c r="I57" i="6" s="1"/>
  <c r="G81" i="6"/>
  <c r="I33" i="6"/>
  <c r="G33" i="6"/>
  <c r="G21" i="6"/>
  <c r="E7" i="3"/>
  <c r="G9" i="6"/>
  <c r="I9" i="6"/>
  <c r="E251" i="1"/>
  <c r="E252" i="1" s="1"/>
  <c r="G252" i="1" s="1"/>
  <c r="E15" i="3"/>
  <c r="E243" i="1"/>
  <c r="F7" i="11" s="1"/>
  <c r="G7" i="11" s="1"/>
  <c r="F242" i="1"/>
  <c r="F240" i="1"/>
  <c r="F239" i="1"/>
  <c r="C27" i="6" l="1"/>
  <c r="C30" i="6"/>
  <c r="C42" i="6"/>
  <c r="C39" i="6"/>
  <c r="C54" i="6"/>
  <c r="C51" i="6"/>
  <c r="C15" i="6"/>
  <c r="C18" i="6"/>
  <c r="C78" i="6"/>
  <c r="C75" i="6"/>
  <c r="C63" i="6"/>
  <c r="C66" i="6"/>
  <c r="C87" i="6"/>
  <c r="C90" i="6"/>
  <c r="C102" i="6"/>
  <c r="C99" i="6"/>
  <c r="C3" i="6"/>
  <c r="C6" i="6"/>
  <c r="H252" i="1"/>
  <c r="F7" i="3"/>
  <c r="F234" i="1"/>
  <c r="F230" i="1"/>
  <c r="F232" i="1"/>
  <c r="G7" i="3" l="1"/>
  <c r="H234" i="1"/>
  <c r="H243" i="1"/>
  <c r="G8" i="3"/>
  <c r="G234" i="1"/>
  <c r="G243" i="1"/>
  <c r="F233" i="1"/>
  <c r="F231" i="1"/>
  <c r="G249" i="1" l="1"/>
  <c r="G250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l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G242" i="1" l="1"/>
  <c r="G240" i="1" l="1"/>
  <c r="G241" i="1" l="1"/>
  <c r="H250" i="1" l="1"/>
  <c r="H240" i="1"/>
  <c r="H251" i="1"/>
  <c r="F15" i="3"/>
  <c r="H241" i="1"/>
  <c r="H248" i="1"/>
  <c r="H249" i="1"/>
  <c r="G251" i="1"/>
  <c r="H231" i="1"/>
  <c r="G231" i="1"/>
  <c r="H230" i="1"/>
  <c r="G230" i="1"/>
  <c r="H233" i="1"/>
  <c r="G233" i="1"/>
  <c r="H242" i="1"/>
  <c r="H239" i="1"/>
  <c r="G239" i="1"/>
  <c r="H232" i="1"/>
  <c r="G232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guid="{F05A559D-F843-4CEC-BFC8-D9055B75CD2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CD1DBE00-FEAF-4635-B4BB-095B5F845D3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K69" authorId="0" guid="{8E572C4F-C0E4-423D-B1AC-62B4561F0CF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\\hc-ut40745c\Ban_Vien_external\DB\05-march 
</t>
        </r>
      </text>
    </comment>
    <comment ref="A74" authorId="0" guid="{5D4C5FC3-704A-40C1-8973-C044FCDAB2D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4" authorId="0" guid="{A7EC533A-35A2-4D90-AA5A-7DB4A19161AC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\\hc-ut40745c\Ban_Vien_external\DB\04-march
</t>
        </r>
      </text>
    </comment>
    <comment ref="I76" authorId="0" guid="{A9DC3B26-4F5D-47D7-87FE-B9F5EBABDE0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79B8A0C2-CA6B-47E3-951C-712C67EB79A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AA01DE7D-5C2C-4D2D-9CFF-1F3D4CFF1C1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8F7AA82B-D257-4AB7-A9BC-88BF862C2DE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24" authorId="0" guid="{7AD8E3D6-3914-492A-BF74-54AE6330586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34" authorId="0" guid="{9E3AAEF1-DDE4-4A18-ABF8-F926524A768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48" authorId="0" guid="{248C911C-FCBB-41A7-8E2F-60542A9B8139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3" authorId="0" guid="{994498C1-F0E7-4FE0-A79E-4A43EF02677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3" authorId="0" guid="{E877A0E0-777A-41A5-B8B1-8A6A9E9177D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69" authorId="0" guid="{835C6B3E-2BCB-4F5C-8386-0779FE502C8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1" authorId="0" guid="{ADCE5BCB-AF6F-4983-A909-95A3B992267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1" authorId="0" guid="{BB5B81AC-285A-40B5-988B-E6E54925A181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</authors>
  <commentList>
    <comment ref="A4" authorId="0" guid="{12D33CA3-ACA5-4CD0-9347-7DE88943E42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2" authorId="0" guid="{270126A8-242B-4D28-BEE6-FABE941A71F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</commentList>
</comments>
</file>

<file path=xl/sharedStrings.xml><?xml version="1.0" encoding="utf-8"?>
<sst xmlns="http://schemas.openxmlformats.org/spreadsheetml/2006/main" count="4555" uniqueCount="884">
  <si>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</si>
  <si>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</si>
  <si>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</si>
  <si>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</si>
  <si>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</si>
  <si>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</si>
  <si>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</si>
  <si>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</si>
  <si>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</si>
  <si>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</si>
  <si>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</si>
  <si>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</si>
  <si>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</si>
  <si>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</si>
  <si>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</si>
  <si>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</si>
  <si>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</si>
  <si>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</si>
  <si>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</si>
  <si>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</si>
  <si>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</si>
  <si>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</si>
  <si>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</si>
  <si>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</si>
  <si>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</si>
  <si>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</si>
  <si>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</si>
  <si>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</si>
  <si>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</si>
  <si>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</si>
  <si>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</si>
  <si>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</si>
  <si>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</si>
  <si>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</si>
  <si>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</si>
  <si>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</si>
  <si>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</si>
  <si>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</si>
  <si>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</si>
  <si>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</si>
  <si>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</si>
  <si>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</si>
  <si>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</si>
  <si>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</si>
  <si>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</si>
  <si>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</si>
  <si>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</si>
  <si>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</si>
  <si>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</si>
  <si>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</si>
  <si>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</si>
  <si>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</si>
  <si>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</si>
  <si>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</si>
  <si>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</si>
  <si>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</si>
  <si>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</si>
  <si>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</si>
  <si>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</si>
  <si>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</si>
  <si>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</si>
  <si>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</si>
  <si>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</si>
  <si>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</si>
  <si>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</si>
  <si>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</si>
  <si>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</si>
  <si>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</si>
  <si>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</si>
  <si>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</si>
  <si>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</si>
  <si>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</si>
  <si>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</si>
  <si>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</si>
  <si>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</si>
  <si>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</si>
  <si>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</si>
  <si>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</si>
  <si>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</si>
  <si>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</si>
  <si>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</si>
  <si>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</si>
  <si>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hau.nguyen-tai</t>
  </si>
  <si>
    <t>bang.nguyen-duy</t>
  </si>
  <si>
    <t>dac.luu-cong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</si>
  <si>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</si>
  <si>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</si>
  <si>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</si>
  <si>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</si>
  <si>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</si>
  <si>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</si>
  <si>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</si>
  <si>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</si>
  <si>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</si>
  <si>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</si>
  <si>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</si>
  <si>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</si>
  <si>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</si>
  <si>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</si>
  <si>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</si>
  <si>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</si>
  <si>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</si>
  <si>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</si>
  <si>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</si>
  <si>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</si>
  <si>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</si>
  <si>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</si>
  <si>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</si>
  <si>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</si>
  <si>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</si>
  <si>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</si>
  <si>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</si>
  <si>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</si>
  <si>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</si>
  <si>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</si>
  <si>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</si>
  <si>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</si>
  <si>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</si>
  <si>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</si>
  <si>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</si>
  <si>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</si>
  <si>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</si>
  <si>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</si>
  <si>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</si>
  <si>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</si>
  <si>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</si>
  <si>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</si>
  <si>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</si>
  <si>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</si>
  <si>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</si>
  <si>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</si>
  <si>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</si>
  <si>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</si>
  <si>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</si>
  <si>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</si>
  <si>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</si>
  <si>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</si>
  <si>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</si>
  <si>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</si>
  <si>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</si>
  <si>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</si>
  <si>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</si>
  <si>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</si>
  <si>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</si>
  <si>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</si>
  <si>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</si>
  <si>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</si>
  <si>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</si>
  <si>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</si>
  <si>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</si>
  <si>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</si>
  <si>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</si>
  <si>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</si>
  <si>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</si>
  <si>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</si>
  <si>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</si>
  <si>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</si>
  <si>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</si>
  <si>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</si>
  <si>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</si>
  <si>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</si>
  <si>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</si>
  <si>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</si>
  <si>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</si>
  <si>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</si>
  <si>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</si>
  <si>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</si>
  <si>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</si>
  <si>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</si>
  <si>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</si>
  <si>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</si>
  <si>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</si>
  <si>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</si>
  <si>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</si>
  <si>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</si>
  <si>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</si>
  <si>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</si>
  <si>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</si>
  <si>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</si>
  <si>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</si>
  <si>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</si>
  <si>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</si>
  <si>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</si>
  <si>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</si>
  <si>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</si>
  <si>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</si>
  <si>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</si>
  <si>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</si>
  <si>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</si>
  <si>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</si>
  <si>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</si>
  <si>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</si>
  <si>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</si>
  <si>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</si>
  <si>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</si>
  <si>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</si>
  <si>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</si>
  <si>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</si>
  <si>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</si>
  <si>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</si>
  <si>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</si>
  <si>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</si>
  <si>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</si>
  <si>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</si>
  <si>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</si>
  <si>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</si>
  <si>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</si>
  <si>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</si>
  <si>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</si>
  <si>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</si>
  <si>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</si>
  <si>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</si>
  <si>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</si>
  <si>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</si>
  <si>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</si>
  <si>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</si>
  <si>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</si>
  <si>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</si>
  <si>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</si>
  <si>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</si>
  <si>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</si>
  <si>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</si>
  <si>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</si>
  <si>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</si>
  <si>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</si>
  <si>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</si>
  <si>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</si>
  <si>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</si>
  <si>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</si>
  <si>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</si>
  <si>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</si>
  <si>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</si>
  <si>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</si>
  <si>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</si>
  <si>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</si>
  <si>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</si>
  <si>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</si>
  <si>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</si>
  <si>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</si>
  <si>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</si>
  <si>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</si>
  <si>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</si>
  <si>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</si>
  <si>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</si>
  <si>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</si>
  <si>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</si>
  <si>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</si>
  <si>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</si>
  <si>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</si>
  <si>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</si>
  <si>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</si>
  <si>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</si>
  <si>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</si>
  <si>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</si>
  <si>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</si>
  <si>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</si>
  <si>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</si>
  <si>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</si>
  <si>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</si>
  <si>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</si>
  <si>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</si>
  <si>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</si>
  <si>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</si>
  <si>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</si>
  <si>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</si>
  <si>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</si>
  <si>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</si>
  <si>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</si>
  <si>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</si>
  <si>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</si>
  <si>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</si>
  <si>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</si>
  <si>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</si>
  <si>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</si>
  <si>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</si>
  <si>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</si>
  <si>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</si>
  <si>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</si>
  <si>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</si>
  <si>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</si>
  <si>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</si>
  <si>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</si>
  <si>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</si>
  <si>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</si>
  <si>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</si>
  <si>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</si>
  <si>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</si>
  <si>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</si>
  <si>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</si>
  <si>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</si>
  <si>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</si>
  <si>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</si>
  <si>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</si>
  <si>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</si>
  <si>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</si>
  <si>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</si>
  <si>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</si>
  <si>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</si>
  <si>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</si>
  <si>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</si>
  <si>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</si>
  <si>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</si>
  <si>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</si>
  <si>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</si>
  <si>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</si>
  <si>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</si>
  <si>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</si>
  <si>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</si>
  <si>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</si>
  <si>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</si>
  <si>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</si>
  <si>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</si>
  <si>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</si>
  <si>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</si>
  <si>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</si>
  <si>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</si>
  <si>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</si>
  <si>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</si>
  <si>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</si>
  <si>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</si>
  <si>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</si>
  <si>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</si>
  <si>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</si>
  <si>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</si>
  <si>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</si>
  <si>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</si>
  <si>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</si>
  <si>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</si>
  <si>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</si>
  <si>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</si>
  <si>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</si>
  <si>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</si>
  <si>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</si>
  <si>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</si>
  <si>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</si>
  <si>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</si>
  <si>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</si>
  <si>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</si>
  <si>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</si>
  <si>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</si>
  <si>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</si>
  <si>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</si>
  <si>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</si>
  <si>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</si>
  <si>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</si>
  <si>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</si>
  <si>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</si>
  <si>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</si>
  <si>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</si>
  <si>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</si>
  <si>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</si>
  <si>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</si>
  <si>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</si>
  <si>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</si>
  <si>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</si>
  <si>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</si>
  <si>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</si>
  <si>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</si>
  <si>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</si>
  <si>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</si>
  <si>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</si>
  <si>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</si>
  <si>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</si>
  <si>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</si>
  <si>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</si>
  <si>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</si>
  <si>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</si>
  <si>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</si>
  <si>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</si>
  <si>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</si>
  <si>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</si>
  <si>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</si>
  <si>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</si>
  <si>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</si>
  <si>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</si>
  <si>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</si>
  <si>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</si>
  <si>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</si>
  <si>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</si>
  <si>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</si>
  <si>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</si>
  <si>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</si>
  <si>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</si>
  <si>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</si>
  <si>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</si>
  <si>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</si>
  <si>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</si>
  <si>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</si>
  <si>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</si>
  <si>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</si>
  <si>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</si>
  <si>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</si>
  <si>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</si>
  <si>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</si>
  <si>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</si>
  <si>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</si>
  <si>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</si>
  <si>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</si>
  <si>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</si>
  <si>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</si>
  <si>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</si>
  <si>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</si>
  <si>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</si>
  <si>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</si>
  <si>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</si>
  <si>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</si>
  <si>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</si>
  <si>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</si>
  <si>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</si>
  <si>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</si>
  <si>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</si>
  <si>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</si>
  <si>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</si>
  <si>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</si>
  <si>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</si>
  <si>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</si>
  <si>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</si>
  <si>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</si>
  <si>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</si>
  <si>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</si>
  <si>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</si>
  <si>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</si>
  <si>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</si>
  <si>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</si>
  <si>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</si>
  <si>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</si>
  <si>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</si>
  <si>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</si>
  <si>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</si>
  <si>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</si>
  <si>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</si>
  <si>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</si>
  <si>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</si>
  <si>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</si>
  <si>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</si>
  <si>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</si>
  <si>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</si>
  <si>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</si>
  <si>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</si>
  <si>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</si>
  <si>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</si>
  <si>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</si>
  <si>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</si>
  <si>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</si>
  <si>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</si>
  <si>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</si>
  <si>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</si>
  <si>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</si>
  <si>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</si>
  <si>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</si>
  <si>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</si>
  <si>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</si>
  <si>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</si>
  <si>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</si>
  <si>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</si>
  <si>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</si>
  <si>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</si>
  <si>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</si>
  <si>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</si>
  <si>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</si>
  <si>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</si>
  <si>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</si>
  <si>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</si>
  <si>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</si>
  <si>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</si>
  <si>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</si>
  <si>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</si>
  <si>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</si>
  <si>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</si>
  <si>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</si>
  <si>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</si>
  <si>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</si>
  <si>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</si>
  <si>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</si>
  <si>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</si>
  <si>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</si>
  <si>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</si>
  <si>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</si>
  <si>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</si>
  <si>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</si>
  <si>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</si>
  <si>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</si>
  <si>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</si>
  <si>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</si>
  <si>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</si>
  <si>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</si>
  <si>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</si>
  <si>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</si>
  <si>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</si>
  <si>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</si>
  <si>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</si>
  <si>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</si>
  <si>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</si>
  <si>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</si>
  <si>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</si>
  <si>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</si>
  <si>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</si>
  <si>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</si>
  <si>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</si>
  <si>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</si>
  <si>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</si>
  <si>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</si>
  <si>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</si>
  <si>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</si>
  <si>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</si>
  <si>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</si>
  <si>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</si>
  <si>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</si>
  <si>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</si>
  <si>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</si>
  <si>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</si>
  <si>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</si>
  <si>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</si>
  <si>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</si>
  <si>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</si>
  <si>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</si>
  <si>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</si>
  <si>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</si>
  <si>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</si>
  <si>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</si>
  <si>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</si>
  <si>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</si>
  <si>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</si>
  <si>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</si>
  <si>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</si>
  <si>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</si>
  <si>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</si>
  <si>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</si>
  <si>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</si>
  <si>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</si>
  <si>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</si>
  <si>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</si>
  <si>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</si>
  <si>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</si>
  <si>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</si>
  <si>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</si>
  <si>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</si>
  <si>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</si>
  <si>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</si>
  <si>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</si>
  <si>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</si>
  <si>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</si>
  <si>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</si>
  <si>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</si>
  <si>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</si>
  <si>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</si>
  <si>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</si>
  <si>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</si>
  <si>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</si>
  <si>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</si>
  <si>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</si>
  <si>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</si>
  <si>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</si>
  <si>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</si>
  <si>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</si>
  <si>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</si>
  <si>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</si>
  <si>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</si>
  <si>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</si>
  <si>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</si>
  <si>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</si>
  <si>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</si>
  <si>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</si>
  <si>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</si>
  <si>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</si>
  <si>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</si>
  <si>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</si>
  <si>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</si>
  <si>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</si>
  <si>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</si>
  <si>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</si>
  <si>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</si>
  <si>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</si>
  <si>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</si>
  <si>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</si>
  <si>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</si>
  <si>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</si>
  <si>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</si>
  <si>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</si>
  <si>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</si>
  <si>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</si>
  <si>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</si>
  <si>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</si>
  <si>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</si>
  <si>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</si>
  <si>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</si>
  <si>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</si>
  <si>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</si>
  <si>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</si>
  <si>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</si>
  <si>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</si>
  <si>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</si>
  <si>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</si>
  <si>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</si>
  <si>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</si>
  <si>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</si>
  <si>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</si>
  <si>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</si>
  <si>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</si>
  <si>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</si>
  <si>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</si>
  <si>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</si>
  <si>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</si>
  <si>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</si>
  <si>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</si>
  <si>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</si>
  <si>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</si>
  <si>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</si>
  <si>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</si>
  <si>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</si>
  <si>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</si>
  <si>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</si>
  <si>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</si>
  <si>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</si>
  <si>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</si>
  <si>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</si>
  <si>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</si>
  <si>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</si>
  <si>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</si>
  <si>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</si>
  <si>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</si>
  <si>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</si>
  <si>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</si>
  <si>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</si>
  <si>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</si>
  <si>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</si>
  <si>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</si>
  <si>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</si>
  <si>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</si>
  <si>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</si>
  <si>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</si>
  <si>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</si>
  <si>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</si>
  <si>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</si>
  <si>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</si>
  <si>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</si>
  <si>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</si>
  <si>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</si>
  <si>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</si>
  <si>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</si>
  <si>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</si>
  <si>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</si>
  <si>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</si>
  <si>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</si>
  <si>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</si>
  <si>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</si>
  <si>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</si>
  <si>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</si>
  <si>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</si>
  <si>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</si>
  <si>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</si>
  <si>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</si>
  <si>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</si>
  <si>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</si>
  <si>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</si>
  <si>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</si>
  <si>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</si>
  <si>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</si>
  <si>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</si>
  <si>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</si>
  <si>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</si>
  <si>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</si>
  <si>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</si>
  <si>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</si>
  <si>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</si>
  <si>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</si>
  <si>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</si>
  <si>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</si>
  <si>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</si>
  <si>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</si>
  <si>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</si>
  <si>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</si>
  <si>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</si>
  <si>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</si>
  <si>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</si>
  <si>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</si>
  <si>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</si>
  <si>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</si>
  <si>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</si>
  <si>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</si>
  <si>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</si>
  <si>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</si>
  <si>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</si>
  <si>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</si>
  <si>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</si>
  <si>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</si>
  <si>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</si>
  <si>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</si>
  <si>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</si>
  <si>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</si>
  <si>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</si>
  <si>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</si>
  <si>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</si>
  <si>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</si>
  <si>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</si>
  <si>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</si>
  <si>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</si>
  <si>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</si>
  <si>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</si>
  <si>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</si>
  <si>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</si>
  <si>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</si>
  <si>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</si>
  <si>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</si>
  <si>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</si>
  <si>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</si>
  <si>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</si>
  <si>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</si>
  <si>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</si>
  <si>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</si>
  <si>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</si>
  <si>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</si>
  <si>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</si>
  <si>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</si>
  <si>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</si>
  <si>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</si>
  <si>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</si>
  <si>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</si>
  <si>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</si>
  <si>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</si>
  <si>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</si>
  <si>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</si>
  <si>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</si>
  <si>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</si>
  <si>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</si>
  <si>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</si>
  <si>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</si>
  <si>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</si>
  <si>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</si>
  <si>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</si>
  <si>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</si>
  <si>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</si>
  <si>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</si>
  <si>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</si>
  <si>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</si>
  <si>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</si>
  <si>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</si>
  <si>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</si>
  <si>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</si>
  <si>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</si>
  <si>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</si>
  <si>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</si>
  <si>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</si>
  <si>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</si>
  <si>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</si>
  <si>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</si>
  <si>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</si>
  <si>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</si>
  <si>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</si>
  <si>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</si>
  <si>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</si>
  <si>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</si>
  <si>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</si>
  <si>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</si>
  <si>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</si>
  <si>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</si>
  <si>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</si>
  <si>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</si>
  <si>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</si>
  <si>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rb\as\byd\ipb\app\dsm\RBVAR\src\</t>
  </si>
  <si>
    <t>rb\as\byd\ipb\app\dsm\ RBVAR\src\</t>
  </si>
  <si>
    <t>\GEEA2\0\rb\as\cevt\Geely\aswpr\EV\src\</t>
  </si>
  <si>
    <t xml:space="preserve">rb\as\fawMP\fawcore\app\netRBNm\src\             </t>
  </si>
  <si>
    <t xml:space="preserve">rb\as\fawMP\fawcore\app\netRBScl\src\            </t>
  </si>
  <si>
    <t>rb\as\cnms_core\app\netscl\src\Callout_Functions\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</si>
  <si>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</si>
  <si>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</si>
  <si>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</si>
  <si>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</si>
  <si>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</si>
  <si>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</si>
  <si>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</si>
  <si>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</si>
  <si>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</si>
  <si>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</si>
  <si>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</si>
  <si>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</si>
  <si>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</si>
  <si>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</si>
  <si>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</si>
  <si>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</si>
  <si>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</si>
  <si>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</si>
  <si>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</si>
  <si>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</si>
  <si>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</si>
  <si>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</si>
  <si>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</si>
  <si>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</si>
  <si>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</si>
  <si>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</si>
  <si>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</si>
  <si>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</si>
  <si>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</si>
  <si>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</si>
  <si>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</si>
  <si>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</si>
  <si>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</si>
  <si>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</si>
  <si>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</si>
  <si>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</si>
  <si>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</si>
  <si>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</si>
  <si>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</si>
  <si>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</si>
  <si>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</si>
  <si>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</si>
  <si>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</si>
  <si>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C:\02_CANTATA\COEM_April\_DataBase\FAW_E115_iBGen2_Int\iBoosterGen2\rb\as\faw\core\app\dcom\RBAPLCust\src\ESP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</si>
  <si>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</si>
  <si>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</si>
  <si>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</si>
  <si>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</si>
  <si>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</si>
  <si>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 xml:space="preserve"> </t>
  </si>
  <si>
    <t xml:space="preserve">rb/as/cnms_core/app/dsm/DemVar/src/            </t>
  </si>
  <si>
    <t xml:space="preserve">rb/as/cnms_core/app/dsm/RBVAR/src/             </t>
  </si>
  <si>
    <t xml:space="preserve">rb/as/gwm/cp/app/dsm/RBWarningIndicator/src/   </t>
  </si>
  <si>
    <t xml:space="preserve">rb/as/gwm/cp/app/dsm/RBHMI/src/                </t>
  </si>
  <si>
    <t xml:space="preserve">rb/as/gwm/cp/app/dsm/RBVAR/BB80433/src/        </t>
  </si>
  <si>
    <t xml:space="preserve">rb/as/gwm/cp/app/dsm/RBVAR/BB80431/src/        </t>
  </si>
  <si>
    <t xml:space="preserve">rb/as/gwm/cp/app/dsm/RBVAR/BB81003/src/        </t>
  </si>
  <si>
    <t>rb/as/gwm/cp/dsmpr/src/</t>
  </si>
  <si>
    <t>rb/as/saic51/core/app/dcom/RBAPLCust/src/common/</t>
  </si>
  <si>
    <t>rb/as/saic/core/app/dcom/RBAPLCust/src/common/</t>
  </si>
  <si>
    <t>/RBAPLCust/src/IPB/</t>
  </si>
  <si>
    <t>rb/as/venucia/project/app/dsm/RBVAR/src/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</si>
  <si>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</si>
  <si>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</si>
  <si>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</si>
  <si>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</si>
  <si>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</si>
  <si>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</si>
  <si>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</si>
  <si>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</si>
  <si>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</si>
  <si>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</si>
  <si>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</si>
  <si>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</si>
  <si>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</si>
  <si>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</si>
  <si>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</si>
  <si>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</si>
  <si>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</si>
  <si>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</si>
  <si>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</si>
  <si>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</si>
  <si>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</si>
  <si>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</si>
  <si>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</si>
  <si>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</si>
  <si>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</si>
  <si>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</si>
  <si>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</si>
  <si>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</si>
  <si>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</si>
  <si>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</si>
  <si>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</si>
  <si>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</si>
  <si>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</si>
  <si>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</si>
  <si>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</si>
  <si>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</si>
  <si>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</si>
  <si>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</si>
  <si>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</si>
  <si>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</si>
  <si>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</si>
  <si>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</si>
  <si>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</si>
  <si>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</si>
  <si>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</si>
  <si>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rb\as\cnms_core\app\netscl\src\Callout_Functions\
C:\02_CANTATA\COEM_April\_DataBase\FAW_E115_iBGen2_Int\iBoosterGen2\rb\as\faw\core\app\net\net_OBD_Off\RBScl\src\scl_callout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</si>
  <si>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</si>
  <si>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</si>
  <si>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</si>
  <si>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</si>
  <si>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</si>
  <si>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</si>
  <si>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</si>
  <si>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-Wrong path of component name</t>
  </si>
  <si>
    <t>C:\02_CANTATA\COEM_April\_DataBase\FAW_L3_MainPath_HevX_Int\CNMSESPHevX\rb\as\fawesphevx\fawcore\app\dcom\RBAPLCust\src\ESP</t>
  </si>
  <si>
    <t>-Waiting license of ASCET Tool =&gt; Lead to delay for all class related with ASW</t>
  </si>
  <si>
    <t>Can’t cover statement at line 39.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</si>
</sst>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3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0"/>
      <color rgb="FF00610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174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16" fillId="10" borderId="1" xfId="0" applyFont="1" applyFill="1" applyBorder="1" applyAlignment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0" fillId="1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5" fillId="4" borderId="1" xfId="0" applyFont="1" applyFill="1" applyBorder="1" applyAlignment="1">
      <alignment horizontal="left" vertical="top"/>
    </xf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25" fillId="0" borderId="1" xfId="0" applyFont="1" applyFill="1" applyBorder="1" applyAlignment="1">
      <alignment horizontal="left" vertical="top"/>
    </xf>
    <xf numFmtId="0" fontId="25" fillId="0" borderId="1" xfId="0" applyNumberFormat="1" applyFont="1" applyFill="1" applyBorder="1" applyAlignment="1" applyProtection="1">
      <alignment horizontal="left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28" fillId="4" borderId="1" xfId="0" applyNumberFormat="1" applyFont="1" applyFill="1" applyBorder="1" applyAlignment="1" applyProtection="1">
      <alignment horizontal="left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9" fillId="0" borderId="0" xfId="0" applyFont="1" applyBorder="1"/>
    <xf numFmtId="164" fontId="30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left" vertical="top"/>
    </xf>
    <xf numFmtId="0" fontId="4" fillId="24" borderId="1" xfId="0" applyNumberFormat="1" applyFont="1" applyFill="1" applyBorder="1" applyAlignment="1" applyProtection="1">
      <alignment horizontal="left" vertical="top"/>
    </xf>
    <xf numFmtId="0" fontId="4" fillId="24" borderId="1" xfId="0" applyFont="1" applyFill="1" applyBorder="1" applyAlignment="1">
      <alignment horizontal="left" vertical="top"/>
    </xf>
  </cellXfs>
  <cellStyles count="2">
    <cellStyle name="Bad" xfId="1" builtinId="27"/>
    <cellStyle name="Normal" xfId="0" builtinId="0"/>
  </cellStyles>
  <dxfs count="18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usernames" Target="revisions/userNames.xml"/><Relationship Id="rId2" Type="http://schemas.openxmlformats.org/officeDocument/2006/relationships/worksheet" Target="worksheets/sheet2.xml"/><Relationship Id="rId16" Type="http://schemas.openxmlformats.org/officeDocument/2006/relationships/revisionHeaders" Target="revisions/revisionHeader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26" Type="http://schemas.openxmlformats.org/officeDocument/2006/relationships/revisionLog" Target="revisionLog26.xml"/><Relationship Id="rId39" Type="http://schemas.openxmlformats.org/officeDocument/2006/relationships/revisionLog" Target="revisionLog39.xml"/><Relationship Id="rId21" Type="http://schemas.openxmlformats.org/officeDocument/2006/relationships/revisionLog" Target="revisionLog21.xml"/><Relationship Id="rId34" Type="http://schemas.openxmlformats.org/officeDocument/2006/relationships/revisionLog" Target="revisionLog34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50" Type="http://schemas.openxmlformats.org/officeDocument/2006/relationships/revisionLog" Target="revisionLog50.xml"/><Relationship Id="rId55" Type="http://schemas.openxmlformats.org/officeDocument/2006/relationships/revisionLog" Target="revisionLog55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7" Type="http://schemas.openxmlformats.org/officeDocument/2006/relationships/revisionLog" Target="revisionLog7.xml"/><Relationship Id="rId2" Type="http://schemas.openxmlformats.org/officeDocument/2006/relationships/revisionLog" Target="revisionLog2.xml"/><Relationship Id="rId16" Type="http://schemas.openxmlformats.org/officeDocument/2006/relationships/revisionLog" Target="revisionLog16.xml"/><Relationship Id="rId29" Type="http://schemas.openxmlformats.org/officeDocument/2006/relationships/revisionLog" Target="revisionLog29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11" Type="http://schemas.openxmlformats.org/officeDocument/2006/relationships/revisionLog" Target="revisionLog11.xml"/><Relationship Id="rId24" Type="http://schemas.openxmlformats.org/officeDocument/2006/relationships/revisionLog" Target="revisionLog24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53" Type="http://schemas.openxmlformats.org/officeDocument/2006/relationships/revisionLog" Target="revisionLog53.xml"/><Relationship Id="rId58" Type="http://schemas.openxmlformats.org/officeDocument/2006/relationships/revisionLog" Target="revisionLog58.xml"/><Relationship Id="rId66" Type="http://schemas.openxmlformats.org/officeDocument/2006/relationships/revisionLog" Target="revisionLog66.xml"/><Relationship Id="rId5" Type="http://schemas.openxmlformats.org/officeDocument/2006/relationships/revisionLog" Target="revisionLog5.xml"/><Relationship Id="rId15" Type="http://schemas.openxmlformats.org/officeDocument/2006/relationships/revisionLog" Target="revisionLog15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36" Type="http://schemas.openxmlformats.org/officeDocument/2006/relationships/revisionLog" Target="revisionLog36.xml"/><Relationship Id="rId49" Type="http://schemas.openxmlformats.org/officeDocument/2006/relationships/revisionLog" Target="revisionLog49.xml"/><Relationship Id="rId57" Type="http://schemas.openxmlformats.org/officeDocument/2006/relationships/revisionLog" Target="revisionLog57.xml"/><Relationship Id="rId61" Type="http://schemas.openxmlformats.org/officeDocument/2006/relationships/revisionLog" Target="revisionLog61.xml"/><Relationship Id="rId10" Type="http://schemas.openxmlformats.org/officeDocument/2006/relationships/revisionLog" Target="revisionLog10.xml"/><Relationship Id="rId19" Type="http://schemas.openxmlformats.org/officeDocument/2006/relationships/revisionLog" Target="revisionLog19.xml"/><Relationship Id="rId31" Type="http://schemas.openxmlformats.org/officeDocument/2006/relationships/revisionLog" Target="revisionLog31.xml"/><Relationship Id="rId44" Type="http://schemas.openxmlformats.org/officeDocument/2006/relationships/revisionLog" Target="revisionLog44.xml"/><Relationship Id="rId52" Type="http://schemas.openxmlformats.org/officeDocument/2006/relationships/revisionLog" Target="revisionLog52.xml"/><Relationship Id="rId60" Type="http://schemas.openxmlformats.org/officeDocument/2006/relationships/revisionLog" Target="revisionLog60.xml"/><Relationship Id="rId65" Type="http://schemas.openxmlformats.org/officeDocument/2006/relationships/revisionLog" Target="revisionLog65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4" Type="http://schemas.openxmlformats.org/officeDocument/2006/relationships/revisionLog" Target="revisionLog14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43" Type="http://schemas.openxmlformats.org/officeDocument/2006/relationships/revisionLog" Target="revisionLog43.xml"/><Relationship Id="rId48" Type="http://schemas.openxmlformats.org/officeDocument/2006/relationships/revisionLog" Target="revisionLog48.xml"/><Relationship Id="rId56" Type="http://schemas.openxmlformats.org/officeDocument/2006/relationships/revisionLog" Target="revisionLog56.xml"/><Relationship Id="rId64" Type="http://schemas.openxmlformats.org/officeDocument/2006/relationships/revisionLog" Target="revisionLog64.xml"/><Relationship Id="rId69" Type="http://schemas.openxmlformats.org/officeDocument/2006/relationships/revisionLog" Target="revisionLog69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3" Type="http://schemas.openxmlformats.org/officeDocument/2006/relationships/revisionLog" Target="revisionLog3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25" Type="http://schemas.openxmlformats.org/officeDocument/2006/relationships/revisionLog" Target="revisionLog25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46" Type="http://schemas.openxmlformats.org/officeDocument/2006/relationships/revisionLog" Target="revisionLog46.xml"/><Relationship Id="rId59" Type="http://schemas.openxmlformats.org/officeDocument/2006/relationships/revisionLog" Target="revisionLog59.xml"/><Relationship Id="rId67" Type="http://schemas.openxmlformats.org/officeDocument/2006/relationships/revisionLog" Target="revisionLog67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54" Type="http://schemas.openxmlformats.org/officeDocument/2006/relationships/revisionLog" Target="revisionLog54.xml"/><Relationship Id="rId62" Type="http://schemas.openxmlformats.org/officeDocument/2006/relationships/revisionLog" Target="revisionLog62.xml"/><Relationship Id="rId70" Type="http://schemas.openxmlformats.org/officeDocument/2006/relationships/revisionLog" Target="revisionLog70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8160C6C1-D39D-402F-9D23-4C17DBEA3372}" diskRevisions="1" revisionId="1098" version="70">
  <header guid="{D99242AA-E93B-48C8-933E-7D36FDF32DCA}" dateTime="2020-03-31T11:40:55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84B23E4-818E-4BF7-BA50-8805169122BA}" dateTime="2020-03-31T11:44:35" maxSheetId="12" userName="EXTERNAL Nguyen Tuan Duong (Ban Vien, RBVH/EPS45)" r:id="rId2" minRId="1" maxRId="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5BC3CEB-FB29-4DF1-85B4-BA2678DB4FBB}" dateTime="2020-03-31T11:44:47" maxSheetId="12" userName="EXTERNAL Nguyen Tuan Duong (Ban Vien, RBVH/EPS45)" r:id="rId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E1945C9-891F-4E15-A1D2-21482E3B3455}" dateTime="2020-03-31T11:45:05" maxSheetId="12" userName="EXTERNAL Nguyen Tuan Duong (Ban Vien, RBVH/EPS45)" r:id="rId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930198-A514-4885-B730-BFA980947E5E}" dateTime="2020-03-31T11:45:37" maxSheetId="12" userName="EXTERNAL Nguyen Tuan Duong (Ban Vien, RBVH/EPS45)" r:id="rId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BBB75C0-58B0-4721-ADD1-997002E785F7}" dateTime="2020-03-31T11:48:00" maxSheetId="12" userName="EXTERNAL Nguyen Kim Thanh (Ban Vien, RBVH/EPS45)" r:id="rId6" minRId="19" maxRId="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D290BA-DF76-4C76-9009-2E9A271B6552}" dateTime="2020-03-31T13:57:40" maxSheetId="12" userName="EXTERNAL Nguyen Tuan Duong (Ban Vien, RBVH/EPS45)" r:id="rId7" minRId="25" maxRId="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41EDB6E-8E4D-4608-B4A1-21E30C66EDD5}" dateTime="2020-03-31T14:03:35" maxSheetId="12" userName="EXTERNAL Do Phu Loc (Ban Vien, RBVH/EPS45)" r:id="rId8" minRId="28" maxRId="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D0F1C0A-2E98-4FDC-B46F-92C762C1BD67}" dateTime="2020-03-31T14:22:59" maxSheetId="12" userName="EXTERNAL Nguyen Tuan Duong (Ban Vien, RBVH/EPS45)" r:id="rId9" minRId="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14108E-8529-40AE-B6F3-EA5199EFB2F9}" dateTime="2020-03-31T14:33:49" maxSheetId="12" userName="EXTERNAL Nguyen Tuan Duong (Ban Vien, RBVH/EPS45)" r:id="rId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57FFC1-1BDB-48EE-974A-6F222809C016}" dateTime="2020-03-31T14:34:37" maxSheetId="12" userName="EXTERNAL Nguyen Tuan Duong (Ban Vien, RBVH/EPS45)" r:id="rId11" minRId="48" maxRId="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DC677BA-EC7D-4393-913B-02992387BABE}" dateTime="2020-03-31T14:38:19" maxSheetId="12" userName="EXTERNAL Do Phu Loc (Ban Vien, RBVH/EPS45)" r:id="rId12" minRId="60" maxRId="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B56F127-2C40-4B7B-AC53-43D65DFE32E5}" dateTime="2020-03-31T14:38:42" maxSheetId="12" userName="EXTERNAL Do Phu Loc (Ban Vien, RBVH/EPS45)" r:id="rId13" minRId="67" maxRId="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371DEE4-7C0F-4B4A-A3B2-DEEBFDD18D9A}" dateTime="2020-03-31T14:39:27" maxSheetId="12" userName="EXTERNAL Do Phu Loc (Ban Vien, RBVH/EPS45)" r:id="rId14" minRId="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8AA5EB5-BA24-4FEA-BDA5-03A01505953B}" dateTime="2020-03-31T14:58:53" maxSheetId="12" userName="EXTERNAL Ly Chung (Ban Vien, RBVH/EPS45)" r:id="rId15" minRId="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950F6DE-B387-445D-89D8-29D5B1181F9D}" dateTime="2020-03-31T15:24:56" maxSheetId="12" userName="EXTERNAL Do Phu Loc (Ban Vien, RBVH/EPS45)" r:id="rId16" minRId="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07D113-BC75-4DE0-9B2A-D10090F0F3A7}" dateTime="2020-03-31T15:25:00" maxSheetId="12" userName="EXTERNAL Do Phu Loc (Ban Vien, RBVH/EPS45)" r:id="rId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027019-BE40-43B1-9FA2-6CC1F4846DE2}" dateTime="2020-03-31T15:25:20" maxSheetId="12" userName="EXTERNAL Do Phu Loc (Ban Vien, RBVH/EPS45)" r:id="rId18" minRId="77" maxRId="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AA7C1F0-7533-4080-9A05-7D4565FD4D07}" dateTime="2020-03-31T15:26:35" maxSheetId="12" userName="EXTERNAL Do Phu Loc (Ban Vien, RBVH/EPS45)" r:id="rId19" minRId="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D6C1EED-E112-451A-8ECF-9F87769A3BE8}" dateTime="2020-03-31T15:37:30" maxSheetId="12" userName="EXTERNAL Do Phu Loc (Ban Vien, RBVH/EPS45)" r:id="rId20" minRId="94" maxRId="1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DCDA44-0E9C-4714-A979-F8C7F2D6D751}" dateTime="2020-03-31T15:53:20" maxSheetId="12" userName="EXTERNAL Do Phu Loc (Ban Vien, RBVH/EPS45)" r:id="rId21" minRId="108" maxRId="1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58B5299-F3B9-4511-818E-00E05E32F97D}" dateTime="2020-03-31T16:26:27" maxSheetId="12" userName="EXTERNAL Do Phu Loc (Ban Vien, RBVH/EPS45)" r:id="rId22" minRId="111" maxRId="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521069-8A69-4CB8-A43B-E468D295EC37}" dateTime="2020-03-31T16:26:36" maxSheetId="12" userName="EXTERNAL Do Phu Loc (Ban Vien, RBVH/EPS45)" r:id="rId23" minRId="1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DD36FEB-7326-4A4D-9376-01C7169203E4}" dateTime="2020-03-31T16:48:21" maxSheetId="12" userName="EXTERNAL Nguyen Kim Thanh (Ban Vien, RBVH/EPS45)" r:id="rId24" minRId="126" maxRId="14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392201-50DA-402F-B437-777780EA297A}" dateTime="2020-03-31T16:48:29" maxSheetId="12" userName="EXTERNAL Nguyen Kim Thanh (Ban Vien, RBVH/EPS45)" r:id="rId25" minRId="1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F0C46B2-3CC9-45A8-A754-FAAA0FD263B3}" dateTime="2020-03-31T16:50:42" maxSheetId="12" userName="EXTERNAL Do Phu Loc (Ban Vien, RBVH/EPS45)" r:id="rId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092C39-8918-4B7F-B26C-0C1F697FAFA3}" dateTime="2020-04-01T08:58:59" maxSheetId="12" userName="EXTERNAL Nguyen Tuan Duong (Ban Vien, RBVH/EPS45)" r:id="rId27" minRId="155" maxRId="4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01CFB5-D0A7-44A8-8E2C-912DAF6FE701}" dateTime="2020-04-01T08:59:52" maxSheetId="12" userName="EXTERNAL Nguyen Tuan Duong (Ban Vien, RBVH/EPS45)" r:id="rId28" minRId="481" maxRId="4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8AB5B7-BC57-45A9-9F7C-690B569B2F2E}" dateTime="2020-04-01T09:02:05" maxSheetId="12" userName="EXTERNAL Nguyen Tuan Duong (Ban Vien, RBVH/EPS45)" r:id="rId29" minRId="489" maxRId="6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15D66B-38E8-43DE-97D4-4EB642CC6AD8}" dateTime="2020-04-01T09:02:33" maxSheetId="12" userName="EXTERNAL Nguyen Tuan Duong (Ban Vien, RBVH/EPS45)" r:id="rId3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4ECC5B5-D0C9-4354-9704-50878A290B0A}" dateTime="2020-04-01T09:07:50" maxSheetId="12" userName="EXTERNAL Nguyen Tuan Duong (Ban Vien, RBVH/EPS45)" r:id="rId31" minRId="657" maxRId="6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543AAC-3030-4724-9CF8-8483965481B8}" dateTime="2020-04-01T09:09:39" maxSheetId="12" userName="EXTERNAL Nguyen Tuan Duong (Ban Vien, RBVH/EPS45)" r:id="rId32" minRId="690" maxRId="6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5B9791-9FB5-4ACA-9F2B-20E5D96B3BDB}" dateTime="2020-04-01T09:09:52" maxSheetId="12" userName="EXTERNAL Nguyen Tuan Duong (Ban Vien, RBVH/EPS45)" r:id="rId33" minRId="700" maxRId="7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0BCD1CA-2132-4EB5-9096-A8E5BAF736EE}" dateTime="2020-04-01T09:10:26" maxSheetId="12" userName="EXTERNAL Nguyen Tuan Duong (Ban Vien, RBVH/EPS45)" r:id="rId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A03BE93-D78D-48BD-91A7-F6B92F394DA9}" dateTime="2020-04-01T09:12:04" maxSheetId="12" userName="EXTERNAL Nguyen Tuan Duong (Ban Vien, RBVH/EPS45)" r:id="rId35" minRId="762" maxRId="7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ABC2C0-90CA-45A3-82D7-EFEEB8D2A1D9}" dateTime="2020-04-01T09:13:25" maxSheetId="12" userName="EXTERNAL Nguyen Tuan Duong (Ban Vien, RBVH/EPS45)" r:id="rId36" minRId="767" maxRId="76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1B19DD8-936D-4A58-9C39-2F5D563556EE}" dateTime="2020-04-01T09:13:54" maxSheetId="12" userName="EXTERNAL Nguyen Tuan Duong (Ban Vien, RBVH/EPS45)" r:id="rId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1EDE70-665E-4C0C-A197-CBFAE05C3601}" dateTime="2020-04-01T09:14:17" maxSheetId="12" userName="EXTERNAL Nguyen Tuan Duong (Ban Vien, RBVH/EPS45)" r:id="rId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9F9A80-0829-4972-B3D1-1C0A039C769E}" dateTime="2020-04-01T09:14:24" maxSheetId="12" userName="EXTERNAL Nguyen Tuan Duong (Ban Vien, RBVH/EPS45)" r:id="rId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A00557-CB3F-4933-AB63-E4E7D13CDFF8}" dateTime="2020-04-01T09:15:03" maxSheetId="12" userName="EXTERNAL Nguyen Tuan Duong (Ban Vien, RBVH/EPS45)" r:id="rId40" minRId="77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392588B-B373-4604-A08F-B7C1BE0A251B}" dateTime="2020-04-01T10:42:18" maxSheetId="12" userName="EXTERNAL Nguyen Tuan Duong (Ban Vien, RBVH/EPS45)" r:id="rId41" minRId="783" maxRId="7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8313381-40B7-4E1A-B855-4194A99C144A}" dateTime="2020-04-01T10:47:08" maxSheetId="12" userName="EXTERNAL Nguyen Tuan Duong (Ban Vien, RBVH/EPS45)" r:id="rId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03CAC0A-936B-4046-8559-ED95DA971636}" dateTime="2020-04-01T10:47:21" maxSheetId="12" userName="EXTERNAL Do Phu Loc (Ban Vien, RBVH/EPS45)" r:id="rId43" minRId="7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C61A3D2-4996-4FDF-88BE-CA0D5493AE17}" dateTime="2020-04-01T10:54:51" maxSheetId="12" userName="EXTERNAL Nguyen Tuan Duong (Ban Vien, RBVH/EPS45)" r:id="rId44" minRId="803" maxRId="8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7C84692-6751-405E-8BCB-F148CE2DDC6F}" dateTime="2020-04-01T10:58:37" maxSheetId="12" userName="EXTERNAL Do Phu Loc (Ban Vien, RBVH/EPS45)" r:id="rId45" minRId="808" maxRId="81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43BA77-7799-4ECF-8E26-C613EC807381}" dateTime="2020-04-01T11:02:15" maxSheetId="12" userName="EXTERNAL Do Phu Loc (Ban Vien, RBVH/EPS45)" r:id="rId46" minRId="821" maxRId="84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79A136-8161-4178-B12C-00D3A327328A}" dateTime="2020-04-01T11:02:38" maxSheetId="12" userName="EXTERNAL Do Phu Loc (Ban Vien, RBVH/EPS45)" r:id="rId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4F35AFD-9FD4-4128-860A-92F645B9AD6B}" dateTime="2020-04-01T11:04:07" maxSheetId="12" userName="EXTERNAL Do Phu Loc (Ban Vien, RBVH/EPS45)" r:id="rId48" minRId="856" maxRId="87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D36880-1516-4376-A2CF-A7FC914FA378}" dateTime="2020-04-01T11:06:19" maxSheetId="12" userName="EXTERNAL Nguyen Tuan Duong (Ban Vien, RBVH/EPS45)" r:id="rId49" minRId="881" maxRId="8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8C3291B-C17F-490C-88B1-37B6AA12D416}" dateTime="2020-04-01T11:06:47" maxSheetId="12" userName="EXTERNAL Nguyen Tuan Duong (Ban Vien, RBVH/EPS45)" r:id="rId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F42F972-2E66-414E-8B9C-38AB9F79BF36}" dateTime="2020-04-01T11:07:41" maxSheetId="12" userName="EXTERNAL Nguyen Tuan Duong (Ban Vien, RBVH/EPS45)" r:id="rId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A9D337F-C69C-4C8D-BDFB-DBAD7721F7D1}" dateTime="2020-04-01T11:07:47" maxSheetId="12" userName="EXTERNAL Nguyen Tuan Duong (Ban Vien, RBVH/EPS45)" r:id="rId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2EAB546-77A8-491F-B339-30EECD27A352}" dateTime="2020-04-01T11:07:51" maxSheetId="12" userName="EXTERNAL Nguyen Kim Thanh (Ban Vien, RBVH/EPS45)" r:id="rId53" minRId="897" maxRId="9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4500B5-549C-4994-ABA1-E6A9441D3E69}" dateTime="2020-04-01T11:07:59" maxSheetId="12" userName="EXTERNAL Nguyen Tuan Duong (Ban Vien, RBVH/EPS45)" r:id="rId54" minRId="9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5895BF4-0294-477D-8677-ED7B5B8080AC}" dateTime="2020-04-01T11:08:45" maxSheetId="12" userName="EXTERNAL Nguyen Tuan Duong (Ban Vien, RBVH/EPS45)" r:id="rId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73EBDA-544E-4EF2-BC74-9571A10DD7F0}" dateTime="2020-04-01T11:08:52" maxSheetId="12" userName="EXTERNAL Nguyen Kim Thanh (Ban Vien, RBVH/EPS45)" r:id="rId56" minRId="917" maxRId="9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4472A46-2359-4E85-B2FF-0335F0386CCD}" dateTime="2020-04-01T11:10:47" maxSheetId="12" userName="EXTERNAL Nguyen Kim Thanh (Ban Vien, RBVH/EPS45)" r:id="rId57" minRId="931" maxRId="9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7C596BD-4478-450E-9CB3-AED6A163598E}" dateTime="2020-04-01T11:15:16" maxSheetId="12" userName="EXTERNAL Nguyen Tuan Duong (Ban Vien, RBVH/EPS45)" r:id="rId58" minRId="944" maxRId="9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FB4B74-03AF-44F3-812F-4DF79ABE0E40}" dateTime="2020-04-01T11:23:33" maxSheetId="12" userName="EXTERNAL Do Phu Loc (Ban Vien, RBVH/EPS45)" r:id="rId59" minRId="9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06A9003-11E5-4528-A450-FC5C9F98C702}" dateTime="2020-04-01T11:27:36" maxSheetId="12" userName="EXTERNAL Do Phu Loc (Ban Vien, RBVH/EPS45)" r:id="rId60" minRId="9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CF8B6E-2357-43DB-BD4D-0B180924F225}" dateTime="2020-04-01T11:29:28" maxSheetId="12" userName="EXTERNAL Do Phu Loc (Ban Vien, RBVH/EPS45)" r:id="rId61" minRId="957" maxRId="9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CF6985E-4E45-450B-B4C4-84F8F2A4DB2F}" dateTime="2020-04-01T12:00:47" maxSheetId="12" userName="EXTERNAL Do Phu Loc (Ban Vien, RBVH/EPS45)" r:id="rId62" minRId="980" maxRId="9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6A60BB2-6EEA-4B16-93BC-D74CB560FF9A}" dateTime="2020-04-01T12:12:09" maxSheetId="12" userName="EXTERNAL Do Phu Loc (Ban Vien, RBVH/EPS45)" r:id="rId63" minRId="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B643F9-61EE-45D6-B86B-0B08A4B40A5F}" dateTime="2020-04-01T14:13:38" maxSheetId="12" userName="EXTERNAL Do Phu Loc (Ban Vien, RBVH/EPS45)" r:id="rId64" minRId="987" maxRId="99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E8AA42-6449-42C3-BCDE-D0BC86A3B34A}" dateTime="2020-04-01T14:54:06" maxSheetId="12" userName="EXTERNAL Do Phu Loc (Ban Vien, RBVH/EPS45)" r:id="rId65" minRId="1001" maxRId="10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8BB58FF-F48B-4E32-8581-C488691868D7}" dateTime="2020-04-01T15:03:22" maxSheetId="12" userName="EXTERNAL Nguyen Kim Thanh (Ban Vien, RBVH/EPS45)" r:id="rId66" minRId="1024" maxRId="10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D1A742A-4B6F-429C-A0E6-E6F12667EB05}" dateTime="2020-04-01T15:09:29" maxSheetId="12" userName="EXTERNAL Nguyen Kim Thanh (Ban Vien, RBVH/EPS45)" r:id="rId67" minRId="1049" maxRId="10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0265A42-F03D-4934-B36F-F39F2872A961}" dateTime="2020-04-01T16:51:03" maxSheetId="12" userName="EXTERNAL Nguyen Kim Thanh (Ban Vien, RBVH/EPS45)" r:id="rId68" minRId="1072" maxRId="10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68138A2-C8B4-45BB-979A-08C64C1214CB}" dateTime="2020-04-01T18:44:31" maxSheetId="12" userName="EXTERNAL Nguyen Tuan Duong (Ban Vien, RBVH/EPS45)" r:id="rId69" minRId="1087" maxRId="10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160C6C1-D39D-402F-9D23-4C17DBEA3372}" dateTime="2020-04-01T18:45:30" maxSheetId="12" userName="EXTERNAL Nguyen Tuan Duong (Ban Vien, RBVH/EPS45)" r:id="rId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1" name="_xlfn.COUNTIFS" function="1" oldFunction="1" hidden="1" oldHidden="1">
    <formula>#NAME?</formula>
  </rdn>
  <rcc rId="2" sId="5">
    <nc r="E27">
      <f>COUNTIFS(COEM_Package_20200401!AF3:AF25,Table!C39,COEM_Package_20200401!O3:O25,Table!C17)</f>
    </nc>
  </rcc>
  <rcc rId="3" sId="5">
    <nc r="E28">
      <f>COUNTIFS(COEM_Package_20200401!AF3:AF25,Table!C39,COEM_Package_20200401!O3:O25,Table!C18)</f>
    </nc>
  </rcc>
  <rcc rId="4" sId="5">
    <nc r="E29">
      <f>COUNTIFS(COEM_Package_20200401!AF3:AF25,Table!C39,COEM_Package_20200401!O3:O25,Table!C19)</f>
    </nc>
  </rcc>
  <rcc rId="5" sId="5">
    <nc r="E30">
      <f>COUNTIFS(COEM_Package_20200401!AF3:AF25,Table!C39,COEM_Package_20200401!O3:O25,Table!C20)</f>
    </nc>
  </rcc>
  <rcc rId="6" sId="5">
    <nc r="F27">
      <f>COUNTIFS(COEM_Package_20200401!AF3:AF25,Table!C40,COEM_Package_20200401!O3:O25,Table!C17)</f>
    </nc>
  </rcc>
  <rcc rId="7" sId="5">
    <nc r="F28">
      <f>COUNTIFS(COEM_Package_20200401!AF3:AF25,Table!C40,COEM_Package_20200401!O3:O25,Table!C18)</f>
    </nc>
  </rcc>
  <rcc rId="8" sId="5">
    <nc r="F29">
      <f>COUNTIFS(COEM_Package_20200401!AF3:AF25,Table!C40,COEM_Package_20200401!O3:O25,Table!C19)</f>
    </nc>
  </rcc>
  <rcc rId="9" sId="5">
    <nc r="F30">
      <f>COUNTIFS(COEM_Package_20200401!AF3:AF25,Table!C40,COEM_Package_20200401!O3:O25,Table!C20)</f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9" sId="4">
    <oc r="S7">
      <f>R7</f>
    </oc>
    <nc r="S7">
      <f>R7+303-155</f>
    </nc>
  </rcc>
  <rfmt sheetId="4" sqref="S7">
    <dxf>
      <fill>
        <patternFill patternType="solid">
          <bgColor rgb="FFFF0000"/>
        </patternFill>
      </fill>
    </dxf>
  </rfmt>
  <rcc rId="20" sId="4">
    <oc r="S8">
      <f>R8</f>
    </oc>
    <nc r="S8">
      <f>R8+114-34</f>
    </nc>
  </rcc>
  <rfmt sheetId="4" sqref="S8">
    <dxf>
      <fill>
        <patternFill patternType="solid">
          <bgColor rgb="FFFF0000"/>
        </patternFill>
      </fill>
    </dxf>
  </rfmt>
  <rcc rId="21" sId="4">
    <oc r="S9">
      <f>R9</f>
    </oc>
    <nc r="S9">
      <f>R9+213-280</f>
    </nc>
  </rcc>
  <rfmt sheetId="4" sqref="S9">
    <dxf>
      <fill>
        <patternFill patternType="solid">
          <bgColor rgb="FFFF0000"/>
        </patternFill>
      </fill>
    </dxf>
  </rfmt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COEM_Package_20200302!$A$2:$AG$219</oldFormula>
  </rdn>
  <rdn rId="0" localSheetId="4" customView="1" name="Z_4E06BDBF_2CED_473B_850B_2A6C7311FF41_.wvu.Cols" hidden="1" oldHidden="1">
    <formula>COEM_Package_20200401!$P:$Q</formula>
  </rdn>
  <rdn rId="0" localSheetId="4" customView="1" name="Z_4E06BDBF_2CED_473B_850B_2A6C7311FF41_.wvu.FilterData" hidden="1" oldHidden="1">
    <formula>COEM_Package_20200401!$B$2:$AH$25</formula>
    <oldFormula>COEM_Package_20200401!$A$2:$AH$25</oldFormula>
  </rdn>
  <rcv guid="{4E06BDBF-2CED-473B-850B-2A6C7311FF41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" sId="5">
    <oc r="B25" t="inlineStr">
      <is>
        <t>4. Found Defects/ OPLs in Month (Mar):</t>
      </is>
    </oc>
    <nc r="B25" t="inlineStr">
      <is>
        <t>4. Found Defects/ OPLs in Month (Apr):</t>
      </is>
    </nc>
  </rcc>
  <rcc rId="26" sId="5">
    <oc r="B33" t="inlineStr">
      <is>
        <t>5. Leave Plan/Other activities(Mar):</t>
      </is>
    </oc>
    <nc r="B33" t="inlineStr">
      <is>
        <t>5. Leave Plan/Other activities(Apr):</t>
      </is>
    </nc>
  </rcc>
  <rcc rId="27" sId="5">
    <oc r="B10" t="inlineStr">
      <is>
        <t>2. Completed ELOCs of each member from the beginning of Month (Mar) till Now:</t>
      </is>
    </oc>
    <nc r="B10" t="inlineStr">
      <is>
        <t>2. Completed ELOCs of each member from the beginning of Month (Apr) till Now:</t>
      </is>
    </nc>
  </rcc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" sId="4" xfDxf="1" dxf="1" quotePrefix="1">
    <oc r="F13" t="inlineStr">
      <is>
        <t>-</t>
      </is>
    </oc>
    <nc r="F13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" sId="4">
    <nc r="V13">
      <v>2</v>
    </nc>
  </rcc>
  <rcc rId="30" sId="4">
    <nc r="W13" t="inlineStr">
      <is>
        <t>Ready for review</t>
      </is>
    </nc>
  </rcc>
  <rcc rId="31" sId="4" numFmtId="19">
    <nc r="Z13">
      <v>43921</v>
    </nc>
  </rcc>
  <rcc rId="32" sId="4" numFmtId="19">
    <nc r="AA13">
      <v>43921</v>
    </nc>
  </rcc>
  <rcc rId="33" sId="4">
    <nc r="AB13" t="inlineStr">
      <is>
        <t>OK</t>
      </is>
    </nc>
  </rcc>
  <rcc rId="34" sId="4">
    <nc r="AC13">
      <v>100</v>
    </nc>
  </rcc>
  <rcc rId="35" sId="4">
    <nc r="AD13">
      <v>100</v>
    </nc>
  </rcc>
  <rcc rId="36" sId="4">
    <nc r="AE13">
      <v>100</v>
    </nc>
  </rcc>
  <rcc rId="37" sId="4">
    <nc r="AF1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1" sId="1">
    <oc r="H31" t="inlineStr">
      <is>
        <t>RBAPLCUST_InputOutputControl_GeneralFunctions.c</t>
      </is>
    </oc>
    <nc r="H31" t="inlineStr">
      <is>
        <t>OPL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" sId="1">
    <nc r="AC173">
      <v>100</v>
    </nc>
  </rcc>
  <rcc rId="49" sId="1">
    <nc r="AD173">
      <v>100</v>
    </nc>
  </rcc>
  <rcc rId="50" sId="1">
    <nc r="AE173">
      <v>100</v>
    </nc>
  </rcc>
  <rcc rId="51" sId="1">
    <nc r="AC175">
      <v>100</v>
    </nc>
  </rcc>
  <rcc rId="52" sId="1">
    <nc r="AD175">
      <v>100</v>
    </nc>
  </rcc>
  <rcc rId="53" sId="1">
    <nc r="AE175">
      <v>100</v>
    </nc>
  </rcc>
  <rcc rId="54" sId="1">
    <nc r="AC163">
      <v>100</v>
    </nc>
  </rcc>
  <rcc rId="55" sId="1">
    <nc r="AD163">
      <v>100</v>
    </nc>
  </rcc>
  <rcc rId="56" sId="1">
    <nc r="AE163">
      <v>98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COEM_Package_20200401!$B$2:$AH$25</formula>
    <oldFormula>COEM_Package_20200401!$B$2:$AH$25</oldFormula>
  </rdn>
  <rcv guid="{7E0EA425-A420-4443-B9E0-CDF0AA9E5D09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 H5 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60" sId="4">
    <oc r="S10">
      <f>R10</f>
    </oc>
    <nc r="S10"/>
  </rcc>
  <rcc rId="61" sId="4">
    <oc r="S11">
      <f>R11</f>
    </oc>
    <nc r="S11"/>
  </rcc>
  <rcc rId="62" sId="4">
    <oc r="S12">
      <f>R12</f>
    </oc>
    <nc r="S12"/>
  </rcc>
  <rcc rId="63" sId="4">
    <oc r="S13">
      <f>R13</f>
    </oc>
    <nc r="S1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7" sId="4">
    <nc r="S10">
      <f>R10</f>
    </nc>
  </rcc>
  <rcc rId="68" sId="4">
    <nc r="S11">
      <f>R11</f>
    </nc>
  </rcc>
  <rcc rId="69" sId="4">
    <nc r="S12">
      <f>R12</f>
    </nc>
  </rcc>
  <rcc rId="70" sId="4">
    <nc r="S13">
      <f>R13</f>
    </nc>
  </rcc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" sId="4">
    <nc r="T13">
      <f>S13</f>
    </nc>
  </rcc>
  <rfmt sheetId="4" sqref="S10:S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2" sId="1" quotePrefix="1">
    <oc r="AF161" t="inlineStr">
      <is>
        <t>-</t>
      </is>
    </oc>
    <nc r="AF161" t="inlineStr">
      <is>
        <t>-Cant cover 100% MCDC.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COEM_Package_20200302!$B$2:$AG$219</oldFormula>
  </rdn>
  <rdn rId="0" localSheetId="4" customView="1" name="Z_60D2C030_4E31_4E07_8E1C_44D2EE84B177_.wvu.Cols" hidden="1" oldHidden="1">
    <formula>COEM_Package_20200401!$P:$Q</formula>
  </rdn>
  <rdn rId="0" localSheetId="4" customView="1" name="Z_60D2C030_4E31_4E07_8E1C_44D2EE84B177_.wvu.FilterData" hidden="1" oldHidden="1">
    <formula>COEM_Package_20200401!$B$2:$AH$25</formula>
    <oldFormula>COEM_Package_20200401!$B$2:$AH$25</oldFormula>
  </rdn>
  <rcv guid="{60D2C030-4E31-4E07-8E1C-44D2EE84B177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" sId="4" xfDxf="1" dxf="1" quotePrefix="1">
    <oc r="F11" t="inlineStr">
      <is>
        <t>-</t>
      </is>
    </oc>
    <nc r="F11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" sId="4">
    <nc r="V11">
      <v>2</v>
    </nc>
  </rcc>
  <rcc rId="78" sId="4">
    <nc r="T11">
      <f>S11</f>
    </nc>
  </rcc>
  <rcc rId="79" sId="4">
    <nc r="W11" t="inlineStr">
      <is>
        <t>Ready for review</t>
      </is>
    </nc>
  </rcc>
  <rcc rId="80" sId="4" numFmtId="19">
    <nc r="Z11">
      <v>43921</v>
    </nc>
  </rcc>
  <rcc rId="81" sId="4" numFmtId="19">
    <nc r="AA11">
      <v>43921</v>
    </nc>
  </rcc>
  <rcc rId="82" sId="4">
    <nc r="AB11" t="inlineStr">
      <is>
        <t>OK</t>
      </is>
    </nc>
  </rcc>
  <rcc rId="83" sId="4">
    <nc r="AC11">
      <v>100</v>
    </nc>
  </rcc>
  <rcc rId="84" sId="4">
    <nc r="AD11">
      <v>100</v>
    </nc>
  </rcc>
  <rcc rId="85" sId="4">
    <nc r="AE11">
      <v>100</v>
    </nc>
  </rcc>
  <rcc rId="86" sId="4">
    <nc r="AF11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0" sId="4" xfDxf="1" dxf="1" quotePrefix="1">
    <oc r="F12" t="inlineStr">
      <is>
        <t>-</t>
      </is>
    </oc>
    <nc r="F12" t="inlineStr">
      <is>
        <t>C:\02_CANTATA\COEM_April\_DataBase\FAW_E115_iBGen2_Int\iBoosterGen2\rb\as\faw\core\app\dcom\RBAPLCust\src\ESP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4" sId="4">
    <nc r="T12">
      <f>S12</f>
    </nc>
  </rcc>
  <rcc rId="95" sId="4">
    <oc r="V11">
      <v>2</v>
    </oc>
    <nc r="V11">
      <v>1</v>
    </nc>
  </rcc>
  <rcc rId="96" sId="4">
    <nc r="V12">
      <v>0.5</v>
    </nc>
  </rcc>
  <rcc rId="97" sId="4">
    <nc r="W12" t="inlineStr">
      <is>
        <t>Ready for review</t>
      </is>
    </nc>
  </rcc>
  <rcc rId="98" sId="4" numFmtId="19">
    <nc r="Z12">
      <v>43921</v>
    </nc>
  </rcc>
  <rcc rId="99" sId="4" numFmtId="19">
    <nc r="AA12">
      <v>43921</v>
    </nc>
  </rcc>
  <rcc rId="100" sId="4">
    <nc r="AB12" t="inlineStr">
      <is>
        <t>OK</t>
      </is>
    </nc>
  </rcc>
  <rcc rId="101" sId="4">
    <nc r="AC12">
      <v>100</v>
    </nc>
  </rcc>
  <rcc rId="102" sId="4">
    <nc r="AD12">
      <v>100</v>
    </nc>
  </rcc>
  <rcc rId="103" sId="4">
    <nc r="AE12">
      <v>100</v>
    </nc>
  </rcc>
  <rcc rId="104" sId="4">
    <nc r="AF1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1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T3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08" sId="4">
    <oc r="S11">
      <f>R11</f>
    </oc>
    <nc r="S11">
      <f>R11+160-144</f>
    </nc>
  </rcc>
  <rcc rId="109" sId="4">
    <oc r="S13">
      <f>R13</f>
    </oc>
    <nc r="S13">
      <f>R13+376-354</f>
    </nc>
  </rcc>
  <rfmt sheetId="4" sqref="S13">
    <dxf>
      <fill>
        <patternFill>
          <bgColor rgb="FFFF0000"/>
        </patternFill>
      </fill>
    </dxf>
  </rfmt>
  <rfmt sheetId="4" sqref="S11">
    <dxf>
      <fill>
        <patternFill>
          <bgColor rgb="FFFF0000"/>
        </patternFill>
      </fill>
    </dxf>
  </rfmt>
  <rfmt sheetId="4" sqref="S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10" sId="4" odxf="1" dxf="1">
    <oc r="S12">
      <f>R12</f>
    </oc>
    <nc r="S12">
      <f>R12</f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1" sId="4" odxf="1" dxf="1" quotePrefix="1">
    <oc r="F10" t="inlineStr">
      <is>
        <t>rb\as\cnms_core\app\netscl\src\Callout_Functions\</t>
      </is>
    </oc>
    <nc r="F10" t="inlineStr">
      <is>
        <t>rb\as\cnms_core\app\netscl\src\Callout_Functions\
C:\02_CANTATA\COEM_April\_DataBase\FAW_E115_iBGen2_Int\iBoosterGen2\rb\as\faw\core\app\net\net_OBD_Off\RBScl\src\scl_callout</t>
      </is>
    </nc>
    <odxf>
      <alignment wrapText="0" readingOrder="0"/>
    </odxf>
    <ndxf>
      <alignment wrapText="1" readingOrder="0"/>
    </ndxf>
  </rcc>
  <rfmt sheetId="4" sqref="H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112" sId="4">
    <nc r="T10">
      <f>S10</f>
    </nc>
  </rcc>
  <rcc rId="113" sId="4">
    <nc r="V10">
      <v>0.5</v>
    </nc>
  </rcc>
  <rcc rId="114" sId="4">
    <nc r="W10" t="inlineStr">
      <is>
        <t>Ready for review</t>
      </is>
    </nc>
  </rcc>
  <rcc rId="115" sId="4">
    <nc r="AF10" t="inlineStr">
      <is>
        <t>OPL</t>
      </is>
    </nc>
  </rcc>
  <rcc rId="116" sId="4">
    <nc r="AB10" t="inlineStr">
      <is>
        <t>NG</t>
      </is>
    </nc>
  </rcc>
  <rcc rId="117" sId="4" odxf="1" dxf="1" numFmtId="19">
    <nc r="Z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8" sId="4" odxf="1" dxf="1" numFmtId="19">
    <nc r="AA10">
      <v>43921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19" sId="4">
    <nc r="AC10">
      <v>80</v>
    </nc>
  </rcc>
  <rcc rId="120" sId="4">
    <nc r="AD10">
      <v>100</v>
    </nc>
  </rcc>
  <rcc rId="121" sId="4">
    <nc r="AE10">
      <v>100</v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25" sId="4" odxf="1" dxf="1">
    <oc r="S10">
      <f>R10</f>
    </oc>
    <nc r="S10">
      <f>R10</f>
    </nc>
    <n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6" sId="4">
    <nc r="T7">
      <f>S7</f>
    </nc>
  </rcc>
  <rcc rId="127" sId="4">
    <nc r="T9">
      <f>S9</f>
    </nc>
  </rcc>
  <rcc rId="128" sId="4">
    <nc r="V7">
      <v>5</v>
    </nc>
  </rcc>
  <rcc rId="129" sId="4">
    <nc r="V9">
      <v>3</v>
    </nc>
  </rcc>
  <rcc rId="130" sId="4">
    <nc r="W9" t="inlineStr">
      <is>
        <t>Ready for review</t>
      </is>
    </nc>
  </rcc>
  <rcc rId="131" sId="4" numFmtId="19">
    <nc r="Z9">
      <v>43921</v>
    </nc>
  </rcc>
  <rcc rId="132" sId="4" numFmtId="19">
    <nc r="Z7">
      <v>43921</v>
    </nc>
  </rcc>
  <rcc rId="133" sId="4" numFmtId="19">
    <nc r="AA7">
      <v>43921</v>
    </nc>
  </rcc>
  <rcc rId="134" sId="4" numFmtId="19">
    <nc r="AA9">
      <v>43921</v>
    </nc>
  </rcc>
  <rcc rId="135" sId="4">
    <nc r="AB7" t="inlineStr">
      <is>
        <t>OK</t>
      </is>
    </nc>
  </rcc>
  <rcc rId="136" sId="4">
    <nc r="AC7">
      <v>100</v>
    </nc>
  </rcc>
  <rcc rId="137" sId="4">
    <nc r="AD7">
      <v>100</v>
    </nc>
  </rcc>
  <rcc rId="138" sId="4" odxf="1" dxf="1">
    <nc r="AE7">
      <v>100</v>
    </nc>
    <odxf/>
    <ndxf/>
  </rcc>
  <rcc rId="139" sId="4" odxf="1" dxf="1">
    <nc r="AF7" t="inlineStr">
      <is>
        <t>N/A</t>
      </is>
    </nc>
    <odxf/>
    <ndxf/>
  </rcc>
  <rcc rId="140" sId="4">
    <nc r="AB9" t="inlineStr">
      <is>
        <t>OK</t>
      </is>
    </nc>
  </rcc>
  <rcc rId="141" sId="4">
    <nc r="AC9">
      <v>100</v>
    </nc>
  </rcc>
  <rcc rId="142" sId="4">
    <nc r="AD9">
      <v>100</v>
    </nc>
  </rcc>
  <rcc rId="143" sId="4">
    <nc r="AE9">
      <v>100</v>
    </nc>
  </rcc>
  <rcc rId="144" sId="4">
    <nc r="AF9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8" sId="4">
    <nc r="W7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COEM_Package_20200401!$B$2:$AH$25</formula>
    <oldFormula>COEM_Package_20200401!$B$2:$AH$25</oldFormula>
  </rdn>
  <rcv guid="{4E06BDBF-2CED-473B-850B-2A6C7311FF41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T30:T32" start="0" length="0">
    <dxf>
      <border>
        <left/>
      </border>
    </dxf>
  </rfmt>
  <rfmt sheetId="4" sqref="T30" start="0" length="0">
    <dxf>
      <border>
        <top/>
      </border>
    </dxf>
  </rfmt>
  <rfmt sheetId="4" sqref="T30:T32" start="0" length="0">
    <dxf>
      <border>
        <right/>
      </border>
    </dxf>
  </rfmt>
  <rfmt sheetId="4" sqref="T32" start="0" length="0">
    <dxf>
      <border>
        <bottom/>
      </border>
    </dxf>
  </rfmt>
  <rfmt sheetId="4" sqref="T30:T32">
    <dxf>
      <border>
        <top/>
        <bottom/>
        <horizontal/>
      </border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COEM_Package_20200401!$B$2:$AH$25</formula>
    <oldFormula>COEM_Package_20200401!$B$2:$AH$25</oldFormula>
  </rdn>
  <rcv guid="{72A6EB0A-84D5-4B8A-AC51-54CCD061630B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55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6" sId="4" ref="A23:XFD25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7" sId="4" ref="A23:XFD28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rc rId="158" sId="4" ref="A23:XFD34" action="insertRow">
    <undo index="0" exp="area" ref3D="1" dr="$P$1:$Q$1048576" dn="Z_4E06BDBF_2CED_473B_850B_2A6C7311FF41_.wvu.Cols" sId="4"/>
    <undo index="0" exp="area" ref3D="1" dr="$P$1:$Q$1048576" dn="Z_72A6EB0A_84D5_4B8A_AC51_54CCD061630B_.wvu.Cols" sId="4"/>
    <undo index="0" exp="area" ref3D="1" dr="$M$1:$N$1048576" dn="Z_7ECC2B8E_6A82_42F5_8AB0_4A51C54EA5EC_.wvu.Cols" sId="4"/>
    <undo index="0" exp="area" ref3D="1" dr="$P$1:$Q$1048576" dn="Z_7E0EA425_A420_4443_B9E0_CDF0AA9E5D09_.wvu.Cols" sId="4"/>
  </rrc>
  <rcc rId="159" sId="4">
    <nc r="B23">
      <f>B22+1</f>
    </nc>
  </rcc>
  <rcc rId="160" sId="4">
    <nc r="B24">
      <f>B23+1</f>
    </nc>
  </rcc>
  <rcc rId="161" sId="4">
    <nc r="B25">
      <f>B24+1</f>
    </nc>
  </rcc>
  <rcc rId="162" sId="4">
    <nc r="B26">
      <f>B25+1</f>
    </nc>
  </rcc>
  <rcc rId="163" sId="4">
    <nc r="B27">
      <f>B26+1</f>
    </nc>
  </rcc>
  <rcc rId="164" sId="4">
    <nc r="B28">
      <f>B27+1</f>
    </nc>
  </rcc>
  <rcc rId="165" sId="4">
    <nc r="B29">
      <f>B28+1</f>
    </nc>
  </rcc>
  <rcc rId="166" sId="4">
    <nc r="B30">
      <f>B29+1</f>
    </nc>
  </rcc>
  <rcc rId="167" sId="4">
    <nc r="B31">
      <f>B30+1</f>
    </nc>
  </rcc>
  <rcc rId="168" sId="4">
    <nc r="B32">
      <f>B31+1</f>
    </nc>
  </rcc>
  <rcc rId="169" sId="4">
    <nc r="B33">
      <f>B32+1</f>
    </nc>
  </rcc>
  <rcc rId="170" sId="4">
    <nc r="B34">
      <f>B33+1</f>
    </nc>
  </rcc>
  <rcc rId="171" sId="4">
    <nc r="B35">
      <f>B34+1</f>
    </nc>
  </rcc>
  <rcc rId="172" sId="4">
    <nc r="B36">
      <f>B35+1</f>
    </nc>
  </rcc>
  <rcc rId="173" sId="4">
    <nc r="B37">
      <f>B36+1</f>
    </nc>
  </rcc>
  <rcc rId="174" sId="4">
    <nc r="B38">
      <f>B37+1</f>
    </nc>
  </rcc>
  <rcc rId="175" sId="4">
    <nc r="B39">
      <f>B38+1</f>
    </nc>
  </rcc>
  <rcc rId="176" sId="4">
    <nc r="B40">
      <f>B39+1</f>
    </nc>
  </rcc>
  <rcc rId="177" sId="4">
    <nc r="B41">
      <f>B40+1</f>
    </nc>
  </rcc>
  <rcc rId="178" sId="4">
    <nc r="B42">
      <f>B41+1</f>
    </nc>
  </rcc>
  <rcc rId="179" sId="4">
    <nc r="B43">
      <f>B42+1</f>
    </nc>
  </rcc>
  <rcc rId="180" sId="4">
    <nc r="B44">
      <f>B43+1</f>
    </nc>
  </rcc>
  <rcc rId="181" sId="4">
    <nc r="B45">
      <f>B44+1</f>
    </nc>
  </rcc>
  <rcc rId="182" sId="4">
    <nc r="B46">
      <f>B45+1</f>
    </nc>
  </rcc>
  <rcc rId="183" sId="4">
    <oc r="B47">
      <f>B22+1</f>
    </oc>
    <nc r="B47">
      <f>B46+1</f>
    </nc>
  </rcc>
  <rcc rId="184" sId="4">
    <oc r="B48">
      <f>B47+1</f>
    </oc>
    <nc r="B48">
      <f>B47+1</f>
    </nc>
  </rcc>
  <rcc rId="185" sId="4">
    <nc r="C22">
      <v>20200331</v>
    </nc>
  </rcc>
  <rcc rId="186" sId="4">
    <nc r="C23">
      <v>20200331</v>
    </nc>
  </rcc>
  <rcc rId="187" sId="4">
    <nc r="C24">
      <v>20200331</v>
    </nc>
  </rcc>
  <rcc rId="188" sId="4">
    <nc r="C25">
      <v>20200331</v>
    </nc>
  </rcc>
  <rcc rId="189" sId="4">
    <nc r="C26">
      <v>20200331</v>
    </nc>
  </rcc>
  <rcc rId="190" sId="4">
    <nc r="C27">
      <v>20200331</v>
    </nc>
  </rcc>
  <rcc rId="191" sId="4">
    <nc r="C28">
      <v>20200331</v>
    </nc>
  </rcc>
  <rcc rId="192" sId="4">
    <nc r="C29">
      <v>20200331</v>
    </nc>
  </rcc>
  <rcc rId="193" sId="4">
    <nc r="C30">
      <v>20200331</v>
    </nc>
  </rcc>
  <rcc rId="194" sId="4">
    <nc r="C31">
      <v>20200331</v>
    </nc>
  </rcc>
  <rcc rId="195" sId="4">
    <nc r="C32">
      <v>20200331</v>
    </nc>
  </rcc>
  <rcc rId="196" sId="4">
    <nc r="C33">
      <v>20200331</v>
    </nc>
  </rcc>
  <rcc rId="197" sId="4">
    <nc r="C34">
      <v>20200331</v>
    </nc>
  </rcc>
  <rcc rId="198" sId="4">
    <nc r="C35">
      <v>20200331</v>
    </nc>
  </rcc>
  <rcc rId="199" sId="4">
    <nc r="C36">
      <v>20200331</v>
    </nc>
  </rcc>
  <rcc rId="200" sId="4">
    <nc r="C37">
      <v>20200331</v>
    </nc>
  </rcc>
  <rcc rId="201" sId="4">
    <nc r="C38">
      <v>20200331</v>
    </nc>
  </rcc>
  <rcc rId="202" sId="4">
    <nc r="C39">
      <v>20200331</v>
    </nc>
  </rcc>
  <rcc rId="203" sId="4">
    <nc r="C40">
      <v>20200331</v>
    </nc>
  </rcc>
  <rcc rId="204" sId="4">
    <nc r="C41">
      <v>20200331</v>
    </nc>
  </rcc>
  <rcc rId="205" sId="4">
    <nc r="C42">
      <v>20200331</v>
    </nc>
  </rcc>
  <rcc rId="206" sId="4">
    <nc r="C43">
      <v>20200331</v>
    </nc>
  </rcc>
  <rcc rId="207" sId="4">
    <nc r="C44">
      <v>20200331</v>
    </nc>
  </rcc>
  <rcc rId="208" sId="4">
    <nc r="C45">
      <v>20200331</v>
    </nc>
  </rcc>
  <rcc rId="209" sId="4">
    <nc r="C46">
      <v>20200331</v>
    </nc>
  </rcc>
  <rcc rId="210" sId="4">
    <nc r="C47">
      <v>20200331</v>
    </nc>
  </rcc>
  <rcc rId="211" sId="4">
    <nc r="C48">
      <v>20200331</v>
    </nc>
  </rcc>
  <rcc rId="212" sId="4" xfDxf="1" dxf="1">
    <nc r="E2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3" sId="4" xfDxf="1" dxf="1">
    <nc r="E23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4" sId="4" xfDxf="1" dxf="1">
    <nc r="E24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5" sId="4" xfDxf="1" dxf="1">
    <nc r="E25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6" sId="4" xfDxf="1" dxf="1">
    <nc r="E26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7" sId="4" xfDxf="1" dxf="1">
    <nc r="E27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8" sId="4" xfDxf="1" dxf="1">
    <nc r="E28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19" sId="4" xfDxf="1" dxf="1">
    <nc r="E29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0" sId="4" xfDxf="1" dxf="1">
    <nc r="E30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1" sId="4" xfDxf="1" dxf="1">
    <nc r="E31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2" sId="4" xfDxf="1" dxf="1">
    <nc r="E32" t="inlineStr">
      <is>
        <t>216916_FAW_E115_L3_ESPhev_APB(CBi)_BL60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3" sId="4" xfDxf="1" dxf="1">
    <nc r="E3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4" sId="4" xfDxf="1" dxf="1">
    <nc r="E34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5" sId="4" xfDxf="1" dxf="1">
    <nc r="E35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6" sId="4" xfDxf="1" dxf="1">
    <nc r="E36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7" sId="4" xfDxf="1" dxf="1">
    <nc r="E37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8" sId="4" xfDxf="1" dxf="1">
    <nc r="E38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" sId="4" xfDxf="1" dxf="1">
    <nc r="E39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0" sId="4" xfDxf="1" dxf="1">
    <nc r="E40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1" sId="4" xfDxf="1" dxf="1">
    <nc r="E41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2" sId="4" xfDxf="1" dxf="1">
    <nc r="E42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3" sId="4" xfDxf="1" dxf="1">
    <nc r="E43" t="inlineStr">
      <is>
        <t>GWM_B30_CP_BSS07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" sId="4" xfDxf="1" dxf="1">
    <nc r="E44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5" sId="4" xfDxf="1" dxf="1">
    <nc r="E45" t="inlineStr">
      <is>
        <t>SAIC SV51H iBooster BSS05 SP04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" sId="4" xfDxf="1" dxf="1">
    <nc r="E46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7" sId="4" xfDxf="1" dxf="1">
    <nc r="E47" t="inlineStr">
      <is>
        <t>BYD_IPB_SW_Mainstream_BL05_SP10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8" sId="4" xfDxf="1" dxf="1">
    <nc r="E48" t="inlineStr">
      <is>
        <t>DFN_ESP_Gen9.3_534_238307_BS03SP02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9" sId="4" odxf="1" dxf="1">
    <nc r="D2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0" sId="4" odxf="1" dxf="1">
    <nc r="D2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1" sId="4" odxf="1" dxf="1">
    <nc r="D2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2" sId="4" odxf="1" dxf="1">
    <nc r="D2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3" sId="4" odxf="1" dxf="1">
    <nc r="D2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4" sId="4" odxf="1" dxf="1">
    <nc r="D2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5" sId="4" odxf="1" dxf="1">
    <nc r="D2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6" sId="4" odxf="1" dxf="1">
    <nc r="D2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7" sId="4" odxf="1" dxf="1">
    <nc r="D3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8" sId="4" odxf="1" dxf="1">
    <nc r="D3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49" sId="4" odxf="1" dxf="1">
    <nc r="D3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0" sId="4" odxf="1" dxf="1">
    <nc r="D3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1" sId="4" odxf="1" dxf="1">
    <nc r="D3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2" sId="4" odxf="1" dxf="1">
    <nc r="D3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3" sId="4" odxf="1" dxf="1">
    <nc r="D3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4" sId="4" odxf="1" dxf="1">
    <nc r="D3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5" sId="4" odxf="1" dxf="1">
    <nc r="D3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6" sId="4" odxf="1" dxf="1">
    <nc r="D39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7" sId="4" odxf="1" dxf="1">
    <nc r="D40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8" sId="4" odxf="1" dxf="1">
    <nc r="D41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59" sId="4" odxf="1" dxf="1">
    <nc r="D42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0" sId="4" odxf="1" dxf="1">
    <nc r="D43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1" sId="4" odxf="1" dxf="1">
    <nc r="D44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2" sId="4" odxf="1" dxf="1">
    <nc r="D45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3" sId="4" odxf="1" dxf="1">
    <nc r="D46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4" sId="4" odxf="1" dxf="1">
    <nc r="D47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65" sId="4" odxf="1" dxf="1">
    <nc r="D48" t="inlineStr">
      <is>
        <t>PSW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D49" start="0" length="0">
    <dxf>
      <font>
        <sz val="11"/>
        <color auto="1"/>
        <name val="Calibri"/>
        <scheme val="minor"/>
      </font>
    </dxf>
  </rfmt>
  <rcc rId="266" sId="4" xfDxf="1" dxf="1" quotePrefix="1">
    <nc r="F2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" sId="4" xfDxf="1" dxf="1" quotePrefix="1">
    <nc r="F23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" sId="4" xfDxf="1" dxf="1" quotePrefix="1">
    <nc r="F24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" sId="4" xfDxf="1" dxf="1" quotePrefix="1">
    <nc r="F25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" sId="4" xfDxf="1" dxf="1" quotePrefix="1">
    <nc r="F26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" sId="4" xfDxf="1" dxf="1" quotePrefix="1">
    <nc r="F27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2" sId="4" xfDxf="1" dxf="1" quotePrefix="1">
    <nc r="F28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3" sId="4" xfDxf="1" dxf="1" quotePrefix="1">
    <nc r="F29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" sId="4" xfDxf="1" dxf="1" quotePrefix="1">
    <nc r="F30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" sId="4" xfDxf="1" dxf="1" quotePrefix="1">
    <nc r="F31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" sId="4" xfDxf="1" dxf="1" quotePrefix="1">
    <nc r="F32" t="inlineStr">
      <is>
        <t xml:space="preserve">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" sId="4" xfDxf="1" dxf="1" quotePrefix="1">
    <nc r="F33" t="inlineStr">
      <is>
        <t xml:space="preserve">rb/as/cnms_core/app/dsm/DemVar/src/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8" sId="4" xfDxf="1" dxf="1" quotePrefix="1">
    <nc r="F34" t="inlineStr">
      <is>
        <t xml:space="preserve">rb/as/cnms_core/app/dsm/RBVAR/src/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" sId="4" xfDxf="1" dxf="1" quotePrefix="1">
    <nc r="F35" t="inlineStr">
      <is>
        <t xml:space="preserve">rb/as/gwm/cp/app/dsm/RBWarningIndicator/src/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" sId="4" xfDxf="1" dxf="1" quotePrefix="1">
    <nc r="F36" t="inlineStr">
      <is>
        <t xml:space="preserve">rb/as/gwm/cp/app/dsm/RBHMI/src/        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" sId="4" xfDxf="1" dxf="1" quotePrefix="1">
    <nc r="F37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" sId="4" xfDxf="1" dxf="1" quotePrefix="1">
    <nc r="F38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3" sId="4" xfDxf="1" dxf="1" quotePrefix="1">
    <nc r="F39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" sId="4" xfDxf="1" dxf="1" quotePrefix="1">
    <nc r="F40" t="inlineStr">
      <is>
        <t xml:space="preserve">rb/as/gwm/cp/app/dsm/RBVAR/BB80433/src/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5" sId="4" xfDxf="1" dxf="1" quotePrefix="1">
    <nc r="F41" t="inlineStr">
      <is>
        <t xml:space="preserve">rb/as/gwm/cp/app/dsm/RBVAR/BB80431/src/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6" sId="4" xfDxf="1" dxf="1" quotePrefix="1">
    <nc r="F42" t="inlineStr">
      <is>
        <t xml:space="preserve">rb/as/gwm/cp/app/dsm/RBVAR/BB81003/src/        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" sId="4" xfDxf="1" dxf="1" quotePrefix="1">
    <nc r="F43" t="inlineStr">
      <is>
        <t>rb/as/gwm/cp/dsmpr/src/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8" sId="4" xfDxf="1" dxf="1" quotePrefix="1">
    <nc r="F44" t="inlineStr">
      <is>
        <t>rb/as/saic51/core/app/dcom/RBAPLCust/src/common/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9" sId="4" xfDxf="1" dxf="1" quotePrefix="1">
    <nc r="F45" t="inlineStr">
      <is>
        <t>rb/as/saic/core/app/dcom/RBAPLCust/src/common/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0" sId="4" xfDxf="1" dxf="1" quotePrefix="1">
    <nc r="F46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1" sId="4" xfDxf="1" dxf="1" quotePrefix="1">
    <nc r="F47" t="inlineStr">
      <is>
        <t>/RBAPLCust/src/IPB/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2" sId="4" xfDxf="1" dxf="1" quotePrefix="1">
    <nc r="F48" t="inlineStr">
      <is>
        <t>rb/as/venucia/project/app/dsm/RBVAR/src/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" sId="4">
    <oc r="B49">
      <f>B48+1</f>
    </oc>
    <nc r="B49">
      <v>47</v>
    </nc>
  </rcc>
  <rcc rId="294" sId="4" xfDxf="1" dxf="1">
    <nc r="G22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5" sId="4" xfDxf="1" dxf="1">
    <nc r="G23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6" sId="4" xfDxf="1" dxf="1">
    <nc r="G24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7" sId="4" xfDxf="1" dxf="1">
    <nc r="G25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8" sId="4" xfDxf="1" dxf="1">
    <nc r="G26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9" sId="4" xfDxf="1" dxf="1">
    <nc r="G27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0" sId="4" xfDxf="1" dxf="1">
    <nc r="G28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1" sId="4" xfDxf="1" dxf="1">
    <nc r="G29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2" sId="4" xfDxf="1" dxf="1">
    <nc r="G30">
      <v>1372839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3" sId="4" xfDxf="1" dxf="1">
    <nc r="G31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4" sId="4" xfDxf="1" dxf="1">
    <nc r="G32">
      <v>1372753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" sId="4" xfDxf="1" dxf="1">
    <nc r="G3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6" sId="4" xfDxf="1" dxf="1">
    <nc r="G34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7" sId="4" xfDxf="1" dxf="1">
    <nc r="G35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8" sId="4" xfDxf="1" dxf="1">
    <nc r="G36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9" sId="4" xfDxf="1" dxf="1">
    <nc r="G37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0" sId="4" xfDxf="1" dxf="1">
    <nc r="G38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1" sId="4" xfDxf="1" dxf="1">
    <nc r="G39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2" sId="4" xfDxf="1" dxf="1">
    <nc r="G40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3" sId="4" xfDxf="1" dxf="1">
    <nc r="G41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4" sId="4" xfDxf="1" dxf="1">
    <nc r="G42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5" sId="4" xfDxf="1" dxf="1">
    <nc r="G43">
      <v>1398196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6" sId="4" xfDxf="1" dxf="1">
    <nc r="G44">
      <v>1397051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7" sId="4" xfDxf="1" dxf="1">
    <nc r="G45">
      <v>1397036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4" xfDxf="1" dxf="1">
    <nc r="G46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9" sId="4" xfDxf="1" dxf="1">
    <nc r="G47">
      <v>1396341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0" sId="4" xfDxf="1" dxf="1">
    <nc r="G48">
      <v>1395915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xfDxf="1" sqref="H2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2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3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2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1" sId="4">
    <nc r="I23" t="inlineStr">
      <is>
        <t>Manual</t>
      </is>
    </nc>
  </rcc>
  <rcc rId="322" sId="4">
    <nc r="I22" t="inlineStr">
      <is>
        <t>Manual</t>
      </is>
    </nc>
  </rcc>
  <rcc rId="323" sId="4">
    <nc r="I24" t="inlineStr">
      <is>
        <t>Manual</t>
      </is>
    </nc>
  </rcc>
  <rcc rId="324" sId="4">
    <nc r="I25" t="inlineStr">
      <is>
        <t>Manual</t>
      </is>
    </nc>
  </rcc>
  <rcc rId="325" sId="4">
    <nc r="I26" t="inlineStr">
      <is>
        <t>Manual</t>
      </is>
    </nc>
  </rcc>
  <rcc rId="326" sId="4">
    <nc r="I27" t="inlineStr">
      <is>
        <t>Manual</t>
      </is>
    </nc>
  </rcc>
  <rcc rId="327" sId="4">
    <nc r="I28" t="inlineStr">
      <is>
        <t>Manual</t>
      </is>
    </nc>
  </rcc>
  <rcc rId="328" sId="4">
    <nc r="I29" t="inlineStr">
      <is>
        <t>Manual</t>
      </is>
    </nc>
  </rcc>
  <rcc rId="329" sId="4">
    <nc r="I30" t="inlineStr">
      <is>
        <t>Manual</t>
      </is>
    </nc>
  </rcc>
  <rcc rId="330" sId="4">
    <nc r="I31" t="inlineStr">
      <is>
        <t>Manual</t>
      </is>
    </nc>
  </rcc>
  <rcc rId="331" sId="4">
    <nc r="I32" t="inlineStr">
      <is>
        <t>Manual</t>
      </is>
    </nc>
  </rcc>
  <rcc rId="332" sId="4">
    <nc r="I33" t="inlineStr">
      <is>
        <t>Auto</t>
      </is>
    </nc>
  </rcc>
  <rcc rId="333" sId="4">
    <nc r="I34" t="inlineStr">
      <is>
        <t>Auto</t>
      </is>
    </nc>
  </rcc>
  <rcc rId="334" sId="4">
    <nc r="I35" t="inlineStr">
      <is>
        <t>Auto</t>
      </is>
    </nc>
  </rcc>
  <rcc rId="335" sId="4">
    <nc r="I36" t="inlineStr">
      <is>
        <t>Auto</t>
      </is>
    </nc>
  </rcc>
  <rcc rId="336" sId="4">
    <nc r="I37" t="inlineStr">
      <is>
        <t>Auto</t>
      </is>
    </nc>
  </rcc>
  <rcc rId="337" sId="4">
    <nc r="I38" t="inlineStr">
      <is>
        <t>Auto</t>
      </is>
    </nc>
  </rcc>
  <rcc rId="338" sId="4">
    <nc r="I39" t="inlineStr">
      <is>
        <t>Auto</t>
      </is>
    </nc>
  </rcc>
  <rcc rId="339" sId="4">
    <nc r="I40" t="inlineStr">
      <is>
        <t>Auto</t>
      </is>
    </nc>
  </rcc>
  <rcc rId="340" sId="4">
    <nc r="I41" t="inlineStr">
      <is>
        <t>Auto</t>
      </is>
    </nc>
  </rcc>
  <rcc rId="341" sId="4">
    <nc r="I42" t="inlineStr">
      <is>
        <t>Auto</t>
      </is>
    </nc>
  </rcc>
  <rcc rId="342" sId="4">
    <nc r="I43" t="inlineStr">
      <is>
        <t>Auto</t>
      </is>
    </nc>
  </rcc>
  <rcc rId="343" sId="4">
    <nc r="I44" t="inlineStr">
      <is>
        <t>Auto</t>
      </is>
    </nc>
  </rcc>
  <rcc rId="344" sId="4">
    <nc r="I45" t="inlineStr">
      <is>
        <t>Auto</t>
      </is>
    </nc>
  </rcc>
  <rcc rId="345" sId="4">
    <nc r="I46" t="inlineStr">
      <is>
        <t>Auto</t>
      </is>
    </nc>
  </rcc>
  <rcc rId="346" sId="4">
    <nc r="I47" t="inlineStr">
      <is>
        <t>Auto</t>
      </is>
    </nc>
  </rcc>
  <rcc rId="347" sId="4" xfDxf="1" dxf="1">
    <nc r="R22">
      <v>160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4" xfDxf="1" dxf="1">
    <nc r="R23">
      <v>23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4" xfDxf="1" dxf="1">
    <nc r="R24">
      <v>376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4" xfDxf="1" dxf="1">
    <nc r="R25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1" sId="4" xfDxf="1" dxf="1">
    <nc r="R26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2" sId="4" xfDxf="1" dxf="1">
    <nc r="R27">
      <v>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" sId="4" xfDxf="1" dxf="1">
    <nc r="R28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" sId="4" xfDxf="1" dxf="1">
    <nc r="R29">
      <v>199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5" sId="4" xfDxf="1" dxf="1">
    <nc r="R30">
      <v>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" sId="4" xfDxf="1" dxf="1">
    <nc r="R31">
      <v>84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7" sId="4" xfDxf="1" dxf="1">
    <nc r="R32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8" sId="4" xfDxf="1" dxf="1">
    <nc r="R33">
      <v>155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9" sId="4" xfDxf="1" dxf="1">
    <nc r="R34">
      <v>21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0" sId="4" xfDxf="1" dxf="1">
    <nc r="R35">
      <v>165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1" sId="4" xfDxf="1" dxf="1">
    <nc r="R36">
      <v>280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" sId="4" xfDxf="1" dxf="1">
    <nc r="R37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" sId="4" xfDxf="1" dxf="1">
    <nc r="R38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" sId="4" xfDxf="1" dxf="1">
    <nc r="R39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4" xfDxf="1" dxf="1">
    <nc r="R40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6" sId="4" xfDxf="1" dxf="1">
    <nc r="R41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" sId="4" xfDxf="1" dxf="1">
    <nc r="R42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8" sId="4" xfDxf="1" dxf="1">
    <nc r="R43">
      <v>220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4" xfDxf="1" dxf="1">
    <nc r="R44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4" xfDxf="1" dxf="1">
    <nc r="R45">
      <v>156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" sId="4" xfDxf="1" dxf="1">
    <nc r="R46">
      <v>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2" sId="4" xfDxf="1" dxf="1">
    <nc r="R47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3" sId="4" xfDxf="1" dxf="1">
    <nc r="R48">
      <v>136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4" sId="4">
    <nc r="N22" t="inlineStr">
      <is>
        <t>T_C-237</t>
      </is>
    </nc>
  </rcc>
  <rcc rId="375" sId="4">
    <nc r="N23" t="inlineStr">
      <is>
        <t>T_C-238</t>
      </is>
    </nc>
  </rcc>
  <rcc rId="376" sId="4">
    <nc r="N24" t="inlineStr">
      <is>
        <t>T_C-239</t>
      </is>
    </nc>
  </rcc>
  <rcc rId="377" sId="4">
    <nc r="N25" t="inlineStr">
      <is>
        <t>T_C-240</t>
      </is>
    </nc>
  </rcc>
  <rcc rId="378" sId="4">
    <nc r="N26" t="inlineStr">
      <is>
        <t>T_C-241</t>
      </is>
    </nc>
  </rcc>
  <rcc rId="379" sId="4">
    <nc r="N27" t="inlineStr">
      <is>
        <t>T_C-242</t>
      </is>
    </nc>
  </rcc>
  <rcc rId="380" sId="4">
    <nc r="N28" t="inlineStr">
      <is>
        <t>T_C-243</t>
      </is>
    </nc>
  </rcc>
  <rcc rId="381" sId="4">
    <nc r="N29" t="inlineStr">
      <is>
        <t>T_C-244</t>
      </is>
    </nc>
  </rcc>
  <rcc rId="382" sId="4">
    <nc r="N30" t="inlineStr">
      <is>
        <t>T_C-245</t>
      </is>
    </nc>
  </rcc>
  <rcc rId="383" sId="4">
    <nc r="N31" t="inlineStr">
      <is>
        <t>T_C-246</t>
      </is>
    </nc>
  </rcc>
  <rcc rId="384" sId="4">
    <nc r="N32" t="inlineStr">
      <is>
        <t>T_C-247</t>
      </is>
    </nc>
  </rcc>
  <rcc rId="385" sId="4">
    <nc r="N33" t="inlineStr">
      <is>
        <t>T_C-248</t>
      </is>
    </nc>
  </rcc>
  <rcc rId="386" sId="4">
    <nc r="N34" t="inlineStr">
      <is>
        <t>T_C-249</t>
      </is>
    </nc>
  </rcc>
  <rcc rId="387" sId="4">
    <nc r="N35" t="inlineStr">
      <is>
        <t>T_C-250</t>
      </is>
    </nc>
  </rcc>
  <rcc rId="388" sId="4">
    <nc r="N36" t="inlineStr">
      <is>
        <t>T_C-251</t>
      </is>
    </nc>
  </rcc>
  <rcc rId="389" sId="4">
    <nc r="N37" t="inlineStr">
      <is>
        <t>T_C-252</t>
      </is>
    </nc>
  </rcc>
  <rcc rId="390" sId="4">
    <nc r="N38" t="inlineStr">
      <is>
        <t>T_C-253</t>
      </is>
    </nc>
  </rcc>
  <rcc rId="391" sId="4">
    <nc r="N39" t="inlineStr">
      <is>
        <t>T_C-254</t>
      </is>
    </nc>
  </rcc>
  <rcc rId="392" sId="4">
    <nc r="N40" t="inlineStr">
      <is>
        <t>T_C-255</t>
      </is>
    </nc>
  </rcc>
  <rcc rId="393" sId="4">
    <nc r="N41" t="inlineStr">
      <is>
        <t>T_C-256</t>
      </is>
    </nc>
  </rcc>
  <rcc rId="394" sId="4">
    <nc r="N42" t="inlineStr">
      <is>
        <t>T_C-257</t>
      </is>
    </nc>
  </rcc>
  <rcc rId="395" sId="4">
    <nc r="N43" t="inlineStr">
      <is>
        <t>T_C-258</t>
      </is>
    </nc>
  </rcc>
  <rcc rId="396" sId="4">
    <nc r="N44" t="inlineStr">
      <is>
        <t>T_C-259</t>
      </is>
    </nc>
  </rcc>
  <rcc rId="397" sId="4">
    <nc r="N45" t="inlineStr">
      <is>
        <t>T_C-260</t>
      </is>
    </nc>
  </rcc>
  <rcc rId="398" sId="4">
    <nc r="N46" t="inlineStr">
      <is>
        <t>T_C-261</t>
      </is>
    </nc>
  </rcc>
  <rcc rId="399" sId="4">
    <nc r="N47" t="inlineStr">
      <is>
        <t>T_C-262</t>
      </is>
    </nc>
  </rcc>
  <rcc rId="400" sId="4">
    <nc r="N48" t="inlineStr">
      <is>
        <t>T_C-263</t>
      </is>
    </nc>
  </rcc>
  <rcc rId="401" sId="4" xfDxf="1" dxf="1">
    <nc r="H22" t="inlineStr">
      <is>
        <t>RBAPLCUST_RDBI_IOCtrlState.c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2" sId="4" xfDxf="1" dxf="1">
    <nc r="H23" t="inlineStr">
      <is>
        <t>RBAPLCUST_RDBI_PBC.c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3" sId="4" xfDxf="1" dxf="1">
    <nc r="H24" t="inlineStr">
      <is>
        <t>RBAPLCUST_RoutineControl_APBMi.c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4" sId="4" xfDxf="1" dxf="1">
    <nc r="H25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5" sId="4" xfDxf="1" dxf="1">
    <nc r="H26" t="inlineStr">
      <is>
        <t>RBAPLCUST_VariandCode.c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6" sId="4" xfDxf="1" dxf="1">
    <nc r="H27" t="inlineStr">
      <is>
        <t>RBAPLCUST_RDBI_AnalogData.c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7" sId="4" xfDxf="1" dxf="1">
    <nc r="H28" t="inlineStr">
      <is>
        <t>RBAPLCUST_RoutineControl_iBoosterActuatorTest.c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8" sId="4" xfDxf="1" dxf="1">
    <nc r="H29" t="inlineStr">
      <is>
        <t>RBAPLOBD_Data.c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9" sId="4" xfDxf="1" dxf="1">
    <nc r="H30" t="inlineStr">
      <is>
        <t>RBAPLOBD_Global.c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0" sId="4" xfDxf="1" dxf="1">
    <nc r="H31" t="inlineStr">
      <is>
        <t>DcmAppl_DcmSwitchCommunicationControl.c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1" sId="4" xfDxf="1" dxf="1">
    <nc r="H32" t="inlineStr">
      <is>
        <t>RBAPLCUST_DiagnosticSessionControl.c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2" sId="4" xfDxf="1" dxf="1">
    <nc r="H33" t="inlineStr">
      <is>
        <t>Dem_VarCodeHandling.c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3" sId="4" xfDxf="1" dxf="1">
    <nc r="H34" t="inlineStr">
      <is>
        <t>RBVAR_SystemStateManagement_COMMON.c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4" sId="4" xfDxf="1" dxf="1">
    <nc r="H35" t="inlineStr">
      <is>
        <t>Dem_PrjSpecificIndiHandling.c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5" sId="4" xfDxf="1" dxf="1">
    <nc r="H36" t="inlineStr">
      <is>
        <t>RBHMI_ConfigOutputDriver_PRJ.c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6" sId="4" xfDxf="1" dxf="1">
    <nc r="H37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7" sId="4" xfDxf="1" dxf="1">
    <nc r="H38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8" sId="4" xfDxf="1" dxf="1">
    <nc r="H39" t="inlineStr">
      <is>
        <t>RBVAR_OutputDriver_PROJECT.c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9" sId="4" xfDxf="1" dxf="1">
    <nc r="H40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0" sId="4" xfDxf="1" dxf="1">
    <nc r="H41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1" sId="4" xfDxf="1" dxf="1">
    <nc r="H42" t="inlineStr">
      <is>
        <t>RBVAR_VarCode_PROJECT.c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2" sId="4" xfDxf="1" dxf="1">
    <nc r="H43" t="inlineStr">
      <is>
        <t>RBPduHandler_Callouts.c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3" sId="4" xfDxf="1" dxf="1">
    <nc r="H44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4" sId="4" xfDxf="1" dxf="1">
    <nc r="H45" t="inlineStr">
      <is>
        <t>RBAPLCUST_RDBI_SnapshotInfo.c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5" sId="4" xfDxf="1" dxf="1">
    <nc r="H46" t="inlineStr">
      <is>
        <t>RBAPLCUST_BYD_WDBI_NVMData.c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6" sId="4" xfDxf="1" dxf="1">
    <nc r="H47" t="inlineStr">
      <is>
        <t>RBAPLCUST_BYD_RBDI_AnalogData.c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7" sId="4" xfDxf="1" dxf="1">
    <nc r="H48" t="inlineStr">
      <is>
        <t>RBMCounter.c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8" sId="4">
    <nc r="I48" t="inlineStr">
      <is>
        <t>Auto</t>
      </is>
    </nc>
  </rcc>
  <rcc rId="429" sId="4" xfDxf="1" dxf="1">
    <nc r="J22">
      <v>99180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0" sId="4">
    <nc r="J23">
      <v>99180</v>
    </nc>
  </rcc>
  <rcc rId="431" sId="4">
    <nc r="J24">
      <v>99180</v>
    </nc>
  </rcc>
  <rcc rId="432" sId="4">
    <nc r="J25">
      <v>99180</v>
    </nc>
  </rcc>
  <rcc rId="433" sId="4">
    <nc r="J26">
      <v>99180</v>
    </nc>
  </rcc>
  <rcc rId="434" sId="4">
    <nc r="J27">
      <v>99180</v>
    </nc>
  </rcc>
  <rcc rId="435" sId="4">
    <nc r="J28">
      <v>99180</v>
    </nc>
  </rcc>
  <rcc rId="436" sId="4">
    <nc r="J29">
      <v>99180</v>
    </nc>
  </rcc>
  <rcc rId="437" sId="4">
    <nc r="J30">
      <v>99180</v>
    </nc>
  </rcc>
  <rcc rId="438" sId="4" xfDxf="1" dxf="1">
    <nc r="J31">
      <v>99181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4">
    <nc r="J32">
      <v>99181</v>
    </nc>
  </rcc>
  <rcc rId="440" sId="4" xfDxf="1" dxf="1">
    <nc r="J33" t="inlineStr">
      <is>
        <t>80431, 80433, 81003</t>
      </is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1" sId="4">
    <nc r="J34" t="inlineStr">
      <is>
        <t>80431, 80433, 81004</t>
      </is>
    </nc>
  </rcc>
  <rcc rId="442" sId="4">
    <nc r="J35" t="inlineStr">
      <is>
        <t>80431, 80433, 81005</t>
      </is>
    </nc>
  </rcc>
  <rcc rId="443" sId="4">
    <nc r="J36" t="inlineStr">
      <is>
        <t>80431, 80433, 81006</t>
      </is>
    </nc>
  </rcc>
  <rcc rId="444" sId="4">
    <nc r="J37" t="inlineStr">
      <is>
        <t>80431, 80433, 81007</t>
      </is>
    </nc>
  </rcc>
  <rcc rId="445" sId="4">
    <nc r="J38" t="inlineStr">
      <is>
        <t>80431, 80433, 81008</t>
      </is>
    </nc>
  </rcc>
  <rcc rId="446" sId="4">
    <nc r="J39" t="inlineStr">
      <is>
        <t>80431, 80433, 81009</t>
      </is>
    </nc>
  </rcc>
  <rcc rId="447" sId="4">
    <nc r="J40" t="inlineStr">
      <is>
        <t>80431, 80433, 81010</t>
      </is>
    </nc>
  </rcc>
  <rcc rId="448" sId="4">
    <nc r="J41" t="inlineStr">
      <is>
        <t>80431, 80433, 81011</t>
      </is>
    </nc>
  </rcc>
  <rcc rId="449" sId="4">
    <nc r="J42" t="inlineStr">
      <is>
        <t>80431, 80433, 81012</t>
      </is>
    </nc>
  </rcc>
  <rcc rId="450" sId="4">
    <nc r="J43" t="inlineStr">
      <is>
        <t>80431, 80433, 81013</t>
      </is>
    </nc>
  </rcc>
  <rcc rId="451" sId="4" xfDxf="1" dxf="1">
    <nc r="J44">
      <v>99377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4" xfDxf="1" dxf="1">
    <nc r="J45">
      <v>99301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3" sId="4" xfDxf="1" dxf="1">
    <nc r="J48">
      <v>81615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4" sId="4" odxf="1" dxf="1" quotePrefix="1">
    <nc r="J46" t="inlineStr">
      <is>
        <t>-</t>
      </is>
    </nc>
    <odxf/>
    <ndxf/>
  </rcc>
  <rcc rId="455" sId="4" odxf="1" dxf="1" quotePrefix="1">
    <nc r="J47" t="inlineStr">
      <is>
        <t>-</t>
      </is>
    </nc>
    <odxf/>
    <ndxf/>
  </rcc>
  <rcc rId="456" sId="4" xfDxf="1" dxf="1">
    <nc r="K22" t="inlineStr">
      <is>
        <t>FAW_L3_MainPath_HevX_Int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7" sId="4">
    <nc r="K23" t="inlineStr">
      <is>
        <t>FAW_L3_MainPath_HevX_Int</t>
      </is>
    </nc>
  </rcc>
  <rcc rId="458" sId="4">
    <nc r="K24" t="inlineStr">
      <is>
        <t>FAW_L3_MainPath_HevX_Int</t>
      </is>
    </nc>
  </rcc>
  <rcc rId="459" sId="4">
    <nc r="K25" t="inlineStr">
      <is>
        <t>FAW_L3_MainPath_HevX_Int</t>
      </is>
    </nc>
  </rcc>
  <rcc rId="460" sId="4">
    <nc r="K26" t="inlineStr">
      <is>
        <t>FAW_L3_MainPath_HevX_Int</t>
      </is>
    </nc>
  </rcc>
  <rcc rId="461" sId="4">
    <nc r="K27" t="inlineStr">
      <is>
        <t>FAW_L3_MainPath_HevX_Int</t>
      </is>
    </nc>
  </rcc>
  <rcc rId="462" sId="4">
    <nc r="K28" t="inlineStr">
      <is>
        <t>FAW_L3_MainPath_HevX_Int</t>
      </is>
    </nc>
  </rcc>
  <rcc rId="463" sId="4">
    <nc r="K29" t="inlineStr">
      <is>
        <t>FAW_L3_MainPath_HevX_Int</t>
      </is>
    </nc>
  </rcc>
  <rcc rId="464" sId="4">
    <nc r="K30" t="inlineStr">
      <is>
        <t>FAW_L3_MainPath_HevX_Int</t>
      </is>
    </nc>
  </rcc>
  <rcc rId="465" sId="4">
    <nc r="K31" t="inlineStr">
      <is>
        <t>FAW_L3_MainPath_HevX_Int</t>
      </is>
    </nc>
  </rcc>
  <rcc rId="466" sId="4">
    <nc r="K32" t="inlineStr">
      <is>
        <t>FAW_L3_MainPath_HevX_Int</t>
      </is>
    </nc>
  </rcc>
  <rcc rId="467" sId="4" xfDxf="1" dxf="1">
    <nc r="K33" t="inlineStr">
      <is>
        <t>GWM_AB30_CP_Int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8" sId="4">
    <nc r="K34" t="inlineStr">
      <is>
        <t>GWM_AB30_CP_Int</t>
      </is>
    </nc>
  </rcc>
  <rcc rId="469" sId="4">
    <nc r="K35" t="inlineStr">
      <is>
        <t>GWM_AB30_CP_Int</t>
      </is>
    </nc>
  </rcc>
  <rcc rId="470" sId="4">
    <nc r="K36" t="inlineStr">
      <is>
        <t>GWM_AB30_CP_Int</t>
      </is>
    </nc>
  </rcc>
  <rcc rId="471" sId="4">
    <nc r="K37" t="inlineStr">
      <is>
        <t>GWM_AB30_CP_Int</t>
      </is>
    </nc>
  </rcc>
  <rcc rId="472" sId="4">
    <nc r="K38" t="inlineStr">
      <is>
        <t>GWM_AB30_CP_Int</t>
      </is>
    </nc>
  </rcc>
  <rcc rId="473" sId="4">
    <nc r="K39" t="inlineStr">
      <is>
        <t>GWM_AB30_CP_Int</t>
      </is>
    </nc>
  </rcc>
  <rcc rId="474" sId="4">
    <nc r="K40" t="inlineStr">
      <is>
        <t>GWM_AB30_CP_Int</t>
      </is>
    </nc>
  </rcc>
  <rcc rId="475" sId="4">
    <nc r="K41" t="inlineStr">
      <is>
        <t>GWM_AB30_CP_Int</t>
      </is>
    </nc>
  </rcc>
  <rcc rId="476" sId="4">
    <nc r="K42" t="inlineStr">
      <is>
        <t>GWM_AB30_CP_Int</t>
      </is>
    </nc>
  </rcc>
  <rcc rId="477" sId="4">
    <nc r="K43" t="inlineStr">
      <is>
        <t>GWM_AB30_CP_Int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1" sId="4" xfDxf="1" dxf="1">
    <nc r="K44" t="inlineStr">
      <is>
        <t>SAIC_SV51H_IB2_CNMS_MIG_INT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2" sId="4" xfDxf="1" dxf="1">
    <nc r="K45" t="inlineStr">
      <is>
        <t>SAIC_SV51H_ESP93_Migra2_CNMS_BSS07SP10_Int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3" sId="4" xfDxf="1" dxf="1">
    <nc r="K47" t="inlineStr">
      <is>
        <t>BYD_IPB_BL05_Int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4" sId="4" xfDxf="1" dxf="1">
    <nc r="K48" t="inlineStr">
      <is>
        <t>DFN_Venucia_ESP93_Carbon_Int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5" sId="4">
    <nc r="K46" t="inlineStr">
      <is>
        <t>BYD_IPB_BL05_Int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89" sId="4" quotePrefix="1">
    <nc r="L22" t="inlineStr">
      <is>
        <t>-</t>
      </is>
    </nc>
  </rcc>
  <rcc rId="490" sId="4" quotePrefix="1">
    <nc r="L23" t="inlineStr">
      <is>
        <t>-</t>
      </is>
    </nc>
  </rcc>
  <rcc rId="491" sId="4" quotePrefix="1">
    <nc r="L24" t="inlineStr">
      <is>
        <t>-</t>
      </is>
    </nc>
  </rcc>
  <rcc rId="492" sId="4" quotePrefix="1">
    <nc r="L25" t="inlineStr">
      <is>
        <t>-</t>
      </is>
    </nc>
  </rcc>
  <rcc rId="493" sId="4" quotePrefix="1">
    <nc r="L26" t="inlineStr">
      <is>
        <t>-</t>
      </is>
    </nc>
  </rcc>
  <rcc rId="494" sId="4" quotePrefix="1">
    <nc r="L27" t="inlineStr">
      <is>
        <t>-</t>
      </is>
    </nc>
  </rcc>
  <rcc rId="495" sId="4" quotePrefix="1">
    <nc r="L28" t="inlineStr">
      <is>
        <t>-</t>
      </is>
    </nc>
  </rcc>
  <rcc rId="496" sId="4" quotePrefix="1">
    <nc r="L29" t="inlineStr">
      <is>
        <t>-</t>
      </is>
    </nc>
  </rcc>
  <rcc rId="497" sId="4" quotePrefix="1">
    <nc r="L30" t="inlineStr">
      <is>
        <t>-</t>
      </is>
    </nc>
  </rcc>
  <rcc rId="498" sId="4" quotePrefix="1">
    <nc r="L31" t="inlineStr">
      <is>
        <t>-</t>
      </is>
    </nc>
  </rcc>
  <rcc rId="499" sId="4" quotePrefix="1">
    <nc r="L32" t="inlineStr">
      <is>
        <t>-</t>
      </is>
    </nc>
  </rcc>
  <rcc rId="500" sId="4" quotePrefix="1">
    <nc r="L33" t="inlineStr">
      <is>
        <t>-</t>
      </is>
    </nc>
  </rcc>
  <rcc rId="501" sId="4" quotePrefix="1">
    <nc r="L34" t="inlineStr">
      <is>
        <t>-</t>
      </is>
    </nc>
  </rcc>
  <rcc rId="502" sId="4" quotePrefix="1">
    <nc r="L35" t="inlineStr">
      <is>
        <t>-</t>
      </is>
    </nc>
  </rcc>
  <rcc rId="503" sId="4" quotePrefix="1">
    <nc r="L36" t="inlineStr">
      <is>
        <t>-</t>
      </is>
    </nc>
  </rcc>
  <rcc rId="504" sId="4" quotePrefix="1">
    <nc r="L37" t="inlineStr">
      <is>
        <t>-</t>
      </is>
    </nc>
  </rcc>
  <rcc rId="505" sId="4" quotePrefix="1">
    <nc r="L38" t="inlineStr">
      <is>
        <t>-</t>
      </is>
    </nc>
  </rcc>
  <rcc rId="506" sId="4" quotePrefix="1">
    <nc r="L39" t="inlineStr">
      <is>
        <t>-</t>
      </is>
    </nc>
  </rcc>
  <rcc rId="507" sId="4" quotePrefix="1">
    <nc r="L40" t="inlineStr">
      <is>
        <t>-</t>
      </is>
    </nc>
  </rcc>
  <rcc rId="508" sId="4" quotePrefix="1">
    <nc r="L41" t="inlineStr">
      <is>
        <t>-</t>
      </is>
    </nc>
  </rcc>
  <rcc rId="509" sId="4" quotePrefix="1">
    <nc r="L42" t="inlineStr">
      <is>
        <t>-</t>
      </is>
    </nc>
  </rcc>
  <rcc rId="510" sId="4" quotePrefix="1">
    <nc r="L43" t="inlineStr">
      <is>
        <t>-</t>
      </is>
    </nc>
  </rcc>
  <rcc rId="511" sId="4" quotePrefix="1">
    <nc r="L44" t="inlineStr">
      <is>
        <t>-</t>
      </is>
    </nc>
  </rcc>
  <rcc rId="512" sId="4" quotePrefix="1">
    <nc r="L45" t="inlineStr">
      <is>
        <t>-</t>
      </is>
    </nc>
  </rcc>
  <rcc rId="513" sId="4" quotePrefix="1">
    <nc r="L46" t="inlineStr">
      <is>
        <t>-</t>
      </is>
    </nc>
  </rcc>
  <rcc rId="514" sId="4" quotePrefix="1">
    <nc r="L47" t="inlineStr">
      <is>
        <t>-</t>
      </is>
    </nc>
  </rcc>
  <rcc rId="515" sId="4" quotePrefix="1">
    <nc r="L48" t="inlineStr">
      <is>
        <t>-</t>
      </is>
    </nc>
  </rcc>
  <rcc rId="516" sId="4" xfDxf="1" dxf="1" quotePrefix="1">
    <nc r="M22" t="inlineStr">
      <is>
        <t>HE Qi (CC-AS/EVA-SW42-CN)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17" sId="4" quotePrefix="1">
    <nc r="M23" t="inlineStr">
      <is>
        <t>HE Qi (CC-AS/EVA-SW42-CN)</t>
      </is>
    </nc>
  </rcc>
  <rcc rId="518" sId="4" quotePrefix="1">
    <nc r="M24" t="inlineStr">
      <is>
        <t>HE Qi (CC-AS/EVA-SW42-CN)</t>
      </is>
    </nc>
  </rcc>
  <rcc rId="519" sId="4" quotePrefix="1">
    <nc r="M25" t="inlineStr">
      <is>
        <t>HE Qi (CC-AS/EVA-SW42-CN)</t>
      </is>
    </nc>
  </rcc>
  <rcc rId="520" sId="4" quotePrefix="1">
    <nc r="M26" t="inlineStr">
      <is>
        <t>HE Qi (CC-AS/EVA-SW42-CN)</t>
      </is>
    </nc>
  </rcc>
  <rcc rId="521" sId="4" quotePrefix="1">
    <nc r="M27" t="inlineStr">
      <is>
        <t>HE Qi (CC-AS/EVA-SW42-CN)</t>
      </is>
    </nc>
  </rcc>
  <rcc rId="522" sId="4" quotePrefix="1">
    <nc r="M28" t="inlineStr">
      <is>
        <t>HE Qi (CC-AS/EVA-SW42-CN)</t>
      </is>
    </nc>
  </rcc>
  <rcc rId="523" sId="4" quotePrefix="1">
    <nc r="M29" t="inlineStr">
      <is>
        <t>HE Qi (CC-AS/EVA-SW42-CN)</t>
      </is>
    </nc>
  </rcc>
  <rcc rId="524" sId="4" quotePrefix="1">
    <nc r="M30" t="inlineStr">
      <is>
        <t>HE Qi (CC-AS/EVA-SW42-CN)</t>
      </is>
    </nc>
  </rcc>
  <rcc rId="525" sId="4" quotePrefix="1">
    <nc r="M31" t="inlineStr">
      <is>
        <t>HE Qi (CC-AS/EVA-SW42-CN)</t>
      </is>
    </nc>
  </rcc>
  <rcc rId="526" sId="4" quotePrefix="1">
    <nc r="M32" t="inlineStr">
      <is>
        <t>HE Qi (CC-AS/EVA-SW42-CN)</t>
      </is>
    </nc>
  </rcc>
  <rcc rId="527" sId="4" xfDxf="1" dxf="1" quotePrefix="1">
    <nc r="M33" t="inlineStr">
      <is>
        <t>CHEN Steve (CC-AS/EVA-SW33-CN)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28" sId="4" quotePrefix="1">
    <nc r="M34" t="inlineStr">
      <is>
        <t>CHEN Steve (CC-AS/EVA-SW33-CN)</t>
      </is>
    </nc>
  </rcc>
  <rcc rId="529" sId="4" quotePrefix="1">
    <nc r="M35" t="inlineStr">
      <is>
        <t>CHEN Steve (CC-AS/EVA-SW33-CN)</t>
      </is>
    </nc>
  </rcc>
  <rcc rId="530" sId="4" quotePrefix="1">
    <nc r="M36" t="inlineStr">
      <is>
        <t>CHEN Steve (CC-AS/EVA-SW33-CN)</t>
      </is>
    </nc>
  </rcc>
  <rcc rId="531" sId="4" quotePrefix="1">
    <nc r="M37" t="inlineStr">
      <is>
        <t>CHEN Steve (CC-AS/EVA-SW33-CN)</t>
      </is>
    </nc>
  </rcc>
  <rcc rId="532" sId="4" quotePrefix="1">
    <nc r="M38" t="inlineStr">
      <is>
        <t>CHEN Steve (CC-AS/EVA-SW33-CN)</t>
      </is>
    </nc>
  </rcc>
  <rcc rId="533" sId="4" quotePrefix="1">
    <nc r="M39" t="inlineStr">
      <is>
        <t>CHEN Steve (CC-AS/EVA-SW33-CN)</t>
      </is>
    </nc>
  </rcc>
  <rcc rId="534" sId="4" quotePrefix="1">
    <nc r="M40" t="inlineStr">
      <is>
        <t>CHEN Steve (CC-AS/EVA-SW33-CN)</t>
      </is>
    </nc>
  </rcc>
  <rcc rId="535" sId="4" quotePrefix="1">
    <nc r="M41" t="inlineStr">
      <is>
        <t>CHEN Steve (CC-AS/EVA-SW33-CN)</t>
      </is>
    </nc>
  </rcc>
  <rcc rId="536" sId="4" quotePrefix="1">
    <nc r="M42" t="inlineStr">
      <is>
        <t>CHEN Steve (CC-AS/EVA-SW33-CN)</t>
      </is>
    </nc>
  </rcc>
  <rcc rId="537" sId="4" quotePrefix="1">
    <nc r="M43" t="inlineStr">
      <is>
        <t>CHEN Steve (CC-AS/EVA-SW33-CN)</t>
      </is>
    </nc>
  </rcc>
  <rcc rId="538" sId="4" xfDxf="1" dxf="1" quotePrefix="1">
    <nc r="M44" t="inlineStr">
      <is>
        <t>LESLIE PUTHOOR Milda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39" sId="4" quotePrefix="1">
    <nc r="M45" t="inlineStr">
      <is>
        <t>LESLIE PUTHOOR Milda (CC-AS/EVA-SW31-CN)</t>
      </is>
    </nc>
  </rcc>
  <rcc rId="540" sId="4" xfDxf="1" dxf="1" quotePrefix="1">
    <nc r="M46" t="inlineStr">
      <is>
        <t>LU Martin (CC-AS/ESW2-CN)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1" sId="4" quotePrefix="1">
    <nc r="M47" t="inlineStr">
      <is>
        <t>LU Martin (CC-AS/ESW2-CN)</t>
      </is>
    </nc>
  </rcc>
  <rcc rId="542" sId="4" xfDxf="1" dxf="1" quotePrefix="1">
    <nc r="M48" t="inlineStr">
      <is>
        <t>LI Joe (CC-AS/EVA-SW32-CN)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43" sId="4">
    <nc r="S22">
      <f>R22</f>
    </nc>
  </rcc>
  <rfmt sheetId="4" sqref="S11" start="0" length="2147483647">
    <dxf>
      <font>
        <color auto="1"/>
      </font>
    </dxf>
  </rfmt>
  <rfmt sheetId="4" sqref="S13" start="0" length="2147483647">
    <dxf>
      <font>
        <color auto="1"/>
      </font>
    </dxf>
  </rfmt>
  <rcc rId="544" sId="4">
    <nc r="S23">
      <f>R23</f>
    </nc>
  </rcc>
  <rcc rId="545" sId="4">
    <nc r="S24">
      <f>R24</f>
    </nc>
  </rcc>
  <rcc rId="546" sId="4">
    <nc r="S25">
      <f>R25</f>
    </nc>
  </rcc>
  <rcc rId="547" sId="4">
    <nc r="S26">
      <f>R26</f>
    </nc>
  </rcc>
  <rcc rId="548" sId="4">
    <nc r="S27">
      <f>R27</f>
    </nc>
  </rcc>
  <rcc rId="549" sId="4">
    <nc r="S28">
      <f>R28</f>
    </nc>
  </rcc>
  <rcc rId="550" sId="4">
    <nc r="S29">
      <f>R29</f>
    </nc>
  </rcc>
  <rcc rId="551" sId="4">
    <nc r="S30">
      <f>R30</f>
    </nc>
  </rcc>
  <rcc rId="552" sId="4">
    <nc r="S31">
      <f>R31</f>
    </nc>
  </rcc>
  <rcc rId="553" sId="4">
    <nc r="S32">
      <f>R32</f>
    </nc>
  </rcc>
  <rcc rId="554" sId="4">
    <nc r="S33">
      <f>R33</f>
    </nc>
  </rcc>
  <rcc rId="555" sId="4">
    <nc r="S34">
      <f>R34</f>
    </nc>
  </rcc>
  <rcc rId="556" sId="4">
    <nc r="S35">
      <f>R35</f>
    </nc>
  </rcc>
  <rcc rId="557" sId="4">
    <nc r="S36">
      <f>R36</f>
    </nc>
  </rcc>
  <rcc rId="558" sId="4">
    <nc r="S37">
      <f>R37</f>
    </nc>
  </rcc>
  <rcc rId="559" sId="4">
    <nc r="S38">
      <f>R38</f>
    </nc>
  </rcc>
  <rcc rId="560" sId="4">
    <nc r="S39">
      <f>R39</f>
    </nc>
  </rcc>
  <rcc rId="561" sId="4">
    <nc r="S40">
      <f>R40</f>
    </nc>
  </rcc>
  <rcc rId="562" sId="4">
    <nc r="S41">
      <f>R41</f>
    </nc>
  </rcc>
  <rcc rId="563" sId="4">
    <nc r="S42">
      <f>R42</f>
    </nc>
  </rcc>
  <rcc rId="564" sId="4">
    <nc r="S43">
      <f>R43</f>
    </nc>
  </rcc>
  <rcc rId="565" sId="4">
    <nc r="S44">
      <f>R44</f>
    </nc>
  </rcc>
  <rcc rId="566" sId="4">
    <nc r="S45">
      <f>R45</f>
    </nc>
  </rcc>
  <rcc rId="567" sId="4">
    <nc r="S46">
      <f>R46</f>
    </nc>
  </rcc>
  <rcc rId="568" sId="4">
    <nc r="S47">
      <f>R47</f>
    </nc>
  </rcc>
  <rcc rId="569" sId="4">
    <nc r="S48">
      <f>R48</f>
    </nc>
  </rcc>
  <rcc rId="570" sId="4">
    <nc r="U22">
      <f>ROUNDDOWN(S22/HLOOKUP(D22,Table!$C$3:$D$4,2,0)*8,2)</f>
    </nc>
  </rcc>
  <rcc rId="571" sId="4">
    <nc r="U23">
      <f>ROUNDDOWN(S23/HLOOKUP(D23,Table!$C$3:$D$4,2,0)*8,2)</f>
    </nc>
  </rcc>
  <rcc rId="572" sId="4">
    <nc r="U24">
      <f>ROUNDDOWN(S24/HLOOKUP(D24,Table!$C$3:$D$4,2,0)*8,2)</f>
    </nc>
  </rcc>
  <rcc rId="573" sId="4">
    <nc r="U25">
      <f>ROUNDDOWN(S25/HLOOKUP(D25,Table!$C$3:$D$4,2,0)*8,2)</f>
    </nc>
  </rcc>
  <rcc rId="574" sId="4">
    <nc r="U26">
      <f>ROUNDDOWN(S26/HLOOKUP(D26,Table!$C$3:$D$4,2,0)*8,2)</f>
    </nc>
  </rcc>
  <rcc rId="575" sId="4">
    <nc r="U27">
      <f>ROUNDDOWN(S27/HLOOKUP(D27,Table!$C$3:$D$4,2,0)*8,2)</f>
    </nc>
  </rcc>
  <rcc rId="576" sId="4">
    <nc r="U28">
      <f>ROUNDDOWN(S28/HLOOKUP(D28,Table!$C$3:$D$4,2,0)*8,2)</f>
    </nc>
  </rcc>
  <rcc rId="577" sId="4">
    <nc r="U29">
      <f>ROUNDDOWN(S29/HLOOKUP(D29,Table!$C$3:$D$4,2,0)*8,2)</f>
    </nc>
  </rcc>
  <rcc rId="578" sId="4">
    <nc r="U30">
      <f>ROUNDDOWN(S30/HLOOKUP(D30,Table!$C$3:$D$4,2,0)*8,2)</f>
    </nc>
  </rcc>
  <rcc rId="579" sId="4">
    <nc r="U31">
      <f>ROUNDDOWN(S31/HLOOKUP(D31,Table!$C$3:$D$4,2,0)*8,2)</f>
    </nc>
  </rcc>
  <rcc rId="580" sId="4">
    <nc r="U32">
      <f>ROUNDDOWN(S32/HLOOKUP(D32,Table!$C$3:$D$4,2,0)*8,2)</f>
    </nc>
  </rcc>
  <rcc rId="581" sId="4">
    <nc r="U33">
      <f>ROUNDDOWN(S33/HLOOKUP(D33,Table!$C$3:$D$4,2,0)*8,2)</f>
    </nc>
  </rcc>
  <rcc rId="582" sId="4">
    <nc r="U34">
      <f>ROUNDDOWN(S34/HLOOKUP(D34,Table!$C$3:$D$4,2,0)*8,2)</f>
    </nc>
  </rcc>
  <rcc rId="583" sId="4">
    <nc r="U35">
      <f>ROUNDDOWN(S35/HLOOKUP(D35,Table!$C$3:$D$4,2,0)*8,2)</f>
    </nc>
  </rcc>
  <rcc rId="584" sId="4">
    <nc r="U36">
      <f>ROUNDDOWN(S36/HLOOKUP(D36,Table!$C$3:$D$4,2,0)*8,2)</f>
    </nc>
  </rcc>
  <rcc rId="585" sId="4">
    <nc r="U37">
      <f>ROUNDDOWN(S37/HLOOKUP(D37,Table!$C$3:$D$4,2,0)*8,2)</f>
    </nc>
  </rcc>
  <rcc rId="586" sId="4">
    <nc r="U38">
      <f>ROUNDDOWN(S38/HLOOKUP(D38,Table!$C$3:$D$4,2,0)*8,2)</f>
    </nc>
  </rcc>
  <rcc rId="587" sId="4">
    <nc r="U39">
      <f>ROUNDDOWN(S39/HLOOKUP(D39,Table!$C$3:$D$4,2,0)*8,2)</f>
    </nc>
  </rcc>
  <rcc rId="588" sId="4">
    <nc r="U40">
      <f>ROUNDDOWN(S40/HLOOKUP(D40,Table!$C$3:$D$4,2,0)*8,2)</f>
    </nc>
  </rcc>
  <rcc rId="589" sId="4">
    <nc r="U41">
      <f>ROUNDDOWN(S41/HLOOKUP(D41,Table!$C$3:$D$4,2,0)*8,2)</f>
    </nc>
  </rcc>
  <rcc rId="590" sId="4">
    <nc r="U42">
      <f>ROUNDDOWN(S42/HLOOKUP(D42,Table!$C$3:$D$4,2,0)*8,2)</f>
    </nc>
  </rcc>
  <rcc rId="591" sId="4">
    <nc r="U43">
      <f>ROUNDDOWN(S43/HLOOKUP(D43,Table!$C$3:$D$4,2,0)*8,2)</f>
    </nc>
  </rcc>
  <rcc rId="592" sId="4">
    <nc r="U44">
      <f>ROUNDDOWN(S44/HLOOKUP(D44,Table!$C$3:$D$4,2,0)*8,2)</f>
    </nc>
  </rcc>
  <rcc rId="593" sId="4">
    <nc r="U45">
      <f>ROUNDDOWN(S45/HLOOKUP(D45,Table!$C$3:$D$4,2,0)*8,2)</f>
    </nc>
  </rcc>
  <rcc rId="594" sId="4">
    <nc r="U46">
      <f>ROUNDDOWN(S46/HLOOKUP(D46,Table!$C$3:$D$4,2,0)*8,2)</f>
    </nc>
  </rcc>
  <rcc rId="595" sId="4">
    <nc r="U47">
      <f>ROUNDDOWN(S47/HLOOKUP(D47,Table!$C$3:$D$4,2,0)*8,2)</f>
    </nc>
  </rcc>
  <rcc rId="596" sId="4">
    <nc r="U48">
      <f>ROUNDDOWN(S48/HLOOKUP(D48,Table!$C$3:$D$4,2,0)*8,2)</f>
    </nc>
  </rcc>
  <rcc rId="597" sId="4" numFmtId="19">
    <nc r="X22">
      <v>43922</v>
    </nc>
  </rcc>
  <rcc rId="598" sId="4" numFmtId="19">
    <nc r="Y22">
      <v>43929</v>
    </nc>
  </rcc>
  <rcc rId="599" sId="4" numFmtId="19">
    <nc r="X23">
      <v>43922</v>
    </nc>
  </rcc>
  <rcc rId="600" sId="4" numFmtId="19">
    <nc r="X24">
      <v>43922</v>
    </nc>
  </rcc>
  <rcc rId="601" sId="4" numFmtId="19">
    <nc r="X25">
      <v>43922</v>
    </nc>
  </rcc>
  <rcc rId="602" sId="4" numFmtId="19">
    <nc r="X26">
      <v>43922</v>
    </nc>
  </rcc>
  <rcc rId="603" sId="4" numFmtId="19">
    <nc r="X27">
      <v>43922</v>
    </nc>
  </rcc>
  <rcc rId="604" sId="4" numFmtId="19">
    <nc r="X28">
      <v>43922</v>
    </nc>
  </rcc>
  <rcc rId="605" sId="4" numFmtId="19">
    <nc r="X29">
      <v>43922</v>
    </nc>
  </rcc>
  <rcc rId="606" sId="4" numFmtId="19">
    <nc r="X30">
      <v>43922</v>
    </nc>
  </rcc>
  <rcc rId="607" sId="4" numFmtId="19">
    <nc r="X31">
      <v>43922</v>
    </nc>
  </rcc>
  <rcc rId="608" sId="4" numFmtId="19">
    <nc r="X32">
      <v>43922</v>
    </nc>
  </rcc>
  <rcc rId="609" sId="4" numFmtId="19">
    <nc r="X33">
      <v>43922</v>
    </nc>
  </rcc>
  <rcc rId="610" sId="4" numFmtId="19">
    <nc r="X34">
      <v>43922</v>
    </nc>
  </rcc>
  <rcc rId="611" sId="4" numFmtId="19">
    <nc r="X35">
      <v>43922</v>
    </nc>
  </rcc>
  <rcc rId="612" sId="4" numFmtId="19">
    <nc r="X36">
      <v>43922</v>
    </nc>
  </rcc>
  <rcc rId="613" sId="4" numFmtId="19">
    <nc r="X37">
      <v>43922</v>
    </nc>
  </rcc>
  <rcc rId="614" sId="4" numFmtId="19">
    <nc r="X38">
      <v>43922</v>
    </nc>
  </rcc>
  <rcc rId="615" sId="4" numFmtId="19">
    <nc r="X39">
      <v>43922</v>
    </nc>
  </rcc>
  <rcc rId="616" sId="4" numFmtId="19">
    <nc r="X40">
      <v>43922</v>
    </nc>
  </rcc>
  <rcc rId="617" sId="4" numFmtId="19">
    <nc r="X41">
      <v>43922</v>
    </nc>
  </rcc>
  <rcc rId="618" sId="4" numFmtId="19">
    <nc r="X42">
      <v>43922</v>
    </nc>
  </rcc>
  <rcc rId="619" sId="4" numFmtId="19">
    <nc r="X43">
      <v>43922</v>
    </nc>
  </rcc>
  <rcc rId="620" sId="4" numFmtId="19">
    <nc r="X44">
      <v>43922</v>
    </nc>
  </rcc>
  <rcc rId="621" sId="4" numFmtId="19">
    <nc r="X45">
      <v>43922</v>
    </nc>
  </rcc>
  <rcc rId="622" sId="4" numFmtId="19">
    <nc r="X46">
      <v>43922</v>
    </nc>
  </rcc>
  <rcc rId="623" sId="4" numFmtId="19">
    <nc r="X47">
      <v>43922</v>
    </nc>
  </rcc>
  <rcc rId="624" sId="4" numFmtId="19">
    <nc r="X48">
      <v>43922</v>
    </nc>
  </rcc>
  <rcc rId="625" sId="4" numFmtId="19">
    <nc r="Y23">
      <v>43929</v>
    </nc>
  </rcc>
  <rcc rId="626" sId="4" numFmtId="19">
    <nc r="Y24">
      <v>43929</v>
    </nc>
  </rcc>
  <rcc rId="627" sId="4" numFmtId="19">
    <nc r="Y25">
      <v>43929</v>
    </nc>
  </rcc>
  <rcc rId="628" sId="4" numFmtId="19">
    <nc r="Y26">
      <v>43929</v>
    </nc>
  </rcc>
  <rcc rId="629" sId="4" numFmtId="19">
    <nc r="Y27">
      <v>43929</v>
    </nc>
  </rcc>
  <rcc rId="630" sId="4" numFmtId="19">
    <nc r="Y28">
      <v>43929</v>
    </nc>
  </rcc>
  <rcc rId="631" sId="4" numFmtId="19">
    <nc r="Y29">
      <v>43929</v>
    </nc>
  </rcc>
  <rcc rId="632" sId="4" numFmtId="19">
    <nc r="Y30">
      <v>43929</v>
    </nc>
  </rcc>
  <rcc rId="633" sId="4" numFmtId="19">
    <nc r="Y31">
      <v>43929</v>
    </nc>
  </rcc>
  <rcc rId="634" sId="4" numFmtId="19">
    <nc r="Y32">
      <v>43929</v>
    </nc>
  </rcc>
  <rcc rId="635" sId="4" numFmtId="19">
    <nc r="Y33">
      <v>43929</v>
    </nc>
  </rcc>
  <rcc rId="636" sId="4" numFmtId="19">
    <nc r="Y34">
      <v>43929</v>
    </nc>
  </rcc>
  <rcc rId="637" sId="4" numFmtId="19">
    <nc r="Y35">
      <v>43929</v>
    </nc>
  </rcc>
  <rcc rId="638" sId="4" numFmtId="19">
    <nc r="Y36">
      <v>43929</v>
    </nc>
  </rcc>
  <rcc rId="639" sId="4" numFmtId="19">
    <nc r="Y37">
      <v>43929</v>
    </nc>
  </rcc>
  <rcc rId="640" sId="4" numFmtId="19">
    <nc r="Y38">
      <v>43929</v>
    </nc>
  </rcc>
  <rcc rId="641" sId="4" numFmtId="19">
    <nc r="Y39">
      <v>43929</v>
    </nc>
  </rcc>
  <rcc rId="642" sId="4" numFmtId="19">
    <nc r="Y40">
      <v>43929</v>
    </nc>
  </rcc>
  <rcc rId="643" sId="4" numFmtId="19">
    <nc r="Y41">
      <v>43929</v>
    </nc>
  </rcc>
  <rcc rId="644" sId="4" numFmtId="19">
    <nc r="Y42">
      <v>43929</v>
    </nc>
  </rcc>
  <rcc rId="645" sId="4" numFmtId="19">
    <nc r="Y43">
      <v>43929</v>
    </nc>
  </rcc>
  <rcc rId="646" sId="4" numFmtId="19">
    <nc r="Y44">
      <v>43929</v>
    </nc>
  </rcc>
  <rcc rId="647" sId="4" numFmtId="19">
    <nc r="Y45">
      <v>43929</v>
    </nc>
  </rcc>
  <rcc rId="648" sId="4" numFmtId="19">
    <nc r="Y46">
      <v>43929</v>
    </nc>
  </rcc>
  <rcc rId="649" sId="4" numFmtId="19">
    <nc r="Y47">
      <v>43929</v>
    </nc>
  </rcc>
  <rcc rId="650" sId="4" numFmtId="19">
    <nc r="Y48">
      <v>43929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57" sId="4">
    <oc r="L52" t="inlineStr">
      <is>
        <t>Count ELOC assigned</t>
      </is>
    </oc>
    <nc r="L52"/>
  </rcc>
  <rcc rId="658" sId="4">
    <oc r="L53" t="inlineStr">
      <is>
        <t>duong.nguyen</t>
      </is>
    </oc>
    <nc r="L53"/>
  </rcc>
  <rcc rId="659" sId="4">
    <oc r="M53">
      <f>SUMIFS($R$3:$R$21,$O$3:$O$21,L53)</f>
    </oc>
    <nc r="M53"/>
  </rcc>
  <rcc rId="660" sId="4">
    <oc r="L54" t="inlineStr">
      <is>
        <t>loc.do-phu</t>
      </is>
    </oc>
    <nc r="L54"/>
  </rcc>
  <rcc rId="661" sId="4">
    <oc r="M54">
      <f>SUMIFS($R$3:$R$21,$O$3:$O$21,L54)</f>
    </oc>
    <nc r="M54"/>
  </rcc>
  <rcc rId="662" sId="4">
    <oc r="L55" t="inlineStr">
      <is>
        <t>chung.ly</t>
      </is>
    </oc>
    <nc r="L55"/>
  </rcc>
  <rcc rId="663" sId="4">
    <oc r="M55">
      <f>SUMIFS($R$3:$R$21,$O$3:$O$21,L55)</f>
    </oc>
    <nc r="M55"/>
  </rcc>
  <rcc rId="664" sId="4">
    <oc r="L56" t="inlineStr">
      <is>
        <t>thanh.nguyen-kim</t>
      </is>
    </oc>
    <nc r="L56"/>
  </rcc>
  <rcc rId="665" sId="4">
    <oc r="M56">
      <f>SUMIFS($R$3:$R$21,$O$3:$O$21,L56)</f>
    </oc>
    <nc r="M56"/>
  </rcc>
  <rcc rId="666" sId="4">
    <nc r="O22" t="inlineStr">
      <is>
        <t>chung.ly</t>
      </is>
    </nc>
  </rcc>
  <rcc rId="667" sId="4">
    <nc r="O23" t="inlineStr">
      <is>
        <t>thanh.nguyen-kim</t>
      </is>
    </nc>
  </rcc>
  <rcc rId="668" sId="4">
    <nc r="O24" t="inlineStr">
      <is>
        <t>loc.do-phu</t>
      </is>
    </nc>
  </rcc>
  <rcc rId="669" sId="4">
    <nc r="O25" t="inlineStr">
      <is>
        <t>loc.do-phu</t>
      </is>
    </nc>
  </rcc>
  <rcc rId="670" sId="4">
    <nc r="O27" t="inlineStr">
      <is>
        <t>duong.nguyen</t>
      </is>
    </nc>
  </rcc>
  <rcc rId="671" sId="4">
    <nc r="O26" t="inlineStr">
      <is>
        <t>chung.ly</t>
      </is>
    </nc>
  </rcc>
  <rcc rId="672" sId="4">
    <nc r="O28" t="inlineStr">
      <is>
        <t>duong.nguyen</t>
      </is>
    </nc>
  </rcc>
  <rcc rId="673" sId="4">
    <nc r="O32" t="inlineStr">
      <is>
        <t>duong.nguyen</t>
      </is>
    </nc>
  </rcc>
  <rcc rId="674" sId="4">
    <nc r="O37" t="inlineStr">
      <is>
        <t>duong.nguyen</t>
      </is>
    </nc>
  </rcc>
  <rcc rId="675" sId="4">
    <nc r="O38" t="inlineStr">
      <is>
        <t>duong.nguyen</t>
      </is>
    </nc>
  </rcc>
  <rcc rId="676" sId="4">
    <nc r="O39" t="inlineStr">
      <is>
        <t>duong.nguyen</t>
      </is>
    </nc>
  </rcc>
  <rcc rId="677" sId="4">
    <nc r="O33" t="inlineStr">
      <is>
        <t>thanh.nguyen-kim</t>
      </is>
    </nc>
  </rcc>
  <rcc rId="678" sId="4">
    <nc r="O34" t="inlineStr">
      <is>
        <t>thanh.nguyen-kim</t>
      </is>
    </nc>
  </rcc>
  <rcc rId="679" sId="4">
    <nc r="O35" t="inlineStr">
      <is>
        <t>chung.ly</t>
      </is>
    </nc>
  </rcc>
  <rcc rId="680" sId="4">
    <nc r="O36" t="inlineStr">
      <is>
        <t>chung.ly</t>
      </is>
    </nc>
  </rcc>
  <rcc rId="681" sId="4">
    <nc r="O40" t="inlineStr">
      <is>
        <t>loc.do-phu</t>
      </is>
    </nc>
  </rcc>
  <rcc rId="682" sId="4">
    <nc r="O41" t="inlineStr">
      <is>
        <t>loc.do-phu</t>
      </is>
    </nc>
  </rcc>
  <rcc rId="683" sId="4">
    <nc r="O42" t="inlineStr">
      <is>
        <t>loc.do-phu</t>
      </is>
    </nc>
  </rcc>
  <rcc rId="684" sId="4">
    <nc r="O46" t="inlineStr">
      <is>
        <t>thanh.nguyen-kim</t>
      </is>
    </nc>
  </rcc>
  <rcc rId="685" sId="4">
    <nc r="O47" t="inlineStr">
      <is>
        <t>thanh.nguyen-kim</t>
      </is>
    </nc>
  </rcc>
  <rcc rId="686" sId="4"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90" sId="4">
    <oc r="O48" t="inlineStr">
      <is>
        <t>thanh.nguyen-kim</t>
      </is>
    </oc>
    <nc r="O48" t="inlineStr">
      <is>
        <t>chung.ly</t>
      </is>
    </nc>
  </rcc>
  <rcc rId="691" sId="4">
    <nc r="O43" t="inlineStr">
      <is>
        <t>duong.nguyen</t>
      </is>
    </nc>
  </rcc>
  <rcc rId="692" sId="4">
    <nc r="O44" t="inlineStr">
      <is>
        <t>thanh.nguyen-kim</t>
      </is>
    </nc>
  </rcc>
  <rcc rId="693" sId="4">
    <nc r="O45" t="inlineStr">
      <is>
        <t>thanh.nguyen-kim</t>
      </is>
    </nc>
  </rcc>
  <rcc rId="694" sId="4">
    <nc r="O29" t="inlineStr">
      <is>
        <t>thanh.nguyen-kim</t>
      </is>
    </nc>
  </rcc>
  <rcc rId="695" sId="4">
    <nc r="O30" t="inlineStr">
      <is>
        <t>loc.do-phu</t>
      </is>
    </nc>
  </rcc>
  <rcc rId="696" sId="4">
    <nc r="O31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00" sId="4" quotePrefix="1">
    <nc r="AG22" t="inlineStr">
      <is>
        <t>-</t>
      </is>
    </nc>
  </rcc>
  <rcc rId="701" sId="4" quotePrefix="1">
    <nc r="AG23" t="inlineStr">
      <is>
        <t>-</t>
      </is>
    </nc>
  </rcc>
  <rcc rId="702" sId="4" quotePrefix="1">
    <nc r="AG24" t="inlineStr">
      <is>
        <t>-</t>
      </is>
    </nc>
  </rcc>
  <rcc rId="703" sId="4" quotePrefix="1">
    <nc r="AG25" t="inlineStr">
      <is>
        <t>-</t>
      </is>
    </nc>
  </rcc>
  <rcc rId="704" sId="4" quotePrefix="1">
    <nc r="AG26" t="inlineStr">
      <is>
        <t>-</t>
      </is>
    </nc>
  </rcc>
  <rcc rId="705" sId="4" quotePrefix="1">
    <nc r="AG27" t="inlineStr">
      <is>
        <t>-</t>
      </is>
    </nc>
  </rcc>
  <rcc rId="706" sId="4" quotePrefix="1">
    <nc r="AG28" t="inlineStr">
      <is>
        <t>-</t>
      </is>
    </nc>
  </rcc>
  <rcc rId="707" sId="4" quotePrefix="1">
    <nc r="AG29" t="inlineStr">
      <is>
        <t>-</t>
      </is>
    </nc>
  </rcc>
  <rcc rId="708" sId="4" quotePrefix="1">
    <nc r="AG30" t="inlineStr">
      <is>
        <t>-</t>
      </is>
    </nc>
  </rcc>
  <rcc rId="709" sId="4" quotePrefix="1">
    <nc r="AG31" t="inlineStr">
      <is>
        <t>-</t>
      </is>
    </nc>
  </rcc>
  <rcc rId="710" sId="4" quotePrefix="1">
    <nc r="AG32" t="inlineStr">
      <is>
        <t>-</t>
      </is>
    </nc>
  </rcc>
  <rcc rId="711" sId="4" quotePrefix="1">
    <nc r="AG33" t="inlineStr">
      <is>
        <t>-</t>
      </is>
    </nc>
  </rcc>
  <rcc rId="712" sId="4" quotePrefix="1">
    <nc r="AG34" t="inlineStr">
      <is>
        <t>-</t>
      </is>
    </nc>
  </rcc>
  <rcc rId="713" sId="4" quotePrefix="1">
    <nc r="AG35" t="inlineStr">
      <is>
        <t>-</t>
      </is>
    </nc>
  </rcc>
  <rcc rId="714" sId="4" quotePrefix="1">
    <nc r="AG36" t="inlineStr">
      <is>
        <t>-</t>
      </is>
    </nc>
  </rcc>
  <rcc rId="715" sId="4" quotePrefix="1">
    <nc r="AG37" t="inlineStr">
      <is>
        <t>-</t>
      </is>
    </nc>
  </rcc>
  <rcc rId="716" sId="4" quotePrefix="1">
    <nc r="AG38" t="inlineStr">
      <is>
        <t>-</t>
      </is>
    </nc>
  </rcc>
  <rcc rId="717" sId="4" quotePrefix="1">
    <nc r="AG39" t="inlineStr">
      <is>
        <t>-</t>
      </is>
    </nc>
  </rcc>
  <rcc rId="718" sId="4" quotePrefix="1">
    <nc r="AG40" t="inlineStr">
      <is>
        <t>-</t>
      </is>
    </nc>
  </rcc>
  <rcc rId="719" sId="4" quotePrefix="1">
    <nc r="AG41" t="inlineStr">
      <is>
        <t>-</t>
      </is>
    </nc>
  </rcc>
  <rcc rId="720" sId="4" quotePrefix="1">
    <nc r="AG42" t="inlineStr">
      <is>
        <t>-</t>
      </is>
    </nc>
  </rcc>
  <rcc rId="721" sId="4" quotePrefix="1">
    <nc r="AG43" t="inlineStr">
      <is>
        <t>-</t>
      </is>
    </nc>
  </rcc>
  <rcc rId="722" sId="4" quotePrefix="1">
    <nc r="AG44" t="inlineStr">
      <is>
        <t>-</t>
      </is>
    </nc>
  </rcc>
  <rcc rId="723" sId="4" quotePrefix="1">
    <nc r="AG45" t="inlineStr">
      <is>
        <t>-</t>
      </is>
    </nc>
  </rcc>
  <rcc rId="724" sId="4" quotePrefix="1">
    <nc r="AG46" t="inlineStr">
      <is>
        <t>-</t>
      </is>
    </nc>
  </rcc>
  <rcc rId="725" sId="4" odxf="1" dxf="1" quotePrefix="1">
    <nc r="AG47" t="inlineStr">
      <is>
        <t>-</t>
      </is>
    </nc>
    <odxf/>
    <ndxf/>
  </rcc>
  <rcc rId="726" sId="4" quotePrefix="1">
    <nc r="AG48" t="inlineStr">
      <is>
        <t>-</t>
      </is>
    </nc>
  </rcc>
  <rcc rId="727" sId="4" quotePrefix="1">
    <nc r="AG49" t="inlineStr">
      <is>
        <t>-</t>
      </is>
    </nc>
  </rcc>
  <rcc rId="728" sId="4" quotePrefix="1">
    <nc r="AH22" t="inlineStr">
      <is>
        <t>-</t>
      </is>
    </nc>
  </rcc>
  <rcc rId="729" sId="4" quotePrefix="1">
    <nc r="AH23" t="inlineStr">
      <is>
        <t>-</t>
      </is>
    </nc>
  </rcc>
  <rcc rId="730" sId="4" quotePrefix="1">
    <nc r="AH24" t="inlineStr">
      <is>
        <t>-</t>
      </is>
    </nc>
  </rcc>
  <rcc rId="731" sId="4" quotePrefix="1">
    <nc r="AH25" t="inlineStr">
      <is>
        <t>-</t>
      </is>
    </nc>
  </rcc>
  <rcc rId="732" sId="4" quotePrefix="1">
    <nc r="AH26" t="inlineStr">
      <is>
        <t>-</t>
      </is>
    </nc>
  </rcc>
  <rcc rId="733" sId="4" quotePrefix="1">
    <nc r="AH27" t="inlineStr">
      <is>
        <t>-</t>
      </is>
    </nc>
  </rcc>
  <rcc rId="734" sId="4" quotePrefix="1">
    <nc r="AH28" t="inlineStr">
      <is>
        <t>-</t>
      </is>
    </nc>
  </rcc>
  <rcc rId="735" sId="4" quotePrefix="1">
    <nc r="AH29" t="inlineStr">
      <is>
        <t>-</t>
      </is>
    </nc>
  </rcc>
  <rcc rId="736" sId="4" quotePrefix="1">
    <nc r="AH30" t="inlineStr">
      <is>
        <t>-</t>
      </is>
    </nc>
  </rcc>
  <rcc rId="737" sId="4" quotePrefix="1">
    <nc r="AH31" t="inlineStr">
      <is>
        <t>-</t>
      </is>
    </nc>
  </rcc>
  <rcc rId="738" sId="4" quotePrefix="1">
    <nc r="AH32" t="inlineStr">
      <is>
        <t>-</t>
      </is>
    </nc>
  </rcc>
  <rcc rId="739" sId="4" quotePrefix="1">
    <nc r="AH33" t="inlineStr">
      <is>
        <t>-</t>
      </is>
    </nc>
  </rcc>
  <rcc rId="740" sId="4" quotePrefix="1">
    <nc r="AH34" t="inlineStr">
      <is>
        <t>-</t>
      </is>
    </nc>
  </rcc>
  <rcc rId="741" sId="4" quotePrefix="1">
    <nc r="AH35" t="inlineStr">
      <is>
        <t>-</t>
      </is>
    </nc>
  </rcc>
  <rcc rId="742" sId="4" quotePrefix="1">
    <nc r="AH36" t="inlineStr">
      <is>
        <t>-</t>
      </is>
    </nc>
  </rcc>
  <rcc rId="743" sId="4" quotePrefix="1">
    <nc r="AH37" t="inlineStr">
      <is>
        <t>-</t>
      </is>
    </nc>
  </rcc>
  <rcc rId="744" sId="4" quotePrefix="1">
    <nc r="AH38" t="inlineStr">
      <is>
        <t>-</t>
      </is>
    </nc>
  </rcc>
  <rcc rId="745" sId="4" quotePrefix="1">
    <nc r="AH39" t="inlineStr">
      <is>
        <t>-</t>
      </is>
    </nc>
  </rcc>
  <rcc rId="746" sId="4" quotePrefix="1">
    <nc r="AH40" t="inlineStr">
      <is>
        <t>-</t>
      </is>
    </nc>
  </rcc>
  <rcc rId="747" sId="4" quotePrefix="1">
    <nc r="AH41" t="inlineStr">
      <is>
        <t>-</t>
      </is>
    </nc>
  </rcc>
  <rcc rId="748" sId="4" quotePrefix="1">
    <nc r="AH42" t="inlineStr">
      <is>
        <t>-</t>
      </is>
    </nc>
  </rcc>
  <rcc rId="749" sId="4" quotePrefix="1">
    <nc r="AH43" t="inlineStr">
      <is>
        <t>-</t>
      </is>
    </nc>
  </rcc>
  <rcc rId="750" sId="4" quotePrefix="1">
    <nc r="AH44" t="inlineStr">
      <is>
        <t>-</t>
      </is>
    </nc>
  </rcc>
  <rcc rId="751" sId="4" quotePrefix="1">
    <nc r="AH45" t="inlineStr">
      <is>
        <t>-</t>
      </is>
    </nc>
  </rcc>
  <rcc rId="752" sId="4" quotePrefix="1">
    <nc r="AH46" t="inlineStr">
      <is>
        <t>-</t>
      </is>
    </nc>
  </rcc>
  <rcc rId="753" sId="4" quotePrefix="1">
    <nc r="AH47" t="inlineStr">
      <is>
        <t>-</t>
      </is>
    </nc>
  </rcc>
  <rcc rId="754" sId="4" quotePrefix="1">
    <nc r="AH48" t="inlineStr">
      <is>
        <t>-</t>
      </is>
    </nc>
  </rcc>
  <rcc rId="755" sId="4" quotePrefix="1">
    <nc r="AH49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22:B48">
    <dxf>
      <fill>
        <patternFill patternType="solid">
          <bgColor theme="2" tint="-0.249977111117893"/>
        </patternFill>
      </fill>
    </dxf>
  </rfmt>
  <rcmt sheetId="4" cell="A22" guid="{270126A8-242B-4D28-BEE6-FABE941A71F2}" author="EXTERNAL Nguyen Tuan Duong (Ban Vien, RBVH/EPS45)" newLength="82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2" sId="4">
    <oc r="O33" t="inlineStr">
      <is>
        <t>thanh.nguyen-kim</t>
      </is>
    </oc>
    <nc r="O33" t="inlineStr">
      <is>
        <t>duong.nguyen</t>
      </is>
    </nc>
  </rcc>
  <rcc rId="763" sId="4">
    <oc r="O43" t="inlineStr">
      <is>
        <t>duong.nguyen</t>
      </is>
    </oc>
    <nc r="O43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67" sId="4">
    <oc r="O34" t="inlineStr">
      <is>
        <t>thanh.nguyen-kim</t>
      </is>
    </oc>
    <nc r="O34" t="inlineStr">
      <is>
        <t>chung.ly</t>
      </is>
    </nc>
  </rcc>
  <rcc rId="768" sId="4">
    <oc r="O26" t="inlineStr">
      <is>
        <t>chung.ly</t>
      </is>
    </oc>
    <nc r="O26" t="inlineStr">
      <is>
        <t>thanh.nguyen-kim</t>
      </is>
    </nc>
  </rcc>
  <rcc rId="769" sId="4">
    <oc r="O29" t="inlineStr">
      <is>
        <t>thanh.nguyen-kim</t>
      </is>
    </oc>
    <nc r="O29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alignment wrapText="0" readingOrder="0"/>
    </dxf>
  </rfmt>
  <rfmt sheetId="4" sqref="F10">
    <dxf>
      <alignment wrapText="1" readingOrder="0"/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F10">
    <dxf>
      <fill>
        <patternFill patternType="solid">
          <bgColor rgb="FFFFC000"/>
        </patternFill>
      </fill>
    </dxf>
  </rfmt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79" sId="4" quotePrefix="1">
    <oc r="AH10" t="inlineStr">
      <is>
        <t>-</t>
      </is>
    </oc>
    <nc r="AH10" t="inlineStr">
      <is>
        <t>-Wrong path of component name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83" sId="4">
    <nc r="T3">
      <v>61</v>
    </nc>
  </rcc>
  <rcc rId="784" sId="4">
    <nc r="V3">
      <v>3</v>
    </nc>
  </rcc>
  <rcc rId="785" sId="4">
    <nc r="W3" t="inlineStr">
      <is>
        <t>Ready for review</t>
      </is>
    </nc>
  </rcc>
  <rcc rId="786" sId="4" numFmtId="19">
    <nc r="Z3">
      <v>43922</v>
    </nc>
  </rcc>
  <rcc rId="787" sId="4" numFmtId="19">
    <nc r="AA3">
      <v>43922</v>
    </nc>
  </rcc>
  <rcc rId="788" sId="4">
    <nc r="AB3" t="inlineStr">
      <is>
        <t>OK</t>
      </is>
    </nc>
  </rcc>
  <rcc rId="789" sId="4">
    <nc r="AC3">
      <v>100</v>
    </nc>
  </rcc>
  <rcc rId="790" sId="4">
    <nc r="AD3">
      <v>100</v>
    </nc>
  </rcc>
  <rcc rId="791" sId="4">
    <nc r="AE3">
      <v>100</v>
    </nc>
  </rcc>
  <rcc rId="792" sId="4">
    <nc r="AF3" t="inlineStr">
      <is>
        <t>N/A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99" sId="4" xfDxf="1" dxf="1" quotePrefix="1">
    <oc r="F24" t="inlineStr">
      <is>
        <t xml:space="preserve"> </t>
      </is>
    </oc>
    <nc r="F24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03" sId="1">
    <oc r="W169" t="inlineStr">
      <is>
        <t>Ready for review</t>
      </is>
    </oc>
    <nc r="W169" t="inlineStr">
      <is>
        <t>Ready for PLC</t>
      </is>
    </nc>
  </rcc>
  <rcc rId="804" sId="1">
    <oc r="W171" t="inlineStr">
      <is>
        <t>Ready for review</t>
      </is>
    </oc>
    <nc r="W171" t="inlineStr">
      <is>
        <t>Ready for PLC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808" sId="4">
    <nc r="T24">
      <f>S24</f>
    </nc>
  </rcc>
  <rcc rId="809" sId="4">
    <nc r="V24">
      <v>1</v>
    </nc>
  </rcc>
  <rcc rId="810" sId="4">
    <nc r="W24" t="inlineStr">
      <is>
        <t>Ready for review</t>
      </is>
    </nc>
  </rcc>
  <rcc rId="811" sId="4" numFmtId="19">
    <nc r="Z24">
      <v>43922</v>
    </nc>
  </rcc>
  <rcc rId="812" sId="4" numFmtId="19">
    <nc r="AA24">
      <v>43922</v>
    </nc>
  </rcc>
  <rcc rId="813" sId="4" odxf="1" dxf="1">
    <nc r="AB2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814" sId="4">
    <nc r="AC24">
      <v>100</v>
    </nc>
  </rcc>
  <rcc rId="815" sId="4">
    <nc r="AD24">
      <v>100</v>
    </nc>
  </rcc>
  <rcc rId="816" sId="4">
    <nc r="AE24">
      <v>100</v>
    </nc>
  </rcc>
  <rcc rId="817" sId="4">
    <nc r="AF24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1" sId="4" odxf="1" dxf="1">
    <nc r="M62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2" sId="4" odxf="1" dxf="1">
    <nc r="M63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3" sId="4" odxf="1" dxf="1">
    <nc r="M64" t="inlineStr">
      <is>
        <t>loc.do-phu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4" sId="4" odxf="1" dxf="1">
    <nc r="M65" t="inlineStr">
      <is>
        <t>chung.ly</t>
      </is>
    </nc>
    <o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odxf>
    <ndxf>
      <font>
        <sz val="11"/>
        <color auto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5" sId="4" odxf="1" dxf="1">
    <nc r="M66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6" sId="4" odxf="1" dxf="1">
    <nc r="M67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7" sId="4" odxf="1" dxf="1">
    <nc r="M68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8" sId="4" odxf="1" dxf="1">
    <nc r="M69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29" sId="4" odxf="1" dxf="1">
    <nc r="M7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0" sId="4" odxf="1" dxf="1">
    <nc r="M71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1" sId="4" odxf="1" dxf="1">
    <nc r="M72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2" sId="4" odxf="1" dxf="1">
    <nc r="M73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3" sId="4" odxf="1" dxf="1">
    <nc r="M74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4" sId="4" odxf="1" dxf="1">
    <nc r="M75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5" sId="4" odxf="1" dxf="1">
    <nc r="M76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6" sId="4" odxf="1" dxf="1">
    <nc r="M77" t="inlineStr">
      <is>
        <t>thanh.nguyen-kim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7" sId="4" odxf="1" dxf="1">
    <nc r="M78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8" sId="4" odxf="1" dxf="1">
    <nc r="M79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39" sId="4" odxf="1" dxf="1">
    <nc r="M80" t="inlineStr">
      <is>
        <t>chung.ly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0" sId="4" odxf="1" dxf="1">
    <nc r="M81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1" sId="4" odxf="1" dxf="1">
    <nc r="M82" t="inlineStr">
      <is>
        <t>loc.do-phu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2" sId="4" odxf="1" dxf="1">
    <nc r="M83" t="inlineStr">
      <is>
        <t>duong.nguyen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43" sId="4" odxf="1" dxf="1">
    <oc r="O22" t="inlineStr">
      <is>
        <t>chung.ly</t>
      </is>
    </oc>
    <nc r="O22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4" sId="4" odxf="1" dxf="1">
    <oc r="O23" t="inlineStr">
      <is>
        <t>thanh.nguyen-kim</t>
      </is>
    </oc>
    <nc r="O23" t="inlineStr">
      <is>
        <t>loc.do-phu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O24" start="0" length="0">
    <dxf>
      <font>
        <sz val="11"/>
        <color auto="1"/>
        <name val="Calibri"/>
        <scheme val="minor"/>
      </font>
    </dxf>
  </rfmt>
  <rcc rId="845" sId="4" odxf="1" dxf="1">
    <oc r="O25" t="inlineStr">
      <is>
        <t>loc.do-phu</t>
      </is>
    </oc>
    <nc r="O25" t="inlineStr">
      <is>
        <t>chung.ly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846" sId="4">
    <oc r="O26" t="inlineStr">
      <is>
        <t>thanh.nguyen-kim</t>
      </is>
    </oc>
    <nc r="O26" t="inlineStr">
      <is>
        <t>chung.ly</t>
      </is>
    </nc>
  </rcc>
  <rcc rId="847" sId="4">
    <oc r="O28" t="inlineStr">
      <is>
        <t>duong.nguyen</t>
      </is>
    </oc>
    <nc r="O28" t="inlineStr">
      <is>
        <t>thanh.nguyen-kim</t>
      </is>
    </nc>
  </rcc>
  <rcc rId="848" sId="4">
    <oc r="O30" t="inlineStr">
      <is>
        <t>loc.do-phu</t>
      </is>
    </oc>
    <nc r="O30" t="inlineStr">
      <is>
        <t>chung.ly</t>
      </is>
    </nc>
  </rcc>
  <rcc rId="849" sId="4">
    <oc r="O31" t="inlineStr">
      <is>
        <t>loc.do-phu</t>
      </is>
    </oc>
    <nc r="O31" t="inlineStr">
      <is>
        <t>chung.ly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" sId="4">
    <oc r="M62" t="inlineStr">
      <is>
        <t>loc.do-phu</t>
      </is>
    </oc>
    <nc r="M62"/>
  </rcc>
  <rcc rId="857" sId="4">
    <oc r="M63" t="inlineStr">
      <is>
        <t>loc.do-phu</t>
      </is>
    </oc>
    <nc r="M63"/>
  </rcc>
  <rcc rId="858" sId="4">
    <oc r="M64" t="inlineStr">
      <is>
        <t>loc.do-phu</t>
      </is>
    </oc>
    <nc r="M64"/>
  </rcc>
  <rcc rId="859" sId="4">
    <oc r="M65" t="inlineStr">
      <is>
        <t>chung.ly</t>
      </is>
    </oc>
    <nc r="M65"/>
  </rcc>
  <rcc rId="860" sId="4">
    <oc r="M66" t="inlineStr">
      <is>
        <t>chung.ly</t>
      </is>
    </oc>
    <nc r="M66"/>
  </rcc>
  <rcc rId="861" sId="4">
    <oc r="M67" t="inlineStr">
      <is>
        <t>duong.nguyen</t>
      </is>
    </oc>
    <nc r="M67"/>
  </rcc>
  <rcc rId="862" sId="4">
    <oc r="M68" t="inlineStr">
      <is>
        <t>thanh.nguyen-kim</t>
      </is>
    </oc>
    <nc r="M68"/>
  </rcc>
  <rcc rId="863" sId="4">
    <oc r="M69" t="inlineStr">
      <is>
        <t>chung.ly</t>
      </is>
    </oc>
    <nc r="M69"/>
  </rcc>
  <rcc rId="864" sId="4">
    <oc r="M70" t="inlineStr">
      <is>
        <t>chung.ly</t>
      </is>
    </oc>
    <nc r="M70"/>
  </rcc>
  <rcc rId="865" sId="4">
    <oc r="M71" t="inlineStr">
      <is>
        <t>chung.ly</t>
      </is>
    </oc>
    <nc r="M71"/>
  </rcc>
  <rcc rId="866" sId="4">
    <oc r="M72" t="inlineStr">
      <is>
        <t>duong.nguyen</t>
      </is>
    </oc>
    <nc r="M72"/>
  </rcc>
  <rcc rId="867" sId="4">
    <oc r="M73" t="inlineStr">
      <is>
        <t>chung.ly</t>
      </is>
    </oc>
    <nc r="M73"/>
  </rcc>
  <rcc rId="868" sId="4">
    <oc r="M74" t="inlineStr">
      <is>
        <t>thanh.nguyen-kim</t>
      </is>
    </oc>
    <nc r="M74"/>
  </rcc>
  <rcc rId="869" sId="4">
    <oc r="M75" t="inlineStr">
      <is>
        <t>loc.do-phu</t>
      </is>
    </oc>
    <nc r="M75"/>
  </rcc>
  <rcc rId="870" sId="4">
    <oc r="M76" t="inlineStr">
      <is>
        <t>loc.do-phu</t>
      </is>
    </oc>
    <nc r="M76"/>
  </rcc>
  <rcc rId="871" sId="4">
    <oc r="M77" t="inlineStr">
      <is>
        <t>thanh.nguyen-kim</t>
      </is>
    </oc>
    <nc r="M77"/>
  </rcc>
  <rcc rId="872" sId="4">
    <oc r="M78" t="inlineStr">
      <is>
        <t>duong.nguyen</t>
      </is>
    </oc>
    <nc r="M78"/>
  </rcc>
  <rcc rId="873" sId="4">
    <oc r="M79" t="inlineStr">
      <is>
        <t>duong.nguyen</t>
      </is>
    </oc>
    <nc r="M79"/>
  </rcc>
  <rcc rId="874" sId="4">
    <oc r="M80" t="inlineStr">
      <is>
        <t>chung.ly</t>
      </is>
    </oc>
    <nc r="M80"/>
  </rcc>
  <rcc rId="875" sId="4">
    <oc r="M81" t="inlineStr">
      <is>
        <t>loc.do-phu</t>
      </is>
    </oc>
    <nc r="M81"/>
  </rcc>
  <rcc rId="876" sId="4">
    <oc r="M82" t="inlineStr">
      <is>
        <t>loc.do-phu</t>
      </is>
    </oc>
    <nc r="M82"/>
  </rcc>
  <rcc rId="877" sId="4">
    <oc r="M83" t="inlineStr">
      <is>
        <t>duong.nguyen</t>
      </is>
    </oc>
    <nc r="M83"/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81" sId="4">
    <oc r="O36" t="inlineStr">
      <is>
        <t>chung.ly</t>
      </is>
    </oc>
    <nc r="O36" t="inlineStr">
      <is>
        <t>duong.nguyen</t>
      </is>
    </nc>
  </rcc>
  <rcc rId="882" sId="4">
    <oc r="O33" t="inlineStr">
      <is>
        <t>duong.nguyen</t>
      </is>
    </oc>
    <nc r="O33" t="inlineStr">
      <is>
        <t>chung.ly</t>
      </is>
    </nc>
  </rcc>
  <rcc rId="883" sId="4">
    <oc r="O43" t="inlineStr">
      <is>
        <t>thanh.nguyen-kim</t>
      </is>
    </oc>
    <nc r="O43" t="inlineStr">
      <is>
        <t>duong.nguyen</t>
      </is>
    </nc>
  </rcc>
  <rcc rId="884" sId="4">
    <oc r="O48" t="inlineStr">
      <is>
        <t>chung.ly</t>
      </is>
    </oc>
    <nc r="O48" t="inlineStr">
      <is>
        <t>thanh.nguyen-kim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M62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3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4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5" start="0" length="0">
    <dxf>
      <font>
        <sz val="11"/>
        <color theme="1"/>
        <name val="Calibri"/>
        <scheme val="minor"/>
      </font>
      <alignment horizontal="general" vertical="bottom" readingOrder="0"/>
      <border outline="0">
        <left/>
        <right/>
        <top/>
        <bottom/>
      </border>
    </dxf>
  </rfmt>
  <rfmt sheetId="4" sqref="M66" start="0" length="0">
    <dxf>
      <alignment horizontal="general" vertical="bottom" readingOrder="0"/>
      <border outline="0">
        <left/>
        <right/>
        <top/>
        <bottom/>
      </border>
    </dxf>
  </rfmt>
  <rfmt sheetId="4" sqref="M67" start="0" length="0">
    <dxf>
      <alignment horizontal="general" vertical="bottom" readingOrder="0"/>
      <border outline="0">
        <left/>
        <right/>
        <top/>
        <bottom/>
      </border>
    </dxf>
  </rfmt>
  <rfmt sheetId="4" sqref="M68" start="0" length="0">
    <dxf>
      <alignment horizontal="general" vertical="bottom" readingOrder="0"/>
      <border outline="0">
        <left/>
        <right/>
        <top/>
        <bottom/>
      </border>
    </dxf>
  </rfmt>
  <rfmt sheetId="4" sqref="M69" start="0" length="0">
    <dxf>
      <alignment horizontal="general" vertical="bottom" readingOrder="0"/>
      <border outline="0">
        <left/>
        <right/>
        <top/>
        <bottom/>
      </border>
    </dxf>
  </rfmt>
  <rfmt sheetId="4" sqref="M70" start="0" length="0">
    <dxf>
      <alignment horizontal="general" vertical="bottom" readingOrder="0"/>
      <border outline="0">
        <left/>
        <right/>
        <top/>
        <bottom/>
      </border>
    </dxf>
  </rfmt>
  <rfmt sheetId="4" sqref="M71" start="0" length="0">
    <dxf>
      <alignment horizontal="general" vertical="bottom" readingOrder="0"/>
      <border outline="0">
        <left/>
        <right/>
        <top/>
        <bottom/>
      </border>
    </dxf>
  </rfmt>
  <rfmt sheetId="4" sqref="M72" start="0" length="0">
    <dxf>
      <alignment horizontal="general" vertical="bottom" readingOrder="0"/>
      <border outline="0">
        <left/>
        <right/>
        <top/>
        <bottom/>
      </border>
    </dxf>
  </rfmt>
  <rfmt sheetId="4" sqref="M73" start="0" length="0">
    <dxf>
      <alignment horizontal="general" vertical="bottom" readingOrder="0"/>
      <border outline="0">
        <left/>
        <right/>
        <top/>
        <bottom/>
      </border>
    </dxf>
  </rfmt>
  <rfmt sheetId="4" sqref="M74" start="0" length="0">
    <dxf>
      <alignment horizontal="general" vertical="bottom" readingOrder="0"/>
      <border outline="0">
        <left/>
        <right/>
        <top/>
        <bottom/>
      </border>
    </dxf>
  </rfmt>
  <rfmt sheetId="4" sqref="M75" start="0" length="0">
    <dxf>
      <alignment horizontal="general" vertical="bottom" readingOrder="0"/>
      <border outline="0">
        <left/>
        <right/>
        <top/>
        <bottom/>
      </border>
    </dxf>
  </rfmt>
  <rfmt sheetId="4" sqref="M76" start="0" length="0">
    <dxf>
      <alignment horizontal="general" vertical="bottom" readingOrder="0"/>
      <border outline="0">
        <left/>
        <right/>
        <top/>
        <bottom/>
      </border>
    </dxf>
  </rfmt>
  <rfmt sheetId="4" sqref="M77" start="0" length="0">
    <dxf>
      <alignment horizontal="general" vertical="bottom" readingOrder="0"/>
      <border outline="0">
        <left/>
        <right/>
        <top/>
        <bottom/>
      </border>
    </dxf>
  </rfmt>
  <rfmt sheetId="4" sqref="M78" start="0" length="0">
    <dxf>
      <alignment horizontal="general" vertical="bottom" readingOrder="0"/>
      <border outline="0">
        <left/>
        <right/>
        <top/>
        <bottom/>
      </border>
    </dxf>
  </rfmt>
  <rfmt sheetId="4" sqref="M79" start="0" length="0">
    <dxf>
      <alignment horizontal="general" vertical="bottom" readingOrder="0"/>
      <border outline="0">
        <left/>
        <right/>
        <top/>
        <bottom/>
      </border>
    </dxf>
  </rfmt>
  <rfmt sheetId="4" sqref="M80" start="0" length="0">
    <dxf>
      <alignment horizontal="general" vertical="bottom" readingOrder="0"/>
      <border outline="0">
        <left/>
        <right/>
        <top/>
        <bottom/>
      </border>
    </dxf>
  </rfmt>
  <rfmt sheetId="4" sqref="M81" start="0" length="0">
    <dxf>
      <alignment horizontal="general" vertical="bottom" readingOrder="0"/>
      <border outline="0">
        <left/>
        <right/>
        <top/>
        <bottom/>
      </border>
    </dxf>
  </rfmt>
  <rfmt sheetId="4" sqref="M82" start="0" length="0">
    <dxf>
      <alignment horizontal="general" vertical="bottom" readingOrder="0"/>
      <border outline="0">
        <left/>
        <right/>
        <top/>
        <bottom/>
      </border>
    </dxf>
  </rfmt>
  <rfmt sheetId="4" sqref="M83" start="0" length="0">
    <dxf>
      <alignment horizontal="general" vertical="bottom" readingOrder="0"/>
      <border outline="0">
        <left/>
        <right/>
        <top/>
        <bottom/>
      </border>
    </dxf>
  </rfmt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97" sId="4">
    <nc r="T8">
      <f>S8</f>
    </nc>
  </rcc>
  <rcc rId="898" sId="4">
    <nc r="V8">
      <v>1</v>
    </nc>
  </rcc>
  <rcc rId="899" sId="4">
    <nc r="W8" t="inlineStr">
      <is>
        <t>Ready for review</t>
      </is>
    </nc>
  </rcc>
  <rcc rId="900" sId="4" numFmtId="19">
    <nc r="Z8">
      <v>43922</v>
    </nc>
  </rcc>
  <rcc rId="901" sId="4" numFmtId="19">
    <nc r="AA8">
      <v>43922</v>
    </nc>
  </rcc>
  <rcc rId="902" sId="4">
    <nc r="AB8" t="inlineStr">
      <is>
        <t>OK</t>
      </is>
    </nc>
  </rcc>
  <rcc rId="903" sId="4">
    <nc r="AC8">
      <v>100</v>
    </nc>
  </rcc>
  <rcc rId="904" sId="4">
    <nc r="AD8">
      <v>100</v>
    </nc>
  </rcc>
  <rcc rId="905" sId="4" odxf="1" dxf="1">
    <nc r="AE8">
      <v>100</v>
    </nc>
    <odxf/>
    <ndxf/>
  </rcc>
  <rcc rId="906" sId="4" odxf="1" dxf="1" quotePrefix="1">
    <nc r="AF8" t="inlineStr">
      <is>
        <t>N/A</t>
      </is>
    </nc>
    <odxf/>
    <ndxf/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0" sId="4">
    <oc r="O43" t="inlineStr">
      <is>
        <t>duong.nguyen</t>
      </is>
    </oc>
    <nc r="O43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17" sId="4">
    <oc r="S17">
      <f>R17</f>
    </oc>
    <nc r="S17">
      <f>R17+200-R17</f>
    </nc>
  </rcc>
  <rfmt sheetId="4" sqref="S17">
    <dxf>
      <fill>
        <patternFill patternType="solid">
          <bgColor rgb="FFFF0000"/>
        </patternFill>
      </fill>
    </dxf>
  </rfmt>
  <rcc rId="918" sId="4">
    <nc r="T17">
      <f>S17</f>
    </nc>
  </rcc>
  <rcc rId="919" sId="4">
    <nc r="V17">
      <v>1</v>
    </nc>
  </rcc>
  <rcc rId="920" sId="4">
    <nc r="W17" t="inlineStr">
      <is>
        <t>Ready for review</t>
      </is>
    </nc>
  </rcc>
  <rcc rId="921" sId="4" numFmtId="19">
    <nc r="Z17">
      <v>43922</v>
    </nc>
  </rcc>
  <rcc rId="922" sId="4" numFmtId="19">
    <nc r="AA17">
      <v>43922</v>
    </nc>
  </rcc>
  <rcc rId="923" sId="4">
    <nc r="AB17" t="inlineStr">
      <is>
        <t>OK</t>
      </is>
    </nc>
  </rcc>
  <rcc rId="924" sId="4">
    <nc r="AC17">
      <v>100</v>
    </nc>
  </rcc>
  <rcc rId="925" sId="4">
    <nc r="AD17">
      <v>100</v>
    </nc>
  </rcc>
  <rcc rId="926" sId="4">
    <nc r="AE17">
      <v>100</v>
    </nc>
  </rcc>
  <rcc rId="927" sId="4">
    <nc r="AF17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31" sId="4">
    <nc r="T28">
      <v>200</v>
    </nc>
  </rcc>
  <rcc rId="932" sId="4">
    <nc r="V28">
      <v>1</v>
    </nc>
  </rcc>
  <rcc rId="933" sId="4">
    <nc r="W28" t="inlineStr">
      <is>
        <t>Ready for review</t>
      </is>
    </nc>
  </rcc>
  <rcc rId="934" sId="4" numFmtId="19">
    <nc r="Z28">
      <v>43922</v>
    </nc>
  </rcc>
  <rcc rId="935" sId="4" numFmtId="19">
    <nc r="AA28">
      <v>43922</v>
    </nc>
  </rcc>
  <rcc rId="936" sId="4" odxf="1" dxf="1">
    <nc r="AB2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37" sId="4">
    <nc r="AC28">
      <v>100</v>
    </nc>
  </rcc>
  <rcc rId="938" sId="4">
    <nc r="AD28">
      <v>100</v>
    </nc>
  </rcc>
  <rcc rId="939" sId="4">
    <nc r="AE28">
      <v>100</v>
    </nc>
  </rcc>
  <rcc rId="940" sId="4">
    <nc r="AF2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4" sId="1">
    <nc r="T183">
      <v>210</v>
    </nc>
  </rcc>
  <rcc rId="945" sId="1">
    <nc r="V183">
      <v>4</v>
    </nc>
  </rcc>
  <rcc rId="946" sId="1">
    <nc r="W183" t="inlineStr">
      <is>
        <t>Ready for review</t>
      </is>
    </nc>
  </rcc>
  <rcc rId="947" sId="1" numFmtId="19">
    <nc r="Z183">
      <v>43921</v>
    </nc>
  </rcc>
  <rcc rId="948" sId="1" numFmtId="19">
    <nc r="AA183">
      <v>43921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2" sId="4" xfDxf="1" dxf="1" quotePrefix="1">
    <oc r="F22" t="inlineStr">
      <is>
        <t xml:space="preserve"> </t>
      </is>
    </oc>
    <nc r="F22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6" sId="4" xfDxf="1" dxf="1" quotePrefix="1">
    <oc r="F23" t="inlineStr">
      <is>
        <t xml:space="preserve"> </t>
      </is>
    </oc>
    <nc r="F23" t="inlineStr">
      <is>
        <t>C:\02_CANTATA\COEM_April\_DataBase\FAW_L3_MainPath_HevX_Int\CNMSESPHevX\rb\as\fawesphevx\fawcore\app\dcom\RBAPLCust\src\ESP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cc rId="957" sId="4">
    <nc r="T22">
      <f>S22</f>
    </nc>
  </rcc>
  <rcc rId="958" sId="4">
    <nc r="T23">
      <f>S23</f>
    </nc>
  </rcc>
  <rcc rId="959" sId="4">
    <nc r="V23">
      <v>2</v>
    </nc>
  </rcc>
  <rcc rId="960" sId="4">
    <nc r="V22">
      <v>2</v>
    </nc>
  </rcc>
  <rcc rId="961" sId="4">
    <nc r="W22" t="inlineStr">
      <is>
        <t>Ready for review</t>
      </is>
    </nc>
  </rcc>
  <rcc rId="962" sId="4">
    <nc r="W23" t="inlineStr">
      <is>
        <t>Ready for review</t>
      </is>
    </nc>
  </rcc>
  <rcc rId="963" sId="4" numFmtId="19">
    <nc r="Z22">
      <v>43922</v>
    </nc>
  </rcc>
  <rcc rId="964" sId="4" numFmtId="19">
    <nc r="AA22">
      <v>43922</v>
    </nc>
  </rcc>
  <rcc rId="965" sId="4" odxf="1" dxf="1">
    <nc r="AB2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66" sId="4">
    <nc r="AC22">
      <v>100</v>
    </nc>
  </rcc>
  <rcc rId="967" sId="4">
    <nc r="AD22">
      <v>100</v>
    </nc>
  </rcc>
  <rcc rId="968" sId="4">
    <nc r="AE22">
      <v>100</v>
    </nc>
  </rcc>
  <rcc rId="969" sId="4">
    <nc r="AF22" t="inlineStr">
      <is>
        <t>N/A</t>
      </is>
    </nc>
  </rcc>
  <rcc rId="970" sId="4" numFmtId="19">
    <nc r="Z23">
      <v>43922</v>
    </nc>
  </rcc>
  <rcc rId="971" sId="4" numFmtId="19">
    <nc r="AA23">
      <v>43922</v>
    </nc>
  </rcc>
  <rcc rId="972" sId="4" odxf="1" dxf="1">
    <nc r="AB23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73" sId="4">
    <nc r="AC23">
      <v>100</v>
    </nc>
  </rcc>
  <rcc rId="974" sId="4">
    <nc r="AD23">
      <v>100</v>
    </nc>
  </rcc>
  <rcc rId="975" sId="4">
    <nc r="AE23">
      <v>100</v>
    </nc>
  </rcc>
  <rcc rId="976" sId="4">
    <nc r="AF23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0" sId="4">
    <oc r="S40">
      <f>R40</f>
    </oc>
    <nc r="S40">
      <f>R40+255-34</f>
    </nc>
  </rcc>
  <rfmt sheetId="4" sqref="S52" start="0" length="0">
    <dxf>
      <font>
        <sz val="11"/>
        <color rgb="FFFF0000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981" sId="4">
    <oc r="S41">
      <f>R41</f>
    </oc>
    <nc r="S41">
      <f>R41+176-R41</f>
    </nc>
  </rcc>
  <rfmt sheetId="4" sqref="S40:S41">
    <dxf>
      <fill>
        <patternFill patternType="solid">
          <bgColor rgb="FFFF0000"/>
        </patternFill>
      </fill>
    </dxf>
  </rfmt>
  <rcc rId="982" sId="4">
    <oc r="S42">
      <f>R42</f>
    </oc>
    <nc r="S42">
      <f>R42+122-R42</f>
    </nc>
  </rcc>
  <rfmt sheetId="4" sqref="S52" start="0" length="0">
    <dxf>
      <border>
        <left/>
        <right/>
        <top/>
        <bottom/>
      </border>
    </dxf>
  </rfmt>
  <rfmt sheetId="4" sqref="S42">
    <dxf>
      <fill>
        <patternFill patternType="solid">
          <bgColor rgb="FFFF0000"/>
        </patternFill>
      </fill>
    </dxf>
  </rfmt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3" sId="4">
    <oc r="E64">
      <f>SUMIFS($S$3:$S$49,$D$3:$D$49,Table!$D$3,$O$3:$O$49,C64)-SUM(SUMIFS($S$3:$S$49,$D$3:$D$49,Table!$D$3,$O$3:$O$49,C64,$W$3:$W$49,{"Ongoing","N/A",""}))</f>
    </oc>
    <nc r="E64">
      <f>SUMIFS($S$3:$S$49,$D$3:$D$49,Table!$D$3,$O$3:$O$49,C64)-SUM(SUMIFS($S$3:$S$49,$D$3:$D$49,Table!$D$3,$O$3:$O$49,C64,$W$3:$W$49,{"Ongoing","N/A",""}))</f>
    </nc>
  </rcc>
  <rfmt sheetId="4" sqref="H4:H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10:H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22:H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87" sId="4">
    <nc r="T40">
      <f>S40</f>
    </nc>
  </rcc>
  <rcc rId="988" sId="4">
    <nc r="V40">
      <v>1</v>
    </nc>
  </rcc>
  <rcc rId="989" sId="4">
    <nc r="W40" t="inlineStr">
      <is>
        <t>Ready for review</t>
      </is>
    </nc>
  </rcc>
  <rcc rId="990" sId="4" numFmtId="19">
    <nc r="Z40">
      <v>43922</v>
    </nc>
  </rcc>
  <rcc rId="991" sId="4" numFmtId="19">
    <nc r="AA40">
      <v>43922</v>
    </nc>
  </rcc>
  <rcc rId="992" sId="4" odxf="1" dxf="1">
    <nc r="AB40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993" sId="4">
    <nc r="AC40">
      <v>100</v>
    </nc>
  </rcc>
  <rcc rId="994" sId="4">
    <nc r="AD40">
      <v>100</v>
    </nc>
  </rcc>
  <rcc rId="995" sId="4">
    <nc r="AE40">
      <v>100</v>
    </nc>
  </rcc>
  <rcc rId="996" sId="4">
    <nc r="AF40" t="inlineStr">
      <is>
        <t>N/A</t>
      </is>
    </nc>
  </rcc>
  <rcc rId="997" sId="4" quotePrefix="1">
    <oc r="AG10" t="inlineStr">
      <is>
        <t>-</t>
      </is>
    </oc>
    <nc r="AG10" t="inlineStr">
      <is>
        <t>Can’t cover statement at line 39.</t>
      </is>
    </nc>
  </rcc>
  <rfmt sheetId="4" sqref="H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fmt sheetId="4" sqref="H4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1001" sId="4">
    <nc r="T41">
      <f>S41</f>
    </nc>
  </rcc>
  <rcc rId="1002" sId="4">
    <nc r="T42">
      <f>S42</f>
    </nc>
  </rcc>
  <rcc rId="1003" sId="4">
    <nc r="V41">
      <v>1</v>
    </nc>
  </rcc>
  <rcc rId="1004" sId="4">
    <nc r="V42">
      <v>1</v>
    </nc>
  </rcc>
  <rcc rId="1005" sId="4">
    <nc r="W41" t="inlineStr">
      <is>
        <t>Ready for review</t>
      </is>
    </nc>
  </rcc>
  <rcc rId="1006" sId="4" numFmtId="19">
    <nc r="Z41">
      <v>43922</v>
    </nc>
  </rcc>
  <rcc rId="1007" sId="4" numFmtId="19">
    <nc r="AA41">
      <v>43922</v>
    </nc>
  </rcc>
  <rcc rId="1008" sId="4" odxf="1" dxf="1">
    <nc r="AB4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09" sId="4">
    <nc r="AC41">
      <v>100</v>
    </nc>
  </rcc>
  <rcc rId="1010" sId="4">
    <nc r="AD41">
      <v>100</v>
    </nc>
  </rcc>
  <rcc rId="1011" sId="4">
    <nc r="AE41">
      <v>100</v>
    </nc>
  </rcc>
  <rcc rId="1012" sId="4">
    <nc r="AF41" t="inlineStr">
      <is>
        <t>N/A</t>
      </is>
    </nc>
  </rcc>
  <rcc rId="1013" sId="4">
    <nc r="W42" t="inlineStr">
      <is>
        <t>Ready for review</t>
      </is>
    </nc>
  </rcc>
  <rcc rId="1014" sId="4" numFmtId="19">
    <nc r="Z42">
      <v>43922</v>
    </nc>
  </rcc>
  <rcc rId="1015" sId="4" numFmtId="19">
    <nc r="AA42">
      <v>43922</v>
    </nc>
  </rcc>
  <rcc rId="1016" sId="4" odxf="1" dxf="1">
    <nc r="AB4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17" sId="4">
    <nc r="AC42">
      <v>100</v>
    </nc>
  </rcc>
  <rcc rId="1018" sId="4">
    <nc r="AD42">
      <v>100</v>
    </nc>
  </rcc>
  <rcc rId="1019" sId="4">
    <nc r="AE42">
      <v>100</v>
    </nc>
  </rcc>
  <rcc rId="1020" sId="4">
    <nc r="AF42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COEM_Package_20200401!$B$2:$AH$49</formula>
    <oldFormula>COEM_Package_20200401!$B$2:$AH$49</oldFormula>
  </rdn>
  <rcv guid="{72A6EB0A-84D5-4B8A-AC51-54CCD061630B}" action="add"/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24" sId="4">
    <oc r="S45">
      <f>R45</f>
    </oc>
    <nc r="S45">
      <f>R45+159-156</f>
    </nc>
  </rcc>
  <rfmt sheetId="4" sqref="S45">
    <dxf>
      <fill>
        <patternFill patternType="solid">
          <bgColor rgb="FFFF0000"/>
        </patternFill>
      </fill>
    </dxf>
  </rfmt>
  <rcc rId="1025" sId="4" odxf="1" dxf="1">
    <oc r="S44">
      <f>R44</f>
    </oc>
    <nc r="S44">
      <f>R44+159-156</f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1026" sId="4">
    <nc r="T44">
      <f>S44</f>
    </nc>
  </rcc>
  <rcc rId="1027" sId="4">
    <nc r="T45">
      <f>S45</f>
    </nc>
  </rcc>
  <rcc rId="1028" sId="4">
    <nc r="V44">
      <v>2</v>
    </nc>
  </rcc>
  <rcc rId="1029" sId="4">
    <nc r="V45">
      <v>2</v>
    </nc>
  </rcc>
  <rcc rId="1030" sId="4">
    <nc r="W44" t="inlineStr">
      <is>
        <t>Ready for review</t>
      </is>
    </nc>
  </rcc>
  <rcc rId="1031" sId="4">
    <nc r="W45" t="inlineStr">
      <is>
        <t>Ready for review</t>
      </is>
    </nc>
  </rcc>
  <rcc rId="1032" sId="4" numFmtId="19">
    <nc r="Z44">
      <v>43922</v>
    </nc>
  </rcc>
  <rcc rId="1033" sId="4" numFmtId="19">
    <nc r="AA44">
      <v>43922</v>
    </nc>
  </rcc>
  <rcc rId="1034" sId="4" numFmtId="19">
    <nc r="Z45">
      <v>43922</v>
    </nc>
  </rcc>
  <rcc rId="1035" sId="4" numFmtId="19">
    <nc r="AA45">
      <v>43922</v>
    </nc>
  </rcc>
  <rcc rId="1036" sId="4" odxf="1" dxf="1">
    <nc r="AB44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37" sId="4">
    <nc r="AC44">
      <v>100</v>
    </nc>
  </rcc>
  <rcc rId="1038" sId="4">
    <nc r="AD44">
      <v>100</v>
    </nc>
  </rcc>
  <rcc rId="1039" sId="4">
    <nc r="AE44">
      <v>100</v>
    </nc>
  </rcc>
  <rcc rId="1040" sId="4">
    <nc r="AF44" t="inlineStr">
      <is>
        <t>N/A</t>
      </is>
    </nc>
  </rcc>
  <rcc rId="1041" sId="4" odxf="1" dxf="1">
    <nc r="AB4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42" sId="4">
    <nc r="AC45">
      <v>100</v>
    </nc>
  </rcc>
  <rcc rId="1043" sId="4">
    <nc r="AD45">
      <v>100</v>
    </nc>
  </rcc>
  <rcc rId="1044" sId="4">
    <nc r="AE45">
      <v>100</v>
    </nc>
  </rcc>
  <rcc rId="1045" sId="4">
    <nc r="AF4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49" sId="4">
    <nc r="T46">
      <f>S46</f>
    </nc>
  </rcc>
  <rcc rId="1050" sId="4">
    <nc r="T47">
      <f>S47</f>
    </nc>
  </rcc>
  <rcc rId="1051" sId="4">
    <nc r="V46">
      <v>0.5</v>
    </nc>
  </rcc>
  <rcc rId="1052" sId="4">
    <nc r="V47">
      <v>0.5</v>
    </nc>
  </rcc>
  <rcc rId="1053" sId="4">
    <nc r="W46" t="inlineStr">
      <is>
        <t>Ready for review</t>
      </is>
    </nc>
  </rcc>
  <rcc rId="1054" sId="4">
    <nc r="W47" t="inlineStr">
      <is>
        <t>Ready for review</t>
      </is>
    </nc>
  </rcc>
  <rcc rId="1055" sId="4" numFmtId="19">
    <nc r="Z46">
      <v>43922</v>
    </nc>
  </rcc>
  <rcc rId="1056" sId="4" numFmtId="19">
    <nc r="AA46">
      <v>43922</v>
    </nc>
  </rcc>
  <rcc rId="1057" sId="4" odxf="1" dxf="1">
    <nc r="AB46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58" sId="4">
    <nc r="AC46">
      <v>100</v>
    </nc>
  </rcc>
  <rcc rId="1059" sId="4">
    <nc r="AD46">
      <v>100</v>
    </nc>
  </rcc>
  <rcc rId="1060" sId="4">
    <nc r="AE46">
      <v>100</v>
    </nc>
  </rcc>
  <rcc rId="1061" sId="4">
    <nc r="AF46" t="inlineStr">
      <is>
        <t>N/A</t>
      </is>
    </nc>
  </rcc>
  <rcc rId="1062" sId="4" numFmtId="19">
    <nc r="Z47">
      <v>43922</v>
    </nc>
  </rcc>
  <rcc rId="1063" sId="4" numFmtId="19">
    <nc r="AA47">
      <v>43922</v>
    </nc>
  </rcc>
  <rcc rId="1064" sId="4" odxf="1" dxf="1">
    <nc r="AB4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65" sId="4" odxf="1" dxf="1">
    <nc r="AC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6" sId="4" odxf="1" dxf="1">
    <nc r="AD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7" sId="4" odxf="1" dxf="1">
    <nc r="AE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068" sId="4" odxf="1" dxf="1">
    <nc r="AF4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72" sId="4">
    <nc r="T48">
      <f>S48</f>
    </nc>
  </rcc>
  <rcc rId="1073" sId="4">
    <nc r="V48">
      <v>1</v>
    </nc>
  </rcc>
  <rcc rId="1074" sId="4">
    <oc r="V44">
      <v>2</v>
    </oc>
    <nc r="V44">
      <v>1.5</v>
    </nc>
  </rcc>
  <rcc rId="1075" sId="4">
    <oc r="V45">
      <v>2</v>
    </oc>
    <nc r="V45">
      <v>1.5</v>
    </nc>
  </rcc>
  <rcc rId="1076" sId="4">
    <nc r="W48" t="inlineStr">
      <is>
        <t>Ready for review</t>
      </is>
    </nc>
  </rcc>
  <rcc rId="1077" sId="4" numFmtId="19">
    <nc r="Z48">
      <v>43922</v>
    </nc>
  </rcc>
  <rcc rId="1078" sId="4" numFmtId="19">
    <nc r="AA48">
      <v>43922</v>
    </nc>
  </rcc>
  <rcc rId="1079" sId="4" odxf="1" dxf="1">
    <nc r="AB4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080" sId="4">
    <nc r="AC48">
      <v>100</v>
    </nc>
  </rcc>
  <rcc rId="1081" sId="4">
    <nc r="AD48">
      <v>100</v>
    </nc>
  </rcc>
  <rcc rId="1082" sId="4">
    <nc r="AE48">
      <v>100</v>
    </nc>
  </rcc>
  <rcc rId="1083" sId="4">
    <nc r="AF4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COEM_Package_20200401!$B$2:$AH$49</formula>
    <oldFormula>COEM_Package_20200401!$B$2:$AH$49</oldFormula>
  </rdn>
  <rcv guid="{4E06BDBF-2CED-473B-850B-2A6C7311FF41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87" sId="1">
    <nc r="T184">
      <v>622</v>
    </nc>
  </rcc>
  <rcc rId="1088" sId="1">
    <nc r="V184">
      <v>6</v>
    </nc>
  </rcc>
  <rcc rId="1089" sId="1">
    <nc r="W184" t="inlineStr">
      <is>
        <t>Ready for review</t>
      </is>
    </nc>
  </rcc>
  <rcc rId="1090" sId="5" quotePrefix="1">
    <oc r="D20" t="inlineStr">
      <is>
        <t>-</t>
      </is>
    </oc>
    <nc r="D20" t="inlineStr">
      <is>
        <t>-Waiting license of ASCET Tool =&gt; Lead to delay for all class related with ASW</t>
      </is>
    </nc>
  </rcc>
  <rcc rId="1091" sId="1" numFmtId="19">
    <nc r="Z184">
      <v>43922</v>
    </nc>
  </rcc>
  <rcc rId="1092" sId="1" numFmtId="19">
    <nc r="AA184">
      <v>43922</v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COEM_Package_20200401!$B$2:$AH$49</formula>
    <oldFormula>COEM_Package_20200401!$B$2:$AH$49</oldFormula>
  </rdn>
  <rcv guid="{7E0EA425-A420-4443-B9E0-CDF0AA9E5D09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4">
  <userInfo guid="{87392201-50DA-402F-B437-777780EA297A}" name="EXTERNAL Nguyen Kim Thanh (Ban Vien, RBVH/EPS45)" id="-41267566" dateTime="2020-03-31T11:44:01"/>
  <userInfo guid="{8A03BE93-D78D-48BD-91A7-F6B92F394DA9}" name="EXTERNAL Do Phu Loc (Ban Vien, RBVH/EPS45)" id="-1167921752" dateTime="2020-04-01T09:12:28"/>
  <userInfo guid="{F4A00557-CB3F-4933-AB63-E4E7D13CDFF8}" name="EXTERNAL Do Phu Loc (Ban Vien, RBVH/EPS45)" id="-1167939779" dateTime="2020-04-01T10:06:20"/>
  <userInfo guid="{26A60BB2-6EEA-4B16-93BC-D74CB560FF9A}" name="EXTERNAL Ly Chung (Ban Vien, RBVH/EPS45)" id="-274444688" dateTime="2020-04-01T13:46:03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4" Type="http://schemas.openxmlformats.org/officeDocument/2006/relationships/printerSettings" Target="../printerSettings/printerSettings4.bin"/><Relationship Id="rId9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7" Type="http://schemas.openxmlformats.org/officeDocument/2006/relationships/comments" Target="../comments2.xml"/><Relationship Id="rId2" Type="http://schemas.openxmlformats.org/officeDocument/2006/relationships/printerSettings" Target="../printerSettings/printerSettings10.bin"/><Relationship Id="rId1" Type="http://schemas.openxmlformats.org/officeDocument/2006/relationships/printerSettings" Target="../printerSettings/printerSettings9.bin"/><Relationship Id="rId6" Type="http://schemas.openxmlformats.org/officeDocument/2006/relationships/vmlDrawing" Target="../drawings/vmlDrawing2.vml"/><Relationship Id="rId5" Type="http://schemas.openxmlformats.org/officeDocument/2006/relationships/printerSettings" Target="../printerSettings/printerSettings13.bin"/><Relationship Id="rId4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/>
  <dimension ref="A2:AG252"/>
  <sheetViews>
    <sheetView tabSelected="1" topLeftCell="A77" zoomScale="85" zoomScaleNormal="85" workbookViewId="0">
      <selection activeCell="F163" sqref="F163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53" customWidth="1"/>
    <col min="11" max="11" width="35.85546875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customWidth="1"/>
    <col min="17" max="17" width="13.5703125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44.42578125" bestFit="1" customWidth="1"/>
    <col min="34" max="34" width="39.85546875" customWidth="1"/>
  </cols>
  <sheetData>
    <row r="2" spans="2:33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773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156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168</v>
      </c>
    </row>
    <row r="3" spans="2:33" x14ac:dyDescent="0.25">
      <c r="B3" s="24">
        <v>1</v>
      </c>
      <c r="C3" s="26">
        <v>20200302</v>
      </c>
      <c r="D3" s="24" t="s">
        <v>3</v>
      </c>
      <c r="E3" s="24" t="s">
        <v>360</v>
      </c>
      <c r="F3" s="24" t="s">
        <v>150</v>
      </c>
      <c r="G3" s="24">
        <v>1348323</v>
      </c>
      <c r="H3" s="24" t="s">
        <v>69</v>
      </c>
      <c r="I3" s="24" t="s">
        <v>196</v>
      </c>
      <c r="J3" s="27" t="s">
        <v>76</v>
      </c>
      <c r="K3" s="24" t="s">
        <v>92</v>
      </c>
      <c r="L3" s="27" t="str">
        <f>IF(D3="ASW","PUT_VERSION","-")</f>
        <v>-</v>
      </c>
      <c r="M3" s="27" t="s">
        <v>361</v>
      </c>
      <c r="N3" s="26" t="s">
        <v>476</v>
      </c>
      <c r="O3" s="24" t="s">
        <v>85</v>
      </c>
      <c r="P3" s="24" t="s">
        <v>6</v>
      </c>
      <c r="Q3" s="24" t="s">
        <v>164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108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161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 hidden="1" x14ac:dyDescent="0.2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151</v>
      </c>
      <c r="G4" s="24">
        <v>1345876</v>
      </c>
      <c r="H4" s="32" t="s">
        <v>70</v>
      </c>
      <c r="I4" s="24" t="s">
        <v>196</v>
      </c>
      <c r="J4" s="24">
        <v>99885</v>
      </c>
      <c r="K4" s="24" t="s">
        <v>93</v>
      </c>
      <c r="L4" s="27" t="str">
        <f>IF(D4="ASW","PUT_VERSION","-")</f>
        <v>-</v>
      </c>
      <c r="M4" s="27" t="s">
        <v>362</v>
      </c>
      <c r="N4" s="26" t="s">
        <v>477</v>
      </c>
      <c r="O4" s="32" t="s">
        <v>86</v>
      </c>
      <c r="P4" s="32" t="s">
        <v>6</v>
      </c>
      <c r="Q4" s="24" t="s">
        <v>164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108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161</v>
      </c>
      <c r="AC4" s="32">
        <v>100</v>
      </c>
      <c r="AD4" s="32">
        <v>100</v>
      </c>
      <c r="AE4" s="32">
        <v>100</v>
      </c>
      <c r="AF4" s="24" t="s">
        <v>180</v>
      </c>
      <c r="AG4" s="27" t="s">
        <v>76</v>
      </c>
    </row>
    <row r="5" spans="2:33" x14ac:dyDescent="0.25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152</v>
      </c>
      <c r="G5" s="24">
        <v>1350941</v>
      </c>
      <c r="H5" s="24" t="s">
        <v>71</v>
      </c>
      <c r="I5" s="24" t="s">
        <v>196</v>
      </c>
      <c r="J5" s="24" t="s">
        <v>746</v>
      </c>
      <c r="K5" s="24" t="s">
        <v>94</v>
      </c>
      <c r="L5" s="27" t="str">
        <f>IF(D5="ASW","PUT_VERSION","-")</f>
        <v>-</v>
      </c>
      <c r="M5" s="27" t="s">
        <v>363</v>
      </c>
      <c r="N5" s="26" t="s">
        <v>478</v>
      </c>
      <c r="O5" s="24" t="s">
        <v>85</v>
      </c>
      <c r="P5" s="24" t="s">
        <v>6</v>
      </c>
      <c r="Q5" s="24" t="s">
        <v>164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108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161</v>
      </c>
      <c r="AC5" s="32">
        <v>100</v>
      </c>
      <c r="AD5" s="32">
        <v>100</v>
      </c>
      <c r="AE5" s="32">
        <v>100</v>
      </c>
      <c r="AF5" s="24" t="s">
        <v>157</v>
      </c>
      <c r="AG5" s="24" t="s">
        <v>181</v>
      </c>
    </row>
    <row r="6" spans="2:33" hidden="1" x14ac:dyDescent="0.25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153</v>
      </c>
      <c r="G6" s="24">
        <v>1351929</v>
      </c>
      <c r="H6" s="24" t="s">
        <v>72</v>
      </c>
      <c r="I6" s="24" t="s">
        <v>196</v>
      </c>
      <c r="J6" s="24">
        <v>99735</v>
      </c>
      <c r="K6" s="24" t="s">
        <v>95</v>
      </c>
      <c r="L6" s="27" t="str">
        <f>IF(D6="ASW","PUT_VERSION","-")</f>
        <v>-</v>
      </c>
      <c r="M6" s="27" t="s">
        <v>361</v>
      </c>
      <c r="N6" s="26" t="s">
        <v>479</v>
      </c>
      <c r="O6" s="24" t="s">
        <v>88</v>
      </c>
      <c r="P6" s="24" t="s">
        <v>6</v>
      </c>
      <c r="Q6" s="24" t="s">
        <v>164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108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160</v>
      </c>
      <c r="AC6" s="32">
        <v>100</v>
      </c>
      <c r="AD6" s="32">
        <v>100</v>
      </c>
      <c r="AE6" s="32">
        <v>95</v>
      </c>
      <c r="AF6" s="35" t="s">
        <v>162</v>
      </c>
      <c r="AG6" s="24" t="s">
        <v>434</v>
      </c>
    </row>
    <row r="7" spans="2:33" hidden="1" x14ac:dyDescent="0.25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196</v>
      </c>
      <c r="J7" s="27" t="s">
        <v>76</v>
      </c>
      <c r="K7" s="24">
        <v>1352219</v>
      </c>
      <c r="L7" s="27" t="s">
        <v>109</v>
      </c>
      <c r="M7" s="27" t="s">
        <v>364</v>
      </c>
      <c r="N7" s="26" t="s">
        <v>480</v>
      </c>
      <c r="O7" s="24" t="s">
        <v>87</v>
      </c>
      <c r="P7" s="24" t="s">
        <v>6</v>
      </c>
      <c r="Q7" s="24" t="s">
        <v>164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108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160</v>
      </c>
      <c r="AC7" s="32">
        <v>95.6</v>
      </c>
      <c r="AD7" s="32">
        <v>96</v>
      </c>
      <c r="AE7" s="36" t="s">
        <v>76</v>
      </c>
      <c r="AF7" s="24" t="s">
        <v>158</v>
      </c>
      <c r="AG7" s="24" t="s">
        <v>181</v>
      </c>
    </row>
    <row r="8" spans="2:33" hidden="1" x14ac:dyDescent="0.25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194</v>
      </c>
      <c r="G8" s="24">
        <v>1351848</v>
      </c>
      <c r="H8" s="24" t="s">
        <v>78</v>
      </c>
      <c r="I8" s="24" t="s">
        <v>196</v>
      </c>
      <c r="J8" s="24">
        <v>80504</v>
      </c>
      <c r="K8" s="24" t="s">
        <v>93</v>
      </c>
      <c r="L8" s="27" t="str">
        <f t="shared" ref="L8:L25" si="2">IF(D8="ASW","PUT_VERSION","-")</f>
        <v>-</v>
      </c>
      <c r="M8" s="27" t="s">
        <v>365</v>
      </c>
      <c r="N8" s="26" t="s">
        <v>481</v>
      </c>
      <c r="O8" s="24" t="s">
        <v>87</v>
      </c>
      <c r="P8" s="24" t="s">
        <v>6</v>
      </c>
      <c r="Q8" s="24" t="s">
        <v>164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108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160</v>
      </c>
      <c r="AC8" s="32">
        <v>99</v>
      </c>
      <c r="AD8" s="32">
        <v>99</v>
      </c>
      <c r="AE8" s="32">
        <v>100</v>
      </c>
      <c r="AF8" s="24" t="s">
        <v>191</v>
      </c>
      <c r="AG8" s="24" t="s">
        <v>181</v>
      </c>
    </row>
    <row r="9" spans="2:33" s="19" customFormat="1" hidden="1" x14ac:dyDescent="0.2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188</v>
      </c>
      <c r="G9" s="24">
        <v>1351848</v>
      </c>
      <c r="H9" s="56" t="s">
        <v>79</v>
      </c>
      <c r="I9" s="24" t="s">
        <v>196</v>
      </c>
      <c r="J9" s="24">
        <v>80504</v>
      </c>
      <c r="K9" s="24" t="s">
        <v>93</v>
      </c>
      <c r="L9" s="27" t="str">
        <f t="shared" si="2"/>
        <v>-</v>
      </c>
      <c r="M9" s="27" t="s">
        <v>365</v>
      </c>
      <c r="N9" s="26" t="s">
        <v>482</v>
      </c>
      <c r="O9" s="21" t="s">
        <v>86</v>
      </c>
      <c r="P9" s="26" t="s">
        <v>6</v>
      </c>
      <c r="Q9" s="24" t="s">
        <v>164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108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161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 hidden="1" x14ac:dyDescent="0.25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SUMIFS(COEM_Package_20200302!$T$3:$T$219,COEM_Package_20200302!$D$3:$D$219,Table!$C$3)-SUM(SUMIFS($T$3:$T$219,$D$3:$D$219,Table!$C$3,$W$3:$W$219,{"Ongoing","N/A",""}))</f>
        <v>659</v>
      </c>
      <c r="G10" s="24">
        <v>1351848</v>
      </c>
      <c r="H10" s="57" t="s">
        <v>80</v>
      </c>
      <c r="I10" s="24" t="s">
        <v>196</v>
      </c>
      <c r="J10" s="24">
        <v>80504</v>
      </c>
      <c r="K10" s="24" t="s">
        <v>93</v>
      </c>
      <c r="L10" s="27" t="str">
        <f t="shared" si="2"/>
        <v>-</v>
      </c>
      <c r="M10" s="27" t="s">
        <v>365</v>
      </c>
      <c r="N10" s="26" t="s">
        <v>483</v>
      </c>
      <c r="O10" s="23" t="s">
        <v>88</v>
      </c>
      <c r="P10" s="24" t="s">
        <v>6</v>
      </c>
      <c r="Q10" s="24" t="s">
        <v>164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108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161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 hidden="1" x14ac:dyDescent="0.2">
      <c r="B11" s="32">
        <f t="shared" si="0"/>
        <v>9</v>
      </c>
      <c r="C11" s="26">
        <v>20200302</v>
      </c>
      <c r="D11" s="21" t="s">
        <v>3</v>
      </c>
      <c r="E11" s="21" t="s">
        <v>89</v>
      </c>
      <c r="F11" s="34" t="s">
        <v>189</v>
      </c>
      <c r="G11" s="24">
        <v>1278532</v>
      </c>
      <c r="H11" s="24" t="s">
        <v>185</v>
      </c>
      <c r="I11" s="24" t="s">
        <v>196</v>
      </c>
      <c r="J11" s="24">
        <v>81261</v>
      </c>
      <c r="K11" s="24" t="s">
        <v>96</v>
      </c>
      <c r="L11" s="27" t="str">
        <f t="shared" si="2"/>
        <v>-</v>
      </c>
      <c r="M11" s="27" t="s">
        <v>366</v>
      </c>
      <c r="N11" s="26" t="s">
        <v>484</v>
      </c>
      <c r="O11" s="21" t="s">
        <v>86</v>
      </c>
      <c r="P11" s="21" t="s">
        <v>6</v>
      </c>
      <c r="Q11" s="24" t="s">
        <v>164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108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161</v>
      </c>
      <c r="AC11" s="32">
        <v>100</v>
      </c>
      <c r="AD11" s="32">
        <v>100</v>
      </c>
      <c r="AE11" s="32">
        <v>100</v>
      </c>
      <c r="AF11" s="24" t="s">
        <v>110</v>
      </c>
      <c r="AG11" s="27" t="s">
        <v>76</v>
      </c>
    </row>
    <row r="12" spans="2:33" hidden="1" x14ac:dyDescent="0.25">
      <c r="B12" s="32">
        <f t="shared" si="0"/>
        <v>10</v>
      </c>
      <c r="C12" s="26">
        <v>20200302</v>
      </c>
      <c r="D12" s="24" t="s">
        <v>3</v>
      </c>
      <c r="E12" s="24" t="s">
        <v>89</v>
      </c>
      <c r="F12" s="27" t="s">
        <v>189</v>
      </c>
      <c r="G12" s="24">
        <v>1278532</v>
      </c>
      <c r="H12" s="24" t="s">
        <v>186</v>
      </c>
      <c r="I12" s="24" t="s">
        <v>196</v>
      </c>
      <c r="J12" s="24">
        <v>81261</v>
      </c>
      <c r="K12" s="24" t="s">
        <v>96</v>
      </c>
      <c r="L12" s="27" t="str">
        <f t="shared" si="2"/>
        <v>-</v>
      </c>
      <c r="M12" s="27" t="s">
        <v>366</v>
      </c>
      <c r="N12" s="26" t="s">
        <v>485</v>
      </c>
      <c r="O12" s="23" t="s">
        <v>86</v>
      </c>
      <c r="P12" s="23" t="s">
        <v>6</v>
      </c>
      <c r="Q12" s="24" t="s">
        <v>164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108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161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 x14ac:dyDescent="0.25">
      <c r="B13" s="32">
        <f t="shared" si="0"/>
        <v>11</v>
      </c>
      <c r="C13" s="26">
        <v>20200302</v>
      </c>
      <c r="D13" s="24" t="s">
        <v>3</v>
      </c>
      <c r="E13" s="24" t="s">
        <v>89</v>
      </c>
      <c r="F13" s="27" t="s">
        <v>190</v>
      </c>
      <c r="G13" s="24">
        <v>1278532</v>
      </c>
      <c r="H13" s="57" t="s">
        <v>187</v>
      </c>
      <c r="I13" s="24" t="s">
        <v>196</v>
      </c>
      <c r="J13" s="24">
        <v>81261</v>
      </c>
      <c r="K13" s="24" t="s">
        <v>96</v>
      </c>
      <c r="L13" s="27" t="str">
        <f t="shared" si="2"/>
        <v>-</v>
      </c>
      <c r="M13" s="27" t="s">
        <v>366</v>
      </c>
      <c r="N13" s="26" t="s">
        <v>486</v>
      </c>
      <c r="O13" s="23" t="s">
        <v>85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108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160</v>
      </c>
      <c r="AC13" s="32">
        <v>86</v>
      </c>
      <c r="AD13" s="32">
        <v>83</v>
      </c>
      <c r="AE13" s="32">
        <v>100</v>
      </c>
      <c r="AF13" s="24" t="s">
        <v>343</v>
      </c>
      <c r="AG13" s="27" t="s">
        <v>76</v>
      </c>
    </row>
    <row r="14" spans="2:33" hidden="1" x14ac:dyDescent="0.25">
      <c r="B14" s="32">
        <f t="shared" si="0"/>
        <v>12</v>
      </c>
      <c r="C14" s="26">
        <v>20200302</v>
      </c>
      <c r="D14" s="24" t="s">
        <v>3</v>
      </c>
      <c r="E14" s="24" t="s">
        <v>89</v>
      </c>
      <c r="F14" s="27" t="s">
        <v>154</v>
      </c>
      <c r="G14" s="24">
        <v>1278532</v>
      </c>
      <c r="H14" s="24" t="s">
        <v>90</v>
      </c>
      <c r="I14" s="24" t="s">
        <v>196</v>
      </c>
      <c r="J14" s="24">
        <v>81261</v>
      </c>
      <c r="K14" s="24" t="s">
        <v>96</v>
      </c>
      <c r="L14" s="27" t="str">
        <f t="shared" si="2"/>
        <v>-</v>
      </c>
      <c r="M14" s="27" t="s">
        <v>366</v>
      </c>
      <c r="N14" s="26" t="s">
        <v>487</v>
      </c>
      <c r="O14" s="23" t="s">
        <v>86</v>
      </c>
      <c r="P14" s="23" t="s">
        <v>6</v>
      </c>
      <c r="Q14" s="24" t="s">
        <v>164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108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161</v>
      </c>
      <c r="AC14" s="32">
        <v>100</v>
      </c>
      <c r="AD14" s="32">
        <v>100</v>
      </c>
      <c r="AE14" s="32">
        <v>100</v>
      </c>
      <c r="AF14" s="24" t="s">
        <v>111</v>
      </c>
      <c r="AG14" s="27" t="s">
        <v>76</v>
      </c>
    </row>
    <row r="15" spans="2:33" hidden="1" x14ac:dyDescent="0.25">
      <c r="B15" s="32">
        <f t="shared" si="0"/>
        <v>13</v>
      </c>
      <c r="C15" s="26">
        <v>20200303</v>
      </c>
      <c r="D15" s="24" t="s">
        <v>3</v>
      </c>
      <c r="E15" s="24" t="s">
        <v>97</v>
      </c>
      <c r="F15" s="43" t="s">
        <v>212</v>
      </c>
      <c r="G15" s="24">
        <v>1352115</v>
      </c>
      <c r="H15" s="24" t="s">
        <v>98</v>
      </c>
      <c r="I15" s="24" t="s">
        <v>196</v>
      </c>
      <c r="J15" s="24" t="s">
        <v>76</v>
      </c>
      <c r="K15" s="24" t="s">
        <v>105</v>
      </c>
      <c r="L15" s="27" t="str">
        <f t="shared" si="2"/>
        <v>-</v>
      </c>
      <c r="M15" s="27" t="s">
        <v>367</v>
      </c>
      <c r="N15" s="26" t="s">
        <v>488</v>
      </c>
      <c r="O15" s="24" t="s">
        <v>88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108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160</v>
      </c>
      <c r="AC15" s="32">
        <v>100</v>
      </c>
      <c r="AD15" s="32">
        <v>100</v>
      </c>
      <c r="AE15" s="32">
        <v>98</v>
      </c>
      <c r="AF15" s="42" t="s">
        <v>158</v>
      </c>
      <c r="AG15" s="27" t="s">
        <v>76</v>
      </c>
    </row>
    <row r="16" spans="2:33" hidden="1" x14ac:dyDescent="0.25">
      <c r="B16" s="32">
        <f t="shared" si="0"/>
        <v>14</v>
      </c>
      <c r="C16" s="26">
        <v>20200303</v>
      </c>
      <c r="D16" s="24" t="s">
        <v>3</v>
      </c>
      <c r="E16" s="24" t="s">
        <v>99</v>
      </c>
      <c r="F16" s="27" t="s">
        <v>182</v>
      </c>
      <c r="G16" s="24">
        <v>1353313</v>
      </c>
      <c r="H16" s="24" t="s">
        <v>100</v>
      </c>
      <c r="I16" s="24" t="s">
        <v>196</v>
      </c>
      <c r="J16" s="24" t="s">
        <v>76</v>
      </c>
      <c r="K16" s="24" t="s">
        <v>106</v>
      </c>
      <c r="L16" s="27" t="str">
        <f t="shared" si="2"/>
        <v>-</v>
      </c>
      <c r="M16" s="27" t="s">
        <v>368</v>
      </c>
      <c r="N16" s="26" t="s">
        <v>489</v>
      </c>
      <c r="O16" s="24" t="s">
        <v>86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108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161</v>
      </c>
      <c r="AC16" s="32">
        <v>100</v>
      </c>
      <c r="AD16" s="32">
        <v>100</v>
      </c>
      <c r="AE16" s="32">
        <v>100</v>
      </c>
      <c r="AF16" s="24" t="s">
        <v>211</v>
      </c>
      <c r="AG16" s="27" t="s">
        <v>76</v>
      </c>
    </row>
    <row r="17" spans="1:33" hidden="1" x14ac:dyDescent="0.25">
      <c r="B17" s="32">
        <f t="shared" si="0"/>
        <v>15</v>
      </c>
      <c r="C17" s="26">
        <v>20200303</v>
      </c>
      <c r="D17" s="24" t="s">
        <v>3</v>
      </c>
      <c r="E17" s="24" t="s">
        <v>99</v>
      </c>
      <c r="F17" s="27" t="s">
        <v>182</v>
      </c>
      <c r="G17" s="24">
        <v>1353313</v>
      </c>
      <c r="H17" s="24" t="s">
        <v>101</v>
      </c>
      <c r="I17" s="24" t="s">
        <v>196</v>
      </c>
      <c r="J17" s="24" t="s">
        <v>76</v>
      </c>
      <c r="K17" s="24" t="s">
        <v>106</v>
      </c>
      <c r="L17" s="27" t="str">
        <f t="shared" si="2"/>
        <v>-</v>
      </c>
      <c r="M17" s="27" t="s">
        <v>368</v>
      </c>
      <c r="N17" s="26" t="s">
        <v>490</v>
      </c>
      <c r="O17" s="24" t="s">
        <v>86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108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161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 hidden="1" x14ac:dyDescent="0.25">
      <c r="B18" s="32">
        <f t="shared" si="0"/>
        <v>16</v>
      </c>
      <c r="C18" s="26">
        <v>20200303</v>
      </c>
      <c r="D18" s="24" t="s">
        <v>3</v>
      </c>
      <c r="E18" s="24" t="s">
        <v>99</v>
      </c>
      <c r="F18" s="27" t="s">
        <v>183</v>
      </c>
      <c r="G18" s="24">
        <v>1353313</v>
      </c>
      <c r="H18" s="24" t="s">
        <v>102</v>
      </c>
      <c r="I18" s="24" t="s">
        <v>196</v>
      </c>
      <c r="J18" s="24" t="s">
        <v>76</v>
      </c>
      <c r="K18" s="24" t="s">
        <v>106</v>
      </c>
      <c r="L18" s="27" t="str">
        <f t="shared" si="2"/>
        <v>-</v>
      </c>
      <c r="M18" s="27" t="s">
        <v>368</v>
      </c>
      <c r="N18" s="26" t="s">
        <v>491</v>
      </c>
      <c r="O18" s="24" t="s">
        <v>87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108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161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 hidden="1" x14ac:dyDescent="0.25">
      <c r="B19" s="32">
        <f t="shared" si="0"/>
        <v>17</v>
      </c>
      <c r="C19" s="26">
        <v>20200303</v>
      </c>
      <c r="D19" s="24" t="s">
        <v>3</v>
      </c>
      <c r="E19" s="24" t="s">
        <v>99</v>
      </c>
      <c r="F19" s="27" t="s">
        <v>184</v>
      </c>
      <c r="G19" s="24">
        <v>1353313</v>
      </c>
      <c r="H19" s="24" t="s">
        <v>102</v>
      </c>
      <c r="I19" s="24" t="s">
        <v>196</v>
      </c>
      <c r="J19" s="24" t="s">
        <v>76</v>
      </c>
      <c r="K19" s="24" t="s">
        <v>106</v>
      </c>
      <c r="L19" s="27" t="str">
        <f t="shared" si="2"/>
        <v>-</v>
      </c>
      <c r="M19" s="27" t="s">
        <v>368</v>
      </c>
      <c r="N19" s="26" t="s">
        <v>492</v>
      </c>
      <c r="O19" s="24" t="s">
        <v>87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108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161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 x14ac:dyDescent="0.25">
      <c r="B20" s="32">
        <f t="shared" si="0"/>
        <v>18</v>
      </c>
      <c r="C20" s="26">
        <v>20200306</v>
      </c>
      <c r="D20" s="26" t="s">
        <v>3</v>
      </c>
      <c r="E20" s="26" t="s">
        <v>202</v>
      </c>
      <c r="F20" s="47" t="s">
        <v>203</v>
      </c>
      <c r="G20" s="26">
        <v>1360296</v>
      </c>
      <c r="H20" s="26" t="s">
        <v>204</v>
      </c>
      <c r="I20" s="25" t="s">
        <v>197</v>
      </c>
      <c r="J20" s="54">
        <v>99478</v>
      </c>
      <c r="K20" s="24" t="s">
        <v>210</v>
      </c>
      <c r="L20" s="27" t="str">
        <f t="shared" si="2"/>
        <v>-</v>
      </c>
      <c r="M20" s="27" t="s">
        <v>369</v>
      </c>
      <c r="N20" s="26" t="s">
        <v>493</v>
      </c>
      <c r="O20" s="24" t="s">
        <v>85</v>
      </c>
      <c r="P20" s="24" t="s">
        <v>85</v>
      </c>
      <c r="Q20" s="24" t="s">
        <v>164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108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160</v>
      </c>
      <c r="AC20" s="24">
        <v>97</v>
      </c>
      <c r="AD20" s="24">
        <v>95</v>
      </c>
      <c r="AE20" s="24">
        <v>92</v>
      </c>
      <c r="AF20" s="24" t="s">
        <v>214</v>
      </c>
      <c r="AG20" s="27" t="s">
        <v>76</v>
      </c>
    </row>
    <row r="21" spans="1:33" hidden="1" x14ac:dyDescent="0.25">
      <c r="B21" s="32">
        <f t="shared" si="0"/>
        <v>19</v>
      </c>
      <c r="C21" s="26">
        <v>20200306</v>
      </c>
      <c r="D21" s="26" t="s">
        <v>3</v>
      </c>
      <c r="E21" s="26" t="s">
        <v>202</v>
      </c>
      <c r="F21" s="47" t="s">
        <v>203</v>
      </c>
      <c r="G21" s="26">
        <v>1360296</v>
      </c>
      <c r="H21" s="26" t="s">
        <v>205</v>
      </c>
      <c r="I21" s="25" t="s">
        <v>197</v>
      </c>
      <c r="J21" s="54">
        <v>99478</v>
      </c>
      <c r="K21" s="24" t="s">
        <v>210</v>
      </c>
      <c r="L21" s="27" t="str">
        <f t="shared" si="2"/>
        <v>-</v>
      </c>
      <c r="M21" s="27" t="s">
        <v>369</v>
      </c>
      <c r="N21" s="26" t="s">
        <v>494</v>
      </c>
      <c r="O21" s="24" t="s">
        <v>86</v>
      </c>
      <c r="P21" s="24" t="s">
        <v>85</v>
      </c>
      <c r="Q21" s="24" t="s">
        <v>164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108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161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 hidden="1" x14ac:dyDescent="0.25">
      <c r="B22" s="32">
        <f t="shared" si="0"/>
        <v>20</v>
      </c>
      <c r="C22" s="26">
        <v>20200306</v>
      </c>
      <c r="D22" s="26" t="s">
        <v>3</v>
      </c>
      <c r="E22" s="26" t="s">
        <v>202</v>
      </c>
      <c r="F22" s="47" t="s">
        <v>203</v>
      </c>
      <c r="G22" s="26">
        <v>1360296</v>
      </c>
      <c r="H22" s="26" t="s">
        <v>206</v>
      </c>
      <c r="I22" s="25" t="s">
        <v>197</v>
      </c>
      <c r="J22" s="54">
        <v>99478</v>
      </c>
      <c r="K22" s="24" t="s">
        <v>210</v>
      </c>
      <c r="L22" s="27" t="str">
        <f t="shared" si="2"/>
        <v>-</v>
      </c>
      <c r="M22" s="27" t="s">
        <v>369</v>
      </c>
      <c r="N22" s="26" t="s">
        <v>495</v>
      </c>
      <c r="O22" s="24" t="s">
        <v>86</v>
      </c>
      <c r="P22" s="24" t="s">
        <v>85</v>
      </c>
      <c r="Q22" s="24" t="s">
        <v>164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108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161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 hidden="1" x14ac:dyDescent="0.25">
      <c r="B23" s="32">
        <f t="shared" si="0"/>
        <v>21</v>
      </c>
      <c r="C23" s="26">
        <v>20200306</v>
      </c>
      <c r="D23" s="26" t="s">
        <v>3</v>
      </c>
      <c r="E23" s="26" t="s">
        <v>202</v>
      </c>
      <c r="F23" s="47" t="s">
        <v>203</v>
      </c>
      <c r="G23" s="26">
        <v>1360296</v>
      </c>
      <c r="H23" s="26" t="s">
        <v>207</v>
      </c>
      <c r="I23" s="25" t="s">
        <v>197</v>
      </c>
      <c r="J23" s="54">
        <v>99478</v>
      </c>
      <c r="K23" s="24" t="s">
        <v>210</v>
      </c>
      <c r="L23" s="27" t="str">
        <f t="shared" si="2"/>
        <v>-</v>
      </c>
      <c r="M23" s="27" t="s">
        <v>369</v>
      </c>
      <c r="N23" s="26" t="s">
        <v>496</v>
      </c>
      <c r="O23" s="24" t="s">
        <v>88</v>
      </c>
      <c r="P23" s="24" t="s">
        <v>85</v>
      </c>
      <c r="Q23" s="24" t="s">
        <v>164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108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160</v>
      </c>
      <c r="AC23" s="24">
        <v>100</v>
      </c>
      <c r="AD23" s="24">
        <v>100</v>
      </c>
      <c r="AE23" s="24">
        <v>75</v>
      </c>
      <c r="AF23" s="24" t="s">
        <v>215</v>
      </c>
      <c r="AG23" s="27" t="s">
        <v>76</v>
      </c>
    </row>
    <row r="24" spans="1:33" hidden="1" x14ac:dyDescent="0.25">
      <c r="B24" s="32">
        <f t="shared" si="0"/>
        <v>22</v>
      </c>
      <c r="C24" s="26">
        <v>20200306</v>
      </c>
      <c r="D24" s="26" t="s">
        <v>3</v>
      </c>
      <c r="E24" s="26" t="s">
        <v>202</v>
      </c>
      <c r="F24" s="47" t="s">
        <v>203</v>
      </c>
      <c r="G24" s="26">
        <v>1360296</v>
      </c>
      <c r="H24" s="26" t="s">
        <v>208</v>
      </c>
      <c r="I24" s="25" t="s">
        <v>197</v>
      </c>
      <c r="J24" s="54">
        <v>99478</v>
      </c>
      <c r="K24" s="24" t="s">
        <v>210</v>
      </c>
      <c r="L24" s="27" t="str">
        <f t="shared" si="2"/>
        <v>-</v>
      </c>
      <c r="M24" s="27" t="s">
        <v>369</v>
      </c>
      <c r="N24" s="26" t="s">
        <v>497</v>
      </c>
      <c r="O24" s="24" t="s">
        <v>86</v>
      </c>
      <c r="P24" s="24" t="s">
        <v>85</v>
      </c>
      <c r="Q24" s="24" t="s">
        <v>164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108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161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 hidden="1" x14ac:dyDescent="0.25">
      <c r="B25" s="32">
        <f t="shared" si="0"/>
        <v>23</v>
      </c>
      <c r="C25" s="26">
        <v>20200306</v>
      </c>
      <c r="D25" s="26" t="s">
        <v>3</v>
      </c>
      <c r="E25" s="26" t="s">
        <v>202</v>
      </c>
      <c r="F25" s="47" t="s">
        <v>203</v>
      </c>
      <c r="G25" s="26">
        <v>1360296</v>
      </c>
      <c r="H25" s="26" t="s">
        <v>209</v>
      </c>
      <c r="I25" s="25" t="s">
        <v>197</v>
      </c>
      <c r="J25" s="54">
        <v>99478</v>
      </c>
      <c r="K25" s="24" t="s">
        <v>210</v>
      </c>
      <c r="L25" s="27" t="str">
        <f t="shared" si="2"/>
        <v>-</v>
      </c>
      <c r="M25" s="27" t="s">
        <v>369</v>
      </c>
      <c r="N25" s="26" t="s">
        <v>498</v>
      </c>
      <c r="O25" s="24" t="s">
        <v>87</v>
      </c>
      <c r="P25" s="24" t="s">
        <v>85</v>
      </c>
      <c r="Q25" s="24" t="s">
        <v>164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108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161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 x14ac:dyDescent="0.25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199</v>
      </c>
      <c r="I26" s="24" t="s">
        <v>196</v>
      </c>
      <c r="J26" s="24" t="s">
        <v>76</v>
      </c>
      <c r="K26" s="24">
        <v>1353762</v>
      </c>
      <c r="L26" s="27" t="s">
        <v>103</v>
      </c>
      <c r="M26" s="27" t="s">
        <v>370</v>
      </c>
      <c r="N26" s="26" t="s">
        <v>499</v>
      </c>
      <c r="O26" s="24" t="s">
        <v>85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108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161</v>
      </c>
      <c r="AC26" s="24">
        <v>100</v>
      </c>
      <c r="AD26" s="24">
        <v>100</v>
      </c>
      <c r="AE26" s="24">
        <v>100</v>
      </c>
      <c r="AF26" s="24" t="s">
        <v>213</v>
      </c>
      <c r="AG26" s="27" t="s">
        <v>76</v>
      </c>
    </row>
    <row r="27" spans="1:33" x14ac:dyDescent="0.25">
      <c r="B27" s="48">
        <f t="shared" si="0"/>
        <v>25</v>
      </c>
      <c r="C27" s="26">
        <v>20200303</v>
      </c>
      <c r="D27" s="24" t="s">
        <v>3</v>
      </c>
      <c r="E27" s="24" t="s">
        <v>112</v>
      </c>
      <c r="F27" s="27" t="s">
        <v>200</v>
      </c>
      <c r="G27" s="24">
        <v>1341660</v>
      </c>
      <c r="H27" s="26" t="s">
        <v>113</v>
      </c>
      <c r="I27" s="25" t="s">
        <v>197</v>
      </c>
      <c r="J27" s="24" t="s">
        <v>76</v>
      </c>
      <c r="K27" s="24" t="s">
        <v>163</v>
      </c>
      <c r="L27" s="27" t="str">
        <f t="shared" ref="L27:L58" si="3">IF(D27="ASW","PUT_VERSION","-")</f>
        <v>-</v>
      </c>
      <c r="M27" s="27" t="s">
        <v>371</v>
      </c>
      <c r="N27" s="26" t="s">
        <v>500</v>
      </c>
      <c r="O27" s="24" t="s">
        <v>85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108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161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 x14ac:dyDescent="0.25">
      <c r="B28" s="48">
        <f t="shared" si="0"/>
        <v>26</v>
      </c>
      <c r="C28" s="26">
        <v>20200303</v>
      </c>
      <c r="D28" s="24" t="s">
        <v>3</v>
      </c>
      <c r="E28" s="24" t="s">
        <v>112</v>
      </c>
      <c r="F28" s="27" t="s">
        <v>200</v>
      </c>
      <c r="G28" s="24">
        <v>1341660</v>
      </c>
      <c r="H28" s="26" t="s">
        <v>114</v>
      </c>
      <c r="I28" s="25" t="s">
        <v>197</v>
      </c>
      <c r="J28" s="24" t="s">
        <v>76</v>
      </c>
      <c r="K28" s="24" t="s">
        <v>163</v>
      </c>
      <c r="L28" s="27" t="str">
        <f t="shared" si="3"/>
        <v>-</v>
      </c>
      <c r="M28" s="27" t="s">
        <v>371</v>
      </c>
      <c r="N28" s="26" t="s">
        <v>501</v>
      </c>
      <c r="O28" s="24" t="s">
        <v>85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108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161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 x14ac:dyDescent="0.25">
      <c r="B29" s="48">
        <f t="shared" si="0"/>
        <v>27</v>
      </c>
      <c r="C29" s="26">
        <v>20200303</v>
      </c>
      <c r="D29" s="24" t="s">
        <v>3</v>
      </c>
      <c r="E29" s="24" t="s">
        <v>112</v>
      </c>
      <c r="F29" s="27" t="s">
        <v>200</v>
      </c>
      <c r="G29" s="24">
        <v>1341660</v>
      </c>
      <c r="H29" s="26" t="s">
        <v>115</v>
      </c>
      <c r="I29" s="25" t="s">
        <v>197</v>
      </c>
      <c r="J29" s="24" t="s">
        <v>76</v>
      </c>
      <c r="K29" s="24" t="s">
        <v>163</v>
      </c>
      <c r="L29" s="27" t="str">
        <f t="shared" si="3"/>
        <v>-</v>
      </c>
      <c r="M29" s="27" t="s">
        <v>371</v>
      </c>
      <c r="N29" s="26" t="s">
        <v>502</v>
      </c>
      <c r="O29" s="24" t="s">
        <v>85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108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161</v>
      </c>
      <c r="AC29" s="24">
        <v>100</v>
      </c>
      <c r="AD29" s="24">
        <v>100</v>
      </c>
      <c r="AE29" s="24">
        <v>100</v>
      </c>
      <c r="AF29" s="24" t="s">
        <v>216</v>
      </c>
      <c r="AG29" s="27" t="s">
        <v>76</v>
      </c>
    </row>
    <row r="30" spans="1:33" x14ac:dyDescent="0.25">
      <c r="B30" s="48">
        <f t="shared" si="0"/>
        <v>28</v>
      </c>
      <c r="C30" s="26">
        <v>20200303</v>
      </c>
      <c r="D30" s="24" t="s">
        <v>3</v>
      </c>
      <c r="E30" s="24" t="s">
        <v>112</v>
      </c>
      <c r="F30" s="27" t="s">
        <v>198</v>
      </c>
      <c r="G30" s="24">
        <v>1341660</v>
      </c>
      <c r="H30" s="26" t="s">
        <v>116</v>
      </c>
      <c r="I30" s="25" t="s">
        <v>197</v>
      </c>
      <c r="J30" s="24" t="s">
        <v>76</v>
      </c>
      <c r="K30" s="24" t="s">
        <v>163</v>
      </c>
      <c r="L30" s="27" t="str">
        <f t="shared" si="3"/>
        <v>-</v>
      </c>
      <c r="M30" s="27" t="s">
        <v>371</v>
      </c>
      <c r="N30" s="26" t="s">
        <v>503</v>
      </c>
      <c r="O30" s="24" t="s">
        <v>85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108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161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 hidden="1" x14ac:dyDescent="0.25">
      <c r="B31" s="48">
        <f t="shared" si="0"/>
        <v>29</v>
      </c>
      <c r="C31" s="26">
        <v>20200303</v>
      </c>
      <c r="D31" s="24" t="s">
        <v>3</v>
      </c>
      <c r="E31" s="24" t="s">
        <v>112</v>
      </c>
      <c r="F31" s="27" t="s">
        <v>198</v>
      </c>
      <c r="G31" s="24">
        <v>1341660</v>
      </c>
      <c r="H31" s="26" t="s">
        <v>801</v>
      </c>
      <c r="I31" s="25" t="s">
        <v>197</v>
      </c>
      <c r="J31" s="24" t="s">
        <v>76</v>
      </c>
      <c r="K31" s="24" t="s">
        <v>163</v>
      </c>
      <c r="L31" s="27" t="str">
        <f t="shared" si="3"/>
        <v>-</v>
      </c>
      <c r="M31" s="27" t="s">
        <v>371</v>
      </c>
      <c r="N31" s="26" t="s">
        <v>504</v>
      </c>
      <c r="O31" s="24" t="s">
        <v>88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108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161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 hidden="1" x14ac:dyDescent="0.25">
      <c r="B32" s="48">
        <f t="shared" si="0"/>
        <v>30</v>
      </c>
      <c r="C32" s="26">
        <v>20200303</v>
      </c>
      <c r="D32" s="24" t="s">
        <v>3</v>
      </c>
      <c r="E32" s="24" t="s">
        <v>112</v>
      </c>
      <c r="F32" s="27" t="s">
        <v>198</v>
      </c>
      <c r="G32" s="24">
        <v>1341660</v>
      </c>
      <c r="H32" s="26" t="s">
        <v>118</v>
      </c>
      <c r="I32" s="25" t="s">
        <v>197</v>
      </c>
      <c r="J32" s="24" t="s">
        <v>76</v>
      </c>
      <c r="K32" s="24" t="s">
        <v>163</v>
      </c>
      <c r="L32" s="27" t="str">
        <f t="shared" si="3"/>
        <v>-</v>
      </c>
      <c r="M32" s="27" t="s">
        <v>371</v>
      </c>
      <c r="N32" s="26" t="s">
        <v>505</v>
      </c>
      <c r="O32" s="24" t="s">
        <v>88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108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161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 hidden="1" x14ac:dyDescent="0.25">
      <c r="B33" s="48">
        <f t="shared" si="0"/>
        <v>31</v>
      </c>
      <c r="C33" s="26">
        <v>20200303</v>
      </c>
      <c r="D33" s="24" t="s">
        <v>3</v>
      </c>
      <c r="E33" s="24" t="s">
        <v>112</v>
      </c>
      <c r="F33" s="27" t="s">
        <v>198</v>
      </c>
      <c r="G33" s="24">
        <v>1341660</v>
      </c>
      <c r="H33" s="26" t="s">
        <v>119</v>
      </c>
      <c r="I33" s="25" t="s">
        <v>197</v>
      </c>
      <c r="J33" s="24" t="s">
        <v>76</v>
      </c>
      <c r="K33" s="24" t="s">
        <v>163</v>
      </c>
      <c r="L33" s="27" t="str">
        <f t="shared" si="3"/>
        <v>-</v>
      </c>
      <c r="M33" s="27" t="s">
        <v>371</v>
      </c>
      <c r="N33" s="26" t="s">
        <v>506</v>
      </c>
      <c r="O33" s="24" t="s">
        <v>88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108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286</v>
      </c>
      <c r="AG33" s="27" t="s">
        <v>76</v>
      </c>
    </row>
    <row r="34" spans="2:33" hidden="1" x14ac:dyDescent="0.25">
      <c r="B34" s="48">
        <f t="shared" si="0"/>
        <v>32</v>
      </c>
      <c r="C34" s="26">
        <v>20200303</v>
      </c>
      <c r="D34" s="24" t="s">
        <v>3</v>
      </c>
      <c r="E34" s="24" t="s">
        <v>112</v>
      </c>
      <c r="F34" s="27" t="s">
        <v>198</v>
      </c>
      <c r="G34" s="24">
        <v>1341660</v>
      </c>
      <c r="H34" s="26" t="s">
        <v>120</v>
      </c>
      <c r="I34" s="25" t="s">
        <v>197</v>
      </c>
      <c r="J34" s="24" t="s">
        <v>76</v>
      </c>
      <c r="K34" s="24" t="s">
        <v>163</v>
      </c>
      <c r="L34" s="27" t="str">
        <f t="shared" si="3"/>
        <v>-</v>
      </c>
      <c r="M34" s="27" t="s">
        <v>371</v>
      </c>
      <c r="N34" s="26" t="s">
        <v>507</v>
      </c>
      <c r="O34" s="24" t="s">
        <v>88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108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161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hidden="1" x14ac:dyDescent="0.25">
      <c r="B35" s="48">
        <f t="shared" si="0"/>
        <v>33</v>
      </c>
      <c r="C35" s="26">
        <v>20200303</v>
      </c>
      <c r="D35" s="24" t="s">
        <v>3</v>
      </c>
      <c r="E35" s="24" t="s">
        <v>112</v>
      </c>
      <c r="F35" s="27" t="s">
        <v>198</v>
      </c>
      <c r="G35" s="24">
        <v>1341660</v>
      </c>
      <c r="H35" s="26" t="s">
        <v>121</v>
      </c>
      <c r="I35" s="25" t="s">
        <v>197</v>
      </c>
      <c r="J35" s="24" t="s">
        <v>76</v>
      </c>
      <c r="K35" s="24" t="s">
        <v>163</v>
      </c>
      <c r="L35" s="27" t="str">
        <f t="shared" si="3"/>
        <v>-</v>
      </c>
      <c r="M35" s="27" t="s">
        <v>371</v>
      </c>
      <c r="N35" s="26" t="s">
        <v>508</v>
      </c>
      <c r="O35" s="24" t="s">
        <v>87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108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161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 hidden="1" x14ac:dyDescent="0.25">
      <c r="B36" s="48">
        <f t="shared" ref="B36:B68" si="5">B35+1</f>
        <v>34</v>
      </c>
      <c r="C36" s="26">
        <v>20200303</v>
      </c>
      <c r="D36" s="24" t="s">
        <v>3</v>
      </c>
      <c r="E36" s="24" t="s">
        <v>112</v>
      </c>
      <c r="F36" s="27" t="s">
        <v>198</v>
      </c>
      <c r="G36" s="24">
        <v>1341660</v>
      </c>
      <c r="H36" s="26" t="s">
        <v>122</v>
      </c>
      <c r="I36" s="25" t="s">
        <v>197</v>
      </c>
      <c r="J36" s="24" t="s">
        <v>76</v>
      </c>
      <c r="K36" s="24" t="s">
        <v>163</v>
      </c>
      <c r="L36" s="27" t="str">
        <f t="shared" si="3"/>
        <v>-</v>
      </c>
      <c r="M36" s="27" t="s">
        <v>371</v>
      </c>
      <c r="N36" s="26" t="s">
        <v>509</v>
      </c>
      <c r="O36" s="24" t="s">
        <v>87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108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161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20" customFormat="1" hidden="1" x14ac:dyDescent="0.25">
      <c r="B37" s="48">
        <f t="shared" si="5"/>
        <v>35</v>
      </c>
      <c r="C37" s="26">
        <v>20200303</v>
      </c>
      <c r="D37" s="24" t="s">
        <v>3</v>
      </c>
      <c r="E37" s="24" t="s">
        <v>112</v>
      </c>
      <c r="F37" s="27" t="s">
        <v>198</v>
      </c>
      <c r="G37" s="24">
        <v>1341660</v>
      </c>
      <c r="H37" s="26" t="s">
        <v>123</v>
      </c>
      <c r="I37" s="25" t="s">
        <v>197</v>
      </c>
      <c r="J37" s="24" t="s">
        <v>76</v>
      </c>
      <c r="K37" s="24" t="s">
        <v>163</v>
      </c>
      <c r="L37" s="27" t="str">
        <f t="shared" si="3"/>
        <v>-</v>
      </c>
      <c r="M37" s="27" t="s">
        <v>371</v>
      </c>
      <c r="N37" s="26" t="s">
        <v>510</v>
      </c>
      <c r="O37" s="24" t="s">
        <v>86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108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161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475</v>
      </c>
    </row>
    <row r="38" spans="2:33" s="120" customFormat="1" hidden="1" x14ac:dyDescent="0.25">
      <c r="B38" s="48">
        <f t="shared" si="5"/>
        <v>36</v>
      </c>
      <c r="C38" s="26">
        <v>20200303</v>
      </c>
      <c r="D38" s="24" t="s">
        <v>3</v>
      </c>
      <c r="E38" s="24" t="s">
        <v>112</v>
      </c>
      <c r="F38" s="27" t="s">
        <v>198</v>
      </c>
      <c r="G38" s="24">
        <v>1341660</v>
      </c>
      <c r="H38" s="26" t="s">
        <v>124</v>
      </c>
      <c r="I38" s="25" t="s">
        <v>197</v>
      </c>
      <c r="J38" s="24" t="s">
        <v>76</v>
      </c>
      <c r="K38" s="24" t="s">
        <v>163</v>
      </c>
      <c r="L38" s="27" t="str">
        <f t="shared" si="3"/>
        <v>-</v>
      </c>
      <c r="M38" s="27" t="s">
        <v>371</v>
      </c>
      <c r="N38" s="26" t="s">
        <v>511</v>
      </c>
      <c r="O38" s="24" t="s">
        <v>86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108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161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475</v>
      </c>
    </row>
    <row r="39" spans="2:33" s="120" customFormat="1" hidden="1" x14ac:dyDescent="0.25">
      <c r="B39" s="48">
        <f t="shared" si="5"/>
        <v>37</v>
      </c>
      <c r="C39" s="26">
        <v>20200303</v>
      </c>
      <c r="D39" s="24" t="s">
        <v>3</v>
      </c>
      <c r="E39" s="24" t="s">
        <v>112</v>
      </c>
      <c r="F39" s="27" t="s">
        <v>198</v>
      </c>
      <c r="G39" s="24">
        <v>1341660</v>
      </c>
      <c r="H39" s="26" t="s">
        <v>125</v>
      </c>
      <c r="I39" s="25" t="s">
        <v>197</v>
      </c>
      <c r="J39" s="24" t="s">
        <v>76</v>
      </c>
      <c r="K39" s="24" t="s">
        <v>163</v>
      </c>
      <c r="L39" s="27" t="str">
        <f t="shared" si="3"/>
        <v>-</v>
      </c>
      <c r="M39" s="27" t="s">
        <v>371</v>
      </c>
      <c r="N39" s="26" t="s">
        <v>512</v>
      </c>
      <c r="O39" s="24" t="s">
        <v>86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108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160</v>
      </c>
      <c r="AC39" s="24">
        <v>97</v>
      </c>
      <c r="AD39" s="24">
        <v>95</v>
      </c>
      <c r="AE39" s="24">
        <v>100</v>
      </c>
      <c r="AF39" s="24" t="s">
        <v>285</v>
      </c>
      <c r="AG39" s="27" t="s">
        <v>475</v>
      </c>
    </row>
    <row r="40" spans="2:33" s="120" customFormat="1" hidden="1" x14ac:dyDescent="0.25">
      <c r="B40" s="48">
        <f t="shared" si="5"/>
        <v>38</v>
      </c>
      <c r="C40" s="26">
        <v>20200303</v>
      </c>
      <c r="D40" s="24" t="s">
        <v>3</v>
      </c>
      <c r="E40" s="24" t="s">
        <v>112</v>
      </c>
      <c r="F40" s="27" t="s">
        <v>198</v>
      </c>
      <c r="G40" s="24">
        <v>1341660</v>
      </c>
      <c r="H40" s="26" t="s">
        <v>126</v>
      </c>
      <c r="I40" s="25" t="s">
        <v>197</v>
      </c>
      <c r="J40" s="24" t="s">
        <v>76</v>
      </c>
      <c r="K40" s="24" t="s">
        <v>163</v>
      </c>
      <c r="L40" s="27" t="str">
        <f t="shared" si="3"/>
        <v>-</v>
      </c>
      <c r="M40" s="27" t="s">
        <v>371</v>
      </c>
      <c r="N40" s="26" t="s">
        <v>513</v>
      </c>
      <c r="O40" s="24" t="s">
        <v>86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108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160</v>
      </c>
      <c r="AC40" s="24">
        <v>98</v>
      </c>
      <c r="AD40" s="24">
        <v>96</v>
      </c>
      <c r="AE40" s="24">
        <v>100</v>
      </c>
      <c r="AF40" s="24" t="s">
        <v>285</v>
      </c>
      <c r="AG40" s="27" t="s">
        <v>475</v>
      </c>
    </row>
    <row r="41" spans="2:33" s="120" customFormat="1" hidden="1" x14ac:dyDescent="0.25">
      <c r="B41" s="48">
        <f t="shared" si="5"/>
        <v>39</v>
      </c>
      <c r="C41" s="26">
        <v>20200303</v>
      </c>
      <c r="D41" s="24" t="s">
        <v>3</v>
      </c>
      <c r="E41" s="24" t="s">
        <v>112</v>
      </c>
      <c r="F41" s="27" t="s">
        <v>198</v>
      </c>
      <c r="G41" s="24">
        <v>1341660</v>
      </c>
      <c r="H41" s="26" t="s">
        <v>127</v>
      </c>
      <c r="I41" s="25" t="s">
        <v>197</v>
      </c>
      <c r="J41" s="24" t="s">
        <v>76</v>
      </c>
      <c r="K41" s="24" t="s">
        <v>163</v>
      </c>
      <c r="L41" s="27" t="str">
        <f t="shared" si="3"/>
        <v>-</v>
      </c>
      <c r="M41" s="27" t="s">
        <v>371</v>
      </c>
      <c r="N41" s="26" t="s">
        <v>514</v>
      </c>
      <c r="O41" s="24" t="s">
        <v>86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108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161</v>
      </c>
      <c r="AC41" s="24">
        <v>100</v>
      </c>
      <c r="AD41" s="24">
        <v>100</v>
      </c>
      <c r="AE41" s="24">
        <v>100</v>
      </c>
      <c r="AF41" s="24" t="s">
        <v>288</v>
      </c>
      <c r="AG41" s="27" t="s">
        <v>475</v>
      </c>
    </row>
    <row r="42" spans="2:33" hidden="1" x14ac:dyDescent="0.25">
      <c r="B42" s="48">
        <f t="shared" si="5"/>
        <v>40</v>
      </c>
      <c r="C42" s="26">
        <v>20200303</v>
      </c>
      <c r="D42" s="24" t="s">
        <v>3</v>
      </c>
      <c r="E42" s="24" t="s">
        <v>112</v>
      </c>
      <c r="F42" s="27" t="s">
        <v>198</v>
      </c>
      <c r="G42" s="24">
        <v>1341660</v>
      </c>
      <c r="H42" s="26" t="s">
        <v>128</v>
      </c>
      <c r="I42" s="25" t="s">
        <v>197</v>
      </c>
      <c r="J42" s="24" t="s">
        <v>76</v>
      </c>
      <c r="K42" s="24" t="s">
        <v>163</v>
      </c>
      <c r="L42" s="27" t="str">
        <f t="shared" si="3"/>
        <v>-</v>
      </c>
      <c r="M42" s="27" t="s">
        <v>371</v>
      </c>
      <c r="N42" s="26" t="s">
        <v>515</v>
      </c>
      <c r="O42" s="24" t="s">
        <v>86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108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161</v>
      </c>
      <c r="AC42" s="52">
        <v>100</v>
      </c>
      <c r="AD42" s="52">
        <v>100</v>
      </c>
      <c r="AE42" s="52">
        <v>100</v>
      </c>
      <c r="AF42" s="24" t="s">
        <v>289</v>
      </c>
      <c r="AG42" s="27" t="s">
        <v>475</v>
      </c>
    </row>
    <row r="43" spans="2:33" hidden="1" x14ac:dyDescent="0.25">
      <c r="B43" s="48">
        <f t="shared" si="5"/>
        <v>41</v>
      </c>
      <c r="C43" s="26">
        <v>20200303</v>
      </c>
      <c r="D43" s="24" t="s">
        <v>3</v>
      </c>
      <c r="E43" s="24" t="s">
        <v>112</v>
      </c>
      <c r="F43" s="27" t="s">
        <v>198</v>
      </c>
      <c r="G43" s="24">
        <v>1341660</v>
      </c>
      <c r="H43" s="26" t="s">
        <v>129</v>
      </c>
      <c r="I43" s="25" t="s">
        <v>197</v>
      </c>
      <c r="J43" s="24" t="s">
        <v>76</v>
      </c>
      <c r="K43" s="24" t="s">
        <v>163</v>
      </c>
      <c r="L43" s="27" t="str">
        <f t="shared" si="3"/>
        <v>-</v>
      </c>
      <c r="M43" s="27" t="s">
        <v>371</v>
      </c>
      <c r="N43" s="26" t="s">
        <v>516</v>
      </c>
      <c r="O43" s="24" t="s">
        <v>86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108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161</v>
      </c>
      <c r="AC43" s="52">
        <v>100</v>
      </c>
      <c r="AD43" s="52">
        <v>100</v>
      </c>
      <c r="AE43" s="52">
        <v>100</v>
      </c>
      <c r="AF43" s="24" t="s">
        <v>290</v>
      </c>
      <c r="AG43" s="27" t="s">
        <v>475</v>
      </c>
    </row>
    <row r="44" spans="2:33" hidden="1" x14ac:dyDescent="0.25">
      <c r="B44" s="48">
        <f t="shared" si="5"/>
        <v>42</v>
      </c>
      <c r="C44" s="26">
        <v>20200303</v>
      </c>
      <c r="D44" s="24" t="s">
        <v>3</v>
      </c>
      <c r="E44" s="24" t="s">
        <v>112</v>
      </c>
      <c r="F44" s="27" t="s">
        <v>198</v>
      </c>
      <c r="G44" s="24">
        <v>1341660</v>
      </c>
      <c r="H44" s="26" t="s">
        <v>130</v>
      </c>
      <c r="I44" s="25" t="s">
        <v>197</v>
      </c>
      <c r="J44" s="24" t="s">
        <v>76</v>
      </c>
      <c r="K44" s="24" t="s">
        <v>163</v>
      </c>
      <c r="L44" s="27" t="str">
        <f t="shared" si="3"/>
        <v>-</v>
      </c>
      <c r="M44" s="27" t="s">
        <v>371</v>
      </c>
      <c r="N44" s="26" t="s">
        <v>517</v>
      </c>
      <c r="O44" s="24" t="s">
        <v>88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108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160</v>
      </c>
      <c r="AC44" s="24">
        <v>100</v>
      </c>
      <c r="AD44" s="24">
        <v>100</v>
      </c>
      <c r="AE44" s="24">
        <v>91</v>
      </c>
      <c r="AF44" s="24" t="s">
        <v>215</v>
      </c>
      <c r="AG44" s="27" t="s">
        <v>76</v>
      </c>
    </row>
    <row r="45" spans="2:33" hidden="1" x14ac:dyDescent="0.25">
      <c r="B45" s="48">
        <f t="shared" si="5"/>
        <v>43</v>
      </c>
      <c r="C45" s="26">
        <v>20200303</v>
      </c>
      <c r="D45" s="24" t="s">
        <v>3</v>
      </c>
      <c r="E45" s="24" t="s">
        <v>112</v>
      </c>
      <c r="F45" s="27" t="s">
        <v>198</v>
      </c>
      <c r="G45" s="24">
        <v>1341660</v>
      </c>
      <c r="H45" s="24" t="s">
        <v>131</v>
      </c>
      <c r="I45" s="25" t="s">
        <v>197</v>
      </c>
      <c r="J45" s="24" t="s">
        <v>76</v>
      </c>
      <c r="K45" s="24" t="s">
        <v>163</v>
      </c>
      <c r="L45" s="27" t="str">
        <f t="shared" si="3"/>
        <v>-</v>
      </c>
      <c r="M45" s="27" t="s">
        <v>371</v>
      </c>
      <c r="N45" s="26" t="s">
        <v>518</v>
      </c>
      <c r="O45" s="24" t="s">
        <v>88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108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161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hidden="1" x14ac:dyDescent="0.25">
      <c r="B46" s="48">
        <f t="shared" si="5"/>
        <v>44</v>
      </c>
      <c r="C46" s="26">
        <v>20200303</v>
      </c>
      <c r="D46" s="24" t="s">
        <v>3</v>
      </c>
      <c r="E46" s="24" t="s">
        <v>112</v>
      </c>
      <c r="F46" s="27" t="s">
        <v>198</v>
      </c>
      <c r="G46" s="24">
        <v>1341660</v>
      </c>
      <c r="H46" s="24" t="s">
        <v>132</v>
      </c>
      <c r="I46" s="25" t="s">
        <v>197</v>
      </c>
      <c r="J46" s="24" t="s">
        <v>76</v>
      </c>
      <c r="K46" s="24" t="s">
        <v>163</v>
      </c>
      <c r="L46" s="27" t="str">
        <f t="shared" si="3"/>
        <v>-</v>
      </c>
      <c r="M46" s="27" t="s">
        <v>371</v>
      </c>
      <c r="N46" s="26" t="s">
        <v>519</v>
      </c>
      <c r="O46" s="24" t="s">
        <v>88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108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161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 hidden="1" x14ac:dyDescent="0.25">
      <c r="B47" s="48">
        <f t="shared" si="5"/>
        <v>45</v>
      </c>
      <c r="C47" s="26">
        <v>20200303</v>
      </c>
      <c r="D47" s="24" t="s">
        <v>3</v>
      </c>
      <c r="E47" s="24" t="s">
        <v>112</v>
      </c>
      <c r="F47" s="27" t="s">
        <v>198</v>
      </c>
      <c r="G47" s="24">
        <v>1341660</v>
      </c>
      <c r="H47" s="24" t="s">
        <v>133</v>
      </c>
      <c r="I47" s="25" t="s">
        <v>197</v>
      </c>
      <c r="J47" s="24" t="s">
        <v>76</v>
      </c>
      <c r="K47" s="24" t="s">
        <v>163</v>
      </c>
      <c r="L47" s="27" t="str">
        <f t="shared" si="3"/>
        <v>-</v>
      </c>
      <c r="M47" s="27" t="s">
        <v>371</v>
      </c>
      <c r="N47" s="26" t="s">
        <v>520</v>
      </c>
      <c r="O47" s="24" t="s">
        <v>88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108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160</v>
      </c>
      <c r="AC47" s="24">
        <v>98</v>
      </c>
      <c r="AD47" s="24">
        <v>95</v>
      </c>
      <c r="AE47" s="24">
        <v>100</v>
      </c>
      <c r="AF47" s="42" t="s">
        <v>158</v>
      </c>
      <c r="AG47" s="27" t="s">
        <v>76</v>
      </c>
    </row>
    <row r="48" spans="2:33" hidden="1" x14ac:dyDescent="0.25">
      <c r="B48" s="48">
        <f t="shared" si="5"/>
        <v>46</v>
      </c>
      <c r="C48" s="26">
        <v>20200303</v>
      </c>
      <c r="D48" s="24" t="s">
        <v>3</v>
      </c>
      <c r="E48" s="24" t="s">
        <v>112</v>
      </c>
      <c r="F48" s="27" t="s">
        <v>198</v>
      </c>
      <c r="G48" s="24">
        <v>1341660</v>
      </c>
      <c r="H48" s="26" t="s">
        <v>134</v>
      </c>
      <c r="I48" s="25" t="s">
        <v>197</v>
      </c>
      <c r="J48" s="24" t="s">
        <v>76</v>
      </c>
      <c r="K48" s="24" t="s">
        <v>163</v>
      </c>
      <c r="L48" s="27" t="str">
        <f t="shared" si="3"/>
        <v>-</v>
      </c>
      <c r="M48" s="27" t="s">
        <v>371</v>
      </c>
      <c r="N48" s="26" t="s">
        <v>521</v>
      </c>
      <c r="O48" s="24" t="s">
        <v>87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108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160</v>
      </c>
      <c r="AC48" s="24">
        <v>66</v>
      </c>
      <c r="AD48" s="24">
        <v>100</v>
      </c>
      <c r="AE48" s="24">
        <v>100</v>
      </c>
      <c r="AF48" s="24" t="s">
        <v>211</v>
      </c>
      <c r="AG48" s="27" t="s">
        <v>76</v>
      </c>
    </row>
    <row r="49" spans="2:33" hidden="1" x14ac:dyDescent="0.25">
      <c r="B49" s="48">
        <f t="shared" si="5"/>
        <v>47</v>
      </c>
      <c r="C49" s="26">
        <v>20200303</v>
      </c>
      <c r="D49" s="24" t="s">
        <v>3</v>
      </c>
      <c r="E49" s="24" t="s">
        <v>112</v>
      </c>
      <c r="F49" s="27" t="s">
        <v>198</v>
      </c>
      <c r="G49" s="24">
        <v>1341660</v>
      </c>
      <c r="H49" s="26" t="s">
        <v>135</v>
      </c>
      <c r="I49" s="25" t="s">
        <v>197</v>
      </c>
      <c r="J49" s="24" t="s">
        <v>76</v>
      </c>
      <c r="K49" s="24" t="s">
        <v>163</v>
      </c>
      <c r="L49" s="27" t="str">
        <f t="shared" si="3"/>
        <v>-</v>
      </c>
      <c r="M49" s="27" t="s">
        <v>371</v>
      </c>
      <c r="N49" s="26" t="s">
        <v>522</v>
      </c>
      <c r="O49" s="24" t="s">
        <v>87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108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160</v>
      </c>
      <c r="AC49" s="24">
        <v>99</v>
      </c>
      <c r="AD49" s="24">
        <v>96</v>
      </c>
      <c r="AE49" s="24">
        <v>100</v>
      </c>
      <c r="AF49" s="24" t="s">
        <v>211</v>
      </c>
      <c r="AG49" s="27" t="s">
        <v>76</v>
      </c>
    </row>
    <row r="50" spans="2:33" hidden="1" x14ac:dyDescent="0.25">
      <c r="B50" s="48">
        <f t="shared" si="5"/>
        <v>48</v>
      </c>
      <c r="C50" s="26">
        <v>20200303</v>
      </c>
      <c r="D50" s="24" t="s">
        <v>3</v>
      </c>
      <c r="E50" s="24" t="s">
        <v>112</v>
      </c>
      <c r="F50" s="27" t="s">
        <v>198</v>
      </c>
      <c r="G50" s="24">
        <v>1341660</v>
      </c>
      <c r="H50" s="26" t="s">
        <v>136</v>
      </c>
      <c r="I50" s="25" t="s">
        <v>197</v>
      </c>
      <c r="J50" s="24" t="s">
        <v>76</v>
      </c>
      <c r="K50" s="24" t="s">
        <v>163</v>
      </c>
      <c r="L50" s="27" t="str">
        <f t="shared" si="3"/>
        <v>-</v>
      </c>
      <c r="M50" s="27" t="s">
        <v>371</v>
      </c>
      <c r="N50" s="26" t="s">
        <v>523</v>
      </c>
      <c r="O50" s="24" t="s">
        <v>87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108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160</v>
      </c>
      <c r="AC50" s="24">
        <v>99</v>
      </c>
      <c r="AD50" s="24">
        <v>97</v>
      </c>
      <c r="AE50" s="24">
        <v>100</v>
      </c>
      <c r="AF50" s="24" t="s">
        <v>211</v>
      </c>
      <c r="AG50" s="27" t="s">
        <v>76</v>
      </c>
    </row>
    <row r="51" spans="2:33" hidden="1" x14ac:dyDescent="0.25">
      <c r="B51" s="48">
        <f t="shared" si="5"/>
        <v>49</v>
      </c>
      <c r="C51" s="26">
        <v>20200303</v>
      </c>
      <c r="D51" s="24" t="s">
        <v>3</v>
      </c>
      <c r="E51" s="24" t="s">
        <v>112</v>
      </c>
      <c r="F51" s="27" t="s">
        <v>198</v>
      </c>
      <c r="G51" s="24">
        <v>1341660</v>
      </c>
      <c r="H51" s="24" t="s">
        <v>137</v>
      </c>
      <c r="I51" s="25" t="s">
        <v>197</v>
      </c>
      <c r="J51" s="24" t="s">
        <v>76</v>
      </c>
      <c r="K51" s="24" t="s">
        <v>163</v>
      </c>
      <c r="L51" s="27" t="str">
        <f t="shared" si="3"/>
        <v>-</v>
      </c>
      <c r="M51" s="27" t="s">
        <v>371</v>
      </c>
      <c r="N51" s="26" t="s">
        <v>524</v>
      </c>
      <c r="O51" s="24" t="s">
        <v>88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108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161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hidden="1" x14ac:dyDescent="0.25">
      <c r="B52" s="48">
        <f t="shared" si="5"/>
        <v>50</v>
      </c>
      <c r="C52" s="26">
        <v>20200303</v>
      </c>
      <c r="D52" s="24" t="s">
        <v>3</v>
      </c>
      <c r="E52" s="24" t="s">
        <v>112</v>
      </c>
      <c r="F52" s="27" t="s">
        <v>201</v>
      </c>
      <c r="G52" s="24">
        <v>1341660</v>
      </c>
      <c r="H52" s="24" t="s">
        <v>138</v>
      </c>
      <c r="I52" s="25" t="s">
        <v>197</v>
      </c>
      <c r="J52" s="24" t="s">
        <v>76</v>
      </c>
      <c r="K52" s="24" t="s">
        <v>163</v>
      </c>
      <c r="L52" s="27" t="str">
        <f t="shared" si="3"/>
        <v>-</v>
      </c>
      <c r="M52" s="27" t="s">
        <v>371</v>
      </c>
      <c r="N52" s="26" t="s">
        <v>525</v>
      </c>
      <c r="O52" s="24" t="s">
        <v>87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108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161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hidden="1" x14ac:dyDescent="0.25">
      <c r="B53" s="48">
        <f t="shared" si="5"/>
        <v>51</v>
      </c>
      <c r="C53" s="26">
        <v>20200303</v>
      </c>
      <c r="D53" s="24" t="s">
        <v>3</v>
      </c>
      <c r="E53" s="24" t="s">
        <v>112</v>
      </c>
      <c r="F53" s="27" t="s">
        <v>201</v>
      </c>
      <c r="G53" s="24">
        <v>1341660</v>
      </c>
      <c r="H53" s="24" t="s">
        <v>139</v>
      </c>
      <c r="I53" s="25" t="s">
        <v>197</v>
      </c>
      <c r="J53" s="24" t="s">
        <v>76</v>
      </c>
      <c r="K53" s="24" t="s">
        <v>163</v>
      </c>
      <c r="L53" s="27" t="str">
        <f t="shared" si="3"/>
        <v>-</v>
      </c>
      <c r="M53" s="27" t="s">
        <v>371</v>
      </c>
      <c r="N53" s="26" t="s">
        <v>526</v>
      </c>
      <c r="O53" s="24" t="s">
        <v>87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108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161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 x14ac:dyDescent="0.25">
      <c r="B54" s="48">
        <f t="shared" si="5"/>
        <v>52</v>
      </c>
      <c r="C54" s="26">
        <v>20200303</v>
      </c>
      <c r="D54" s="24" t="s">
        <v>3</v>
      </c>
      <c r="E54" s="24" t="s">
        <v>112</v>
      </c>
      <c r="F54" s="27" t="s">
        <v>201</v>
      </c>
      <c r="G54" s="24">
        <v>1341660</v>
      </c>
      <c r="H54" s="24" t="s">
        <v>140</v>
      </c>
      <c r="I54" s="25" t="s">
        <v>197</v>
      </c>
      <c r="J54" s="24" t="s">
        <v>76</v>
      </c>
      <c r="K54" s="24" t="s">
        <v>163</v>
      </c>
      <c r="L54" s="27" t="str">
        <f t="shared" si="3"/>
        <v>-</v>
      </c>
      <c r="M54" s="27" t="s">
        <v>371</v>
      </c>
      <c r="N54" s="26" t="s">
        <v>527</v>
      </c>
      <c r="O54" s="24" t="s">
        <v>85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108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161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 x14ac:dyDescent="0.25">
      <c r="B55" s="48">
        <f t="shared" si="5"/>
        <v>53</v>
      </c>
      <c r="C55" s="26">
        <v>20200303</v>
      </c>
      <c r="D55" s="24" t="s">
        <v>3</v>
      </c>
      <c r="E55" s="24" t="s">
        <v>112</v>
      </c>
      <c r="F55" s="27" t="s">
        <v>201</v>
      </c>
      <c r="G55" s="24">
        <v>1341660</v>
      </c>
      <c r="H55" s="24" t="s">
        <v>141</v>
      </c>
      <c r="I55" s="25" t="s">
        <v>197</v>
      </c>
      <c r="J55" s="24" t="s">
        <v>76</v>
      </c>
      <c r="K55" s="24" t="s">
        <v>163</v>
      </c>
      <c r="L55" s="27" t="str">
        <f t="shared" si="3"/>
        <v>-</v>
      </c>
      <c r="M55" s="27" t="s">
        <v>371</v>
      </c>
      <c r="N55" s="26" t="s">
        <v>528</v>
      </c>
      <c r="O55" s="24" t="s">
        <v>85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108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161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 hidden="1" x14ac:dyDescent="0.25">
      <c r="B56" s="48">
        <f t="shared" si="5"/>
        <v>54</v>
      </c>
      <c r="C56" s="26">
        <v>20200303</v>
      </c>
      <c r="D56" s="24" t="s">
        <v>3</v>
      </c>
      <c r="E56" s="24" t="s">
        <v>112</v>
      </c>
      <c r="F56" s="27" t="s">
        <v>201</v>
      </c>
      <c r="G56" s="24">
        <v>1341660</v>
      </c>
      <c r="H56" s="24" t="s">
        <v>142</v>
      </c>
      <c r="I56" s="25" t="s">
        <v>197</v>
      </c>
      <c r="J56" s="24" t="s">
        <v>76</v>
      </c>
      <c r="K56" s="24" t="s">
        <v>163</v>
      </c>
      <c r="L56" s="27" t="str">
        <f t="shared" si="3"/>
        <v>-</v>
      </c>
      <c r="M56" s="27" t="s">
        <v>371</v>
      </c>
      <c r="N56" s="26" t="s">
        <v>529</v>
      </c>
      <c r="O56" s="24" t="s">
        <v>87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108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161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hidden="1" x14ac:dyDescent="0.25">
      <c r="B57" s="48">
        <f t="shared" si="5"/>
        <v>55</v>
      </c>
      <c r="C57" s="26">
        <v>20200303</v>
      </c>
      <c r="D57" s="24" t="s">
        <v>3</v>
      </c>
      <c r="E57" s="24" t="s">
        <v>112</v>
      </c>
      <c r="F57" s="27" t="s">
        <v>194</v>
      </c>
      <c r="G57" s="24">
        <v>1341660</v>
      </c>
      <c r="H57" s="24" t="s">
        <v>78</v>
      </c>
      <c r="I57" s="25" t="s">
        <v>197</v>
      </c>
      <c r="J57" s="24" t="s">
        <v>76</v>
      </c>
      <c r="K57" s="24" t="s">
        <v>163</v>
      </c>
      <c r="L57" s="27" t="str">
        <f t="shared" si="3"/>
        <v>-</v>
      </c>
      <c r="M57" s="27" t="s">
        <v>371</v>
      </c>
      <c r="N57" s="26" t="s">
        <v>530</v>
      </c>
      <c r="O57" s="24" t="s">
        <v>88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108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161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 hidden="1" x14ac:dyDescent="0.25">
      <c r="B58" s="48">
        <f t="shared" si="5"/>
        <v>56</v>
      </c>
      <c r="C58" s="26">
        <v>20200303</v>
      </c>
      <c r="D58" s="24" t="s">
        <v>3</v>
      </c>
      <c r="E58" s="24" t="s">
        <v>112</v>
      </c>
      <c r="F58" s="27" t="s">
        <v>194</v>
      </c>
      <c r="G58" s="24">
        <v>1341660</v>
      </c>
      <c r="H58" s="24" t="s">
        <v>143</v>
      </c>
      <c r="I58" s="25" t="s">
        <v>197</v>
      </c>
      <c r="J58" s="24" t="s">
        <v>76</v>
      </c>
      <c r="K58" s="24" t="s">
        <v>163</v>
      </c>
      <c r="L58" s="27" t="str">
        <f t="shared" si="3"/>
        <v>-</v>
      </c>
      <c r="M58" s="27" t="s">
        <v>371</v>
      </c>
      <c r="N58" s="26" t="s">
        <v>531</v>
      </c>
      <c r="O58" s="24" t="s">
        <v>87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108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161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hidden="1" x14ac:dyDescent="0.25">
      <c r="B59" s="48">
        <f t="shared" si="5"/>
        <v>57</v>
      </c>
      <c r="C59" s="26">
        <v>20200303</v>
      </c>
      <c r="D59" s="24" t="s">
        <v>3</v>
      </c>
      <c r="E59" s="24" t="s">
        <v>112</v>
      </c>
      <c r="F59" s="27" t="s">
        <v>194</v>
      </c>
      <c r="G59" s="24">
        <v>1341660</v>
      </c>
      <c r="H59" s="24" t="s">
        <v>144</v>
      </c>
      <c r="I59" s="25" t="s">
        <v>197</v>
      </c>
      <c r="J59" s="24" t="s">
        <v>76</v>
      </c>
      <c r="K59" s="24" t="s">
        <v>163</v>
      </c>
      <c r="L59" s="27" t="str">
        <f t="shared" ref="L59:L90" si="7">IF(D59="ASW","PUT_VERSION","-")</f>
        <v>-</v>
      </c>
      <c r="M59" s="27" t="s">
        <v>371</v>
      </c>
      <c r="N59" s="26" t="s">
        <v>532</v>
      </c>
      <c r="O59" s="24" t="s">
        <v>88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108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161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 hidden="1" x14ac:dyDescent="0.25">
      <c r="B60" s="48">
        <f t="shared" si="5"/>
        <v>58</v>
      </c>
      <c r="C60" s="26">
        <v>20200303</v>
      </c>
      <c r="D60" s="24" t="s">
        <v>3</v>
      </c>
      <c r="E60" s="24" t="s">
        <v>112</v>
      </c>
      <c r="F60" s="27" t="s">
        <v>194</v>
      </c>
      <c r="G60" s="24">
        <v>1341660</v>
      </c>
      <c r="H60" s="24" t="s">
        <v>145</v>
      </c>
      <c r="I60" s="25" t="s">
        <v>197</v>
      </c>
      <c r="J60" s="24" t="s">
        <v>76</v>
      </c>
      <c r="K60" s="24" t="s">
        <v>163</v>
      </c>
      <c r="L60" s="27" t="str">
        <f t="shared" si="7"/>
        <v>-</v>
      </c>
      <c r="M60" s="27" t="s">
        <v>371</v>
      </c>
      <c r="N60" s="26" t="s">
        <v>533</v>
      </c>
      <c r="O60" s="24" t="s">
        <v>87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108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161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hidden="1" x14ac:dyDescent="0.25">
      <c r="B61" s="48">
        <f t="shared" si="5"/>
        <v>59</v>
      </c>
      <c r="C61" s="24">
        <v>20200303</v>
      </c>
      <c r="D61" s="24" t="s">
        <v>3</v>
      </c>
      <c r="E61" s="24" t="s">
        <v>112</v>
      </c>
      <c r="F61" s="27" t="s">
        <v>194</v>
      </c>
      <c r="G61" s="24">
        <v>1341660</v>
      </c>
      <c r="H61" s="24" t="s">
        <v>146</v>
      </c>
      <c r="I61" s="25" t="s">
        <v>197</v>
      </c>
      <c r="J61" s="24" t="s">
        <v>76</v>
      </c>
      <c r="K61" s="24" t="s">
        <v>163</v>
      </c>
      <c r="L61" s="27" t="str">
        <f t="shared" si="7"/>
        <v>-</v>
      </c>
      <c r="M61" s="27" t="s">
        <v>371</v>
      </c>
      <c r="N61" s="26" t="s">
        <v>534</v>
      </c>
      <c r="O61" s="24" t="s">
        <v>87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108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161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 hidden="1" x14ac:dyDescent="0.25">
      <c r="B62" s="62">
        <f t="shared" si="5"/>
        <v>60</v>
      </c>
      <c r="C62" s="63">
        <v>20200303</v>
      </c>
      <c r="D62" s="63" t="s">
        <v>3</v>
      </c>
      <c r="E62" s="63" t="s">
        <v>112</v>
      </c>
      <c r="F62" s="64" t="s">
        <v>149</v>
      </c>
      <c r="G62" s="64">
        <v>1341660</v>
      </c>
      <c r="H62" s="64" t="s">
        <v>147</v>
      </c>
      <c r="I62" s="64" t="s">
        <v>197</v>
      </c>
      <c r="J62" s="64" t="s">
        <v>76</v>
      </c>
      <c r="K62" s="63" t="s">
        <v>163</v>
      </c>
      <c r="L62" s="64" t="str">
        <f t="shared" si="7"/>
        <v>-</v>
      </c>
      <c r="M62" s="64" t="s">
        <v>371</v>
      </c>
      <c r="N62" s="26" t="s">
        <v>535</v>
      </c>
      <c r="O62" s="63" t="s">
        <v>87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287</v>
      </c>
      <c r="AG62" s="64" t="s">
        <v>76</v>
      </c>
    </row>
    <row r="63" spans="2:33" hidden="1" x14ac:dyDescent="0.25">
      <c r="B63" s="48">
        <f t="shared" si="5"/>
        <v>61</v>
      </c>
      <c r="C63" s="24">
        <v>20200303</v>
      </c>
      <c r="D63" s="24" t="s">
        <v>3</v>
      </c>
      <c r="E63" s="24" t="s">
        <v>112</v>
      </c>
      <c r="F63" s="27" t="s">
        <v>149</v>
      </c>
      <c r="G63" s="24">
        <v>1341660</v>
      </c>
      <c r="H63" s="26" t="s">
        <v>148</v>
      </c>
      <c r="I63" s="25" t="s">
        <v>197</v>
      </c>
      <c r="J63" s="24" t="s">
        <v>76</v>
      </c>
      <c r="K63" s="24" t="s">
        <v>163</v>
      </c>
      <c r="L63" s="27" t="str">
        <f t="shared" si="7"/>
        <v>-</v>
      </c>
      <c r="M63" s="27" t="s">
        <v>371</v>
      </c>
      <c r="N63" s="26" t="s">
        <v>536</v>
      </c>
      <c r="O63" s="24" t="s">
        <v>87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108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161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hidden="1" x14ac:dyDescent="0.25">
      <c r="B64" s="48">
        <f t="shared" si="5"/>
        <v>62</v>
      </c>
      <c r="C64" s="24">
        <v>20200303</v>
      </c>
      <c r="D64" s="24" t="s">
        <v>3</v>
      </c>
      <c r="E64" s="24" t="s">
        <v>112</v>
      </c>
      <c r="F64" s="27" t="s">
        <v>149</v>
      </c>
      <c r="G64" s="24">
        <v>1341660</v>
      </c>
      <c r="H64" s="26" t="s">
        <v>143</v>
      </c>
      <c r="I64" s="25" t="s">
        <v>197</v>
      </c>
      <c r="J64" s="24" t="s">
        <v>76</v>
      </c>
      <c r="K64" s="24" t="s">
        <v>163</v>
      </c>
      <c r="L64" s="27" t="str">
        <f t="shared" si="7"/>
        <v>-</v>
      </c>
      <c r="M64" s="27" t="s">
        <v>371</v>
      </c>
      <c r="N64" s="26" t="s">
        <v>537</v>
      </c>
      <c r="O64" s="24" t="s">
        <v>87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108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161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 hidden="1" x14ac:dyDescent="0.25">
      <c r="B65" s="48">
        <f t="shared" si="5"/>
        <v>63</v>
      </c>
      <c r="C65" s="24">
        <v>20200303</v>
      </c>
      <c r="D65" s="24" t="s">
        <v>3</v>
      </c>
      <c r="E65" s="24" t="s">
        <v>112</v>
      </c>
      <c r="F65" s="27" t="s">
        <v>149</v>
      </c>
      <c r="G65" s="24">
        <v>1341660</v>
      </c>
      <c r="H65" s="26" t="s">
        <v>145</v>
      </c>
      <c r="I65" s="25" t="s">
        <v>197</v>
      </c>
      <c r="J65" s="24" t="s">
        <v>76</v>
      </c>
      <c r="K65" s="24" t="s">
        <v>163</v>
      </c>
      <c r="L65" s="27" t="str">
        <f t="shared" si="7"/>
        <v>-</v>
      </c>
      <c r="M65" s="27" t="s">
        <v>371</v>
      </c>
      <c r="N65" s="26" t="s">
        <v>538</v>
      </c>
      <c r="O65" s="24" t="s">
        <v>87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108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161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 hidden="1" x14ac:dyDescent="0.25">
      <c r="B66" s="48">
        <f t="shared" si="5"/>
        <v>64</v>
      </c>
      <c r="C66" s="24">
        <v>20200303</v>
      </c>
      <c r="D66" s="24" t="s">
        <v>3</v>
      </c>
      <c r="E66" s="24" t="s">
        <v>112</v>
      </c>
      <c r="F66" s="27" t="s">
        <v>149</v>
      </c>
      <c r="G66" s="24">
        <v>1341660</v>
      </c>
      <c r="H66" s="26" t="s">
        <v>147</v>
      </c>
      <c r="I66" s="25" t="s">
        <v>197</v>
      </c>
      <c r="J66" s="24" t="s">
        <v>76</v>
      </c>
      <c r="K66" s="24" t="s">
        <v>163</v>
      </c>
      <c r="L66" s="27" t="str">
        <f t="shared" si="7"/>
        <v>-</v>
      </c>
      <c r="M66" s="27" t="s">
        <v>371</v>
      </c>
      <c r="N66" s="26" t="s">
        <v>539</v>
      </c>
      <c r="O66" s="24" t="s">
        <v>87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108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161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 hidden="1" x14ac:dyDescent="0.25">
      <c r="B67" s="48">
        <f t="shared" si="5"/>
        <v>65</v>
      </c>
      <c r="C67" s="26">
        <v>20200305</v>
      </c>
      <c r="D67" s="24" t="s">
        <v>3</v>
      </c>
      <c r="E67" s="24" t="s">
        <v>221</v>
      </c>
      <c r="F67" s="27" t="s">
        <v>217</v>
      </c>
      <c r="G67" s="24">
        <v>1359400</v>
      </c>
      <c r="H67" s="24" t="s">
        <v>222</v>
      </c>
      <c r="I67" s="24" t="s">
        <v>196</v>
      </c>
      <c r="J67" s="24" t="s">
        <v>76</v>
      </c>
      <c r="K67" s="24" t="s">
        <v>93</v>
      </c>
      <c r="L67" s="27" t="str">
        <f t="shared" si="7"/>
        <v>-</v>
      </c>
      <c r="M67" s="27" t="s">
        <v>372</v>
      </c>
      <c r="N67" s="26" t="s">
        <v>540</v>
      </c>
      <c r="O67" s="24" t="s">
        <v>87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108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161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 hidden="1" x14ac:dyDescent="0.25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218</v>
      </c>
      <c r="G68" s="24">
        <v>1357606</v>
      </c>
      <c r="H68" s="24" t="s">
        <v>223</v>
      </c>
      <c r="I68" s="24" t="s">
        <v>196</v>
      </c>
      <c r="J68" s="24" t="s">
        <v>76</v>
      </c>
      <c r="K68" s="24" t="s">
        <v>93</v>
      </c>
      <c r="L68" s="27" t="str">
        <f t="shared" si="7"/>
        <v>-</v>
      </c>
      <c r="M68" s="27" t="s">
        <v>373</v>
      </c>
      <c r="N68" s="26" t="s">
        <v>541</v>
      </c>
      <c r="O68" s="24" t="s">
        <v>87</v>
      </c>
      <c r="P68" s="24"/>
      <c r="Q68" s="24"/>
      <c r="R68" s="24">
        <v>55</v>
      </c>
      <c r="S68" s="25">
        <v>122</v>
      </c>
      <c r="T68" s="24">
        <f t="shared" ref="T68:T132" si="8">S68</f>
        <v>122</v>
      </c>
      <c r="U68" s="24">
        <f>ROUNDDOWN(S68/HLOOKUP(D68,Table!$C$3:$D$4,2,0)*8,2)</f>
        <v>2.16</v>
      </c>
      <c r="V68" s="24">
        <v>2</v>
      </c>
      <c r="W68" s="24" t="s">
        <v>108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161</v>
      </c>
      <c r="AC68" s="24">
        <v>100</v>
      </c>
      <c r="AD68" s="24">
        <v>100</v>
      </c>
      <c r="AE68" s="24">
        <v>100</v>
      </c>
      <c r="AF68" s="24" t="s">
        <v>291</v>
      </c>
      <c r="AG68" s="27" t="s">
        <v>76</v>
      </c>
    </row>
    <row r="69" spans="1:33" hidden="1" x14ac:dyDescent="0.25">
      <c r="B69" s="48">
        <f t="shared" ref="B69:B154" si="9">B68+1</f>
        <v>67</v>
      </c>
      <c r="C69" s="26">
        <v>20200305</v>
      </c>
      <c r="D69" s="24" t="s">
        <v>3</v>
      </c>
      <c r="E69" s="24" t="s">
        <v>77</v>
      </c>
      <c r="F69" s="27" t="s">
        <v>219</v>
      </c>
      <c r="G69" s="24">
        <v>1357606</v>
      </c>
      <c r="H69" s="24" t="s">
        <v>224</v>
      </c>
      <c r="I69" s="24" t="s">
        <v>196</v>
      </c>
      <c r="J69" s="24" t="s">
        <v>76</v>
      </c>
      <c r="K69" s="24" t="s">
        <v>93</v>
      </c>
      <c r="L69" s="27" t="str">
        <f t="shared" si="7"/>
        <v>-</v>
      </c>
      <c r="M69" s="27" t="s">
        <v>373</v>
      </c>
      <c r="N69" s="26" t="s">
        <v>542</v>
      </c>
      <c r="O69" s="24" t="s">
        <v>87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108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161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 hidden="1" x14ac:dyDescent="0.25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219</v>
      </c>
      <c r="G70" s="24">
        <v>1357606</v>
      </c>
      <c r="H70" s="24" t="s">
        <v>225</v>
      </c>
      <c r="I70" s="24" t="s">
        <v>196</v>
      </c>
      <c r="J70" s="24" t="s">
        <v>76</v>
      </c>
      <c r="K70" s="24" t="s">
        <v>93</v>
      </c>
      <c r="L70" s="27" t="str">
        <f t="shared" si="7"/>
        <v>-</v>
      </c>
      <c r="M70" s="27" t="s">
        <v>373</v>
      </c>
      <c r="N70" s="26" t="s">
        <v>543</v>
      </c>
      <c r="O70" s="24" t="s">
        <v>87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108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161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 hidden="1" x14ac:dyDescent="0.25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219</v>
      </c>
      <c r="G71" s="24">
        <v>1357606</v>
      </c>
      <c r="H71" s="24" t="s">
        <v>226</v>
      </c>
      <c r="I71" s="24" t="s">
        <v>196</v>
      </c>
      <c r="J71" s="24" t="s">
        <v>76</v>
      </c>
      <c r="K71" s="24" t="s">
        <v>93</v>
      </c>
      <c r="L71" s="27" t="str">
        <f t="shared" si="7"/>
        <v>-</v>
      </c>
      <c r="M71" s="27" t="s">
        <v>373</v>
      </c>
      <c r="N71" s="26" t="s">
        <v>544</v>
      </c>
      <c r="O71" s="24" t="s">
        <v>87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108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161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 hidden="1" x14ac:dyDescent="0.25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219</v>
      </c>
      <c r="G72" s="24">
        <v>1357606</v>
      </c>
      <c r="H72" s="24" t="s">
        <v>70</v>
      </c>
      <c r="I72" s="24" t="s">
        <v>196</v>
      </c>
      <c r="J72" s="24" t="s">
        <v>76</v>
      </c>
      <c r="K72" s="24" t="s">
        <v>93</v>
      </c>
      <c r="L72" s="27" t="str">
        <f t="shared" si="7"/>
        <v>-</v>
      </c>
      <c r="M72" s="27" t="s">
        <v>373</v>
      </c>
      <c r="N72" s="26" t="s">
        <v>545</v>
      </c>
      <c r="O72" s="24" t="s">
        <v>88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108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161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 hidden="1" x14ac:dyDescent="0.25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220</v>
      </c>
      <c r="G73" s="24">
        <v>1357606</v>
      </c>
      <c r="H73" s="24" t="s">
        <v>227</v>
      </c>
      <c r="I73" s="24" t="s">
        <v>196</v>
      </c>
      <c r="J73" s="24" t="s">
        <v>76</v>
      </c>
      <c r="K73" s="24" t="s">
        <v>93</v>
      </c>
      <c r="L73" s="27" t="str">
        <f t="shared" si="7"/>
        <v>-</v>
      </c>
      <c r="M73" s="27" t="s">
        <v>373</v>
      </c>
      <c r="N73" s="26" t="s">
        <v>546</v>
      </c>
      <c r="O73" s="24" t="s">
        <v>88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108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161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 hidden="1" x14ac:dyDescent="0.25">
      <c r="B74" s="50">
        <f t="shared" si="9"/>
        <v>72</v>
      </c>
      <c r="C74" s="24">
        <v>20200304</v>
      </c>
      <c r="D74" s="24" t="s">
        <v>3</v>
      </c>
      <c r="E74" s="24" t="s">
        <v>228</v>
      </c>
      <c r="F74" s="27" t="s">
        <v>244</v>
      </c>
      <c r="G74" s="56">
        <v>1357257</v>
      </c>
      <c r="H74" s="56" t="s">
        <v>229</v>
      </c>
      <c r="I74" s="25" t="s">
        <v>197</v>
      </c>
      <c r="J74" s="24" t="s">
        <v>76</v>
      </c>
      <c r="K74" s="24" t="s">
        <v>243</v>
      </c>
      <c r="L74" s="27" t="str">
        <f t="shared" si="7"/>
        <v>-</v>
      </c>
      <c r="M74" s="27" t="s">
        <v>374</v>
      </c>
      <c r="N74" s="26" t="s">
        <v>547</v>
      </c>
      <c r="O74" s="24" t="s">
        <v>88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108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160</v>
      </c>
      <c r="AC74" s="24">
        <v>100</v>
      </c>
      <c r="AD74" s="24">
        <v>100</v>
      </c>
      <c r="AE74" s="24">
        <v>100</v>
      </c>
      <c r="AF74" s="24" t="s">
        <v>292</v>
      </c>
      <c r="AG74" s="27" t="s">
        <v>76</v>
      </c>
    </row>
    <row r="75" spans="1:33" hidden="1" x14ac:dyDescent="0.25">
      <c r="B75" s="50">
        <f t="shared" si="9"/>
        <v>73</v>
      </c>
      <c r="C75" s="24">
        <v>20200304</v>
      </c>
      <c r="D75" s="24" t="s">
        <v>3</v>
      </c>
      <c r="E75" s="24" t="s">
        <v>228</v>
      </c>
      <c r="F75" s="27" t="s">
        <v>244</v>
      </c>
      <c r="G75" s="56">
        <v>1357257</v>
      </c>
      <c r="H75" s="56" t="s">
        <v>230</v>
      </c>
      <c r="I75" s="25" t="s">
        <v>197</v>
      </c>
      <c r="J75" s="24" t="s">
        <v>76</v>
      </c>
      <c r="K75" s="24" t="s">
        <v>243</v>
      </c>
      <c r="L75" s="27" t="str">
        <f t="shared" si="7"/>
        <v>-</v>
      </c>
      <c r="M75" s="27" t="s">
        <v>374</v>
      </c>
      <c r="N75" s="26" t="s">
        <v>548</v>
      </c>
      <c r="O75" s="24" t="s">
        <v>88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108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161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 hidden="1" x14ac:dyDescent="0.25">
      <c r="B76" s="50">
        <f t="shared" si="9"/>
        <v>74</v>
      </c>
      <c r="C76" s="24">
        <v>20200304</v>
      </c>
      <c r="D76" s="24" t="s">
        <v>3</v>
      </c>
      <c r="E76" s="24" t="s">
        <v>228</v>
      </c>
      <c r="F76" s="27" t="s">
        <v>244</v>
      </c>
      <c r="G76" s="56">
        <v>1357257</v>
      </c>
      <c r="H76" s="56" t="s">
        <v>231</v>
      </c>
      <c r="I76" s="25" t="s">
        <v>197</v>
      </c>
      <c r="J76" s="24" t="s">
        <v>76</v>
      </c>
      <c r="K76" s="24" t="s">
        <v>243</v>
      </c>
      <c r="L76" s="27" t="str">
        <f t="shared" si="7"/>
        <v>-</v>
      </c>
      <c r="M76" s="27" t="s">
        <v>374</v>
      </c>
      <c r="N76" s="26" t="s">
        <v>549</v>
      </c>
      <c r="O76" s="24" t="s">
        <v>87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108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161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 x14ac:dyDescent="0.25">
      <c r="B77" s="50">
        <f t="shared" si="9"/>
        <v>75</v>
      </c>
      <c r="C77" s="24">
        <v>20200304</v>
      </c>
      <c r="D77" s="24" t="s">
        <v>3</v>
      </c>
      <c r="E77" s="24" t="s">
        <v>228</v>
      </c>
      <c r="F77" s="27" t="s">
        <v>245</v>
      </c>
      <c r="G77" s="24">
        <v>1357355</v>
      </c>
      <c r="H77" s="56" t="s">
        <v>232</v>
      </c>
      <c r="I77" s="25" t="s">
        <v>197</v>
      </c>
      <c r="J77" s="24" t="s">
        <v>76</v>
      </c>
      <c r="K77" s="24" t="s">
        <v>243</v>
      </c>
      <c r="L77" s="27" t="str">
        <f t="shared" si="7"/>
        <v>-</v>
      </c>
      <c r="M77" s="27" t="s">
        <v>375</v>
      </c>
      <c r="N77" s="26" t="s">
        <v>550</v>
      </c>
      <c r="O77" s="24" t="s">
        <v>85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108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161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 hidden="1" x14ac:dyDescent="0.25">
      <c r="B78" s="50">
        <f t="shared" si="9"/>
        <v>76</v>
      </c>
      <c r="C78" s="24">
        <v>20200304</v>
      </c>
      <c r="D78" s="24" t="s">
        <v>3</v>
      </c>
      <c r="E78" s="24" t="s">
        <v>228</v>
      </c>
      <c r="F78" s="27" t="s">
        <v>246</v>
      </c>
      <c r="G78" s="24">
        <v>1357355</v>
      </c>
      <c r="H78" s="56" t="s">
        <v>233</v>
      </c>
      <c r="I78" s="25" t="s">
        <v>197</v>
      </c>
      <c r="J78" s="24" t="s">
        <v>76</v>
      </c>
      <c r="K78" s="24" t="s">
        <v>243</v>
      </c>
      <c r="L78" s="27" t="str">
        <f t="shared" si="7"/>
        <v>-</v>
      </c>
      <c r="M78" s="27" t="s">
        <v>375</v>
      </c>
      <c r="N78" s="26" t="s">
        <v>551</v>
      </c>
      <c r="O78" s="42" t="s">
        <v>88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108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161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 hidden="1" x14ac:dyDescent="0.25">
      <c r="B79" s="50">
        <f t="shared" si="9"/>
        <v>77</v>
      </c>
      <c r="C79" s="24">
        <v>20200304</v>
      </c>
      <c r="D79" s="24" t="s">
        <v>3</v>
      </c>
      <c r="E79" s="24" t="s">
        <v>228</v>
      </c>
      <c r="F79" s="27" t="s">
        <v>247</v>
      </c>
      <c r="G79" s="24">
        <v>1357355</v>
      </c>
      <c r="H79" s="56" t="s">
        <v>234</v>
      </c>
      <c r="I79" s="25" t="s">
        <v>197</v>
      </c>
      <c r="J79" s="24" t="s">
        <v>76</v>
      </c>
      <c r="K79" s="24" t="s">
        <v>243</v>
      </c>
      <c r="L79" s="27" t="str">
        <f t="shared" si="7"/>
        <v>-</v>
      </c>
      <c r="M79" s="27" t="s">
        <v>375</v>
      </c>
      <c r="N79" s="26" t="s">
        <v>552</v>
      </c>
      <c r="O79" s="24" t="s">
        <v>88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108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161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 hidden="1" x14ac:dyDescent="0.25">
      <c r="B80" s="50">
        <f t="shared" si="9"/>
        <v>78</v>
      </c>
      <c r="C80" s="24">
        <v>20200304</v>
      </c>
      <c r="D80" s="24" t="s">
        <v>3</v>
      </c>
      <c r="E80" s="24" t="s">
        <v>228</v>
      </c>
      <c r="F80" s="27" t="s">
        <v>247</v>
      </c>
      <c r="G80" s="24">
        <v>1357355</v>
      </c>
      <c r="H80" s="56" t="s">
        <v>223</v>
      </c>
      <c r="I80" s="25" t="s">
        <v>197</v>
      </c>
      <c r="J80" s="24" t="s">
        <v>76</v>
      </c>
      <c r="K80" s="24" t="s">
        <v>243</v>
      </c>
      <c r="L80" s="27" t="str">
        <f t="shared" si="7"/>
        <v>-</v>
      </c>
      <c r="M80" s="27" t="s">
        <v>375</v>
      </c>
      <c r="N80" s="26" t="s">
        <v>553</v>
      </c>
      <c r="O80" s="42" t="s">
        <v>88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108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161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 hidden="1" x14ac:dyDescent="0.25">
      <c r="B81" s="50">
        <f t="shared" si="9"/>
        <v>79</v>
      </c>
      <c r="C81" s="24">
        <v>20200304</v>
      </c>
      <c r="D81" s="24" t="s">
        <v>3</v>
      </c>
      <c r="E81" s="24" t="s">
        <v>228</v>
      </c>
      <c r="F81" s="27" t="s">
        <v>247</v>
      </c>
      <c r="G81" s="24">
        <v>1357355</v>
      </c>
      <c r="H81" s="56" t="s">
        <v>235</v>
      </c>
      <c r="I81" s="25" t="s">
        <v>197</v>
      </c>
      <c r="J81" s="24" t="s">
        <v>76</v>
      </c>
      <c r="K81" s="24" t="s">
        <v>243</v>
      </c>
      <c r="L81" s="27" t="str">
        <f t="shared" si="7"/>
        <v>-</v>
      </c>
      <c r="M81" s="27" t="s">
        <v>375</v>
      </c>
      <c r="N81" s="26" t="s">
        <v>554</v>
      </c>
      <c r="O81" s="42" t="s">
        <v>88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108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161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 hidden="1" x14ac:dyDescent="0.25">
      <c r="B82" s="50">
        <f t="shared" si="9"/>
        <v>80</v>
      </c>
      <c r="C82" s="24">
        <v>20200304</v>
      </c>
      <c r="D82" s="24" t="s">
        <v>3</v>
      </c>
      <c r="E82" s="24" t="s">
        <v>228</v>
      </c>
      <c r="F82" s="27" t="s">
        <v>247</v>
      </c>
      <c r="G82" s="24">
        <v>1357355</v>
      </c>
      <c r="H82" s="56" t="s">
        <v>236</v>
      </c>
      <c r="I82" s="25" t="s">
        <v>197</v>
      </c>
      <c r="J82" s="24" t="s">
        <v>76</v>
      </c>
      <c r="K82" s="24" t="s">
        <v>243</v>
      </c>
      <c r="L82" s="27" t="str">
        <f t="shared" si="7"/>
        <v>-</v>
      </c>
      <c r="M82" s="27" t="s">
        <v>375</v>
      </c>
      <c r="N82" s="26" t="s">
        <v>555</v>
      </c>
      <c r="O82" s="24" t="s">
        <v>88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108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161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 hidden="1" x14ac:dyDescent="0.25">
      <c r="B83" s="50">
        <f t="shared" si="9"/>
        <v>81</v>
      </c>
      <c r="C83" s="24">
        <v>20200304</v>
      </c>
      <c r="D83" s="24" t="s">
        <v>3</v>
      </c>
      <c r="E83" s="24" t="s">
        <v>228</v>
      </c>
      <c r="F83" s="27" t="s">
        <v>248</v>
      </c>
      <c r="G83" s="24">
        <v>1357355</v>
      </c>
      <c r="H83" s="57" t="s">
        <v>237</v>
      </c>
      <c r="I83" s="25" t="s">
        <v>197</v>
      </c>
      <c r="J83" s="24" t="s">
        <v>76</v>
      </c>
      <c r="K83" s="24" t="s">
        <v>243</v>
      </c>
      <c r="L83" s="27" t="str">
        <f t="shared" si="7"/>
        <v>-</v>
      </c>
      <c r="M83" s="27" t="s">
        <v>375</v>
      </c>
      <c r="N83" s="26" t="s">
        <v>556</v>
      </c>
      <c r="O83" s="24" t="s">
        <v>88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108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293</v>
      </c>
      <c r="AG83" s="27" t="s">
        <v>76</v>
      </c>
    </row>
    <row r="84" spans="1:33" hidden="1" x14ac:dyDescent="0.25">
      <c r="B84" s="50">
        <f t="shared" si="9"/>
        <v>82</v>
      </c>
      <c r="C84" s="24">
        <v>20200304</v>
      </c>
      <c r="D84" s="24" t="s">
        <v>3</v>
      </c>
      <c r="E84" s="24" t="s">
        <v>228</v>
      </c>
      <c r="F84" s="27" t="s">
        <v>249</v>
      </c>
      <c r="G84" s="24">
        <v>1357355</v>
      </c>
      <c r="H84" s="56" t="s">
        <v>238</v>
      </c>
      <c r="I84" s="25" t="s">
        <v>197</v>
      </c>
      <c r="J84" s="24" t="s">
        <v>76</v>
      </c>
      <c r="K84" s="24" t="s">
        <v>243</v>
      </c>
      <c r="L84" s="27" t="str">
        <f t="shared" si="7"/>
        <v>-</v>
      </c>
      <c r="M84" s="27" t="s">
        <v>375</v>
      </c>
      <c r="N84" s="26" t="s">
        <v>557</v>
      </c>
      <c r="O84" s="24" t="s">
        <v>88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108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161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 x14ac:dyDescent="0.25">
      <c r="B85" s="50">
        <f t="shared" si="9"/>
        <v>83</v>
      </c>
      <c r="C85" s="24">
        <v>20200304</v>
      </c>
      <c r="D85" s="24" t="s">
        <v>3</v>
      </c>
      <c r="E85" s="24" t="s">
        <v>228</v>
      </c>
      <c r="F85" s="47" t="s">
        <v>250</v>
      </c>
      <c r="G85" s="24">
        <v>1357355</v>
      </c>
      <c r="H85" s="26" t="s">
        <v>239</v>
      </c>
      <c r="I85" s="25" t="s">
        <v>197</v>
      </c>
      <c r="J85" s="24" t="s">
        <v>76</v>
      </c>
      <c r="K85" s="24" t="s">
        <v>243</v>
      </c>
      <c r="L85" s="27" t="str">
        <f t="shared" si="7"/>
        <v>-</v>
      </c>
      <c r="M85" s="27" t="s">
        <v>375</v>
      </c>
      <c r="N85" s="26" t="s">
        <v>558</v>
      </c>
      <c r="O85" s="24" t="s">
        <v>85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108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161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 x14ac:dyDescent="0.25">
      <c r="B86" s="50">
        <f t="shared" si="9"/>
        <v>84</v>
      </c>
      <c r="C86" s="24">
        <v>20200304</v>
      </c>
      <c r="D86" s="24" t="s">
        <v>3</v>
      </c>
      <c r="E86" s="24" t="s">
        <v>228</v>
      </c>
      <c r="F86" s="47" t="s">
        <v>251</v>
      </c>
      <c r="G86" s="24">
        <v>1357355</v>
      </c>
      <c r="H86" s="26" t="s">
        <v>240</v>
      </c>
      <c r="I86" s="25" t="s">
        <v>197</v>
      </c>
      <c r="J86" s="24" t="s">
        <v>76</v>
      </c>
      <c r="K86" s="24" t="s">
        <v>243</v>
      </c>
      <c r="L86" s="27" t="str">
        <f t="shared" si="7"/>
        <v>-</v>
      </c>
      <c r="M86" s="27" t="s">
        <v>375</v>
      </c>
      <c r="N86" s="26" t="s">
        <v>559</v>
      </c>
      <c r="O86" s="24" t="s">
        <v>85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108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161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 x14ac:dyDescent="0.25">
      <c r="B87" s="50">
        <f t="shared" si="9"/>
        <v>85</v>
      </c>
      <c r="C87" s="24">
        <v>20200304</v>
      </c>
      <c r="D87" s="24" t="s">
        <v>3</v>
      </c>
      <c r="E87" s="24" t="s">
        <v>228</v>
      </c>
      <c r="F87" s="27" t="s">
        <v>252</v>
      </c>
      <c r="G87" s="24">
        <v>1357355</v>
      </c>
      <c r="H87" s="24" t="s">
        <v>241</v>
      </c>
      <c r="I87" s="25" t="s">
        <v>197</v>
      </c>
      <c r="J87" s="24" t="s">
        <v>76</v>
      </c>
      <c r="K87" s="24" t="s">
        <v>243</v>
      </c>
      <c r="L87" s="27" t="str">
        <f t="shared" si="7"/>
        <v>-</v>
      </c>
      <c r="M87" s="27" t="s">
        <v>375</v>
      </c>
      <c r="N87" s="26" t="s">
        <v>560</v>
      </c>
      <c r="O87" s="24" t="s">
        <v>85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108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294</v>
      </c>
      <c r="AG87" s="27" t="s">
        <v>76</v>
      </c>
    </row>
    <row r="88" spans="1:33" x14ac:dyDescent="0.25">
      <c r="B88" s="50">
        <f t="shared" si="9"/>
        <v>86</v>
      </c>
      <c r="C88" s="24">
        <v>20200304</v>
      </c>
      <c r="D88" s="24" t="s">
        <v>3</v>
      </c>
      <c r="E88" s="24" t="s">
        <v>228</v>
      </c>
      <c r="F88" s="27" t="s">
        <v>252</v>
      </c>
      <c r="G88" s="24">
        <v>1357355</v>
      </c>
      <c r="H88" s="26" t="s">
        <v>242</v>
      </c>
      <c r="I88" s="25" t="s">
        <v>197</v>
      </c>
      <c r="J88" s="24" t="s">
        <v>76</v>
      </c>
      <c r="K88" s="24" t="s">
        <v>243</v>
      </c>
      <c r="L88" s="27" t="str">
        <f t="shared" si="7"/>
        <v>-</v>
      </c>
      <c r="M88" s="27" t="s">
        <v>375</v>
      </c>
      <c r="N88" s="26" t="s">
        <v>561</v>
      </c>
      <c r="O88" s="24" t="s">
        <v>85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108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161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 hidden="1" x14ac:dyDescent="0.25">
      <c r="B89" s="51">
        <f t="shared" si="9"/>
        <v>87</v>
      </c>
      <c r="C89" s="24">
        <v>20200309</v>
      </c>
      <c r="D89" s="24" t="s">
        <v>3</v>
      </c>
      <c r="E89" s="24" t="s">
        <v>253</v>
      </c>
      <c r="F89" s="27" t="s">
        <v>258</v>
      </c>
      <c r="G89" s="57">
        <v>1364387</v>
      </c>
      <c r="H89" s="24" t="s">
        <v>269</v>
      </c>
      <c r="I89" s="49" t="s">
        <v>196</v>
      </c>
      <c r="J89" s="24">
        <v>99478</v>
      </c>
      <c r="K89" s="24" t="s">
        <v>282</v>
      </c>
      <c r="L89" s="27" t="str">
        <f t="shared" si="7"/>
        <v>-</v>
      </c>
      <c r="M89" s="27" t="s">
        <v>369</v>
      </c>
      <c r="N89" s="26" t="s">
        <v>562</v>
      </c>
      <c r="O89" s="42" t="s">
        <v>88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108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161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 hidden="1" x14ac:dyDescent="0.25">
      <c r="B90" s="51">
        <f t="shared" si="9"/>
        <v>88</v>
      </c>
      <c r="C90" s="24">
        <v>20200309</v>
      </c>
      <c r="D90" s="24" t="s">
        <v>3</v>
      </c>
      <c r="E90" s="24" t="s">
        <v>254</v>
      </c>
      <c r="F90" s="27" t="s">
        <v>259</v>
      </c>
      <c r="G90" s="57">
        <v>1362438</v>
      </c>
      <c r="H90" s="24" t="s">
        <v>270</v>
      </c>
      <c r="I90" s="49" t="s">
        <v>196</v>
      </c>
      <c r="J90" s="24">
        <v>97499</v>
      </c>
      <c r="K90" s="24" t="s">
        <v>254</v>
      </c>
      <c r="L90" s="27" t="str">
        <f t="shared" si="7"/>
        <v>-</v>
      </c>
      <c r="M90" s="27" t="s">
        <v>369</v>
      </c>
      <c r="N90" s="26" t="s">
        <v>563</v>
      </c>
      <c r="O90" s="42" t="s">
        <v>87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108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161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 hidden="1" x14ac:dyDescent="0.25">
      <c r="B91" s="51">
        <f t="shared" si="9"/>
        <v>89</v>
      </c>
      <c r="C91" s="24">
        <v>20200309</v>
      </c>
      <c r="D91" s="24" t="s">
        <v>3</v>
      </c>
      <c r="E91" s="24" t="s">
        <v>255</v>
      </c>
      <c r="F91" s="27" t="s">
        <v>265</v>
      </c>
      <c r="G91" s="56">
        <v>1362431</v>
      </c>
      <c r="H91" s="24" t="s">
        <v>271</v>
      </c>
      <c r="I91" s="49" t="s">
        <v>196</v>
      </c>
      <c r="J91" s="26">
        <v>81433</v>
      </c>
      <c r="K91" s="24" t="s">
        <v>283</v>
      </c>
      <c r="L91" s="27" t="str">
        <f t="shared" ref="L91:L122" si="12">IF(D91="ASW","PUT_VERSION","-")</f>
        <v>-</v>
      </c>
      <c r="M91" s="27" t="s">
        <v>376</v>
      </c>
      <c r="N91" s="26" t="s">
        <v>564</v>
      </c>
      <c r="O91" s="42" t="s">
        <v>86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108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161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 hidden="1" x14ac:dyDescent="0.25">
      <c r="B92" s="51">
        <f t="shared" si="9"/>
        <v>90</v>
      </c>
      <c r="C92" s="24">
        <v>20200309</v>
      </c>
      <c r="D92" s="24" t="s">
        <v>3</v>
      </c>
      <c r="E92" s="24" t="s">
        <v>255</v>
      </c>
      <c r="F92" s="27" t="s">
        <v>266</v>
      </c>
      <c r="G92" s="56">
        <v>1362431</v>
      </c>
      <c r="H92" s="24" t="s">
        <v>120</v>
      </c>
      <c r="I92" s="49" t="s">
        <v>196</v>
      </c>
      <c r="J92" s="24">
        <v>81434</v>
      </c>
      <c r="K92" s="24" t="s">
        <v>283</v>
      </c>
      <c r="L92" s="27" t="str">
        <f t="shared" si="12"/>
        <v>-</v>
      </c>
      <c r="M92" s="27" t="s">
        <v>376</v>
      </c>
      <c r="N92" s="26" t="s">
        <v>565</v>
      </c>
      <c r="O92" s="42" t="s">
        <v>87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108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161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 hidden="1" x14ac:dyDescent="0.25">
      <c r="B93" s="51">
        <f t="shared" si="9"/>
        <v>91</v>
      </c>
      <c r="C93" s="24">
        <v>20200309</v>
      </c>
      <c r="D93" s="24" t="s">
        <v>3</v>
      </c>
      <c r="E93" s="24" t="s">
        <v>255</v>
      </c>
      <c r="F93" s="27" t="s">
        <v>267</v>
      </c>
      <c r="G93" s="56">
        <v>1362431</v>
      </c>
      <c r="H93" s="24" t="s">
        <v>272</v>
      </c>
      <c r="I93" s="49" t="s">
        <v>196</v>
      </c>
      <c r="J93" s="26">
        <v>81435</v>
      </c>
      <c r="K93" s="24" t="s">
        <v>283</v>
      </c>
      <c r="L93" s="27" t="str">
        <f t="shared" si="12"/>
        <v>-</v>
      </c>
      <c r="M93" s="27" t="s">
        <v>376</v>
      </c>
      <c r="N93" s="26" t="s">
        <v>566</v>
      </c>
      <c r="O93" s="42" t="s">
        <v>86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108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161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 hidden="1" x14ac:dyDescent="0.25">
      <c r="B94" s="51">
        <f t="shared" si="9"/>
        <v>92</v>
      </c>
      <c r="C94" s="24">
        <v>20200309</v>
      </c>
      <c r="D94" s="24" t="s">
        <v>3</v>
      </c>
      <c r="E94" s="24" t="s">
        <v>255</v>
      </c>
      <c r="F94" s="27" t="s">
        <v>268</v>
      </c>
      <c r="G94" s="56">
        <v>1362431</v>
      </c>
      <c r="H94" s="24" t="s">
        <v>273</v>
      </c>
      <c r="I94" s="49" t="s">
        <v>196</v>
      </c>
      <c r="J94" s="24">
        <v>81436</v>
      </c>
      <c r="K94" s="24" t="s">
        <v>283</v>
      </c>
      <c r="L94" s="27" t="str">
        <f t="shared" si="12"/>
        <v>-</v>
      </c>
      <c r="M94" s="27" t="s">
        <v>376</v>
      </c>
      <c r="N94" s="26" t="s">
        <v>567</v>
      </c>
      <c r="O94" s="42" t="s">
        <v>86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108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313</v>
      </c>
      <c r="AG94" s="27" t="s">
        <v>76</v>
      </c>
    </row>
    <row r="95" spans="1:33" hidden="1" x14ac:dyDescent="0.25">
      <c r="B95" s="51">
        <f t="shared" si="9"/>
        <v>93</v>
      </c>
      <c r="C95" s="24">
        <v>20200309</v>
      </c>
      <c r="D95" s="24" t="s">
        <v>3</v>
      </c>
      <c r="E95" s="24" t="s">
        <v>255</v>
      </c>
      <c r="F95" s="27" t="s">
        <v>267</v>
      </c>
      <c r="G95" s="56">
        <v>1362431</v>
      </c>
      <c r="H95" s="24" t="s">
        <v>274</v>
      </c>
      <c r="I95" s="49" t="s">
        <v>196</v>
      </c>
      <c r="J95" s="24">
        <v>81437</v>
      </c>
      <c r="K95" s="24" t="s">
        <v>283</v>
      </c>
      <c r="L95" s="27" t="str">
        <f t="shared" si="12"/>
        <v>-</v>
      </c>
      <c r="M95" s="27" t="s">
        <v>376</v>
      </c>
      <c r="N95" s="26" t="s">
        <v>568</v>
      </c>
      <c r="O95" s="42" t="s">
        <v>87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108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313</v>
      </c>
      <c r="AG95" s="27" t="s">
        <v>76</v>
      </c>
    </row>
    <row r="96" spans="1:33" hidden="1" x14ac:dyDescent="0.25">
      <c r="B96" s="51">
        <f t="shared" si="9"/>
        <v>94</v>
      </c>
      <c r="C96" s="24">
        <v>20200309</v>
      </c>
      <c r="D96" s="24" t="s">
        <v>3</v>
      </c>
      <c r="E96" s="24" t="s">
        <v>255</v>
      </c>
      <c r="F96" s="27" t="s">
        <v>260</v>
      </c>
      <c r="G96" s="57">
        <v>1362409</v>
      </c>
      <c r="H96" s="24" t="s">
        <v>275</v>
      </c>
      <c r="I96" s="49" t="s">
        <v>196</v>
      </c>
      <c r="J96" s="26">
        <v>81033</v>
      </c>
      <c r="K96" s="24" t="s">
        <v>283</v>
      </c>
      <c r="L96" s="27" t="str">
        <f t="shared" si="12"/>
        <v>-</v>
      </c>
      <c r="M96" s="27" t="s">
        <v>376</v>
      </c>
      <c r="N96" s="26" t="s">
        <v>569</v>
      </c>
      <c r="O96" s="42" t="s">
        <v>86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108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161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hidden="1" x14ac:dyDescent="0.25">
      <c r="B97" s="51">
        <f t="shared" si="9"/>
        <v>95</v>
      </c>
      <c r="C97" s="24">
        <v>20200309</v>
      </c>
      <c r="D97" s="24" t="s">
        <v>3</v>
      </c>
      <c r="E97" s="24" t="s">
        <v>256</v>
      </c>
      <c r="F97" s="27" t="s">
        <v>261</v>
      </c>
      <c r="G97" s="56">
        <v>1362280</v>
      </c>
      <c r="H97" s="24" t="s">
        <v>276</v>
      </c>
      <c r="I97" s="49" t="s">
        <v>196</v>
      </c>
      <c r="J97" s="24">
        <v>80507</v>
      </c>
      <c r="K97" s="24" t="s">
        <v>284</v>
      </c>
      <c r="L97" s="27" t="str">
        <f t="shared" si="12"/>
        <v>-</v>
      </c>
      <c r="M97" s="27" t="s">
        <v>377</v>
      </c>
      <c r="N97" s="26" t="s">
        <v>570</v>
      </c>
      <c r="O97" s="42" t="s">
        <v>87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108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161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hidden="1" x14ac:dyDescent="0.25">
      <c r="B98" s="51">
        <f t="shared" si="9"/>
        <v>96</v>
      </c>
      <c r="C98" s="24">
        <v>20200309</v>
      </c>
      <c r="D98" s="24" t="s">
        <v>3</v>
      </c>
      <c r="E98" s="24" t="s">
        <v>256</v>
      </c>
      <c r="F98" s="27" t="s">
        <v>262</v>
      </c>
      <c r="G98" s="56">
        <v>1362280</v>
      </c>
      <c r="H98" s="24" t="s">
        <v>277</v>
      </c>
      <c r="I98" s="49" t="s">
        <v>196</v>
      </c>
      <c r="J98" s="24">
        <v>80507</v>
      </c>
      <c r="K98" s="24" t="s">
        <v>284</v>
      </c>
      <c r="L98" s="27" t="str">
        <f t="shared" si="12"/>
        <v>-</v>
      </c>
      <c r="M98" s="27" t="s">
        <v>377</v>
      </c>
      <c r="N98" s="26" t="s">
        <v>571</v>
      </c>
      <c r="O98" s="42" t="s">
        <v>87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108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161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51">
        <f t="shared" si="9"/>
        <v>97</v>
      </c>
      <c r="C99" s="24">
        <v>20200309</v>
      </c>
      <c r="D99" s="24" t="s">
        <v>3</v>
      </c>
      <c r="E99" s="24" t="s">
        <v>256</v>
      </c>
      <c r="F99" s="27" t="s">
        <v>326</v>
      </c>
      <c r="G99" s="56">
        <v>1362280</v>
      </c>
      <c r="H99" s="24" t="s">
        <v>278</v>
      </c>
      <c r="I99" s="49" t="s">
        <v>196</v>
      </c>
      <c r="J99" s="24">
        <v>80507</v>
      </c>
      <c r="K99" s="24" t="s">
        <v>284</v>
      </c>
      <c r="L99" s="27" t="str">
        <f t="shared" si="12"/>
        <v>-</v>
      </c>
      <c r="M99" s="27" t="s">
        <v>377</v>
      </c>
      <c r="N99" s="26" t="s">
        <v>572</v>
      </c>
      <c r="O99" s="23" t="s">
        <v>85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108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161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hidden="1" x14ac:dyDescent="0.25">
      <c r="B100" s="51">
        <f t="shared" si="9"/>
        <v>98</v>
      </c>
      <c r="C100" s="24">
        <v>20200309</v>
      </c>
      <c r="D100" s="24" t="s">
        <v>3</v>
      </c>
      <c r="E100" s="24" t="s">
        <v>255</v>
      </c>
      <c r="F100" s="27" t="s">
        <v>263</v>
      </c>
      <c r="G100" s="57">
        <v>1362197</v>
      </c>
      <c r="H100" s="24" t="s">
        <v>279</v>
      </c>
      <c r="I100" s="49" t="s">
        <v>196</v>
      </c>
      <c r="J100" s="24">
        <v>81033</v>
      </c>
      <c r="K100" s="24" t="s">
        <v>283</v>
      </c>
      <c r="L100" s="27" t="str">
        <f t="shared" si="12"/>
        <v>-</v>
      </c>
      <c r="M100" s="27" t="s">
        <v>378</v>
      </c>
      <c r="N100" s="26" t="s">
        <v>573</v>
      </c>
      <c r="O100" s="42" t="s">
        <v>87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108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161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 x14ac:dyDescent="0.25">
      <c r="B101" s="51">
        <f t="shared" si="9"/>
        <v>99</v>
      </c>
      <c r="C101" s="24">
        <v>20200309</v>
      </c>
      <c r="D101" s="24" t="s">
        <v>3</v>
      </c>
      <c r="E101" s="24" t="s">
        <v>255</v>
      </c>
      <c r="F101" s="27" t="s">
        <v>267</v>
      </c>
      <c r="G101" s="57">
        <v>1362163</v>
      </c>
      <c r="H101" s="24" t="s">
        <v>280</v>
      </c>
      <c r="I101" s="49" t="s">
        <v>196</v>
      </c>
      <c r="J101" s="24">
        <v>81033</v>
      </c>
      <c r="K101" s="24" t="s">
        <v>283</v>
      </c>
      <c r="L101" s="27" t="str">
        <f t="shared" si="12"/>
        <v>-</v>
      </c>
      <c r="M101" s="27" t="s">
        <v>379</v>
      </c>
      <c r="N101" s="26" t="s">
        <v>574</v>
      </c>
      <c r="O101" s="23" t="s">
        <v>85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108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160</v>
      </c>
      <c r="AC101" s="24">
        <v>100</v>
      </c>
      <c r="AD101" s="24">
        <v>100</v>
      </c>
      <c r="AE101" s="24">
        <v>94</v>
      </c>
      <c r="AF101" s="24" t="s">
        <v>343</v>
      </c>
      <c r="AG101" s="27" t="s">
        <v>76</v>
      </c>
    </row>
    <row r="102" spans="1:33" hidden="1" x14ac:dyDescent="0.25">
      <c r="B102" s="51">
        <f t="shared" si="9"/>
        <v>100</v>
      </c>
      <c r="C102" s="24">
        <v>20200309</v>
      </c>
      <c r="D102" s="24" t="s">
        <v>3</v>
      </c>
      <c r="E102" s="24" t="s">
        <v>257</v>
      </c>
      <c r="F102" s="27" t="s">
        <v>264</v>
      </c>
      <c r="G102" s="57">
        <v>1360524</v>
      </c>
      <c r="H102" s="24" t="s">
        <v>281</v>
      </c>
      <c r="I102" s="49" t="s">
        <v>196</v>
      </c>
      <c r="J102" s="24" t="s">
        <v>104</v>
      </c>
      <c r="K102" s="24" t="s">
        <v>93</v>
      </c>
      <c r="L102" s="27" t="str">
        <f t="shared" si="12"/>
        <v>-</v>
      </c>
      <c r="M102" s="27" t="s">
        <v>380</v>
      </c>
      <c r="N102" s="26" t="s">
        <v>575</v>
      </c>
      <c r="O102" s="42" t="s">
        <v>87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108</v>
      </c>
      <c r="X102" s="28">
        <v>43899</v>
      </c>
      <c r="Y102" s="28">
        <v>43903</v>
      </c>
      <c r="Z102" s="28">
        <v>43906</v>
      </c>
      <c r="AA102" s="28">
        <v>43906</v>
      </c>
      <c r="AB102" s="31" t="s">
        <v>161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5">
        <f>B102+1</f>
        <v>101</v>
      </c>
      <c r="C103" s="24">
        <v>20200312</v>
      </c>
      <c r="D103" s="24" t="s">
        <v>3</v>
      </c>
      <c r="E103" s="24" t="s">
        <v>253</v>
      </c>
      <c r="F103" s="27" t="s">
        <v>297</v>
      </c>
      <c r="G103" s="74">
        <v>1368920</v>
      </c>
      <c r="H103" s="24" t="s">
        <v>301</v>
      </c>
      <c r="I103" s="49" t="s">
        <v>196</v>
      </c>
      <c r="J103" s="24">
        <v>99478</v>
      </c>
      <c r="K103" s="24" t="s">
        <v>210</v>
      </c>
      <c r="L103" s="27" t="str">
        <f t="shared" si="12"/>
        <v>-</v>
      </c>
      <c r="M103" s="27" t="s">
        <v>369</v>
      </c>
      <c r="N103" s="26" t="s">
        <v>576</v>
      </c>
      <c r="O103" s="24" t="s">
        <v>85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108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161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hidden="1" x14ac:dyDescent="0.25">
      <c r="B104" s="55">
        <f t="shared" si="9"/>
        <v>102</v>
      </c>
      <c r="C104" s="24">
        <v>20200312</v>
      </c>
      <c r="D104" s="24" t="s">
        <v>3</v>
      </c>
      <c r="E104" s="24" t="s">
        <v>253</v>
      </c>
      <c r="F104" s="27" t="s">
        <v>258</v>
      </c>
      <c r="G104" s="74">
        <v>1368920</v>
      </c>
      <c r="H104" s="24" t="s">
        <v>269</v>
      </c>
      <c r="I104" s="49" t="s">
        <v>196</v>
      </c>
      <c r="J104" s="24">
        <v>99478</v>
      </c>
      <c r="K104" s="24" t="s">
        <v>210</v>
      </c>
      <c r="L104" s="27" t="str">
        <f t="shared" si="12"/>
        <v>-</v>
      </c>
      <c r="M104" s="27" t="s">
        <v>369</v>
      </c>
      <c r="N104" s="26" t="s">
        <v>577</v>
      </c>
      <c r="O104" s="24" t="s">
        <v>88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108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161</v>
      </c>
      <c r="AC104" s="24">
        <v>100</v>
      </c>
      <c r="AD104" s="24">
        <v>100</v>
      </c>
      <c r="AE104" s="24">
        <v>100</v>
      </c>
      <c r="AF104" s="24" t="s">
        <v>334</v>
      </c>
      <c r="AG104" s="27" t="s">
        <v>76</v>
      </c>
    </row>
    <row r="105" spans="1:33" x14ac:dyDescent="0.25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220</v>
      </c>
      <c r="G105" s="74">
        <v>1368889</v>
      </c>
      <c r="H105" s="24" t="s">
        <v>227</v>
      </c>
      <c r="I105" s="49" t="s">
        <v>196</v>
      </c>
      <c r="J105" s="24">
        <v>80504</v>
      </c>
      <c r="K105" s="24" t="s">
        <v>93</v>
      </c>
      <c r="L105" s="27" t="str">
        <f t="shared" si="12"/>
        <v>-</v>
      </c>
      <c r="M105" s="27" t="s">
        <v>373</v>
      </c>
      <c r="N105" s="26" t="s">
        <v>578</v>
      </c>
      <c r="O105" s="24" t="s">
        <v>85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108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161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hidden="1" x14ac:dyDescent="0.25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220</v>
      </c>
      <c r="G106" s="74">
        <v>1368889</v>
      </c>
      <c r="H106" s="24" t="s">
        <v>302</v>
      </c>
      <c r="I106" s="49" t="s">
        <v>196</v>
      </c>
      <c r="J106" s="24">
        <v>80504</v>
      </c>
      <c r="K106" s="24" t="s">
        <v>93</v>
      </c>
      <c r="L106" s="27" t="str">
        <f t="shared" si="12"/>
        <v>-</v>
      </c>
      <c r="M106" s="27" t="s">
        <v>373</v>
      </c>
      <c r="N106" s="26" t="s">
        <v>579</v>
      </c>
      <c r="O106" s="24" t="s">
        <v>88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108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161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hidden="1" x14ac:dyDescent="0.25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295</v>
      </c>
      <c r="F107" s="27"/>
      <c r="G107" s="44">
        <v>1359407</v>
      </c>
      <c r="H107" s="24" t="s">
        <v>303</v>
      </c>
      <c r="I107" s="49" t="s">
        <v>196</v>
      </c>
      <c r="J107" s="24"/>
      <c r="K107" s="24" t="s">
        <v>105</v>
      </c>
      <c r="L107" s="27" t="str">
        <f t="shared" si="12"/>
        <v>-</v>
      </c>
      <c r="M107" s="27" t="s">
        <v>367</v>
      </c>
      <c r="N107" s="26" t="s">
        <v>580</v>
      </c>
      <c r="O107" s="42" t="s">
        <v>87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108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161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 hidden="1" x14ac:dyDescent="0.25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296</v>
      </c>
      <c r="F108" s="80" t="s">
        <v>298</v>
      </c>
      <c r="G108" s="79">
        <v>1264979</v>
      </c>
      <c r="H108" s="24" t="s">
        <v>304</v>
      </c>
      <c r="I108" s="83" t="s">
        <v>196</v>
      </c>
      <c r="J108" s="79">
        <v>81728</v>
      </c>
      <c r="K108" s="79" t="s">
        <v>312</v>
      </c>
      <c r="L108" s="80" t="str">
        <f t="shared" si="12"/>
        <v>-</v>
      </c>
      <c r="M108" s="34" t="s">
        <v>381</v>
      </c>
      <c r="N108" s="126" t="s">
        <v>581</v>
      </c>
      <c r="O108" s="79" t="s">
        <v>86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108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161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 hidden="1" x14ac:dyDescent="0.25">
      <c r="B109" s="55">
        <f t="shared" si="13"/>
        <v>107</v>
      </c>
      <c r="C109" s="24">
        <v>20200312</v>
      </c>
      <c r="D109" s="24" t="s">
        <v>3</v>
      </c>
      <c r="E109" s="24" t="s">
        <v>296</v>
      </c>
      <c r="F109" s="27" t="s">
        <v>298</v>
      </c>
      <c r="G109" s="74">
        <v>1264979</v>
      </c>
      <c r="H109" s="24" t="s">
        <v>305</v>
      </c>
      <c r="I109" s="49" t="s">
        <v>196</v>
      </c>
      <c r="J109" s="24">
        <v>81728</v>
      </c>
      <c r="K109" s="24" t="s">
        <v>312</v>
      </c>
      <c r="L109" s="27" t="str">
        <f t="shared" si="12"/>
        <v>-</v>
      </c>
      <c r="M109" s="27" t="s">
        <v>381</v>
      </c>
      <c r="N109" s="26" t="s">
        <v>582</v>
      </c>
      <c r="O109" s="24" t="s">
        <v>87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108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161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 hidden="1" x14ac:dyDescent="0.25">
      <c r="B110" s="55">
        <f t="shared" si="13"/>
        <v>108</v>
      </c>
      <c r="C110" s="24">
        <v>20200312</v>
      </c>
      <c r="D110" s="24" t="s">
        <v>3</v>
      </c>
      <c r="E110" s="24" t="s">
        <v>296</v>
      </c>
      <c r="F110" s="27" t="s">
        <v>298</v>
      </c>
      <c r="G110" s="74">
        <v>1264979</v>
      </c>
      <c r="H110" s="24" t="s">
        <v>306</v>
      </c>
      <c r="I110" s="49" t="s">
        <v>196</v>
      </c>
      <c r="J110" s="24">
        <v>81728</v>
      </c>
      <c r="K110" s="24" t="s">
        <v>312</v>
      </c>
      <c r="L110" s="27" t="str">
        <f t="shared" si="12"/>
        <v>-</v>
      </c>
      <c r="M110" s="27" t="s">
        <v>381</v>
      </c>
      <c r="N110" s="26" t="s">
        <v>583</v>
      </c>
      <c r="O110" s="24" t="s">
        <v>88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108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161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 hidden="1" x14ac:dyDescent="0.25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296</v>
      </c>
      <c r="F111" s="80" t="s">
        <v>298</v>
      </c>
      <c r="G111" s="79">
        <v>1264979</v>
      </c>
      <c r="H111" s="24" t="s">
        <v>303</v>
      </c>
      <c r="I111" s="83" t="s">
        <v>196</v>
      </c>
      <c r="J111" s="79">
        <v>81728</v>
      </c>
      <c r="K111" s="79" t="s">
        <v>312</v>
      </c>
      <c r="L111" s="80" t="str">
        <f t="shared" si="12"/>
        <v>-</v>
      </c>
      <c r="M111" s="34" t="s">
        <v>381</v>
      </c>
      <c r="N111" s="126" t="s">
        <v>584</v>
      </c>
      <c r="O111" s="79" t="s">
        <v>86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108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161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 hidden="1" x14ac:dyDescent="0.25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296</v>
      </c>
      <c r="F112" s="80" t="s">
        <v>298</v>
      </c>
      <c r="G112" s="79">
        <v>1264979</v>
      </c>
      <c r="H112" s="24" t="s">
        <v>307</v>
      </c>
      <c r="I112" s="83" t="s">
        <v>196</v>
      </c>
      <c r="J112" s="79">
        <v>81728</v>
      </c>
      <c r="K112" s="79" t="s">
        <v>312</v>
      </c>
      <c r="L112" s="80" t="str">
        <f t="shared" si="12"/>
        <v>-</v>
      </c>
      <c r="M112" s="34" t="s">
        <v>381</v>
      </c>
      <c r="N112" s="126" t="s">
        <v>585</v>
      </c>
      <c r="O112" s="79" t="s">
        <v>86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108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161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 hidden="1" x14ac:dyDescent="0.25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296</v>
      </c>
      <c r="F113" s="80" t="s">
        <v>298</v>
      </c>
      <c r="G113" s="79">
        <v>1264979</v>
      </c>
      <c r="H113" s="24" t="s">
        <v>308</v>
      </c>
      <c r="I113" s="83" t="s">
        <v>196</v>
      </c>
      <c r="J113" s="79">
        <v>81728</v>
      </c>
      <c r="K113" s="79" t="s">
        <v>312</v>
      </c>
      <c r="L113" s="80" t="str">
        <f t="shared" si="12"/>
        <v>-</v>
      </c>
      <c r="M113" s="34" t="s">
        <v>381</v>
      </c>
      <c r="N113" s="126" t="s">
        <v>586</v>
      </c>
      <c r="O113" s="79" t="s">
        <v>86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108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161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 x14ac:dyDescent="0.25">
      <c r="B114" s="55">
        <f t="shared" si="13"/>
        <v>112</v>
      </c>
      <c r="C114" s="24">
        <v>20200312</v>
      </c>
      <c r="D114" s="24" t="s">
        <v>3</v>
      </c>
      <c r="E114" s="24" t="s">
        <v>296</v>
      </c>
      <c r="F114" s="27" t="s">
        <v>298</v>
      </c>
      <c r="G114" s="74">
        <v>1264979</v>
      </c>
      <c r="H114" s="24" t="s">
        <v>98</v>
      </c>
      <c r="I114" s="49" t="s">
        <v>196</v>
      </c>
      <c r="J114" s="24">
        <v>81728</v>
      </c>
      <c r="K114" s="24" t="s">
        <v>312</v>
      </c>
      <c r="L114" s="27" t="str">
        <f t="shared" si="12"/>
        <v>-</v>
      </c>
      <c r="M114" s="27" t="s">
        <v>381</v>
      </c>
      <c r="N114" s="26" t="s">
        <v>587</v>
      </c>
      <c r="O114" s="24" t="s">
        <v>85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108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160</v>
      </c>
      <c r="AC114" s="24">
        <v>100</v>
      </c>
      <c r="AD114" s="24">
        <v>100</v>
      </c>
      <c r="AE114" s="24">
        <v>95</v>
      </c>
      <c r="AF114" s="24" t="s">
        <v>343</v>
      </c>
      <c r="AG114" s="27" t="s">
        <v>76</v>
      </c>
    </row>
    <row r="115" spans="1:33" s="78" customFormat="1" hidden="1" x14ac:dyDescent="0.25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296</v>
      </c>
      <c r="F115" s="80" t="s">
        <v>298</v>
      </c>
      <c r="G115" s="79">
        <v>1264979</v>
      </c>
      <c r="H115" s="24" t="s">
        <v>309</v>
      </c>
      <c r="I115" s="83" t="s">
        <v>196</v>
      </c>
      <c r="J115" s="79">
        <v>81728</v>
      </c>
      <c r="K115" s="79" t="s">
        <v>312</v>
      </c>
      <c r="L115" s="80" t="str">
        <f t="shared" si="12"/>
        <v>-</v>
      </c>
      <c r="M115" s="34" t="s">
        <v>381</v>
      </c>
      <c r="N115" s="126" t="s">
        <v>588</v>
      </c>
      <c r="O115" s="79" t="s">
        <v>86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108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161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 hidden="1" x14ac:dyDescent="0.25">
      <c r="B116" s="55">
        <f t="shared" si="13"/>
        <v>114</v>
      </c>
      <c r="C116" s="24">
        <v>20200312</v>
      </c>
      <c r="D116" s="24" t="s">
        <v>3</v>
      </c>
      <c r="E116" s="24" t="s">
        <v>296</v>
      </c>
      <c r="F116" s="27" t="s">
        <v>299</v>
      </c>
      <c r="G116" s="74">
        <v>1264979</v>
      </c>
      <c r="H116" s="24" t="s">
        <v>310</v>
      </c>
      <c r="I116" s="49" t="s">
        <v>196</v>
      </c>
      <c r="J116" s="24">
        <v>81728</v>
      </c>
      <c r="K116" s="24" t="s">
        <v>312</v>
      </c>
      <c r="L116" s="27" t="str">
        <f t="shared" si="12"/>
        <v>-</v>
      </c>
      <c r="M116" s="27" t="s">
        <v>381</v>
      </c>
      <c r="N116" s="26" t="s">
        <v>589</v>
      </c>
      <c r="O116" s="24" t="s">
        <v>88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108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161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 hidden="1" x14ac:dyDescent="0.25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296</v>
      </c>
      <c r="F117" s="80" t="s">
        <v>300</v>
      </c>
      <c r="G117" s="79">
        <v>1264979</v>
      </c>
      <c r="H117" s="24" t="s">
        <v>311</v>
      </c>
      <c r="I117" s="83" t="s">
        <v>196</v>
      </c>
      <c r="J117" s="79">
        <v>81728</v>
      </c>
      <c r="K117" s="79" t="s">
        <v>312</v>
      </c>
      <c r="L117" s="80" t="str">
        <f t="shared" si="12"/>
        <v>-</v>
      </c>
      <c r="M117" s="34" t="s">
        <v>381</v>
      </c>
      <c r="N117" s="126" t="s">
        <v>590</v>
      </c>
      <c r="O117" s="79" t="s">
        <v>86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108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160</v>
      </c>
      <c r="AC117" s="79">
        <v>87</v>
      </c>
      <c r="AD117" s="79">
        <v>50</v>
      </c>
      <c r="AE117" s="79">
        <v>0</v>
      </c>
      <c r="AF117" s="26" t="s">
        <v>410</v>
      </c>
      <c r="AG117" s="27" t="s">
        <v>76</v>
      </c>
    </row>
    <row r="118" spans="1:33" x14ac:dyDescent="0.25">
      <c r="B118" s="70">
        <f t="shared" si="9"/>
        <v>116</v>
      </c>
      <c r="C118" s="24">
        <v>20200313</v>
      </c>
      <c r="D118" s="24" t="s">
        <v>3</v>
      </c>
      <c r="E118" s="24" t="s">
        <v>330</v>
      </c>
      <c r="F118" s="27" t="s">
        <v>327</v>
      </c>
      <c r="G118" s="56">
        <v>1371489</v>
      </c>
      <c r="H118" s="24" t="s">
        <v>335</v>
      </c>
      <c r="I118" s="49" t="s">
        <v>196</v>
      </c>
      <c r="J118" s="24">
        <v>81923</v>
      </c>
      <c r="K118" s="24" t="s">
        <v>332</v>
      </c>
      <c r="L118" s="27" t="str">
        <f t="shared" si="12"/>
        <v>-</v>
      </c>
      <c r="M118" s="27" t="s">
        <v>382</v>
      </c>
      <c r="N118" s="26" t="s">
        <v>591</v>
      </c>
      <c r="O118" s="24" t="s">
        <v>85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18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161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70">
        <f t="shared" si="9"/>
        <v>117</v>
      </c>
      <c r="C119" s="24">
        <v>20200313</v>
      </c>
      <c r="D119" s="24" t="s">
        <v>3</v>
      </c>
      <c r="E119" s="24" t="s">
        <v>330</v>
      </c>
      <c r="F119" s="27" t="s">
        <v>327</v>
      </c>
      <c r="G119" s="56">
        <v>1371489</v>
      </c>
      <c r="H119" s="24" t="s">
        <v>336</v>
      </c>
      <c r="I119" s="49" t="s">
        <v>196</v>
      </c>
      <c r="J119" s="24">
        <v>81923</v>
      </c>
      <c r="K119" s="24" t="s">
        <v>332</v>
      </c>
      <c r="L119" s="27" t="str">
        <f t="shared" si="12"/>
        <v>-</v>
      </c>
      <c r="M119" s="27" t="s">
        <v>382</v>
      </c>
      <c r="N119" s="26" t="s">
        <v>592</v>
      </c>
      <c r="O119" s="24" t="s">
        <v>85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18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161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 hidden="1" x14ac:dyDescent="0.25">
      <c r="B120" s="70">
        <f t="shared" si="9"/>
        <v>118</v>
      </c>
      <c r="C120" s="24">
        <v>20200313</v>
      </c>
      <c r="D120" s="24" t="s">
        <v>3</v>
      </c>
      <c r="E120" s="21" t="s">
        <v>331</v>
      </c>
      <c r="F120" s="27" t="s">
        <v>328</v>
      </c>
      <c r="G120" s="107">
        <v>1355916</v>
      </c>
      <c r="H120" s="24" t="s">
        <v>337</v>
      </c>
      <c r="I120" s="25" t="s">
        <v>197</v>
      </c>
      <c r="J120" s="27" t="s">
        <v>76</v>
      </c>
      <c r="K120" s="24" t="s">
        <v>333</v>
      </c>
      <c r="L120" s="27" t="str">
        <f t="shared" si="12"/>
        <v>-</v>
      </c>
      <c r="M120" s="27" t="s">
        <v>374</v>
      </c>
      <c r="N120" s="26" t="s">
        <v>593</v>
      </c>
      <c r="O120" s="24" t="s">
        <v>88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108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161</v>
      </c>
      <c r="AC120" s="24">
        <v>100</v>
      </c>
      <c r="AD120" s="24">
        <v>100</v>
      </c>
      <c r="AE120" s="24">
        <v>100</v>
      </c>
      <c r="AF120" s="129" t="s">
        <v>635</v>
      </c>
      <c r="AG120" s="27" t="s">
        <v>76</v>
      </c>
    </row>
    <row r="121" spans="1:33" hidden="1" x14ac:dyDescent="0.25">
      <c r="B121" s="70">
        <f t="shared" si="9"/>
        <v>119</v>
      </c>
      <c r="C121" s="24">
        <v>20200313</v>
      </c>
      <c r="D121" s="24" t="s">
        <v>3</v>
      </c>
      <c r="E121" s="24" t="s">
        <v>331</v>
      </c>
      <c r="F121" s="27" t="s">
        <v>329</v>
      </c>
      <c r="G121" s="107">
        <v>1355916</v>
      </c>
      <c r="H121" s="24" t="s">
        <v>338</v>
      </c>
      <c r="I121" s="25" t="s">
        <v>197</v>
      </c>
      <c r="J121" s="27" t="s">
        <v>76</v>
      </c>
      <c r="K121" s="24" t="s">
        <v>333</v>
      </c>
      <c r="L121" s="27" t="str">
        <f t="shared" si="12"/>
        <v>-</v>
      </c>
      <c r="M121" s="27" t="s">
        <v>374</v>
      </c>
      <c r="N121" s="26" t="s">
        <v>594</v>
      </c>
      <c r="O121" s="24" t="s">
        <v>88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108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160</v>
      </c>
      <c r="AC121" s="24">
        <v>100</v>
      </c>
      <c r="AD121" s="24">
        <v>100</v>
      </c>
      <c r="AE121" s="24">
        <v>97</v>
      </c>
      <c r="AF121" s="24" t="s">
        <v>433</v>
      </c>
      <c r="AG121" s="27" t="s">
        <v>76</v>
      </c>
    </row>
    <row r="122" spans="1:33" hidden="1" x14ac:dyDescent="0.25">
      <c r="B122" s="70">
        <f t="shared" si="9"/>
        <v>120</v>
      </c>
      <c r="C122" s="24">
        <v>20200313</v>
      </c>
      <c r="D122" s="24" t="s">
        <v>3</v>
      </c>
      <c r="E122" s="24" t="s">
        <v>331</v>
      </c>
      <c r="F122" s="27" t="s">
        <v>329</v>
      </c>
      <c r="G122" s="107">
        <v>1355916</v>
      </c>
      <c r="H122" s="24" t="s">
        <v>339</v>
      </c>
      <c r="I122" s="25" t="s">
        <v>197</v>
      </c>
      <c r="J122" s="27" t="s">
        <v>76</v>
      </c>
      <c r="K122" s="24" t="s">
        <v>333</v>
      </c>
      <c r="L122" s="27" t="str">
        <f t="shared" si="12"/>
        <v>-</v>
      </c>
      <c r="M122" s="27" t="s">
        <v>374</v>
      </c>
      <c r="N122" s="26" t="s">
        <v>595</v>
      </c>
      <c r="O122" s="24" t="s">
        <v>86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108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161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 x14ac:dyDescent="0.25">
      <c r="A123" t="s">
        <v>474</v>
      </c>
      <c r="B123" s="32">
        <f t="shared" si="9"/>
        <v>121</v>
      </c>
      <c r="C123" s="24">
        <v>20200313</v>
      </c>
      <c r="D123" s="25" t="s">
        <v>2</v>
      </c>
      <c r="E123" s="24" t="s">
        <v>428</v>
      </c>
      <c r="F123" s="27" t="s">
        <v>76</v>
      </c>
      <c r="G123" s="24">
        <v>1366593</v>
      </c>
      <c r="H123" s="24" t="s">
        <v>429</v>
      </c>
      <c r="I123" s="27" t="s">
        <v>76</v>
      </c>
      <c r="J123" s="27" t="s">
        <v>76</v>
      </c>
      <c r="K123" s="24" t="s">
        <v>430</v>
      </c>
      <c r="L123" s="89" t="s">
        <v>431</v>
      </c>
      <c r="M123" s="27" t="s">
        <v>432</v>
      </c>
      <c r="N123" s="26" t="s">
        <v>596</v>
      </c>
      <c r="O123" s="24" t="s">
        <v>85</v>
      </c>
      <c r="P123" s="24"/>
      <c r="Q123" s="24"/>
      <c r="R123" s="24">
        <v>104</v>
      </c>
      <c r="S123" s="24">
        <v>104</v>
      </c>
      <c r="T123" s="24">
        <f t="shared" si="8"/>
        <v>104</v>
      </c>
      <c r="U123" s="24">
        <f>ROUNDDOWN(S123/HLOOKUP(D123,Table!$C$3:$D$4,2,0)*8,2)</f>
        <v>6.4</v>
      </c>
      <c r="V123" s="24">
        <v>6</v>
      </c>
      <c r="W123" s="24" t="s">
        <v>108</v>
      </c>
      <c r="X123" s="28">
        <v>43903</v>
      </c>
      <c r="Y123" s="28">
        <v>43909</v>
      </c>
      <c r="Z123" s="28">
        <v>43910</v>
      </c>
      <c r="AA123" s="28">
        <v>43909</v>
      </c>
      <c r="AB123" s="31" t="s">
        <v>161</v>
      </c>
      <c r="AC123" s="24">
        <v>100</v>
      </c>
      <c r="AD123" s="24">
        <v>100</v>
      </c>
      <c r="AE123" s="24">
        <v>100</v>
      </c>
      <c r="AF123" s="27" t="s">
        <v>76</v>
      </c>
      <c r="AG123" s="27" t="s">
        <v>76</v>
      </c>
    </row>
    <row r="124" spans="1:33" x14ac:dyDescent="0.25">
      <c r="B124" s="69">
        <f t="shared" si="9"/>
        <v>122</v>
      </c>
      <c r="C124" s="24">
        <v>20200312</v>
      </c>
      <c r="D124" s="25" t="s">
        <v>2</v>
      </c>
      <c r="E124" s="26" t="s">
        <v>314</v>
      </c>
      <c r="F124" s="27" t="s">
        <v>76</v>
      </c>
      <c r="G124" s="56">
        <v>1367009</v>
      </c>
      <c r="H124" s="56" t="s">
        <v>324</v>
      </c>
      <c r="I124" s="27" t="s">
        <v>76</v>
      </c>
      <c r="J124" s="27" t="s">
        <v>76</v>
      </c>
      <c r="K124" s="57" t="s">
        <v>319</v>
      </c>
      <c r="L124" s="56">
        <v>1.2</v>
      </c>
      <c r="M124" s="60" t="s">
        <v>383</v>
      </c>
      <c r="N124" s="26" t="s">
        <v>597</v>
      </c>
      <c r="O124" s="24" t="s">
        <v>85</v>
      </c>
      <c r="P124" s="24"/>
      <c r="Q124" s="24"/>
      <c r="R124" s="58">
        <v>18</v>
      </c>
      <c r="S124" s="24">
        <v>18</v>
      </c>
      <c r="T124" s="26">
        <f t="shared" si="8"/>
        <v>18</v>
      </c>
      <c r="U124" s="58">
        <f>ROUNDDOWN(S124/HLOOKUP(D124,Table!$C$3:$D$4,2,0)*8,2)</f>
        <v>1.1000000000000001</v>
      </c>
      <c r="V124" s="24">
        <v>2</v>
      </c>
      <c r="W124" s="24" t="s">
        <v>108</v>
      </c>
      <c r="X124" s="28">
        <v>43902</v>
      </c>
      <c r="Y124" s="87">
        <v>43910</v>
      </c>
      <c r="Z124" s="28">
        <v>43909</v>
      </c>
      <c r="AA124" s="28">
        <v>43910</v>
      </c>
      <c r="AB124" s="31" t="s">
        <v>161</v>
      </c>
      <c r="AC124" s="90">
        <v>100</v>
      </c>
      <c r="AD124" s="90">
        <v>100</v>
      </c>
      <c r="AE124" s="90">
        <v>100</v>
      </c>
      <c r="AF124" s="27" t="s">
        <v>76</v>
      </c>
      <c r="AG124" s="27" t="s">
        <v>76</v>
      </c>
    </row>
    <row r="125" spans="1:33" s="78" customFormat="1" hidden="1" x14ac:dyDescent="0.2">
      <c r="B125" s="85">
        <f t="shared" si="9"/>
        <v>123</v>
      </c>
      <c r="C125" s="79">
        <v>20200312</v>
      </c>
      <c r="D125" s="86" t="s">
        <v>2</v>
      </c>
      <c r="E125" s="79" t="s">
        <v>314</v>
      </c>
      <c r="F125" s="80" t="s">
        <v>76</v>
      </c>
      <c r="G125" s="79">
        <v>1367009</v>
      </c>
      <c r="H125" s="121" t="s">
        <v>325</v>
      </c>
      <c r="I125" s="80" t="s">
        <v>76</v>
      </c>
      <c r="J125" s="80" t="s">
        <v>76</v>
      </c>
      <c r="K125" s="79" t="s">
        <v>319</v>
      </c>
      <c r="L125" s="79" t="s">
        <v>318</v>
      </c>
      <c r="M125" s="80" t="s">
        <v>383</v>
      </c>
      <c r="N125" s="126" t="s">
        <v>598</v>
      </c>
      <c r="O125" s="79" t="s">
        <v>86</v>
      </c>
      <c r="P125" s="79"/>
      <c r="Q125" s="79"/>
      <c r="R125" s="79">
        <v>15</v>
      </c>
      <c r="S125" s="79">
        <v>15</v>
      </c>
      <c r="T125" s="79">
        <f t="shared" si="8"/>
        <v>15</v>
      </c>
      <c r="U125" s="79">
        <f>ROUNDDOWN(S125/HLOOKUP(D125,Table!$C$3:$D$4,2,0)*8,2)</f>
        <v>0.92</v>
      </c>
      <c r="V125" s="79">
        <v>8</v>
      </c>
      <c r="W125" s="24" t="s">
        <v>108</v>
      </c>
      <c r="X125" s="28">
        <v>43902</v>
      </c>
      <c r="Y125" s="87">
        <v>43910</v>
      </c>
      <c r="Z125" s="87">
        <v>43910</v>
      </c>
      <c r="AA125" s="87">
        <v>43910</v>
      </c>
      <c r="AB125" s="81" t="s">
        <v>161</v>
      </c>
      <c r="AC125" s="82">
        <v>100</v>
      </c>
      <c r="AD125" s="82">
        <v>100</v>
      </c>
      <c r="AE125" s="82">
        <v>100</v>
      </c>
      <c r="AF125" s="27" t="s">
        <v>76</v>
      </c>
      <c r="AG125" s="27" t="s">
        <v>76</v>
      </c>
    </row>
    <row r="126" spans="1:33" hidden="1" x14ac:dyDescent="0.25">
      <c r="B126" s="69">
        <f t="shared" si="9"/>
        <v>124</v>
      </c>
      <c r="C126" s="24">
        <v>20200312</v>
      </c>
      <c r="D126" s="25" t="s">
        <v>2</v>
      </c>
      <c r="E126" s="56" t="s">
        <v>314</v>
      </c>
      <c r="F126" s="27" t="s">
        <v>76</v>
      </c>
      <c r="G126" s="56">
        <v>1366969</v>
      </c>
      <c r="H126" s="121" t="s">
        <v>315</v>
      </c>
      <c r="I126" s="27" t="s">
        <v>76</v>
      </c>
      <c r="J126" s="27" t="s">
        <v>76</v>
      </c>
      <c r="K126" s="57" t="s">
        <v>320</v>
      </c>
      <c r="L126" s="56">
        <v>1.1000000000000001</v>
      </c>
      <c r="M126" s="27" t="s">
        <v>383</v>
      </c>
      <c r="N126" s="26" t="s">
        <v>599</v>
      </c>
      <c r="O126" s="24" t="s">
        <v>86</v>
      </c>
      <c r="P126" s="24"/>
      <c r="Q126" s="24"/>
      <c r="R126" s="58">
        <v>8</v>
      </c>
      <c r="S126" s="24">
        <v>8</v>
      </c>
      <c r="T126" s="24">
        <f t="shared" si="8"/>
        <v>8</v>
      </c>
      <c r="U126" s="58">
        <f>ROUNDDOWN(S126/HLOOKUP(D126,Table!$C$3:$D$4,2,0)*8,2)</f>
        <v>0.49</v>
      </c>
      <c r="V126" s="24">
        <v>1</v>
      </c>
      <c r="W126" s="24" t="s">
        <v>108</v>
      </c>
      <c r="X126" s="28">
        <v>43902</v>
      </c>
      <c r="Y126" s="87">
        <v>43910</v>
      </c>
      <c r="Z126" s="28">
        <v>43913</v>
      </c>
      <c r="AA126" s="28">
        <v>43913</v>
      </c>
      <c r="AB126" s="31" t="s">
        <v>161</v>
      </c>
      <c r="AC126" s="76">
        <v>100</v>
      </c>
      <c r="AD126" s="76">
        <v>100</v>
      </c>
      <c r="AE126" s="76">
        <v>100</v>
      </c>
      <c r="AF126" s="27" t="s">
        <v>76</v>
      </c>
      <c r="AG126" s="27" t="s">
        <v>76</v>
      </c>
    </row>
    <row r="127" spans="1:33" hidden="1" x14ac:dyDescent="0.25">
      <c r="B127" s="69">
        <f t="shared" si="9"/>
        <v>125</v>
      </c>
      <c r="C127" s="24">
        <v>20200312</v>
      </c>
      <c r="D127" s="25" t="s">
        <v>2</v>
      </c>
      <c r="E127" s="57" t="s">
        <v>314</v>
      </c>
      <c r="F127" s="27" t="s">
        <v>76</v>
      </c>
      <c r="G127" s="57">
        <v>1366969</v>
      </c>
      <c r="H127" s="57" t="s">
        <v>316</v>
      </c>
      <c r="I127" s="27" t="s">
        <v>76</v>
      </c>
      <c r="J127" s="27" t="s">
        <v>76</v>
      </c>
      <c r="K127" s="57" t="s">
        <v>320</v>
      </c>
      <c r="L127" s="57">
        <v>1</v>
      </c>
      <c r="M127" s="27" t="s">
        <v>383</v>
      </c>
      <c r="N127" s="26" t="s">
        <v>600</v>
      </c>
      <c r="O127" s="42" t="s">
        <v>87</v>
      </c>
      <c r="P127" s="24"/>
      <c r="Q127" s="24"/>
      <c r="R127" s="59">
        <v>8</v>
      </c>
      <c r="S127" s="24">
        <v>8</v>
      </c>
      <c r="T127" s="24">
        <f t="shared" si="8"/>
        <v>8</v>
      </c>
      <c r="U127" s="59">
        <f>ROUNDDOWN(S127/HLOOKUP(D127,Table!$C$3:$D$4,2,0)*8,2)</f>
        <v>0.49</v>
      </c>
      <c r="V127" s="24">
        <v>2.2999999999999998</v>
      </c>
      <c r="W127" s="24" t="s">
        <v>108</v>
      </c>
      <c r="X127" s="28">
        <v>43902</v>
      </c>
      <c r="Y127" s="87">
        <v>43910</v>
      </c>
      <c r="Z127" s="28">
        <v>43913</v>
      </c>
      <c r="AA127" s="28">
        <v>43913</v>
      </c>
      <c r="AB127" s="31" t="s">
        <v>161</v>
      </c>
      <c r="AC127" s="24">
        <v>100</v>
      </c>
      <c r="AD127" s="24">
        <v>100</v>
      </c>
      <c r="AE127" s="24">
        <v>100</v>
      </c>
      <c r="AF127" s="27" t="s">
        <v>76</v>
      </c>
      <c r="AG127" s="27" t="s">
        <v>76</v>
      </c>
    </row>
    <row r="128" spans="1:33" x14ac:dyDescent="0.25">
      <c r="B128" s="69">
        <f t="shared" si="9"/>
        <v>126</v>
      </c>
      <c r="C128" s="24">
        <v>20200312</v>
      </c>
      <c r="D128" s="25" t="s">
        <v>2</v>
      </c>
      <c r="E128" s="26" t="s">
        <v>314</v>
      </c>
      <c r="F128" s="27" t="s">
        <v>76</v>
      </c>
      <c r="G128" s="56">
        <v>1371465</v>
      </c>
      <c r="H128" s="26" t="s">
        <v>317</v>
      </c>
      <c r="I128" s="27" t="s">
        <v>76</v>
      </c>
      <c r="J128" s="27" t="s">
        <v>76</v>
      </c>
      <c r="K128" s="57" t="s">
        <v>319</v>
      </c>
      <c r="L128" s="56">
        <v>1.1000000000000001</v>
      </c>
      <c r="M128" s="27" t="s">
        <v>383</v>
      </c>
      <c r="N128" s="26" t="s">
        <v>601</v>
      </c>
      <c r="O128" s="24" t="s">
        <v>85</v>
      </c>
      <c r="P128" s="24"/>
      <c r="Q128" s="24"/>
      <c r="R128" s="58">
        <v>62</v>
      </c>
      <c r="S128" s="24">
        <v>62</v>
      </c>
      <c r="T128" s="24">
        <f t="shared" si="8"/>
        <v>62</v>
      </c>
      <c r="U128" s="58">
        <f>ROUNDDOWN(S128/HLOOKUP(D128,Table!$C$3:$D$4,2,0)*8,2)</f>
        <v>3.81</v>
      </c>
      <c r="V128" s="24">
        <v>5</v>
      </c>
      <c r="W128" s="24" t="s">
        <v>108</v>
      </c>
      <c r="X128" s="28">
        <v>43902</v>
      </c>
      <c r="Y128" s="87">
        <v>43910</v>
      </c>
      <c r="Z128" s="28">
        <v>43913</v>
      </c>
      <c r="AA128" s="28">
        <v>43910</v>
      </c>
      <c r="AB128" s="31" t="s">
        <v>161</v>
      </c>
      <c r="AC128" s="76">
        <v>100</v>
      </c>
      <c r="AD128" s="76">
        <v>100</v>
      </c>
      <c r="AE128" s="76">
        <v>100</v>
      </c>
      <c r="AF128" s="27" t="s">
        <v>76</v>
      </c>
      <c r="AG128" s="27" t="s">
        <v>76</v>
      </c>
    </row>
    <row r="129" spans="1:33" x14ac:dyDescent="0.25">
      <c r="B129" s="69">
        <f t="shared" si="9"/>
        <v>127</v>
      </c>
      <c r="C129" s="26">
        <v>20200317</v>
      </c>
      <c r="D129" s="25" t="s">
        <v>2</v>
      </c>
      <c r="E129" s="24" t="s">
        <v>344</v>
      </c>
      <c r="F129" s="27" t="s">
        <v>76</v>
      </c>
      <c r="G129" s="109">
        <v>1345833</v>
      </c>
      <c r="H129" s="26" t="s">
        <v>348</v>
      </c>
      <c r="I129" s="27" t="s">
        <v>76</v>
      </c>
      <c r="J129" s="27" t="s">
        <v>76</v>
      </c>
      <c r="K129" s="3" t="s">
        <v>347</v>
      </c>
      <c r="L129" s="3" t="s">
        <v>349</v>
      </c>
      <c r="M129" s="27" t="s">
        <v>384</v>
      </c>
      <c r="N129" s="26" t="s">
        <v>602</v>
      </c>
      <c r="O129" s="24" t="s">
        <v>85</v>
      </c>
      <c r="P129" s="3"/>
      <c r="Q129" s="24"/>
      <c r="R129" s="58">
        <v>15</v>
      </c>
      <c r="S129" s="54">
        <f>R129</f>
        <v>15</v>
      </c>
      <c r="T129" s="54">
        <f t="shared" si="8"/>
        <v>15</v>
      </c>
      <c r="U129" s="24">
        <f>ROUNDDOWN(S129/HLOOKUP(D129,Table!$C$3:$D$4,2,0)*8,2)</f>
        <v>0.92</v>
      </c>
      <c r="V129" s="54">
        <v>2</v>
      </c>
      <c r="W129" s="24" t="s">
        <v>108</v>
      </c>
      <c r="X129" s="28">
        <v>43907</v>
      </c>
      <c r="Y129" s="87">
        <v>43910</v>
      </c>
      <c r="Z129" s="28">
        <v>43913</v>
      </c>
      <c r="AA129" s="28">
        <v>43910</v>
      </c>
      <c r="AB129" s="31" t="s">
        <v>161</v>
      </c>
      <c r="AC129" s="76">
        <v>100</v>
      </c>
      <c r="AD129" s="76">
        <v>100</v>
      </c>
      <c r="AE129" s="76">
        <v>100</v>
      </c>
      <c r="AF129" s="27" t="s">
        <v>76</v>
      </c>
      <c r="AG129" s="27" t="s">
        <v>76</v>
      </c>
    </row>
    <row r="130" spans="1:33" ht="45" hidden="1" x14ac:dyDescent="0.25">
      <c r="B130" s="69">
        <f t="shared" si="9"/>
        <v>128</v>
      </c>
      <c r="C130" s="26">
        <v>20200317</v>
      </c>
      <c r="D130" s="24" t="s">
        <v>3</v>
      </c>
      <c r="E130" s="24" t="s">
        <v>345</v>
      </c>
      <c r="F130" s="27" t="s">
        <v>389</v>
      </c>
      <c r="G130" s="109">
        <v>1376431</v>
      </c>
      <c r="H130" s="121" t="s">
        <v>342</v>
      </c>
      <c r="I130" s="25" t="s">
        <v>197</v>
      </c>
      <c r="J130" s="27">
        <v>80773</v>
      </c>
      <c r="K130" s="3" t="s">
        <v>350</v>
      </c>
      <c r="L130" s="27" t="str">
        <f t="shared" ref="L130:L152" si="14">IF(D130="ASW","PUT_VERSION","-")</f>
        <v>-</v>
      </c>
      <c r="M130" s="27" t="s">
        <v>385</v>
      </c>
      <c r="N130" s="26" t="s">
        <v>603</v>
      </c>
      <c r="O130" s="24" t="s">
        <v>86</v>
      </c>
      <c r="P130" s="3"/>
      <c r="Q130" s="24"/>
      <c r="R130" s="93">
        <v>154</v>
      </c>
      <c r="S130" s="101">
        <v>154</v>
      </c>
      <c r="T130" s="42">
        <f t="shared" si="8"/>
        <v>154</v>
      </c>
      <c r="U130" s="42">
        <f>ROUNDDOWN(S130/HLOOKUP(D130,Table!$C$3:$D$4,2,0)*8,2)</f>
        <v>2.73</v>
      </c>
      <c r="V130" s="42">
        <v>1</v>
      </c>
      <c r="W130" s="24" t="s">
        <v>108</v>
      </c>
      <c r="X130" s="28">
        <v>43907</v>
      </c>
      <c r="Y130" s="87">
        <v>43910</v>
      </c>
      <c r="Z130" s="28">
        <v>43910</v>
      </c>
      <c r="AA130" s="28">
        <v>43910</v>
      </c>
      <c r="AB130" s="73" t="s">
        <v>160</v>
      </c>
      <c r="AC130" s="76">
        <v>95</v>
      </c>
      <c r="AD130" s="76">
        <v>85</v>
      </c>
      <c r="AE130" s="76">
        <v>100</v>
      </c>
      <c r="AF130" s="75" t="s">
        <v>411</v>
      </c>
      <c r="AG130" s="27" t="s">
        <v>76</v>
      </c>
    </row>
    <row r="131" spans="1:33" hidden="1" x14ac:dyDescent="0.25">
      <c r="B131" s="69">
        <f t="shared" si="9"/>
        <v>129</v>
      </c>
      <c r="C131" s="26">
        <v>20200317</v>
      </c>
      <c r="D131" s="24" t="s">
        <v>3</v>
      </c>
      <c r="E131" s="24" t="s">
        <v>345</v>
      </c>
      <c r="F131" s="27" t="s">
        <v>389</v>
      </c>
      <c r="G131" s="109">
        <v>1376431</v>
      </c>
      <c r="H131" s="121" t="s">
        <v>340</v>
      </c>
      <c r="I131" s="25" t="s">
        <v>197</v>
      </c>
      <c r="J131" s="27">
        <v>80773</v>
      </c>
      <c r="K131" s="3" t="s">
        <v>350</v>
      </c>
      <c r="L131" s="27" t="str">
        <f t="shared" si="14"/>
        <v>-</v>
      </c>
      <c r="M131" s="27" t="s">
        <v>385</v>
      </c>
      <c r="N131" s="26" t="s">
        <v>604</v>
      </c>
      <c r="O131" s="24" t="s">
        <v>86</v>
      </c>
      <c r="P131" s="3"/>
      <c r="Q131" s="24"/>
      <c r="R131" s="93">
        <v>120</v>
      </c>
      <c r="S131" s="101">
        <v>120</v>
      </c>
      <c r="T131" s="24">
        <f t="shared" si="8"/>
        <v>120</v>
      </c>
      <c r="U131" s="24">
        <f>ROUNDDOWN(S131/HLOOKUP(D131,Table!$C$3:$D$4,2,0)*8,2)</f>
        <v>2.13</v>
      </c>
      <c r="V131" s="24">
        <v>2</v>
      </c>
      <c r="W131" s="24" t="s">
        <v>108</v>
      </c>
      <c r="X131" s="28">
        <v>43907</v>
      </c>
      <c r="Y131" s="87">
        <v>43910</v>
      </c>
      <c r="Z131" s="28">
        <v>43910</v>
      </c>
      <c r="AA131" s="28">
        <v>43910</v>
      </c>
      <c r="AB131" s="3" t="s">
        <v>161</v>
      </c>
      <c r="AC131" s="24">
        <v>100</v>
      </c>
      <c r="AD131" s="24">
        <v>100</v>
      </c>
      <c r="AE131" s="24">
        <v>100</v>
      </c>
      <c r="AF131" s="27" t="s">
        <v>76</v>
      </c>
      <c r="AG131" s="27" t="s">
        <v>76</v>
      </c>
    </row>
    <row r="132" spans="1:33" hidden="1" x14ac:dyDescent="0.25">
      <c r="B132" s="69">
        <f t="shared" si="9"/>
        <v>130</v>
      </c>
      <c r="C132" s="26">
        <v>20200317</v>
      </c>
      <c r="D132" s="24" t="s">
        <v>3</v>
      </c>
      <c r="E132" s="24" t="s">
        <v>345</v>
      </c>
      <c r="F132" s="27" t="s">
        <v>389</v>
      </c>
      <c r="G132" s="109">
        <v>1376431</v>
      </c>
      <c r="H132" s="56" t="s">
        <v>341</v>
      </c>
      <c r="I132" s="25" t="s">
        <v>197</v>
      </c>
      <c r="J132" s="27">
        <v>80773</v>
      </c>
      <c r="K132" s="3" t="s">
        <v>350</v>
      </c>
      <c r="L132" s="27" t="str">
        <f t="shared" si="14"/>
        <v>-</v>
      </c>
      <c r="M132" s="27" t="s">
        <v>385</v>
      </c>
      <c r="N132" s="26" t="s">
        <v>605</v>
      </c>
      <c r="O132" s="42" t="s">
        <v>87</v>
      </c>
      <c r="P132" s="3"/>
      <c r="Q132" s="24"/>
      <c r="R132" s="93">
        <v>145</v>
      </c>
      <c r="S132" s="101">
        <v>145</v>
      </c>
      <c r="T132" s="24">
        <f t="shared" si="8"/>
        <v>145</v>
      </c>
      <c r="U132" s="24">
        <f>ROUNDDOWN(S132/HLOOKUP(D132,Table!$C$3:$D$4,2,0)*8,2)</f>
        <v>2.57</v>
      </c>
      <c r="V132" s="24">
        <v>3</v>
      </c>
      <c r="W132" s="24" t="s">
        <v>108</v>
      </c>
      <c r="X132" s="28">
        <v>43907</v>
      </c>
      <c r="Y132" s="87">
        <v>43910</v>
      </c>
      <c r="Z132" s="28">
        <v>43910</v>
      </c>
      <c r="AA132" s="28">
        <v>43910</v>
      </c>
      <c r="AB132" s="3" t="s">
        <v>161</v>
      </c>
      <c r="AC132" s="24">
        <v>100</v>
      </c>
      <c r="AD132" s="24">
        <v>100</v>
      </c>
      <c r="AE132" s="24">
        <v>100</v>
      </c>
      <c r="AF132" s="27" t="s">
        <v>76</v>
      </c>
      <c r="AG132" s="27" t="s">
        <v>76</v>
      </c>
    </row>
    <row r="133" spans="1:33" hidden="1" x14ac:dyDescent="0.25">
      <c r="B133" s="69">
        <f t="shared" si="9"/>
        <v>131</v>
      </c>
      <c r="C133" s="26">
        <v>20200317</v>
      </c>
      <c r="D133" s="24" t="s">
        <v>3</v>
      </c>
      <c r="E133" s="24" t="s">
        <v>346</v>
      </c>
      <c r="F133" s="27" t="s">
        <v>386</v>
      </c>
      <c r="G133" s="109">
        <v>1375562</v>
      </c>
      <c r="H133" s="121" t="s">
        <v>100</v>
      </c>
      <c r="I133" s="49" t="s">
        <v>196</v>
      </c>
      <c r="J133" s="27" t="s">
        <v>76</v>
      </c>
      <c r="K133" s="24" t="s">
        <v>351</v>
      </c>
      <c r="L133" s="27" t="str">
        <f t="shared" si="14"/>
        <v>-</v>
      </c>
      <c r="M133" s="27" t="s">
        <v>387</v>
      </c>
      <c r="N133" s="26" t="s">
        <v>606</v>
      </c>
      <c r="O133" s="24" t="s">
        <v>86</v>
      </c>
      <c r="P133" s="3"/>
      <c r="Q133" s="24"/>
      <c r="R133" s="93">
        <v>371</v>
      </c>
      <c r="S133" s="24">
        <v>371</v>
      </c>
      <c r="T133" s="26">
        <f t="shared" ref="T133:T149" si="15">S133</f>
        <v>371</v>
      </c>
      <c r="U133" s="24">
        <f>ROUNDDOWN(S133/HLOOKUP(D133,Table!$C$3:$D$4,2,0)*8,2)</f>
        <v>6.59</v>
      </c>
      <c r="V133" s="24">
        <v>2</v>
      </c>
      <c r="W133" s="24" t="s">
        <v>108</v>
      </c>
      <c r="X133" s="28">
        <v>43907</v>
      </c>
      <c r="Y133" s="87">
        <v>43910</v>
      </c>
      <c r="Z133" s="28">
        <v>43910</v>
      </c>
      <c r="AA133" s="28">
        <v>43910</v>
      </c>
      <c r="AB133" s="31" t="s">
        <v>161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s="94" customFormat="1" hidden="1" x14ac:dyDescent="0.25">
      <c r="B134" s="95">
        <f t="shared" si="9"/>
        <v>132</v>
      </c>
      <c r="C134" s="96">
        <v>20200317</v>
      </c>
      <c r="D134" s="96" t="s">
        <v>3</v>
      </c>
      <c r="E134" s="96" t="s">
        <v>352</v>
      </c>
      <c r="F134" s="97" t="s">
        <v>353</v>
      </c>
      <c r="G134" s="96">
        <v>1324814</v>
      </c>
      <c r="H134" s="155" t="s">
        <v>390</v>
      </c>
      <c r="I134" s="98" t="s">
        <v>196</v>
      </c>
      <c r="J134" s="96" t="s">
        <v>400</v>
      </c>
      <c r="K134" s="96" t="s">
        <v>95</v>
      </c>
      <c r="L134" s="97" t="str">
        <f t="shared" si="14"/>
        <v>-</v>
      </c>
      <c r="M134" s="97" t="s">
        <v>408</v>
      </c>
      <c r="N134" s="127" t="s">
        <v>607</v>
      </c>
      <c r="O134" s="96" t="s">
        <v>86</v>
      </c>
      <c r="P134" s="96"/>
      <c r="Q134" s="96"/>
      <c r="R134" s="96">
        <v>32</v>
      </c>
      <c r="S134" s="102">
        <v>209</v>
      </c>
      <c r="T134" s="96">
        <f t="shared" si="15"/>
        <v>209</v>
      </c>
      <c r="U134" s="96">
        <f>ROUNDDOWN(S134/HLOOKUP(D134,Table!$C$3:$D$4,2,0)*8,2)</f>
        <v>3.71</v>
      </c>
      <c r="V134" s="96">
        <v>2</v>
      </c>
      <c r="W134" s="24" t="s">
        <v>21</v>
      </c>
      <c r="X134" s="28">
        <v>43907</v>
      </c>
      <c r="Y134" s="100">
        <v>43915</v>
      </c>
      <c r="Z134" s="100">
        <v>43909</v>
      </c>
      <c r="AA134" s="28">
        <v>43915</v>
      </c>
      <c r="AB134" s="96" t="s">
        <v>161</v>
      </c>
      <c r="AC134" s="96">
        <v>100</v>
      </c>
      <c r="AD134" s="96">
        <v>100</v>
      </c>
      <c r="AE134" s="96">
        <v>100</v>
      </c>
      <c r="AF134" s="27" t="s">
        <v>76</v>
      </c>
      <c r="AG134" s="27" t="s">
        <v>76</v>
      </c>
    </row>
    <row r="135" spans="1:33" s="94" customFormat="1" hidden="1" x14ac:dyDescent="0.25">
      <c r="B135" s="95">
        <f t="shared" si="9"/>
        <v>133</v>
      </c>
      <c r="C135" s="96">
        <v>20200317</v>
      </c>
      <c r="D135" s="96" t="s">
        <v>3</v>
      </c>
      <c r="E135" s="96" t="s">
        <v>352</v>
      </c>
      <c r="F135" s="97" t="s">
        <v>354</v>
      </c>
      <c r="G135" s="96">
        <v>1324814</v>
      </c>
      <c r="H135" s="155" t="s">
        <v>391</v>
      </c>
      <c r="I135" s="98" t="s">
        <v>196</v>
      </c>
      <c r="J135" s="96" t="s">
        <v>401</v>
      </c>
      <c r="K135" s="96" t="s">
        <v>95</v>
      </c>
      <c r="L135" s="97" t="str">
        <f t="shared" si="14"/>
        <v>-</v>
      </c>
      <c r="M135" s="97" t="s">
        <v>408</v>
      </c>
      <c r="N135" s="127" t="s">
        <v>608</v>
      </c>
      <c r="O135" s="96" t="s">
        <v>86</v>
      </c>
      <c r="P135" s="96"/>
      <c r="Q135" s="96"/>
      <c r="R135" s="96">
        <v>80</v>
      </c>
      <c r="S135" s="96">
        <v>80</v>
      </c>
      <c r="T135" s="96">
        <f t="shared" si="15"/>
        <v>80</v>
      </c>
      <c r="U135" s="96">
        <f>ROUNDDOWN(S135/HLOOKUP(D135,Table!$C$3:$D$4,2,0)*8,2)</f>
        <v>1.42</v>
      </c>
      <c r="V135" s="96">
        <v>2</v>
      </c>
      <c r="W135" s="24" t="s">
        <v>21</v>
      </c>
      <c r="X135" s="28">
        <v>43907</v>
      </c>
      <c r="Y135" s="100">
        <v>43915</v>
      </c>
      <c r="Z135" s="100">
        <v>43909</v>
      </c>
      <c r="AA135" s="28">
        <v>43915</v>
      </c>
      <c r="AB135" s="96" t="s">
        <v>161</v>
      </c>
      <c r="AC135" s="96">
        <v>100</v>
      </c>
      <c r="AD135" s="96">
        <v>100</v>
      </c>
      <c r="AE135" s="96">
        <v>100</v>
      </c>
      <c r="AF135" s="27" t="s">
        <v>76</v>
      </c>
      <c r="AG135" s="27" t="s">
        <v>76</v>
      </c>
    </row>
    <row r="136" spans="1:33" s="94" customFormat="1" hidden="1" x14ac:dyDescent="0.25">
      <c r="B136" s="95">
        <f t="shared" si="9"/>
        <v>134</v>
      </c>
      <c r="C136" s="96">
        <v>20200317</v>
      </c>
      <c r="D136" s="96" t="s">
        <v>3</v>
      </c>
      <c r="E136" s="96" t="s">
        <v>352</v>
      </c>
      <c r="F136" s="97" t="s">
        <v>354</v>
      </c>
      <c r="G136" s="96">
        <v>1324814</v>
      </c>
      <c r="H136" s="155" t="s">
        <v>392</v>
      </c>
      <c r="I136" s="98" t="s">
        <v>196</v>
      </c>
      <c r="J136" s="96" t="s">
        <v>402</v>
      </c>
      <c r="K136" s="96" t="s">
        <v>95</v>
      </c>
      <c r="L136" s="97" t="str">
        <f t="shared" si="14"/>
        <v>-</v>
      </c>
      <c r="M136" s="97" t="s">
        <v>408</v>
      </c>
      <c r="N136" s="127" t="s">
        <v>609</v>
      </c>
      <c r="O136" s="96" t="s">
        <v>86</v>
      </c>
      <c r="P136" s="96"/>
      <c r="Q136" s="96"/>
      <c r="R136" s="96">
        <v>38</v>
      </c>
      <c r="S136" s="96">
        <v>38</v>
      </c>
      <c r="T136" s="96">
        <f t="shared" si="15"/>
        <v>38</v>
      </c>
      <c r="U136" s="96">
        <f>ROUNDDOWN(S136/HLOOKUP(D136,Table!$C$3:$D$4,2,0)*8,2)</f>
        <v>0.67</v>
      </c>
      <c r="V136" s="96">
        <v>2</v>
      </c>
      <c r="W136" s="24" t="s">
        <v>21</v>
      </c>
      <c r="X136" s="28">
        <v>43907</v>
      </c>
      <c r="Y136" s="100">
        <v>43915</v>
      </c>
      <c r="Z136" s="100">
        <v>43909</v>
      </c>
      <c r="AA136" s="28">
        <v>43915</v>
      </c>
      <c r="AB136" s="96" t="s">
        <v>161</v>
      </c>
      <c r="AC136" s="96">
        <v>100</v>
      </c>
      <c r="AD136" s="96">
        <v>100</v>
      </c>
      <c r="AE136" s="96">
        <v>100</v>
      </c>
      <c r="AF136" s="27" t="s">
        <v>76</v>
      </c>
      <c r="AG136" s="27" t="s">
        <v>76</v>
      </c>
    </row>
    <row r="137" spans="1:33" s="94" customFormat="1" hidden="1" x14ac:dyDescent="0.25">
      <c r="B137" s="95">
        <f t="shared" si="9"/>
        <v>135</v>
      </c>
      <c r="C137" s="96">
        <v>20200317</v>
      </c>
      <c r="D137" s="96" t="s">
        <v>3</v>
      </c>
      <c r="E137" s="96" t="s">
        <v>352</v>
      </c>
      <c r="F137" s="97" t="s">
        <v>354</v>
      </c>
      <c r="G137" s="96">
        <v>1324814</v>
      </c>
      <c r="H137" s="155" t="s">
        <v>80</v>
      </c>
      <c r="I137" s="98" t="s">
        <v>196</v>
      </c>
      <c r="J137" s="96" t="s">
        <v>403</v>
      </c>
      <c r="K137" s="96" t="s">
        <v>95</v>
      </c>
      <c r="L137" s="97" t="str">
        <f t="shared" si="14"/>
        <v>-</v>
      </c>
      <c r="M137" s="97" t="s">
        <v>408</v>
      </c>
      <c r="N137" s="127" t="s">
        <v>610</v>
      </c>
      <c r="O137" s="96" t="s">
        <v>86</v>
      </c>
      <c r="P137" s="96"/>
      <c r="Q137" s="96"/>
      <c r="R137" s="96">
        <v>110</v>
      </c>
      <c r="S137" s="96">
        <v>110</v>
      </c>
      <c r="T137" s="96">
        <f t="shared" si="15"/>
        <v>110</v>
      </c>
      <c r="U137" s="96">
        <f>ROUNDDOWN(S137/HLOOKUP(D137,Table!$C$3:$D$4,2,0)*8,2)</f>
        <v>1.95</v>
      </c>
      <c r="V137" s="96">
        <v>1</v>
      </c>
      <c r="W137" s="24" t="s">
        <v>21</v>
      </c>
      <c r="X137" s="28">
        <v>43907</v>
      </c>
      <c r="Y137" s="100">
        <v>43915</v>
      </c>
      <c r="Z137" s="100">
        <v>43909</v>
      </c>
      <c r="AA137" s="28">
        <v>43915</v>
      </c>
      <c r="AB137" s="96" t="s">
        <v>161</v>
      </c>
      <c r="AC137" s="96">
        <v>100</v>
      </c>
      <c r="AD137" s="96">
        <v>100</v>
      </c>
      <c r="AE137" s="96">
        <v>100</v>
      </c>
      <c r="AF137" s="27" t="s">
        <v>76</v>
      </c>
      <c r="AG137" s="27" t="s">
        <v>76</v>
      </c>
    </row>
    <row r="138" spans="1:33" x14ac:dyDescent="0.25">
      <c r="B138" s="72">
        <f t="shared" si="9"/>
        <v>136</v>
      </c>
      <c r="C138" s="26">
        <v>20200317</v>
      </c>
      <c r="D138" s="24" t="s">
        <v>3</v>
      </c>
      <c r="E138" s="24" t="s">
        <v>352</v>
      </c>
      <c r="F138" s="27" t="s">
        <v>355</v>
      </c>
      <c r="G138" s="24">
        <v>1324814</v>
      </c>
      <c r="H138" s="109" t="s">
        <v>78</v>
      </c>
      <c r="I138" s="49" t="s">
        <v>196</v>
      </c>
      <c r="J138" s="24" t="s">
        <v>404</v>
      </c>
      <c r="K138" s="24" t="s">
        <v>95</v>
      </c>
      <c r="L138" s="27" t="str">
        <f t="shared" si="14"/>
        <v>-</v>
      </c>
      <c r="M138" s="27" t="s">
        <v>408</v>
      </c>
      <c r="N138" s="26" t="s">
        <v>611</v>
      </c>
      <c r="O138" s="24" t="s">
        <v>85</v>
      </c>
      <c r="P138" s="24"/>
      <c r="Q138" s="24"/>
      <c r="R138" s="24">
        <v>478</v>
      </c>
      <c r="S138" s="24">
        <f>R138</f>
        <v>478</v>
      </c>
      <c r="T138" s="24">
        <v>478</v>
      </c>
      <c r="U138" s="24">
        <f>ROUNDDOWN(S138/HLOOKUP(D138,Table!$C$3:$D$4,2,0)*8,2)</f>
        <v>8.49</v>
      </c>
      <c r="V138" s="24">
        <v>5</v>
      </c>
      <c r="W138" s="24" t="s">
        <v>21</v>
      </c>
      <c r="X138" s="28">
        <v>43907</v>
      </c>
      <c r="Y138" s="28">
        <v>43915</v>
      </c>
      <c r="Z138" s="124">
        <v>43914</v>
      </c>
      <c r="AA138" s="28">
        <v>43915</v>
      </c>
      <c r="AB138" s="99" t="s">
        <v>161</v>
      </c>
      <c r="AC138" s="76">
        <v>100</v>
      </c>
      <c r="AD138" s="76">
        <v>100</v>
      </c>
      <c r="AE138" s="76">
        <v>100</v>
      </c>
      <c r="AF138" s="27" t="s">
        <v>76</v>
      </c>
      <c r="AG138" s="27" t="s">
        <v>76</v>
      </c>
    </row>
    <row r="139" spans="1:33" s="94" customFormat="1" hidden="1" x14ac:dyDescent="0.25">
      <c r="B139" s="95">
        <f t="shared" si="9"/>
        <v>137</v>
      </c>
      <c r="C139" s="96">
        <v>20200317</v>
      </c>
      <c r="D139" s="96" t="s">
        <v>3</v>
      </c>
      <c r="E139" s="96" t="s">
        <v>352</v>
      </c>
      <c r="F139" s="97" t="s">
        <v>356</v>
      </c>
      <c r="G139" s="96">
        <v>1324814</v>
      </c>
      <c r="H139" s="155" t="s">
        <v>393</v>
      </c>
      <c r="I139" s="98" t="s">
        <v>196</v>
      </c>
      <c r="J139" s="96" t="s">
        <v>405</v>
      </c>
      <c r="K139" s="96" t="s">
        <v>95</v>
      </c>
      <c r="L139" s="97" t="str">
        <f t="shared" si="14"/>
        <v>-</v>
      </c>
      <c r="M139" s="97" t="s">
        <v>408</v>
      </c>
      <c r="N139" s="127" t="s">
        <v>612</v>
      </c>
      <c r="O139" s="96" t="s">
        <v>86</v>
      </c>
      <c r="P139" s="96"/>
      <c r="Q139" s="96"/>
      <c r="R139" s="96">
        <v>84</v>
      </c>
      <c r="S139" s="96">
        <v>84</v>
      </c>
      <c r="T139" s="96">
        <f t="shared" si="15"/>
        <v>84</v>
      </c>
      <c r="U139" s="96">
        <f>ROUNDDOWN(S139/HLOOKUP(D139,Table!$C$3:$D$4,2,0)*8,2)</f>
        <v>1.49</v>
      </c>
      <c r="V139" s="96">
        <v>1</v>
      </c>
      <c r="W139" s="24" t="s">
        <v>21</v>
      </c>
      <c r="X139" s="28">
        <v>43907</v>
      </c>
      <c r="Y139" s="123">
        <v>43915</v>
      </c>
      <c r="Z139" s="100">
        <v>43909</v>
      </c>
      <c r="AA139" s="28">
        <v>43915</v>
      </c>
      <c r="AB139" s="96" t="s">
        <v>161</v>
      </c>
      <c r="AC139" s="96">
        <v>100</v>
      </c>
      <c r="AD139" s="96">
        <v>100</v>
      </c>
      <c r="AE139" s="96">
        <v>100</v>
      </c>
      <c r="AF139" s="27" t="s">
        <v>76</v>
      </c>
      <c r="AG139" s="27" t="s">
        <v>76</v>
      </c>
    </row>
    <row r="140" spans="1:33" x14ac:dyDescent="0.25">
      <c r="B140" s="72">
        <f t="shared" si="9"/>
        <v>138</v>
      </c>
      <c r="C140" s="26">
        <v>20200317</v>
      </c>
      <c r="D140" s="24" t="s">
        <v>3</v>
      </c>
      <c r="E140" s="24" t="s">
        <v>352</v>
      </c>
      <c r="F140" s="27" t="s">
        <v>353</v>
      </c>
      <c r="G140" s="24">
        <v>1324814</v>
      </c>
      <c r="H140" s="109" t="s">
        <v>280</v>
      </c>
      <c r="I140" s="49" t="s">
        <v>196</v>
      </c>
      <c r="J140" s="24" t="s">
        <v>406</v>
      </c>
      <c r="K140" s="24" t="s">
        <v>95</v>
      </c>
      <c r="L140" s="27" t="str">
        <f t="shared" si="14"/>
        <v>-</v>
      </c>
      <c r="M140" s="27" t="s">
        <v>408</v>
      </c>
      <c r="N140" s="26" t="s">
        <v>613</v>
      </c>
      <c r="O140" s="24" t="s">
        <v>85</v>
      </c>
      <c r="P140" s="24"/>
      <c r="Q140" s="24"/>
      <c r="R140" s="24">
        <v>259</v>
      </c>
      <c r="S140" s="24">
        <f t="shared" ref="S140:S158" si="16">R140</f>
        <v>259</v>
      </c>
      <c r="T140" s="24">
        <v>259</v>
      </c>
      <c r="U140" s="24">
        <f>ROUNDDOWN(S140/HLOOKUP(D140,Table!$C$3:$D$4,2,0)*8,2)</f>
        <v>4.5999999999999996</v>
      </c>
      <c r="V140" s="24">
        <v>3</v>
      </c>
      <c r="W140" s="24" t="s">
        <v>21</v>
      </c>
      <c r="X140" s="28">
        <v>43907</v>
      </c>
      <c r="Y140" s="28">
        <v>43915</v>
      </c>
      <c r="Z140" s="124">
        <v>43909</v>
      </c>
      <c r="AA140" s="28">
        <v>43915</v>
      </c>
      <c r="AB140" s="31" t="s">
        <v>160</v>
      </c>
      <c r="AC140" s="125">
        <v>100</v>
      </c>
      <c r="AD140" s="125">
        <v>100</v>
      </c>
      <c r="AE140" s="24">
        <v>93</v>
      </c>
      <c r="AF140" s="24" t="s">
        <v>670</v>
      </c>
      <c r="AG140" s="27" t="s">
        <v>76</v>
      </c>
    </row>
    <row r="141" spans="1:33" hidden="1" x14ac:dyDescent="0.25">
      <c r="B141" s="72">
        <f t="shared" si="9"/>
        <v>139</v>
      </c>
      <c r="C141" s="26">
        <v>20200317</v>
      </c>
      <c r="D141" s="24" t="s">
        <v>3</v>
      </c>
      <c r="E141" s="24" t="s">
        <v>388</v>
      </c>
      <c r="F141" s="27" t="s">
        <v>357</v>
      </c>
      <c r="G141" s="109">
        <v>1297584</v>
      </c>
      <c r="H141" s="24" t="s">
        <v>394</v>
      </c>
      <c r="I141" s="49" t="s">
        <v>196</v>
      </c>
      <c r="J141" s="27" t="s">
        <v>76</v>
      </c>
      <c r="K141" s="24" t="s">
        <v>407</v>
      </c>
      <c r="L141" s="27" t="str">
        <f t="shared" si="14"/>
        <v>-</v>
      </c>
      <c r="M141" s="27" t="s">
        <v>409</v>
      </c>
      <c r="N141" s="26" t="s">
        <v>614</v>
      </c>
      <c r="O141" s="42" t="s">
        <v>87</v>
      </c>
      <c r="P141" s="24"/>
      <c r="Q141" s="24"/>
      <c r="R141" s="24">
        <v>34</v>
      </c>
      <c r="S141" s="25">
        <v>439</v>
      </c>
      <c r="T141" s="24">
        <f t="shared" si="15"/>
        <v>439</v>
      </c>
      <c r="U141" s="24">
        <f>ROUNDDOWN(S141/HLOOKUP(D141,Table!$C$3:$D$4,2,0)*8,2)</f>
        <v>7.8</v>
      </c>
      <c r="V141" s="24">
        <v>6</v>
      </c>
      <c r="W141" s="24" t="s">
        <v>21</v>
      </c>
      <c r="X141" s="28">
        <v>43907</v>
      </c>
      <c r="Y141" s="28">
        <v>43915</v>
      </c>
      <c r="Z141" s="28">
        <v>43909</v>
      </c>
      <c r="AA141" s="28">
        <v>43915</v>
      </c>
      <c r="AB141" s="31" t="s">
        <v>160</v>
      </c>
      <c r="AC141" s="24">
        <v>100</v>
      </c>
      <c r="AD141" s="24">
        <v>100</v>
      </c>
      <c r="AE141" s="24">
        <v>36</v>
      </c>
      <c r="AF141" s="27" t="s">
        <v>669</v>
      </c>
      <c r="AG141" s="27" t="s">
        <v>76</v>
      </c>
    </row>
    <row r="142" spans="1:33" hidden="1" x14ac:dyDescent="0.25">
      <c r="B142" s="72">
        <f t="shared" si="9"/>
        <v>140</v>
      </c>
      <c r="C142" s="26">
        <v>20200317</v>
      </c>
      <c r="D142" s="24" t="s">
        <v>3</v>
      </c>
      <c r="E142" s="24" t="s">
        <v>388</v>
      </c>
      <c r="F142" s="27" t="s">
        <v>358</v>
      </c>
      <c r="G142" s="109">
        <v>1297584</v>
      </c>
      <c r="H142" s="24" t="s">
        <v>270</v>
      </c>
      <c r="I142" s="49" t="s">
        <v>196</v>
      </c>
      <c r="J142" s="27" t="s">
        <v>76</v>
      </c>
      <c r="K142" s="24" t="s">
        <v>407</v>
      </c>
      <c r="L142" s="27" t="str">
        <f t="shared" si="14"/>
        <v>-</v>
      </c>
      <c r="M142" s="27" t="s">
        <v>409</v>
      </c>
      <c r="N142" s="26" t="s">
        <v>615</v>
      </c>
      <c r="O142" s="42" t="s">
        <v>87</v>
      </c>
      <c r="P142" s="24"/>
      <c r="Q142" s="24"/>
      <c r="R142" s="24">
        <v>130</v>
      </c>
      <c r="S142" s="25">
        <v>119</v>
      </c>
      <c r="T142" s="24">
        <f t="shared" si="15"/>
        <v>119</v>
      </c>
      <c r="U142" s="24">
        <f>ROUNDDOWN(S142/HLOOKUP(D142,Table!$C$3:$D$4,2,0)*8,2)</f>
        <v>2.11</v>
      </c>
      <c r="V142" s="24">
        <v>2</v>
      </c>
      <c r="W142" s="24" t="s">
        <v>21</v>
      </c>
      <c r="X142" s="28">
        <v>43907</v>
      </c>
      <c r="Y142" s="28">
        <v>43915</v>
      </c>
      <c r="Z142" s="28">
        <v>43909</v>
      </c>
      <c r="AA142" s="28">
        <v>43915</v>
      </c>
      <c r="AB142" s="31" t="s">
        <v>161</v>
      </c>
      <c r="AC142" s="24">
        <v>100</v>
      </c>
      <c r="AD142" s="24">
        <v>100</v>
      </c>
      <c r="AE142" s="24">
        <v>100</v>
      </c>
      <c r="AF142" s="27" t="s">
        <v>76</v>
      </c>
      <c r="AG142" s="27" t="s">
        <v>76</v>
      </c>
    </row>
    <row r="143" spans="1:33" hidden="1" x14ac:dyDescent="0.25">
      <c r="B143" s="72">
        <f t="shared" si="9"/>
        <v>141</v>
      </c>
      <c r="C143" s="26">
        <v>20200317</v>
      </c>
      <c r="D143" s="24" t="s">
        <v>3</v>
      </c>
      <c r="E143" s="24" t="s">
        <v>388</v>
      </c>
      <c r="F143" s="27" t="s">
        <v>358</v>
      </c>
      <c r="G143" s="109">
        <v>1297584</v>
      </c>
      <c r="H143" s="24" t="s">
        <v>395</v>
      </c>
      <c r="I143" s="49" t="s">
        <v>196</v>
      </c>
      <c r="J143" s="27" t="s">
        <v>76</v>
      </c>
      <c r="K143" s="24" t="s">
        <v>407</v>
      </c>
      <c r="L143" s="27" t="str">
        <f t="shared" si="14"/>
        <v>-</v>
      </c>
      <c r="M143" s="27" t="s">
        <v>409</v>
      </c>
      <c r="N143" s="26" t="s">
        <v>616</v>
      </c>
      <c r="O143" s="42" t="s">
        <v>87</v>
      </c>
      <c r="P143" s="24"/>
      <c r="Q143" s="24"/>
      <c r="R143" s="24">
        <v>29</v>
      </c>
      <c r="S143" s="24">
        <f t="shared" si="16"/>
        <v>29</v>
      </c>
      <c r="T143" s="24">
        <f t="shared" si="15"/>
        <v>29</v>
      </c>
      <c r="U143" s="24">
        <f>ROUNDDOWN(S143/HLOOKUP(D143,Table!$C$3:$D$4,2,0)*8,2)</f>
        <v>0.51</v>
      </c>
      <c r="V143" s="24">
        <v>0.5</v>
      </c>
      <c r="W143" s="24" t="s">
        <v>21</v>
      </c>
      <c r="X143" s="28">
        <v>43907</v>
      </c>
      <c r="Y143" s="28">
        <v>43915</v>
      </c>
      <c r="Z143" s="28">
        <v>43913</v>
      </c>
      <c r="AA143" s="28">
        <v>43915</v>
      </c>
      <c r="AB143" s="31" t="s">
        <v>161</v>
      </c>
      <c r="AC143" s="24">
        <v>100</v>
      </c>
      <c r="AD143" s="24">
        <v>100</v>
      </c>
      <c r="AE143" s="24">
        <v>100</v>
      </c>
      <c r="AF143" s="27" t="s">
        <v>76</v>
      </c>
      <c r="AG143" s="27" t="s">
        <v>76</v>
      </c>
    </row>
    <row r="144" spans="1:33" x14ac:dyDescent="0.25">
      <c r="B144" s="72">
        <f t="shared" si="9"/>
        <v>142</v>
      </c>
      <c r="C144" s="26">
        <v>20200317</v>
      </c>
      <c r="D144" s="24" t="s">
        <v>3</v>
      </c>
      <c r="E144" s="24" t="s">
        <v>388</v>
      </c>
      <c r="F144" s="27" t="s">
        <v>358</v>
      </c>
      <c r="G144" s="109">
        <v>1297584</v>
      </c>
      <c r="H144" s="109" t="s">
        <v>396</v>
      </c>
      <c r="I144" s="49" t="s">
        <v>196</v>
      </c>
      <c r="J144" s="27" t="s">
        <v>76</v>
      </c>
      <c r="K144" s="24" t="s">
        <v>407</v>
      </c>
      <c r="L144" s="27" t="str">
        <f t="shared" si="14"/>
        <v>-</v>
      </c>
      <c r="M144" s="27" t="s">
        <v>409</v>
      </c>
      <c r="N144" s="26" t="s">
        <v>617</v>
      </c>
      <c r="O144" s="24" t="s">
        <v>85</v>
      </c>
      <c r="P144" s="24"/>
      <c r="Q144" s="24"/>
      <c r="R144" s="24">
        <v>162</v>
      </c>
      <c r="S144" s="24">
        <f t="shared" si="16"/>
        <v>162</v>
      </c>
      <c r="T144" s="24">
        <f>S144</f>
        <v>162</v>
      </c>
      <c r="U144" s="24">
        <f>ROUNDDOWN(S144/HLOOKUP(D144,Table!$C$3:$D$4,2,0)*8,2)</f>
        <v>2.88</v>
      </c>
      <c r="V144" s="24">
        <v>1.5</v>
      </c>
      <c r="W144" s="24" t="s">
        <v>21</v>
      </c>
      <c r="X144" s="28">
        <v>43907</v>
      </c>
      <c r="Y144" s="28">
        <v>43915</v>
      </c>
      <c r="Z144" s="28">
        <v>43913</v>
      </c>
      <c r="AA144" s="28">
        <v>43915</v>
      </c>
      <c r="AB144" s="31" t="s">
        <v>161</v>
      </c>
      <c r="AC144" s="24">
        <v>100</v>
      </c>
      <c r="AD144" s="24">
        <v>100</v>
      </c>
      <c r="AE144" s="24">
        <v>100</v>
      </c>
      <c r="AF144" s="27" t="s">
        <v>76</v>
      </c>
      <c r="AG144" s="27" t="s">
        <v>76</v>
      </c>
    </row>
    <row r="145" spans="1:33" hidden="1" x14ac:dyDescent="0.25">
      <c r="B145" s="72">
        <f t="shared" si="9"/>
        <v>143</v>
      </c>
      <c r="C145" s="26">
        <v>20200317</v>
      </c>
      <c r="D145" s="24" t="s">
        <v>3</v>
      </c>
      <c r="E145" s="24" t="s">
        <v>388</v>
      </c>
      <c r="F145" s="27" t="s">
        <v>358</v>
      </c>
      <c r="G145" s="109">
        <v>1297584</v>
      </c>
      <c r="H145" s="24" t="s">
        <v>397</v>
      </c>
      <c r="I145" s="49" t="s">
        <v>196</v>
      </c>
      <c r="J145" s="27" t="s">
        <v>76</v>
      </c>
      <c r="K145" s="24" t="s">
        <v>407</v>
      </c>
      <c r="L145" s="27" t="str">
        <f t="shared" si="14"/>
        <v>-</v>
      </c>
      <c r="M145" s="27" t="s">
        <v>409</v>
      </c>
      <c r="N145" s="26" t="s">
        <v>618</v>
      </c>
      <c r="O145" s="42" t="s">
        <v>87</v>
      </c>
      <c r="P145" s="24"/>
      <c r="Q145" s="24"/>
      <c r="R145" s="24">
        <v>95</v>
      </c>
      <c r="S145" s="24">
        <f t="shared" si="16"/>
        <v>95</v>
      </c>
      <c r="T145" s="24">
        <f t="shared" si="15"/>
        <v>95</v>
      </c>
      <c r="U145" s="24">
        <f>ROUNDDOWN(S145/HLOOKUP(D145,Table!$C$3:$D$4,2,0)*8,2)</f>
        <v>1.68</v>
      </c>
      <c r="V145" s="24">
        <v>1</v>
      </c>
      <c r="W145" s="24" t="s">
        <v>21</v>
      </c>
      <c r="X145" s="28">
        <v>43907</v>
      </c>
      <c r="Y145" s="28">
        <v>43915</v>
      </c>
      <c r="Z145" s="28">
        <v>43913</v>
      </c>
      <c r="AA145" s="28">
        <v>43915</v>
      </c>
      <c r="AB145" s="31" t="s">
        <v>161</v>
      </c>
      <c r="AC145" s="24">
        <v>100</v>
      </c>
      <c r="AD145" s="24">
        <v>100</v>
      </c>
      <c r="AE145" s="24">
        <v>100</v>
      </c>
      <c r="AF145" s="27" t="s">
        <v>76</v>
      </c>
      <c r="AG145" s="27" t="s">
        <v>76</v>
      </c>
    </row>
    <row r="146" spans="1:33" x14ac:dyDescent="0.25">
      <c r="B146" s="72">
        <f t="shared" si="9"/>
        <v>144</v>
      </c>
      <c r="C146" s="26">
        <v>20200317</v>
      </c>
      <c r="D146" s="24" t="s">
        <v>3</v>
      </c>
      <c r="E146" s="24" t="s">
        <v>388</v>
      </c>
      <c r="F146" s="27" t="s">
        <v>358</v>
      </c>
      <c r="G146" s="109">
        <v>1297584</v>
      </c>
      <c r="H146" s="109" t="s">
        <v>398</v>
      </c>
      <c r="I146" s="49" t="s">
        <v>196</v>
      </c>
      <c r="J146" s="27" t="s">
        <v>76</v>
      </c>
      <c r="K146" s="24" t="s">
        <v>407</v>
      </c>
      <c r="L146" s="27" t="str">
        <f t="shared" si="14"/>
        <v>-</v>
      </c>
      <c r="M146" s="27" t="s">
        <v>409</v>
      </c>
      <c r="N146" s="26" t="s">
        <v>619</v>
      </c>
      <c r="O146" s="24" t="s">
        <v>85</v>
      </c>
      <c r="P146" s="24"/>
      <c r="Q146" s="24"/>
      <c r="R146" s="24">
        <v>170</v>
      </c>
      <c r="S146" s="24">
        <f t="shared" si="16"/>
        <v>170</v>
      </c>
      <c r="T146" s="24">
        <v>170</v>
      </c>
      <c r="U146" s="24">
        <f>ROUNDDOWN(S146/HLOOKUP(D146,Table!$C$3:$D$4,2,0)*8,2)</f>
        <v>3.02</v>
      </c>
      <c r="V146" s="24">
        <v>1.5</v>
      </c>
      <c r="W146" s="24" t="s">
        <v>21</v>
      </c>
      <c r="X146" s="28">
        <v>43907</v>
      </c>
      <c r="Y146" s="28">
        <v>43915</v>
      </c>
      <c r="Z146" s="28">
        <v>43913</v>
      </c>
      <c r="AA146" s="28">
        <v>43915</v>
      </c>
      <c r="AB146" s="31" t="s">
        <v>161</v>
      </c>
      <c r="AC146" s="24">
        <v>100</v>
      </c>
      <c r="AD146" s="24">
        <v>100</v>
      </c>
      <c r="AE146" s="24">
        <v>100</v>
      </c>
      <c r="AF146" s="27" t="s">
        <v>76</v>
      </c>
      <c r="AG146" s="27" t="s">
        <v>76</v>
      </c>
    </row>
    <row r="147" spans="1:33" hidden="1" x14ac:dyDescent="0.25">
      <c r="B147" s="72">
        <f t="shared" si="9"/>
        <v>145</v>
      </c>
      <c r="C147" s="26">
        <v>20200317</v>
      </c>
      <c r="D147" s="24" t="s">
        <v>3</v>
      </c>
      <c r="E147" s="24" t="s">
        <v>388</v>
      </c>
      <c r="F147" s="27" t="s">
        <v>359</v>
      </c>
      <c r="G147" s="109">
        <v>1297584</v>
      </c>
      <c r="H147" s="24" t="s">
        <v>399</v>
      </c>
      <c r="I147" s="49" t="s">
        <v>196</v>
      </c>
      <c r="J147" s="27" t="s">
        <v>76</v>
      </c>
      <c r="K147" s="24" t="s">
        <v>407</v>
      </c>
      <c r="L147" s="27" t="str">
        <f t="shared" si="14"/>
        <v>-</v>
      </c>
      <c r="M147" s="27" t="s">
        <v>409</v>
      </c>
      <c r="N147" s="26" t="s">
        <v>620</v>
      </c>
      <c r="O147" s="42" t="s">
        <v>87</v>
      </c>
      <c r="P147" s="24"/>
      <c r="Q147" s="24"/>
      <c r="R147" s="24">
        <v>10</v>
      </c>
      <c r="S147" s="24">
        <f t="shared" si="16"/>
        <v>10</v>
      </c>
      <c r="T147" s="24">
        <f t="shared" si="15"/>
        <v>10</v>
      </c>
      <c r="U147" s="24">
        <f>ROUNDDOWN(S147/HLOOKUP(D147,Table!$C$3:$D$4,2,0)*8,2)</f>
        <v>0.17</v>
      </c>
      <c r="V147" s="24">
        <v>0.5</v>
      </c>
      <c r="W147" s="24" t="s">
        <v>21</v>
      </c>
      <c r="X147" s="28">
        <v>43907</v>
      </c>
      <c r="Y147" s="28">
        <v>43915</v>
      </c>
      <c r="Z147" s="28">
        <v>43913</v>
      </c>
      <c r="AA147" s="28">
        <v>43915</v>
      </c>
      <c r="AB147" s="31" t="s">
        <v>161</v>
      </c>
      <c r="AC147" s="24">
        <v>100</v>
      </c>
      <c r="AD147" s="24">
        <v>100</v>
      </c>
      <c r="AE147" s="24">
        <v>100</v>
      </c>
      <c r="AF147" s="27" t="s">
        <v>76</v>
      </c>
      <c r="AG147" s="27" t="s">
        <v>76</v>
      </c>
    </row>
    <row r="148" spans="1:33" hidden="1" x14ac:dyDescent="0.25">
      <c r="B148" s="106">
        <f t="shared" si="9"/>
        <v>146</v>
      </c>
      <c r="C148" s="26">
        <v>20200318</v>
      </c>
      <c r="D148" s="24" t="s">
        <v>3</v>
      </c>
      <c r="E148" s="24" t="s">
        <v>412</v>
      </c>
      <c r="F148" s="27" t="s">
        <v>414</v>
      </c>
      <c r="G148" s="24">
        <v>1375788</v>
      </c>
      <c r="H148" s="24" t="s">
        <v>415</v>
      </c>
      <c r="I148" s="49" t="s">
        <v>196</v>
      </c>
      <c r="J148" s="27" t="s">
        <v>76</v>
      </c>
      <c r="K148" s="24" t="s">
        <v>419</v>
      </c>
      <c r="L148" s="27" t="str">
        <f t="shared" si="14"/>
        <v>-</v>
      </c>
      <c r="M148" s="27" t="s">
        <v>421</v>
      </c>
      <c r="N148" s="26" t="s">
        <v>621</v>
      </c>
      <c r="O148" s="42" t="s">
        <v>87</v>
      </c>
      <c r="P148" s="24"/>
      <c r="Q148" s="24"/>
      <c r="R148" s="24">
        <v>125</v>
      </c>
      <c r="S148" s="26">
        <f t="shared" si="16"/>
        <v>125</v>
      </c>
      <c r="T148" s="24">
        <f t="shared" si="15"/>
        <v>125</v>
      </c>
      <c r="U148" s="24">
        <f>ROUNDDOWN(S148/HLOOKUP(D148,Table!$C$3:$D$4,2,0)*8,2)</f>
        <v>2.2200000000000002</v>
      </c>
      <c r="V148" s="24">
        <v>2</v>
      </c>
      <c r="W148" s="24" t="s">
        <v>21</v>
      </c>
      <c r="X148" s="28">
        <v>43915</v>
      </c>
      <c r="Y148" s="28">
        <v>43916</v>
      </c>
      <c r="Z148" s="28">
        <v>43913</v>
      </c>
      <c r="AA148" s="28">
        <v>43916</v>
      </c>
      <c r="AB148" s="31" t="s">
        <v>161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 hidden="1" x14ac:dyDescent="0.25">
      <c r="B149" s="106">
        <f t="shared" si="9"/>
        <v>147</v>
      </c>
      <c r="C149" s="26">
        <v>20200318</v>
      </c>
      <c r="D149" s="24" t="s">
        <v>3</v>
      </c>
      <c r="E149" s="24" t="s">
        <v>412</v>
      </c>
      <c r="F149" s="27" t="s">
        <v>414</v>
      </c>
      <c r="G149" s="24">
        <v>1375788</v>
      </c>
      <c r="H149" s="24" t="s">
        <v>416</v>
      </c>
      <c r="I149" s="49" t="s">
        <v>196</v>
      </c>
      <c r="J149" s="27" t="s">
        <v>76</v>
      </c>
      <c r="K149" s="24" t="s">
        <v>419</v>
      </c>
      <c r="L149" s="27" t="str">
        <f t="shared" si="14"/>
        <v>-</v>
      </c>
      <c r="M149" s="27" t="s">
        <v>421</v>
      </c>
      <c r="N149" s="26" t="s">
        <v>622</v>
      </c>
      <c r="O149" s="42" t="s">
        <v>87</v>
      </c>
      <c r="P149" s="24"/>
      <c r="Q149" s="24"/>
      <c r="R149" s="24">
        <v>33</v>
      </c>
      <c r="S149" s="26">
        <f t="shared" si="16"/>
        <v>33</v>
      </c>
      <c r="T149" s="24">
        <f t="shared" si="15"/>
        <v>33</v>
      </c>
      <c r="U149" s="24">
        <f>ROUNDDOWN(S149/HLOOKUP(D149,Table!$C$3:$D$4,2,0)*8,2)</f>
        <v>0.57999999999999996</v>
      </c>
      <c r="V149" s="24">
        <v>0.5</v>
      </c>
      <c r="W149" s="24" t="s">
        <v>21</v>
      </c>
      <c r="X149" s="28">
        <v>43915</v>
      </c>
      <c r="Y149" s="28">
        <v>43916</v>
      </c>
      <c r="Z149" s="28">
        <v>43913</v>
      </c>
      <c r="AA149" s="28">
        <v>43916</v>
      </c>
      <c r="AB149" s="31"/>
      <c r="AC149" s="24" t="s">
        <v>76</v>
      </c>
      <c r="AD149" s="24" t="s">
        <v>76</v>
      </c>
      <c r="AE149" s="24" t="s">
        <v>76</v>
      </c>
      <c r="AF149" s="24" t="s">
        <v>294</v>
      </c>
      <c r="AG149" s="27" t="s">
        <v>76</v>
      </c>
    </row>
    <row r="150" spans="1:33" hidden="1" x14ac:dyDescent="0.25">
      <c r="B150" s="106">
        <f t="shared" si="9"/>
        <v>148</v>
      </c>
      <c r="C150" s="26">
        <v>20200318</v>
      </c>
      <c r="D150" s="24" t="s">
        <v>3</v>
      </c>
      <c r="E150" s="24" t="s">
        <v>413</v>
      </c>
      <c r="F150" s="43" t="s">
        <v>427</v>
      </c>
      <c r="G150" s="24">
        <v>1373324</v>
      </c>
      <c r="H150" s="24" t="s">
        <v>417</v>
      </c>
      <c r="I150" s="49" t="s">
        <v>196</v>
      </c>
      <c r="J150" s="27" t="s">
        <v>76</v>
      </c>
      <c r="K150" s="24" t="s">
        <v>420</v>
      </c>
      <c r="L150" s="27" t="str">
        <f t="shared" si="14"/>
        <v>-</v>
      </c>
      <c r="M150" s="27" t="s">
        <v>422</v>
      </c>
      <c r="N150" s="26" t="s">
        <v>623</v>
      </c>
      <c r="O150" s="42" t="s">
        <v>87</v>
      </c>
      <c r="P150" s="24"/>
      <c r="Q150" s="24"/>
      <c r="R150" s="24">
        <v>178</v>
      </c>
      <c r="S150" s="24">
        <f t="shared" si="16"/>
        <v>178</v>
      </c>
      <c r="T150" s="24">
        <v>178</v>
      </c>
      <c r="U150" s="24">
        <f>ROUNDDOWN(S150/HLOOKUP(D150,Table!$C$3:$D$4,2,0)*8,2)</f>
        <v>3.16</v>
      </c>
      <c r="V150" s="24">
        <v>3</v>
      </c>
      <c r="W150" s="24" t="s">
        <v>21</v>
      </c>
      <c r="X150" s="28">
        <v>43915</v>
      </c>
      <c r="Y150" s="28">
        <v>43916</v>
      </c>
      <c r="Z150" s="28">
        <v>43914</v>
      </c>
      <c r="AA150" s="28">
        <v>43914</v>
      </c>
      <c r="AB150" s="31" t="s">
        <v>161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 x14ac:dyDescent="0.25">
      <c r="B151" s="106">
        <f t="shared" si="9"/>
        <v>149</v>
      </c>
      <c r="C151" s="26">
        <v>20200318</v>
      </c>
      <c r="D151" s="24" t="s">
        <v>3</v>
      </c>
      <c r="E151" s="24" t="s">
        <v>413</v>
      </c>
      <c r="F151" s="27" t="s">
        <v>427</v>
      </c>
      <c r="G151" s="24">
        <v>1373324</v>
      </c>
      <c r="H151" s="109" t="s">
        <v>418</v>
      </c>
      <c r="I151" s="49" t="s">
        <v>196</v>
      </c>
      <c r="J151" s="27" t="s">
        <v>76</v>
      </c>
      <c r="K151" s="24" t="s">
        <v>420</v>
      </c>
      <c r="L151" s="27" t="str">
        <f t="shared" si="14"/>
        <v>-</v>
      </c>
      <c r="M151" s="27" t="s">
        <v>422</v>
      </c>
      <c r="N151" s="26" t="s">
        <v>624</v>
      </c>
      <c r="O151" s="24" t="s">
        <v>85</v>
      </c>
      <c r="P151" s="24"/>
      <c r="Q151" s="24"/>
      <c r="R151" s="24">
        <v>196</v>
      </c>
      <c r="S151" s="24">
        <f t="shared" si="16"/>
        <v>196</v>
      </c>
      <c r="T151" s="24">
        <v>196</v>
      </c>
      <c r="U151" s="24">
        <f>ROUNDDOWN(S151/HLOOKUP(D151,Table!$C$3:$D$4,2,0)*8,2)</f>
        <v>3.48</v>
      </c>
      <c r="V151" s="24">
        <v>3</v>
      </c>
      <c r="W151" s="24" t="s">
        <v>21</v>
      </c>
      <c r="X151" s="28">
        <v>43915</v>
      </c>
      <c r="Y151" s="28">
        <v>43916</v>
      </c>
      <c r="Z151" s="28">
        <v>43913</v>
      </c>
      <c r="AA151" s="28">
        <v>43916</v>
      </c>
      <c r="AB151" s="31" t="s">
        <v>161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 x14ac:dyDescent="0.25">
      <c r="B152" s="106">
        <f t="shared" si="9"/>
        <v>150</v>
      </c>
      <c r="C152" s="24">
        <v>20200319</v>
      </c>
      <c r="D152" s="24" t="s">
        <v>3</v>
      </c>
      <c r="E152" s="42" t="s">
        <v>423</v>
      </c>
      <c r="F152" s="43" t="s">
        <v>424</v>
      </c>
      <c r="G152" s="42">
        <v>1380105</v>
      </c>
      <c r="H152" s="109" t="s">
        <v>425</v>
      </c>
      <c r="I152" s="49" t="s">
        <v>196</v>
      </c>
      <c r="J152" s="27" t="s">
        <v>76</v>
      </c>
      <c r="K152" s="24" t="s">
        <v>420</v>
      </c>
      <c r="L152" s="27" t="str">
        <f t="shared" si="14"/>
        <v>-</v>
      </c>
      <c r="M152" s="43" t="s">
        <v>426</v>
      </c>
      <c r="N152" s="26" t="s">
        <v>625</v>
      </c>
      <c r="O152" s="24" t="s">
        <v>85</v>
      </c>
      <c r="P152" s="24"/>
      <c r="Q152" s="24"/>
      <c r="R152" s="24">
        <v>417</v>
      </c>
      <c r="S152" s="24">
        <f t="shared" si="16"/>
        <v>417</v>
      </c>
      <c r="T152" s="24">
        <v>417</v>
      </c>
      <c r="U152" s="24">
        <f>ROUNDDOWN(S152/HLOOKUP(D152,Table!$C$3:$D$4,2,0)*8,2)</f>
        <v>7.41</v>
      </c>
      <c r="V152" s="24">
        <v>5</v>
      </c>
      <c r="W152" s="24" t="s">
        <v>21</v>
      </c>
      <c r="X152" s="28">
        <v>43915</v>
      </c>
      <c r="Y152" s="28">
        <v>43916</v>
      </c>
      <c r="Z152" s="28">
        <v>43913</v>
      </c>
      <c r="AA152" s="28">
        <v>43916</v>
      </c>
      <c r="AB152" s="31" t="s">
        <v>160</v>
      </c>
      <c r="AC152" s="24">
        <v>93</v>
      </c>
      <c r="AD152" s="24">
        <v>94</v>
      </c>
      <c r="AE152" s="24">
        <v>66</v>
      </c>
      <c r="AF152" s="24" t="s">
        <v>670</v>
      </c>
      <c r="AG152" s="27" t="s">
        <v>76</v>
      </c>
    </row>
    <row r="153" spans="1:33" hidden="1" x14ac:dyDescent="0.25">
      <c r="B153" s="122">
        <f t="shared" si="9"/>
        <v>151</v>
      </c>
      <c r="C153" s="24">
        <v>20200319</v>
      </c>
      <c r="D153" s="25" t="s">
        <v>2</v>
      </c>
      <c r="E153" s="24" t="s">
        <v>435</v>
      </c>
      <c r="F153" s="27" t="s">
        <v>76</v>
      </c>
      <c r="G153" s="24">
        <v>1380028</v>
      </c>
      <c r="H153" s="24" t="s">
        <v>438</v>
      </c>
      <c r="I153" s="27" t="s">
        <v>76</v>
      </c>
      <c r="J153" s="27" t="s">
        <v>76</v>
      </c>
      <c r="K153" s="24" t="s">
        <v>444</v>
      </c>
      <c r="L153" s="27" t="s">
        <v>751</v>
      </c>
      <c r="M153" s="27" t="s">
        <v>448</v>
      </c>
      <c r="N153" s="26" t="s">
        <v>626</v>
      </c>
      <c r="O153" s="24" t="s">
        <v>87</v>
      </c>
      <c r="P153" s="24"/>
      <c r="Q153" s="24"/>
      <c r="R153" s="24">
        <v>14</v>
      </c>
      <c r="S153" s="24">
        <f t="shared" si="16"/>
        <v>14</v>
      </c>
      <c r="T153" s="24">
        <v>14</v>
      </c>
      <c r="U153" s="24">
        <f>ROUNDDOWN(S153/HLOOKUP(D153,Table!$C$3:$D$4,2,0)*8,2)</f>
        <v>0.86</v>
      </c>
      <c r="V153" s="24">
        <v>2</v>
      </c>
      <c r="W153" s="24" t="s">
        <v>21</v>
      </c>
      <c r="X153" s="28">
        <v>43913</v>
      </c>
      <c r="Y153" s="28">
        <v>43917</v>
      </c>
      <c r="Z153" s="28">
        <v>43914</v>
      </c>
      <c r="AA153" s="28">
        <v>43914</v>
      </c>
      <c r="AB153" s="31" t="s">
        <v>161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 hidden="1" x14ac:dyDescent="0.25">
      <c r="B154" s="122">
        <f t="shared" si="9"/>
        <v>152</v>
      </c>
      <c r="C154" s="24">
        <v>20200319</v>
      </c>
      <c r="D154" s="25" t="s">
        <v>2</v>
      </c>
      <c r="E154" s="24" t="s">
        <v>352</v>
      </c>
      <c r="F154" s="27" t="s">
        <v>76</v>
      </c>
      <c r="G154" s="24">
        <v>1379963</v>
      </c>
      <c r="H154" s="24" t="s">
        <v>473</v>
      </c>
      <c r="I154" s="27" t="s">
        <v>76</v>
      </c>
      <c r="J154" s="27" t="s">
        <v>76</v>
      </c>
      <c r="K154" s="24" t="s">
        <v>445</v>
      </c>
      <c r="L154" s="27" t="s">
        <v>747</v>
      </c>
      <c r="M154" s="27" t="s">
        <v>449</v>
      </c>
      <c r="N154" s="26" t="s">
        <v>627</v>
      </c>
      <c r="O154" s="24" t="s">
        <v>86</v>
      </c>
      <c r="P154" s="24"/>
      <c r="Q154" s="24"/>
      <c r="R154" s="24">
        <v>62</v>
      </c>
      <c r="S154" s="24">
        <f>R154+18</f>
        <v>80</v>
      </c>
      <c r="T154" s="24">
        <f>S154</f>
        <v>80</v>
      </c>
      <c r="U154" s="24">
        <f>ROUNDDOWN(S154/HLOOKUP(D154,Table!$C$3:$D$4,2,0)*8,2)</f>
        <v>4.92</v>
      </c>
      <c r="V154" s="24">
        <v>6</v>
      </c>
      <c r="W154" s="24" t="s">
        <v>21</v>
      </c>
      <c r="X154" s="28">
        <v>43913</v>
      </c>
      <c r="Y154" s="28">
        <v>43917</v>
      </c>
      <c r="Z154" s="28">
        <v>43914</v>
      </c>
      <c r="AA154" s="28">
        <v>43914</v>
      </c>
      <c r="AB154" s="31" t="s">
        <v>161</v>
      </c>
      <c r="AC154" s="96">
        <v>100</v>
      </c>
      <c r="AD154" s="96">
        <v>100</v>
      </c>
      <c r="AE154" s="96">
        <v>100</v>
      </c>
      <c r="AF154" s="27" t="s">
        <v>76</v>
      </c>
      <c r="AG154" s="27" t="s">
        <v>76</v>
      </c>
    </row>
    <row r="155" spans="1:33" hidden="1" x14ac:dyDescent="0.25">
      <c r="B155" s="122">
        <f t="shared" ref="B155:B218" si="17">B154+1</f>
        <v>153</v>
      </c>
      <c r="C155" s="24">
        <v>20200319</v>
      </c>
      <c r="D155" s="25" t="s">
        <v>2</v>
      </c>
      <c r="E155" s="24" t="s">
        <v>352</v>
      </c>
      <c r="F155" s="27" t="s">
        <v>76</v>
      </c>
      <c r="G155" s="24">
        <v>1379963</v>
      </c>
      <c r="H155" s="24" t="s">
        <v>439</v>
      </c>
      <c r="I155" s="27" t="s">
        <v>76</v>
      </c>
      <c r="J155" s="27" t="s">
        <v>76</v>
      </c>
      <c r="K155" s="24" t="s">
        <v>445</v>
      </c>
      <c r="L155" s="27" t="s">
        <v>748</v>
      </c>
      <c r="M155" s="27" t="s">
        <v>449</v>
      </c>
      <c r="N155" s="26" t="s">
        <v>628</v>
      </c>
      <c r="O155" s="24" t="s">
        <v>88</v>
      </c>
      <c r="P155" s="24"/>
      <c r="Q155" s="24"/>
      <c r="R155" s="24">
        <v>32</v>
      </c>
      <c r="S155" s="24">
        <f t="shared" si="16"/>
        <v>32</v>
      </c>
      <c r="T155" s="24">
        <f>S155</f>
        <v>32</v>
      </c>
      <c r="U155" s="24">
        <f>ROUNDDOWN(S155/HLOOKUP(D155,Table!$C$3:$D$4,2,0)*8,2)</f>
        <v>1.96</v>
      </c>
      <c r="V155" s="24">
        <v>1.5</v>
      </c>
      <c r="W155" s="24" t="s">
        <v>21</v>
      </c>
      <c r="X155" s="28">
        <v>43913</v>
      </c>
      <c r="Y155" s="28">
        <v>43917</v>
      </c>
      <c r="Z155" s="128">
        <v>43914</v>
      </c>
      <c r="AA155" s="128">
        <v>43914</v>
      </c>
      <c r="AB155" s="31" t="s">
        <v>161</v>
      </c>
      <c r="AC155" s="24">
        <v>100</v>
      </c>
      <c r="AD155" s="24">
        <v>100</v>
      </c>
      <c r="AE155" s="24">
        <v>100</v>
      </c>
      <c r="AF155" s="27" t="s">
        <v>76</v>
      </c>
      <c r="AG155" s="27" t="s">
        <v>76</v>
      </c>
    </row>
    <row r="156" spans="1:33" hidden="1" x14ac:dyDescent="0.25">
      <c r="B156" s="122">
        <f t="shared" si="17"/>
        <v>154</v>
      </c>
      <c r="C156" s="24">
        <v>20200319</v>
      </c>
      <c r="D156" s="25" t="s">
        <v>2</v>
      </c>
      <c r="E156" s="24" t="s">
        <v>352</v>
      </c>
      <c r="F156" s="27" t="s">
        <v>76</v>
      </c>
      <c r="G156" s="24">
        <v>1379963</v>
      </c>
      <c r="H156" s="24" t="s">
        <v>440</v>
      </c>
      <c r="I156" s="27" t="s">
        <v>76</v>
      </c>
      <c r="J156" s="27" t="s">
        <v>76</v>
      </c>
      <c r="K156" s="24" t="s">
        <v>445</v>
      </c>
      <c r="L156" s="24" t="s">
        <v>752</v>
      </c>
      <c r="M156" s="27" t="s">
        <v>449</v>
      </c>
      <c r="N156" s="26" t="s">
        <v>629</v>
      </c>
      <c r="O156" s="24" t="s">
        <v>88</v>
      </c>
      <c r="P156" s="24"/>
      <c r="Q156" s="24"/>
      <c r="R156" s="24">
        <v>11</v>
      </c>
      <c r="S156" s="24">
        <f t="shared" si="16"/>
        <v>11</v>
      </c>
      <c r="T156" s="24">
        <f>S156</f>
        <v>11</v>
      </c>
      <c r="U156" s="24">
        <f>ROUNDDOWN(S156/HLOOKUP(D156,Table!$C$3:$D$4,2,0)*8,2)</f>
        <v>0.67</v>
      </c>
      <c r="V156" s="24">
        <v>1</v>
      </c>
      <c r="W156" s="24" t="s">
        <v>21</v>
      </c>
      <c r="X156" s="28">
        <v>43913</v>
      </c>
      <c r="Y156" s="28">
        <v>43917</v>
      </c>
      <c r="Z156" s="128">
        <v>43914</v>
      </c>
      <c r="AA156" s="128">
        <v>43914</v>
      </c>
      <c r="AB156" s="31" t="s">
        <v>160</v>
      </c>
      <c r="AC156" s="24">
        <v>100</v>
      </c>
      <c r="AD156" s="24">
        <v>100</v>
      </c>
      <c r="AE156" s="24">
        <v>66.7</v>
      </c>
      <c r="AF156" s="24" t="s">
        <v>634</v>
      </c>
      <c r="AG156" s="27" t="s">
        <v>76</v>
      </c>
    </row>
    <row r="157" spans="1:33" hidden="1" x14ac:dyDescent="0.25">
      <c r="B157" s="122">
        <f t="shared" si="17"/>
        <v>155</v>
      </c>
      <c r="C157" s="24">
        <v>20200319</v>
      </c>
      <c r="D157" s="25" t="s">
        <v>2</v>
      </c>
      <c r="E157" s="24" t="s">
        <v>352</v>
      </c>
      <c r="F157" s="27" t="s">
        <v>76</v>
      </c>
      <c r="G157" s="24">
        <v>1379963</v>
      </c>
      <c r="H157" s="24" t="s">
        <v>441</v>
      </c>
      <c r="I157" s="27" t="s">
        <v>76</v>
      </c>
      <c r="J157" s="27" t="s">
        <v>76</v>
      </c>
      <c r="K157" s="24" t="s">
        <v>445</v>
      </c>
      <c r="L157" s="24" t="s">
        <v>752</v>
      </c>
      <c r="M157" s="27" t="s">
        <v>449</v>
      </c>
      <c r="N157" s="26" t="s">
        <v>630</v>
      </c>
      <c r="O157" s="24" t="s">
        <v>86</v>
      </c>
      <c r="P157" s="24"/>
      <c r="Q157" s="24"/>
      <c r="R157" s="24">
        <v>19</v>
      </c>
      <c r="S157" s="24">
        <f t="shared" si="16"/>
        <v>19</v>
      </c>
      <c r="T157" s="24">
        <f>S157</f>
        <v>19</v>
      </c>
      <c r="U157" s="24">
        <f>ROUNDDOWN(S157/HLOOKUP(D157,Table!$C$3:$D$4,2,0)*8,2)</f>
        <v>1.1599999999999999</v>
      </c>
      <c r="V157" s="24">
        <v>1</v>
      </c>
      <c r="W157" s="24" t="s">
        <v>21</v>
      </c>
      <c r="X157" s="28">
        <v>43913</v>
      </c>
      <c r="Y157" s="28">
        <v>43917</v>
      </c>
      <c r="Z157" s="128">
        <v>43915</v>
      </c>
      <c r="AA157" s="128">
        <v>43915</v>
      </c>
      <c r="AB157" s="31" t="s">
        <v>160</v>
      </c>
      <c r="AC157" s="24">
        <v>100</v>
      </c>
      <c r="AD157" s="24">
        <v>100</v>
      </c>
      <c r="AE157" s="24">
        <v>50</v>
      </c>
      <c r="AF157" s="24" t="s">
        <v>679</v>
      </c>
      <c r="AG157" s="27" t="s">
        <v>76</v>
      </c>
    </row>
    <row r="158" spans="1:33" x14ac:dyDescent="0.25">
      <c r="B158" s="122">
        <f t="shared" si="17"/>
        <v>156</v>
      </c>
      <c r="C158" s="24">
        <v>20200319</v>
      </c>
      <c r="D158" s="25" t="s">
        <v>2</v>
      </c>
      <c r="E158" s="24" t="s">
        <v>352</v>
      </c>
      <c r="F158" s="27" t="s">
        <v>76</v>
      </c>
      <c r="G158" s="24">
        <v>1379963</v>
      </c>
      <c r="H158" s="24" t="s">
        <v>676</v>
      </c>
      <c r="I158" s="27" t="s">
        <v>76</v>
      </c>
      <c r="J158" s="27" t="s">
        <v>76</v>
      </c>
      <c r="K158" s="24" t="s">
        <v>445</v>
      </c>
      <c r="L158" s="24" t="s">
        <v>677</v>
      </c>
      <c r="M158" s="27" t="s">
        <v>449</v>
      </c>
      <c r="N158" s="26" t="s">
        <v>631</v>
      </c>
      <c r="O158" s="24" t="s">
        <v>85</v>
      </c>
      <c r="P158" s="24"/>
      <c r="Q158" s="24"/>
      <c r="R158" s="24">
        <v>98</v>
      </c>
      <c r="S158" s="24">
        <f t="shared" si="16"/>
        <v>98</v>
      </c>
      <c r="T158" s="24">
        <v>98</v>
      </c>
      <c r="U158" s="24">
        <f>ROUNDDOWN(S158/HLOOKUP(D158,Table!$C$3:$D$4,2,0)*8,2)</f>
        <v>6.03</v>
      </c>
      <c r="V158" s="24">
        <v>6</v>
      </c>
      <c r="W158" s="24" t="s">
        <v>21</v>
      </c>
      <c r="X158" s="28">
        <v>43913</v>
      </c>
      <c r="Y158" s="28">
        <v>43917</v>
      </c>
      <c r="Z158" s="128">
        <v>43916</v>
      </c>
      <c r="AA158" s="128">
        <v>43916</v>
      </c>
      <c r="AB158" s="31" t="s">
        <v>161</v>
      </c>
      <c r="AC158" s="24">
        <v>100</v>
      </c>
      <c r="AD158" s="24">
        <v>100</v>
      </c>
      <c r="AE158" s="24">
        <v>100</v>
      </c>
      <c r="AF158" s="27" t="s">
        <v>76</v>
      </c>
      <c r="AG158" s="27" t="s">
        <v>76</v>
      </c>
    </row>
    <row r="159" spans="1:33" hidden="1" x14ac:dyDescent="0.25">
      <c r="B159" s="122">
        <f t="shared" si="17"/>
        <v>157</v>
      </c>
      <c r="C159" s="24">
        <v>20200319</v>
      </c>
      <c r="D159" s="25" t="s">
        <v>2</v>
      </c>
      <c r="E159" s="24" t="s">
        <v>436</v>
      </c>
      <c r="F159" s="27" t="s">
        <v>76</v>
      </c>
      <c r="G159" s="24">
        <v>1381575</v>
      </c>
      <c r="H159" s="24" t="s">
        <v>442</v>
      </c>
      <c r="I159" s="27" t="s">
        <v>76</v>
      </c>
      <c r="J159" s="27" t="s">
        <v>76</v>
      </c>
      <c r="K159" s="24" t="s">
        <v>446</v>
      </c>
      <c r="L159" s="24" t="s">
        <v>753</v>
      </c>
      <c r="M159" s="24" t="s">
        <v>450</v>
      </c>
      <c r="N159" s="26" t="s">
        <v>632</v>
      </c>
      <c r="O159" s="24" t="s">
        <v>87</v>
      </c>
      <c r="P159" s="24"/>
      <c r="Q159" s="24"/>
      <c r="R159" s="24">
        <v>46</v>
      </c>
      <c r="S159" s="24">
        <f>R159</f>
        <v>46</v>
      </c>
      <c r="T159" s="24">
        <v>46</v>
      </c>
      <c r="U159" s="24">
        <f>ROUNDDOWN(S159/HLOOKUP(D159,Table!$C$3:$D$4,2,0)*8,2)</f>
        <v>2.83</v>
      </c>
      <c r="V159" s="24">
        <v>3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161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hidden="1" x14ac:dyDescent="0.25">
      <c r="B160" s="122">
        <f t="shared" si="17"/>
        <v>158</v>
      </c>
      <c r="C160" s="24">
        <v>20200319</v>
      </c>
      <c r="D160" s="25" t="s">
        <v>2</v>
      </c>
      <c r="E160" s="24" t="s">
        <v>437</v>
      </c>
      <c r="F160" s="27" t="s">
        <v>76</v>
      </c>
      <c r="G160" s="24">
        <v>1382215</v>
      </c>
      <c r="H160" s="24" t="s">
        <v>443</v>
      </c>
      <c r="I160" s="27" t="s">
        <v>76</v>
      </c>
      <c r="J160" s="27" t="s">
        <v>76</v>
      </c>
      <c r="K160" s="24" t="s">
        <v>447</v>
      </c>
      <c r="L160" s="24" t="s">
        <v>749</v>
      </c>
      <c r="M160" s="24" t="s">
        <v>451</v>
      </c>
      <c r="N160" s="26" t="s">
        <v>633</v>
      </c>
      <c r="O160" s="24" t="s">
        <v>86</v>
      </c>
      <c r="P160" s="24"/>
      <c r="Q160" s="24"/>
      <c r="R160" s="24">
        <v>60</v>
      </c>
      <c r="S160" s="24">
        <f>R160</f>
        <v>60</v>
      </c>
      <c r="T160" s="24">
        <f>S160</f>
        <v>60</v>
      </c>
      <c r="U160" s="24">
        <f>ROUNDDOWN(S160/HLOOKUP(D160,Table!$C$3:$D$4,2,0)*8,2)</f>
        <v>3.69</v>
      </c>
      <c r="V160" s="24">
        <v>8</v>
      </c>
      <c r="W160" s="24" t="s">
        <v>21</v>
      </c>
      <c r="X160" s="28">
        <v>43913</v>
      </c>
      <c r="Y160" s="28">
        <v>43917</v>
      </c>
      <c r="Z160" s="128">
        <v>43915</v>
      </c>
      <c r="AA160" s="128">
        <v>43915</v>
      </c>
      <c r="AB160" s="31" t="s">
        <v>161</v>
      </c>
      <c r="AC160" s="140">
        <v>100</v>
      </c>
      <c r="AD160" s="140">
        <v>100</v>
      </c>
      <c r="AE160" s="140">
        <v>100</v>
      </c>
      <c r="AF160" s="27" t="s">
        <v>76</v>
      </c>
      <c r="AG160" s="27" t="s">
        <v>76</v>
      </c>
    </row>
    <row r="161" spans="1:33" hidden="1" x14ac:dyDescent="0.25">
      <c r="B161" s="122">
        <f>B160+1</f>
        <v>159</v>
      </c>
      <c r="C161" s="24">
        <v>20200320</v>
      </c>
      <c r="D161" s="24" t="s">
        <v>3</v>
      </c>
      <c r="E161" s="24" t="s">
        <v>636</v>
      </c>
      <c r="F161" s="139" t="s">
        <v>668</v>
      </c>
      <c r="G161" s="24">
        <v>1383781</v>
      </c>
      <c r="H161" s="24" t="s">
        <v>638</v>
      </c>
      <c r="I161" s="49" t="s">
        <v>196</v>
      </c>
      <c r="J161" s="24">
        <v>99663</v>
      </c>
      <c r="K161" s="24" t="s">
        <v>639</v>
      </c>
      <c r="L161" s="27" t="str">
        <f t="shared" ref="L161:L192" si="18">IF(D161="ASW","PUT_VERSION","-")</f>
        <v>-</v>
      </c>
      <c r="M161" s="24" t="s">
        <v>640</v>
      </c>
      <c r="N161" s="26" t="s">
        <v>683</v>
      </c>
      <c r="O161" s="24" t="s">
        <v>88</v>
      </c>
      <c r="P161" s="24"/>
      <c r="Q161" s="24"/>
      <c r="R161" s="24">
        <v>148</v>
      </c>
      <c r="S161" s="24">
        <f>R161</f>
        <v>148</v>
      </c>
      <c r="T161" s="24">
        <f>S161</f>
        <v>148</v>
      </c>
      <c r="U161" s="24">
        <f>ROUNDDOWN(S161/HLOOKUP(D161,Table!$C$3:$D$4,2,0)*8,2)</f>
        <v>2.63</v>
      </c>
      <c r="V161" s="24">
        <v>2</v>
      </c>
      <c r="W161" s="24" t="s">
        <v>21</v>
      </c>
      <c r="X161" s="28">
        <v>43910</v>
      </c>
      <c r="Y161" s="28">
        <v>43917</v>
      </c>
      <c r="Z161" s="28">
        <v>43915</v>
      </c>
      <c r="AA161" s="28">
        <v>43915</v>
      </c>
      <c r="AB161" s="31" t="s">
        <v>160</v>
      </c>
      <c r="AC161" s="24">
        <v>100</v>
      </c>
      <c r="AD161" s="24">
        <v>100</v>
      </c>
      <c r="AE161" s="24">
        <v>83</v>
      </c>
      <c r="AF161" s="27" t="s">
        <v>871</v>
      </c>
      <c r="AG161" s="27" t="s">
        <v>76</v>
      </c>
    </row>
    <row r="162" spans="1:33" hidden="1" x14ac:dyDescent="0.25">
      <c r="B162" s="122">
        <f t="shared" si="17"/>
        <v>160</v>
      </c>
      <c r="C162" s="24">
        <v>20200320</v>
      </c>
      <c r="D162" s="24" t="s">
        <v>3</v>
      </c>
      <c r="E162" s="24" t="s">
        <v>345</v>
      </c>
      <c r="F162" s="27" t="s">
        <v>637</v>
      </c>
      <c r="G162" s="24">
        <v>1369645</v>
      </c>
      <c r="H162" s="24" t="s">
        <v>120</v>
      </c>
      <c r="I162" s="25" t="s">
        <v>197</v>
      </c>
      <c r="J162" s="24">
        <v>80773</v>
      </c>
      <c r="K162" s="24" t="s">
        <v>350</v>
      </c>
      <c r="L162" s="27" t="str">
        <f t="shared" si="18"/>
        <v>-</v>
      </c>
      <c r="M162" s="24" t="s">
        <v>641</v>
      </c>
      <c r="N162" s="26" t="s">
        <v>684</v>
      </c>
      <c r="O162" s="24" t="s">
        <v>88</v>
      </c>
      <c r="P162" s="24"/>
      <c r="Q162" s="24"/>
      <c r="R162" s="24">
        <v>144</v>
      </c>
      <c r="S162" s="24">
        <f>R162</f>
        <v>144</v>
      </c>
      <c r="T162" s="24">
        <f>S162</f>
        <v>144</v>
      </c>
      <c r="U162" s="24">
        <f>ROUNDDOWN(S162/HLOOKUP(D162,Table!$C$3:$D$4,2,0)*8,2)</f>
        <v>2.56</v>
      </c>
      <c r="V162" s="24">
        <v>1.5</v>
      </c>
      <c r="W162" s="24" t="s">
        <v>21</v>
      </c>
      <c r="X162" s="28">
        <v>43910</v>
      </c>
      <c r="Y162" s="28">
        <v>43917</v>
      </c>
      <c r="Z162" s="28">
        <v>43915</v>
      </c>
      <c r="AA162" s="28">
        <v>43915</v>
      </c>
      <c r="AB162" s="31" t="s">
        <v>161</v>
      </c>
      <c r="AC162" s="24">
        <v>100</v>
      </c>
      <c r="AD162" s="24">
        <v>100</v>
      </c>
      <c r="AE162" s="24">
        <v>100</v>
      </c>
      <c r="AF162" s="27" t="s">
        <v>76</v>
      </c>
      <c r="AG162" s="27" t="s">
        <v>76</v>
      </c>
    </row>
    <row r="163" spans="1:33" x14ac:dyDescent="0.25">
      <c r="B163" s="137">
        <f t="shared" si="17"/>
        <v>161</v>
      </c>
      <c r="C163" s="24">
        <v>20200324</v>
      </c>
      <c r="D163" s="24" t="s">
        <v>3</v>
      </c>
      <c r="E163" s="24" t="s">
        <v>642</v>
      </c>
      <c r="F163" s="27" t="s">
        <v>644</v>
      </c>
      <c r="G163" s="24">
        <v>1387954</v>
      </c>
      <c r="H163" s="24" t="s">
        <v>649</v>
      </c>
      <c r="I163" s="49" t="s">
        <v>196</v>
      </c>
      <c r="J163" s="27" t="s">
        <v>76</v>
      </c>
      <c r="K163" s="24" t="s">
        <v>654</v>
      </c>
      <c r="L163" s="27" t="str">
        <f t="shared" si="18"/>
        <v>-</v>
      </c>
      <c r="M163" s="24" t="s">
        <v>421</v>
      </c>
      <c r="N163" s="26" t="s">
        <v>685</v>
      </c>
      <c r="O163" s="24" t="s">
        <v>85</v>
      </c>
      <c r="P163" s="24"/>
      <c r="Q163" s="24"/>
      <c r="R163" s="24">
        <v>341</v>
      </c>
      <c r="S163" s="24">
        <f>R163</f>
        <v>341</v>
      </c>
      <c r="T163" s="24">
        <v>341</v>
      </c>
      <c r="U163" s="24">
        <f>ROUNDDOWN(S163/HLOOKUP(D163,Table!$C$3:$D$4,2,0)*8,2)</f>
        <v>6.06</v>
      </c>
      <c r="V163" s="24">
        <v>6</v>
      </c>
      <c r="W163" s="24" t="s">
        <v>21</v>
      </c>
      <c r="X163" s="128">
        <v>43914</v>
      </c>
      <c r="Y163" s="28">
        <v>43920</v>
      </c>
      <c r="Z163" s="28">
        <v>43917</v>
      </c>
      <c r="AA163" s="28">
        <v>43917</v>
      </c>
      <c r="AB163" s="31" t="s">
        <v>160</v>
      </c>
      <c r="AC163" s="24">
        <v>100</v>
      </c>
      <c r="AD163" s="24">
        <v>100</v>
      </c>
      <c r="AE163" s="24">
        <v>98</v>
      </c>
      <c r="AF163" s="24" t="s">
        <v>754</v>
      </c>
      <c r="AG163" s="27" t="s">
        <v>76</v>
      </c>
    </row>
    <row r="164" spans="1:33" hidden="1" x14ac:dyDescent="0.25">
      <c r="B164" s="137">
        <f t="shared" si="17"/>
        <v>162</v>
      </c>
      <c r="C164" s="24">
        <v>20200324</v>
      </c>
      <c r="D164" s="24" t="s">
        <v>3</v>
      </c>
      <c r="E164" s="24" t="s">
        <v>228</v>
      </c>
      <c r="F164" s="27" t="s">
        <v>645</v>
      </c>
      <c r="G164" s="24">
        <v>1386581</v>
      </c>
      <c r="H164" s="24" t="s">
        <v>650</v>
      </c>
      <c r="I164" s="25" t="s">
        <v>197</v>
      </c>
      <c r="J164" s="135">
        <v>99856</v>
      </c>
      <c r="K164" s="134" t="s">
        <v>243</v>
      </c>
      <c r="L164" s="27" t="str">
        <f t="shared" si="18"/>
        <v>-</v>
      </c>
      <c r="M164" s="24" t="s">
        <v>655</v>
      </c>
      <c r="N164" s="26" t="s">
        <v>686</v>
      </c>
      <c r="O164" s="24" t="s">
        <v>86</v>
      </c>
      <c r="P164" s="24"/>
      <c r="Q164" s="24"/>
      <c r="R164" s="24">
        <v>189</v>
      </c>
      <c r="S164" s="24">
        <f t="shared" ref="S164:S168" si="19">R164</f>
        <v>189</v>
      </c>
      <c r="T164" s="24">
        <f t="shared" ref="T164:T207" si="20">S164</f>
        <v>189</v>
      </c>
      <c r="U164" s="24"/>
      <c r="V164" s="24">
        <f t="shared" ref="V164:V207" si="21">U164</f>
        <v>0</v>
      </c>
      <c r="W164" s="24" t="s">
        <v>21</v>
      </c>
      <c r="X164" s="128">
        <v>43914</v>
      </c>
      <c r="Y164" s="28">
        <v>43920</v>
      </c>
      <c r="Z164" s="28">
        <v>43915</v>
      </c>
      <c r="AA164" s="28">
        <v>43915</v>
      </c>
      <c r="AB164" s="31" t="s">
        <v>161</v>
      </c>
      <c r="AC164" s="140">
        <v>100</v>
      </c>
      <c r="AD164" s="140">
        <v>100</v>
      </c>
      <c r="AE164" s="140">
        <v>100</v>
      </c>
      <c r="AF164" s="27" t="s">
        <v>76</v>
      </c>
      <c r="AG164" s="27" t="s">
        <v>76</v>
      </c>
    </row>
    <row r="165" spans="1:33" hidden="1" x14ac:dyDescent="0.25">
      <c r="B165" s="137">
        <f t="shared" si="17"/>
        <v>163</v>
      </c>
      <c r="C165" s="24">
        <v>20200324</v>
      </c>
      <c r="D165" s="24" t="s">
        <v>3</v>
      </c>
      <c r="E165" s="24" t="s">
        <v>643</v>
      </c>
      <c r="F165" s="27" t="s">
        <v>646</v>
      </c>
      <c r="G165" s="24">
        <v>1386393</v>
      </c>
      <c r="H165" s="24" t="s">
        <v>394</v>
      </c>
      <c r="I165" s="49" t="s">
        <v>196</v>
      </c>
      <c r="J165" s="136">
        <v>82142</v>
      </c>
      <c r="K165" s="24" t="s">
        <v>95</v>
      </c>
      <c r="L165" s="27" t="str">
        <f t="shared" si="18"/>
        <v>-</v>
      </c>
      <c r="M165" s="24" t="s">
        <v>656</v>
      </c>
      <c r="N165" s="26" t="s">
        <v>687</v>
      </c>
      <c r="O165" s="24" t="s">
        <v>87</v>
      </c>
      <c r="P165" s="24"/>
      <c r="Q165" s="24"/>
      <c r="R165" s="24">
        <v>34</v>
      </c>
      <c r="S165" s="25">
        <v>125</v>
      </c>
      <c r="T165" s="26">
        <f t="shared" si="20"/>
        <v>125</v>
      </c>
      <c r="U165" s="24">
        <f>ROUNDDOWN(S165/HLOOKUP(D165,Table!$C$3:$D$4,2,0)*8,2)</f>
        <v>2.2200000000000002</v>
      </c>
      <c r="V165" s="24">
        <f t="shared" si="21"/>
        <v>2.2200000000000002</v>
      </c>
      <c r="W165" s="24" t="s">
        <v>21</v>
      </c>
      <c r="X165" s="128">
        <v>43914</v>
      </c>
      <c r="Y165" s="28">
        <v>43920</v>
      </c>
      <c r="Z165" s="28">
        <v>43915</v>
      </c>
      <c r="AA165" s="28">
        <v>43915</v>
      </c>
      <c r="AB165" s="31" t="s">
        <v>161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hidden="1" x14ac:dyDescent="0.25">
      <c r="B166" s="137">
        <f t="shared" si="17"/>
        <v>164</v>
      </c>
      <c r="C166" s="24">
        <v>20200324</v>
      </c>
      <c r="D166" s="24" t="s">
        <v>3</v>
      </c>
      <c r="E166" s="24" t="s">
        <v>643</v>
      </c>
      <c r="F166" s="27" t="s">
        <v>647</v>
      </c>
      <c r="G166" s="24">
        <v>1386393</v>
      </c>
      <c r="H166" s="24" t="s">
        <v>651</v>
      </c>
      <c r="I166" s="49" t="s">
        <v>196</v>
      </c>
      <c r="J166" s="136">
        <v>82142</v>
      </c>
      <c r="K166" s="24" t="s">
        <v>95</v>
      </c>
      <c r="L166" s="27" t="str">
        <f t="shared" si="18"/>
        <v>-</v>
      </c>
      <c r="M166" s="24" t="s">
        <v>656</v>
      </c>
      <c r="N166" s="26" t="s">
        <v>688</v>
      </c>
      <c r="O166" s="24" t="s">
        <v>87</v>
      </c>
      <c r="P166" s="24"/>
      <c r="Q166" s="24"/>
      <c r="R166" s="24">
        <v>155</v>
      </c>
      <c r="S166" s="25">
        <v>158</v>
      </c>
      <c r="T166" s="24">
        <f t="shared" si="20"/>
        <v>158</v>
      </c>
      <c r="U166" s="24">
        <f>ROUNDDOWN(S166/HLOOKUP(D166,Table!$C$3:$D$4,2,0)*8,2)</f>
        <v>2.8</v>
      </c>
      <c r="V166" s="24">
        <f t="shared" si="21"/>
        <v>2.8</v>
      </c>
      <c r="W166" s="24" t="s">
        <v>21</v>
      </c>
      <c r="X166" s="128">
        <v>43914</v>
      </c>
      <c r="Y166" s="28">
        <v>43920</v>
      </c>
      <c r="Z166" s="28">
        <v>43915</v>
      </c>
      <c r="AA166" s="28">
        <v>43915</v>
      </c>
      <c r="AB166" s="31" t="s">
        <v>161</v>
      </c>
      <c r="AC166" s="24">
        <v>100</v>
      </c>
      <c r="AD166" s="24">
        <v>100</v>
      </c>
      <c r="AE166" s="24">
        <v>100</v>
      </c>
      <c r="AF166" s="27" t="s">
        <v>76</v>
      </c>
      <c r="AG166" s="27" t="s">
        <v>76</v>
      </c>
    </row>
    <row r="167" spans="1:33" hidden="1" x14ac:dyDescent="0.25">
      <c r="B167" s="137">
        <f t="shared" si="17"/>
        <v>165</v>
      </c>
      <c r="C167" s="24">
        <v>20200324</v>
      </c>
      <c r="D167" s="24" t="s">
        <v>3</v>
      </c>
      <c r="E167" s="24" t="s">
        <v>643</v>
      </c>
      <c r="F167" s="27" t="s">
        <v>648</v>
      </c>
      <c r="G167" s="24">
        <v>1386393</v>
      </c>
      <c r="H167" s="24" t="s">
        <v>652</v>
      </c>
      <c r="I167" s="49" t="s">
        <v>196</v>
      </c>
      <c r="J167" s="136">
        <v>82142</v>
      </c>
      <c r="K167" s="24" t="s">
        <v>95</v>
      </c>
      <c r="L167" s="27" t="str">
        <f t="shared" si="18"/>
        <v>-</v>
      </c>
      <c r="M167" s="24" t="s">
        <v>656</v>
      </c>
      <c r="N167" s="26" t="s">
        <v>689</v>
      </c>
      <c r="O167" s="24" t="s">
        <v>87</v>
      </c>
      <c r="P167" s="24"/>
      <c r="Q167" s="24"/>
      <c r="R167" s="24">
        <v>22</v>
      </c>
      <c r="S167" s="26">
        <v>22</v>
      </c>
      <c r="T167" s="24">
        <f t="shared" si="20"/>
        <v>22</v>
      </c>
      <c r="U167" s="24">
        <f>ROUNDDOWN(S167/HLOOKUP(D167,Table!$C$3:$D$4,2,0)*8,2)</f>
        <v>0.39</v>
      </c>
      <c r="V167" s="24">
        <f t="shared" si="21"/>
        <v>0.39</v>
      </c>
      <c r="W167" s="24" t="s">
        <v>21</v>
      </c>
      <c r="X167" s="128">
        <v>43914</v>
      </c>
      <c r="Y167" s="28">
        <v>43920</v>
      </c>
      <c r="Z167" s="28">
        <v>43915</v>
      </c>
      <c r="AA167" s="28">
        <v>43915</v>
      </c>
      <c r="AB167" s="31" t="s">
        <v>161</v>
      </c>
      <c r="AC167" s="24">
        <v>100</v>
      </c>
      <c r="AD167" s="24">
        <v>100</v>
      </c>
      <c r="AE167" s="24">
        <v>100</v>
      </c>
      <c r="AF167" s="27" t="s">
        <v>76</v>
      </c>
      <c r="AG167" s="27" t="s">
        <v>76</v>
      </c>
    </row>
    <row r="168" spans="1:33" hidden="1" x14ac:dyDescent="0.25">
      <c r="B168" s="137">
        <f t="shared" si="17"/>
        <v>166</v>
      </c>
      <c r="C168" s="24">
        <v>20200324</v>
      </c>
      <c r="D168" s="24" t="s">
        <v>3</v>
      </c>
      <c r="E168" s="24" t="s">
        <v>643</v>
      </c>
      <c r="F168" s="27" t="s">
        <v>648</v>
      </c>
      <c r="G168" s="24">
        <v>1386393</v>
      </c>
      <c r="H168" s="24" t="s">
        <v>653</v>
      </c>
      <c r="I168" s="49" t="s">
        <v>196</v>
      </c>
      <c r="J168" s="136">
        <v>82142</v>
      </c>
      <c r="K168" s="24" t="s">
        <v>95</v>
      </c>
      <c r="L168" s="27" t="str">
        <f t="shared" si="18"/>
        <v>-</v>
      </c>
      <c r="M168" s="24" t="s">
        <v>656</v>
      </c>
      <c r="N168" s="26" t="s">
        <v>690</v>
      </c>
      <c r="O168" s="24" t="s">
        <v>87</v>
      </c>
      <c r="P168" s="24"/>
      <c r="Q168" s="24"/>
      <c r="R168" s="24">
        <v>29</v>
      </c>
      <c r="S168" s="24">
        <f t="shared" si="19"/>
        <v>29</v>
      </c>
      <c r="T168" s="24">
        <f t="shared" si="20"/>
        <v>29</v>
      </c>
      <c r="U168" s="24">
        <f>ROUNDDOWN(S168/HLOOKUP(D168,Table!$C$3:$D$4,2,0)*8,2)</f>
        <v>0.51</v>
      </c>
      <c r="V168" s="24">
        <f t="shared" si="21"/>
        <v>0.51</v>
      </c>
      <c r="W168" s="24" t="s">
        <v>21</v>
      </c>
      <c r="X168" s="128">
        <v>43914</v>
      </c>
      <c r="Y168" s="28">
        <v>43920</v>
      </c>
      <c r="Z168" s="28">
        <v>43915</v>
      </c>
      <c r="AA168" s="28">
        <v>43915</v>
      </c>
      <c r="AB168" s="31" t="s">
        <v>161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 hidden="1" x14ac:dyDescent="0.25">
      <c r="B169" s="138">
        <f t="shared" si="17"/>
        <v>167</v>
      </c>
      <c r="C169" s="24">
        <v>20200324</v>
      </c>
      <c r="D169" s="24" t="s">
        <v>3</v>
      </c>
      <c r="E169" s="24" t="s">
        <v>352</v>
      </c>
      <c r="F169" s="27" t="s">
        <v>658</v>
      </c>
      <c r="G169" s="24">
        <v>1388354</v>
      </c>
      <c r="H169" s="24" t="s">
        <v>663</v>
      </c>
      <c r="I169" s="49" t="s">
        <v>196</v>
      </c>
      <c r="J169" s="150">
        <v>8111681175</v>
      </c>
      <c r="K169" s="24" t="s">
        <v>95</v>
      </c>
      <c r="L169" s="27" t="str">
        <f t="shared" si="18"/>
        <v>-</v>
      </c>
      <c r="M169" s="24" t="s">
        <v>666</v>
      </c>
      <c r="N169" s="26" t="s">
        <v>691</v>
      </c>
      <c r="O169" s="24" t="s">
        <v>88</v>
      </c>
      <c r="P169" s="24"/>
      <c r="Q169" s="24"/>
      <c r="R169" s="24">
        <v>65</v>
      </c>
      <c r="S169" s="24">
        <f>R169</f>
        <v>65</v>
      </c>
      <c r="T169" s="24">
        <f t="shared" si="20"/>
        <v>65</v>
      </c>
      <c r="U169" s="24">
        <f>ROUNDDOWN(S169/HLOOKUP(D169,Table!$C$3:$D$4,2,0)*8,2)</f>
        <v>1.1499999999999999</v>
      </c>
      <c r="V169" s="24">
        <f t="shared" si="21"/>
        <v>1.1499999999999999</v>
      </c>
      <c r="W169" s="24" t="s">
        <v>21</v>
      </c>
      <c r="X169" s="128">
        <v>43914</v>
      </c>
      <c r="Y169" s="28">
        <v>43921</v>
      </c>
      <c r="Z169" s="28">
        <v>43915</v>
      </c>
      <c r="AA169" s="28">
        <v>43915</v>
      </c>
      <c r="AB169" s="31" t="s">
        <v>161</v>
      </c>
      <c r="AC169" s="24">
        <v>100</v>
      </c>
      <c r="AD169" s="24">
        <v>100</v>
      </c>
      <c r="AE169" s="24">
        <v>100</v>
      </c>
      <c r="AF169" s="27" t="s">
        <v>76</v>
      </c>
      <c r="AG169" s="27" t="s">
        <v>76</v>
      </c>
    </row>
    <row r="170" spans="1:33" hidden="1" x14ac:dyDescent="0.25">
      <c r="B170" s="138">
        <f t="shared" si="17"/>
        <v>168</v>
      </c>
      <c r="C170" s="24">
        <v>20200324</v>
      </c>
      <c r="D170" s="24" t="s">
        <v>3</v>
      </c>
      <c r="E170" s="24" t="s">
        <v>352</v>
      </c>
      <c r="F170" s="27" t="s">
        <v>658</v>
      </c>
      <c r="G170" s="24">
        <v>1388354</v>
      </c>
      <c r="H170" s="24" t="s">
        <v>394</v>
      </c>
      <c r="I170" s="49" t="s">
        <v>196</v>
      </c>
      <c r="J170" s="150">
        <v>8111681175</v>
      </c>
      <c r="K170" s="24" t="s">
        <v>95</v>
      </c>
      <c r="L170" s="27" t="str">
        <f t="shared" si="18"/>
        <v>-</v>
      </c>
      <c r="M170" s="24" t="s">
        <v>666</v>
      </c>
      <c r="N170" s="26" t="s">
        <v>692</v>
      </c>
      <c r="O170" s="24" t="s">
        <v>86</v>
      </c>
      <c r="P170" s="24"/>
      <c r="Q170" s="24"/>
      <c r="R170" s="24">
        <v>34</v>
      </c>
      <c r="S170" s="24">
        <f t="shared" ref="S170:S177" si="22">R170</f>
        <v>34</v>
      </c>
      <c r="T170" s="24">
        <f t="shared" si="20"/>
        <v>34</v>
      </c>
      <c r="U170" s="24"/>
      <c r="V170" s="24">
        <f t="shared" si="21"/>
        <v>0</v>
      </c>
      <c r="W170" s="24" t="s">
        <v>18</v>
      </c>
      <c r="X170" s="128">
        <v>43914</v>
      </c>
      <c r="Y170" s="28">
        <v>43921</v>
      </c>
      <c r="Z170" s="28">
        <v>43915</v>
      </c>
      <c r="AA170" s="28">
        <v>43915</v>
      </c>
      <c r="AB170" s="31" t="s">
        <v>161</v>
      </c>
      <c r="AC170" s="140">
        <v>100</v>
      </c>
      <c r="AD170" s="140">
        <v>100</v>
      </c>
      <c r="AE170" s="140">
        <v>100</v>
      </c>
      <c r="AF170" s="27" t="s">
        <v>76</v>
      </c>
      <c r="AG170" s="27" t="s">
        <v>76</v>
      </c>
    </row>
    <row r="171" spans="1:33" hidden="1" x14ac:dyDescent="0.25">
      <c r="B171" s="138">
        <f t="shared" si="17"/>
        <v>169</v>
      </c>
      <c r="C171" s="24">
        <v>20200324</v>
      </c>
      <c r="D171" s="24" t="s">
        <v>3</v>
      </c>
      <c r="E171" s="24" t="s">
        <v>352</v>
      </c>
      <c r="F171" s="27" t="s">
        <v>659</v>
      </c>
      <c r="G171" s="24">
        <v>1388354</v>
      </c>
      <c r="H171" s="24" t="s">
        <v>663</v>
      </c>
      <c r="I171" s="49" t="s">
        <v>196</v>
      </c>
      <c r="J171" s="150">
        <v>8111681175</v>
      </c>
      <c r="K171" s="24" t="s">
        <v>95</v>
      </c>
      <c r="L171" s="27" t="str">
        <f t="shared" si="18"/>
        <v>-</v>
      </c>
      <c r="M171" s="24" t="s">
        <v>666</v>
      </c>
      <c r="N171" s="26" t="s">
        <v>693</v>
      </c>
      <c r="O171" s="24" t="s">
        <v>88</v>
      </c>
      <c r="P171" s="24"/>
      <c r="Q171" s="24"/>
      <c r="R171" s="24">
        <v>65</v>
      </c>
      <c r="S171" s="24">
        <f t="shared" si="22"/>
        <v>65</v>
      </c>
      <c r="T171" s="24">
        <f t="shared" si="20"/>
        <v>65</v>
      </c>
      <c r="U171" s="24">
        <f>ROUNDDOWN(S171/HLOOKUP(D171,Table!$C$3:$D$4,2,0)*8,2)</f>
        <v>1.1499999999999999</v>
      </c>
      <c r="V171" s="24">
        <f t="shared" si="21"/>
        <v>1.1499999999999999</v>
      </c>
      <c r="W171" s="24" t="s">
        <v>21</v>
      </c>
      <c r="X171" s="128">
        <v>43914</v>
      </c>
      <c r="Y171" s="28">
        <v>43921</v>
      </c>
      <c r="Z171" s="28">
        <v>43915</v>
      </c>
      <c r="AA171" s="28">
        <v>43915</v>
      </c>
      <c r="AB171" s="31" t="s">
        <v>161</v>
      </c>
      <c r="AC171" s="140">
        <v>100</v>
      </c>
      <c r="AD171" s="140">
        <v>100</v>
      </c>
      <c r="AE171" s="140">
        <v>100</v>
      </c>
      <c r="AF171" s="27" t="s">
        <v>76</v>
      </c>
      <c r="AG171" s="27" t="s">
        <v>76</v>
      </c>
    </row>
    <row r="172" spans="1:33" hidden="1" x14ac:dyDescent="0.25">
      <c r="B172" s="138">
        <f t="shared" si="17"/>
        <v>170</v>
      </c>
      <c r="C172" s="24">
        <v>20200324</v>
      </c>
      <c r="D172" s="24" t="s">
        <v>3</v>
      </c>
      <c r="E172" s="24" t="s">
        <v>352</v>
      </c>
      <c r="F172" s="27" t="s">
        <v>659</v>
      </c>
      <c r="G172" s="24">
        <v>1388354</v>
      </c>
      <c r="H172" s="24" t="s">
        <v>394</v>
      </c>
      <c r="I172" s="49" t="s">
        <v>196</v>
      </c>
      <c r="J172" s="150">
        <v>8111681175</v>
      </c>
      <c r="K172" s="24" t="s">
        <v>95</v>
      </c>
      <c r="L172" s="27" t="str">
        <f t="shared" si="18"/>
        <v>-</v>
      </c>
      <c r="M172" s="24" t="s">
        <v>666</v>
      </c>
      <c r="N172" s="26" t="s">
        <v>694</v>
      </c>
      <c r="O172" s="24" t="s">
        <v>86</v>
      </c>
      <c r="P172" s="24"/>
      <c r="Q172" s="24"/>
      <c r="R172" s="24">
        <v>34</v>
      </c>
      <c r="S172" s="24">
        <f t="shared" si="22"/>
        <v>34</v>
      </c>
      <c r="T172" s="24">
        <f t="shared" si="20"/>
        <v>34</v>
      </c>
      <c r="U172" s="24"/>
      <c r="V172" s="24">
        <f t="shared" si="21"/>
        <v>0</v>
      </c>
      <c r="W172" s="24" t="s">
        <v>18</v>
      </c>
      <c r="X172" s="128">
        <v>43914</v>
      </c>
      <c r="Y172" s="28">
        <v>43921</v>
      </c>
      <c r="Z172" s="28">
        <v>43915</v>
      </c>
      <c r="AA172" s="28">
        <v>43915</v>
      </c>
      <c r="AB172" s="31" t="s">
        <v>161</v>
      </c>
      <c r="AC172" s="140">
        <v>100</v>
      </c>
      <c r="AD172" s="140">
        <v>100</v>
      </c>
      <c r="AE172" s="140">
        <v>100</v>
      </c>
      <c r="AF172" s="27" t="s">
        <v>76</v>
      </c>
      <c r="AG172" s="27" t="s">
        <v>76</v>
      </c>
    </row>
    <row r="173" spans="1:33" x14ac:dyDescent="0.25">
      <c r="B173" s="138">
        <f t="shared" si="17"/>
        <v>171</v>
      </c>
      <c r="C173" s="24">
        <v>20200324</v>
      </c>
      <c r="D173" s="24" t="s">
        <v>3</v>
      </c>
      <c r="E173" s="24" t="s">
        <v>352</v>
      </c>
      <c r="F173" s="27" t="s">
        <v>660</v>
      </c>
      <c r="G173" s="24">
        <v>1388271</v>
      </c>
      <c r="H173" s="24" t="s">
        <v>663</v>
      </c>
      <c r="I173" s="49" t="s">
        <v>196</v>
      </c>
      <c r="J173" s="150">
        <v>8198981990</v>
      </c>
      <c r="K173" s="24" t="s">
        <v>95</v>
      </c>
      <c r="L173" s="27" t="str">
        <f t="shared" si="18"/>
        <v>-</v>
      </c>
      <c r="M173" s="24" t="s">
        <v>666</v>
      </c>
      <c r="N173" s="26" t="s">
        <v>695</v>
      </c>
      <c r="O173" s="24" t="s">
        <v>85</v>
      </c>
      <c r="P173" s="24"/>
      <c r="Q173" s="24"/>
      <c r="R173" s="24">
        <v>65</v>
      </c>
      <c r="S173" s="24">
        <f t="shared" si="22"/>
        <v>65</v>
      </c>
      <c r="T173" s="24">
        <v>65</v>
      </c>
      <c r="U173" s="24">
        <f>ROUNDDOWN(S173/HLOOKUP(D173,Table!$C$3:$D$4,2,0)*8,2)</f>
        <v>1.1499999999999999</v>
      </c>
      <c r="V173" s="24">
        <v>1</v>
      </c>
      <c r="W173" s="24" t="s">
        <v>18</v>
      </c>
      <c r="X173" s="128">
        <v>43914</v>
      </c>
      <c r="Y173" s="28">
        <v>43921</v>
      </c>
      <c r="Z173" s="28">
        <v>43917</v>
      </c>
      <c r="AA173" s="28">
        <v>43917</v>
      </c>
      <c r="AB173" s="31" t="s">
        <v>161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 hidden="1" x14ac:dyDescent="0.25">
      <c r="B174" s="138">
        <f t="shared" si="17"/>
        <v>172</v>
      </c>
      <c r="C174" s="24">
        <v>20200324</v>
      </c>
      <c r="D174" s="24" t="s">
        <v>3</v>
      </c>
      <c r="E174" s="24" t="s">
        <v>352</v>
      </c>
      <c r="F174" s="27" t="s">
        <v>660</v>
      </c>
      <c r="G174" s="24">
        <v>1388271</v>
      </c>
      <c r="H174" s="24" t="s">
        <v>394</v>
      </c>
      <c r="I174" s="49" t="s">
        <v>196</v>
      </c>
      <c r="J174" s="150">
        <v>8198981990</v>
      </c>
      <c r="K174" s="24" t="s">
        <v>95</v>
      </c>
      <c r="L174" s="27" t="str">
        <f t="shared" si="18"/>
        <v>-</v>
      </c>
      <c r="M174" s="24" t="s">
        <v>666</v>
      </c>
      <c r="N174" s="26" t="s">
        <v>696</v>
      </c>
      <c r="O174" s="24" t="s">
        <v>86</v>
      </c>
      <c r="P174" s="24"/>
      <c r="Q174" s="24"/>
      <c r="R174" s="24">
        <v>34</v>
      </c>
      <c r="S174" s="24">
        <f t="shared" si="22"/>
        <v>34</v>
      </c>
      <c r="T174" s="24">
        <f t="shared" si="20"/>
        <v>34</v>
      </c>
      <c r="U174" s="24"/>
      <c r="V174" s="24">
        <f t="shared" si="21"/>
        <v>0</v>
      </c>
      <c r="W174" s="24" t="s">
        <v>18</v>
      </c>
      <c r="X174" s="128">
        <v>43914</v>
      </c>
      <c r="Y174" s="28">
        <v>43921</v>
      </c>
      <c r="Z174" s="28">
        <v>43915</v>
      </c>
      <c r="AA174" s="28">
        <v>43915</v>
      </c>
      <c r="AB174" s="31" t="s">
        <v>161</v>
      </c>
      <c r="AC174" s="140">
        <v>100</v>
      </c>
      <c r="AD174" s="140">
        <v>100</v>
      </c>
      <c r="AE174" s="140">
        <v>100</v>
      </c>
      <c r="AF174" s="27" t="s">
        <v>76</v>
      </c>
      <c r="AG174" s="27" t="s">
        <v>76</v>
      </c>
    </row>
    <row r="175" spans="1:33" x14ac:dyDescent="0.25">
      <c r="B175" s="138">
        <f t="shared" si="17"/>
        <v>173</v>
      </c>
      <c r="C175" s="24">
        <v>20200324</v>
      </c>
      <c r="D175" s="24" t="s">
        <v>3</v>
      </c>
      <c r="E175" s="24" t="s">
        <v>352</v>
      </c>
      <c r="F175" s="27" t="s">
        <v>661</v>
      </c>
      <c r="G175" s="24">
        <v>1388271</v>
      </c>
      <c r="H175" s="24" t="s">
        <v>663</v>
      </c>
      <c r="I175" s="49" t="s">
        <v>196</v>
      </c>
      <c r="J175" s="150">
        <v>8198981990</v>
      </c>
      <c r="K175" s="24" t="s">
        <v>95</v>
      </c>
      <c r="L175" s="27" t="str">
        <f t="shared" si="18"/>
        <v>-</v>
      </c>
      <c r="M175" s="24" t="s">
        <v>666</v>
      </c>
      <c r="N175" s="26" t="s">
        <v>697</v>
      </c>
      <c r="O175" s="24" t="s">
        <v>85</v>
      </c>
      <c r="P175" s="24"/>
      <c r="Q175" s="24"/>
      <c r="R175" s="24">
        <v>65</v>
      </c>
      <c r="S175" s="24">
        <f t="shared" si="22"/>
        <v>65</v>
      </c>
      <c r="T175" s="24">
        <v>65</v>
      </c>
      <c r="U175" s="24">
        <f>ROUNDDOWN(S175/HLOOKUP(D175,Table!$C$3:$D$4,2,0)*8,2)</f>
        <v>1.1499999999999999</v>
      </c>
      <c r="V175" s="24">
        <v>1</v>
      </c>
      <c r="W175" s="24" t="s">
        <v>18</v>
      </c>
      <c r="X175" s="128">
        <v>43914</v>
      </c>
      <c r="Y175" s="28">
        <v>43921</v>
      </c>
      <c r="Z175" s="28">
        <v>43917</v>
      </c>
      <c r="AA175" s="28">
        <v>43917</v>
      </c>
      <c r="AB175" s="31" t="s">
        <v>161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hidden="1" x14ac:dyDescent="0.25">
      <c r="B176" s="138">
        <f t="shared" si="17"/>
        <v>174</v>
      </c>
      <c r="C176" s="24">
        <v>20200324</v>
      </c>
      <c r="D176" s="24" t="s">
        <v>3</v>
      </c>
      <c r="E176" s="24" t="s">
        <v>352</v>
      </c>
      <c r="F176" s="27" t="s">
        <v>661</v>
      </c>
      <c r="G176" s="24">
        <v>1388271</v>
      </c>
      <c r="H176" s="24" t="s">
        <v>394</v>
      </c>
      <c r="I176" s="49" t="s">
        <v>196</v>
      </c>
      <c r="J176" s="150">
        <v>8198981990</v>
      </c>
      <c r="K176" s="24" t="s">
        <v>95</v>
      </c>
      <c r="L176" s="27" t="str">
        <f t="shared" si="18"/>
        <v>-</v>
      </c>
      <c r="M176" s="24" t="s">
        <v>666</v>
      </c>
      <c r="N176" s="26" t="s">
        <v>698</v>
      </c>
      <c r="O176" s="24" t="s">
        <v>86</v>
      </c>
      <c r="P176" s="24"/>
      <c r="Q176" s="24"/>
      <c r="R176" s="24">
        <v>34</v>
      </c>
      <c r="S176" s="24">
        <f t="shared" si="22"/>
        <v>34</v>
      </c>
      <c r="T176" s="24">
        <f t="shared" si="20"/>
        <v>34</v>
      </c>
      <c r="U176" s="24"/>
      <c r="V176" s="24">
        <f t="shared" si="21"/>
        <v>0</v>
      </c>
      <c r="W176" s="24" t="s">
        <v>18</v>
      </c>
      <c r="X176" s="128">
        <v>43914</v>
      </c>
      <c r="Y176" s="28">
        <v>43921</v>
      </c>
      <c r="Z176" s="28">
        <v>43915</v>
      </c>
      <c r="AA176" s="28">
        <v>43915</v>
      </c>
      <c r="AB176" s="31" t="s">
        <v>161</v>
      </c>
      <c r="AC176" s="140">
        <v>100</v>
      </c>
      <c r="AD176" s="140">
        <v>100</v>
      </c>
      <c r="AE176" s="140">
        <v>100</v>
      </c>
      <c r="AF176" s="27" t="s">
        <v>76</v>
      </c>
      <c r="AG176" s="27" t="s">
        <v>76</v>
      </c>
    </row>
    <row r="177" spans="1:33" hidden="1" x14ac:dyDescent="0.25">
      <c r="B177" s="138">
        <f t="shared" si="17"/>
        <v>175</v>
      </c>
      <c r="C177" s="24">
        <v>20200324</v>
      </c>
      <c r="D177" s="24" t="s">
        <v>3</v>
      </c>
      <c r="E177" s="24" t="s">
        <v>657</v>
      </c>
      <c r="F177" s="27" t="s">
        <v>662</v>
      </c>
      <c r="G177" s="24">
        <v>1388032</v>
      </c>
      <c r="H177" s="24" t="s">
        <v>664</v>
      </c>
      <c r="I177" s="49" t="s">
        <v>196</v>
      </c>
      <c r="J177" s="24">
        <v>99186</v>
      </c>
      <c r="K177" s="24" t="s">
        <v>665</v>
      </c>
      <c r="L177" s="27" t="str">
        <f t="shared" si="18"/>
        <v>-</v>
      </c>
      <c r="M177" s="24" t="s">
        <v>667</v>
      </c>
      <c r="N177" s="26" t="s">
        <v>699</v>
      </c>
      <c r="O177" s="24" t="s">
        <v>87</v>
      </c>
      <c r="P177" s="24"/>
      <c r="Q177" s="24"/>
      <c r="R177" s="24">
        <v>61</v>
      </c>
      <c r="S177" s="24">
        <f t="shared" si="22"/>
        <v>61</v>
      </c>
      <c r="T177" s="24">
        <f t="shared" si="20"/>
        <v>61</v>
      </c>
      <c r="U177" s="24">
        <f>ROUNDDOWN(S177/HLOOKUP(D177,Table!$C$3:$D$4,2,0)*8,2)</f>
        <v>1.08</v>
      </c>
      <c r="V177" s="24">
        <f t="shared" si="21"/>
        <v>1.08</v>
      </c>
      <c r="W177" s="24" t="s">
        <v>18</v>
      </c>
      <c r="X177" s="128">
        <v>43914</v>
      </c>
      <c r="Y177" s="28">
        <v>43921</v>
      </c>
      <c r="Z177" s="28">
        <v>43915</v>
      </c>
      <c r="AA177" s="28">
        <v>43915</v>
      </c>
      <c r="AB177" s="31" t="s">
        <v>161</v>
      </c>
      <c r="AC177" s="24">
        <v>100</v>
      </c>
      <c r="AD177" s="24">
        <v>100</v>
      </c>
      <c r="AE177" s="24">
        <v>100</v>
      </c>
      <c r="AF177" s="27" t="s">
        <v>76</v>
      </c>
      <c r="AG177" s="27" t="s">
        <v>76</v>
      </c>
    </row>
    <row r="178" spans="1:33" x14ac:dyDescent="0.25">
      <c r="B178" s="142">
        <f t="shared" si="17"/>
        <v>176</v>
      </c>
      <c r="C178" s="24">
        <v>20200325</v>
      </c>
      <c r="D178" s="24" t="s">
        <v>3</v>
      </c>
      <c r="E178" s="24" t="s">
        <v>67</v>
      </c>
      <c r="F178" s="27" t="s">
        <v>671</v>
      </c>
      <c r="G178" s="24">
        <v>1388833</v>
      </c>
      <c r="H178" s="24" t="s">
        <v>672</v>
      </c>
      <c r="I178" s="49" t="s">
        <v>196</v>
      </c>
      <c r="J178" s="24"/>
      <c r="K178" s="24" t="s">
        <v>674</v>
      </c>
      <c r="L178" s="27" t="str">
        <f t="shared" si="18"/>
        <v>-</v>
      </c>
      <c r="M178" s="24" t="s">
        <v>675</v>
      </c>
      <c r="N178" s="26" t="s">
        <v>700</v>
      </c>
      <c r="O178" s="24" t="s">
        <v>85</v>
      </c>
      <c r="P178" s="24"/>
      <c r="Q178" s="24"/>
      <c r="R178" s="24">
        <v>168</v>
      </c>
      <c r="S178" s="25">
        <v>860</v>
      </c>
      <c r="T178" s="24">
        <f>S178</f>
        <v>860</v>
      </c>
      <c r="U178" s="24">
        <f>ROUNDDOWN(S178/HLOOKUP(D178,Table!$C$3:$D$4,2,0)*8,2)</f>
        <v>15.28</v>
      </c>
      <c r="V178" s="24">
        <v>8</v>
      </c>
      <c r="W178" s="24" t="s">
        <v>18</v>
      </c>
      <c r="X178" s="128">
        <v>43914</v>
      </c>
      <c r="Y178" s="28">
        <v>43920</v>
      </c>
      <c r="Z178" s="28">
        <v>43920</v>
      </c>
      <c r="AA178" s="28">
        <v>43920</v>
      </c>
      <c r="AB178" s="31" t="s">
        <v>160</v>
      </c>
      <c r="AC178" s="24">
        <v>100</v>
      </c>
      <c r="AD178" s="24">
        <v>100</v>
      </c>
      <c r="AE178" s="24">
        <v>98</v>
      </c>
      <c r="AF178" s="27" t="s">
        <v>755</v>
      </c>
      <c r="AG178" s="27" t="s">
        <v>76</v>
      </c>
    </row>
    <row r="179" spans="1:33" x14ac:dyDescent="0.25">
      <c r="B179" s="142">
        <f t="shared" si="17"/>
        <v>177</v>
      </c>
      <c r="C179" s="24">
        <v>20200325</v>
      </c>
      <c r="D179" s="24" t="s">
        <v>3</v>
      </c>
      <c r="E179" s="24" t="s">
        <v>67</v>
      </c>
      <c r="F179" s="27" t="s">
        <v>671</v>
      </c>
      <c r="G179" s="24">
        <v>1380537</v>
      </c>
      <c r="H179" s="24" t="s">
        <v>280</v>
      </c>
      <c r="I179" s="49" t="s">
        <v>196</v>
      </c>
      <c r="J179" s="24">
        <v>81650</v>
      </c>
      <c r="K179" s="24" t="s">
        <v>674</v>
      </c>
      <c r="L179" s="27" t="str">
        <f t="shared" si="18"/>
        <v>-</v>
      </c>
      <c r="M179" s="24" t="s">
        <v>675</v>
      </c>
      <c r="N179" s="26" t="s">
        <v>701</v>
      </c>
      <c r="O179" s="24" t="s">
        <v>85</v>
      </c>
      <c r="P179" s="24"/>
      <c r="Q179" s="24"/>
      <c r="R179" s="24">
        <v>259</v>
      </c>
      <c r="S179" s="24">
        <f t="shared" ref="S179" si="23">R179</f>
        <v>259</v>
      </c>
      <c r="T179" s="24">
        <f t="shared" ref="T179:T180" si="24">S179</f>
        <v>259</v>
      </c>
      <c r="U179" s="24">
        <f>ROUNDDOWN(S179/HLOOKUP(D179,Table!$C$3:$D$4,2,0)*8,2)</f>
        <v>4.5999999999999996</v>
      </c>
      <c r="V179" s="24">
        <v>4</v>
      </c>
      <c r="W179" s="24" t="s">
        <v>18</v>
      </c>
      <c r="X179" s="28">
        <v>43915</v>
      </c>
      <c r="Y179" s="28">
        <v>43920</v>
      </c>
      <c r="Z179" s="28">
        <v>43920</v>
      </c>
      <c r="AA179" s="28">
        <v>43920</v>
      </c>
      <c r="AB179" s="31" t="s">
        <v>160</v>
      </c>
      <c r="AC179" s="24">
        <v>100</v>
      </c>
      <c r="AD179" s="24">
        <v>100</v>
      </c>
      <c r="AE179" s="24">
        <v>93</v>
      </c>
      <c r="AF179" s="27" t="s">
        <v>755</v>
      </c>
      <c r="AG179" s="27" t="s">
        <v>76</v>
      </c>
    </row>
    <row r="180" spans="1:33" x14ac:dyDescent="0.25">
      <c r="B180" s="142">
        <f t="shared" si="17"/>
        <v>178</v>
      </c>
      <c r="C180" s="24">
        <v>20200325</v>
      </c>
      <c r="D180" s="24" t="s">
        <v>3</v>
      </c>
      <c r="E180" s="24" t="s">
        <v>67</v>
      </c>
      <c r="F180" s="27" t="s">
        <v>671</v>
      </c>
      <c r="G180" s="24">
        <v>1380537</v>
      </c>
      <c r="H180" s="24" t="s">
        <v>673</v>
      </c>
      <c r="I180" s="49" t="s">
        <v>196</v>
      </c>
      <c r="J180" s="24">
        <v>81650</v>
      </c>
      <c r="K180" s="24" t="s">
        <v>674</v>
      </c>
      <c r="L180" s="27" t="str">
        <f t="shared" si="18"/>
        <v>-</v>
      </c>
      <c r="M180" s="24" t="s">
        <v>675</v>
      </c>
      <c r="N180" s="26" t="s">
        <v>702</v>
      </c>
      <c r="O180" s="24" t="s">
        <v>85</v>
      </c>
      <c r="P180" s="24"/>
      <c r="Q180" s="24"/>
      <c r="R180" s="24">
        <v>115</v>
      </c>
      <c r="S180" s="24">
        <v>176</v>
      </c>
      <c r="T180" s="24">
        <f t="shared" si="24"/>
        <v>176</v>
      </c>
      <c r="U180" s="24">
        <f>ROUNDDOWN(S180/HLOOKUP(D180,Table!$C$3:$D$4,2,0)*8,2)</f>
        <v>3.12</v>
      </c>
      <c r="V180" s="24">
        <v>3</v>
      </c>
      <c r="W180" s="24" t="s">
        <v>18</v>
      </c>
      <c r="X180" s="28">
        <v>43915</v>
      </c>
      <c r="Y180" s="28">
        <v>43920</v>
      </c>
      <c r="Z180" s="28">
        <v>43920</v>
      </c>
      <c r="AA180" s="28">
        <v>43920</v>
      </c>
      <c r="AB180" s="31" t="s">
        <v>161</v>
      </c>
      <c r="AC180" s="24">
        <v>100</v>
      </c>
      <c r="AD180" s="24">
        <v>100</v>
      </c>
      <c r="AE180" s="24">
        <v>100</v>
      </c>
      <c r="AF180" s="27" t="s">
        <v>76</v>
      </c>
      <c r="AG180" s="27" t="s">
        <v>76</v>
      </c>
    </row>
    <row r="181" spans="1:33" x14ac:dyDescent="0.25">
      <c r="B181" s="141">
        <f t="shared" si="17"/>
        <v>179</v>
      </c>
      <c r="C181" s="26" t="s">
        <v>681</v>
      </c>
      <c r="D181" s="24" t="s">
        <v>3</v>
      </c>
      <c r="E181" s="24" t="s">
        <v>112</v>
      </c>
      <c r="F181" s="27" t="s">
        <v>200</v>
      </c>
      <c r="G181" s="24">
        <v>1341660</v>
      </c>
      <c r="H181" s="26" t="s">
        <v>113</v>
      </c>
      <c r="I181" s="25" t="s">
        <v>197</v>
      </c>
      <c r="J181" s="24" t="s">
        <v>76</v>
      </c>
      <c r="K181" s="24" t="s">
        <v>163</v>
      </c>
      <c r="L181" s="27" t="str">
        <f t="shared" si="18"/>
        <v>-</v>
      </c>
      <c r="M181" s="27" t="s">
        <v>371</v>
      </c>
      <c r="N181" s="26" t="s">
        <v>703</v>
      </c>
      <c r="O181" s="24" t="s">
        <v>85</v>
      </c>
      <c r="P181" s="24"/>
      <c r="Q181" s="24"/>
      <c r="R181" s="24">
        <v>77</v>
      </c>
      <c r="S181" s="24">
        <v>77</v>
      </c>
      <c r="T181" s="24"/>
      <c r="U181" s="24">
        <f>ROUNDDOWN(S181/HLOOKUP(D181,Table!$C$3:$D$4,2,0)*8,2)</f>
        <v>1.36</v>
      </c>
      <c r="V181" s="24"/>
      <c r="W181" s="24"/>
      <c r="X181" s="128">
        <v>43913</v>
      </c>
      <c r="Y181" s="28">
        <v>43921</v>
      </c>
      <c r="Z181" s="28"/>
      <c r="AA181" s="28"/>
      <c r="AB181" s="28" t="s">
        <v>161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 x14ac:dyDescent="0.25">
      <c r="B182" s="141">
        <f t="shared" si="17"/>
        <v>180</v>
      </c>
      <c r="C182" s="26" t="s">
        <v>681</v>
      </c>
      <c r="D182" s="24" t="s">
        <v>3</v>
      </c>
      <c r="E182" s="24" t="s">
        <v>112</v>
      </c>
      <c r="F182" s="27" t="s">
        <v>200</v>
      </c>
      <c r="G182" s="24">
        <v>1341660</v>
      </c>
      <c r="H182" s="26" t="s">
        <v>114</v>
      </c>
      <c r="I182" s="25" t="s">
        <v>197</v>
      </c>
      <c r="J182" s="24" t="s">
        <v>76</v>
      </c>
      <c r="K182" s="24" t="s">
        <v>163</v>
      </c>
      <c r="L182" s="27" t="str">
        <f t="shared" si="18"/>
        <v>-</v>
      </c>
      <c r="M182" s="27" t="s">
        <v>371</v>
      </c>
      <c r="N182" s="26" t="s">
        <v>704</v>
      </c>
      <c r="O182" s="24" t="s">
        <v>85</v>
      </c>
      <c r="P182" s="24"/>
      <c r="Q182" s="24"/>
      <c r="R182" s="24">
        <v>44</v>
      </c>
      <c r="S182" s="24">
        <v>44</v>
      </c>
      <c r="T182" s="24"/>
      <c r="U182" s="24">
        <f>ROUNDDOWN(S182/HLOOKUP(D182,Table!$C$3:$D$4,2,0)*8,2)</f>
        <v>0.78</v>
      </c>
      <c r="V182" s="24"/>
      <c r="W182" s="24"/>
      <c r="X182" s="128">
        <v>43913</v>
      </c>
      <c r="Y182" s="28">
        <v>43921</v>
      </c>
      <c r="Z182" s="28"/>
      <c r="AA182" s="28"/>
      <c r="AB182" s="28" t="s">
        <v>161</v>
      </c>
      <c r="AC182" s="24">
        <v>100</v>
      </c>
      <c r="AD182" s="24">
        <v>100</v>
      </c>
      <c r="AE182" s="24">
        <v>100</v>
      </c>
      <c r="AF182" s="27" t="s">
        <v>76</v>
      </c>
      <c r="AG182" s="27" t="s">
        <v>76</v>
      </c>
    </row>
    <row r="183" spans="1:33" x14ac:dyDescent="0.25">
      <c r="B183" s="141">
        <f t="shared" si="17"/>
        <v>181</v>
      </c>
      <c r="C183" s="26" t="s">
        <v>681</v>
      </c>
      <c r="D183" s="24" t="s">
        <v>3</v>
      </c>
      <c r="E183" s="24" t="s">
        <v>112</v>
      </c>
      <c r="F183" s="27" t="s">
        <v>200</v>
      </c>
      <c r="G183" s="24">
        <v>1341660</v>
      </c>
      <c r="H183" s="26" t="s">
        <v>115</v>
      </c>
      <c r="I183" s="25" t="s">
        <v>197</v>
      </c>
      <c r="J183" s="24" t="s">
        <v>76</v>
      </c>
      <c r="K183" s="24" t="s">
        <v>163</v>
      </c>
      <c r="L183" s="27" t="str">
        <f t="shared" si="18"/>
        <v>-</v>
      </c>
      <c r="M183" s="27" t="s">
        <v>371</v>
      </c>
      <c r="N183" s="26" t="s">
        <v>705</v>
      </c>
      <c r="O183" s="24" t="s">
        <v>85</v>
      </c>
      <c r="P183" s="24"/>
      <c r="Q183" s="24"/>
      <c r="R183" s="24">
        <v>210</v>
      </c>
      <c r="S183" s="24">
        <v>210</v>
      </c>
      <c r="T183" s="24">
        <v>210</v>
      </c>
      <c r="U183" s="24">
        <f>ROUNDDOWN(S183/HLOOKUP(D183,Table!$C$3:$D$4,2,0)*8,2)</f>
        <v>3.73</v>
      </c>
      <c r="V183" s="24">
        <v>4</v>
      </c>
      <c r="W183" s="24" t="s">
        <v>18</v>
      </c>
      <c r="X183" s="128">
        <v>43913</v>
      </c>
      <c r="Y183" s="28">
        <v>43921</v>
      </c>
      <c r="Z183" s="28">
        <v>43921</v>
      </c>
      <c r="AA183" s="28">
        <v>43921</v>
      </c>
      <c r="AB183" s="28" t="s">
        <v>161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41">
        <f t="shared" si="17"/>
        <v>182</v>
      </c>
      <c r="C184" s="26" t="s">
        <v>681</v>
      </c>
      <c r="D184" s="24" t="s">
        <v>3</v>
      </c>
      <c r="E184" s="24" t="s">
        <v>112</v>
      </c>
      <c r="F184" s="27" t="s">
        <v>198</v>
      </c>
      <c r="G184" s="24">
        <v>1341660</v>
      </c>
      <c r="H184" s="26" t="s">
        <v>116</v>
      </c>
      <c r="I184" s="25" t="s">
        <v>197</v>
      </c>
      <c r="J184" s="24" t="s">
        <v>76</v>
      </c>
      <c r="K184" s="24" t="s">
        <v>163</v>
      </c>
      <c r="L184" s="27" t="str">
        <f t="shared" si="18"/>
        <v>-</v>
      </c>
      <c r="M184" s="27" t="s">
        <v>371</v>
      </c>
      <c r="N184" s="26" t="s">
        <v>706</v>
      </c>
      <c r="O184" s="24" t="s">
        <v>85</v>
      </c>
      <c r="P184" s="24"/>
      <c r="Q184" s="24"/>
      <c r="R184" s="24">
        <v>622</v>
      </c>
      <c r="S184" s="24">
        <v>622</v>
      </c>
      <c r="T184" s="24">
        <v>622</v>
      </c>
      <c r="U184" s="24">
        <f>ROUNDDOWN(S184/HLOOKUP(D184,Table!$C$3:$D$4,2,0)*8,2)</f>
        <v>11.05</v>
      </c>
      <c r="V184" s="24">
        <v>6</v>
      </c>
      <c r="W184" s="24" t="s">
        <v>18</v>
      </c>
      <c r="X184" s="128">
        <v>43913</v>
      </c>
      <c r="Y184" s="28">
        <v>43921</v>
      </c>
      <c r="Z184" s="28">
        <v>43922</v>
      </c>
      <c r="AA184" s="28">
        <v>43922</v>
      </c>
      <c r="AB184" s="28" t="s">
        <v>161</v>
      </c>
      <c r="AC184" s="24">
        <v>100</v>
      </c>
      <c r="AD184" s="24">
        <v>100</v>
      </c>
      <c r="AE184" s="24">
        <v>100</v>
      </c>
      <c r="AF184" s="27" t="s">
        <v>76</v>
      </c>
      <c r="AG184" s="27" t="s">
        <v>76</v>
      </c>
    </row>
    <row r="185" spans="1:33" hidden="1" x14ac:dyDescent="0.25">
      <c r="B185" s="141">
        <f t="shared" si="17"/>
        <v>183</v>
      </c>
      <c r="C185" s="26" t="s">
        <v>681</v>
      </c>
      <c r="D185" s="24" t="s">
        <v>3</v>
      </c>
      <c r="E185" s="24" t="s">
        <v>112</v>
      </c>
      <c r="F185" s="27" t="s">
        <v>198</v>
      </c>
      <c r="G185" s="24">
        <v>1341660</v>
      </c>
      <c r="H185" s="26" t="s">
        <v>117</v>
      </c>
      <c r="I185" s="25" t="s">
        <v>197</v>
      </c>
      <c r="J185" s="24" t="s">
        <v>76</v>
      </c>
      <c r="K185" s="24" t="s">
        <v>163</v>
      </c>
      <c r="L185" s="27" t="str">
        <f t="shared" si="18"/>
        <v>-</v>
      </c>
      <c r="M185" s="27" t="s">
        <v>371</v>
      </c>
      <c r="N185" s="26" t="s">
        <v>707</v>
      </c>
      <c r="O185" s="24" t="s">
        <v>88</v>
      </c>
      <c r="P185" s="24"/>
      <c r="Q185" s="24"/>
      <c r="R185" s="24">
        <v>97</v>
      </c>
      <c r="S185" s="24">
        <f t="shared" ref="S185:S188" si="25">R185</f>
        <v>97</v>
      </c>
      <c r="T185" s="24">
        <f t="shared" si="20"/>
        <v>97</v>
      </c>
      <c r="U185" s="24">
        <f>ROUNDDOWN(S185/HLOOKUP(D185,Table!$C$3:$D$4,2,0)*8,2)</f>
        <v>1.72</v>
      </c>
      <c r="V185" s="24">
        <f t="shared" si="21"/>
        <v>1.72</v>
      </c>
      <c r="W185" s="24"/>
      <c r="X185" s="128">
        <v>43913</v>
      </c>
      <c r="Y185" s="28">
        <v>43921</v>
      </c>
      <c r="Z185" s="28"/>
      <c r="AA185" s="28"/>
      <c r="AB185" s="28" t="s">
        <v>161</v>
      </c>
      <c r="AC185" s="24">
        <v>100</v>
      </c>
      <c r="AD185" s="24">
        <v>100</v>
      </c>
      <c r="AE185" s="24">
        <v>100</v>
      </c>
      <c r="AF185" s="27" t="s">
        <v>76</v>
      </c>
      <c r="AG185" s="27" t="s">
        <v>76</v>
      </c>
    </row>
    <row r="186" spans="1:33" hidden="1" x14ac:dyDescent="0.25">
      <c r="B186" s="141">
        <f t="shared" si="17"/>
        <v>184</v>
      </c>
      <c r="C186" s="26" t="s">
        <v>681</v>
      </c>
      <c r="D186" s="24" t="s">
        <v>3</v>
      </c>
      <c r="E186" s="24" t="s">
        <v>112</v>
      </c>
      <c r="F186" s="27" t="s">
        <v>198</v>
      </c>
      <c r="G186" s="24">
        <v>1341660</v>
      </c>
      <c r="H186" s="26" t="s">
        <v>118</v>
      </c>
      <c r="I186" s="25" t="s">
        <v>197</v>
      </c>
      <c r="J186" s="24" t="s">
        <v>76</v>
      </c>
      <c r="K186" s="24" t="s">
        <v>163</v>
      </c>
      <c r="L186" s="27" t="str">
        <f t="shared" si="18"/>
        <v>-</v>
      </c>
      <c r="M186" s="27" t="s">
        <v>371</v>
      </c>
      <c r="N186" s="26" t="s">
        <v>708</v>
      </c>
      <c r="O186" s="24" t="s">
        <v>88</v>
      </c>
      <c r="P186" s="24"/>
      <c r="Q186" s="24"/>
      <c r="R186" s="24">
        <v>100</v>
      </c>
      <c r="S186" s="24">
        <f t="shared" si="25"/>
        <v>100</v>
      </c>
      <c r="T186" s="24">
        <f t="shared" si="20"/>
        <v>100</v>
      </c>
      <c r="U186" s="24">
        <f>ROUNDDOWN(S186/HLOOKUP(D186,Table!$C$3:$D$4,2,0)*8,2)</f>
        <v>1.77</v>
      </c>
      <c r="V186" s="24">
        <f t="shared" si="21"/>
        <v>1.77</v>
      </c>
      <c r="W186" s="24"/>
      <c r="X186" s="128">
        <v>43913</v>
      </c>
      <c r="Y186" s="28">
        <v>43921</v>
      </c>
      <c r="Z186" s="28"/>
      <c r="AA186" s="28"/>
      <c r="AB186" s="28" t="s">
        <v>161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 hidden="1" x14ac:dyDescent="0.25">
      <c r="B187" s="141">
        <f t="shared" si="17"/>
        <v>185</v>
      </c>
      <c r="C187" s="26" t="s">
        <v>681</v>
      </c>
      <c r="D187" s="24" t="s">
        <v>3</v>
      </c>
      <c r="E187" s="24" t="s">
        <v>112</v>
      </c>
      <c r="F187" s="27" t="s">
        <v>198</v>
      </c>
      <c r="G187" s="24">
        <v>1341660</v>
      </c>
      <c r="H187" s="26" t="s">
        <v>119</v>
      </c>
      <c r="I187" s="25" t="s">
        <v>197</v>
      </c>
      <c r="J187" s="24" t="s">
        <v>76</v>
      </c>
      <c r="K187" s="24" t="s">
        <v>163</v>
      </c>
      <c r="L187" s="27" t="str">
        <f t="shared" si="18"/>
        <v>-</v>
      </c>
      <c r="M187" s="27" t="s">
        <v>371</v>
      </c>
      <c r="N187" s="26" t="s">
        <v>709</v>
      </c>
      <c r="O187" s="24" t="s">
        <v>88</v>
      </c>
      <c r="P187" s="24"/>
      <c r="Q187" s="24"/>
      <c r="R187" s="24">
        <v>8</v>
      </c>
      <c r="S187" s="24">
        <f t="shared" si="25"/>
        <v>8</v>
      </c>
      <c r="T187" s="24">
        <f t="shared" si="20"/>
        <v>8</v>
      </c>
      <c r="U187" s="24">
        <f>ROUNDDOWN(S187/HLOOKUP(D187,Table!$C$3:$D$4,2,0)*8,2)</f>
        <v>0.14000000000000001</v>
      </c>
      <c r="V187" s="24">
        <f t="shared" si="21"/>
        <v>0.14000000000000001</v>
      </c>
      <c r="W187" s="24"/>
      <c r="X187" s="128">
        <v>43913</v>
      </c>
      <c r="Y187" s="28">
        <v>43921</v>
      </c>
      <c r="Z187" s="28"/>
      <c r="AA187" s="28"/>
      <c r="AB187" s="28"/>
      <c r="AC187" s="27" t="s">
        <v>76</v>
      </c>
      <c r="AD187" s="27" t="s">
        <v>76</v>
      </c>
      <c r="AE187" s="27" t="s">
        <v>76</v>
      </c>
      <c r="AF187" s="24" t="s">
        <v>286</v>
      </c>
      <c r="AG187" s="27" t="s">
        <v>76</v>
      </c>
    </row>
    <row r="188" spans="1:33" hidden="1" x14ac:dyDescent="0.25">
      <c r="B188" s="141">
        <f t="shared" si="17"/>
        <v>186</v>
      </c>
      <c r="C188" s="26" t="s">
        <v>681</v>
      </c>
      <c r="D188" s="24" t="s">
        <v>3</v>
      </c>
      <c r="E188" s="24" t="s">
        <v>112</v>
      </c>
      <c r="F188" s="27" t="s">
        <v>198</v>
      </c>
      <c r="G188" s="24">
        <v>1341660</v>
      </c>
      <c r="H188" s="26" t="s">
        <v>120</v>
      </c>
      <c r="I188" s="25" t="s">
        <v>197</v>
      </c>
      <c r="J188" s="24" t="s">
        <v>76</v>
      </c>
      <c r="K188" s="24" t="s">
        <v>163</v>
      </c>
      <c r="L188" s="27" t="str">
        <f t="shared" si="18"/>
        <v>-</v>
      </c>
      <c r="M188" s="27" t="s">
        <v>371</v>
      </c>
      <c r="N188" s="26" t="s">
        <v>710</v>
      </c>
      <c r="O188" s="24" t="s">
        <v>88</v>
      </c>
      <c r="P188" s="24"/>
      <c r="Q188" s="24"/>
      <c r="R188" s="24">
        <v>148</v>
      </c>
      <c r="S188" s="24">
        <f t="shared" si="25"/>
        <v>148</v>
      </c>
      <c r="T188" s="24">
        <f t="shared" si="20"/>
        <v>148</v>
      </c>
      <c r="U188" s="24">
        <f>ROUNDDOWN(S188/HLOOKUP(D188,Table!$C$3:$D$4,2,0)*8,2)</f>
        <v>2.63</v>
      </c>
      <c r="V188" s="24">
        <f t="shared" si="21"/>
        <v>2.63</v>
      </c>
      <c r="W188" s="24"/>
      <c r="X188" s="128">
        <v>43913</v>
      </c>
      <c r="Y188" s="28">
        <v>43921</v>
      </c>
      <c r="Z188" s="28"/>
      <c r="AA188" s="28"/>
      <c r="AB188" s="28" t="s">
        <v>161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 hidden="1" x14ac:dyDescent="0.25">
      <c r="B189" s="141">
        <f t="shared" si="17"/>
        <v>187</v>
      </c>
      <c r="C189" s="26" t="s">
        <v>681</v>
      </c>
      <c r="D189" s="24" t="s">
        <v>3</v>
      </c>
      <c r="E189" s="24" t="s">
        <v>112</v>
      </c>
      <c r="F189" s="27" t="s">
        <v>198</v>
      </c>
      <c r="G189" s="24">
        <v>1341660</v>
      </c>
      <c r="H189" s="26" t="s">
        <v>121</v>
      </c>
      <c r="I189" s="25" t="s">
        <v>197</v>
      </c>
      <c r="J189" s="24" t="s">
        <v>76</v>
      </c>
      <c r="K189" s="24" t="s">
        <v>163</v>
      </c>
      <c r="L189" s="27" t="str">
        <f t="shared" si="18"/>
        <v>-</v>
      </c>
      <c r="M189" s="27" t="s">
        <v>371</v>
      </c>
      <c r="N189" s="26" t="s">
        <v>711</v>
      </c>
      <c r="O189" s="24" t="s">
        <v>87</v>
      </c>
      <c r="P189" s="24"/>
      <c r="Q189" s="24"/>
      <c r="R189" s="24">
        <v>17</v>
      </c>
      <c r="S189" s="24">
        <v>17</v>
      </c>
      <c r="T189" s="24">
        <f t="shared" si="20"/>
        <v>17</v>
      </c>
      <c r="U189" s="24">
        <f>ROUNDDOWN(S189/HLOOKUP(D189,Table!$C$3:$D$4,2,0)*8,2)</f>
        <v>0.3</v>
      </c>
      <c r="V189" s="24">
        <f t="shared" si="21"/>
        <v>0.3</v>
      </c>
      <c r="W189" s="24" t="s">
        <v>18</v>
      </c>
      <c r="X189" s="128">
        <v>43913</v>
      </c>
      <c r="Y189" s="28">
        <v>43921</v>
      </c>
      <c r="Z189" s="28">
        <v>43916</v>
      </c>
      <c r="AA189" s="28">
        <v>43916</v>
      </c>
      <c r="AB189" s="28" t="s">
        <v>161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 hidden="1" x14ac:dyDescent="0.25">
      <c r="B190" s="141">
        <f t="shared" si="17"/>
        <v>188</v>
      </c>
      <c r="C190" s="26" t="s">
        <v>681</v>
      </c>
      <c r="D190" s="24" t="s">
        <v>3</v>
      </c>
      <c r="E190" s="24" t="s">
        <v>112</v>
      </c>
      <c r="F190" s="27" t="s">
        <v>198</v>
      </c>
      <c r="G190" s="24">
        <v>1341660</v>
      </c>
      <c r="H190" s="26" t="s">
        <v>122</v>
      </c>
      <c r="I190" s="25" t="s">
        <v>197</v>
      </c>
      <c r="J190" s="24" t="s">
        <v>76</v>
      </c>
      <c r="K190" s="24" t="s">
        <v>163</v>
      </c>
      <c r="L190" s="27" t="str">
        <f t="shared" si="18"/>
        <v>-</v>
      </c>
      <c r="M190" s="27" t="s">
        <v>371</v>
      </c>
      <c r="N190" s="26" t="s">
        <v>712</v>
      </c>
      <c r="O190" s="24" t="s">
        <v>87</v>
      </c>
      <c r="P190" s="24"/>
      <c r="Q190" s="24"/>
      <c r="R190" s="24">
        <v>18</v>
      </c>
      <c r="S190" s="24">
        <v>18</v>
      </c>
      <c r="T190" s="24">
        <f t="shared" si="20"/>
        <v>18</v>
      </c>
      <c r="U190" s="24">
        <f>ROUNDDOWN(S190/HLOOKUP(D190,Table!$C$3:$D$4,2,0)*8,2)</f>
        <v>0.32</v>
      </c>
      <c r="V190" s="24">
        <f t="shared" si="21"/>
        <v>0.32</v>
      </c>
      <c r="W190" s="24" t="s">
        <v>18</v>
      </c>
      <c r="X190" s="128">
        <v>43913</v>
      </c>
      <c r="Y190" s="28">
        <v>43921</v>
      </c>
      <c r="Z190" s="28">
        <v>43916</v>
      </c>
      <c r="AA190" s="28">
        <v>43916</v>
      </c>
      <c r="AB190" s="28" t="s">
        <v>161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s="120" customFormat="1" hidden="1" x14ac:dyDescent="0.25">
      <c r="B191" s="141">
        <f t="shared" si="17"/>
        <v>189</v>
      </c>
      <c r="C191" s="26" t="s">
        <v>681</v>
      </c>
      <c r="D191" s="24" t="s">
        <v>3</v>
      </c>
      <c r="E191" s="24" t="s">
        <v>112</v>
      </c>
      <c r="F191" s="27" t="s">
        <v>198</v>
      </c>
      <c r="G191" s="24">
        <v>1341660</v>
      </c>
      <c r="H191" s="121" t="s">
        <v>123</v>
      </c>
      <c r="I191" s="25" t="s">
        <v>197</v>
      </c>
      <c r="J191" s="24" t="s">
        <v>76</v>
      </c>
      <c r="K191" s="24" t="s">
        <v>163</v>
      </c>
      <c r="L191" s="27" t="str">
        <f t="shared" si="18"/>
        <v>-</v>
      </c>
      <c r="M191" s="27" t="s">
        <v>371</v>
      </c>
      <c r="N191" s="26" t="s">
        <v>713</v>
      </c>
      <c r="O191" s="24" t="s">
        <v>86</v>
      </c>
      <c r="P191" s="24"/>
      <c r="Q191" s="24"/>
      <c r="R191" s="24">
        <v>129</v>
      </c>
      <c r="S191" s="24">
        <v>129</v>
      </c>
      <c r="T191" s="24">
        <f t="shared" si="20"/>
        <v>129</v>
      </c>
      <c r="U191" s="24">
        <f>ROUNDDOWN(S191/HLOOKUP(D191,Table!$C$3:$D$4,2,0)*8,2)</f>
        <v>2.29</v>
      </c>
      <c r="V191" s="24">
        <f t="shared" si="21"/>
        <v>2.29</v>
      </c>
      <c r="W191" s="24" t="s">
        <v>18</v>
      </c>
      <c r="X191" s="128">
        <v>43913</v>
      </c>
      <c r="Y191" s="28">
        <v>43921</v>
      </c>
      <c r="Z191" s="28">
        <v>43916</v>
      </c>
      <c r="AA191" s="28">
        <v>43916</v>
      </c>
      <c r="AB191" s="28" t="s">
        <v>161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475</v>
      </c>
    </row>
    <row r="192" spans="1:33" s="120" customFormat="1" hidden="1" x14ac:dyDescent="0.25">
      <c r="B192" s="141">
        <f t="shared" si="17"/>
        <v>190</v>
      </c>
      <c r="C192" s="26" t="s">
        <v>681</v>
      </c>
      <c r="D192" s="24" t="s">
        <v>3</v>
      </c>
      <c r="E192" s="24" t="s">
        <v>112</v>
      </c>
      <c r="F192" s="27" t="s">
        <v>198</v>
      </c>
      <c r="G192" s="24">
        <v>1341660</v>
      </c>
      <c r="H192" s="121" t="s">
        <v>124</v>
      </c>
      <c r="I192" s="25" t="s">
        <v>197</v>
      </c>
      <c r="J192" s="24" t="s">
        <v>76</v>
      </c>
      <c r="K192" s="24" t="s">
        <v>163</v>
      </c>
      <c r="L192" s="27" t="str">
        <f t="shared" si="18"/>
        <v>-</v>
      </c>
      <c r="M192" s="27" t="s">
        <v>371</v>
      </c>
      <c r="N192" s="26" t="s">
        <v>714</v>
      </c>
      <c r="O192" s="24" t="s">
        <v>86</v>
      </c>
      <c r="P192" s="24"/>
      <c r="Q192" s="24"/>
      <c r="R192" s="24">
        <v>164</v>
      </c>
      <c r="S192" s="24">
        <v>196</v>
      </c>
      <c r="T192" s="24">
        <f t="shared" si="20"/>
        <v>196</v>
      </c>
      <c r="U192" s="24">
        <f>ROUNDDOWN(S192/HLOOKUP(D192,Table!$C$3:$D$4,2,0)*8,2)</f>
        <v>3.48</v>
      </c>
      <c r="V192" s="24">
        <f t="shared" si="21"/>
        <v>3.48</v>
      </c>
      <c r="W192" s="24" t="s">
        <v>18</v>
      </c>
      <c r="X192" s="128">
        <v>43913</v>
      </c>
      <c r="Y192" s="28">
        <v>43921</v>
      </c>
      <c r="Z192" s="28">
        <v>43916</v>
      </c>
      <c r="AA192" s="28">
        <v>43916</v>
      </c>
      <c r="AB192" s="28" t="s">
        <v>161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475</v>
      </c>
    </row>
    <row r="193" spans="2:33" s="120" customFormat="1" hidden="1" x14ac:dyDescent="0.25">
      <c r="B193" s="141">
        <f t="shared" si="17"/>
        <v>191</v>
      </c>
      <c r="C193" s="26" t="s">
        <v>681</v>
      </c>
      <c r="D193" s="24" t="s">
        <v>3</v>
      </c>
      <c r="E193" s="24" t="s">
        <v>112</v>
      </c>
      <c r="F193" s="27" t="s">
        <v>198</v>
      </c>
      <c r="G193" s="24">
        <v>1341660</v>
      </c>
      <c r="H193" s="121" t="s">
        <v>125</v>
      </c>
      <c r="I193" s="25" t="s">
        <v>197</v>
      </c>
      <c r="J193" s="24" t="s">
        <v>76</v>
      </c>
      <c r="K193" s="24" t="s">
        <v>163</v>
      </c>
      <c r="L193" s="27" t="str">
        <f t="shared" ref="L193:L219" si="26">IF(D193="ASW","PUT_VERSION","-")</f>
        <v>-</v>
      </c>
      <c r="M193" s="27" t="s">
        <v>371</v>
      </c>
      <c r="N193" s="26" t="s">
        <v>715</v>
      </c>
      <c r="O193" s="24" t="s">
        <v>86</v>
      </c>
      <c r="P193" s="24"/>
      <c r="Q193" s="24"/>
      <c r="R193" s="24">
        <v>104</v>
      </c>
      <c r="S193" s="24">
        <v>104</v>
      </c>
      <c r="T193" s="24">
        <f t="shared" si="20"/>
        <v>104</v>
      </c>
      <c r="U193" s="24">
        <f>ROUNDDOWN(S193/HLOOKUP(D193,Table!$C$3:$D$4,2,0)*8,2)</f>
        <v>1.84</v>
      </c>
      <c r="V193" s="24">
        <f t="shared" si="21"/>
        <v>1.84</v>
      </c>
      <c r="W193" s="24" t="s">
        <v>18</v>
      </c>
      <c r="X193" s="128">
        <v>43913</v>
      </c>
      <c r="Y193" s="28">
        <v>43921</v>
      </c>
      <c r="Z193" s="28">
        <v>43916</v>
      </c>
      <c r="AA193" s="28">
        <v>43916</v>
      </c>
      <c r="AB193" s="28" t="s">
        <v>160</v>
      </c>
      <c r="AC193" s="24">
        <v>97</v>
      </c>
      <c r="AD193" s="24">
        <v>95</v>
      </c>
      <c r="AE193" s="24">
        <v>100</v>
      </c>
      <c r="AF193" s="24" t="s">
        <v>285</v>
      </c>
      <c r="AG193" s="27" t="s">
        <v>475</v>
      </c>
    </row>
    <row r="194" spans="2:33" s="120" customFormat="1" hidden="1" x14ac:dyDescent="0.25">
      <c r="B194" s="141">
        <f t="shared" si="17"/>
        <v>192</v>
      </c>
      <c r="C194" s="26" t="s">
        <v>681</v>
      </c>
      <c r="D194" s="24" t="s">
        <v>3</v>
      </c>
      <c r="E194" s="24" t="s">
        <v>112</v>
      </c>
      <c r="F194" s="27" t="s">
        <v>198</v>
      </c>
      <c r="G194" s="24">
        <v>1341660</v>
      </c>
      <c r="H194" s="121" t="s">
        <v>126</v>
      </c>
      <c r="I194" s="25" t="s">
        <v>197</v>
      </c>
      <c r="J194" s="24" t="s">
        <v>76</v>
      </c>
      <c r="K194" s="24" t="s">
        <v>163</v>
      </c>
      <c r="L194" s="27" t="str">
        <f t="shared" si="26"/>
        <v>-</v>
      </c>
      <c r="M194" s="27" t="s">
        <v>371</v>
      </c>
      <c r="N194" s="26" t="s">
        <v>716</v>
      </c>
      <c r="O194" s="24" t="s">
        <v>86</v>
      </c>
      <c r="P194" s="24"/>
      <c r="Q194" s="24"/>
      <c r="R194" s="24">
        <v>154</v>
      </c>
      <c r="S194" s="24">
        <v>154</v>
      </c>
      <c r="T194" s="24">
        <f t="shared" si="20"/>
        <v>154</v>
      </c>
      <c r="U194" s="24">
        <f>ROUNDDOWN(S194/HLOOKUP(D194,Table!$C$3:$D$4,2,0)*8,2)</f>
        <v>2.73</v>
      </c>
      <c r="V194" s="24">
        <f t="shared" si="21"/>
        <v>2.73</v>
      </c>
      <c r="W194" s="24" t="s">
        <v>18</v>
      </c>
      <c r="X194" s="128">
        <v>43913</v>
      </c>
      <c r="Y194" s="28">
        <v>43921</v>
      </c>
      <c r="Z194" s="28">
        <v>43916</v>
      </c>
      <c r="AA194" s="28">
        <v>43916</v>
      </c>
      <c r="AB194" s="28" t="s">
        <v>160</v>
      </c>
      <c r="AC194" s="24">
        <v>98</v>
      </c>
      <c r="AD194" s="24">
        <v>96</v>
      </c>
      <c r="AE194" s="24">
        <v>100</v>
      </c>
      <c r="AF194" s="24" t="s">
        <v>285</v>
      </c>
      <c r="AG194" s="27" t="s">
        <v>475</v>
      </c>
    </row>
    <row r="195" spans="2:33" s="120" customFormat="1" hidden="1" x14ac:dyDescent="0.25">
      <c r="B195" s="141">
        <f t="shared" si="17"/>
        <v>193</v>
      </c>
      <c r="C195" s="26" t="s">
        <v>681</v>
      </c>
      <c r="D195" s="24" t="s">
        <v>3</v>
      </c>
      <c r="E195" s="24" t="s">
        <v>112</v>
      </c>
      <c r="F195" s="27" t="s">
        <v>198</v>
      </c>
      <c r="G195" s="24">
        <v>1341660</v>
      </c>
      <c r="H195" s="121" t="s">
        <v>127</v>
      </c>
      <c r="I195" s="25" t="s">
        <v>197</v>
      </c>
      <c r="J195" s="24" t="s">
        <v>76</v>
      </c>
      <c r="K195" s="24" t="s">
        <v>163</v>
      </c>
      <c r="L195" s="27" t="str">
        <f t="shared" si="26"/>
        <v>-</v>
      </c>
      <c r="M195" s="27" t="s">
        <v>371</v>
      </c>
      <c r="N195" s="26" t="s">
        <v>717</v>
      </c>
      <c r="O195" s="24" t="s">
        <v>86</v>
      </c>
      <c r="P195" s="24"/>
      <c r="Q195" s="24"/>
      <c r="R195" s="24">
        <v>167</v>
      </c>
      <c r="S195" s="24">
        <v>167</v>
      </c>
      <c r="T195" s="24">
        <f t="shared" si="20"/>
        <v>167</v>
      </c>
      <c r="U195" s="24">
        <f>ROUNDDOWN(S195/HLOOKUP(D195,Table!$C$3:$D$4,2,0)*8,2)</f>
        <v>2.96</v>
      </c>
      <c r="V195" s="24">
        <f t="shared" si="21"/>
        <v>2.96</v>
      </c>
      <c r="W195" s="24" t="s">
        <v>18</v>
      </c>
      <c r="X195" s="128">
        <v>43913</v>
      </c>
      <c r="Y195" s="28">
        <v>43921</v>
      </c>
      <c r="Z195" s="28">
        <v>43916</v>
      </c>
      <c r="AA195" s="28">
        <v>43916</v>
      </c>
      <c r="AB195" s="28" t="s">
        <v>161</v>
      </c>
      <c r="AC195" s="24">
        <v>100</v>
      </c>
      <c r="AD195" s="24">
        <v>100</v>
      </c>
      <c r="AE195" s="24">
        <v>100</v>
      </c>
      <c r="AF195" s="24" t="s">
        <v>288</v>
      </c>
      <c r="AG195" s="27" t="s">
        <v>475</v>
      </c>
    </row>
    <row r="196" spans="2:33" hidden="1" x14ac:dyDescent="0.25">
      <c r="B196" s="141">
        <f t="shared" si="17"/>
        <v>194</v>
      </c>
      <c r="C196" s="26" t="s">
        <v>681</v>
      </c>
      <c r="D196" s="24" t="s">
        <v>3</v>
      </c>
      <c r="E196" s="24" t="s">
        <v>112</v>
      </c>
      <c r="F196" s="27" t="s">
        <v>198</v>
      </c>
      <c r="G196" s="24">
        <v>1341660</v>
      </c>
      <c r="H196" s="121" t="s">
        <v>128</v>
      </c>
      <c r="I196" s="25" t="s">
        <v>197</v>
      </c>
      <c r="J196" s="24" t="s">
        <v>76</v>
      </c>
      <c r="K196" s="24" t="s">
        <v>163</v>
      </c>
      <c r="L196" s="27" t="str">
        <f t="shared" si="26"/>
        <v>-</v>
      </c>
      <c r="M196" s="27" t="s">
        <v>371</v>
      </c>
      <c r="N196" s="26" t="s">
        <v>718</v>
      </c>
      <c r="O196" s="24" t="s">
        <v>86</v>
      </c>
      <c r="P196" s="24"/>
      <c r="Q196" s="24"/>
      <c r="R196" s="24">
        <v>147</v>
      </c>
      <c r="S196" s="54">
        <v>147</v>
      </c>
      <c r="T196" s="24">
        <f t="shared" si="20"/>
        <v>147</v>
      </c>
      <c r="U196" s="24">
        <f>ROUNDDOWN(S196/HLOOKUP(D196,Table!$C$3:$D$4,2,0)*8,2)</f>
        <v>2.61</v>
      </c>
      <c r="V196" s="24">
        <f t="shared" si="21"/>
        <v>2.61</v>
      </c>
      <c r="W196" s="24" t="s">
        <v>18</v>
      </c>
      <c r="X196" s="128">
        <v>43913</v>
      </c>
      <c r="Y196" s="28">
        <v>43921</v>
      </c>
      <c r="Z196" s="28">
        <v>43916</v>
      </c>
      <c r="AA196" s="28">
        <v>43916</v>
      </c>
      <c r="AB196" s="28" t="s">
        <v>161</v>
      </c>
      <c r="AC196" s="52">
        <v>100</v>
      </c>
      <c r="AD196" s="52">
        <v>100</v>
      </c>
      <c r="AE196" s="52">
        <v>100</v>
      </c>
      <c r="AF196" s="24" t="s">
        <v>289</v>
      </c>
      <c r="AG196" s="27" t="s">
        <v>475</v>
      </c>
    </row>
    <row r="197" spans="2:33" hidden="1" x14ac:dyDescent="0.25">
      <c r="B197" s="141">
        <f t="shared" si="17"/>
        <v>195</v>
      </c>
      <c r="C197" s="26" t="s">
        <v>681</v>
      </c>
      <c r="D197" s="24" t="s">
        <v>3</v>
      </c>
      <c r="E197" s="24" t="s">
        <v>112</v>
      </c>
      <c r="F197" s="27" t="s">
        <v>198</v>
      </c>
      <c r="G197" s="24">
        <v>1341660</v>
      </c>
      <c r="H197" s="121" t="s">
        <v>129</v>
      </c>
      <c r="I197" s="25" t="s">
        <v>197</v>
      </c>
      <c r="J197" s="24" t="s">
        <v>76</v>
      </c>
      <c r="K197" s="24" t="s">
        <v>163</v>
      </c>
      <c r="L197" s="27" t="str">
        <f t="shared" si="26"/>
        <v>-</v>
      </c>
      <c r="M197" s="27" t="s">
        <v>371</v>
      </c>
      <c r="N197" s="26" t="s">
        <v>719</v>
      </c>
      <c r="O197" s="24" t="s">
        <v>86</v>
      </c>
      <c r="P197" s="24"/>
      <c r="Q197" s="24"/>
      <c r="R197" s="24">
        <v>254</v>
      </c>
      <c r="S197" s="54">
        <v>254</v>
      </c>
      <c r="T197" s="24">
        <f t="shared" si="20"/>
        <v>254</v>
      </c>
      <c r="U197" s="24">
        <f>ROUNDDOWN(S197/HLOOKUP(D197,Table!$C$3:$D$4,2,0)*8,2)</f>
        <v>4.51</v>
      </c>
      <c r="V197" s="24">
        <f t="shared" si="21"/>
        <v>4.51</v>
      </c>
      <c r="W197" s="24" t="s">
        <v>18</v>
      </c>
      <c r="X197" s="128">
        <v>43913</v>
      </c>
      <c r="Y197" s="28">
        <v>43921</v>
      </c>
      <c r="Z197" s="28">
        <v>43916</v>
      </c>
      <c r="AA197" s="28">
        <v>43916</v>
      </c>
      <c r="AB197" s="28" t="s">
        <v>161</v>
      </c>
      <c r="AC197" s="52">
        <v>100</v>
      </c>
      <c r="AD197" s="52">
        <v>100</v>
      </c>
      <c r="AE197" s="52">
        <v>100</v>
      </c>
      <c r="AF197" s="24" t="s">
        <v>290</v>
      </c>
      <c r="AG197" s="27" t="s">
        <v>475</v>
      </c>
    </row>
    <row r="198" spans="2:33" hidden="1" x14ac:dyDescent="0.25">
      <c r="B198" s="141">
        <f t="shared" si="17"/>
        <v>196</v>
      </c>
      <c r="C198" s="26" t="s">
        <v>681</v>
      </c>
      <c r="D198" s="24" t="s">
        <v>3</v>
      </c>
      <c r="E198" s="24" t="s">
        <v>112</v>
      </c>
      <c r="F198" s="27" t="s">
        <v>198</v>
      </c>
      <c r="G198" s="24">
        <v>1341660</v>
      </c>
      <c r="H198" s="26" t="s">
        <v>130</v>
      </c>
      <c r="I198" s="25" t="s">
        <v>197</v>
      </c>
      <c r="J198" s="24" t="s">
        <v>76</v>
      </c>
      <c r="K198" s="24" t="s">
        <v>163</v>
      </c>
      <c r="L198" s="27" t="str">
        <f t="shared" si="26"/>
        <v>-</v>
      </c>
      <c r="M198" s="27" t="s">
        <v>371</v>
      </c>
      <c r="N198" s="26" t="s">
        <v>720</v>
      </c>
      <c r="O198" s="24" t="s">
        <v>88</v>
      </c>
      <c r="P198" s="24"/>
      <c r="Q198" s="24"/>
      <c r="R198" s="24">
        <v>193</v>
      </c>
      <c r="S198" s="54">
        <f t="shared" ref="S198:S201" si="27">R198</f>
        <v>193</v>
      </c>
      <c r="T198" s="24">
        <f t="shared" si="20"/>
        <v>193</v>
      </c>
      <c r="U198" s="24">
        <f>ROUNDDOWN(S198/HLOOKUP(D198,Table!$C$3:$D$4,2,0)*8,2)</f>
        <v>3.43</v>
      </c>
      <c r="V198" s="24">
        <f t="shared" si="21"/>
        <v>3.43</v>
      </c>
      <c r="W198" s="24"/>
      <c r="X198" s="128">
        <v>43913</v>
      </c>
      <c r="Y198" s="28">
        <v>43921</v>
      </c>
      <c r="Z198" s="28"/>
      <c r="AA198" s="28"/>
      <c r="AB198" s="28" t="s">
        <v>160</v>
      </c>
      <c r="AC198" s="24">
        <v>100</v>
      </c>
      <c r="AD198" s="24">
        <v>100</v>
      </c>
      <c r="AE198" s="24">
        <v>91</v>
      </c>
      <c r="AF198" s="24" t="s">
        <v>215</v>
      </c>
      <c r="AG198" s="27" t="s">
        <v>76</v>
      </c>
    </row>
    <row r="199" spans="2:33" hidden="1" x14ac:dyDescent="0.25">
      <c r="B199" s="141">
        <f t="shared" si="17"/>
        <v>197</v>
      </c>
      <c r="C199" s="26" t="s">
        <v>681</v>
      </c>
      <c r="D199" s="24" t="s">
        <v>3</v>
      </c>
      <c r="E199" s="24" t="s">
        <v>112</v>
      </c>
      <c r="F199" s="27" t="s">
        <v>198</v>
      </c>
      <c r="G199" s="24">
        <v>1341660</v>
      </c>
      <c r="H199" s="24" t="s">
        <v>131</v>
      </c>
      <c r="I199" s="25" t="s">
        <v>197</v>
      </c>
      <c r="J199" s="24" t="s">
        <v>76</v>
      </c>
      <c r="K199" s="24" t="s">
        <v>163</v>
      </c>
      <c r="L199" s="27" t="str">
        <f t="shared" si="26"/>
        <v>-</v>
      </c>
      <c r="M199" s="27" t="s">
        <v>371</v>
      </c>
      <c r="N199" s="26" t="s">
        <v>721</v>
      </c>
      <c r="O199" s="24" t="s">
        <v>88</v>
      </c>
      <c r="P199" s="24"/>
      <c r="Q199" s="24"/>
      <c r="R199" s="24">
        <v>204</v>
      </c>
      <c r="S199" s="54">
        <f t="shared" si="27"/>
        <v>204</v>
      </c>
      <c r="T199" s="24">
        <f t="shared" si="20"/>
        <v>204</v>
      </c>
      <c r="U199" s="24">
        <f>ROUNDDOWN(S199/HLOOKUP(D199,Table!$C$3:$D$4,2,0)*8,2)</f>
        <v>3.62</v>
      </c>
      <c r="V199" s="24">
        <f t="shared" si="21"/>
        <v>3.62</v>
      </c>
      <c r="W199" s="24"/>
      <c r="X199" s="128">
        <v>43913</v>
      </c>
      <c r="Y199" s="28">
        <v>43921</v>
      </c>
      <c r="Z199" s="28"/>
      <c r="AA199" s="28"/>
      <c r="AB199" s="28" t="s">
        <v>161</v>
      </c>
      <c r="AC199" s="24">
        <v>100</v>
      </c>
      <c r="AD199" s="24">
        <v>100</v>
      </c>
      <c r="AE199" s="24">
        <v>100</v>
      </c>
      <c r="AF199" s="27" t="s">
        <v>76</v>
      </c>
      <c r="AG199" s="27" t="s">
        <v>76</v>
      </c>
    </row>
    <row r="200" spans="2:33" hidden="1" x14ac:dyDescent="0.25">
      <c r="B200" s="141">
        <f t="shared" si="17"/>
        <v>198</v>
      </c>
      <c r="C200" s="26" t="s">
        <v>681</v>
      </c>
      <c r="D200" s="24" t="s">
        <v>3</v>
      </c>
      <c r="E200" s="24" t="s">
        <v>112</v>
      </c>
      <c r="F200" s="27" t="s">
        <v>198</v>
      </c>
      <c r="G200" s="24">
        <v>1341660</v>
      </c>
      <c r="H200" s="24" t="s">
        <v>132</v>
      </c>
      <c r="I200" s="25" t="s">
        <v>197</v>
      </c>
      <c r="J200" s="24" t="s">
        <v>76</v>
      </c>
      <c r="K200" s="24" t="s">
        <v>163</v>
      </c>
      <c r="L200" s="27" t="str">
        <f t="shared" si="26"/>
        <v>-</v>
      </c>
      <c r="M200" s="27" t="s">
        <v>371</v>
      </c>
      <c r="N200" s="26" t="s">
        <v>722</v>
      </c>
      <c r="O200" s="24" t="s">
        <v>88</v>
      </c>
      <c r="P200" s="24"/>
      <c r="Q200" s="24"/>
      <c r="R200" s="24">
        <v>194</v>
      </c>
      <c r="S200" s="54">
        <f t="shared" si="27"/>
        <v>194</v>
      </c>
      <c r="T200" s="24">
        <f t="shared" si="20"/>
        <v>194</v>
      </c>
      <c r="U200" s="24">
        <f>ROUNDDOWN(S200/HLOOKUP(D200,Table!$C$3:$D$4,2,0)*8,2)</f>
        <v>3.44</v>
      </c>
      <c r="V200" s="24">
        <f t="shared" si="21"/>
        <v>3.44</v>
      </c>
      <c r="W200" s="24"/>
      <c r="X200" s="128">
        <v>43913</v>
      </c>
      <c r="Y200" s="28">
        <v>43921</v>
      </c>
      <c r="Z200" s="28"/>
      <c r="AA200" s="28"/>
      <c r="AB200" s="28" t="s">
        <v>161</v>
      </c>
      <c r="AC200" s="24">
        <v>100</v>
      </c>
      <c r="AD200" s="24">
        <v>100</v>
      </c>
      <c r="AE200" s="24">
        <v>100</v>
      </c>
      <c r="AF200" s="27" t="s">
        <v>76</v>
      </c>
      <c r="AG200" s="27" t="s">
        <v>76</v>
      </c>
    </row>
    <row r="201" spans="2:33" hidden="1" x14ac:dyDescent="0.25">
      <c r="B201" s="141">
        <f t="shared" si="17"/>
        <v>199</v>
      </c>
      <c r="C201" s="26" t="s">
        <v>681</v>
      </c>
      <c r="D201" s="24" t="s">
        <v>3</v>
      </c>
      <c r="E201" s="24" t="s">
        <v>112</v>
      </c>
      <c r="F201" s="27" t="s">
        <v>198</v>
      </c>
      <c r="G201" s="24">
        <v>1341660</v>
      </c>
      <c r="H201" s="24" t="s">
        <v>133</v>
      </c>
      <c r="I201" s="25" t="s">
        <v>197</v>
      </c>
      <c r="J201" s="24" t="s">
        <v>76</v>
      </c>
      <c r="K201" s="24" t="s">
        <v>163</v>
      </c>
      <c r="L201" s="27" t="str">
        <f t="shared" si="26"/>
        <v>-</v>
      </c>
      <c r="M201" s="27" t="s">
        <v>371</v>
      </c>
      <c r="N201" s="26" t="s">
        <v>723</v>
      </c>
      <c r="O201" s="24" t="s">
        <v>88</v>
      </c>
      <c r="P201" s="24"/>
      <c r="Q201" s="24"/>
      <c r="R201" s="24">
        <v>141</v>
      </c>
      <c r="S201" s="54">
        <f t="shared" si="27"/>
        <v>141</v>
      </c>
      <c r="T201" s="24">
        <f t="shared" si="20"/>
        <v>141</v>
      </c>
      <c r="U201" s="24">
        <f>ROUNDDOWN(S201/HLOOKUP(D201,Table!$C$3:$D$4,2,0)*8,2)</f>
        <v>2.5</v>
      </c>
      <c r="V201" s="24">
        <f t="shared" si="21"/>
        <v>2.5</v>
      </c>
      <c r="W201" s="24"/>
      <c r="X201" s="128">
        <v>43913</v>
      </c>
      <c r="Y201" s="28">
        <v>43921</v>
      </c>
      <c r="Z201" s="28"/>
      <c r="AA201" s="28"/>
      <c r="AB201" s="28" t="s">
        <v>160</v>
      </c>
      <c r="AC201" s="24">
        <v>98</v>
      </c>
      <c r="AD201" s="24">
        <v>95</v>
      </c>
      <c r="AE201" s="24">
        <v>100</v>
      </c>
      <c r="AF201" s="42" t="s">
        <v>158</v>
      </c>
      <c r="AG201" s="27" t="s">
        <v>76</v>
      </c>
    </row>
    <row r="202" spans="2:33" hidden="1" x14ac:dyDescent="0.25">
      <c r="B202" s="141">
        <f t="shared" si="17"/>
        <v>200</v>
      </c>
      <c r="C202" s="26" t="s">
        <v>681</v>
      </c>
      <c r="D202" s="24" t="s">
        <v>3</v>
      </c>
      <c r="E202" s="24" t="s">
        <v>112</v>
      </c>
      <c r="F202" s="27" t="s">
        <v>198</v>
      </c>
      <c r="G202" s="24">
        <v>1341660</v>
      </c>
      <c r="H202" s="26" t="s">
        <v>134</v>
      </c>
      <c r="I202" s="25" t="s">
        <v>197</v>
      </c>
      <c r="J202" s="24" t="s">
        <v>76</v>
      </c>
      <c r="K202" s="24" t="s">
        <v>163</v>
      </c>
      <c r="L202" s="27" t="str">
        <f t="shared" si="26"/>
        <v>-</v>
      </c>
      <c r="M202" s="27" t="s">
        <v>371</v>
      </c>
      <c r="N202" s="26" t="s">
        <v>724</v>
      </c>
      <c r="O202" s="24" t="s">
        <v>87</v>
      </c>
      <c r="P202" s="24"/>
      <c r="Q202" s="24"/>
      <c r="R202" s="24">
        <v>190</v>
      </c>
      <c r="S202" s="54">
        <v>190</v>
      </c>
      <c r="T202" s="24">
        <f t="shared" si="20"/>
        <v>190</v>
      </c>
      <c r="U202" s="24">
        <f>ROUNDDOWN(S202/HLOOKUP(D202,Table!$C$3:$D$4,2,0)*8,2)</f>
        <v>3.37</v>
      </c>
      <c r="V202" s="24">
        <f t="shared" si="21"/>
        <v>3.37</v>
      </c>
      <c r="W202" s="24" t="s">
        <v>18</v>
      </c>
      <c r="X202" s="128">
        <v>43913</v>
      </c>
      <c r="Y202" s="28">
        <v>43921</v>
      </c>
      <c r="Z202" s="28">
        <v>43916</v>
      </c>
      <c r="AA202" s="28">
        <v>43916</v>
      </c>
      <c r="AB202" s="28" t="s">
        <v>160</v>
      </c>
      <c r="AC202" s="24">
        <v>66</v>
      </c>
      <c r="AD202" s="24">
        <v>100</v>
      </c>
      <c r="AE202" s="24">
        <v>100</v>
      </c>
      <c r="AF202" s="24" t="s">
        <v>211</v>
      </c>
      <c r="AG202" s="27" t="s">
        <v>76</v>
      </c>
    </row>
    <row r="203" spans="2:33" hidden="1" x14ac:dyDescent="0.25">
      <c r="B203" s="141">
        <f t="shared" si="17"/>
        <v>201</v>
      </c>
      <c r="C203" s="26" t="s">
        <v>681</v>
      </c>
      <c r="D203" s="24" t="s">
        <v>3</v>
      </c>
      <c r="E203" s="24" t="s">
        <v>112</v>
      </c>
      <c r="F203" s="27" t="s">
        <v>198</v>
      </c>
      <c r="G203" s="24">
        <v>1341660</v>
      </c>
      <c r="H203" s="26" t="s">
        <v>135</v>
      </c>
      <c r="I203" s="25" t="s">
        <v>197</v>
      </c>
      <c r="J203" s="24" t="s">
        <v>76</v>
      </c>
      <c r="K203" s="24" t="s">
        <v>163</v>
      </c>
      <c r="L203" s="27" t="str">
        <f t="shared" si="26"/>
        <v>-</v>
      </c>
      <c r="M203" s="27" t="s">
        <v>371</v>
      </c>
      <c r="N203" s="26" t="s">
        <v>725</v>
      </c>
      <c r="O203" s="24" t="s">
        <v>87</v>
      </c>
      <c r="P203" s="24"/>
      <c r="Q203" s="24"/>
      <c r="R203" s="24">
        <v>107</v>
      </c>
      <c r="S203" s="54">
        <v>107</v>
      </c>
      <c r="T203" s="24">
        <f t="shared" si="20"/>
        <v>107</v>
      </c>
      <c r="U203" s="24">
        <f>ROUNDDOWN(S203/HLOOKUP(D203,Table!$C$3:$D$4,2,0)*8,2)</f>
        <v>1.9</v>
      </c>
      <c r="V203" s="24">
        <f t="shared" si="21"/>
        <v>1.9</v>
      </c>
      <c r="W203" s="24" t="s">
        <v>18</v>
      </c>
      <c r="X203" s="128">
        <v>43913</v>
      </c>
      <c r="Y203" s="28">
        <v>43921</v>
      </c>
      <c r="Z203" s="28">
        <v>43916</v>
      </c>
      <c r="AA203" s="28">
        <v>43916</v>
      </c>
      <c r="AB203" s="28" t="s">
        <v>160</v>
      </c>
      <c r="AC203" s="24">
        <v>99</v>
      </c>
      <c r="AD203" s="24">
        <v>96</v>
      </c>
      <c r="AE203" s="24">
        <v>100</v>
      </c>
      <c r="AF203" s="24" t="s">
        <v>211</v>
      </c>
      <c r="AG203" s="27" t="s">
        <v>76</v>
      </c>
    </row>
    <row r="204" spans="2:33" hidden="1" x14ac:dyDescent="0.25">
      <c r="B204" s="141">
        <f t="shared" si="17"/>
        <v>202</v>
      </c>
      <c r="C204" s="26" t="s">
        <v>681</v>
      </c>
      <c r="D204" s="24" t="s">
        <v>3</v>
      </c>
      <c r="E204" s="24" t="s">
        <v>112</v>
      </c>
      <c r="F204" s="27" t="s">
        <v>198</v>
      </c>
      <c r="G204" s="24">
        <v>1341660</v>
      </c>
      <c r="H204" s="26" t="s">
        <v>136</v>
      </c>
      <c r="I204" s="25" t="s">
        <v>197</v>
      </c>
      <c r="J204" s="24" t="s">
        <v>76</v>
      </c>
      <c r="K204" s="24" t="s">
        <v>163</v>
      </c>
      <c r="L204" s="27" t="str">
        <f t="shared" si="26"/>
        <v>-</v>
      </c>
      <c r="M204" s="27" t="s">
        <v>371</v>
      </c>
      <c r="N204" s="26" t="s">
        <v>726</v>
      </c>
      <c r="O204" s="24" t="s">
        <v>87</v>
      </c>
      <c r="P204" s="24"/>
      <c r="Q204" s="24"/>
      <c r="R204" s="24">
        <v>269</v>
      </c>
      <c r="S204" s="54">
        <v>269</v>
      </c>
      <c r="T204" s="24">
        <f t="shared" si="20"/>
        <v>269</v>
      </c>
      <c r="U204" s="24">
        <f>ROUNDDOWN(S204/HLOOKUP(D204,Table!$C$3:$D$4,2,0)*8,2)</f>
        <v>4.78</v>
      </c>
      <c r="V204" s="24">
        <f t="shared" si="21"/>
        <v>4.78</v>
      </c>
      <c r="W204" s="24" t="s">
        <v>18</v>
      </c>
      <c r="X204" s="128">
        <v>43913</v>
      </c>
      <c r="Y204" s="28">
        <v>43921</v>
      </c>
      <c r="Z204" s="28">
        <v>43916</v>
      </c>
      <c r="AA204" s="28">
        <v>43916</v>
      </c>
      <c r="AB204" s="28" t="s">
        <v>160</v>
      </c>
      <c r="AC204" s="24">
        <v>99</v>
      </c>
      <c r="AD204" s="24">
        <v>97</v>
      </c>
      <c r="AE204" s="24">
        <v>100</v>
      </c>
      <c r="AF204" s="24" t="s">
        <v>211</v>
      </c>
      <c r="AG204" s="27" t="s">
        <v>76</v>
      </c>
    </row>
    <row r="205" spans="2:33" hidden="1" x14ac:dyDescent="0.25">
      <c r="B205" s="141">
        <f t="shared" si="17"/>
        <v>203</v>
      </c>
      <c r="C205" s="26" t="s">
        <v>681</v>
      </c>
      <c r="D205" s="24" t="s">
        <v>3</v>
      </c>
      <c r="E205" s="24" t="s">
        <v>112</v>
      </c>
      <c r="F205" s="27" t="s">
        <v>198</v>
      </c>
      <c r="G205" s="24">
        <v>1341660</v>
      </c>
      <c r="H205" s="24" t="s">
        <v>137</v>
      </c>
      <c r="I205" s="25" t="s">
        <v>197</v>
      </c>
      <c r="J205" s="24" t="s">
        <v>76</v>
      </c>
      <c r="K205" s="24" t="s">
        <v>163</v>
      </c>
      <c r="L205" s="27" t="str">
        <f t="shared" si="26"/>
        <v>-</v>
      </c>
      <c r="M205" s="27" t="s">
        <v>371</v>
      </c>
      <c r="N205" s="26" t="s">
        <v>727</v>
      </c>
      <c r="O205" s="24" t="s">
        <v>88</v>
      </c>
      <c r="P205" s="24"/>
      <c r="Q205" s="24"/>
      <c r="R205" s="24">
        <v>70</v>
      </c>
      <c r="S205" s="54">
        <f>R205</f>
        <v>70</v>
      </c>
      <c r="T205" s="24">
        <f t="shared" si="20"/>
        <v>70</v>
      </c>
      <c r="U205" s="24">
        <f>ROUNDDOWN(S205/HLOOKUP(D205,Table!$C$3:$D$4,2,0)*8,2)</f>
        <v>1.24</v>
      </c>
      <c r="V205" s="24">
        <f t="shared" si="21"/>
        <v>1.24</v>
      </c>
      <c r="W205" s="42"/>
      <c r="X205" s="128">
        <v>43913</v>
      </c>
      <c r="Y205" s="28">
        <v>43921</v>
      </c>
      <c r="Z205" s="28"/>
      <c r="AA205" s="28"/>
      <c r="AB205" s="28" t="s">
        <v>161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 hidden="1" x14ac:dyDescent="0.25">
      <c r="B206" s="141">
        <f t="shared" si="17"/>
        <v>204</v>
      </c>
      <c r="C206" s="26" t="s">
        <v>681</v>
      </c>
      <c r="D206" s="24" t="s">
        <v>3</v>
      </c>
      <c r="E206" s="24" t="s">
        <v>112</v>
      </c>
      <c r="F206" s="27" t="s">
        <v>201</v>
      </c>
      <c r="G206" s="24">
        <v>1341660</v>
      </c>
      <c r="H206" s="24" t="s">
        <v>138</v>
      </c>
      <c r="I206" s="25" t="s">
        <v>197</v>
      </c>
      <c r="J206" s="24" t="s">
        <v>76</v>
      </c>
      <c r="K206" s="24" t="s">
        <v>163</v>
      </c>
      <c r="L206" s="27" t="str">
        <f t="shared" si="26"/>
        <v>-</v>
      </c>
      <c r="M206" s="27" t="s">
        <v>371</v>
      </c>
      <c r="N206" s="26" t="s">
        <v>728</v>
      </c>
      <c r="O206" s="24" t="s">
        <v>87</v>
      </c>
      <c r="P206" s="24"/>
      <c r="Q206" s="24"/>
      <c r="R206" s="24">
        <v>204</v>
      </c>
      <c r="S206" s="24">
        <v>204</v>
      </c>
      <c r="T206" s="24">
        <f t="shared" si="20"/>
        <v>204</v>
      </c>
      <c r="U206" s="24">
        <f>ROUNDDOWN(S206/HLOOKUP(D206,Table!$C$3:$D$4,2,0)*8,2)</f>
        <v>3.62</v>
      </c>
      <c r="V206" s="24">
        <f t="shared" si="21"/>
        <v>3.62</v>
      </c>
      <c r="W206" s="24" t="s">
        <v>18</v>
      </c>
      <c r="X206" s="128">
        <v>43913</v>
      </c>
      <c r="Y206" s="28">
        <v>43921</v>
      </c>
      <c r="Z206" s="28">
        <v>43916</v>
      </c>
      <c r="AA206" s="28">
        <v>43916</v>
      </c>
      <c r="AB206" s="28" t="s">
        <v>161</v>
      </c>
      <c r="AC206" s="24">
        <v>100</v>
      </c>
      <c r="AD206" s="24">
        <v>100</v>
      </c>
      <c r="AE206" s="24">
        <v>100</v>
      </c>
      <c r="AF206" s="27" t="s">
        <v>76</v>
      </c>
      <c r="AG206" s="27" t="s">
        <v>76</v>
      </c>
    </row>
    <row r="207" spans="2:33" hidden="1" x14ac:dyDescent="0.25">
      <c r="B207" s="141">
        <f t="shared" si="17"/>
        <v>205</v>
      </c>
      <c r="C207" s="26" t="s">
        <v>681</v>
      </c>
      <c r="D207" s="24" t="s">
        <v>3</v>
      </c>
      <c r="E207" s="24" t="s">
        <v>112</v>
      </c>
      <c r="F207" s="27" t="s">
        <v>201</v>
      </c>
      <c r="G207" s="24">
        <v>1341660</v>
      </c>
      <c r="H207" s="24" t="s">
        <v>139</v>
      </c>
      <c r="I207" s="25" t="s">
        <v>197</v>
      </c>
      <c r="J207" s="24" t="s">
        <v>76</v>
      </c>
      <c r="K207" s="24" t="s">
        <v>163</v>
      </c>
      <c r="L207" s="27" t="str">
        <f t="shared" si="26"/>
        <v>-</v>
      </c>
      <c r="M207" s="27" t="s">
        <v>371</v>
      </c>
      <c r="N207" s="26" t="s">
        <v>729</v>
      </c>
      <c r="O207" s="24" t="s">
        <v>87</v>
      </c>
      <c r="P207" s="24"/>
      <c r="Q207" s="24"/>
      <c r="R207" s="24">
        <v>185</v>
      </c>
      <c r="S207" s="24">
        <v>185</v>
      </c>
      <c r="T207" s="24">
        <f t="shared" si="20"/>
        <v>185</v>
      </c>
      <c r="U207" s="24">
        <f>ROUNDDOWN(S207/HLOOKUP(D207,Table!$C$3:$D$4,2,0)*8,2)</f>
        <v>3.28</v>
      </c>
      <c r="V207" s="24">
        <f t="shared" si="21"/>
        <v>3.28</v>
      </c>
      <c r="W207" s="24" t="s">
        <v>18</v>
      </c>
      <c r="X207" s="128">
        <v>43913</v>
      </c>
      <c r="Y207" s="28">
        <v>43921</v>
      </c>
      <c r="Z207" s="28">
        <v>43916</v>
      </c>
      <c r="AA207" s="28">
        <v>43916</v>
      </c>
      <c r="AB207" s="28" t="s">
        <v>161</v>
      </c>
      <c r="AC207" s="24">
        <v>100</v>
      </c>
      <c r="AD207" s="24">
        <v>100</v>
      </c>
      <c r="AE207" s="24">
        <v>100</v>
      </c>
      <c r="AF207" s="27" t="s">
        <v>76</v>
      </c>
      <c r="AG207" s="27" t="s">
        <v>76</v>
      </c>
    </row>
    <row r="208" spans="2:33" x14ac:dyDescent="0.25">
      <c r="B208" s="141">
        <f t="shared" si="17"/>
        <v>206</v>
      </c>
      <c r="C208" s="26" t="s">
        <v>681</v>
      </c>
      <c r="D208" s="24" t="s">
        <v>3</v>
      </c>
      <c r="E208" s="24" t="s">
        <v>112</v>
      </c>
      <c r="F208" s="27" t="s">
        <v>201</v>
      </c>
      <c r="G208" s="24">
        <v>1341660</v>
      </c>
      <c r="H208" s="24" t="s">
        <v>140</v>
      </c>
      <c r="I208" s="25" t="s">
        <v>197</v>
      </c>
      <c r="J208" s="24" t="s">
        <v>76</v>
      </c>
      <c r="K208" s="24" t="s">
        <v>163</v>
      </c>
      <c r="L208" s="27" t="str">
        <f t="shared" si="26"/>
        <v>-</v>
      </c>
      <c r="M208" s="27" t="s">
        <v>371</v>
      </c>
      <c r="N208" s="26" t="s">
        <v>730</v>
      </c>
      <c r="O208" s="24" t="s">
        <v>85</v>
      </c>
      <c r="P208" s="24"/>
      <c r="Q208" s="24"/>
      <c r="R208" s="24">
        <v>68</v>
      </c>
      <c r="S208" s="24">
        <v>68</v>
      </c>
      <c r="T208" s="24"/>
      <c r="U208" s="24">
        <f>ROUNDDOWN(S208/HLOOKUP(D208,Table!$C$3:$D$4,2,0)*8,2)</f>
        <v>1.2</v>
      </c>
      <c r="V208" s="24"/>
      <c r="W208" s="24"/>
      <c r="X208" s="128">
        <v>43913</v>
      </c>
      <c r="Y208" s="28">
        <v>43921</v>
      </c>
      <c r="Z208" s="28"/>
      <c r="AA208" s="28"/>
      <c r="AB208" s="28" t="s">
        <v>161</v>
      </c>
      <c r="AC208" s="24">
        <v>100</v>
      </c>
      <c r="AD208" s="24">
        <v>100</v>
      </c>
      <c r="AE208" s="24">
        <v>100</v>
      </c>
      <c r="AF208" s="27" t="s">
        <v>76</v>
      </c>
      <c r="AG208" s="27" t="s">
        <v>76</v>
      </c>
    </row>
    <row r="209" spans="2:33" x14ac:dyDescent="0.25">
      <c r="B209" s="141">
        <f t="shared" si="17"/>
        <v>207</v>
      </c>
      <c r="C209" s="26" t="s">
        <v>681</v>
      </c>
      <c r="D209" s="24" t="s">
        <v>3</v>
      </c>
      <c r="E209" s="24" t="s">
        <v>112</v>
      </c>
      <c r="F209" s="27" t="s">
        <v>201</v>
      </c>
      <c r="G209" s="24">
        <v>1341660</v>
      </c>
      <c r="H209" s="24" t="s">
        <v>141</v>
      </c>
      <c r="I209" s="25" t="s">
        <v>197</v>
      </c>
      <c r="J209" s="24" t="s">
        <v>76</v>
      </c>
      <c r="K209" s="24" t="s">
        <v>163</v>
      </c>
      <c r="L209" s="27" t="str">
        <f t="shared" si="26"/>
        <v>-</v>
      </c>
      <c r="M209" s="27" t="s">
        <v>371</v>
      </c>
      <c r="N209" s="26" t="s">
        <v>731</v>
      </c>
      <c r="O209" s="24" t="s">
        <v>85</v>
      </c>
      <c r="P209" s="24"/>
      <c r="Q209" s="24"/>
      <c r="R209" s="24">
        <v>150</v>
      </c>
      <c r="S209" s="24">
        <v>150</v>
      </c>
      <c r="T209" s="24"/>
      <c r="U209" s="24">
        <f>ROUNDDOWN(S209/HLOOKUP(D209,Table!$C$3:$D$4,2,0)*8,2)</f>
        <v>2.66</v>
      </c>
      <c r="V209" s="24"/>
      <c r="W209" s="24"/>
      <c r="X209" s="128">
        <v>43913</v>
      </c>
      <c r="Y209" s="28">
        <v>43921</v>
      </c>
      <c r="Z209" s="28"/>
      <c r="AA209" s="28"/>
      <c r="AB209" s="28" t="s">
        <v>161</v>
      </c>
      <c r="AC209" s="24">
        <v>100</v>
      </c>
      <c r="AD209" s="24">
        <v>100</v>
      </c>
      <c r="AE209" s="24">
        <v>100</v>
      </c>
      <c r="AF209" s="27" t="s">
        <v>76</v>
      </c>
      <c r="AG209" s="27" t="s">
        <v>76</v>
      </c>
    </row>
    <row r="210" spans="2:33" hidden="1" x14ac:dyDescent="0.25">
      <c r="B210" s="141">
        <f t="shared" si="17"/>
        <v>208</v>
      </c>
      <c r="C210" s="26" t="s">
        <v>681</v>
      </c>
      <c r="D210" s="24" t="s">
        <v>3</v>
      </c>
      <c r="E210" s="24" t="s">
        <v>112</v>
      </c>
      <c r="F210" s="27" t="s">
        <v>201</v>
      </c>
      <c r="G210" s="24">
        <v>1341660</v>
      </c>
      <c r="H210" s="24" t="s">
        <v>142</v>
      </c>
      <c r="I210" s="25" t="s">
        <v>197</v>
      </c>
      <c r="J210" s="24" t="s">
        <v>76</v>
      </c>
      <c r="K210" s="24" t="s">
        <v>163</v>
      </c>
      <c r="L210" s="27" t="str">
        <f t="shared" si="26"/>
        <v>-</v>
      </c>
      <c r="M210" s="27" t="s">
        <v>371</v>
      </c>
      <c r="N210" s="26" t="s">
        <v>732</v>
      </c>
      <c r="O210" s="24" t="s">
        <v>87</v>
      </c>
      <c r="P210" s="24"/>
      <c r="Q210" s="24"/>
      <c r="R210" s="24">
        <v>25</v>
      </c>
      <c r="S210" s="24">
        <v>25</v>
      </c>
      <c r="T210" s="24">
        <f>S210</f>
        <v>25</v>
      </c>
      <c r="U210" s="24">
        <f>ROUNDDOWN(S210/HLOOKUP(D210,Table!$C$3:$D$4,2,0)*8,2)</f>
        <v>0.44</v>
      </c>
      <c r="V210" s="24">
        <f>U210</f>
        <v>0.44</v>
      </c>
      <c r="W210" s="24" t="s">
        <v>18</v>
      </c>
      <c r="X210" s="128">
        <v>43913</v>
      </c>
      <c r="Y210" s="28">
        <v>43921</v>
      </c>
      <c r="Z210" s="28">
        <v>43916</v>
      </c>
      <c r="AA210" s="28">
        <v>43916</v>
      </c>
      <c r="AB210" s="28" t="s">
        <v>161</v>
      </c>
      <c r="AC210" s="24">
        <v>100</v>
      </c>
      <c r="AD210" s="24">
        <v>100</v>
      </c>
      <c r="AE210" s="24">
        <v>100</v>
      </c>
      <c r="AF210" s="27" t="s">
        <v>76</v>
      </c>
      <c r="AG210" s="27" t="s">
        <v>76</v>
      </c>
    </row>
    <row r="211" spans="2:33" hidden="1" x14ac:dyDescent="0.25">
      <c r="B211" s="141">
        <f t="shared" si="17"/>
        <v>209</v>
      </c>
      <c r="C211" s="26" t="s">
        <v>681</v>
      </c>
      <c r="D211" s="24" t="s">
        <v>3</v>
      </c>
      <c r="E211" s="24" t="s">
        <v>112</v>
      </c>
      <c r="F211" s="27" t="s">
        <v>194</v>
      </c>
      <c r="G211" s="24">
        <v>1341660</v>
      </c>
      <c r="H211" s="24" t="s">
        <v>78</v>
      </c>
      <c r="I211" s="25" t="s">
        <v>197</v>
      </c>
      <c r="J211" s="24" t="s">
        <v>76</v>
      </c>
      <c r="K211" s="24" t="s">
        <v>163</v>
      </c>
      <c r="L211" s="27" t="str">
        <f t="shared" si="26"/>
        <v>-</v>
      </c>
      <c r="M211" s="27" t="s">
        <v>371</v>
      </c>
      <c r="N211" s="26" t="s">
        <v>733</v>
      </c>
      <c r="O211" s="24" t="s">
        <v>88</v>
      </c>
      <c r="P211" s="24"/>
      <c r="Q211" s="24"/>
      <c r="R211" s="24">
        <v>487</v>
      </c>
      <c r="S211" s="24">
        <f>R211</f>
        <v>487</v>
      </c>
      <c r="T211" s="24"/>
      <c r="U211" s="24">
        <f>ROUNDDOWN(S211/HLOOKUP(D211,Table!$C$3:$D$4,2,0)*8,2)</f>
        <v>8.65</v>
      </c>
      <c r="V211" s="24"/>
      <c r="W211" s="24"/>
      <c r="X211" s="128">
        <v>43913</v>
      </c>
      <c r="Y211" s="28">
        <v>43921</v>
      </c>
      <c r="Z211" s="28"/>
      <c r="AA211" s="28"/>
      <c r="AB211" s="28" t="s">
        <v>161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 hidden="1" x14ac:dyDescent="0.25">
      <c r="B212" s="141">
        <f t="shared" si="17"/>
        <v>210</v>
      </c>
      <c r="C212" s="26" t="s">
        <v>681</v>
      </c>
      <c r="D212" s="24" t="s">
        <v>3</v>
      </c>
      <c r="E212" s="24" t="s">
        <v>112</v>
      </c>
      <c r="F212" s="27" t="s">
        <v>194</v>
      </c>
      <c r="G212" s="24">
        <v>1341660</v>
      </c>
      <c r="H212" s="24" t="s">
        <v>143</v>
      </c>
      <c r="I212" s="25" t="s">
        <v>197</v>
      </c>
      <c r="J212" s="24" t="s">
        <v>76</v>
      </c>
      <c r="K212" s="24" t="s">
        <v>163</v>
      </c>
      <c r="L212" s="27" t="str">
        <f t="shared" si="26"/>
        <v>-</v>
      </c>
      <c r="M212" s="27" t="s">
        <v>371</v>
      </c>
      <c r="N212" s="26" t="s">
        <v>734</v>
      </c>
      <c r="O212" s="24" t="s">
        <v>87</v>
      </c>
      <c r="P212" s="24"/>
      <c r="Q212" s="24"/>
      <c r="R212" s="24">
        <v>110</v>
      </c>
      <c r="S212" s="24">
        <v>110</v>
      </c>
      <c r="T212" s="24">
        <f>S212</f>
        <v>110</v>
      </c>
      <c r="U212" s="24">
        <f>ROUNDDOWN(S212/HLOOKUP(D212,Table!$C$3:$D$4,2,0)*8,2)</f>
        <v>1.95</v>
      </c>
      <c r="V212" s="24">
        <f>U212</f>
        <v>1.95</v>
      </c>
      <c r="W212" s="24" t="s">
        <v>18</v>
      </c>
      <c r="X212" s="128">
        <v>43913</v>
      </c>
      <c r="Y212" s="28">
        <v>43921</v>
      </c>
      <c r="Z212" s="28">
        <v>43916</v>
      </c>
      <c r="AA212" s="28">
        <v>43916</v>
      </c>
      <c r="AB212" s="28" t="s">
        <v>161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 hidden="1" x14ac:dyDescent="0.25">
      <c r="B213" s="141">
        <f t="shared" si="17"/>
        <v>211</v>
      </c>
      <c r="C213" s="26" t="s">
        <v>681</v>
      </c>
      <c r="D213" s="24" t="s">
        <v>3</v>
      </c>
      <c r="E213" s="24" t="s">
        <v>112</v>
      </c>
      <c r="F213" s="27" t="s">
        <v>194</v>
      </c>
      <c r="G213" s="24">
        <v>1341660</v>
      </c>
      <c r="H213" s="24" t="s">
        <v>144</v>
      </c>
      <c r="I213" s="25" t="s">
        <v>197</v>
      </c>
      <c r="J213" s="24" t="s">
        <v>76</v>
      </c>
      <c r="K213" s="24" t="s">
        <v>163</v>
      </c>
      <c r="L213" s="27" t="str">
        <f t="shared" si="26"/>
        <v>-</v>
      </c>
      <c r="M213" s="27" t="s">
        <v>371</v>
      </c>
      <c r="N213" s="26" t="s">
        <v>735</v>
      </c>
      <c r="O213" s="24" t="s">
        <v>88</v>
      </c>
      <c r="P213" s="24"/>
      <c r="Q213" s="24"/>
      <c r="R213" s="24">
        <v>167</v>
      </c>
      <c r="S213" s="24">
        <f>R213</f>
        <v>167</v>
      </c>
      <c r="T213" s="24"/>
      <c r="U213" s="24">
        <f>ROUNDDOWN(S213/HLOOKUP(D213,Table!$C$3:$D$4,2,0)*8,2)</f>
        <v>2.96</v>
      </c>
      <c r="V213" s="24"/>
      <c r="W213" s="24"/>
      <c r="X213" s="128">
        <v>43913</v>
      </c>
      <c r="Y213" s="28">
        <v>43921</v>
      </c>
      <c r="Z213" s="28"/>
      <c r="AA213" s="28"/>
      <c r="AB213" s="28" t="s">
        <v>161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 hidden="1" x14ac:dyDescent="0.25">
      <c r="B214" s="141">
        <f t="shared" si="17"/>
        <v>212</v>
      </c>
      <c r="C214" s="26" t="s">
        <v>681</v>
      </c>
      <c r="D214" s="24" t="s">
        <v>3</v>
      </c>
      <c r="E214" s="24" t="s">
        <v>112</v>
      </c>
      <c r="F214" s="27" t="s">
        <v>194</v>
      </c>
      <c r="G214" s="24">
        <v>1341660</v>
      </c>
      <c r="H214" s="24" t="s">
        <v>145</v>
      </c>
      <c r="I214" s="25" t="s">
        <v>197</v>
      </c>
      <c r="J214" s="24" t="s">
        <v>76</v>
      </c>
      <c r="K214" s="24" t="s">
        <v>163</v>
      </c>
      <c r="L214" s="27" t="str">
        <f t="shared" si="26"/>
        <v>-</v>
      </c>
      <c r="M214" s="27" t="s">
        <v>371</v>
      </c>
      <c r="N214" s="26" t="s">
        <v>736</v>
      </c>
      <c r="O214" s="24" t="s">
        <v>87</v>
      </c>
      <c r="P214" s="24"/>
      <c r="Q214" s="24"/>
      <c r="R214" s="24">
        <v>42</v>
      </c>
      <c r="S214" s="24">
        <v>42</v>
      </c>
      <c r="T214" s="24">
        <f t="shared" ref="T214:T219" si="28">S214</f>
        <v>42</v>
      </c>
      <c r="U214" s="24">
        <f>ROUNDDOWN(S214/HLOOKUP(D214,Table!$C$3:$D$4,2,0)*8,2)</f>
        <v>0.74</v>
      </c>
      <c r="V214" s="24">
        <f t="shared" ref="V214:V219" si="29">U214</f>
        <v>0.74</v>
      </c>
      <c r="W214" s="24" t="s">
        <v>18</v>
      </c>
      <c r="X214" s="128">
        <v>43913</v>
      </c>
      <c r="Y214" s="28">
        <v>43921</v>
      </c>
      <c r="Z214" s="28">
        <v>43916</v>
      </c>
      <c r="AA214" s="28">
        <v>43916</v>
      </c>
      <c r="AB214" s="28" t="s">
        <v>161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 hidden="1" x14ac:dyDescent="0.25">
      <c r="B215" s="141">
        <f t="shared" si="17"/>
        <v>213</v>
      </c>
      <c r="C215" s="26" t="s">
        <v>681</v>
      </c>
      <c r="D215" s="24" t="s">
        <v>3</v>
      </c>
      <c r="E215" s="24" t="s">
        <v>112</v>
      </c>
      <c r="F215" s="27" t="s">
        <v>194</v>
      </c>
      <c r="G215" s="24">
        <v>1341660</v>
      </c>
      <c r="H215" s="24" t="s">
        <v>146</v>
      </c>
      <c r="I215" s="25" t="s">
        <v>197</v>
      </c>
      <c r="J215" s="24" t="s">
        <v>76</v>
      </c>
      <c r="K215" s="24" t="s">
        <v>163</v>
      </c>
      <c r="L215" s="27" t="str">
        <f t="shared" si="26"/>
        <v>-</v>
      </c>
      <c r="M215" s="27" t="s">
        <v>371</v>
      </c>
      <c r="N215" s="26" t="s">
        <v>737</v>
      </c>
      <c r="O215" s="24" t="s">
        <v>87</v>
      </c>
      <c r="P215" s="24"/>
      <c r="Q215" s="24"/>
      <c r="R215" s="24">
        <v>40</v>
      </c>
      <c r="S215" s="24">
        <v>40</v>
      </c>
      <c r="T215" s="24">
        <f t="shared" si="28"/>
        <v>40</v>
      </c>
      <c r="U215" s="24">
        <f>ROUNDDOWN(S215/HLOOKUP(D215,Table!$C$3:$D$4,2,0)*8,2)</f>
        <v>0.71</v>
      </c>
      <c r="V215" s="24">
        <f t="shared" si="29"/>
        <v>0.71</v>
      </c>
      <c r="W215" s="24" t="s">
        <v>18</v>
      </c>
      <c r="X215" s="128">
        <v>43913</v>
      </c>
      <c r="Y215" s="28">
        <v>43921</v>
      </c>
      <c r="Z215" s="28">
        <v>43916</v>
      </c>
      <c r="AA215" s="28">
        <v>43916</v>
      </c>
      <c r="AB215" s="28" t="s">
        <v>161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 hidden="1" x14ac:dyDescent="0.25">
      <c r="B216" s="141">
        <f t="shared" si="17"/>
        <v>214</v>
      </c>
      <c r="C216" s="26" t="s">
        <v>681</v>
      </c>
      <c r="D216" s="24" t="s">
        <v>3</v>
      </c>
      <c r="E216" s="24" t="s">
        <v>112</v>
      </c>
      <c r="F216" s="27" t="s">
        <v>149</v>
      </c>
      <c r="G216" s="24">
        <v>1341660</v>
      </c>
      <c r="H216" s="26" t="s">
        <v>148</v>
      </c>
      <c r="I216" s="25" t="s">
        <v>197</v>
      </c>
      <c r="J216" s="24" t="s">
        <v>76</v>
      </c>
      <c r="K216" s="24" t="s">
        <v>163</v>
      </c>
      <c r="L216" s="27" t="str">
        <f t="shared" si="26"/>
        <v>-</v>
      </c>
      <c r="M216" s="27" t="s">
        <v>371</v>
      </c>
      <c r="N216" s="26" t="s">
        <v>738</v>
      </c>
      <c r="O216" s="24" t="s">
        <v>87</v>
      </c>
      <c r="P216" s="24"/>
      <c r="Q216" s="24"/>
      <c r="R216" s="24">
        <v>29</v>
      </c>
      <c r="S216" s="24">
        <v>29</v>
      </c>
      <c r="T216" s="24">
        <f t="shared" si="28"/>
        <v>29</v>
      </c>
      <c r="U216" s="24">
        <f>ROUNDDOWN(S216/HLOOKUP(D216,Table!$C$3:$D$4,2,0)*8,2)</f>
        <v>0.51</v>
      </c>
      <c r="V216" s="24">
        <f t="shared" si="29"/>
        <v>0.51</v>
      </c>
      <c r="W216" s="24" t="s">
        <v>18</v>
      </c>
      <c r="X216" s="128">
        <v>43913</v>
      </c>
      <c r="Y216" s="28">
        <v>43921</v>
      </c>
      <c r="Z216" s="28">
        <v>43916</v>
      </c>
      <c r="AA216" s="28">
        <v>43916</v>
      </c>
      <c r="AB216" s="28" t="s">
        <v>161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 hidden="1" x14ac:dyDescent="0.25">
      <c r="B217" s="141">
        <f t="shared" si="17"/>
        <v>215</v>
      </c>
      <c r="C217" s="26" t="s">
        <v>681</v>
      </c>
      <c r="D217" s="24" t="s">
        <v>3</v>
      </c>
      <c r="E217" s="24" t="s">
        <v>112</v>
      </c>
      <c r="F217" s="27" t="s">
        <v>149</v>
      </c>
      <c r="G217" s="24">
        <v>1341660</v>
      </c>
      <c r="H217" s="26" t="s">
        <v>143</v>
      </c>
      <c r="I217" s="25" t="s">
        <v>197</v>
      </c>
      <c r="J217" s="24" t="s">
        <v>76</v>
      </c>
      <c r="K217" s="24" t="s">
        <v>163</v>
      </c>
      <c r="L217" s="27" t="str">
        <f t="shared" si="26"/>
        <v>-</v>
      </c>
      <c r="M217" s="27" t="s">
        <v>371</v>
      </c>
      <c r="N217" s="26" t="s">
        <v>739</v>
      </c>
      <c r="O217" s="24" t="s">
        <v>87</v>
      </c>
      <c r="P217" s="24"/>
      <c r="Q217" s="24"/>
      <c r="R217" s="24">
        <v>110</v>
      </c>
      <c r="S217" s="24">
        <v>110</v>
      </c>
      <c r="T217" s="24">
        <f t="shared" si="28"/>
        <v>110</v>
      </c>
      <c r="U217" s="24">
        <f>ROUNDDOWN(S217/HLOOKUP(D217,Table!$C$3:$D$4,2,0)*8,2)</f>
        <v>1.95</v>
      </c>
      <c r="V217" s="24">
        <f t="shared" si="29"/>
        <v>1.95</v>
      </c>
      <c r="W217" s="24" t="s">
        <v>18</v>
      </c>
      <c r="X217" s="128">
        <v>43913</v>
      </c>
      <c r="Y217" s="28">
        <v>43921</v>
      </c>
      <c r="Z217" s="28">
        <v>43916</v>
      </c>
      <c r="AA217" s="28">
        <v>43916</v>
      </c>
      <c r="AB217" s="28" t="s">
        <v>161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 hidden="1" x14ac:dyDescent="0.25">
      <c r="B218" s="141">
        <f t="shared" si="17"/>
        <v>216</v>
      </c>
      <c r="C218" s="26" t="s">
        <v>681</v>
      </c>
      <c r="D218" s="24" t="s">
        <v>3</v>
      </c>
      <c r="E218" s="24" t="s">
        <v>112</v>
      </c>
      <c r="F218" s="27" t="s">
        <v>149</v>
      </c>
      <c r="G218" s="24">
        <v>1341660</v>
      </c>
      <c r="H218" s="26" t="s">
        <v>145</v>
      </c>
      <c r="I218" s="25" t="s">
        <v>197</v>
      </c>
      <c r="J218" s="24" t="s">
        <v>76</v>
      </c>
      <c r="K218" s="24" t="s">
        <v>163</v>
      </c>
      <c r="L218" s="27" t="str">
        <f t="shared" si="26"/>
        <v>-</v>
      </c>
      <c r="M218" s="27" t="s">
        <v>371</v>
      </c>
      <c r="N218" s="26" t="s">
        <v>740</v>
      </c>
      <c r="O218" s="24" t="s">
        <v>87</v>
      </c>
      <c r="P218" s="24"/>
      <c r="Q218" s="24"/>
      <c r="R218" s="24">
        <v>42</v>
      </c>
      <c r="S218" s="24">
        <v>42</v>
      </c>
      <c r="T218" s="24">
        <f t="shared" si="28"/>
        <v>42</v>
      </c>
      <c r="U218" s="24">
        <f>ROUNDDOWN(S218/HLOOKUP(D218,Table!$C$3:$D$4,2,0)*8,2)</f>
        <v>0.74</v>
      </c>
      <c r="V218" s="24">
        <f t="shared" si="29"/>
        <v>0.74</v>
      </c>
      <c r="W218" s="24" t="s">
        <v>18</v>
      </c>
      <c r="X218" s="128">
        <v>43913</v>
      </c>
      <c r="Y218" s="28">
        <v>43921</v>
      </c>
      <c r="Z218" s="28">
        <v>43916</v>
      </c>
      <c r="AA218" s="28">
        <v>43916</v>
      </c>
      <c r="AB218" s="28" t="s">
        <v>161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 hidden="1" x14ac:dyDescent="0.25">
      <c r="B219" s="141">
        <f>B218+1</f>
        <v>217</v>
      </c>
      <c r="C219" s="26" t="s">
        <v>681</v>
      </c>
      <c r="D219" s="24" t="s">
        <v>3</v>
      </c>
      <c r="E219" s="24" t="s">
        <v>112</v>
      </c>
      <c r="F219" s="27" t="s">
        <v>149</v>
      </c>
      <c r="G219" s="24">
        <v>1341660</v>
      </c>
      <c r="H219" s="26" t="s">
        <v>147</v>
      </c>
      <c r="I219" s="25" t="s">
        <v>197</v>
      </c>
      <c r="J219" s="24" t="s">
        <v>76</v>
      </c>
      <c r="K219" s="24" t="s">
        <v>163</v>
      </c>
      <c r="L219" s="27" t="str">
        <f t="shared" si="26"/>
        <v>-</v>
      </c>
      <c r="M219" s="27" t="s">
        <v>371</v>
      </c>
      <c r="N219" s="26" t="s">
        <v>741</v>
      </c>
      <c r="O219" s="24" t="s">
        <v>87</v>
      </c>
      <c r="P219" s="24"/>
      <c r="Q219" s="24"/>
      <c r="R219" s="24">
        <v>44</v>
      </c>
      <c r="S219" s="24">
        <v>44</v>
      </c>
      <c r="T219" s="24">
        <f t="shared" si="28"/>
        <v>44</v>
      </c>
      <c r="U219" s="24">
        <f>ROUNDDOWN(S219/HLOOKUP(D219,Table!$C$3:$D$4,2,0)*8,2)</f>
        <v>0.78</v>
      </c>
      <c r="V219" s="24">
        <f t="shared" si="29"/>
        <v>0.78</v>
      </c>
      <c r="W219" s="24" t="s">
        <v>18</v>
      </c>
      <c r="X219" s="128">
        <v>43913</v>
      </c>
      <c r="Y219" s="28">
        <v>43921</v>
      </c>
      <c r="Z219" s="28">
        <v>43916</v>
      </c>
      <c r="AA219" s="28">
        <v>43916</v>
      </c>
      <c r="AB219" s="28" t="s">
        <v>161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 hidden="1" x14ac:dyDescent="0.25">
      <c r="B220" s="32">
        <f>B219+1</f>
        <v>218</v>
      </c>
      <c r="C220" s="26"/>
      <c r="D220" s="26"/>
      <c r="E220" s="26"/>
      <c r="F220" s="47"/>
      <c r="G220" s="26"/>
      <c r="H220" s="26"/>
      <c r="I220" s="26"/>
      <c r="J220" s="26"/>
      <c r="K220" s="26"/>
      <c r="L220" s="47"/>
      <c r="M220" s="47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154"/>
      <c r="Y220" s="87"/>
      <c r="Z220" s="87"/>
      <c r="AA220" s="87"/>
      <c r="AB220" s="87"/>
      <c r="AC220" s="26"/>
      <c r="AD220" s="26"/>
      <c r="AE220" s="26"/>
      <c r="AF220" s="47"/>
      <c r="AG220" s="47"/>
    </row>
    <row r="221" spans="2:33" hidden="1" x14ac:dyDescent="0.25">
      <c r="B221" s="32">
        <f t="shared" ref="B221:B225" si="30">B220+1</f>
        <v>219</v>
      </c>
      <c r="C221" s="26"/>
      <c r="D221" s="26"/>
      <c r="E221" s="26"/>
      <c r="F221" s="47"/>
      <c r="G221" s="26"/>
      <c r="H221" s="26"/>
      <c r="I221" s="26"/>
      <c r="J221" s="26"/>
      <c r="K221" s="26"/>
      <c r="L221" s="47"/>
      <c r="M221" s="47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154"/>
      <c r="Y221" s="87"/>
      <c r="Z221" s="87"/>
      <c r="AA221" s="87"/>
      <c r="AB221" s="87"/>
      <c r="AC221" s="26"/>
      <c r="AD221" s="26"/>
      <c r="AE221" s="26"/>
      <c r="AF221" s="47"/>
      <c r="AG221" s="47"/>
    </row>
    <row r="222" spans="2:33" hidden="1" x14ac:dyDescent="0.25">
      <c r="B222" s="32">
        <f t="shared" si="30"/>
        <v>220</v>
      </c>
      <c r="C222" s="26"/>
      <c r="D222" s="26"/>
      <c r="E222" s="26"/>
      <c r="F222" s="47"/>
      <c r="G222" s="26"/>
      <c r="H222" s="26"/>
      <c r="I222" s="26"/>
      <c r="J222" s="26"/>
      <c r="K222" s="26"/>
      <c r="L222" s="47"/>
      <c r="M222" s="47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154"/>
      <c r="Y222" s="87"/>
      <c r="Z222" s="87"/>
      <c r="AA222" s="87"/>
      <c r="AB222" s="87"/>
      <c r="AC222" s="26"/>
      <c r="AD222" s="26"/>
      <c r="AE222" s="26"/>
      <c r="AF222" s="47"/>
      <c r="AG222" s="47"/>
    </row>
    <row r="223" spans="2:33" hidden="1" x14ac:dyDescent="0.25">
      <c r="B223" s="32">
        <f t="shared" si="30"/>
        <v>221</v>
      </c>
      <c r="C223" s="26"/>
      <c r="D223" s="26"/>
      <c r="E223" s="26"/>
      <c r="F223" s="47"/>
      <c r="G223" s="26"/>
      <c r="H223" s="26"/>
      <c r="I223" s="26"/>
      <c r="J223" s="26"/>
      <c r="K223" s="26"/>
      <c r="L223" s="47"/>
      <c r="M223" s="47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154"/>
      <c r="Y223" s="87"/>
      <c r="Z223" s="87"/>
      <c r="AA223" s="87"/>
      <c r="AB223" s="87"/>
      <c r="AC223" s="26"/>
      <c r="AD223" s="26"/>
      <c r="AE223" s="26"/>
      <c r="AF223" s="47"/>
      <c r="AG223" s="47"/>
    </row>
    <row r="224" spans="2:33" hidden="1" x14ac:dyDescent="0.25">
      <c r="B224" s="32">
        <f t="shared" si="30"/>
        <v>222</v>
      </c>
      <c r="C224" s="26"/>
      <c r="D224" s="26"/>
      <c r="E224" s="26"/>
      <c r="F224" s="47"/>
      <c r="G224" s="26"/>
      <c r="H224" s="26"/>
      <c r="I224" s="26"/>
      <c r="J224" s="26"/>
      <c r="K224" s="26"/>
      <c r="L224" s="47"/>
      <c r="M224" s="47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154"/>
      <c r="Y224" s="87"/>
      <c r="Z224" s="87"/>
      <c r="AA224" s="87"/>
      <c r="AB224" s="87"/>
      <c r="AC224" s="26"/>
      <c r="AD224" s="26"/>
      <c r="AE224" s="26"/>
      <c r="AF224" s="47"/>
      <c r="AG224" s="47"/>
    </row>
    <row r="225" spans="2:33" hidden="1" x14ac:dyDescent="0.25">
      <c r="B225" s="32">
        <f t="shared" si="30"/>
        <v>223</v>
      </c>
      <c r="C225" s="26"/>
      <c r="D225" s="26"/>
      <c r="E225" s="26"/>
      <c r="F225" s="47"/>
      <c r="G225" s="26"/>
      <c r="H225" s="26"/>
      <c r="I225" s="26"/>
      <c r="J225" s="26"/>
      <c r="K225" s="26"/>
      <c r="L225" s="47"/>
      <c r="M225" s="47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154"/>
      <c r="Y225" s="87"/>
      <c r="Z225" s="87"/>
      <c r="AA225" s="87"/>
      <c r="AB225" s="87"/>
      <c r="AC225" s="26"/>
      <c r="AD225" s="26"/>
      <c r="AE225" s="26"/>
      <c r="AF225" s="47"/>
      <c r="AG225" s="47"/>
    </row>
    <row r="226" spans="2:33" x14ac:dyDescent="0.25">
      <c r="B226" s="33"/>
      <c r="C226" s="130"/>
      <c r="D226" s="130"/>
      <c r="E226" s="130"/>
      <c r="F226" s="131"/>
      <c r="G226" s="130"/>
      <c r="H226" s="130"/>
      <c r="I226" s="130"/>
      <c r="J226" s="130"/>
      <c r="K226" s="130"/>
      <c r="L226" s="130"/>
      <c r="M226" s="130"/>
      <c r="N226" s="132"/>
      <c r="O226" s="130"/>
      <c r="P226" s="130"/>
      <c r="Q226" s="130"/>
      <c r="R226" s="130"/>
      <c r="S226" s="130"/>
      <c r="T226" s="130"/>
      <c r="U226" s="130"/>
      <c r="V226" s="130"/>
      <c r="W226" s="130"/>
      <c r="X226" s="133"/>
      <c r="Y226" s="133"/>
      <c r="Z226" s="133"/>
      <c r="AA226" s="133"/>
      <c r="AB226" s="133"/>
      <c r="AC226" s="130"/>
      <c r="AD226" s="130"/>
      <c r="AE226" s="130"/>
      <c r="AF226" s="130"/>
      <c r="AG226" s="130"/>
    </row>
    <row r="227" spans="2:33" x14ac:dyDescent="0.25">
      <c r="B227" s="5"/>
      <c r="C227" s="5"/>
      <c r="D227" s="5"/>
      <c r="E227" s="5"/>
      <c r="F227" s="5"/>
      <c r="G227" s="5"/>
      <c r="H227" s="5"/>
      <c r="I227" s="5"/>
      <c r="J227" s="152"/>
      <c r="K227" s="5"/>
      <c r="L227" s="5"/>
      <c r="M227" s="5"/>
      <c r="N227" s="45"/>
      <c r="O227" s="5"/>
      <c r="P227" s="5"/>
    </row>
    <row r="228" spans="2:33" x14ac:dyDescent="0.25">
      <c r="B228" s="1" t="s">
        <v>56</v>
      </c>
    </row>
    <row r="229" spans="2:33" x14ac:dyDescent="0.25">
      <c r="B229" s="2" t="s">
        <v>0</v>
      </c>
      <c r="C229" s="2" t="s">
        <v>7</v>
      </c>
      <c r="D229" s="2" t="s">
        <v>465</v>
      </c>
      <c r="E229" s="2" t="s">
        <v>58</v>
      </c>
      <c r="F229" s="2" t="s">
        <v>466</v>
      </c>
      <c r="G229" s="2" t="s">
        <v>22</v>
      </c>
      <c r="H229" s="4" t="s">
        <v>24</v>
      </c>
      <c r="L229" s="46"/>
      <c r="N229"/>
    </row>
    <row r="230" spans="2:33" x14ac:dyDescent="0.25">
      <c r="B230" s="3">
        <v>1</v>
      </c>
      <c r="C230" s="40" t="s">
        <v>85</v>
      </c>
      <c r="D230" s="3">
        <f>SUMIFS($S$3:$S$219,$D$3:$D$219,Table!$C$3,$O$3:$O$219,C230)</f>
        <v>347</v>
      </c>
      <c r="E230" s="3">
        <f>SUMIFS($T$3:$T$219,$D$3:$D$219,Table!$C$3,$O$3:$O$219,C230)-SUM(SUMIFS($T$3:$T$219,$D$3:$D$219,Table!$C$3,$O$3:$O$219,C230,$W$3:$W$219,{"Ongoing","N\A",""}))</f>
        <v>347</v>
      </c>
      <c r="F230" s="3">
        <f>1/8*(SUMIFS($V$3:$V$219,$D$3:$D$219,Table!$C$3,$O$3:$O$219,C230)-SUM(SUMIFS($V$3:$V$219,$D$3:$D$219,Table!$C$3,$O$3:$O$219,C230,$W$3:$W$219,{"Ongoing","N/A",""})))</f>
        <v>3.375</v>
      </c>
      <c r="G230" s="3">
        <f>IF(ISERROR(E230/(F230)),"N/A",E230/F230)</f>
        <v>102.81481481481481</v>
      </c>
      <c r="H230" s="6">
        <f>IF(ISERROR(E230/D230),"N/A",E230/D230)</f>
        <v>1</v>
      </c>
      <c r="L230" s="46"/>
      <c r="N230"/>
    </row>
    <row r="231" spans="2:33" x14ac:dyDescent="0.25">
      <c r="B231" s="3">
        <v>2</v>
      </c>
      <c r="C231" s="40" t="s">
        <v>86</v>
      </c>
      <c r="D231" s="3">
        <f>SUMIFS($S$3:$S$219,$D$3:$D$219,Table!$C$3,$O$3:$O$219,C231)</f>
        <v>182</v>
      </c>
      <c r="E231" s="3">
        <f>SUMIFS($T$3:$T$219,$D$3:$D$219,Table!$C$3,$O$3:$O$219,C231)-SUM(SUMIFS($T$3:$T$219,$D$3:$D$219,Table!$C$3,$O$3:$O$219,C231,$W$3:$W$219,{"Ongoing","N/A",""}))</f>
        <v>182</v>
      </c>
      <c r="F231" s="3">
        <f>1/8*(SUMIFS($V$3:$V$219,$D$3:$D$219,Table!$C$3,$O$3:$O$219,C231)-SUM(SUMIFS($V$3:$V$219,$D$3:$D$219,Table!$C$3,$O$3:$O$219,C231,$W$3:$W$219,{"Ongoing","N/A",""})))</f>
        <v>3</v>
      </c>
      <c r="G231" s="3">
        <f>IF(ISERROR(E231/(F231)),"N/A",E231/F231)</f>
        <v>60.666666666666664</v>
      </c>
      <c r="H231" s="6">
        <f>IF(ISERROR(E231/D231),"N/A",E231/D231)</f>
        <v>1</v>
      </c>
      <c r="L231" s="46"/>
      <c r="N231"/>
    </row>
    <row r="232" spans="2:33" x14ac:dyDescent="0.25">
      <c r="B232" s="3">
        <v>3</v>
      </c>
      <c r="C232" s="40" t="s">
        <v>87</v>
      </c>
      <c r="D232" s="3">
        <f>SUMIFS($S$3:$S$219,$D$3:$D$219,Table!$C$3,$O$3:$O$219,C232)</f>
        <v>87</v>
      </c>
      <c r="E232" s="3">
        <f>SUMIFS($T$3:$T$219,$D$3:$D$219,Table!$C$3,$O$3:$O$219,C232)-SUM(SUMIFS($T$3:$T$219,$D$3:$D$219,Table!$C$3,$O$3:$O$219,C232,$W$3:$W$219,{"Ongoing","N/A",""}))</f>
        <v>87</v>
      </c>
      <c r="F232" s="3">
        <f>1/8*(SUMIFS($V$3:$V$219,$D$3:$D$219,Table!$C$3,$O$3:$O$219,C232)-SUM(SUMIFS($V$3:$V$219,$D$3:$D$219,Table!$C$3,$O$3:$O$219,C232,$W$3:$W$219,{"Ongoing","N/A",""})))</f>
        <v>1.4125000000000001</v>
      </c>
      <c r="G232" s="3">
        <f>IF(ISERROR(E232/(F232)),"N/A",E232/F232)</f>
        <v>61.592920353982294</v>
      </c>
      <c r="H232" s="6">
        <f>IF(ISERROR(E232/D232),"N/A",E232/D232)</f>
        <v>1</v>
      </c>
      <c r="L232" s="46"/>
      <c r="N232"/>
    </row>
    <row r="233" spans="2:33" x14ac:dyDescent="0.25">
      <c r="B233" s="3">
        <v>4</v>
      </c>
      <c r="C233" s="40" t="s">
        <v>88</v>
      </c>
      <c r="D233" s="3">
        <f>SUMIFS($S$3:$S$219,$D$3:$D$219,Table!$C$3,$O$3:$O$219,C233)</f>
        <v>43</v>
      </c>
      <c r="E233" s="3">
        <f>SUMIFS($T$3:$T$219,$D$3:$D$219,Table!$C$3,$O$3:$O$219,C233)-SUM(SUMIFS($T$3:$T$219,$D$3:$D$219,Table!$C$3,$O$3:$O$219,C233,$W$3:$W$219,{"Ongoing","N/A"}))</f>
        <v>43</v>
      </c>
      <c r="F233" s="3">
        <f>1/8*(SUMIFS($V$3:$V$219,$D$3:$D$219,Table!$C$3,$O$3:$O$219,C233)-SUM(SUMIFS($V$3:$V$219,$D$3:$D$219,Table!$C$3,$O$3:$O$219,C233,$W$3:$W$219,{"Ongoing","N/A",""})))</f>
        <v>0.3125</v>
      </c>
      <c r="G233" s="3">
        <f>IF(ISERROR(E233/(F233)),"N/A",E233/F233)</f>
        <v>137.6</v>
      </c>
      <c r="H233" s="6">
        <f>IF(ISERROR(E233/D233),"N/A",E233/D233)</f>
        <v>1</v>
      </c>
      <c r="L233" s="46"/>
      <c r="N233"/>
    </row>
    <row r="234" spans="2:33" x14ac:dyDescent="0.25">
      <c r="B234" s="2" t="s">
        <v>322</v>
      </c>
      <c r="C234" s="40"/>
      <c r="D234" s="112">
        <f>SUMIFS($S$3:$S$219,$D$3:$D$219,Table!$C$3)</f>
        <v>659</v>
      </c>
      <c r="E234" s="112">
        <f>SUMIFS($T$3:$T$219,$D$3:$D$219,Table!$C$3)-SUM(SUMIFS($T$3:$T$219,$D$3:$D$219,Table!$C$3,$W$3:$W$219,{"Ongoing","N/A",""}))</f>
        <v>659</v>
      </c>
      <c r="F234" s="112">
        <f>1/8*(SUMIFS($V$3:$V$219,$D$3:$D$219,Table!$C$3)-SUM(SUMIFS($V$3:$V$219,$D$3:$D$219,Table!$C$3,$W$3:$W$219,{"Ongoing","N/A",""})))</f>
        <v>8.1</v>
      </c>
      <c r="G234" s="3">
        <f>IF(ISERROR(E234/(F234)),"N/A",E234/F234)</f>
        <v>81.358024691358025</v>
      </c>
      <c r="H234" s="6">
        <f>IF(ISERROR(E234/D234),"N/A",E234/D234)</f>
        <v>1</v>
      </c>
      <c r="L234" s="46"/>
      <c r="N234"/>
    </row>
    <row r="235" spans="2:33" x14ac:dyDescent="0.25">
      <c r="L235" s="46"/>
      <c r="N235"/>
    </row>
    <row r="236" spans="2:33" x14ac:dyDescent="0.25">
      <c r="L236" s="46"/>
      <c r="N236"/>
    </row>
    <row r="237" spans="2:33" x14ac:dyDescent="0.25">
      <c r="B237" s="1" t="s">
        <v>57</v>
      </c>
      <c r="L237" s="46"/>
      <c r="N237"/>
    </row>
    <row r="238" spans="2:33" x14ac:dyDescent="0.25">
      <c r="B238" s="2" t="s">
        <v>0</v>
      </c>
      <c r="C238" s="2" t="s">
        <v>7</v>
      </c>
      <c r="D238" s="2" t="s">
        <v>465</v>
      </c>
      <c r="E238" s="2" t="s">
        <v>58</v>
      </c>
      <c r="F238" s="2" t="s">
        <v>466</v>
      </c>
      <c r="G238" s="2" t="s">
        <v>22</v>
      </c>
      <c r="H238" s="4" t="s">
        <v>24</v>
      </c>
      <c r="L238" s="46"/>
      <c r="N238"/>
    </row>
    <row r="239" spans="2:33" x14ac:dyDescent="0.25">
      <c r="B239" s="3">
        <v>1</v>
      </c>
      <c r="C239" s="40" t="s">
        <v>85</v>
      </c>
      <c r="D239" s="3">
        <f>SUMIFS($S$3:$S$219,$D$3:$D$219,Table!$D$3,$O$3:$O$219,C239)</f>
        <v>8901</v>
      </c>
      <c r="E239" s="3">
        <f>SUMIFS($S$3:$S$219,$D$3:$D$219,Table!$D$3,$O$3:$O$219,C239)-SUM(SUMIFS($S$3:$S$219,$D$3:$D$219,Table!$D$3,$O$3:$O$219,C239,$W$3:$W$219,{"Ongoing","N/A",""}))</f>
        <v>8562</v>
      </c>
      <c r="F239" s="3">
        <f>1/8*(SUMIFS($V$3:$V$219,$D$3:$D$219,Table!$D$3,$O$3:$O$219,C239)-SUM(SUMIFS($V$3:$V$219,$D$3:$D$219,Table!$D$3,$O$3:$O$219,C239,$W$3:$W$219,{"Ongoing","N/A",""})))</f>
        <v>17.37875</v>
      </c>
      <c r="G239" s="3">
        <f>IF(ISERROR(E239/(F239)),"N/A",E239/F239)</f>
        <v>492.67064662303102</v>
      </c>
      <c r="H239" s="6">
        <f>IF(ISERROR(E239/D239),"N/A",E239/D239)</f>
        <v>0.96191439164138859</v>
      </c>
      <c r="L239" s="46"/>
      <c r="N239"/>
    </row>
    <row r="240" spans="2:33" x14ac:dyDescent="0.25">
      <c r="B240" s="3">
        <v>2</v>
      </c>
      <c r="C240" s="40" t="s">
        <v>86</v>
      </c>
      <c r="D240" s="3">
        <f>SUMIFS($S$3:$S$219,$D$3:$D$219,Table!$D$3,$O$3:$O$219,C240)</f>
        <v>9356</v>
      </c>
      <c r="E240" s="3">
        <f>SUMIFS($S$3:$S$219,$D$3:$D$219,Table!$D$3,$O$3:$O$219,C240)-SUM(SUMIFS($S$3:$S$219,$D$3:$D$219,Table!$D$3,$O$3:$O$219,C240,$W$3:$W$219,{"Ongoing","N/A",""}))</f>
        <v>9356</v>
      </c>
      <c r="F240" s="3">
        <f>1/8*(SUMIFS($V$3:$V$219,$D$3:$D$219,Table!$D$3,$O$3:$O$219,C240)-SUM(SUMIFS($V$3:$V$219,$D$3:$D$219,Table!$D$3,$O$3:$O$219,C240,$W$3:$W$219,{"Ongoing","N/A",""})))</f>
        <v>13.677500000000002</v>
      </c>
      <c r="G240" s="3">
        <f>IF(ISERROR(E240/(F240)),"N/A",E240/F240)</f>
        <v>684.04313653810993</v>
      </c>
      <c r="H240" s="6">
        <f>IF(ISERROR(E240/D240),"N/A",E240/D240)</f>
        <v>1</v>
      </c>
    </row>
    <row r="241" spans="2:8" x14ac:dyDescent="0.25">
      <c r="B241" s="3">
        <v>3</v>
      </c>
      <c r="C241" s="40" t="s">
        <v>87</v>
      </c>
      <c r="D241" s="3">
        <f>SUMIFS($S$3:$S$219,$D$3:$D$219,Table!$D$3,$O$3:$O$219,C241)</f>
        <v>9292</v>
      </c>
      <c r="E241" s="3">
        <f>SUMIFS($S$3:$S$219,$D$3:$D$219,Table!$D$3,$O$3:$O$219,C241)-SUM(SUMIFS($S$3:$S$219,$D$3:$D$219,Table!$D$3,$O$3:$O$219,C241,$W$3:$W$219,{"Ongoing","N/A",""}))</f>
        <v>9248</v>
      </c>
      <c r="F241" s="3">
        <f>1/8*(SUMIFS($V$3:$V$219,$D$3:$D$219,Table!$D$3,$O$3:$O$219,C241)-SUM(SUMIFS($V$3:$V$219,$D$3:$D$219,Table!$D$3,$O$3:$O$219,C241,$W$3:$W$219,{"Ongoing","N/A",""})))</f>
        <v>18.686250000000001</v>
      </c>
      <c r="G241" s="3">
        <f>IF(ISERROR(E241/(F241)),"N/A",E241/F241)</f>
        <v>494.90935848551737</v>
      </c>
      <c r="H241" s="6">
        <f>IF(ISERROR(E241/D241),"N/A",E241/D241)</f>
        <v>0.99526474386569097</v>
      </c>
    </row>
    <row r="242" spans="2:8" x14ac:dyDescent="0.25">
      <c r="B242" s="3">
        <v>4</v>
      </c>
      <c r="C242" s="40" t="s">
        <v>88</v>
      </c>
      <c r="D242" s="3">
        <f>SUMIFS($S$3:$S$219,$D$3:$D$219,Table!$D$3,$O$3:$O$219,C242)</f>
        <v>10982</v>
      </c>
      <c r="E242" s="3">
        <f>SUMIFS($S$3:$S$219,$D$3:$D$219,Table!$D$3,$O$3:$O$219,C242)-SUM(SUMIFS($S$3:$S$219,$D$3:$D$219,Table!$D$3,$O$3:$O$219,C242,$W$3:$W$219,{"Ongoing","N/A",""}))</f>
        <v>9173</v>
      </c>
      <c r="F242" s="3">
        <f>1/8*(SUMIFS($V$3:$V$219,$D$3:$D$219,Table!$D$3,$O$3:$O$219,C242)-SUM(SUMIFS($V$3:$V$219,$D$3:$D$219,Table!$D$3,$O$3:$O$219,C242,$W$3:$W$219,{"Ongoing","N/A",""})))</f>
        <v>11.400000000000004</v>
      </c>
      <c r="G242" s="3">
        <f>IF(ISERROR(E242/(F242)),"N/A",E242/F242)</f>
        <v>804.64912280701731</v>
      </c>
      <c r="H242" s="6">
        <f>IF(ISERROR(E242/D242),"N/A",E242/D242)</f>
        <v>0.83527590602804591</v>
      </c>
    </row>
    <row r="243" spans="2:8" x14ac:dyDescent="0.25">
      <c r="B243" s="2" t="s">
        <v>322</v>
      </c>
      <c r="C243" s="40"/>
      <c r="D243" s="112">
        <f>SUMIFS($S$3:$S$219,$D$3:$D$219,Table!$D$3)</f>
        <v>38531</v>
      </c>
      <c r="E243" s="112">
        <f>SUMIFS($T$3:$T$219,$D$3:$D$219,Table!$D$3)-SUM(SUMIFS($T$3:$T$219,$D$3:$D$219,Table!$D$3,$W$3:$W$219,{"Ongoing","N/A",""}))</f>
        <v>36339</v>
      </c>
      <c r="F243" s="112">
        <f>1/8*(SUMIFS($V$3:$V$219,$D$3:$D$219,Table!$D$3)-SUM(SUMIFS($V$3:$V$219,$D$3:$D$219,Table!$D$3,$W$3:$W$219,{"Ongoing","N/A",""})))</f>
        <v>61.14249999999997</v>
      </c>
      <c r="G243" s="3">
        <f>IF(ISERROR(E243/(F243)),"N/A",E243/F243)</f>
        <v>594.33291082307755</v>
      </c>
      <c r="H243" s="6">
        <f>IF(ISERROR(E243/D243),"N/A",E243/D243)</f>
        <v>0.94311074199994804</v>
      </c>
    </row>
    <row r="246" spans="2:8" x14ac:dyDescent="0.25">
      <c r="B246" s="1" t="s">
        <v>323</v>
      </c>
    </row>
    <row r="247" spans="2:8" x14ac:dyDescent="0.25">
      <c r="B247" s="2" t="s">
        <v>0</v>
      </c>
      <c r="C247" s="2" t="s">
        <v>7</v>
      </c>
      <c r="D247" s="2" t="s">
        <v>465</v>
      </c>
      <c r="E247" s="2" t="s">
        <v>58</v>
      </c>
      <c r="F247" s="2" t="s">
        <v>466</v>
      </c>
      <c r="G247" s="2" t="s">
        <v>22</v>
      </c>
      <c r="H247" s="4" t="s">
        <v>24</v>
      </c>
    </row>
    <row r="248" spans="2:8" x14ac:dyDescent="0.25">
      <c r="B248" s="3">
        <v>1</v>
      </c>
      <c r="C248" s="40" t="s">
        <v>85</v>
      </c>
      <c r="D248" s="3">
        <f>SUM(D230*Table!$D$4/Table!$C$4,D239)</f>
        <v>10102.153846153846</v>
      </c>
      <c r="E248" s="3">
        <f>SUM(E230*Table!$D$4/Table!$C$4,E239)</f>
        <v>9763.1538461538457</v>
      </c>
      <c r="F248" s="3">
        <f ca="1">IF(OR(Template_Weekly_Report!E35="-",Template_Weekly_Report!E35=""),Template_Weekly_Report!$B$3,Template_Weekly_Report!$B$3-Template_Weekly_Report!E35)</f>
        <v>22.25</v>
      </c>
      <c r="G248" s="3">
        <f ca="1">IF(ISERROR(E248/(F248)),"N/A",E248/F248)</f>
        <v>438.79343128781329</v>
      </c>
      <c r="H248" s="6">
        <f>IF(ISERROR(E248/D248),"N/A",E248/D248)</f>
        <v>0.96644279970760238</v>
      </c>
    </row>
    <row r="249" spans="2:8" x14ac:dyDescent="0.25">
      <c r="B249" s="3">
        <v>2</v>
      </c>
      <c r="C249" s="40" t="s">
        <v>86</v>
      </c>
      <c r="D249" s="3">
        <f>SUM(D231*Table!$D$4/Table!$C$4,D240)</f>
        <v>9986</v>
      </c>
      <c r="E249" s="3">
        <f>SUM(E231*Table!$D$4/Table!$C$4,E240)</f>
        <v>9986</v>
      </c>
      <c r="F249" s="3">
        <f ca="1">IF(OR(Template_Weekly_Report!E36="-",Template_Weekly_Report!E36=""),Template_Weekly_Report!$B$3,Template_Weekly_Report!$B$3-Template_Weekly_Report!E36)</f>
        <v>21.25</v>
      </c>
      <c r="G249" s="3">
        <f ca="1">IF(ISERROR(E249/(F249)),"N/A",E249/F249)</f>
        <v>469.92941176470589</v>
      </c>
      <c r="H249" s="6">
        <f>IF(ISERROR(E249/D249),"N/A",E249/D249)</f>
        <v>1</v>
      </c>
    </row>
    <row r="250" spans="2:8" x14ac:dyDescent="0.25">
      <c r="B250" s="3">
        <v>3</v>
      </c>
      <c r="C250" s="40" t="s">
        <v>87</v>
      </c>
      <c r="D250" s="3">
        <f>SUM(D232*Table!$D$4/Table!$C$4,D241)</f>
        <v>9593.1538461538457</v>
      </c>
      <c r="E250" s="3">
        <f>SUM(E232*Table!$D$4/Table!$C$4,E241)</f>
        <v>9549.1538461538457</v>
      </c>
      <c r="F250" s="3">
        <f ca="1">IF(OR(Template_Weekly_Report!E37="-",Template_Weekly_Report!E37=""),Template_Weekly_Report!$B$3,Template_Weekly_Report!$B$3-Template_Weekly_Report!E37)</f>
        <v>21.25</v>
      </c>
      <c r="G250" s="3">
        <f ca="1">IF(ISERROR(E250/(F250)),"N/A",E250/F250)</f>
        <v>449.37194570135745</v>
      </c>
      <c r="H250" s="6">
        <f>IF(ISERROR(E250/D250),"N/A",E250/D250)</f>
        <v>0.99541339577102261</v>
      </c>
    </row>
    <row r="251" spans="2:8" x14ac:dyDescent="0.25">
      <c r="B251" s="3">
        <v>4</v>
      </c>
      <c r="C251" s="40" t="s">
        <v>88</v>
      </c>
      <c r="D251" s="3">
        <f>SUM(D233*Table!$D$4/Table!$C$4,D242)</f>
        <v>11130.846153846154</v>
      </c>
      <c r="E251" s="3">
        <f>SUM(E233*Table!$D$4/Table!$C$4,E242)</f>
        <v>9321.8461538461543</v>
      </c>
      <c r="F251" s="3">
        <f ca="1">IF(OR(Template_Weekly_Report!E38="-",Template_Weekly_Report!E38=""),Template_Weekly_Report!$B$3,Template_Weekly_Report!$B$3-Template_Weekly_Report!E38)</f>
        <v>22.25</v>
      </c>
      <c r="G251" s="3">
        <f ca="1">IF(ISERROR(E251/(F251)),"N/A",E251/F251)</f>
        <v>418.95937770095077</v>
      </c>
      <c r="H251" s="6">
        <f>IF(ISERROR(E251/D251),"N/A",E251/D251)</f>
        <v>0.83747866289797579</v>
      </c>
    </row>
    <row r="252" spans="2:8" x14ac:dyDescent="0.25">
      <c r="B252" s="2" t="s">
        <v>322</v>
      </c>
      <c r="C252" s="40"/>
      <c r="D252" s="3">
        <f>SUM(D248:D251)</f>
        <v>40812.153846153844</v>
      </c>
      <c r="E252" s="3">
        <f>SUM(E248:E251)</f>
        <v>38620.153846153844</v>
      </c>
      <c r="F252" s="3">
        <f ca="1">Template_Weekly_Report!B3*COUNTA(C248:C251)</f>
        <v>89</v>
      </c>
      <c r="G252" s="3">
        <f ca="1">IF(ISERROR(E252/(F252)),"N/A",E252/F252)</f>
        <v>433.93431287813308</v>
      </c>
      <c r="H252" s="6">
        <f t="shared" ref="H252" si="31">IF(ISERROR(E252/D252),"N/A",E252/D252)</f>
        <v>0.9462905092374444</v>
      </c>
    </row>
  </sheetData>
  <autoFilter ref="A2:AG225">
    <filterColumn colId="14">
      <filters>
        <filter val="duong.nguyen"/>
      </filters>
    </filterColumn>
  </autoFilter>
  <customSheetViews>
    <customSheetView guid="{7E0EA425-A420-4443-B9E0-CDF0AA9E5D09}" scale="85" filter="1" showAutoFilter="1" topLeftCell="A77">
      <selection activeCell="F163" sqref="F163"/>
      <pageMargins left="0.7" right="0.7" top="0.75" bottom="0.75" header="0.3" footer="0.3"/>
      <pageSetup orientation="portrait" r:id="rId1"/>
      <autoFilter ref="A2:AG225">
        <filterColumn colId="14">
          <filters>
            <filter val="duong.nguyen"/>
          </filters>
        </filterColumn>
      </autoFilter>
    </customSheetView>
    <customSheetView guid="{72A6EB0A-84D5-4B8A-AC51-54CCD061630B}" scale="85" filter="1" showAutoFilter="1" topLeftCell="A21">
      <selection activeCell="H172" sqref="H172"/>
      <pageMargins left="0.7" right="0.7" top="0.75" bottom="0.75" header="0.3" footer="0.3"/>
      <pageSetup orientation="portrait" r:id="rId2"/>
      <autoFilter ref="A2:AG225">
        <filterColumn colId="14">
          <filters>
            <filter val="loc.do-phu"/>
          </filters>
        </filterColumn>
      </autoFilter>
    </customSheetView>
    <customSheetView guid="{4E06BDBF-2CED-473B-850B-2A6C7311FF41}" scale="85" filter="1" showAutoFilter="1" topLeftCell="B1">
      <selection activeCell="G177" sqref="G177"/>
      <pageMargins left="0.7" right="0.7" top="0.75" bottom="0.75" header="0.3" footer="0.3"/>
      <pageSetup orientation="portrait" r:id="rId3"/>
      <autoFilter ref="A2:AG225">
        <filterColumn colId="6">
          <filters>
            <filter val="1388032"/>
          </filters>
        </filterColumn>
        <filterColumn colId="14">
          <filters>
            <filter val="thanh.nguyen-kim"/>
          </filters>
        </filterColumn>
      </autoFilter>
    </customSheetView>
    <customSheetView guid="{60D2C030-4E31-4E07-8E1C-44D2EE84B177}" scale="85" showAutoFilter="1" topLeftCell="Q136">
      <selection activeCell="AF162" sqref="AF162"/>
      <pageMargins left="0.7" right="0.7" top="0.75" bottom="0.75" header="0.3" footer="0.3"/>
      <pageSetup orientation="portrait" r:id="rId4"/>
      <autoFilter ref="B2:AG225"/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5"/>
    </customSheetView>
    <customSheetView guid="{250915DF-0B97-45D7-B29D-7EED4C89C1C1}" topLeftCell="M52">
      <selection activeCell="X76" sqref="X76"/>
      <pageMargins left="0.7" right="0.7" top="0.75" bottom="0.75" header="0.3" footer="0.3"/>
      <pageSetup orientation="portrait" r:id="rId6"/>
    </customSheetView>
  </customSheetViews>
  <conditionalFormatting sqref="H239:H242 H230:H234">
    <cfRule type="cellIs" dxfId="187" priority="41" operator="equal">
      <formula>1</formula>
    </cfRule>
    <cfRule type="cellIs" dxfId="186" priority="42" operator="lessThan">
      <formula>1</formula>
    </cfRule>
  </conditionalFormatting>
  <conditionalFormatting sqref="AB3:AB129 AB131:AB226">
    <cfRule type="cellIs" dxfId="185" priority="37" operator="equal">
      <formula>"OK"</formula>
    </cfRule>
    <cfRule type="cellIs" dxfId="184" priority="38" operator="equal">
      <formula>"NG"</formula>
    </cfRule>
  </conditionalFormatting>
  <conditionalFormatting sqref="L3:M19 L26:M66">
    <cfRule type="cellIs" dxfId="183" priority="36" operator="equal">
      <formula>"PUT_VERSION"</formula>
    </cfRule>
  </conditionalFormatting>
  <conditionalFormatting sqref="E234">
    <cfRule type="expression" dxfId="182" priority="34">
      <formula>$E$234=SUM($E$230:$E$233)</formula>
    </cfRule>
  </conditionalFormatting>
  <conditionalFormatting sqref="F234">
    <cfRule type="expression" dxfId="181" priority="33">
      <formula>$F$234=SUM($F$230:$F$233)</formula>
    </cfRule>
  </conditionalFormatting>
  <conditionalFormatting sqref="D234:F234">
    <cfRule type="expression" dxfId="180" priority="26">
      <formula>D234=SUM(D230:D233)</formula>
    </cfRule>
  </conditionalFormatting>
  <conditionalFormatting sqref="D243:F243">
    <cfRule type="expression" dxfId="179" priority="25">
      <formula>D243=SUM(D239:D242)</formula>
    </cfRule>
  </conditionalFormatting>
  <conditionalFormatting sqref="H252">
    <cfRule type="cellIs" dxfId="178" priority="21" operator="equal">
      <formula>1</formula>
    </cfRule>
    <cfRule type="cellIs" dxfId="177" priority="22" operator="lessThan">
      <formula>1</formula>
    </cfRule>
  </conditionalFormatting>
  <conditionalFormatting sqref="D3:D226">
    <cfRule type="cellIs" dxfId="176" priority="7" operator="equal">
      <formula>"PSW"</formula>
    </cfRule>
    <cfRule type="cellIs" dxfId="175" priority="8" operator="equal">
      <formula>"ASW"</formula>
    </cfRule>
  </conditionalFormatting>
  <conditionalFormatting sqref="I3:I226">
    <cfRule type="cellIs" dxfId="174" priority="5" operator="equal">
      <formula>"Manual"</formula>
    </cfRule>
    <cfRule type="cellIs" dxfId="173" priority="6" operator="equal">
      <formula>"Auto"</formula>
    </cfRule>
  </conditionalFormatting>
  <conditionalFormatting sqref="AE62">
    <cfRule type="cellIs" dxfId="172" priority="3" operator="equal">
      <formula>"OK"</formula>
    </cfRule>
    <cfRule type="cellIs" dxfId="171" priority="4" operator="equal">
      <formula>"NG"</formula>
    </cfRule>
  </conditionalFormatting>
  <conditionalFormatting sqref="AC62:AD62">
    <cfRule type="cellIs" dxfId="170" priority="1" operator="equal">
      <formula>"OK"</formula>
    </cfRule>
    <cfRule type="cellIs" dxfId="169" priority="2" operator="equal">
      <formula>"NG"</formula>
    </cfRule>
  </conditionalFormatting>
  <dataValidations count="2">
    <dataValidation type="list" allowBlank="1" showInputMessage="1" showErrorMessage="1" sqref="AB3:AB129 AB131:AB226">
      <formula1>"OK,NG"</formula1>
    </dataValidation>
    <dataValidation type="list" allowBlank="1" showInputMessage="1" showErrorMessage="1" sqref="Q3:Q129 Q131:Q226">
      <formula1>"Yes,No"</formula1>
    </dataValidation>
  </dataValidations>
  <pageMargins left="0.7" right="0.7" top="0.75" bottom="0.75" header="0.3" footer="0.3"/>
  <pageSetup orientation="portrait" r:id="rId7"/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G230:G234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G239:G242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G248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G249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G243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Table!$C$13:$C$20</xm:f>
          </x14:formula1>
          <xm:sqref>R89:R102 P89:P102 O103:P129 O3:P88 O131:P226</xm:sqref>
        </x14:dataValidation>
        <x14:dataValidation type="list" allowBlank="1" showInputMessage="1" showErrorMessage="1">
          <x14:formula1>
            <xm:f>Table!$C$24:$C$30</xm:f>
          </x14:formula1>
          <xm:sqref>W3:W129 W131:W226</xm:sqref>
        </x14:dataValidation>
        <x14:dataValidation type="list" allowBlank="1" showInputMessage="1" showErrorMessage="1">
          <x14:formula1>
            <xm:f>Table!$C$34:$C$35</xm:f>
          </x14:formula1>
          <xm:sqref>I3:I225</xm:sqref>
        </x14:dataValidation>
        <x14:dataValidation type="list" allowBlank="1" showInputMessage="1" showErrorMessage="1">
          <x14:formula1>
            <xm:f>Table!$C$8:$C$9</xm:f>
          </x14:formula1>
          <xm:sqref>D3:D226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G47"/>
  <sheetViews>
    <sheetView workbookViewId="0">
      <selection activeCell="E27" sqref="E27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4">
        <v>43892</v>
      </c>
      <c r="D1" s="114">
        <f ca="1">TODAY()</f>
        <v>43922</v>
      </c>
    </row>
    <row r="2" spans="1:7" x14ac:dyDescent="0.25">
      <c r="A2" s="1" t="s">
        <v>30</v>
      </c>
      <c r="B2" s="9">
        <f ca="1">SUM(INT((WEEKDAY(B1-{2,3,4,5,6}) +D1-B1)/7))</f>
        <v>23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IF(TODAY()&lt;D1,SUM(INT((WEEKDAY(B1-{2,3,4,5,6})+TODAY()-B1)/7)),SUM(INT((WEEKDAY(B1-{2,3,4,5,6})+D1-B1)/7)))-0.75</f>
        <v>22.25</v>
      </c>
    </row>
    <row r="5" spans="1:7" x14ac:dyDescent="0.25">
      <c r="B5" s="1" t="s">
        <v>34</v>
      </c>
    </row>
    <row r="6" spans="1:7" ht="30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36339</v>
      </c>
      <c r="G7" s="118">
        <f>F7/E7</f>
        <v>0.94311074199994804</v>
      </c>
    </row>
    <row r="8" spans="1:7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 x14ac:dyDescent="0.25">
      <c r="B10" s="1" t="s">
        <v>35</v>
      </c>
    </row>
    <row r="11" spans="1:7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 x14ac:dyDescent="0.25">
      <c r="C12" s="7">
        <v>1</v>
      </c>
      <c r="D12" s="7" t="s">
        <v>467</v>
      </c>
      <c r="E12" s="11">
        <f>COEM_Package_20200302!E239</f>
        <v>8562</v>
      </c>
      <c r="F12" s="11">
        <f>COEM_Package_20200302!E230</f>
        <v>347</v>
      </c>
    </row>
    <row r="13" spans="1:7" x14ac:dyDescent="0.25">
      <c r="C13" s="7">
        <v>2</v>
      </c>
      <c r="D13" s="61" t="s">
        <v>468</v>
      </c>
      <c r="E13" s="11">
        <f>COEM_Package_20200302!E240</f>
        <v>9356</v>
      </c>
      <c r="F13" s="11">
        <f>COEM_Package_20200302!E231</f>
        <v>182</v>
      </c>
    </row>
    <row r="14" spans="1:7" x14ac:dyDescent="0.25">
      <c r="C14" s="61">
        <v>3</v>
      </c>
      <c r="D14" s="61" t="s">
        <v>469</v>
      </c>
      <c r="E14" s="11">
        <f>COEM_Package_20200302!E241</f>
        <v>9248</v>
      </c>
      <c r="F14" s="11">
        <f>COEM_Package_20200302!E232</f>
        <v>87</v>
      </c>
    </row>
    <row r="15" spans="1:7" x14ac:dyDescent="0.25">
      <c r="C15" s="61">
        <v>4</v>
      </c>
      <c r="D15" s="61" t="s">
        <v>470</v>
      </c>
      <c r="E15" s="11">
        <f>COEM_Package_20200302!E242</f>
        <v>9173</v>
      </c>
      <c r="F15" s="11">
        <f>COEM_Package_20200302!D233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10" t="s">
        <v>25</v>
      </c>
      <c r="D19" s="167" t="s">
        <v>37</v>
      </c>
      <c r="E19" s="168"/>
      <c r="F19" s="168"/>
      <c r="G19" s="169"/>
    </row>
    <row r="20" spans="2:7" x14ac:dyDescent="0.25">
      <c r="C20" s="111">
        <v>1</v>
      </c>
      <c r="D20" s="115" t="s">
        <v>745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ht="30" customHeight="1" x14ac:dyDescent="0.25">
      <c r="C26" s="103" t="s">
        <v>25</v>
      </c>
      <c r="D26" s="103" t="s">
        <v>31</v>
      </c>
      <c r="E26" s="13" t="s">
        <v>458</v>
      </c>
      <c r="F26" s="13" t="s">
        <v>459</v>
      </c>
    </row>
    <row r="27" spans="2:7" x14ac:dyDescent="0.25">
      <c r="C27" s="104">
        <v>1</v>
      </c>
      <c r="D27" s="104" t="s">
        <v>467</v>
      </c>
      <c r="E27" s="68">
        <v>7</v>
      </c>
      <c r="F27" s="11">
        <v>1</v>
      </c>
    </row>
    <row r="28" spans="2:7" x14ac:dyDescent="0.25">
      <c r="C28" s="104">
        <v>2</v>
      </c>
      <c r="D28" s="104" t="s">
        <v>468</v>
      </c>
      <c r="E28" s="68">
        <v>9</v>
      </c>
      <c r="F28" s="11">
        <v>0</v>
      </c>
    </row>
    <row r="29" spans="2:7" x14ac:dyDescent="0.25">
      <c r="C29" s="104">
        <v>3</v>
      </c>
      <c r="D29" s="104" t="s">
        <v>469</v>
      </c>
      <c r="E29" s="11">
        <v>6</v>
      </c>
      <c r="F29" s="68">
        <v>0</v>
      </c>
    </row>
    <row r="30" spans="2:7" x14ac:dyDescent="0.25">
      <c r="C30" s="104">
        <v>4</v>
      </c>
      <c r="D30" s="104" t="s">
        <v>470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680</v>
      </c>
    </row>
    <row r="34" spans="2:6" x14ac:dyDescent="0.25">
      <c r="C34" s="12" t="s">
        <v>25</v>
      </c>
      <c r="D34" s="12" t="s">
        <v>31</v>
      </c>
      <c r="E34" s="13" t="s">
        <v>40</v>
      </c>
      <c r="F34" s="13" t="s">
        <v>41</v>
      </c>
    </row>
    <row r="35" spans="2:6" x14ac:dyDescent="0.25">
      <c r="C35" s="7">
        <v>1</v>
      </c>
      <c r="D35" s="61" t="s">
        <v>467</v>
      </c>
      <c r="E35" s="68" t="s">
        <v>76</v>
      </c>
      <c r="F35" s="108" t="s">
        <v>76</v>
      </c>
    </row>
    <row r="36" spans="2:6" x14ac:dyDescent="0.25">
      <c r="C36" s="61">
        <v>2</v>
      </c>
      <c r="D36" s="61" t="s">
        <v>468</v>
      </c>
      <c r="E36" s="68">
        <v>1</v>
      </c>
      <c r="F36" s="108" t="s">
        <v>678</v>
      </c>
    </row>
    <row r="37" spans="2:6" x14ac:dyDescent="0.25">
      <c r="C37" s="61">
        <v>3</v>
      </c>
      <c r="D37" s="61" t="s">
        <v>469</v>
      </c>
      <c r="E37" s="11">
        <v>1</v>
      </c>
      <c r="F37" s="108" t="s">
        <v>464</v>
      </c>
    </row>
    <row r="38" spans="2:6" x14ac:dyDescent="0.25">
      <c r="C38" s="61">
        <v>4</v>
      </c>
      <c r="D38" s="61" t="s">
        <v>470</v>
      </c>
      <c r="E38" s="11" t="s">
        <v>76</v>
      </c>
      <c r="F38" s="6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E27" sqref="E27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4E06BDBF-2CED-473B-850B-2A6C7311FF41}">
      <selection sqref="A1:H45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</customSheetViews>
  <mergeCells count="1">
    <mergeCell ref="D19:G19"/>
  </mergeCells>
  <conditionalFormatting sqref="G7">
    <cfRule type="cellIs" dxfId="152" priority="3" operator="equal">
      <formula>1</formula>
    </cfRule>
    <cfRule type="cellIs" dxfId="151" priority="4" operator="lessThan">
      <formula>1</formula>
    </cfRule>
  </conditionalFormatting>
  <conditionalFormatting sqref="G8">
    <cfRule type="cellIs" dxfId="150" priority="1" operator="equal">
      <formula>1</formula>
    </cfRule>
    <cfRule type="cellIs" dxfId="149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AH76"/>
  <sheetViews>
    <sheetView topLeftCell="A34" zoomScale="85" zoomScaleNormal="85" workbookViewId="0">
      <selection activeCell="F76" sqref="F76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43.140625" bestFit="1" customWidth="1"/>
    <col min="6" max="6" width="50.28515625" bestFit="1" customWidth="1"/>
    <col min="7" max="7" width="8.7109375" bestFit="1" customWidth="1"/>
    <col min="8" max="8" width="59.140625" customWidth="1"/>
    <col min="9" max="9" width="16.85546875" customWidth="1"/>
    <col min="10" max="10" width="18.140625" style="153" customWidth="1"/>
    <col min="11" max="11" width="46" bestFit="1" customWidth="1"/>
    <col min="12" max="12" width="13.140625" customWidth="1"/>
    <col min="13" max="13" width="22.42578125" bestFit="1" customWidth="1"/>
    <col min="14" max="14" width="8.28515625" style="46" customWidth="1"/>
    <col min="15" max="15" width="17.570312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31.28515625" bestFit="1" customWidth="1"/>
    <col min="34" max="34" width="44.42578125" bestFit="1" customWidth="1"/>
    <col min="35" max="35" width="39.85546875" customWidth="1"/>
  </cols>
  <sheetData>
    <row r="2" spans="1:34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195</v>
      </c>
      <c r="J2" s="151" t="s">
        <v>773</v>
      </c>
      <c r="K2" s="2" t="s">
        <v>91</v>
      </c>
      <c r="L2" s="2" t="s">
        <v>750</v>
      </c>
      <c r="M2" s="2" t="s">
        <v>167</v>
      </c>
      <c r="N2" s="4" t="s">
        <v>60</v>
      </c>
      <c r="O2" s="4" t="s">
        <v>7</v>
      </c>
      <c r="P2" s="4" t="s">
        <v>165</v>
      </c>
      <c r="Q2" s="4" t="s">
        <v>179</v>
      </c>
      <c r="R2" s="4" t="s">
        <v>155</v>
      </c>
      <c r="S2" s="4" t="s">
        <v>794</v>
      </c>
      <c r="T2" s="4" t="s">
        <v>58</v>
      </c>
      <c r="U2" s="4" t="s">
        <v>166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159</v>
      </c>
      <c r="AC2" s="2" t="s">
        <v>13</v>
      </c>
      <c r="AD2" s="2" t="s">
        <v>14</v>
      </c>
      <c r="AE2" s="4" t="s">
        <v>15</v>
      </c>
      <c r="AF2" s="4" t="s">
        <v>800</v>
      </c>
      <c r="AG2" s="4" t="s">
        <v>16</v>
      </c>
      <c r="AH2" s="4" t="s">
        <v>168</v>
      </c>
    </row>
    <row r="3" spans="1:34" x14ac:dyDescent="0.25">
      <c r="B3" s="24">
        <v>1</v>
      </c>
      <c r="C3" s="26">
        <v>20200326</v>
      </c>
      <c r="D3" s="24" t="s">
        <v>2</v>
      </c>
      <c r="E3" s="24" t="s">
        <v>314</v>
      </c>
      <c r="F3" s="113" t="s">
        <v>76</v>
      </c>
      <c r="G3" s="24">
        <v>1390416</v>
      </c>
      <c r="H3" s="24" t="s">
        <v>317</v>
      </c>
      <c r="I3" s="27" t="s">
        <v>76</v>
      </c>
      <c r="J3" s="27" t="s">
        <v>76</v>
      </c>
      <c r="K3" s="24" t="s">
        <v>758</v>
      </c>
      <c r="L3" s="27">
        <v>1.2</v>
      </c>
      <c r="M3" s="27" t="s">
        <v>76</v>
      </c>
      <c r="N3" s="26" t="s">
        <v>774</v>
      </c>
      <c r="O3" s="24" t="s">
        <v>85</v>
      </c>
      <c r="P3" s="24"/>
      <c r="Q3" s="24"/>
      <c r="R3" s="24">
        <v>61</v>
      </c>
      <c r="S3" s="24">
        <f>R3</f>
        <v>61</v>
      </c>
      <c r="T3" s="24">
        <v>61</v>
      </c>
      <c r="U3" s="24">
        <f>ROUNDDOWN(S3/HLOOKUP(D3,Table!$C$3:$D$4,2,0)*8,2)</f>
        <v>3.75</v>
      </c>
      <c r="V3" s="24">
        <v>3</v>
      </c>
      <c r="W3" s="24" t="s">
        <v>18</v>
      </c>
      <c r="X3" s="28">
        <v>43922</v>
      </c>
      <c r="Y3" s="28">
        <v>43923</v>
      </c>
      <c r="Z3" s="28">
        <v>43922</v>
      </c>
      <c r="AA3" s="28">
        <v>43922</v>
      </c>
      <c r="AB3" s="32" t="s">
        <v>161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803</v>
      </c>
    </row>
    <row r="4" spans="1:34" s="19" customFormat="1" x14ac:dyDescent="0.2">
      <c r="B4" s="156">
        <f>B3+1</f>
        <v>2</v>
      </c>
      <c r="C4" s="26">
        <v>20200330</v>
      </c>
      <c r="D4" s="32" t="s">
        <v>3</v>
      </c>
      <c r="E4" s="32" t="s">
        <v>97</v>
      </c>
      <c r="F4" s="32" t="s">
        <v>759</v>
      </c>
      <c r="G4" s="24">
        <v>1394540</v>
      </c>
      <c r="H4" s="172" t="s">
        <v>663</v>
      </c>
      <c r="I4" s="24" t="s">
        <v>196</v>
      </c>
      <c r="J4" s="27" t="s">
        <v>76</v>
      </c>
      <c r="K4" s="24" t="s">
        <v>105</v>
      </c>
      <c r="L4" s="27" t="s">
        <v>76</v>
      </c>
      <c r="M4" s="27" t="s">
        <v>793</v>
      </c>
      <c r="N4" s="26" t="s">
        <v>775</v>
      </c>
      <c r="O4" s="32" t="s">
        <v>86</v>
      </c>
      <c r="P4" s="32"/>
      <c r="Q4" s="24"/>
      <c r="R4" s="24">
        <v>65</v>
      </c>
      <c r="S4" s="25">
        <f>R4+215-65</f>
        <v>215</v>
      </c>
      <c r="T4" s="32">
        <f>S4</f>
        <v>215</v>
      </c>
      <c r="U4" s="24">
        <f>ROUNDDOWN(S4/HLOOKUP(D4,Table!$C$3:$D$4,2,0)*8,2)</f>
        <v>3.82</v>
      </c>
      <c r="V4" s="32">
        <v>2</v>
      </c>
      <c r="W4" s="24" t="s">
        <v>18</v>
      </c>
      <c r="X4" s="91">
        <v>43921</v>
      </c>
      <c r="Y4" s="28">
        <v>43927</v>
      </c>
      <c r="Z4" s="22">
        <v>43921</v>
      </c>
      <c r="AA4" s="92">
        <v>43921</v>
      </c>
      <c r="AB4" s="32" t="s">
        <v>161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 x14ac:dyDescent="0.25">
      <c r="B5" s="156">
        <f t="shared" ref="B5:B48" si="0">B4+1</f>
        <v>3</v>
      </c>
      <c r="C5" s="26">
        <v>20200330</v>
      </c>
      <c r="D5" s="32" t="s">
        <v>3</v>
      </c>
      <c r="E5" s="24" t="s">
        <v>97</v>
      </c>
      <c r="F5" s="24" t="s">
        <v>760</v>
      </c>
      <c r="G5" s="24">
        <v>1394540</v>
      </c>
      <c r="H5" s="173" t="s">
        <v>394</v>
      </c>
      <c r="I5" s="24" t="s">
        <v>196</v>
      </c>
      <c r="J5" s="27" t="s">
        <v>76</v>
      </c>
      <c r="K5" s="24" t="s">
        <v>105</v>
      </c>
      <c r="L5" s="27" t="s">
        <v>76</v>
      </c>
      <c r="M5" s="27" t="s">
        <v>793</v>
      </c>
      <c r="N5" s="26" t="s">
        <v>776</v>
      </c>
      <c r="O5" s="24" t="s">
        <v>86</v>
      </c>
      <c r="P5" s="24"/>
      <c r="Q5" s="24"/>
      <c r="R5" s="24">
        <v>34</v>
      </c>
      <c r="S5" s="25">
        <f>R5+117-34</f>
        <v>117</v>
      </c>
      <c r="T5" s="24">
        <f>S5</f>
        <v>117</v>
      </c>
      <c r="U5" s="24">
        <f>ROUNDDOWN(S5/HLOOKUP(D5,Table!$C$3:$D$4,2,0)*8,2)</f>
        <v>2.08</v>
      </c>
      <c r="V5" s="24">
        <v>2</v>
      </c>
      <c r="W5" s="24" t="s">
        <v>18</v>
      </c>
      <c r="X5" s="91">
        <v>43921</v>
      </c>
      <c r="Y5" s="28">
        <v>43927</v>
      </c>
      <c r="Z5" s="160">
        <v>43921</v>
      </c>
      <c r="AA5" s="160">
        <v>43921</v>
      </c>
      <c r="AB5" s="32" t="s">
        <v>161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 x14ac:dyDescent="0.25">
      <c r="B6" s="156">
        <f t="shared" si="0"/>
        <v>4</v>
      </c>
      <c r="C6" s="26">
        <v>20200330</v>
      </c>
      <c r="D6" s="32" t="s">
        <v>3</v>
      </c>
      <c r="E6" s="24" t="s">
        <v>756</v>
      </c>
      <c r="F6" s="24" t="s">
        <v>761</v>
      </c>
      <c r="G6" s="24">
        <v>1394506</v>
      </c>
      <c r="H6" s="24" t="s">
        <v>765</v>
      </c>
      <c r="I6" s="24" t="s">
        <v>196</v>
      </c>
      <c r="J6" s="24" t="s">
        <v>795</v>
      </c>
      <c r="K6" s="24" t="s">
        <v>419</v>
      </c>
      <c r="L6" s="27" t="s">
        <v>76</v>
      </c>
      <c r="M6" s="27" t="s">
        <v>796</v>
      </c>
      <c r="N6" s="26" t="s">
        <v>777</v>
      </c>
      <c r="O6" s="24" t="s">
        <v>88</v>
      </c>
      <c r="P6" s="24"/>
      <c r="Q6" s="24"/>
      <c r="R6" s="24">
        <v>155</v>
      </c>
      <c r="S6" s="24">
        <f t="shared" ref="S6:S21" si="1">R6</f>
        <v>155</v>
      </c>
      <c r="T6" s="24"/>
      <c r="U6" s="24">
        <f>ROUNDDOWN(S6/HLOOKUP(D6,Table!$C$3:$D$4,2,0)*8,2)</f>
        <v>2.75</v>
      </c>
      <c r="V6" s="24"/>
      <c r="W6" s="24"/>
      <c r="X6" s="91">
        <v>43921</v>
      </c>
      <c r="Y6" s="28">
        <v>43927</v>
      </c>
      <c r="Z6" s="28"/>
      <c r="AA6" s="28"/>
      <c r="AB6" s="32"/>
      <c r="AC6" s="32"/>
      <c r="AD6" s="32"/>
      <c r="AE6" s="32"/>
      <c r="AF6" s="32"/>
      <c r="AG6" s="27" t="s">
        <v>76</v>
      </c>
      <c r="AH6" s="27" t="s">
        <v>76</v>
      </c>
    </row>
    <row r="7" spans="1:34" x14ac:dyDescent="0.25">
      <c r="B7" s="156">
        <f t="shared" si="0"/>
        <v>5</v>
      </c>
      <c r="C7" s="26">
        <v>20200330</v>
      </c>
      <c r="D7" s="32" t="s">
        <v>3</v>
      </c>
      <c r="E7" s="24" t="s">
        <v>228</v>
      </c>
      <c r="F7" s="27" t="s">
        <v>762</v>
      </c>
      <c r="G7" s="24">
        <v>1390262</v>
      </c>
      <c r="H7" s="24" t="s">
        <v>270</v>
      </c>
      <c r="I7" s="24" t="s">
        <v>197</v>
      </c>
      <c r="J7" s="27" t="s">
        <v>76</v>
      </c>
      <c r="K7" s="24" t="s">
        <v>243</v>
      </c>
      <c r="L7" s="27" t="s">
        <v>76</v>
      </c>
      <c r="M7" s="27" t="s">
        <v>797</v>
      </c>
      <c r="N7" s="26" t="s">
        <v>778</v>
      </c>
      <c r="O7" s="24" t="s">
        <v>87</v>
      </c>
      <c r="P7" s="24"/>
      <c r="Q7" s="24"/>
      <c r="R7" s="24">
        <v>155</v>
      </c>
      <c r="S7" s="25">
        <f>R7+303-155</f>
        <v>303</v>
      </c>
      <c r="T7" s="24">
        <f t="shared" ref="T7:T13" si="2">S7</f>
        <v>303</v>
      </c>
      <c r="U7" s="24">
        <f>ROUNDDOWN(S7/HLOOKUP(D7,Table!$C$3:$D$4,2,0)*8,2)</f>
        <v>5.38</v>
      </c>
      <c r="V7" s="24">
        <v>5</v>
      </c>
      <c r="W7" s="24" t="s">
        <v>18</v>
      </c>
      <c r="X7" s="91">
        <v>43921</v>
      </c>
      <c r="Y7" s="28">
        <v>43927</v>
      </c>
      <c r="Z7" s="28">
        <v>43921</v>
      </c>
      <c r="AA7" s="28">
        <v>43921</v>
      </c>
      <c r="AB7" s="32" t="s">
        <v>161</v>
      </c>
      <c r="AC7" s="32">
        <v>100</v>
      </c>
      <c r="AD7" s="32">
        <v>100</v>
      </c>
      <c r="AE7" s="36">
        <v>100</v>
      </c>
      <c r="AF7" s="36" t="s">
        <v>20</v>
      </c>
      <c r="AG7" s="27" t="s">
        <v>76</v>
      </c>
      <c r="AH7" s="27" t="s">
        <v>76</v>
      </c>
    </row>
    <row r="8" spans="1:34" x14ac:dyDescent="0.25">
      <c r="B8" s="156">
        <f t="shared" si="0"/>
        <v>6</v>
      </c>
      <c r="C8" s="26">
        <v>20200330</v>
      </c>
      <c r="D8" s="32" t="s">
        <v>3</v>
      </c>
      <c r="E8" s="24" t="s">
        <v>228</v>
      </c>
      <c r="F8" s="27" t="s">
        <v>763</v>
      </c>
      <c r="G8" s="24">
        <v>1390262</v>
      </c>
      <c r="H8" s="24" t="s">
        <v>766</v>
      </c>
      <c r="I8" s="24" t="s">
        <v>197</v>
      </c>
      <c r="J8" s="27" t="s">
        <v>76</v>
      </c>
      <c r="K8" s="24" t="s">
        <v>243</v>
      </c>
      <c r="L8" s="27" t="s">
        <v>76</v>
      </c>
      <c r="M8" s="27" t="s">
        <v>797</v>
      </c>
      <c r="N8" s="26" t="s">
        <v>779</v>
      </c>
      <c r="O8" s="24" t="s">
        <v>87</v>
      </c>
      <c r="P8" s="24"/>
      <c r="Q8" s="24"/>
      <c r="R8" s="24">
        <v>34</v>
      </c>
      <c r="S8" s="25">
        <f>R8+114-34</f>
        <v>114</v>
      </c>
      <c r="T8" s="24">
        <f t="shared" si="2"/>
        <v>114</v>
      </c>
      <c r="U8" s="24">
        <f>ROUNDDOWN(S8/HLOOKUP(D8,Table!$C$3:$D$4,2,0)*8,2)</f>
        <v>2.02</v>
      </c>
      <c r="V8" s="24">
        <v>1</v>
      </c>
      <c r="W8" s="24" t="s">
        <v>18</v>
      </c>
      <c r="X8" s="91">
        <v>43921</v>
      </c>
      <c r="Y8" s="28">
        <v>43927</v>
      </c>
      <c r="Z8" s="28">
        <v>43922</v>
      </c>
      <c r="AA8" s="28">
        <v>43922</v>
      </c>
      <c r="AB8" s="32" t="s">
        <v>161</v>
      </c>
      <c r="AC8" s="32">
        <v>100</v>
      </c>
      <c r="AD8" s="32">
        <v>100</v>
      </c>
      <c r="AE8" s="36">
        <v>100</v>
      </c>
      <c r="AF8" s="36" t="s">
        <v>20</v>
      </c>
      <c r="AG8" s="27" t="s">
        <v>76</v>
      </c>
      <c r="AH8" s="27" t="s">
        <v>76</v>
      </c>
    </row>
    <row r="9" spans="1:34" s="19" customFormat="1" x14ac:dyDescent="0.2">
      <c r="B9" s="156">
        <f t="shared" si="0"/>
        <v>7</v>
      </c>
      <c r="C9" s="26">
        <v>20200330</v>
      </c>
      <c r="D9" s="32" t="s">
        <v>3</v>
      </c>
      <c r="E9" s="33" t="s">
        <v>228</v>
      </c>
      <c r="F9" s="27" t="s">
        <v>764</v>
      </c>
      <c r="G9" s="24">
        <v>1390262</v>
      </c>
      <c r="H9" s="56" t="s">
        <v>767</v>
      </c>
      <c r="I9" s="24" t="s">
        <v>197</v>
      </c>
      <c r="J9" s="27" t="s">
        <v>76</v>
      </c>
      <c r="K9" s="24" t="s">
        <v>243</v>
      </c>
      <c r="L9" s="27" t="s">
        <v>76</v>
      </c>
      <c r="M9" s="27" t="s">
        <v>797</v>
      </c>
      <c r="N9" s="26" t="s">
        <v>780</v>
      </c>
      <c r="O9" s="21" t="s">
        <v>87</v>
      </c>
      <c r="P9" s="26"/>
      <c r="Q9" s="24"/>
      <c r="R9" s="24">
        <v>280</v>
      </c>
      <c r="S9" s="25">
        <f>R9+213-280</f>
        <v>213</v>
      </c>
      <c r="T9" s="26">
        <f t="shared" si="2"/>
        <v>213</v>
      </c>
      <c r="U9" s="24">
        <f>ROUNDDOWN(S9/HLOOKUP(D9,Table!$C$3:$D$4,2,0)*8,2)</f>
        <v>3.78</v>
      </c>
      <c r="V9" s="21">
        <v>3</v>
      </c>
      <c r="W9" s="24" t="s">
        <v>18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161</v>
      </c>
      <c r="AC9" s="32">
        <v>100</v>
      </c>
      <c r="AD9" s="32">
        <v>100</v>
      </c>
      <c r="AE9" s="32">
        <v>100</v>
      </c>
      <c r="AF9" s="32" t="s">
        <v>20</v>
      </c>
      <c r="AG9" s="27" t="s">
        <v>76</v>
      </c>
      <c r="AH9" s="27" t="s">
        <v>76</v>
      </c>
    </row>
    <row r="10" spans="1:34" ht="60" x14ac:dyDescent="0.25">
      <c r="B10" s="156">
        <f t="shared" si="0"/>
        <v>8</v>
      </c>
      <c r="C10" s="26">
        <v>20200330</v>
      </c>
      <c r="D10" s="32" t="s">
        <v>3</v>
      </c>
      <c r="E10" s="23" t="s">
        <v>228</v>
      </c>
      <c r="F10" s="166" t="s">
        <v>872</v>
      </c>
      <c r="G10" s="24">
        <v>1390262</v>
      </c>
      <c r="H10" s="173" t="s">
        <v>209</v>
      </c>
      <c r="I10" s="24" t="s">
        <v>197</v>
      </c>
      <c r="J10" s="27" t="s">
        <v>76</v>
      </c>
      <c r="K10" s="24" t="s">
        <v>798</v>
      </c>
      <c r="L10" s="27" t="s">
        <v>76</v>
      </c>
      <c r="M10" s="27" t="s">
        <v>799</v>
      </c>
      <c r="N10" s="26" t="s">
        <v>781</v>
      </c>
      <c r="O10" s="23" t="s">
        <v>86</v>
      </c>
      <c r="P10" s="24"/>
      <c r="Q10" s="24"/>
      <c r="R10" s="24">
        <v>65</v>
      </c>
      <c r="S10" s="162">
        <f>R10</f>
        <v>65</v>
      </c>
      <c r="T10" s="57">
        <f t="shared" si="2"/>
        <v>65</v>
      </c>
      <c r="U10" s="24">
        <f>ROUNDDOWN(S10/HLOOKUP(D10,Table!$C$3:$D$4,2,0)*8,2)</f>
        <v>1.1499999999999999</v>
      </c>
      <c r="V10" s="44">
        <v>0.5</v>
      </c>
      <c r="W10" s="24" t="s">
        <v>18</v>
      </c>
      <c r="X10" s="91">
        <v>43921</v>
      </c>
      <c r="Y10" s="28">
        <v>43927</v>
      </c>
      <c r="Z10" s="163">
        <v>43921</v>
      </c>
      <c r="AA10" s="163">
        <v>43921</v>
      </c>
      <c r="AB10" s="32" t="s">
        <v>160</v>
      </c>
      <c r="AC10" s="32">
        <v>80</v>
      </c>
      <c r="AD10" s="32">
        <v>100</v>
      </c>
      <c r="AE10" s="32">
        <v>100</v>
      </c>
      <c r="AF10" s="32" t="s">
        <v>801</v>
      </c>
      <c r="AG10" s="27" t="s">
        <v>883</v>
      </c>
      <c r="AH10" s="27" t="s">
        <v>880</v>
      </c>
    </row>
    <row r="11" spans="1:34" s="20" customFormat="1" x14ac:dyDescent="0.25">
      <c r="B11" s="156">
        <f t="shared" si="0"/>
        <v>9</v>
      </c>
      <c r="C11" s="26">
        <v>20200330</v>
      </c>
      <c r="D11" s="32" t="s">
        <v>3</v>
      </c>
      <c r="E11" s="21" t="s">
        <v>757</v>
      </c>
      <c r="F11" s="157" t="s">
        <v>808</v>
      </c>
      <c r="G11" s="24">
        <v>1374229</v>
      </c>
      <c r="H11" s="173" t="s">
        <v>120</v>
      </c>
      <c r="I11" s="24" t="s">
        <v>197</v>
      </c>
      <c r="J11" s="27" t="s">
        <v>76</v>
      </c>
      <c r="K11" s="24" t="s">
        <v>798</v>
      </c>
      <c r="L11" s="27" t="s">
        <v>76</v>
      </c>
      <c r="M11" s="27" t="s">
        <v>799</v>
      </c>
      <c r="N11" s="26" t="s">
        <v>782</v>
      </c>
      <c r="O11" s="21" t="s">
        <v>86</v>
      </c>
      <c r="P11" s="21"/>
      <c r="Q11" s="24"/>
      <c r="R11" s="24">
        <v>144</v>
      </c>
      <c r="S11" s="165">
        <f>R11+160-144</f>
        <v>160</v>
      </c>
      <c r="T11" s="21">
        <f t="shared" si="2"/>
        <v>160</v>
      </c>
      <c r="U11" s="24">
        <f>ROUNDDOWN(S11/HLOOKUP(D11,Table!$C$3:$D$4,2,0)*8,2)</f>
        <v>2.84</v>
      </c>
      <c r="V11" s="21">
        <v>1</v>
      </c>
      <c r="W11" s="24" t="s">
        <v>18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161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 x14ac:dyDescent="0.25">
      <c r="B12" s="156">
        <f t="shared" si="0"/>
        <v>10</v>
      </c>
      <c r="C12" s="26">
        <v>20200330</v>
      </c>
      <c r="D12" s="32" t="s">
        <v>3</v>
      </c>
      <c r="E12" s="24" t="s">
        <v>757</v>
      </c>
      <c r="F12" s="157" t="s">
        <v>808</v>
      </c>
      <c r="G12" s="24">
        <v>1374229</v>
      </c>
      <c r="H12" s="173" t="s">
        <v>122</v>
      </c>
      <c r="I12" s="24" t="s">
        <v>197</v>
      </c>
      <c r="J12" s="27" t="s">
        <v>76</v>
      </c>
      <c r="K12" s="24" t="s">
        <v>798</v>
      </c>
      <c r="L12" s="27" t="s">
        <v>76</v>
      </c>
      <c r="M12" s="27" t="s">
        <v>799</v>
      </c>
      <c r="N12" s="26" t="s">
        <v>783</v>
      </c>
      <c r="O12" s="23" t="s">
        <v>86</v>
      </c>
      <c r="P12" s="23"/>
      <c r="Q12" s="24"/>
      <c r="R12" s="24">
        <v>23</v>
      </c>
      <c r="S12" s="162">
        <f>R12</f>
        <v>23</v>
      </c>
      <c r="T12" s="24">
        <f t="shared" si="2"/>
        <v>23</v>
      </c>
      <c r="U12" s="24">
        <f>ROUNDDOWN(S12/HLOOKUP(D12,Table!$C$3:$D$4,2,0)*8,2)</f>
        <v>0.4</v>
      </c>
      <c r="V12" s="24">
        <v>0.5</v>
      </c>
      <c r="W12" s="24" t="s">
        <v>18</v>
      </c>
      <c r="X12" s="91">
        <v>43921</v>
      </c>
      <c r="Y12" s="28">
        <v>43927</v>
      </c>
      <c r="Z12" s="28">
        <v>43921</v>
      </c>
      <c r="AA12" s="28">
        <v>43921</v>
      </c>
      <c r="AB12" s="32" t="s">
        <v>161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76</v>
      </c>
    </row>
    <row r="13" spans="1:34" x14ac:dyDescent="0.25">
      <c r="B13" s="156">
        <f t="shared" si="0"/>
        <v>11</v>
      </c>
      <c r="C13" s="26">
        <v>20200330</v>
      </c>
      <c r="D13" s="32" t="s">
        <v>3</v>
      </c>
      <c r="E13" s="24" t="s">
        <v>757</v>
      </c>
      <c r="F13" s="157" t="s">
        <v>808</v>
      </c>
      <c r="G13" s="24">
        <v>1374229</v>
      </c>
      <c r="H13" s="173" t="s">
        <v>768</v>
      </c>
      <c r="I13" s="24" t="s">
        <v>197</v>
      </c>
      <c r="J13" s="27" t="s">
        <v>76</v>
      </c>
      <c r="K13" s="24" t="s">
        <v>798</v>
      </c>
      <c r="L13" s="27" t="s">
        <v>76</v>
      </c>
      <c r="M13" s="27" t="s">
        <v>799</v>
      </c>
      <c r="N13" s="26" t="s">
        <v>784</v>
      </c>
      <c r="O13" s="23" t="s">
        <v>86</v>
      </c>
      <c r="P13" s="23"/>
      <c r="Q13" s="24"/>
      <c r="R13" s="24">
        <v>354</v>
      </c>
      <c r="S13" s="165">
        <f>R13+376-354</f>
        <v>376</v>
      </c>
      <c r="T13" s="24">
        <f t="shared" si="2"/>
        <v>376</v>
      </c>
      <c r="U13" s="24">
        <f>ROUNDDOWN(S13/HLOOKUP(D13,Table!$C$3:$D$4,2,0)*8,2)</f>
        <v>6.68</v>
      </c>
      <c r="V13" s="24">
        <v>2</v>
      </c>
      <c r="W13" s="24" t="s">
        <v>18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161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 x14ac:dyDescent="0.25">
      <c r="B14" s="156">
        <f t="shared" si="0"/>
        <v>12</v>
      </c>
      <c r="C14" s="26">
        <v>20200330</v>
      </c>
      <c r="D14" s="32" t="s">
        <v>3</v>
      </c>
      <c r="E14" s="24" t="s">
        <v>757</v>
      </c>
      <c r="F14" s="157" t="s">
        <v>76</v>
      </c>
      <c r="G14" s="24">
        <v>1374229</v>
      </c>
      <c r="H14" s="24" t="s">
        <v>769</v>
      </c>
      <c r="I14" s="24" t="s">
        <v>197</v>
      </c>
      <c r="J14" s="27" t="s">
        <v>76</v>
      </c>
      <c r="K14" s="24" t="s">
        <v>798</v>
      </c>
      <c r="L14" s="27" t="s">
        <v>76</v>
      </c>
      <c r="M14" s="27" t="s">
        <v>799</v>
      </c>
      <c r="N14" s="26" t="s">
        <v>785</v>
      </c>
      <c r="O14" s="23" t="s">
        <v>88</v>
      </c>
      <c r="P14" s="23"/>
      <c r="Q14" s="24"/>
      <c r="R14" s="24">
        <v>54</v>
      </c>
      <c r="S14" s="24">
        <f t="shared" si="1"/>
        <v>54</v>
      </c>
      <c r="T14" s="24"/>
      <c r="U14" s="24">
        <f>ROUNDDOWN(S14/HLOOKUP(D14,Table!$C$3:$D$4,2,0)*8,2)</f>
        <v>0.96</v>
      </c>
      <c r="V14" s="24"/>
      <c r="W14" s="24"/>
      <c r="X14" s="91">
        <v>43921</v>
      </c>
      <c r="Y14" s="28">
        <v>43927</v>
      </c>
      <c r="Z14" s="28"/>
      <c r="AA14" s="28"/>
      <c r="AB14" s="32"/>
      <c r="AC14" s="32"/>
      <c r="AD14" s="32"/>
      <c r="AE14" s="32"/>
      <c r="AF14" s="32"/>
      <c r="AG14" s="27" t="s">
        <v>76</v>
      </c>
      <c r="AH14" s="27" t="s">
        <v>76</v>
      </c>
    </row>
    <row r="15" spans="1:34" x14ac:dyDescent="0.25">
      <c r="B15" s="156">
        <f t="shared" si="0"/>
        <v>13</v>
      </c>
      <c r="C15" s="26">
        <v>20200330</v>
      </c>
      <c r="D15" s="32" t="s">
        <v>3</v>
      </c>
      <c r="E15" s="24" t="s">
        <v>757</v>
      </c>
      <c r="F15" s="157" t="s">
        <v>76</v>
      </c>
      <c r="G15" s="24">
        <v>1374229</v>
      </c>
      <c r="H15" s="24" t="s">
        <v>770</v>
      </c>
      <c r="I15" s="24" t="s">
        <v>197</v>
      </c>
      <c r="J15" s="27" t="s">
        <v>76</v>
      </c>
      <c r="K15" s="24" t="s">
        <v>798</v>
      </c>
      <c r="L15" s="27" t="s">
        <v>76</v>
      </c>
      <c r="M15" s="27" t="s">
        <v>799</v>
      </c>
      <c r="N15" s="26" t="s">
        <v>786</v>
      </c>
      <c r="O15" s="24" t="s">
        <v>88</v>
      </c>
      <c r="P15" s="24"/>
      <c r="Q15" s="24"/>
      <c r="R15" s="24">
        <v>159</v>
      </c>
      <c r="S15" s="24">
        <f t="shared" si="1"/>
        <v>159</v>
      </c>
      <c r="T15" s="24"/>
      <c r="U15" s="24">
        <f>ROUNDDOWN(S15/HLOOKUP(D15,Table!$C$3:$D$4,2,0)*8,2)</f>
        <v>2.82</v>
      </c>
      <c r="V15" s="24"/>
      <c r="W15" s="24"/>
      <c r="X15" s="91">
        <v>43921</v>
      </c>
      <c r="Y15" s="28">
        <v>43927</v>
      </c>
      <c r="Z15" s="28"/>
      <c r="AA15" s="28"/>
      <c r="AB15" s="32"/>
      <c r="AC15" s="32"/>
      <c r="AD15" s="32"/>
      <c r="AE15" s="32"/>
      <c r="AF15" s="32"/>
      <c r="AG15" s="27" t="s">
        <v>76</v>
      </c>
      <c r="AH15" s="27" t="s">
        <v>76</v>
      </c>
    </row>
    <row r="16" spans="1:34" x14ac:dyDescent="0.25">
      <c r="B16" s="156">
        <f t="shared" si="0"/>
        <v>14</v>
      </c>
      <c r="C16" s="26">
        <v>20200330</v>
      </c>
      <c r="D16" s="32" t="s">
        <v>3</v>
      </c>
      <c r="E16" s="24" t="s">
        <v>757</v>
      </c>
      <c r="F16" s="157" t="s">
        <v>76</v>
      </c>
      <c r="G16" s="24">
        <v>1374229</v>
      </c>
      <c r="H16" s="24" t="s">
        <v>113</v>
      </c>
      <c r="I16" s="24" t="s">
        <v>197</v>
      </c>
      <c r="J16" s="27" t="s">
        <v>76</v>
      </c>
      <c r="K16" s="24" t="s">
        <v>798</v>
      </c>
      <c r="L16" s="27" t="s">
        <v>76</v>
      </c>
      <c r="M16" s="27" t="s">
        <v>799</v>
      </c>
      <c r="N16" s="26" t="s">
        <v>787</v>
      </c>
      <c r="O16" s="24" t="s">
        <v>85</v>
      </c>
      <c r="P16" s="24"/>
      <c r="Q16" s="24"/>
      <c r="R16" s="24">
        <v>313</v>
      </c>
      <c r="S16" s="24">
        <f t="shared" si="1"/>
        <v>313</v>
      </c>
      <c r="T16" s="24"/>
      <c r="U16" s="24">
        <f>ROUNDDOWN(S16/HLOOKUP(D16,Table!$C$3:$D$4,2,0)*8,2)</f>
        <v>5.56</v>
      </c>
      <c r="V16" s="24"/>
      <c r="W16" s="24"/>
      <c r="X16" s="91">
        <v>43921</v>
      </c>
      <c r="Y16" s="28">
        <v>43927</v>
      </c>
      <c r="Z16" s="28"/>
      <c r="AA16" s="28"/>
      <c r="AB16" s="32"/>
      <c r="AC16" s="32"/>
      <c r="AD16" s="32"/>
      <c r="AE16" s="32"/>
      <c r="AF16" s="32"/>
      <c r="AG16" s="27" t="s">
        <v>76</v>
      </c>
      <c r="AH16" s="27" t="s">
        <v>76</v>
      </c>
    </row>
    <row r="17" spans="1:34" x14ac:dyDescent="0.25">
      <c r="B17" s="156">
        <f t="shared" si="0"/>
        <v>15</v>
      </c>
      <c r="C17" s="26">
        <v>20200330</v>
      </c>
      <c r="D17" s="32" t="s">
        <v>3</v>
      </c>
      <c r="E17" s="24" t="s">
        <v>757</v>
      </c>
      <c r="F17" s="157" t="s">
        <v>76</v>
      </c>
      <c r="G17" s="24">
        <v>1374229</v>
      </c>
      <c r="H17" s="24" t="s">
        <v>115</v>
      </c>
      <c r="I17" s="24" t="s">
        <v>197</v>
      </c>
      <c r="J17" s="27" t="s">
        <v>76</v>
      </c>
      <c r="K17" s="24" t="s">
        <v>798</v>
      </c>
      <c r="L17" s="27" t="s">
        <v>76</v>
      </c>
      <c r="M17" s="27" t="s">
        <v>799</v>
      </c>
      <c r="N17" s="26" t="s">
        <v>788</v>
      </c>
      <c r="O17" s="24" t="s">
        <v>87</v>
      </c>
      <c r="P17" s="24"/>
      <c r="Q17" s="24"/>
      <c r="R17" s="24">
        <v>186</v>
      </c>
      <c r="S17" s="25">
        <f>R17+200-R17</f>
        <v>200</v>
      </c>
      <c r="T17" s="24">
        <f>S17</f>
        <v>200</v>
      </c>
      <c r="U17" s="24">
        <f>ROUNDDOWN(S17/HLOOKUP(D17,Table!$C$3:$D$4,2,0)*8,2)</f>
        <v>3.55</v>
      </c>
      <c r="V17" s="24">
        <v>1</v>
      </c>
      <c r="W17" s="24" t="s">
        <v>18</v>
      </c>
      <c r="X17" s="91">
        <v>43921</v>
      </c>
      <c r="Y17" s="28">
        <v>43927</v>
      </c>
      <c r="Z17" s="28">
        <v>43922</v>
      </c>
      <c r="AA17" s="28">
        <v>43922</v>
      </c>
      <c r="AB17" s="32" t="s">
        <v>161</v>
      </c>
      <c r="AC17" s="32">
        <v>100</v>
      </c>
      <c r="AD17" s="32">
        <v>100</v>
      </c>
      <c r="AE17" s="32">
        <v>100</v>
      </c>
      <c r="AF17" s="32" t="s">
        <v>20</v>
      </c>
      <c r="AG17" s="27" t="s">
        <v>76</v>
      </c>
      <c r="AH17" s="27" t="s">
        <v>76</v>
      </c>
    </row>
    <row r="18" spans="1:34" x14ac:dyDescent="0.25">
      <c r="B18" s="156">
        <f t="shared" si="0"/>
        <v>16</v>
      </c>
      <c r="C18" s="26">
        <v>20200330</v>
      </c>
      <c r="D18" s="32" t="s">
        <v>3</v>
      </c>
      <c r="E18" s="24" t="s">
        <v>757</v>
      </c>
      <c r="F18" s="157" t="s">
        <v>76</v>
      </c>
      <c r="G18" s="24">
        <v>1374229</v>
      </c>
      <c r="H18" s="24" t="s">
        <v>771</v>
      </c>
      <c r="I18" s="24" t="s">
        <v>197</v>
      </c>
      <c r="J18" s="27" t="s">
        <v>76</v>
      </c>
      <c r="K18" s="24" t="s">
        <v>798</v>
      </c>
      <c r="L18" s="27" t="s">
        <v>76</v>
      </c>
      <c r="M18" s="27" t="s">
        <v>799</v>
      </c>
      <c r="N18" s="26" t="s">
        <v>789</v>
      </c>
      <c r="O18" s="24" t="s">
        <v>88</v>
      </c>
      <c r="P18" s="24"/>
      <c r="Q18" s="24"/>
      <c r="R18" s="24">
        <v>199</v>
      </c>
      <c r="S18" s="24">
        <f t="shared" si="1"/>
        <v>199</v>
      </c>
      <c r="T18" s="24"/>
      <c r="U18" s="24">
        <f>ROUNDDOWN(S18/HLOOKUP(D18,Table!$C$3:$D$4,2,0)*8,2)</f>
        <v>3.53</v>
      </c>
      <c r="V18" s="24"/>
      <c r="W18" s="24"/>
      <c r="X18" s="91">
        <v>43921</v>
      </c>
      <c r="Y18" s="28">
        <v>43927</v>
      </c>
      <c r="Z18" s="28"/>
      <c r="AA18" s="28"/>
      <c r="AB18" s="32"/>
      <c r="AC18" s="24"/>
      <c r="AD18" s="24"/>
      <c r="AE18" s="24"/>
      <c r="AF18" s="24"/>
      <c r="AG18" s="27" t="s">
        <v>76</v>
      </c>
      <c r="AH18" s="27" t="s">
        <v>76</v>
      </c>
    </row>
    <row r="19" spans="1:34" x14ac:dyDescent="0.25">
      <c r="B19" s="156">
        <f t="shared" si="0"/>
        <v>17</v>
      </c>
      <c r="C19" s="26">
        <v>20200330</v>
      </c>
      <c r="D19" s="32" t="s">
        <v>3</v>
      </c>
      <c r="E19" s="24" t="s">
        <v>757</v>
      </c>
      <c r="F19" s="157" t="s">
        <v>76</v>
      </c>
      <c r="G19" s="24">
        <v>1374229</v>
      </c>
      <c r="H19" s="24" t="s">
        <v>772</v>
      </c>
      <c r="I19" s="24" t="s">
        <v>197</v>
      </c>
      <c r="J19" s="27" t="s">
        <v>76</v>
      </c>
      <c r="K19" s="24" t="s">
        <v>798</v>
      </c>
      <c r="L19" s="27" t="s">
        <v>76</v>
      </c>
      <c r="M19" s="27" t="s">
        <v>799</v>
      </c>
      <c r="N19" s="26" t="s">
        <v>790</v>
      </c>
      <c r="O19" s="24" t="s">
        <v>88</v>
      </c>
      <c r="P19" s="24"/>
      <c r="Q19" s="24"/>
      <c r="R19" s="24">
        <v>6</v>
      </c>
      <c r="S19" s="24">
        <f t="shared" si="1"/>
        <v>6</v>
      </c>
      <c r="T19" s="24"/>
      <c r="U19" s="24">
        <f>ROUNDDOWN(S19/HLOOKUP(D19,Table!$C$3:$D$4,2,0)*8,2)</f>
        <v>0.1</v>
      </c>
      <c r="V19" s="24"/>
      <c r="W19" s="24"/>
      <c r="X19" s="91">
        <v>43921</v>
      </c>
      <c r="Y19" s="28">
        <v>43927</v>
      </c>
      <c r="Z19" s="28"/>
      <c r="AA19" s="28"/>
      <c r="AB19" s="28"/>
      <c r="AC19" s="24"/>
      <c r="AD19" s="24"/>
      <c r="AE19" s="24"/>
      <c r="AF19" s="24"/>
      <c r="AG19" s="27" t="s">
        <v>76</v>
      </c>
      <c r="AH19" s="27" t="s">
        <v>76</v>
      </c>
    </row>
    <row r="20" spans="1:34" x14ac:dyDescent="0.25">
      <c r="B20" s="156">
        <f t="shared" si="0"/>
        <v>18</v>
      </c>
      <c r="C20" s="26">
        <v>20200330</v>
      </c>
      <c r="D20" s="32" t="s">
        <v>3</v>
      </c>
      <c r="E20" s="26" t="s">
        <v>757</v>
      </c>
      <c r="F20" s="157" t="s">
        <v>76</v>
      </c>
      <c r="G20" s="26">
        <v>1373386</v>
      </c>
      <c r="H20" s="26" t="s">
        <v>393</v>
      </c>
      <c r="I20" s="24" t="s">
        <v>197</v>
      </c>
      <c r="J20" s="27" t="s">
        <v>76</v>
      </c>
      <c r="K20" s="24" t="s">
        <v>798</v>
      </c>
      <c r="L20" s="27" t="s">
        <v>76</v>
      </c>
      <c r="M20" s="27" t="s">
        <v>799</v>
      </c>
      <c r="N20" s="26" t="s">
        <v>791</v>
      </c>
      <c r="O20" s="24" t="s">
        <v>88</v>
      </c>
      <c r="P20" s="24"/>
      <c r="Q20" s="24"/>
      <c r="R20" s="24">
        <v>84</v>
      </c>
      <c r="S20" s="24">
        <f t="shared" si="1"/>
        <v>84</v>
      </c>
      <c r="T20" s="24"/>
      <c r="U20" s="24">
        <f>ROUNDDOWN(S20/HLOOKUP(D20,Table!$C$3:$D$4,2,0)*8,2)</f>
        <v>1.49</v>
      </c>
      <c r="V20" s="24"/>
      <c r="W20" s="24"/>
      <c r="X20" s="91">
        <v>43921</v>
      </c>
      <c r="Y20" s="28">
        <v>43927</v>
      </c>
      <c r="Z20" s="28"/>
      <c r="AA20" s="28"/>
      <c r="AB20" s="28"/>
      <c r="AC20" s="24"/>
      <c r="AD20" s="24"/>
      <c r="AE20" s="24"/>
      <c r="AF20" s="24"/>
      <c r="AG20" s="27" t="s">
        <v>76</v>
      </c>
      <c r="AH20" s="27" t="s">
        <v>76</v>
      </c>
    </row>
    <row r="21" spans="1:34" x14ac:dyDescent="0.25">
      <c r="B21" s="156">
        <f t="shared" si="0"/>
        <v>19</v>
      </c>
      <c r="C21" s="26">
        <v>20200330</v>
      </c>
      <c r="D21" s="32" t="s">
        <v>3</v>
      </c>
      <c r="E21" s="26" t="s">
        <v>757</v>
      </c>
      <c r="F21" s="157" t="s">
        <v>76</v>
      </c>
      <c r="G21" s="26">
        <v>1373386</v>
      </c>
      <c r="H21" s="26" t="s">
        <v>280</v>
      </c>
      <c r="I21" s="24" t="s">
        <v>197</v>
      </c>
      <c r="J21" s="27" t="s">
        <v>76</v>
      </c>
      <c r="K21" s="24" t="s">
        <v>798</v>
      </c>
      <c r="L21" s="27" t="s">
        <v>76</v>
      </c>
      <c r="M21" s="27" t="s">
        <v>799</v>
      </c>
      <c r="N21" s="26" t="s">
        <v>792</v>
      </c>
      <c r="O21" s="24" t="s">
        <v>85</v>
      </c>
      <c r="P21" s="24"/>
      <c r="Q21" s="24"/>
      <c r="R21" s="24">
        <v>259</v>
      </c>
      <c r="S21" s="24">
        <f t="shared" si="1"/>
        <v>259</v>
      </c>
      <c r="T21" s="24"/>
      <c r="U21" s="24">
        <f>ROUNDDOWN(S21/HLOOKUP(D21,Table!$C$3:$D$4,2,0)*8,2)</f>
        <v>4.5999999999999996</v>
      </c>
      <c r="V21" s="24"/>
      <c r="W21" s="24"/>
      <c r="X21" s="91">
        <v>43921</v>
      </c>
      <c r="Y21" s="28">
        <v>43927</v>
      </c>
      <c r="Z21" s="28"/>
      <c r="AA21" s="28"/>
      <c r="AB21" s="28"/>
      <c r="AC21" s="32"/>
      <c r="AD21" s="32"/>
      <c r="AE21" s="32"/>
      <c r="AF21" s="32"/>
      <c r="AG21" s="27" t="s">
        <v>76</v>
      </c>
      <c r="AH21" s="27" t="s">
        <v>76</v>
      </c>
    </row>
    <row r="22" spans="1:34" x14ac:dyDescent="0.25">
      <c r="B22" s="138">
        <f t="shared" si="0"/>
        <v>20</v>
      </c>
      <c r="C22" s="26">
        <v>20200331</v>
      </c>
      <c r="D22" s="32" t="s">
        <v>3</v>
      </c>
      <c r="E22" s="26" t="s">
        <v>809</v>
      </c>
      <c r="F22" s="43" t="s">
        <v>881</v>
      </c>
      <c r="G22" s="26">
        <v>1372839</v>
      </c>
      <c r="H22" s="173" t="s">
        <v>120</v>
      </c>
      <c r="I22" s="24" t="s">
        <v>197</v>
      </c>
      <c r="J22" s="54">
        <v>99180</v>
      </c>
      <c r="K22" s="24" t="s">
        <v>869</v>
      </c>
      <c r="L22" s="27" t="s">
        <v>76</v>
      </c>
      <c r="M22" s="27" t="s">
        <v>799</v>
      </c>
      <c r="N22" s="26" t="s">
        <v>830</v>
      </c>
      <c r="O22" s="21" t="s">
        <v>86</v>
      </c>
      <c r="P22" s="24"/>
      <c r="Q22" s="24"/>
      <c r="R22" s="24">
        <v>160</v>
      </c>
      <c r="S22" s="24">
        <f>R22</f>
        <v>160</v>
      </c>
      <c r="T22" s="24">
        <f>S22</f>
        <v>160</v>
      </c>
      <c r="U22" s="24">
        <f>ROUNDDOWN(S22/HLOOKUP(D22,Table!$C$3:$D$4,2,0)*8,2)</f>
        <v>2.84</v>
      </c>
      <c r="V22" s="24">
        <v>2</v>
      </c>
      <c r="W22" s="24" t="s">
        <v>18</v>
      </c>
      <c r="X22" s="28">
        <v>43922</v>
      </c>
      <c r="Y22" s="28">
        <v>43929</v>
      </c>
      <c r="Z22" s="28">
        <v>43922</v>
      </c>
      <c r="AA22" s="28">
        <v>43922</v>
      </c>
      <c r="AB22" s="171" t="s">
        <v>161</v>
      </c>
      <c r="AC22" s="32">
        <v>100</v>
      </c>
      <c r="AD22" s="32">
        <v>100</v>
      </c>
      <c r="AE22" s="32">
        <v>100</v>
      </c>
      <c r="AF22" s="32" t="s">
        <v>20</v>
      </c>
      <c r="AG22" s="27" t="s">
        <v>76</v>
      </c>
      <c r="AH22" s="27" t="s">
        <v>76</v>
      </c>
    </row>
    <row r="23" spans="1:34" x14ac:dyDescent="0.25">
      <c r="B23" s="138">
        <f t="shared" si="0"/>
        <v>21</v>
      </c>
      <c r="C23" s="26">
        <v>20200331</v>
      </c>
      <c r="D23" s="32" t="s">
        <v>3</v>
      </c>
      <c r="E23" s="26" t="s">
        <v>809</v>
      </c>
      <c r="F23" s="43" t="s">
        <v>881</v>
      </c>
      <c r="G23" s="26">
        <v>1372839</v>
      </c>
      <c r="H23" s="173" t="s">
        <v>122</v>
      </c>
      <c r="I23" s="24" t="s">
        <v>197</v>
      </c>
      <c r="J23" s="54">
        <v>99180</v>
      </c>
      <c r="K23" s="24" t="s">
        <v>869</v>
      </c>
      <c r="L23" s="27" t="s">
        <v>76</v>
      </c>
      <c r="M23" s="27" t="s">
        <v>799</v>
      </c>
      <c r="N23" s="26" t="s">
        <v>831</v>
      </c>
      <c r="O23" s="23" t="s">
        <v>86</v>
      </c>
      <c r="P23" s="24"/>
      <c r="Q23" s="24"/>
      <c r="R23" s="24">
        <v>23</v>
      </c>
      <c r="S23" s="24">
        <f t="shared" ref="S23:S48" si="3">R23</f>
        <v>23</v>
      </c>
      <c r="T23" s="24">
        <f>S23</f>
        <v>23</v>
      </c>
      <c r="U23" s="24">
        <f>ROUNDDOWN(S23/HLOOKUP(D23,Table!$C$3:$D$4,2,0)*8,2)</f>
        <v>0.4</v>
      </c>
      <c r="V23" s="24">
        <v>2</v>
      </c>
      <c r="W23" s="24" t="s">
        <v>18</v>
      </c>
      <c r="X23" s="28">
        <v>43922</v>
      </c>
      <c r="Y23" s="28">
        <v>43929</v>
      </c>
      <c r="Z23" s="28">
        <v>43922</v>
      </c>
      <c r="AA23" s="28">
        <v>43922</v>
      </c>
      <c r="AB23" s="171" t="s">
        <v>161</v>
      </c>
      <c r="AC23" s="32">
        <v>100</v>
      </c>
      <c r="AD23" s="32">
        <v>100</v>
      </c>
      <c r="AE23" s="32">
        <v>100</v>
      </c>
      <c r="AF23" s="32" t="s">
        <v>20</v>
      </c>
      <c r="AG23" s="27" t="s">
        <v>76</v>
      </c>
      <c r="AH23" s="27" t="s">
        <v>76</v>
      </c>
    </row>
    <row r="24" spans="1:34" x14ac:dyDescent="0.25">
      <c r="B24" s="138">
        <f t="shared" si="0"/>
        <v>22</v>
      </c>
      <c r="C24" s="26">
        <v>20200331</v>
      </c>
      <c r="D24" s="32" t="s">
        <v>3</v>
      </c>
      <c r="E24" s="26" t="s">
        <v>809</v>
      </c>
      <c r="F24" s="47" t="s">
        <v>881</v>
      </c>
      <c r="G24" s="26">
        <v>1372839</v>
      </c>
      <c r="H24" s="173" t="s">
        <v>768</v>
      </c>
      <c r="I24" s="24" t="s">
        <v>197</v>
      </c>
      <c r="J24" s="54">
        <v>99180</v>
      </c>
      <c r="K24" s="24" t="s">
        <v>869</v>
      </c>
      <c r="L24" s="27" t="s">
        <v>76</v>
      </c>
      <c r="M24" s="27" t="s">
        <v>799</v>
      </c>
      <c r="N24" s="26" t="s">
        <v>832</v>
      </c>
      <c r="O24" s="23" t="s">
        <v>86</v>
      </c>
      <c r="P24" s="24"/>
      <c r="Q24" s="24"/>
      <c r="R24" s="24">
        <v>376</v>
      </c>
      <c r="S24" s="24">
        <f t="shared" si="3"/>
        <v>376</v>
      </c>
      <c r="T24" s="24">
        <f>S24</f>
        <v>376</v>
      </c>
      <c r="U24" s="24">
        <f>ROUNDDOWN(S24/HLOOKUP(D24,Table!$C$3:$D$4,2,0)*8,2)</f>
        <v>6.68</v>
      </c>
      <c r="V24" s="24">
        <v>1</v>
      </c>
      <c r="W24" s="24" t="s">
        <v>18</v>
      </c>
      <c r="X24" s="28">
        <v>43922</v>
      </c>
      <c r="Y24" s="28">
        <v>43929</v>
      </c>
      <c r="Z24" s="28">
        <v>43922</v>
      </c>
      <c r="AA24" s="28">
        <v>43922</v>
      </c>
      <c r="AB24" s="32" t="s">
        <v>161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 x14ac:dyDescent="0.25">
      <c r="B25" s="138">
        <f t="shared" si="0"/>
        <v>23</v>
      </c>
      <c r="C25" s="26">
        <v>20200331</v>
      </c>
      <c r="D25" s="32" t="s">
        <v>3</v>
      </c>
      <c r="E25" s="26" t="s">
        <v>809</v>
      </c>
      <c r="F25" s="47" t="s">
        <v>814</v>
      </c>
      <c r="G25" s="26">
        <v>1372839</v>
      </c>
      <c r="H25" s="26" t="s">
        <v>769</v>
      </c>
      <c r="I25" s="24" t="s">
        <v>197</v>
      </c>
      <c r="J25" s="54">
        <v>99180</v>
      </c>
      <c r="K25" s="24" t="s">
        <v>869</v>
      </c>
      <c r="L25" s="27" t="s">
        <v>76</v>
      </c>
      <c r="M25" s="27" t="s">
        <v>799</v>
      </c>
      <c r="N25" s="26" t="s">
        <v>833</v>
      </c>
      <c r="O25" s="23" t="s">
        <v>88</v>
      </c>
      <c r="P25" s="24"/>
      <c r="Q25" s="24"/>
      <c r="R25" s="24">
        <v>54</v>
      </c>
      <c r="S25" s="24">
        <f t="shared" si="3"/>
        <v>54</v>
      </c>
      <c r="T25" s="24"/>
      <c r="U25" s="24">
        <f>ROUNDDOWN(S25/HLOOKUP(D25,Table!$C$3:$D$4,2,0)*8,2)</f>
        <v>0.96</v>
      </c>
      <c r="V25" s="24"/>
      <c r="W25" s="24"/>
      <c r="X25" s="28">
        <v>43922</v>
      </c>
      <c r="Y25" s="28">
        <v>43929</v>
      </c>
      <c r="Z25" s="28"/>
      <c r="AA25" s="28"/>
      <c r="AB25" s="31"/>
      <c r="AC25" s="32"/>
      <c r="AD25" s="32"/>
      <c r="AE25" s="32"/>
      <c r="AF25" s="32"/>
      <c r="AG25" s="27" t="s">
        <v>76</v>
      </c>
      <c r="AH25" s="27" t="s">
        <v>76</v>
      </c>
    </row>
    <row r="26" spans="1:34" x14ac:dyDescent="0.25">
      <c r="B26" s="138">
        <f t="shared" si="0"/>
        <v>24</v>
      </c>
      <c r="C26" s="26">
        <v>20200331</v>
      </c>
      <c r="D26" s="32" t="s">
        <v>3</v>
      </c>
      <c r="E26" s="26" t="s">
        <v>809</v>
      </c>
      <c r="F26" s="47" t="s">
        <v>814</v>
      </c>
      <c r="G26" s="26">
        <v>1372839</v>
      </c>
      <c r="H26" s="26" t="s">
        <v>770</v>
      </c>
      <c r="I26" s="24" t="s">
        <v>197</v>
      </c>
      <c r="J26" s="54">
        <v>99180</v>
      </c>
      <c r="K26" s="24" t="s">
        <v>869</v>
      </c>
      <c r="L26" s="27" t="s">
        <v>76</v>
      </c>
      <c r="M26" s="27" t="s">
        <v>799</v>
      </c>
      <c r="N26" s="26" t="s">
        <v>834</v>
      </c>
      <c r="O26" s="24" t="s">
        <v>88</v>
      </c>
      <c r="P26" s="24"/>
      <c r="Q26" s="24"/>
      <c r="R26" s="24">
        <v>130</v>
      </c>
      <c r="S26" s="24">
        <f t="shared" si="3"/>
        <v>130</v>
      </c>
      <c r="T26" s="24"/>
      <c r="U26" s="24">
        <f>ROUNDDOWN(S26/HLOOKUP(D26,Table!$C$3:$D$4,2,0)*8,2)</f>
        <v>2.31</v>
      </c>
      <c r="V26" s="24"/>
      <c r="W26" s="24"/>
      <c r="X26" s="28">
        <v>43922</v>
      </c>
      <c r="Y26" s="28">
        <v>43929</v>
      </c>
      <c r="Z26" s="28"/>
      <c r="AA26" s="28"/>
      <c r="AB26" s="31"/>
      <c r="AC26" s="32"/>
      <c r="AD26" s="32"/>
      <c r="AE26" s="32"/>
      <c r="AF26" s="32"/>
      <c r="AG26" s="27" t="s">
        <v>76</v>
      </c>
      <c r="AH26" s="27" t="s">
        <v>76</v>
      </c>
    </row>
    <row r="27" spans="1:34" x14ac:dyDescent="0.25">
      <c r="B27" s="138">
        <f t="shared" si="0"/>
        <v>25</v>
      </c>
      <c r="C27" s="26">
        <v>20200331</v>
      </c>
      <c r="D27" s="32" t="s">
        <v>3</v>
      </c>
      <c r="E27" s="26" t="s">
        <v>809</v>
      </c>
      <c r="F27" s="47" t="s">
        <v>814</v>
      </c>
      <c r="G27" s="26">
        <v>1372839</v>
      </c>
      <c r="H27" s="26" t="s">
        <v>113</v>
      </c>
      <c r="I27" s="24" t="s">
        <v>197</v>
      </c>
      <c r="J27" s="54">
        <v>99180</v>
      </c>
      <c r="K27" s="24" t="s">
        <v>869</v>
      </c>
      <c r="L27" s="27" t="s">
        <v>76</v>
      </c>
      <c r="M27" s="27" t="s">
        <v>799</v>
      </c>
      <c r="N27" s="26" t="s">
        <v>835</v>
      </c>
      <c r="O27" s="24" t="s">
        <v>85</v>
      </c>
      <c r="P27" s="24"/>
      <c r="Q27" s="24"/>
      <c r="R27" s="24">
        <v>77</v>
      </c>
      <c r="S27" s="24">
        <f t="shared" si="3"/>
        <v>77</v>
      </c>
      <c r="T27" s="24"/>
      <c r="U27" s="24">
        <f>ROUNDDOWN(S27/HLOOKUP(D27,Table!$C$3:$D$4,2,0)*8,2)</f>
        <v>1.36</v>
      </c>
      <c r="V27" s="24"/>
      <c r="W27" s="24"/>
      <c r="X27" s="28">
        <v>43922</v>
      </c>
      <c r="Y27" s="28">
        <v>43929</v>
      </c>
      <c r="Z27" s="28"/>
      <c r="AA27" s="28"/>
      <c r="AB27" s="31"/>
      <c r="AC27" s="32"/>
      <c r="AD27" s="32"/>
      <c r="AE27" s="32"/>
      <c r="AF27" s="32"/>
      <c r="AG27" s="27" t="s">
        <v>76</v>
      </c>
      <c r="AH27" s="27" t="s">
        <v>76</v>
      </c>
    </row>
    <row r="28" spans="1:34" x14ac:dyDescent="0.25">
      <c r="B28" s="138">
        <f t="shared" si="0"/>
        <v>26</v>
      </c>
      <c r="C28" s="26">
        <v>20200331</v>
      </c>
      <c r="D28" s="32" t="s">
        <v>3</v>
      </c>
      <c r="E28" s="26" t="s">
        <v>809</v>
      </c>
      <c r="F28" s="47" t="s">
        <v>814</v>
      </c>
      <c r="G28" s="26">
        <v>1372839</v>
      </c>
      <c r="H28" s="26" t="s">
        <v>115</v>
      </c>
      <c r="I28" s="24" t="s">
        <v>197</v>
      </c>
      <c r="J28" s="54">
        <v>99180</v>
      </c>
      <c r="K28" s="24" t="s">
        <v>869</v>
      </c>
      <c r="L28" s="27" t="s">
        <v>76</v>
      </c>
      <c r="M28" s="27" t="s">
        <v>799</v>
      </c>
      <c r="N28" s="26" t="s">
        <v>836</v>
      </c>
      <c r="O28" s="24" t="s">
        <v>87</v>
      </c>
      <c r="P28" s="24"/>
      <c r="Q28" s="24"/>
      <c r="R28" s="24">
        <v>200</v>
      </c>
      <c r="S28" s="24">
        <f t="shared" si="3"/>
        <v>200</v>
      </c>
      <c r="T28" s="24">
        <v>200</v>
      </c>
      <c r="U28" s="24">
        <f>ROUNDDOWN(S28/HLOOKUP(D28,Table!$C$3:$D$4,2,0)*8,2)</f>
        <v>3.55</v>
      </c>
      <c r="V28" s="24">
        <v>1</v>
      </c>
      <c r="W28" s="24" t="s">
        <v>18</v>
      </c>
      <c r="X28" s="28">
        <v>43922</v>
      </c>
      <c r="Y28" s="28">
        <v>43929</v>
      </c>
      <c r="Z28" s="28">
        <v>43922</v>
      </c>
      <c r="AA28" s="28">
        <v>43922</v>
      </c>
      <c r="AB28" s="32" t="s">
        <v>161</v>
      </c>
      <c r="AC28" s="32">
        <v>100</v>
      </c>
      <c r="AD28" s="32">
        <v>100</v>
      </c>
      <c r="AE28" s="32">
        <v>100</v>
      </c>
      <c r="AF28" s="32" t="s">
        <v>20</v>
      </c>
      <c r="AG28" s="27" t="s">
        <v>76</v>
      </c>
      <c r="AH28" s="27" t="s">
        <v>76</v>
      </c>
    </row>
    <row r="29" spans="1:34" x14ac:dyDescent="0.25">
      <c r="B29" s="138">
        <f t="shared" si="0"/>
        <v>27</v>
      </c>
      <c r="C29" s="26">
        <v>20200331</v>
      </c>
      <c r="D29" s="32" t="s">
        <v>3</v>
      </c>
      <c r="E29" s="26" t="s">
        <v>809</v>
      </c>
      <c r="F29" s="47" t="s">
        <v>814</v>
      </c>
      <c r="G29" s="26">
        <v>1372839</v>
      </c>
      <c r="H29" s="26" t="s">
        <v>771</v>
      </c>
      <c r="I29" s="24" t="s">
        <v>197</v>
      </c>
      <c r="J29" s="54">
        <v>99180</v>
      </c>
      <c r="K29" s="24" t="s">
        <v>869</v>
      </c>
      <c r="L29" s="27" t="s">
        <v>76</v>
      </c>
      <c r="M29" s="27" t="s">
        <v>799</v>
      </c>
      <c r="N29" s="26" t="s">
        <v>837</v>
      </c>
      <c r="O29" s="24" t="s">
        <v>88</v>
      </c>
      <c r="P29" s="24"/>
      <c r="Q29" s="24"/>
      <c r="R29" s="24">
        <v>199</v>
      </c>
      <c r="S29" s="24">
        <f t="shared" si="3"/>
        <v>199</v>
      </c>
      <c r="T29" s="24"/>
      <c r="U29" s="24">
        <f>ROUNDDOWN(S29/HLOOKUP(D29,Table!$C$3:$D$4,2,0)*8,2)</f>
        <v>3.53</v>
      </c>
      <c r="V29" s="24"/>
      <c r="W29" s="24"/>
      <c r="X29" s="28">
        <v>43922</v>
      </c>
      <c r="Y29" s="28">
        <v>43929</v>
      </c>
      <c r="Z29" s="28"/>
      <c r="AA29" s="28"/>
      <c r="AB29" s="31"/>
      <c r="AC29" s="32"/>
      <c r="AD29" s="32"/>
      <c r="AE29" s="32"/>
      <c r="AF29" s="32"/>
      <c r="AG29" s="27" t="s">
        <v>76</v>
      </c>
      <c r="AH29" s="27" t="s">
        <v>76</v>
      </c>
    </row>
    <row r="30" spans="1:34" x14ac:dyDescent="0.25">
      <c r="B30" s="138">
        <f t="shared" si="0"/>
        <v>28</v>
      </c>
      <c r="C30" s="26">
        <v>20200331</v>
      </c>
      <c r="D30" s="32" t="s">
        <v>3</v>
      </c>
      <c r="E30" s="26" t="s">
        <v>809</v>
      </c>
      <c r="F30" s="47" t="s">
        <v>814</v>
      </c>
      <c r="G30" s="26">
        <v>1372839</v>
      </c>
      <c r="H30" s="26" t="s">
        <v>772</v>
      </c>
      <c r="I30" s="24" t="s">
        <v>197</v>
      </c>
      <c r="J30" s="54">
        <v>99180</v>
      </c>
      <c r="K30" s="24" t="s">
        <v>869</v>
      </c>
      <c r="L30" s="27" t="s">
        <v>76</v>
      </c>
      <c r="M30" s="27" t="s">
        <v>799</v>
      </c>
      <c r="N30" s="26" t="s">
        <v>838</v>
      </c>
      <c r="O30" s="24" t="s">
        <v>88</v>
      </c>
      <c r="P30" s="24"/>
      <c r="Q30" s="24"/>
      <c r="R30" s="24">
        <v>6</v>
      </c>
      <c r="S30" s="24">
        <f t="shared" si="3"/>
        <v>6</v>
      </c>
      <c r="T30" s="24"/>
      <c r="U30" s="24">
        <f>ROUNDDOWN(S30/HLOOKUP(D30,Table!$C$3:$D$4,2,0)*8,2)</f>
        <v>0.1</v>
      </c>
      <c r="V30" s="24"/>
      <c r="W30" s="24"/>
      <c r="X30" s="28">
        <v>43922</v>
      </c>
      <c r="Y30" s="28">
        <v>43929</v>
      </c>
      <c r="Z30" s="28"/>
      <c r="AA30" s="28"/>
      <c r="AB30" s="31"/>
      <c r="AC30" s="32"/>
      <c r="AD30" s="32"/>
      <c r="AE30" s="32"/>
      <c r="AF30" s="32"/>
      <c r="AG30" s="27" t="s">
        <v>76</v>
      </c>
      <c r="AH30" s="27" t="s">
        <v>76</v>
      </c>
    </row>
    <row r="31" spans="1:34" x14ac:dyDescent="0.25">
      <c r="B31" s="138">
        <f t="shared" si="0"/>
        <v>29</v>
      </c>
      <c r="C31" s="26">
        <v>20200331</v>
      </c>
      <c r="D31" s="32" t="s">
        <v>3</v>
      </c>
      <c r="E31" s="26" t="s">
        <v>809</v>
      </c>
      <c r="F31" s="47" t="s">
        <v>814</v>
      </c>
      <c r="G31" s="26">
        <v>1372753</v>
      </c>
      <c r="H31" s="26" t="s">
        <v>393</v>
      </c>
      <c r="I31" s="24" t="s">
        <v>197</v>
      </c>
      <c r="J31" s="54">
        <v>99181</v>
      </c>
      <c r="K31" s="24" t="s">
        <v>869</v>
      </c>
      <c r="L31" s="27" t="s">
        <v>76</v>
      </c>
      <c r="M31" s="27" t="s">
        <v>799</v>
      </c>
      <c r="N31" s="26" t="s">
        <v>839</v>
      </c>
      <c r="O31" s="24" t="s">
        <v>88</v>
      </c>
      <c r="P31" s="24"/>
      <c r="Q31" s="24"/>
      <c r="R31" s="24">
        <v>84</v>
      </c>
      <c r="S31" s="24">
        <f t="shared" si="3"/>
        <v>84</v>
      </c>
      <c r="T31" s="24"/>
      <c r="U31" s="24">
        <f>ROUNDDOWN(S31/HLOOKUP(D31,Table!$C$3:$D$4,2,0)*8,2)</f>
        <v>1.49</v>
      </c>
      <c r="V31" s="24"/>
      <c r="W31" s="24"/>
      <c r="X31" s="28">
        <v>43922</v>
      </c>
      <c r="Y31" s="28">
        <v>43929</v>
      </c>
      <c r="Z31" s="28"/>
      <c r="AA31" s="28"/>
      <c r="AB31" s="31"/>
      <c r="AC31" s="32"/>
      <c r="AD31" s="32"/>
      <c r="AE31" s="32"/>
      <c r="AF31" s="32"/>
      <c r="AG31" s="27" t="s">
        <v>76</v>
      </c>
      <c r="AH31" s="27" t="s">
        <v>76</v>
      </c>
    </row>
    <row r="32" spans="1:34" x14ac:dyDescent="0.25">
      <c r="B32" s="138">
        <f t="shared" si="0"/>
        <v>30</v>
      </c>
      <c r="C32" s="26">
        <v>20200331</v>
      </c>
      <c r="D32" s="32" t="s">
        <v>3</v>
      </c>
      <c r="E32" s="26" t="s">
        <v>809</v>
      </c>
      <c r="F32" s="47" t="s">
        <v>814</v>
      </c>
      <c r="G32" s="26">
        <v>1372753</v>
      </c>
      <c r="H32" s="26" t="s">
        <v>280</v>
      </c>
      <c r="I32" s="24" t="s">
        <v>197</v>
      </c>
      <c r="J32" s="54">
        <v>99181</v>
      </c>
      <c r="K32" s="24" t="s">
        <v>869</v>
      </c>
      <c r="L32" s="27" t="s">
        <v>76</v>
      </c>
      <c r="M32" s="27" t="s">
        <v>799</v>
      </c>
      <c r="N32" s="26" t="s">
        <v>840</v>
      </c>
      <c r="O32" s="24" t="s">
        <v>85</v>
      </c>
      <c r="P32" s="24"/>
      <c r="Q32" s="24"/>
      <c r="R32" s="24">
        <v>259</v>
      </c>
      <c r="S32" s="24">
        <f t="shared" si="3"/>
        <v>259</v>
      </c>
      <c r="T32" s="24"/>
      <c r="U32" s="24">
        <f>ROUNDDOWN(S32/HLOOKUP(D32,Table!$C$3:$D$4,2,0)*8,2)</f>
        <v>4.5999999999999996</v>
      </c>
      <c r="V32" s="24"/>
      <c r="W32" s="24"/>
      <c r="X32" s="28">
        <v>43922</v>
      </c>
      <c r="Y32" s="28">
        <v>43929</v>
      </c>
      <c r="Z32" s="28"/>
      <c r="AA32" s="28"/>
      <c r="AB32" s="31"/>
      <c r="AC32" s="32"/>
      <c r="AD32" s="32"/>
      <c r="AE32" s="32"/>
      <c r="AF32" s="32"/>
      <c r="AG32" s="27" t="s">
        <v>76</v>
      </c>
      <c r="AH32" s="27" t="s">
        <v>76</v>
      </c>
    </row>
    <row r="33" spans="2:34" x14ac:dyDescent="0.25">
      <c r="B33" s="138">
        <f t="shared" si="0"/>
        <v>31</v>
      </c>
      <c r="C33" s="26">
        <v>20200331</v>
      </c>
      <c r="D33" s="32" t="s">
        <v>3</v>
      </c>
      <c r="E33" s="26" t="s">
        <v>810</v>
      </c>
      <c r="F33" s="47" t="s">
        <v>815</v>
      </c>
      <c r="G33" s="26">
        <v>1398196</v>
      </c>
      <c r="H33" s="26" t="s">
        <v>651</v>
      </c>
      <c r="I33" s="24" t="s">
        <v>196</v>
      </c>
      <c r="J33" s="54" t="s">
        <v>858</v>
      </c>
      <c r="K33" s="24" t="s">
        <v>870</v>
      </c>
      <c r="L33" s="27" t="s">
        <v>76</v>
      </c>
      <c r="M33" s="27" t="s">
        <v>876</v>
      </c>
      <c r="N33" s="26" t="s">
        <v>841</v>
      </c>
      <c r="O33" s="24" t="s">
        <v>88</v>
      </c>
      <c r="P33" s="24"/>
      <c r="Q33" s="24"/>
      <c r="R33" s="24">
        <v>155</v>
      </c>
      <c r="S33" s="24">
        <f t="shared" si="3"/>
        <v>155</v>
      </c>
      <c r="T33" s="24"/>
      <c r="U33" s="24">
        <f>ROUNDDOWN(S33/HLOOKUP(D33,Table!$C$3:$D$4,2,0)*8,2)</f>
        <v>2.75</v>
      </c>
      <c r="V33" s="24"/>
      <c r="W33" s="24"/>
      <c r="X33" s="28">
        <v>43922</v>
      </c>
      <c r="Y33" s="28">
        <v>43929</v>
      </c>
      <c r="Z33" s="28"/>
      <c r="AA33" s="28"/>
      <c r="AB33" s="31"/>
      <c r="AC33" s="32"/>
      <c r="AD33" s="32"/>
      <c r="AE33" s="32"/>
      <c r="AF33" s="32"/>
      <c r="AG33" s="27" t="s">
        <v>76</v>
      </c>
      <c r="AH33" s="27" t="s">
        <v>76</v>
      </c>
    </row>
    <row r="34" spans="2:34" x14ac:dyDescent="0.25">
      <c r="B34" s="138">
        <f t="shared" si="0"/>
        <v>32</v>
      </c>
      <c r="C34" s="26">
        <v>20200331</v>
      </c>
      <c r="D34" s="32" t="s">
        <v>3</v>
      </c>
      <c r="E34" s="26" t="s">
        <v>810</v>
      </c>
      <c r="F34" s="47" t="s">
        <v>816</v>
      </c>
      <c r="G34" s="26">
        <v>1398196</v>
      </c>
      <c r="H34" s="26" t="s">
        <v>275</v>
      </c>
      <c r="I34" s="24" t="s">
        <v>196</v>
      </c>
      <c r="J34" s="54" t="s">
        <v>859</v>
      </c>
      <c r="K34" s="24" t="s">
        <v>870</v>
      </c>
      <c r="L34" s="27" t="s">
        <v>76</v>
      </c>
      <c r="M34" s="27" t="s">
        <v>876</v>
      </c>
      <c r="N34" s="26" t="s">
        <v>842</v>
      </c>
      <c r="O34" s="24" t="s">
        <v>88</v>
      </c>
      <c r="P34" s="24"/>
      <c r="Q34" s="24"/>
      <c r="R34" s="24">
        <v>21</v>
      </c>
      <c r="S34" s="24">
        <f t="shared" si="3"/>
        <v>21</v>
      </c>
      <c r="T34" s="24"/>
      <c r="U34" s="24">
        <f>ROUNDDOWN(S34/HLOOKUP(D34,Table!$C$3:$D$4,2,0)*8,2)</f>
        <v>0.37</v>
      </c>
      <c r="V34" s="24"/>
      <c r="W34" s="24"/>
      <c r="X34" s="28">
        <v>43922</v>
      </c>
      <c r="Y34" s="28">
        <v>43929</v>
      </c>
      <c r="Z34" s="28"/>
      <c r="AA34" s="28"/>
      <c r="AB34" s="31"/>
      <c r="AC34" s="32"/>
      <c r="AD34" s="32"/>
      <c r="AE34" s="32"/>
      <c r="AF34" s="32"/>
      <c r="AG34" s="27" t="s">
        <v>76</v>
      </c>
      <c r="AH34" s="27" t="s">
        <v>76</v>
      </c>
    </row>
    <row r="35" spans="2:34" x14ac:dyDescent="0.25">
      <c r="B35" s="138">
        <f t="shared" si="0"/>
        <v>33</v>
      </c>
      <c r="C35" s="26">
        <v>20200331</v>
      </c>
      <c r="D35" s="32" t="s">
        <v>3</v>
      </c>
      <c r="E35" s="26" t="s">
        <v>810</v>
      </c>
      <c r="F35" s="47" t="s">
        <v>817</v>
      </c>
      <c r="G35" s="26">
        <v>1398196</v>
      </c>
      <c r="H35" s="26" t="s">
        <v>232</v>
      </c>
      <c r="I35" s="24" t="s">
        <v>196</v>
      </c>
      <c r="J35" s="54" t="s">
        <v>860</v>
      </c>
      <c r="K35" s="24" t="s">
        <v>870</v>
      </c>
      <c r="L35" s="27" t="s">
        <v>76</v>
      </c>
      <c r="M35" s="27" t="s">
        <v>876</v>
      </c>
      <c r="N35" s="26" t="s">
        <v>843</v>
      </c>
      <c r="O35" s="24" t="s">
        <v>88</v>
      </c>
      <c r="P35" s="24"/>
      <c r="Q35" s="24"/>
      <c r="R35" s="24">
        <v>165</v>
      </c>
      <c r="S35" s="24">
        <f t="shared" si="3"/>
        <v>165</v>
      </c>
      <c r="T35" s="24"/>
      <c r="U35" s="24">
        <f>ROUNDDOWN(S35/HLOOKUP(D35,Table!$C$3:$D$4,2,0)*8,2)</f>
        <v>2.93</v>
      </c>
      <c r="V35" s="24"/>
      <c r="W35" s="24"/>
      <c r="X35" s="28">
        <v>43922</v>
      </c>
      <c r="Y35" s="28">
        <v>43929</v>
      </c>
      <c r="Z35" s="28"/>
      <c r="AA35" s="28"/>
      <c r="AB35" s="31"/>
      <c r="AC35" s="32"/>
      <c r="AD35" s="32"/>
      <c r="AE35" s="32"/>
      <c r="AF35" s="32"/>
      <c r="AG35" s="27" t="s">
        <v>76</v>
      </c>
      <c r="AH35" s="27" t="s">
        <v>76</v>
      </c>
    </row>
    <row r="36" spans="2:34" x14ac:dyDescent="0.25">
      <c r="B36" s="138">
        <f t="shared" si="0"/>
        <v>34</v>
      </c>
      <c r="C36" s="26">
        <v>20200331</v>
      </c>
      <c r="D36" s="32" t="s">
        <v>3</v>
      </c>
      <c r="E36" s="26" t="s">
        <v>810</v>
      </c>
      <c r="F36" s="47" t="s">
        <v>818</v>
      </c>
      <c r="G36" s="26">
        <v>1398196</v>
      </c>
      <c r="H36" s="26" t="s">
        <v>279</v>
      </c>
      <c r="I36" s="24" t="s">
        <v>196</v>
      </c>
      <c r="J36" s="54" t="s">
        <v>861</v>
      </c>
      <c r="K36" s="24" t="s">
        <v>870</v>
      </c>
      <c r="L36" s="27" t="s">
        <v>76</v>
      </c>
      <c r="M36" s="27" t="s">
        <v>876</v>
      </c>
      <c r="N36" s="26" t="s">
        <v>844</v>
      </c>
      <c r="O36" s="24" t="s">
        <v>85</v>
      </c>
      <c r="P36" s="24"/>
      <c r="Q36" s="24"/>
      <c r="R36" s="24">
        <v>280</v>
      </c>
      <c r="S36" s="24">
        <f t="shared" si="3"/>
        <v>280</v>
      </c>
      <c r="T36" s="24"/>
      <c r="U36" s="24">
        <f>ROUNDDOWN(S36/HLOOKUP(D36,Table!$C$3:$D$4,2,0)*8,2)</f>
        <v>4.97</v>
      </c>
      <c r="V36" s="24"/>
      <c r="W36" s="24"/>
      <c r="X36" s="28">
        <v>43922</v>
      </c>
      <c r="Y36" s="28">
        <v>43929</v>
      </c>
      <c r="Z36" s="28"/>
      <c r="AA36" s="28"/>
      <c r="AB36" s="31"/>
      <c r="AC36" s="32"/>
      <c r="AD36" s="32"/>
      <c r="AE36" s="32"/>
      <c r="AF36" s="32"/>
      <c r="AG36" s="27" t="s">
        <v>76</v>
      </c>
      <c r="AH36" s="27" t="s">
        <v>76</v>
      </c>
    </row>
    <row r="37" spans="2:34" x14ac:dyDescent="0.25">
      <c r="B37" s="138">
        <f t="shared" si="0"/>
        <v>35</v>
      </c>
      <c r="C37" s="26">
        <v>20200331</v>
      </c>
      <c r="D37" s="32" t="s">
        <v>3</v>
      </c>
      <c r="E37" s="26" t="s">
        <v>810</v>
      </c>
      <c r="F37" s="47" t="s">
        <v>819</v>
      </c>
      <c r="G37" s="26">
        <v>1398196</v>
      </c>
      <c r="H37" s="26" t="s">
        <v>663</v>
      </c>
      <c r="I37" s="24" t="s">
        <v>196</v>
      </c>
      <c r="J37" s="54" t="s">
        <v>862</v>
      </c>
      <c r="K37" s="24" t="s">
        <v>870</v>
      </c>
      <c r="L37" s="27" t="s">
        <v>76</v>
      </c>
      <c r="M37" s="27" t="s">
        <v>876</v>
      </c>
      <c r="N37" s="26" t="s">
        <v>845</v>
      </c>
      <c r="O37" s="24" t="s">
        <v>85</v>
      </c>
      <c r="P37" s="24"/>
      <c r="Q37" s="24"/>
      <c r="R37" s="24">
        <v>65</v>
      </c>
      <c r="S37" s="24">
        <f t="shared" si="3"/>
        <v>65</v>
      </c>
      <c r="T37" s="24"/>
      <c r="U37" s="24">
        <f>ROUNDDOWN(S37/HLOOKUP(D37,Table!$C$3:$D$4,2,0)*8,2)</f>
        <v>1.1499999999999999</v>
      </c>
      <c r="V37" s="24"/>
      <c r="W37" s="24"/>
      <c r="X37" s="28">
        <v>43922</v>
      </c>
      <c r="Y37" s="28">
        <v>43929</v>
      </c>
      <c r="Z37" s="28"/>
      <c r="AA37" s="28"/>
      <c r="AB37" s="31"/>
      <c r="AC37" s="32"/>
      <c r="AD37" s="32"/>
      <c r="AE37" s="32"/>
      <c r="AF37" s="32"/>
      <c r="AG37" s="27" t="s">
        <v>76</v>
      </c>
      <c r="AH37" s="27" t="s">
        <v>76</v>
      </c>
    </row>
    <row r="38" spans="2:34" x14ac:dyDescent="0.25">
      <c r="B38" s="138">
        <f t="shared" si="0"/>
        <v>36</v>
      </c>
      <c r="C38" s="26">
        <v>20200331</v>
      </c>
      <c r="D38" s="32" t="s">
        <v>3</v>
      </c>
      <c r="E38" s="26" t="s">
        <v>810</v>
      </c>
      <c r="F38" s="47" t="s">
        <v>820</v>
      </c>
      <c r="G38" s="26">
        <v>1398196</v>
      </c>
      <c r="H38" s="26" t="s">
        <v>663</v>
      </c>
      <c r="I38" s="24" t="s">
        <v>196</v>
      </c>
      <c r="J38" s="54" t="s">
        <v>863</v>
      </c>
      <c r="K38" s="24" t="s">
        <v>870</v>
      </c>
      <c r="L38" s="27" t="s">
        <v>76</v>
      </c>
      <c r="M38" s="27" t="s">
        <v>876</v>
      </c>
      <c r="N38" s="26" t="s">
        <v>846</v>
      </c>
      <c r="O38" s="24" t="s">
        <v>85</v>
      </c>
      <c r="P38" s="24"/>
      <c r="Q38" s="24"/>
      <c r="R38" s="24">
        <v>65</v>
      </c>
      <c r="S38" s="24">
        <f t="shared" si="3"/>
        <v>65</v>
      </c>
      <c r="T38" s="24"/>
      <c r="U38" s="24">
        <f>ROUNDDOWN(S38/HLOOKUP(D38,Table!$C$3:$D$4,2,0)*8,2)</f>
        <v>1.1499999999999999</v>
      </c>
      <c r="V38" s="24"/>
      <c r="W38" s="24"/>
      <c r="X38" s="28">
        <v>43922</v>
      </c>
      <c r="Y38" s="28">
        <v>43929</v>
      </c>
      <c r="Z38" s="28"/>
      <c r="AA38" s="28"/>
      <c r="AB38" s="31"/>
      <c r="AC38" s="32"/>
      <c r="AD38" s="32"/>
      <c r="AE38" s="32"/>
      <c r="AF38" s="32"/>
      <c r="AG38" s="27" t="s">
        <v>76</v>
      </c>
      <c r="AH38" s="27" t="s">
        <v>76</v>
      </c>
    </row>
    <row r="39" spans="2:34" x14ac:dyDescent="0.25">
      <c r="B39" s="138">
        <f t="shared" si="0"/>
        <v>37</v>
      </c>
      <c r="C39" s="26">
        <v>20200331</v>
      </c>
      <c r="D39" s="32" t="s">
        <v>3</v>
      </c>
      <c r="E39" s="26" t="s">
        <v>810</v>
      </c>
      <c r="F39" s="47" t="s">
        <v>821</v>
      </c>
      <c r="G39" s="26">
        <v>1398196</v>
      </c>
      <c r="H39" s="26" t="s">
        <v>663</v>
      </c>
      <c r="I39" s="24" t="s">
        <v>196</v>
      </c>
      <c r="J39" s="54" t="s">
        <v>864</v>
      </c>
      <c r="K39" s="24" t="s">
        <v>870</v>
      </c>
      <c r="L39" s="27" t="s">
        <v>76</v>
      </c>
      <c r="M39" s="27" t="s">
        <v>876</v>
      </c>
      <c r="N39" s="26" t="s">
        <v>847</v>
      </c>
      <c r="O39" s="24" t="s">
        <v>85</v>
      </c>
      <c r="P39" s="24"/>
      <c r="Q39" s="24"/>
      <c r="R39" s="24">
        <v>65</v>
      </c>
      <c r="S39" s="24">
        <f t="shared" si="3"/>
        <v>65</v>
      </c>
      <c r="T39" s="24"/>
      <c r="U39" s="24">
        <f>ROUNDDOWN(S39/HLOOKUP(D39,Table!$C$3:$D$4,2,0)*8,2)</f>
        <v>1.1499999999999999</v>
      </c>
      <c r="V39" s="24"/>
      <c r="W39" s="24"/>
      <c r="X39" s="28">
        <v>43922</v>
      </c>
      <c r="Y39" s="28">
        <v>43929</v>
      </c>
      <c r="Z39" s="28"/>
      <c r="AA39" s="28"/>
      <c r="AB39" s="31"/>
      <c r="AC39" s="32"/>
      <c r="AD39" s="32"/>
      <c r="AE39" s="32"/>
      <c r="AF39" s="32"/>
      <c r="AG39" s="27" t="s">
        <v>76</v>
      </c>
      <c r="AH39" s="27" t="s">
        <v>76</v>
      </c>
    </row>
    <row r="40" spans="2:34" x14ac:dyDescent="0.25">
      <c r="B40" s="138">
        <f t="shared" si="0"/>
        <v>38</v>
      </c>
      <c r="C40" s="26">
        <v>20200331</v>
      </c>
      <c r="D40" s="32" t="s">
        <v>3</v>
      </c>
      <c r="E40" s="26" t="s">
        <v>810</v>
      </c>
      <c r="F40" s="47" t="s">
        <v>819</v>
      </c>
      <c r="G40" s="26">
        <v>1398196</v>
      </c>
      <c r="H40" s="173" t="s">
        <v>394</v>
      </c>
      <c r="I40" s="24" t="s">
        <v>196</v>
      </c>
      <c r="J40" s="54" t="s">
        <v>865</v>
      </c>
      <c r="K40" s="24" t="s">
        <v>870</v>
      </c>
      <c r="L40" s="27" t="s">
        <v>76</v>
      </c>
      <c r="M40" s="27" t="s">
        <v>876</v>
      </c>
      <c r="N40" s="26" t="s">
        <v>848</v>
      </c>
      <c r="O40" s="24" t="s">
        <v>86</v>
      </c>
      <c r="P40" s="24"/>
      <c r="Q40" s="24"/>
      <c r="R40" s="24">
        <v>34</v>
      </c>
      <c r="S40" s="25">
        <f>R40+255-34</f>
        <v>255</v>
      </c>
      <c r="T40" s="24">
        <f>S40</f>
        <v>255</v>
      </c>
      <c r="U40" s="24">
        <f>ROUNDDOWN(S40/HLOOKUP(D40,Table!$C$3:$D$4,2,0)*8,2)</f>
        <v>4.53</v>
      </c>
      <c r="V40" s="24">
        <v>1</v>
      </c>
      <c r="W40" s="24" t="s">
        <v>18</v>
      </c>
      <c r="X40" s="28">
        <v>43922</v>
      </c>
      <c r="Y40" s="28">
        <v>43929</v>
      </c>
      <c r="Z40" s="28">
        <v>43922</v>
      </c>
      <c r="AA40" s="28">
        <v>43922</v>
      </c>
      <c r="AB40" s="171" t="s">
        <v>161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 x14ac:dyDescent="0.25">
      <c r="B41" s="138">
        <f t="shared" si="0"/>
        <v>39</v>
      </c>
      <c r="C41" s="26">
        <v>20200331</v>
      </c>
      <c r="D41" s="32" t="s">
        <v>3</v>
      </c>
      <c r="E41" s="26" t="s">
        <v>810</v>
      </c>
      <c r="F41" s="47" t="s">
        <v>820</v>
      </c>
      <c r="G41" s="26">
        <v>1398196</v>
      </c>
      <c r="H41" s="173" t="s">
        <v>394</v>
      </c>
      <c r="I41" s="24" t="s">
        <v>196</v>
      </c>
      <c r="J41" s="54" t="s">
        <v>866</v>
      </c>
      <c r="K41" s="24" t="s">
        <v>870</v>
      </c>
      <c r="L41" s="27" t="s">
        <v>76</v>
      </c>
      <c r="M41" s="27" t="s">
        <v>876</v>
      </c>
      <c r="N41" s="26" t="s">
        <v>849</v>
      </c>
      <c r="O41" s="24" t="s">
        <v>86</v>
      </c>
      <c r="P41" s="24"/>
      <c r="Q41" s="24"/>
      <c r="R41" s="24">
        <v>34</v>
      </c>
      <c r="S41" s="25">
        <f>R41+176-R41</f>
        <v>176</v>
      </c>
      <c r="T41" s="24">
        <f>S41</f>
        <v>176</v>
      </c>
      <c r="U41" s="24">
        <f>ROUNDDOWN(S41/HLOOKUP(D41,Table!$C$3:$D$4,2,0)*8,2)</f>
        <v>3.12</v>
      </c>
      <c r="V41" s="24">
        <v>1</v>
      </c>
      <c r="W41" s="24" t="s">
        <v>18</v>
      </c>
      <c r="X41" s="28">
        <v>43922</v>
      </c>
      <c r="Y41" s="28">
        <v>43929</v>
      </c>
      <c r="Z41" s="28">
        <v>43922</v>
      </c>
      <c r="AA41" s="28">
        <v>43922</v>
      </c>
      <c r="AB41" s="171" t="s">
        <v>161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 x14ac:dyDescent="0.25">
      <c r="B42" s="138">
        <f t="shared" si="0"/>
        <v>40</v>
      </c>
      <c r="C42" s="26">
        <v>20200331</v>
      </c>
      <c r="D42" s="32" t="s">
        <v>3</v>
      </c>
      <c r="E42" s="26" t="s">
        <v>810</v>
      </c>
      <c r="F42" s="47" t="s">
        <v>821</v>
      </c>
      <c r="G42" s="26">
        <v>1398196</v>
      </c>
      <c r="H42" s="173" t="s">
        <v>394</v>
      </c>
      <c r="I42" s="24" t="s">
        <v>196</v>
      </c>
      <c r="J42" s="54" t="s">
        <v>867</v>
      </c>
      <c r="K42" s="24" t="s">
        <v>870</v>
      </c>
      <c r="L42" s="27" t="s">
        <v>76</v>
      </c>
      <c r="M42" s="27" t="s">
        <v>876</v>
      </c>
      <c r="N42" s="26" t="s">
        <v>850</v>
      </c>
      <c r="O42" s="24" t="s">
        <v>86</v>
      </c>
      <c r="P42" s="24"/>
      <c r="Q42" s="24"/>
      <c r="R42" s="24">
        <v>34</v>
      </c>
      <c r="S42" s="25">
        <f>R42+122-R42</f>
        <v>122</v>
      </c>
      <c r="T42" s="24">
        <f>S42</f>
        <v>122</v>
      </c>
      <c r="U42" s="24">
        <f>ROUNDDOWN(S42/HLOOKUP(D42,Table!$C$3:$D$4,2,0)*8,2)</f>
        <v>2.16</v>
      </c>
      <c r="V42" s="24">
        <v>1</v>
      </c>
      <c r="W42" s="24" t="s">
        <v>18</v>
      </c>
      <c r="X42" s="28">
        <v>43922</v>
      </c>
      <c r="Y42" s="28">
        <v>43929</v>
      </c>
      <c r="Z42" s="28">
        <v>43922</v>
      </c>
      <c r="AA42" s="28">
        <v>43922</v>
      </c>
      <c r="AB42" s="171" t="s">
        <v>161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x14ac:dyDescent="0.25">
      <c r="B43" s="138">
        <f t="shared" si="0"/>
        <v>41</v>
      </c>
      <c r="C43" s="26">
        <v>20200331</v>
      </c>
      <c r="D43" s="32" t="s">
        <v>3</v>
      </c>
      <c r="E43" s="26" t="s">
        <v>810</v>
      </c>
      <c r="F43" s="47" t="s">
        <v>822</v>
      </c>
      <c r="G43" s="26">
        <v>1398196</v>
      </c>
      <c r="H43" s="26" t="s">
        <v>239</v>
      </c>
      <c r="I43" s="24" t="s">
        <v>196</v>
      </c>
      <c r="J43" s="54" t="s">
        <v>868</v>
      </c>
      <c r="K43" s="24" t="s">
        <v>870</v>
      </c>
      <c r="L43" s="27" t="s">
        <v>76</v>
      </c>
      <c r="M43" s="27" t="s">
        <v>876</v>
      </c>
      <c r="N43" s="26" t="s">
        <v>851</v>
      </c>
      <c r="O43" s="24" t="s">
        <v>88</v>
      </c>
      <c r="P43" s="24"/>
      <c r="Q43" s="24"/>
      <c r="R43" s="24">
        <v>220</v>
      </c>
      <c r="S43" s="24">
        <f t="shared" si="3"/>
        <v>220</v>
      </c>
      <c r="T43" s="24"/>
      <c r="U43" s="24">
        <f>ROUNDDOWN(S43/HLOOKUP(D43,Table!$C$3:$D$4,2,0)*8,2)</f>
        <v>3.91</v>
      </c>
      <c r="V43" s="24"/>
      <c r="W43" s="24"/>
      <c r="X43" s="28">
        <v>43922</v>
      </c>
      <c r="Y43" s="28">
        <v>43929</v>
      </c>
      <c r="Z43" s="28"/>
      <c r="AA43" s="28"/>
      <c r="AB43" s="31"/>
      <c r="AC43" s="32"/>
      <c r="AD43" s="32"/>
      <c r="AE43" s="32"/>
      <c r="AF43" s="32"/>
      <c r="AG43" s="27" t="s">
        <v>76</v>
      </c>
      <c r="AH43" s="27" t="s">
        <v>76</v>
      </c>
    </row>
    <row r="44" spans="2:34" x14ac:dyDescent="0.25">
      <c r="B44" s="138">
        <f t="shared" si="0"/>
        <v>42</v>
      </c>
      <c r="C44" s="26">
        <v>20200331</v>
      </c>
      <c r="D44" s="32" t="s">
        <v>3</v>
      </c>
      <c r="E44" s="26" t="s">
        <v>811</v>
      </c>
      <c r="F44" s="47" t="s">
        <v>823</v>
      </c>
      <c r="G44" s="26">
        <v>1397051</v>
      </c>
      <c r="H44" s="26" t="s">
        <v>827</v>
      </c>
      <c r="I44" s="24" t="s">
        <v>196</v>
      </c>
      <c r="J44" s="54">
        <v>99377</v>
      </c>
      <c r="K44" s="24" t="s">
        <v>873</v>
      </c>
      <c r="L44" s="27" t="s">
        <v>76</v>
      </c>
      <c r="M44" s="27" t="s">
        <v>877</v>
      </c>
      <c r="N44" s="26" t="s">
        <v>852</v>
      </c>
      <c r="O44" s="24" t="s">
        <v>87</v>
      </c>
      <c r="P44" s="24"/>
      <c r="Q44" s="24"/>
      <c r="R44" s="24">
        <v>156</v>
      </c>
      <c r="S44" s="25">
        <f>R44+159-156</f>
        <v>159</v>
      </c>
      <c r="T44" s="24">
        <f>S44</f>
        <v>159</v>
      </c>
      <c r="U44" s="24">
        <f>ROUNDDOWN(S44/HLOOKUP(D44,Table!$C$3:$D$4,2,0)*8,2)</f>
        <v>2.82</v>
      </c>
      <c r="V44" s="24">
        <v>1.5</v>
      </c>
      <c r="W44" s="24" t="s">
        <v>18</v>
      </c>
      <c r="X44" s="28">
        <v>43922</v>
      </c>
      <c r="Y44" s="28">
        <v>43929</v>
      </c>
      <c r="Z44" s="28">
        <v>43922</v>
      </c>
      <c r="AA44" s="28">
        <v>43922</v>
      </c>
      <c r="AB44" s="171" t="s">
        <v>161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 x14ac:dyDescent="0.25">
      <c r="B45" s="138">
        <f t="shared" si="0"/>
        <v>43</v>
      </c>
      <c r="C45" s="26">
        <v>20200331</v>
      </c>
      <c r="D45" s="32" t="s">
        <v>3</v>
      </c>
      <c r="E45" s="26" t="s">
        <v>811</v>
      </c>
      <c r="F45" s="47" t="s">
        <v>824</v>
      </c>
      <c r="G45" s="26">
        <v>1397036</v>
      </c>
      <c r="H45" s="26" t="s">
        <v>827</v>
      </c>
      <c r="I45" s="24" t="s">
        <v>196</v>
      </c>
      <c r="J45" s="54">
        <v>99301</v>
      </c>
      <c r="K45" s="24" t="s">
        <v>874</v>
      </c>
      <c r="L45" s="27" t="s">
        <v>76</v>
      </c>
      <c r="M45" s="27" t="s">
        <v>877</v>
      </c>
      <c r="N45" s="26" t="s">
        <v>853</v>
      </c>
      <c r="O45" s="24" t="s">
        <v>87</v>
      </c>
      <c r="P45" s="24"/>
      <c r="Q45" s="24"/>
      <c r="R45" s="24">
        <v>156</v>
      </c>
      <c r="S45" s="25">
        <f>R45+159-156</f>
        <v>159</v>
      </c>
      <c r="T45" s="24">
        <f>S45</f>
        <v>159</v>
      </c>
      <c r="U45" s="24">
        <f>ROUNDDOWN(S45/HLOOKUP(D45,Table!$C$3:$D$4,2,0)*8,2)</f>
        <v>2.82</v>
      </c>
      <c r="V45" s="24">
        <v>1.5</v>
      </c>
      <c r="W45" s="24" t="s">
        <v>18</v>
      </c>
      <c r="X45" s="28">
        <v>43922</v>
      </c>
      <c r="Y45" s="28">
        <v>43929</v>
      </c>
      <c r="Z45" s="28">
        <v>43922</v>
      </c>
      <c r="AA45" s="28">
        <v>43922</v>
      </c>
      <c r="AB45" s="171" t="s">
        <v>161</v>
      </c>
      <c r="AC45" s="32">
        <v>100</v>
      </c>
      <c r="AD45" s="32">
        <v>100</v>
      </c>
      <c r="AE45" s="32">
        <v>100</v>
      </c>
      <c r="AF45" s="32" t="s">
        <v>20</v>
      </c>
      <c r="AG45" s="27" t="s">
        <v>76</v>
      </c>
      <c r="AH45" s="27" t="s">
        <v>76</v>
      </c>
    </row>
    <row r="46" spans="2:34" x14ac:dyDescent="0.25">
      <c r="B46" s="138">
        <f t="shared" si="0"/>
        <v>44</v>
      </c>
      <c r="C46" s="26">
        <v>20200331</v>
      </c>
      <c r="D46" s="32" t="s">
        <v>3</v>
      </c>
      <c r="E46" s="26" t="s">
        <v>812</v>
      </c>
      <c r="F46" s="47" t="s">
        <v>825</v>
      </c>
      <c r="G46" s="26">
        <v>1396341</v>
      </c>
      <c r="H46" s="26" t="s">
        <v>828</v>
      </c>
      <c r="I46" s="24" t="s">
        <v>196</v>
      </c>
      <c r="J46" s="161" t="s">
        <v>76</v>
      </c>
      <c r="K46" s="24" t="s">
        <v>105</v>
      </c>
      <c r="L46" s="27" t="s">
        <v>76</v>
      </c>
      <c r="M46" s="27" t="s">
        <v>878</v>
      </c>
      <c r="N46" s="26" t="s">
        <v>854</v>
      </c>
      <c r="O46" s="24" t="s">
        <v>87</v>
      </c>
      <c r="P46" s="24"/>
      <c r="Q46" s="24"/>
      <c r="R46" s="24">
        <v>46</v>
      </c>
      <c r="S46" s="24">
        <f t="shared" si="3"/>
        <v>46</v>
      </c>
      <c r="T46" s="24">
        <f>S46</f>
        <v>46</v>
      </c>
      <c r="U46" s="24">
        <f>ROUNDDOWN(S46/HLOOKUP(D46,Table!$C$3:$D$4,2,0)*8,2)</f>
        <v>0.81</v>
      </c>
      <c r="V46" s="24">
        <v>0.5</v>
      </c>
      <c r="W46" s="24" t="s">
        <v>18</v>
      </c>
      <c r="X46" s="28">
        <v>43922</v>
      </c>
      <c r="Y46" s="28">
        <v>43929</v>
      </c>
      <c r="Z46" s="28">
        <v>43922</v>
      </c>
      <c r="AA46" s="28">
        <v>43922</v>
      </c>
      <c r="AB46" s="171" t="s">
        <v>161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 x14ac:dyDescent="0.25">
      <c r="B47" s="138">
        <f t="shared" si="0"/>
        <v>45</v>
      </c>
      <c r="C47" s="26">
        <v>20200331</v>
      </c>
      <c r="D47" s="32" t="s">
        <v>3</v>
      </c>
      <c r="E47" s="26" t="s">
        <v>812</v>
      </c>
      <c r="F47" s="47" t="s">
        <v>825</v>
      </c>
      <c r="G47" s="26">
        <v>1396341</v>
      </c>
      <c r="H47" s="26" t="s">
        <v>829</v>
      </c>
      <c r="I47" s="24" t="s">
        <v>196</v>
      </c>
      <c r="J47" s="161" t="s">
        <v>76</v>
      </c>
      <c r="K47" s="24" t="s">
        <v>105</v>
      </c>
      <c r="L47" s="27" t="s">
        <v>76</v>
      </c>
      <c r="M47" s="27" t="s">
        <v>878</v>
      </c>
      <c r="N47" s="26" t="s">
        <v>855</v>
      </c>
      <c r="O47" s="24" t="s">
        <v>87</v>
      </c>
      <c r="P47" s="24"/>
      <c r="Q47" s="24"/>
      <c r="R47" s="24">
        <v>40</v>
      </c>
      <c r="S47" s="24">
        <f t="shared" si="3"/>
        <v>40</v>
      </c>
      <c r="T47" s="24">
        <f>S47</f>
        <v>40</v>
      </c>
      <c r="U47" s="24">
        <f>ROUNDDOWN(S47/HLOOKUP(D47,Table!$C$3:$D$4,2,0)*8,2)</f>
        <v>0.71</v>
      </c>
      <c r="V47" s="24">
        <v>0.5</v>
      </c>
      <c r="W47" s="24" t="s">
        <v>18</v>
      </c>
      <c r="X47" s="28">
        <v>43922</v>
      </c>
      <c r="Y47" s="28">
        <v>43929</v>
      </c>
      <c r="Z47" s="28">
        <v>43922</v>
      </c>
      <c r="AA47" s="28">
        <v>43922</v>
      </c>
      <c r="AB47" s="171" t="s">
        <v>161</v>
      </c>
      <c r="AC47" s="23">
        <v>100</v>
      </c>
      <c r="AD47" s="23">
        <v>100</v>
      </c>
      <c r="AE47" s="23">
        <v>100</v>
      </c>
      <c r="AF47" s="23" t="s">
        <v>20</v>
      </c>
      <c r="AG47" s="27" t="s">
        <v>76</v>
      </c>
      <c r="AH47" s="27" t="s">
        <v>76</v>
      </c>
    </row>
    <row r="48" spans="2:34" x14ac:dyDescent="0.25">
      <c r="B48" s="138">
        <f t="shared" si="0"/>
        <v>46</v>
      </c>
      <c r="C48" s="26">
        <v>20200331</v>
      </c>
      <c r="D48" s="32" t="s">
        <v>3</v>
      </c>
      <c r="E48" s="26" t="s">
        <v>813</v>
      </c>
      <c r="F48" s="47" t="s">
        <v>826</v>
      </c>
      <c r="G48" s="26">
        <v>1395915</v>
      </c>
      <c r="H48" s="26" t="s">
        <v>857</v>
      </c>
      <c r="I48" s="24" t="s">
        <v>196</v>
      </c>
      <c r="J48" s="54">
        <v>81615</v>
      </c>
      <c r="K48" s="24" t="s">
        <v>875</v>
      </c>
      <c r="L48" s="27" t="s">
        <v>76</v>
      </c>
      <c r="M48" s="27" t="s">
        <v>879</v>
      </c>
      <c r="N48" s="26" t="s">
        <v>856</v>
      </c>
      <c r="O48" s="24" t="s">
        <v>87</v>
      </c>
      <c r="P48" s="24"/>
      <c r="Q48" s="24"/>
      <c r="R48" s="24">
        <v>136</v>
      </c>
      <c r="S48" s="24">
        <f t="shared" si="3"/>
        <v>136</v>
      </c>
      <c r="T48" s="24">
        <f>S48</f>
        <v>136</v>
      </c>
      <c r="U48" s="24">
        <f>ROUNDDOWN(S48/HLOOKUP(D48,Table!$C$3:$D$4,2,0)*8,2)</f>
        <v>2.41</v>
      </c>
      <c r="V48" s="24">
        <v>1</v>
      </c>
      <c r="W48" s="24" t="s">
        <v>18</v>
      </c>
      <c r="X48" s="28">
        <v>43922</v>
      </c>
      <c r="Y48" s="28">
        <v>43929</v>
      </c>
      <c r="Z48" s="28">
        <v>43922</v>
      </c>
      <c r="AA48" s="28">
        <v>43922</v>
      </c>
      <c r="AB48" s="171" t="s">
        <v>161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2:34" x14ac:dyDescent="0.25">
      <c r="B49" s="32">
        <v>47</v>
      </c>
      <c r="C49" s="26"/>
      <c r="D49" s="32"/>
      <c r="E49" s="26"/>
      <c r="F49" s="47"/>
      <c r="G49" s="26"/>
      <c r="H49" s="26"/>
      <c r="I49" s="24"/>
      <c r="J49" s="54"/>
      <c r="K49" s="24"/>
      <c r="L49" s="27"/>
      <c r="M49" s="27"/>
      <c r="N49" s="26"/>
      <c r="O49" s="24"/>
      <c r="P49" s="24"/>
      <c r="Q49" s="24"/>
      <c r="R49" s="24"/>
      <c r="S49" s="24"/>
      <c r="T49" s="24"/>
      <c r="U49" s="24"/>
      <c r="V49" s="24"/>
      <c r="W49" s="24"/>
      <c r="X49" s="28"/>
      <c r="Y49" s="28"/>
      <c r="Z49" s="28"/>
      <c r="AA49" s="28"/>
      <c r="AB49" s="31"/>
      <c r="AC49" s="24"/>
      <c r="AD49" s="24"/>
      <c r="AE49" s="24"/>
      <c r="AF49" s="24"/>
      <c r="AG49" s="27" t="s">
        <v>76</v>
      </c>
      <c r="AH49" s="27" t="s">
        <v>76</v>
      </c>
    </row>
    <row r="50" spans="2:34" x14ac:dyDescent="0.25">
      <c r="B50" s="33"/>
      <c r="C50" s="130"/>
      <c r="D50" s="130"/>
      <c r="E50" s="130"/>
      <c r="F50" s="131"/>
      <c r="G50" s="130"/>
      <c r="H50" s="130"/>
      <c r="I50" s="130"/>
      <c r="J50" s="130"/>
      <c r="K50" s="130"/>
      <c r="L50" s="130"/>
      <c r="M50" s="130"/>
      <c r="N50" s="132"/>
      <c r="O50" s="130"/>
      <c r="P50" s="130"/>
      <c r="Q50" s="130"/>
      <c r="R50" s="130"/>
      <c r="S50" s="130"/>
      <c r="T50" s="130"/>
      <c r="U50" s="130"/>
      <c r="V50" s="130"/>
      <c r="W50" s="130"/>
      <c r="X50" s="133"/>
      <c r="Y50" s="133"/>
      <c r="Z50" s="133"/>
      <c r="AA50" s="133"/>
      <c r="AB50" s="133"/>
      <c r="AC50" s="130"/>
      <c r="AD50" s="130"/>
      <c r="AE50" s="130"/>
      <c r="AF50" s="130"/>
      <c r="AG50" s="130"/>
      <c r="AH50" s="130"/>
    </row>
    <row r="51" spans="2:34" x14ac:dyDescent="0.25">
      <c r="B51" s="5"/>
      <c r="C51" s="5"/>
      <c r="D51" s="5"/>
      <c r="E51" s="5"/>
      <c r="F51" s="5"/>
      <c r="G51" s="5"/>
      <c r="H51" s="5"/>
      <c r="I51" s="5"/>
      <c r="J51" s="152"/>
      <c r="K51" s="5"/>
      <c r="L51" s="5"/>
      <c r="M51" s="5"/>
      <c r="N51" s="45"/>
      <c r="O51" s="5"/>
      <c r="P51" s="5"/>
      <c r="S51" s="159"/>
    </row>
    <row r="52" spans="2:34" x14ac:dyDescent="0.25">
      <c r="B52" s="1" t="s">
        <v>56</v>
      </c>
      <c r="S52" s="164"/>
    </row>
    <row r="53" spans="2:34" x14ac:dyDescent="0.25">
      <c r="B53" s="2" t="s">
        <v>0</v>
      </c>
      <c r="C53" s="2" t="s">
        <v>7</v>
      </c>
      <c r="D53" s="2" t="s">
        <v>465</v>
      </c>
      <c r="E53" s="2" t="s">
        <v>58</v>
      </c>
      <c r="F53" s="2" t="s">
        <v>466</v>
      </c>
      <c r="G53" s="2" t="s">
        <v>22</v>
      </c>
      <c r="H53" s="4" t="s">
        <v>24</v>
      </c>
      <c r="L53" s="46"/>
      <c r="N53"/>
    </row>
    <row r="54" spans="2:34" x14ac:dyDescent="0.25">
      <c r="B54" s="3">
        <v>1</v>
      </c>
      <c r="C54" s="40" t="s">
        <v>85</v>
      </c>
      <c r="D54" s="3">
        <f>SUMIFS($S$3:$S$49,$D$3:$D$49,Table!$C$3,$O$3:$O$49,C54)</f>
        <v>61</v>
      </c>
      <c r="E54" s="3">
        <f>SUMIFS($T$3:$T$49,$D$3:$D$49,Table!$C$3,$O$3:$O$49,C54)-SUM(SUMIFS($T$3:$T$49,$D$3:$D$49,Table!$C$3,$O$3:$O$49,C54,$W$3:$W$49,{"Ongoing","N\A",""}))</f>
        <v>61</v>
      </c>
      <c r="F54" s="3">
        <f>1/8*(SUMIFS($V$3:$V$49,$D$3:$D$49,Table!$C$3,$O$3:$O$49,C54)-SUM(SUMIFS($V$3:$V$49,$D$3:$D$49,Table!$C$3,$O$3:$O$49,C54,$W$3:$W$49,{"Ongoing","N/A",""})))</f>
        <v>0.375</v>
      </c>
      <c r="G54" s="3">
        <f>IF(ISERROR(E54/(F54)),"N/A",E54/F54)</f>
        <v>162.66666666666666</v>
      </c>
      <c r="H54" s="6">
        <f>IF(ISERROR(E54/D54),"N/A",E54/D54)</f>
        <v>1</v>
      </c>
      <c r="L54" s="46"/>
      <c r="N54"/>
      <c r="T54" s="164"/>
    </row>
    <row r="55" spans="2:34" x14ac:dyDescent="0.25">
      <c r="B55" s="3">
        <v>2</v>
      </c>
      <c r="C55" s="40" t="s">
        <v>86</v>
      </c>
      <c r="D55" s="3">
        <f>SUMIFS($S$3:$S$49,$D$3:$D$49,Table!$C$3,$O$3:$O$49,C55)</f>
        <v>0</v>
      </c>
      <c r="E55" s="3">
        <f>SUMIFS($T$3:$T$49,$D$3:$D$49,Table!$C$3,$O$3:$O$49,C55)-SUM(SUMIFS($T$3:$T$49,$D$3:$D$49,Table!$C$3,$O$3:$O$49,C55,$W$3:$W$49,{"Ongoing","N/A",""}))</f>
        <v>0</v>
      </c>
      <c r="F55" s="3">
        <f>1/8*(SUMIFS($V$3:$V$49,$D$3:$D$49,Table!$C$3,$O$3:$O$49,C55)-SUM(SUMIFS($V$3:$V$49,$D$3:$D$49,Table!$C$3,$O$3:$O$49,C55,$W$3:$W$49,{"Ongoing","N/A",""})))</f>
        <v>0</v>
      </c>
      <c r="G55" s="3" t="str">
        <f>IF(ISERROR(E55/(F55)),"N/A",E55/F55)</f>
        <v>N/A</v>
      </c>
      <c r="H55" s="6" t="str">
        <f>IF(ISERROR(E55/D55),"N/A",E55/D55)</f>
        <v>N/A</v>
      </c>
      <c r="L55" s="46"/>
      <c r="N55"/>
      <c r="T55" s="5"/>
    </row>
    <row r="56" spans="2:34" x14ac:dyDescent="0.25">
      <c r="B56" s="3">
        <v>3</v>
      </c>
      <c r="C56" s="40" t="s">
        <v>87</v>
      </c>
      <c r="D56" s="3">
        <f>SUMIFS($S$3:$S$49,$D$3:$D$49,Table!$C$3,$O$3:$O$49,C56)</f>
        <v>0</v>
      </c>
      <c r="E56" s="3">
        <f>SUMIFS($T$3:$T$49,$D$3:$D$49,Table!$C$3,$O$3:$O$49,C56)-SUM(SUMIFS($T$3:$T$49,$D$3:$D$49,Table!$C$3,$O$3:$O$49,C56,$W$3:$W$49,{"Ongoing","N/A",""}))</f>
        <v>0</v>
      </c>
      <c r="F56" s="3">
        <f>1/8*(SUMIFS($V$3:$V$49,$D$3:$D$49,Table!$C$3,$O$3:$O$49,C56)-SUM(SUMIFS($V$3:$V$49,$D$3:$D$49,Table!$C$3,$O$3:$O$49,C56,$W$3:$W$49,{"Ongoing","N/A",""})))</f>
        <v>0</v>
      </c>
      <c r="G56" s="3" t="str">
        <f>IF(ISERROR(E56/(F56)),"N/A",E56/F56)</f>
        <v>N/A</v>
      </c>
      <c r="H56" s="6" t="str">
        <f>IF(ISERROR(E56/D56),"N/A",E56/D56)</f>
        <v>N/A</v>
      </c>
      <c r="L56" s="46"/>
      <c r="N56"/>
      <c r="T56" s="164"/>
    </row>
    <row r="57" spans="2:34" x14ac:dyDescent="0.25">
      <c r="B57" s="3">
        <v>4</v>
      </c>
      <c r="C57" s="40" t="s">
        <v>88</v>
      </c>
      <c r="D57" s="3">
        <f>SUMIFS($S$3:$S$49,$D$3:$D$49,Table!$C$3,$O$3:$O$49,C57)</f>
        <v>0</v>
      </c>
      <c r="E57" s="3">
        <f>SUMIFS($T$3:$T$49,$D$3:$D$49,Table!$C$3,$O$3:$O$49,C57)-SUM(SUMIFS($T$3:$T$49,$D$3:$D$49,Table!$C$3,$O$3:$O$49,C57,$W$3:$W$49,{"Ongoing","N/A"}))</f>
        <v>0</v>
      </c>
      <c r="F57" s="3">
        <f>1/8*(SUMIFS($V$3:$V$49,$D$3:$D$49,Table!$C$3,$O$3:$O$49,C57)-SUM(SUMIFS($V$3:$V$49,$D$3:$D$49,Table!$C$3,$O$3:$O$49,C57,$W$3:$W$49,{"Ongoing","N/A",""})))</f>
        <v>0</v>
      </c>
      <c r="G57" s="3" t="str">
        <f>IF(ISERROR(E57/(F57)),"N/A",E57/F57)</f>
        <v>N/A</v>
      </c>
      <c r="H57" s="6" t="str">
        <f>IF(ISERROR(E57/D57),"N/A",E57/D57)</f>
        <v>N/A</v>
      </c>
      <c r="N57"/>
    </row>
    <row r="58" spans="2:34" x14ac:dyDescent="0.25">
      <c r="B58" s="2" t="s">
        <v>322</v>
      </c>
      <c r="C58" s="40"/>
      <c r="D58" s="112">
        <f>SUMIFS($S$3:$S$49,$D$3:$D$49,Table!$C$3)</f>
        <v>61</v>
      </c>
      <c r="E58" s="112">
        <f>SUMIFS($T$3:$T$49,$D$3:$D$49,Table!$C$3)-SUM(SUMIFS($T$3:$T$49,$D$3:$D$49,Table!$C$3,$W$3:$W$49,{"Ongoing","N/A",""}))</f>
        <v>61</v>
      </c>
      <c r="F58" s="112">
        <f>1/8*(SUMIFS($V$3:$V$49,$D$3:$D$49,Table!$C$3)-SUM(SUMIFS($V$3:$V$49,$D$3:$D$49,Table!$C$3,$W$3:$W$49,{"Ongoing","N/A",""})))</f>
        <v>0.375</v>
      </c>
      <c r="G58" s="3">
        <f>IF(ISERROR(E58/(F58)),"N/A",E58/F58)</f>
        <v>162.66666666666666</v>
      </c>
      <c r="H58" s="6">
        <f>IF(ISERROR(E58/D58),"N/A",E58/D58)</f>
        <v>1</v>
      </c>
      <c r="N58"/>
    </row>
    <row r="59" spans="2:34" x14ac:dyDescent="0.25">
      <c r="L59" s="46"/>
      <c r="N59"/>
    </row>
    <row r="60" spans="2:34" x14ac:dyDescent="0.25">
      <c r="L60" s="46"/>
      <c r="N60"/>
    </row>
    <row r="61" spans="2:34" x14ac:dyDescent="0.25">
      <c r="B61" s="1" t="s">
        <v>57</v>
      </c>
      <c r="L61" s="46"/>
      <c r="N61"/>
    </row>
    <row r="62" spans="2:34" x14ac:dyDescent="0.25">
      <c r="B62" s="2" t="s">
        <v>0</v>
      </c>
      <c r="C62" s="2" t="s">
        <v>7</v>
      </c>
      <c r="D62" s="2" t="s">
        <v>465</v>
      </c>
      <c r="E62" s="2" t="s">
        <v>58</v>
      </c>
      <c r="F62" s="2" t="s">
        <v>466</v>
      </c>
      <c r="G62" s="2" t="s">
        <v>22</v>
      </c>
      <c r="H62" s="4" t="s">
        <v>24</v>
      </c>
      <c r="L62" s="46"/>
      <c r="N62"/>
    </row>
    <row r="63" spans="2:34" x14ac:dyDescent="0.25">
      <c r="B63" s="3">
        <v>1</v>
      </c>
      <c r="C63" s="40" t="s">
        <v>85</v>
      </c>
      <c r="D63" s="3">
        <f>SUMIFS($S$3:$S$49,$D$3:$D$49,Table!$D$3,$O$3:$O$49,C63)</f>
        <v>1383</v>
      </c>
      <c r="E63" s="3">
        <f>SUMIFS($S$3:$S$49,$D$3:$D$49,Table!$D$3,$O$3:$O$49,C63)-SUM(SUMIFS($S$3:$S$49,$D$3:$D$49,Table!$D$3,$O$3:$O$49,C63,$W$3:$W$49,{"Ongoing","N/A",""}))</f>
        <v>0</v>
      </c>
      <c r="F63" s="3">
        <f>1/8*(SUMIFS($V$3:$V$49,$D$3:$D$49,Table!$D$3,$O$3:$O$49,C63)-SUM(SUMIFS($V$3:$V$49,$D$3:$D$49,Table!$D$3,$O$3:$O$49,C63,$W$3:$W$49,{"Ongoing","N/A",""})))</f>
        <v>0</v>
      </c>
      <c r="G63" s="3" t="str">
        <f>IF(ISERROR(E63/(F63)),"N/A",E63/F63)</f>
        <v>N/A</v>
      </c>
      <c r="H63" s="6">
        <f>IF(ISERROR(E63/D63),"N/A",E63/D63)</f>
        <v>0</v>
      </c>
      <c r="L63" s="46"/>
      <c r="N63"/>
    </row>
    <row r="64" spans="2:34" x14ac:dyDescent="0.25">
      <c r="B64" s="3">
        <v>2</v>
      </c>
      <c r="C64" s="40" t="s">
        <v>86</v>
      </c>
      <c r="D64" s="3">
        <f>SUMIFS($S$3:$S$49,$D$3:$D$49,Table!$D$3,$O$3:$O$49,C64)</f>
        <v>2068</v>
      </c>
      <c r="E64" s="3">
        <f>SUMIFS($S$3:$S$49,$D$3:$D$49,Table!$D$3,$O$3:$O$49,C64)-SUM(SUMIFS($S$3:$S$49,$D$3:$D$49,Table!$D$3,$O$3:$O$49,C64,$W$3:$W$49,{"Ongoing","N/A",""}))</f>
        <v>2068</v>
      </c>
      <c r="F64" s="3">
        <f>1/8*(SUMIFS($V$3:$V$49,$D$3:$D$49,Table!$D$3,$O$3:$O$49,C64)-SUM(SUMIFS($V$3:$V$49,$D$3:$D$49,Table!$D$3,$O$3:$O$49,C64,$W$3:$W$49,{"Ongoing","N/A",""})))</f>
        <v>2</v>
      </c>
      <c r="G64" s="3">
        <f>IF(ISERROR(E64/(F64)),"N/A",E64/F64)</f>
        <v>1034</v>
      </c>
      <c r="H64" s="6">
        <f>IF(ISERROR(E64/D64),"N/A",E64/D64)</f>
        <v>1</v>
      </c>
    </row>
    <row r="65" spans="2:8" x14ac:dyDescent="0.25">
      <c r="B65" s="3">
        <v>3</v>
      </c>
      <c r="C65" s="40" t="s">
        <v>87</v>
      </c>
      <c r="D65" s="3">
        <f>SUMIFS($S$3:$S$49,$D$3:$D$49,Table!$D$3,$O$3:$O$49,C65)</f>
        <v>1570</v>
      </c>
      <c r="E65" s="3">
        <f>SUMIFS($S$3:$S$49,$D$3:$D$49,Table!$D$3,$O$3:$O$49,C65)-SUM(SUMIFS($S$3:$S$49,$D$3:$D$49,Table!$D$3,$O$3:$O$49,C65,$W$3:$W$49,{"Ongoing","N/A",""}))</f>
        <v>1570</v>
      </c>
      <c r="F65" s="3">
        <f>1/8*(SUMIFS($V$3:$V$49,$D$3:$D$49,Table!$D$3,$O$3:$O$49,C65)-SUM(SUMIFS($V$3:$V$49,$D$3:$D$49,Table!$D$3,$O$3:$O$49,C65,$W$3:$W$49,{"Ongoing","N/A",""})))</f>
        <v>2</v>
      </c>
      <c r="G65" s="3">
        <f>IF(ISERROR(E65/(F65)),"N/A",E65/F65)</f>
        <v>785</v>
      </c>
      <c r="H65" s="6">
        <f>IF(ISERROR(E65/D65),"N/A",E65/D65)</f>
        <v>1</v>
      </c>
    </row>
    <row r="66" spans="2:8" x14ac:dyDescent="0.25">
      <c r="B66" s="3">
        <v>4</v>
      </c>
      <c r="C66" s="40" t="s">
        <v>88</v>
      </c>
      <c r="D66" s="3">
        <f>SUMIFS($S$3:$S$49,$D$3:$D$49,Table!$D$3,$O$3:$O$49,C66)</f>
        <v>1691</v>
      </c>
      <c r="E66" s="3">
        <f>SUMIFS($S$3:$S$49,$D$3:$D$49,Table!$D$3,$O$3:$O$49,C66)-SUM(SUMIFS($S$3:$S$49,$D$3:$D$49,Table!$D$3,$O$3:$O$49,C66,$W$3:$W$49,{"Ongoing","N/A",""}))</f>
        <v>0</v>
      </c>
      <c r="F66" s="3">
        <f>1/8*(SUMIFS($V$3:$V$49,$D$3:$D$49,Table!$D$3,$O$3:$O$49,C66)-SUM(SUMIFS($V$3:$V$49,$D$3:$D$49,Table!$D$3,$O$3:$O$49,C66,$W$3:$W$49,{"Ongoing","N/A",""})))</f>
        <v>0</v>
      </c>
      <c r="G66" s="3" t="str">
        <f>IF(ISERROR(E66/(F66)),"N/A",E66/F66)</f>
        <v>N/A</v>
      </c>
      <c r="H66" s="6">
        <f>IF(ISERROR(E66/D66),"N/A",E66/D66)</f>
        <v>0</v>
      </c>
    </row>
    <row r="67" spans="2:8" x14ac:dyDescent="0.25">
      <c r="B67" s="2" t="s">
        <v>322</v>
      </c>
      <c r="C67" s="40"/>
      <c r="D67" s="112">
        <f>SUMIFS($S$3:$S$49,$D$3:$D$49,Table!$D$3)</f>
        <v>6712</v>
      </c>
      <c r="E67" s="112">
        <f>SUMIFS($T$3:$T$49,$D$3:$D$49,Table!$D$3)-SUM(SUMIFS($T$3:$T$49,$D$3:$D$49,Table!$D$3,$W$3:$W$49,{"Ongoing","N/A",""}))</f>
        <v>3638</v>
      </c>
      <c r="F67" s="112">
        <f>1/8*(SUMIFS($V$3:$V$49,$D$3:$D$49,Table!$D$3)-SUM(SUMIFS($V$3:$V$49,$D$3:$D$49,Table!$D$3,$W$3:$W$49,{"Ongoing","N/A",""})))</f>
        <v>4</v>
      </c>
      <c r="G67" s="3">
        <f>IF(ISERROR(E67/(F67)),"N/A",E67/F67)</f>
        <v>909.5</v>
      </c>
      <c r="H67" s="6">
        <f>IF(ISERROR(E67/D67),"N/A",E67/D67)</f>
        <v>0.54201430274135876</v>
      </c>
    </row>
    <row r="70" spans="2:8" x14ac:dyDescent="0.25">
      <c r="B70" s="1" t="s">
        <v>323</v>
      </c>
    </row>
    <row r="71" spans="2:8" x14ac:dyDescent="0.25">
      <c r="B71" s="2" t="s">
        <v>0</v>
      </c>
      <c r="C71" s="2" t="s">
        <v>7</v>
      </c>
      <c r="D71" s="2" t="s">
        <v>465</v>
      </c>
      <c r="E71" s="2" t="s">
        <v>58</v>
      </c>
      <c r="F71" s="2" t="s">
        <v>466</v>
      </c>
      <c r="G71" s="2" t="s">
        <v>22</v>
      </c>
      <c r="H71" s="4" t="s">
        <v>24</v>
      </c>
    </row>
    <row r="72" spans="2:8" x14ac:dyDescent="0.25">
      <c r="B72" s="3">
        <v>1</v>
      </c>
      <c r="C72" s="40" t="s">
        <v>85</v>
      </c>
      <c r="D72" s="3">
        <f>SUM(D54*Table!$D$4/Table!$C$4,D63)</f>
        <v>1594.1538461538462</v>
      </c>
      <c r="E72" s="3">
        <f>SUM(E54*Table!$D$4/Table!$C$4,E63)</f>
        <v>211.15384615384616</v>
      </c>
      <c r="F72" s="3">
        <f ca="1">IF(OR(Template_Weekly_Report_Apr!E35="-",Template_Weekly_Report_Apr!E35=""),Template_Weekly_Report_Apr!$B$3,Template_Weekly_Report_Apr!$B$3-Template_Weekly_Report_Apr!E35)</f>
        <v>2</v>
      </c>
      <c r="G72" s="3">
        <f ca="1">IF(ISERROR(E72/(F72)),"N/A",E72/F72)</f>
        <v>105.57692307692308</v>
      </c>
      <c r="H72" s="6">
        <f>IF(ISERROR(E72/D72),"N/A",E72/D72)</f>
        <v>0.13245512449334104</v>
      </c>
    </row>
    <row r="73" spans="2:8" x14ac:dyDescent="0.25">
      <c r="B73" s="3">
        <v>2</v>
      </c>
      <c r="C73" s="40" t="s">
        <v>86</v>
      </c>
      <c r="D73" s="3">
        <f>SUM(D55*Table!$D$4/Table!$C$4,D64)</f>
        <v>2068</v>
      </c>
      <c r="E73" s="3">
        <f>SUM(E55*Table!$D$4/Table!$C$4,E64)</f>
        <v>2068</v>
      </c>
      <c r="F73" s="3">
        <f ca="1">IF(OR(Template_Weekly_Report_Apr!E36="-",Template_Weekly_Report_Apr!E36=""),Template_Weekly_Report_Apr!$B$3,Template_Weekly_Report_Apr!$B$3-Template_Weekly_Report_Apr!E36)</f>
        <v>2</v>
      </c>
      <c r="G73" s="3">
        <f ca="1">IF(ISERROR(E73/(F73)),"N/A",E73/F73)</f>
        <v>1034</v>
      </c>
      <c r="H73" s="6">
        <f>IF(ISERROR(E73/D73),"N/A",E73/D73)</f>
        <v>1</v>
      </c>
    </row>
    <row r="74" spans="2:8" x14ac:dyDescent="0.25">
      <c r="B74" s="3">
        <v>3</v>
      </c>
      <c r="C74" s="40" t="s">
        <v>87</v>
      </c>
      <c r="D74" s="3">
        <f>SUM(D56*Table!$D$4/Table!$C$4,D65)</f>
        <v>1570</v>
      </c>
      <c r="E74" s="3">
        <f>SUM(E56*Table!$D$4/Table!$C$4,E65)</f>
        <v>1570</v>
      </c>
      <c r="F74" s="3">
        <f ca="1">IF(OR(Template_Weekly_Report_Apr!E37="-",Template_Weekly_Report_Apr!E37=""),Template_Weekly_Report_Apr!$B$3,Template_Weekly_Report_Apr!$B$3-Template_Weekly_Report_Apr!E37)</f>
        <v>2</v>
      </c>
      <c r="G74" s="3">
        <f ca="1">IF(ISERROR(E74/(F74)),"N/A",E74/F74)</f>
        <v>785</v>
      </c>
      <c r="H74" s="6">
        <f>IF(ISERROR(E74/D74),"N/A",E74/D74)</f>
        <v>1</v>
      </c>
    </row>
    <row r="75" spans="2:8" x14ac:dyDescent="0.25">
      <c r="B75" s="3">
        <v>4</v>
      </c>
      <c r="C75" s="40" t="s">
        <v>88</v>
      </c>
      <c r="D75" s="3">
        <f>SUM(D57*Table!$D$4/Table!$C$4,D66)</f>
        <v>1691</v>
      </c>
      <c r="E75" s="3">
        <f>SUM(E57*Table!$D$4/Table!$C$4,E66)</f>
        <v>0</v>
      </c>
      <c r="F75" s="3">
        <f ca="1">IF(OR(Template_Weekly_Report_Apr!E38="-",Template_Weekly_Report_Apr!E38=""),Template_Weekly_Report_Apr!$B$3,Template_Weekly_Report_Apr!$B$3-Template_Weekly_Report_Apr!E38)</f>
        <v>2</v>
      </c>
      <c r="G75" s="3">
        <f ca="1">IF(ISERROR(E75/(F75)),"N/A",E75/F75)</f>
        <v>0</v>
      </c>
      <c r="H75" s="6">
        <f>IF(ISERROR(E75/D75),"N/A",E75/D75)</f>
        <v>0</v>
      </c>
    </row>
    <row r="76" spans="2:8" x14ac:dyDescent="0.25">
      <c r="B76" s="2" t="s">
        <v>322</v>
      </c>
      <c r="C76" s="40"/>
      <c r="D76" s="3">
        <f>SUM(D72:D75)</f>
        <v>6923.1538461538457</v>
      </c>
      <c r="E76" s="3">
        <f>SUM(E72:E75)</f>
        <v>3849.1538461538462</v>
      </c>
      <c r="F76" s="3">
        <f ca="1">Template_Weekly_Report_Apr!B3*COUNTA(C72:C75)</f>
        <v>8</v>
      </c>
      <c r="G76" s="3">
        <f ca="1">IF(ISERROR(E76/(F76)),"N/A",E76/F76)</f>
        <v>481.14423076923077</v>
      </c>
      <c r="H76" s="6">
        <f t="shared" ref="H76" si="4">IF(ISERROR(E76/D76),"N/A",E76/D76)</f>
        <v>0.55598271130320776</v>
      </c>
    </row>
  </sheetData>
  <customSheetViews>
    <customSheetView guid="{7E0EA425-A420-4443-B9E0-CDF0AA9E5D09}" scale="85" hiddenColumns="1" topLeftCell="A34">
      <selection activeCell="F76" sqref="F76"/>
      <pageMargins left="0.7" right="0.7" top="0.75" bottom="0.75" header="0.3" footer="0.3"/>
      <pageSetup orientation="portrait" r:id="rId1"/>
    </customSheetView>
    <customSheetView guid="{72A6EB0A-84D5-4B8A-AC51-54CCD061630B}" filter="1" showAutoFilter="1" hiddenColumns="1" topLeftCell="N1">
      <selection activeCell="W41" sqref="W41:AF42"/>
      <pageMargins left="0.7" right="0.7" top="0.75" bottom="0.75" header="0.3" footer="0.3"/>
      <pageSetup orientation="portrait" r:id="rId2"/>
      <autoFilter ref="B2:AH49">
        <filterColumn colId="13">
          <filters>
            <filter val="loc.do-phu"/>
          </filters>
        </filterColumn>
      </autoFilter>
    </customSheetView>
    <customSheetView guid="{4E06BDBF-2CED-473B-850B-2A6C7311FF41}" scale="85" hiddenColumns="1" topLeftCell="K37">
      <selection activeCell="Z48" sqref="Z48:AH48"/>
      <pageMargins left="0.7" right="0.7" top="0.75" bottom="0.75" header="0.3" footer="0.3"/>
      <pageSetup orientation="portrait" r:id="rId3"/>
    </customSheetView>
    <customSheetView guid="{60D2C030-4E31-4E07-8E1C-44D2EE84B177}" scale="85" filter="1" showAutoFilter="1" hiddenColumns="1" topLeftCell="H1">
      <selection activeCell="S10" sqref="S10:S13"/>
      <pageMargins left="0.7" right="0.7" top="0.75" bottom="0.75" header="0.3" footer="0.3"/>
      <pageSetup orientation="portrait" r:id="rId4"/>
      <autoFilter ref="B2:AH25">
        <filterColumn colId="13">
          <filters>
            <filter val="loc.do-phu"/>
          </filters>
        </filterColumn>
      </autoFilter>
    </customSheetView>
  </customSheetViews>
  <conditionalFormatting sqref="H63:H66 H54:H58">
    <cfRule type="cellIs" dxfId="148" priority="32" operator="equal">
      <formula>1</formula>
    </cfRule>
    <cfRule type="cellIs" dxfId="147" priority="33" operator="lessThan">
      <formula>1</formula>
    </cfRule>
  </conditionalFormatting>
  <conditionalFormatting sqref="AB3:AB50">
    <cfRule type="cellIs" dxfId="146" priority="30" operator="equal">
      <formula>"OK"</formula>
    </cfRule>
    <cfRule type="cellIs" dxfId="145" priority="31" operator="equal">
      <formula>"NG"</formula>
    </cfRule>
  </conditionalFormatting>
  <conditionalFormatting sqref="L5:L49 M5:M21 L3:M4">
    <cfRule type="cellIs" dxfId="144" priority="29" operator="equal">
      <formula>"PUT_VERSION"</formula>
    </cfRule>
  </conditionalFormatting>
  <conditionalFormatting sqref="E58">
    <cfRule type="expression" dxfId="143" priority="28">
      <formula>$E$58=SUM($E$54:$E$57)</formula>
    </cfRule>
  </conditionalFormatting>
  <conditionalFormatting sqref="F58">
    <cfRule type="expression" dxfId="142" priority="27">
      <formula>$F$58=SUM($F$54:$F$57)</formula>
    </cfRule>
  </conditionalFormatting>
  <conditionalFormatting sqref="D58:F58">
    <cfRule type="expression" dxfId="141" priority="26">
      <formula>D58=SUM(D54:D57)</formula>
    </cfRule>
  </conditionalFormatting>
  <conditionalFormatting sqref="D67:F67">
    <cfRule type="expression" dxfId="140" priority="25">
      <formula>D67=SUM(D63:D66)</formula>
    </cfRule>
  </conditionalFormatting>
  <conditionalFormatting sqref="H76">
    <cfRule type="cellIs" dxfId="139" priority="23" operator="equal">
      <formula>1</formula>
    </cfRule>
    <cfRule type="cellIs" dxfId="138" priority="24" operator="lessThan">
      <formula>1</formula>
    </cfRule>
  </conditionalFormatting>
  <conditionalFormatting sqref="D3:D50">
    <cfRule type="cellIs" dxfId="137" priority="9" operator="equal">
      <formula>"PSW"</formula>
    </cfRule>
    <cfRule type="cellIs" dxfId="136" priority="10" operator="equal">
      <formula>"ASW"</formula>
    </cfRule>
  </conditionalFormatting>
  <conditionalFormatting sqref="I4:I50">
    <cfRule type="cellIs" dxfId="135" priority="7" operator="equal">
      <formula>"Manual"</formula>
    </cfRule>
    <cfRule type="cellIs" dxfId="134" priority="8" operator="equal">
      <formula>"Auto"</formula>
    </cfRule>
  </conditionalFormatting>
  <dataValidations count="2">
    <dataValidation type="list" allowBlank="1" showInputMessage="1" showErrorMessage="1" sqref="Q3:Q50">
      <formula1>"Yes,No"</formula1>
    </dataValidation>
    <dataValidation type="list" allowBlank="1" showInputMessage="1" showErrorMessage="1" sqref="AB3:AB50">
      <formula1>"OK,NG"</formula1>
    </dataValidation>
  </dataValidations>
  <pageMargins left="0.7" right="0.7" top="0.75" bottom="0.75" header="0.3" footer="0.3"/>
  <pageSetup orientation="portrait"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4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5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G54:G58</xm:sqref>
        </x14:conditionalFormatting>
        <x14:conditionalFormatting xmlns:xm="http://schemas.microsoft.com/office/excel/2006/main">
          <x14:cfRule type="cellIs" priority="36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7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G63:G66</xm:sqref>
        </x14:conditionalFormatting>
        <x14:conditionalFormatting xmlns:xm="http://schemas.microsoft.com/office/excel/2006/main">
          <x14:cfRule type="cellIs" priority="21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G72</xm:sqref>
        </x14:conditionalFormatting>
        <x14:conditionalFormatting xmlns:xm="http://schemas.microsoft.com/office/excel/2006/main">
          <x14:cfRule type="cellIs" priority="19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G73</xm:sqref>
        </x14:conditionalFormatting>
        <x14:conditionalFormatting xmlns:xm="http://schemas.microsoft.com/office/excel/2006/main">
          <x14:cfRule type="cellIs" priority="17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G74</xm:sqref>
        </x14:conditionalFormatting>
        <x14:conditionalFormatting xmlns:xm="http://schemas.microsoft.com/office/excel/2006/main">
          <x14:cfRule type="cellIs" priority="15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G75</xm:sqref>
        </x14:conditionalFormatting>
        <x14:conditionalFormatting xmlns:xm="http://schemas.microsoft.com/office/excel/2006/main">
          <x14:cfRule type="cellIs" priority="13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G76</xm:sqref>
        </x14:conditionalFormatting>
        <x14:conditionalFormatting xmlns:xm="http://schemas.microsoft.com/office/excel/2006/main">
          <x14:cfRule type="cellIs" priority="11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G67</xm:sqref>
        </x14:conditionalFormatting>
        <x14:conditionalFormatting xmlns:xm="http://schemas.microsoft.com/office/excel/2006/main">
          <x14:cfRule type="cellIs" priority="1" operator="equal" id="{ABB1B4C4-A2DB-4E81-BBA5-56917CD84F86}">
            <xm:f>Table!$C$40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E3532A23-8EAE-4349-98FC-36AA57B67598}">
            <xm:f>Table!$C$39</xm:f>
            <x14:dxf>
              <fill>
                <patternFill>
                  <bgColor rgb="FFFFFF00"/>
                </patternFill>
              </fill>
            </x14:dxf>
          </x14:cfRule>
          <xm:sqref>AF3:AF49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Table!$C$34:$C$35</xm:f>
          </x14:formula1>
          <xm:sqref>I4:I49</xm:sqref>
        </x14:dataValidation>
        <x14:dataValidation type="list" allowBlank="1" showInputMessage="1" showErrorMessage="1">
          <x14:formula1>
            <xm:f>Table!$C$24:$C$30</xm:f>
          </x14:formula1>
          <xm:sqref>W3:W50</xm:sqref>
        </x14:dataValidation>
        <x14:dataValidation type="list" allowBlank="1" showInputMessage="1" showErrorMessage="1">
          <x14:formula1>
            <xm:f>Table!$C$13:$C$20</xm:f>
          </x14:formula1>
          <xm:sqref>O3:P50</xm:sqref>
        </x14:dataValidation>
        <x14:dataValidation type="list" allowBlank="1" showInputMessage="1" showErrorMessage="1">
          <x14:formula1>
            <xm:f>Table!$C$8:$C$9</xm:f>
          </x14:formula1>
          <xm:sqref>D3:D50</xm:sqref>
        </x14:dataValidation>
        <x14:dataValidation type="list" allowBlank="1" showInputMessage="1" showErrorMessage="1">
          <x14:formula1>
            <xm:f>Table!$C$39:$C$41</xm:f>
          </x14:formula1>
          <xm:sqref>AF3:AF49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G8" sqref="G8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4">
        <v>43921</v>
      </c>
      <c r="D1" s="114">
        <f ca="1">TODAY()</f>
        <v>43922</v>
      </c>
    </row>
    <row r="2" spans="1:7" x14ac:dyDescent="0.25">
      <c r="A2" s="1" t="s">
        <v>30</v>
      </c>
      <c r="B2" s="9">
        <f ca="1">SUM(INT((WEEKDAY(B1-{2,3,4,5,6}) +D1-B1)/7))</f>
        <v>2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</f>
        <v>2</v>
      </c>
    </row>
    <row r="5" spans="1:7" x14ac:dyDescent="0.25">
      <c r="B5" s="1" t="s">
        <v>804</v>
      </c>
    </row>
    <row r="6" spans="1:7" ht="30" x14ac:dyDescent="0.25">
      <c r="C6" s="158" t="s">
        <v>25</v>
      </c>
      <c r="D6" s="158" t="s">
        <v>26</v>
      </c>
      <c r="E6" s="158" t="s">
        <v>27</v>
      </c>
      <c r="F6" s="15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COEM_Package_20200401!D67</f>
        <v>6712</v>
      </c>
      <c r="F7" s="11">
        <f>COEM_Package_20200401!E67</f>
        <v>3638</v>
      </c>
      <c r="G7" s="118">
        <f>F7/E7</f>
        <v>0.54201430274135876</v>
      </c>
    </row>
    <row r="8" spans="1:7" x14ac:dyDescent="0.25">
      <c r="C8" s="10">
        <v>2</v>
      </c>
      <c r="D8" s="11" t="s">
        <v>2</v>
      </c>
      <c r="E8" s="11">
        <f>COEM_Package_20200401!D58</f>
        <v>61</v>
      </c>
      <c r="F8" s="11">
        <f>COEM_Package_20200401!E58</f>
        <v>61</v>
      </c>
      <c r="G8" s="118">
        <f>F8/E8</f>
        <v>1</v>
      </c>
    </row>
    <row r="10" spans="1:7" x14ac:dyDescent="0.25">
      <c r="B10" s="1" t="s">
        <v>807</v>
      </c>
    </row>
    <row r="11" spans="1:7" ht="30" x14ac:dyDescent="0.25">
      <c r="C11" s="158" t="s">
        <v>25</v>
      </c>
      <c r="D11" s="158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COEM_Package_20200401!E63</f>
        <v>0</v>
      </c>
      <c r="F12" s="11">
        <f>COEM_Package_20200401!E54</f>
        <v>61</v>
      </c>
    </row>
    <row r="13" spans="1:7" x14ac:dyDescent="0.25">
      <c r="C13" s="111">
        <v>2</v>
      </c>
      <c r="D13" s="111" t="s">
        <v>468</v>
      </c>
      <c r="E13" s="11">
        <f>COEM_Package_20200401!E64</f>
        <v>2068</v>
      </c>
      <c r="F13" s="11">
        <f>COEM_Package_20200401!E55</f>
        <v>0</v>
      </c>
    </row>
    <row r="14" spans="1:7" x14ac:dyDescent="0.25">
      <c r="C14" s="111">
        <v>3</v>
      </c>
      <c r="D14" s="111" t="s">
        <v>469</v>
      </c>
      <c r="E14" s="11">
        <f>COEM_Package_20200401!E65</f>
        <v>1570</v>
      </c>
      <c r="F14" s="11">
        <f>COEM_Package_20200401!E56</f>
        <v>0</v>
      </c>
    </row>
    <row r="15" spans="1:7" x14ac:dyDescent="0.25">
      <c r="C15" s="111">
        <v>4</v>
      </c>
      <c r="D15" s="111" t="s">
        <v>470</v>
      </c>
      <c r="E15" s="11">
        <f>COEM_Package_20200401!E66</f>
        <v>0</v>
      </c>
      <c r="F15" s="11">
        <f>COEM_Package_20200401!E57</f>
        <v>0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58" t="s">
        <v>25</v>
      </c>
      <c r="D19" s="167" t="s">
        <v>37</v>
      </c>
      <c r="E19" s="168"/>
      <c r="F19" s="168"/>
      <c r="G19" s="169"/>
    </row>
    <row r="20" spans="2:7" x14ac:dyDescent="0.25">
      <c r="C20" s="111">
        <v>1</v>
      </c>
      <c r="D20" s="115" t="s">
        <v>882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805</v>
      </c>
    </row>
    <row r="26" spans="2:7" ht="30" customHeight="1" x14ac:dyDescent="0.25">
      <c r="C26" s="158" t="s">
        <v>25</v>
      </c>
      <c r="D26" s="158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f>COUNTIFS(COEM_Package_20200401!AF3:AF49,Table!C39,COEM_Package_20200401!O3:O49,Table!C17)</f>
        <v>0</v>
      </c>
      <c r="F27" s="11">
        <f>COUNTIFS(COEM_Package_20200401!AF3:AF49,Table!C40,COEM_Package_20200401!O3:O49,Table!C17)</f>
        <v>0</v>
      </c>
    </row>
    <row r="28" spans="2:7" x14ac:dyDescent="0.25">
      <c r="C28" s="111">
        <v>2</v>
      </c>
      <c r="D28" s="111" t="s">
        <v>468</v>
      </c>
      <c r="E28" s="68">
        <f>COUNTIFS(COEM_Package_20200401!AF3:AF49,Table!C39,COEM_Package_20200401!O3:O49,Table!C18)</f>
        <v>1</v>
      </c>
      <c r="F28" s="11">
        <f>COUNTIFS(COEM_Package_20200401!AF3:AF49,Table!C40,COEM_Package_20200401!O3:O49,Table!C18)</f>
        <v>0</v>
      </c>
    </row>
    <row r="29" spans="2:7" x14ac:dyDescent="0.25">
      <c r="C29" s="111">
        <v>3</v>
      </c>
      <c r="D29" s="111" t="s">
        <v>469</v>
      </c>
      <c r="E29" s="11">
        <f>COUNTIFS(COEM_Package_20200401!AF3:AF49,Table!C39,COEM_Package_20200401!O3:O49,Table!C19)</f>
        <v>0</v>
      </c>
      <c r="F29" s="68">
        <f>COUNTIFS(COEM_Package_20200401!AF3:AF49,Table!C40,COEM_Package_20200401!O3:O49,Table!C19)</f>
        <v>0</v>
      </c>
    </row>
    <row r="30" spans="2:7" x14ac:dyDescent="0.25">
      <c r="C30" s="111">
        <v>4</v>
      </c>
      <c r="D30" s="111" t="s">
        <v>470</v>
      </c>
      <c r="E30" s="11">
        <f>COUNTIFS(COEM_Package_20200401!AF3:AF49,Table!C39,COEM_Package_20200401!O3:O49,Table!C20)</f>
        <v>0</v>
      </c>
      <c r="F30" s="11">
        <f>COUNTIFS(COEM_Package_20200401!AF3:AF49,Table!C40,COEM_Package_20200401!O3:O49,Table!C20)</f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806</v>
      </c>
    </row>
    <row r="34" spans="2:6" x14ac:dyDescent="0.25">
      <c r="C34" s="158" t="s">
        <v>25</v>
      </c>
      <c r="D34" s="158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 t="s">
        <v>76</v>
      </c>
      <c r="F36" s="108" t="s">
        <v>76</v>
      </c>
    </row>
    <row r="37" spans="2:6" x14ac:dyDescent="0.25">
      <c r="C37" s="111">
        <v>3</v>
      </c>
      <c r="D37" s="111" t="s">
        <v>469</v>
      </c>
      <c r="E37" s="68" t="s">
        <v>76</v>
      </c>
      <c r="F37" s="108" t="s">
        <v>76</v>
      </c>
    </row>
    <row r="38" spans="2:6" x14ac:dyDescent="0.25">
      <c r="C38" s="111">
        <v>4</v>
      </c>
      <c r="D38" s="111" t="s">
        <v>470</v>
      </c>
      <c r="E38" s="68" t="s">
        <v>76</v>
      </c>
      <c r="F38" s="108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G8" sqref="G8"/>
      <pageMargins left="0.7" right="0.7" top="0.75" bottom="0.75" header="0.3" footer="0.3"/>
    </customSheetView>
    <customSheetView guid="{72A6EB0A-84D5-4B8A-AC51-54CCD061630B}">
      <selection activeCell="B4" sqref="B4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115" priority="3" operator="equal">
      <formula>1</formula>
    </cfRule>
    <cfRule type="cellIs" dxfId="114" priority="4" operator="lessThan">
      <formula>1</formula>
    </cfRule>
  </conditionalFormatting>
  <conditionalFormatting sqref="G8">
    <cfRule type="cellIs" dxfId="113" priority="1" operator="equal">
      <formula>1</formula>
    </cfRule>
    <cfRule type="cellIs" dxfId="112" priority="2" operator="less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156"/>
  <sheetViews>
    <sheetView workbookViewId="0">
      <selection activeCell="L88" sqref="L88"/>
    </sheetView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452</v>
      </c>
      <c r="C3" s="105">
        <f>SUM(G9:G10)</f>
        <v>5.8283760683760688</v>
      </c>
      <c r="D3" t="s">
        <v>453</v>
      </c>
    </row>
    <row r="4" spans="1:9" x14ac:dyDescent="0.25">
      <c r="B4" s="1" t="s">
        <v>460</v>
      </c>
      <c r="C4" s="9"/>
      <c r="F4" s="8"/>
      <c r="G4" s="8"/>
      <c r="H4" s="8"/>
    </row>
    <row r="5" spans="1:9" x14ac:dyDescent="0.25">
      <c r="B5" s="1" t="s">
        <v>461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10" t="s">
        <v>25</v>
      </c>
      <c r="D8" s="110" t="s">
        <v>26</v>
      </c>
      <c r="E8" s="13" t="s">
        <v>454</v>
      </c>
      <c r="F8" s="13" t="s">
        <v>455</v>
      </c>
      <c r="G8" s="13" t="s">
        <v>456</v>
      </c>
      <c r="H8" s="13" t="s">
        <v>457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SUMIFS(COEM_Package_20200302!$S$3:$S$219,COEM_Package_20200302!$D$3:$D$219,Table!$D$3,COEM_Package_20200302!$C$3:$C$219,Report_For_Each_Project!C2)</f>
        <v>2557</v>
      </c>
      <c r="F9" s="11">
        <f>SUMIFS(COEM_Package_20200302!$T$3:$T$219,COEM_Package_20200302!$D$3:$D$219,Table!$D$3,COEM_Package_20200302!$C$3:$C$219,Report_For_Each_Project!C2)-SUM(SUMIFS(COEM_Package_20200302!$T$3:$T$219,COEM_Package_20200302!$D$3:$D$219,Table!$D$3,COEM_Package_20200302!$W$3:$W$219,{"Ongoing","N/A",""},COEM_Package_20200302!$C$3:$C$219,Report_For_Each_Project!C2))</f>
        <v>2557</v>
      </c>
      <c r="G9" s="11">
        <f>E9/Table!$D$4</f>
        <v>5.6822222222222223</v>
      </c>
      <c r="H9" s="11">
        <f>1/8*(SUMIFS(COEM_Package_20200302!$V$3:$V$219,COEM_Package_20200302!$D$3:$D$219,Table!$D$3,COEM_Package_20200302!$C$3:$C$219,Report_For_Each_Project!C2)-SUM(SUMIFS(COEM_Package_20200302!$V$3:$V$219,COEM_Package_20200302!$D$3:$D$219,Table!$D$3,COEM_Package_20200302!$W$3:$W$219,{"Ongoing","N/A",""},COEM_Package_20200302!$C$3:$C$219,Report_For_Each_Project!C2)))</f>
        <v>7.75</v>
      </c>
      <c r="I9" s="118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SUMIFS(COEM_Package_20200302!$S$3:$S$219,COEM_Package_20200302!$D$3:$D$219,Table!$C$3,COEM_Package_20200302!$C$3:$C$219,Report_For_Each_Project!C2)</f>
        <v>19</v>
      </c>
      <c r="F10" s="11">
        <f>SUMIFS(COEM_Package_20200302!$T$3:$T$219,COEM_Package_20200302!$D$3:$D$219,Table!$C$3,COEM_Package_20200302!$C$3:$C$219,Report_For_Each_Project!C2)-SUM(SUMIFS(COEM_Package_20200302!$T$3:$T$219,COEM_Package_20200302!$D$3:$D$219,Table!$C$3,COEM_Package_20200302!$W$3:$W$219,{"Ongoing","N/A",""},COEM_Package_20200302!$C$3:$C$219,Report_For_Each_Project!C2))</f>
        <v>19</v>
      </c>
      <c r="G10" s="11">
        <f>E10/Table!$C$4</f>
        <v>0.14615384615384616</v>
      </c>
      <c r="H10" s="11">
        <f>1/8*(SUMIFS(COEM_Package_20200302!$V$3:$V$219,COEM_Package_20200302!$D$3:$D$219,Table!$C$3,COEM_Package_20200302!$C$3:$C$219,Report_For_Each_Project!C2)-SUM(SUMIFS(COEM_Package_20200302!$V$3:$V$219,COEM_Package_20200302!$D$3:$D$219,Table!$C$3,COEM_Package_20200302!$W$3:$W$219,{"Ongoing","N/A",""},COEM_Package_20200302!$C$3:$C$219,Report_For_Each_Project!C2)))</f>
        <v>0.5</v>
      </c>
      <c r="I10" s="118">
        <f>IF(E10=0,"N/A",F10/E10)</f>
        <v>1</v>
      </c>
    </row>
    <row r="11" spans="1:9" x14ac:dyDescent="0.25">
      <c r="I11" s="119"/>
    </row>
    <row r="12" spans="1:9" x14ac:dyDescent="0.25">
      <c r="C12" t="s">
        <v>462</v>
      </c>
    </row>
    <row r="13" spans="1:9" x14ac:dyDescent="0.25">
      <c r="D13" s="113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452</v>
      </c>
      <c r="C15" s="105">
        <f>SUM(G21:G22)</f>
        <v>17.829059829059826</v>
      </c>
      <c r="D15" t="s">
        <v>453</v>
      </c>
    </row>
    <row r="16" spans="1:9" x14ac:dyDescent="0.25">
      <c r="B16" s="1" t="s">
        <v>460</v>
      </c>
      <c r="C16" s="9"/>
      <c r="F16" s="8"/>
      <c r="G16" s="8"/>
      <c r="H16" s="8"/>
    </row>
    <row r="17" spans="1:9" x14ac:dyDescent="0.25">
      <c r="B17" s="1" t="s">
        <v>461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10" t="s">
        <v>25</v>
      </c>
      <c r="D20" s="110" t="s">
        <v>26</v>
      </c>
      <c r="E20" s="13" t="s">
        <v>454</v>
      </c>
      <c r="F20" s="13" t="s">
        <v>455</v>
      </c>
      <c r="G20" s="13" t="s">
        <v>456</v>
      </c>
      <c r="H20" s="13" t="s">
        <v>457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SUMIFS(COEM_Package_20200302!$S$3:$S$219,COEM_Package_20200302!$D$3:$D$219,Table!$D$3,COEM_Package_20200302!$C$3:$C$219,Report_For_Each_Project!C14)</f>
        <v>7850</v>
      </c>
      <c r="F21" s="11">
        <f>SUMIFS(COEM_Package_20200302!$T$3:$T$219,COEM_Package_20200302!$D$3:$D$219,Table!$D$3,COEM_Package_20200302!$C$3:$C$219,Report_For_Each_Project!C14)-SUM(SUMIFS(COEM_Package_20200302!$T$3:$T$219,COEM_Package_20200302!$D$3:$D$219,Table!$D$3,COEM_Package_20200302!$W$3:$W$219,{"Ongoing","N/A",""},COEM_Package_20200302!$C$3:$C$219,Report_For_Each_Project!C14))</f>
        <v>7806</v>
      </c>
      <c r="G21" s="11">
        <f>E21/Table!$D$4</f>
        <v>17.444444444444443</v>
      </c>
      <c r="H21" s="11">
        <f>1/8*(SUMIFS(COEM_Package_20200302!$V$3:$V$219,COEM_Package_20200302!$D$3:$D$219,Table!$D$3,COEM_Package_20200302!$C$3:$C$219,Report_For_Each_Project!C14)-SUM(SUMIFS(COEM_Package_20200302!$V$3:$V$219,COEM_Package_20200302!$D$3:$D$219,Table!$D$3,COEM_Package_20200302!$W$3:$W$219,{"Ongoing","N/A",""},COEM_Package_20200302!$C$3:$C$219,Report_For_Each_Project!C14)))</f>
        <v>13.743750000000002</v>
      </c>
      <c r="I21" s="118">
        <f>IF(E21=0,"N/A",F21/E21)</f>
        <v>0.99439490445859868</v>
      </c>
    </row>
    <row r="22" spans="1:9" x14ac:dyDescent="0.25">
      <c r="C22" s="10">
        <v>2</v>
      </c>
      <c r="D22" s="11" t="s">
        <v>2</v>
      </c>
      <c r="E22" s="11">
        <f>SUMIFS(COEM_Package_20200302!$S$3:$S$219,COEM_Package_20200302!$D$3:$D$219,Table!$C$3,COEM_Package_20200302!$C$3:$C$219,Report_For_Each_Project!C14)</f>
        <v>50</v>
      </c>
      <c r="F22" s="11">
        <f>SUMIFS(COEM_Package_20200302!$T$3:$T$219,COEM_Package_20200302!$D$3:$D$219,Table!$C$3,COEM_Package_20200302!$C$3:$C$219,Report_For_Each_Project!C14)-SUM(SUMIFS(COEM_Package_20200302!$T$3:$T$219,COEM_Package_20200302!$D$3:$D$219,Table!$C$3,COEM_Package_20200302!$W$3:$W$219,{"Ongoing","N/A",""},COEM_Package_20200302!$C$3:$C$219,Report_For_Each_Project!C14))</f>
        <v>50</v>
      </c>
      <c r="G22" s="11">
        <f>E22/Table!$C$4</f>
        <v>0.38461538461538464</v>
      </c>
      <c r="H22" s="11">
        <f>1/8*(SUMIFS(COEM_Package_20200302!$V$3:$V$219,COEM_Package_20200302!$D$3:$D$219,Table!$C$3,COEM_Package_20200302!$C$3:$C$219,Report_For_Each_Project!C14)-SUM(SUMIFS(COEM_Package_20200302!$V$3:$V$219,COEM_Package_20200302!$D$3:$D$219,Table!$C$3,COEM_Package_20200302!$W$3:$W$219,{"Ongoing","N/A",""},COEM_Package_20200302!$C$3:$C$219,Report_For_Each_Project!C14)))</f>
        <v>0.75</v>
      </c>
      <c r="I22" s="118">
        <f>IF(E22=0,"N/A",F22/E22)</f>
        <v>1</v>
      </c>
    </row>
    <row r="24" spans="1:9" x14ac:dyDescent="0.25">
      <c r="C24" t="s">
        <v>462</v>
      </c>
    </row>
    <row r="25" spans="1:9" x14ac:dyDescent="0.25">
      <c r="D25" s="113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452</v>
      </c>
      <c r="C27" s="105">
        <f>SUM(G33:G34)</f>
        <v>8.4044444444444437</v>
      </c>
      <c r="D27" t="s">
        <v>453</v>
      </c>
    </row>
    <row r="28" spans="1:9" x14ac:dyDescent="0.25">
      <c r="B28" s="1" t="s">
        <v>460</v>
      </c>
      <c r="C28" s="9"/>
      <c r="F28" s="8"/>
      <c r="G28" s="8"/>
      <c r="H28" s="8"/>
    </row>
    <row r="29" spans="1:9" x14ac:dyDescent="0.25">
      <c r="B29" s="1" t="s">
        <v>461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10" t="s">
        <v>25</v>
      </c>
      <c r="D32" s="110" t="s">
        <v>26</v>
      </c>
      <c r="E32" s="13" t="s">
        <v>454</v>
      </c>
      <c r="F32" s="13" t="s">
        <v>455</v>
      </c>
      <c r="G32" s="13" t="s">
        <v>456</v>
      </c>
      <c r="H32" s="13" t="s">
        <v>457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SUMIFS(COEM_Package_20200302!$S$3:$S$219,COEM_Package_20200302!$D$3:$D$219,Table!$D$3,COEM_Package_20200302!$C$3:$C$219,Report_For_Each_Project!C26)</f>
        <v>3782</v>
      </c>
      <c r="F33" s="11">
        <f>SUMIFS(COEM_Package_20200302!$T$3:$T$219,COEM_Package_20200302!$D$3:$D$219,Table!$D$3,COEM_Package_20200302!$C$3:$C$219,Report_For_Each_Project!C26)-SUM(SUMIFS(COEM_Package_20200302!$T$3:$T$219,COEM_Package_20200302!$D$3:$D$219,Table!$D$3,COEM_Package_20200302!$W$3:$W$219,{"Ongoing","N/A",""},COEM_Package_20200302!$C$3:$C$219,Report_For_Each_Project!C26))</f>
        <v>3782</v>
      </c>
      <c r="G33" s="11">
        <f>E33/Table!$D$4</f>
        <v>8.4044444444444437</v>
      </c>
      <c r="H33" s="11">
        <f>1/8*(SUMIFS(COEM_Package_20200302!$V$3:$V$219,COEM_Package_20200302!$D$3:$D$219,Table!$D$3,COEM_Package_20200302!$C$3:$C$219,Report_For_Each_Project!C26)-SUM(SUMIFS(COEM_Package_20200302!$V$3:$V$219,COEM_Package_20200302!$D$3:$D$219,Table!$D$3,COEM_Package_20200302!$W$3:$W$219,{"Ongoing","N/A",""},COEM_Package_20200302!$C$3:$C$219,Report_For_Each_Project!C26)))</f>
        <v>4.1500000000000004</v>
      </c>
      <c r="I33" s="118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SUMIFS(COEM_Package_20200302!$S$3:$S$219,COEM_Package_20200302!$D$3:$D$219,Table!$C$3,COEM_Package_20200302!$C$3:$C$219,Report_For_Each_Project!C26)</f>
        <v>0</v>
      </c>
      <c r="F34" s="11">
        <f>SUMIFS(COEM_Package_20200302!$T$3:$T$219,COEM_Package_20200302!$D$3:$D$219,Table!$C$3,COEM_Package_20200302!$C$3:$C$219,Report_For_Each_Project!C26)-SUM(SUMIFS(COEM_Package_20200302!$T$3:$T$219,COEM_Package_20200302!$D$3:$D$219,Table!$C$3,COEM_Package_20200302!$W$3:$W$219,{"Ongoing","N/A",""},COEM_Package_20200302!$C$3:$C$219,Report_For_Each_Project!C26))</f>
        <v>0</v>
      </c>
      <c r="G34" s="11">
        <f>E34/Table!$C$4</f>
        <v>0</v>
      </c>
      <c r="H34" s="11">
        <f>1/8*(SUMIFS(COEM_Package_20200302!$V$3:$V$219,COEM_Package_20200302!$D$3:$D$219,Table!$C$3,COEM_Package_20200302!$C$3:$C$219,Report_For_Each_Project!C26)-SUM(SUMIFS(COEM_Package_20200302!$V$3:$V$219,COEM_Package_20200302!$D$3:$D$219,Table!$C$3,COEM_Package_20200302!$W$3:$W$219,{"Ongoing","N/A",""},COEM_Package_20200302!$C$3:$C$219,Report_For_Each_Project!C26)))</f>
        <v>0</v>
      </c>
      <c r="I34" s="118" t="str">
        <f>IF(E34=0,"N/A",F34/E34)</f>
        <v>N/A</v>
      </c>
    </row>
    <row r="36" spans="1:9" x14ac:dyDescent="0.25">
      <c r="C36" t="s">
        <v>462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452</v>
      </c>
      <c r="C39" s="105">
        <f>SUM(G45:G46)</f>
        <v>2.5577777777777779</v>
      </c>
      <c r="D39" t="s">
        <v>453</v>
      </c>
    </row>
    <row r="40" spans="1:9" x14ac:dyDescent="0.25">
      <c r="B40" s="1" t="s">
        <v>460</v>
      </c>
      <c r="C40" s="9"/>
      <c r="F40" s="8"/>
      <c r="G40" s="8"/>
      <c r="H40" s="8"/>
    </row>
    <row r="41" spans="1:9" x14ac:dyDescent="0.25">
      <c r="B41" s="1" t="s">
        <v>461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10" t="s">
        <v>25</v>
      </c>
      <c r="D44" s="110" t="s">
        <v>26</v>
      </c>
      <c r="E44" s="13" t="s">
        <v>454</v>
      </c>
      <c r="F44" s="13" t="s">
        <v>455</v>
      </c>
      <c r="G44" s="13" t="s">
        <v>456</v>
      </c>
      <c r="H44" s="13" t="s">
        <v>457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SUMIFS(COEM_Package_20200302!$S$3:$S$219,COEM_Package_20200302!$D$3:$D$219,Table!$D$3,COEM_Package_20200302!$C$3:$C$219,Report_For_Each_Project!C38)</f>
        <v>1151</v>
      </c>
      <c r="F45" s="11">
        <f>SUMIFS(COEM_Package_20200302!$T$3:$T$219,COEM_Package_20200302!$D$3:$D$219,Table!$D$3,COEM_Package_20200302!$C$3:$C$219,Report_For_Each_Project!C38)-SUM(SUMIFS(COEM_Package_20200302!$T$3:$T$219,COEM_Package_20200302!$D$3:$D$219,Table!$D$3,COEM_Package_20200302!$W$3:$W$219,{"Ongoing","N/A",""},COEM_Package_20200302!$C$3:$C$219,Report_For_Each_Project!C38))</f>
        <v>1151</v>
      </c>
      <c r="G45" s="11">
        <f>E45/Table!$D$4</f>
        <v>2.5577777777777779</v>
      </c>
      <c r="H45" s="11">
        <f>1/8*(SUMIFS(COEM_Package_20200302!$V$3:$V$219,COEM_Package_20200302!$D$3:$D$219,Table!$D$3,COEM_Package_20200302!$C$3:$C$219,Report_For_Each_Project!C38)-SUM(SUMIFS(COEM_Package_20200302!$V$3:$V$219,COEM_Package_20200302!$D$3:$D$219,Table!$D$3,COEM_Package_20200302!$W$3:$W$219,{"Ongoing","N/A",""},COEM_Package_20200302!$C$3:$C$219,Report_For_Each_Project!C38)))</f>
        <v>2.4375</v>
      </c>
      <c r="I45" s="118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SUMIFS(COEM_Package_20200302!$S$3:$S$219,COEM_Package_20200302!$D$3:$D$219,Table!$C$3,COEM_Package_20200302!$C$3:$C$219,Report_For_Each_Project!C38)</f>
        <v>0</v>
      </c>
      <c r="F46" s="11">
        <f>SUMIFS(COEM_Package_20200302!$T$3:$T$219,COEM_Package_20200302!$D$3:$D$219,Table!$C$3,COEM_Package_20200302!$C$3:$C$219,Report_For_Each_Project!C38)-SUM(SUMIFS(COEM_Package_20200302!$T$3:$T$219,COEM_Package_20200302!$D$3:$D$219,Table!$C$3,COEM_Package_20200302!$W$3:$W$219,{"Ongoing","N/A",""},COEM_Package_20200302!$C$3:$C$219,Report_For_Each_Project!C38))</f>
        <v>0</v>
      </c>
      <c r="G46" s="11">
        <f>E46/Table!$C$4</f>
        <v>0</v>
      </c>
      <c r="H46" s="11">
        <f>1/8*(SUMIFS(COEM_Package_20200302!$V$3:$V$219,COEM_Package_20200302!$D$3:$D$219,Table!$C$3,COEM_Package_20200302!$C$3:$C$219,Report_For_Each_Project!C38)-SUM(SUMIFS(COEM_Package_20200302!$V$3:$V$219,COEM_Package_20200302!$D$3:$D$219,Table!$C$3,COEM_Package_20200302!$W$3:$W$219,{"Ongoing","N/A",""},COEM_Package_20200302!$C$3:$C$219,Report_For_Each_Project!C38)))</f>
        <v>0</v>
      </c>
      <c r="I46" s="118" t="str">
        <f>IF(E46=0,"N/A",F46/E46)</f>
        <v>N/A</v>
      </c>
    </row>
    <row r="48" spans="1:9" x14ac:dyDescent="0.25">
      <c r="C48" t="s">
        <v>462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452</v>
      </c>
      <c r="C51" s="105">
        <f>SUM(G57:G58)</f>
        <v>1.0777777777777777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SUMIFS(COEM_Package_20200302!$S$3:$S$219,COEM_Package_20200302!$D$3:$D$219,Table!$D$3,COEM_Package_20200302!$C$3:$C$219,Report_For_Each_Project!C50)</f>
        <v>485</v>
      </c>
      <c r="F57" s="11">
        <f>SUMIFS(COEM_Package_20200302!$T$3:$T$219,COEM_Package_20200302!$D$3:$D$219,Table!$D$3,COEM_Package_20200302!$C$3:$C$219,Report_For_Each_Project!C50)-SUM(SUMIFS(COEM_Package_20200302!$T$3:$T$219,COEM_Package_20200302!$D$3:$D$219,Table!$D$3,COEM_Package_20200302!$W$3:$W$219,{"Ongoing","N/A",""},COEM_Package_20200302!$C$3:$C$219,Report_For_Each_Project!C50))</f>
        <v>485</v>
      </c>
      <c r="G57" s="11">
        <f>E57/Table!$D$4</f>
        <v>1.0777777777777777</v>
      </c>
      <c r="H57" s="11">
        <f>1/8*(SUMIFS(COEM_Package_20200302!$V$3:$V$219,COEM_Package_20200302!$D$3:$D$219,Table!$D$3,COEM_Package_20200302!$C$3:$C$219,Report_For_Each_Project!C50)-SUM(SUMIFS(COEM_Package_20200302!$V$3:$V$219,COEM_Package_20200302!$D$3:$D$219,Table!$D$3,COEM_Package_20200302!$W$3:$W$219,{"Ongoing","N/A",""},COEM_Package_20200302!$C$3:$C$219,Report_For_Each_Project!C50)))</f>
        <v>1.25</v>
      </c>
      <c r="I57" s="118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SUMIFS(COEM_Package_20200302!$S$3:$S$219,COEM_Package_20200302!$D$3:$D$219,Table!$C$3,COEM_Package_20200302!$C$3:$C$219,Report_For_Each_Project!C50)</f>
        <v>0</v>
      </c>
      <c r="F58" s="11">
        <f>SUMIFS(COEM_Package_20200302!$T$3:$T$219,COEM_Package_20200302!$D$3:$D$219,Table!$C$3,COEM_Package_20200302!$C$3:$C$219,Report_For_Each_Project!C50)-SUM(SUMIFS(COEM_Package_20200302!$T$3:$T$219,COEM_Package_20200302!$D$3:$D$219,Table!$C$3,COEM_Package_20200302!$W$3:$W$219,{"Ongoing","N/A",""},COEM_Package_20200302!$C$3:$C$219,Report_For_Each_Project!C50))</f>
        <v>0</v>
      </c>
      <c r="G58" s="11">
        <f>E58/Table!$C$4</f>
        <v>0</v>
      </c>
      <c r="H58" s="11">
        <f>1/8*(SUMIFS(COEM_Package_20200302!$V$3:$V$219,COEM_Package_20200302!$D$3:$D$219,Table!$C$3,COEM_Package_20200302!$C$3:$C$219,Report_For_Each_Project!C50)-SUM(SUMIFS(COEM_Package_20200302!$V$3:$V$219,COEM_Package_20200302!$D$3:$D$219,Table!$C$3,COEM_Package_20200302!$W$3:$W$219,{"Ongoing","N/A",""},COEM_Package_20200302!$C$3:$C$219,Report_For_Each_Project!C50)))</f>
        <v>0</v>
      </c>
      <c r="I58" s="118" t="str">
        <f>IF(E58=0,"N/A",F58/E58)</f>
        <v>N/A</v>
      </c>
    </row>
    <row r="60" spans="1:9" x14ac:dyDescent="0.25">
      <c r="C60" t="s">
        <v>462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452</v>
      </c>
      <c r="C63" s="105">
        <f>SUM(G69:G70)</f>
        <v>7.9844444444444447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SUMIFS(COEM_Package_20200302!$S$3:$S$219,COEM_Package_20200302!$D$3:$D$219,Table!$D$3,COEM_Package_20200302!$C$3:$C$219,Report_For_Each_Project!C62)</f>
        <v>3593</v>
      </c>
      <c r="F69" s="11">
        <f>SUMIFS(COEM_Package_20200302!$T$3:$T$219,COEM_Package_20200302!$D$3:$D$219,Table!$D$3,COEM_Package_20200302!$C$3:$C$219,Report_For_Each_Project!C62)-SUM(SUMIFS(COEM_Package_20200302!$T$3:$T$219,COEM_Package_20200302!$D$3:$D$219,Table!$D$3,COEM_Package_20200302!$W$3:$W$219,{"Ongoing","N/A",""},COEM_Package_20200302!$C$3:$C$219,Report_For_Each_Project!C62))</f>
        <v>3593</v>
      </c>
      <c r="G69" s="11">
        <f>E69/Table!$D$4</f>
        <v>7.9844444444444447</v>
      </c>
      <c r="H69" s="11">
        <f>1/8*(SUMIFS(COEM_Package_20200302!$V$3:$V$219,COEM_Package_20200302!$D$3:$D$219,Table!$D$3,COEM_Package_20200302!$C$3:$C$219,Report_For_Each_Project!C62)-SUM(SUMIFS(COEM_Package_20200302!$V$3:$V$219,COEM_Package_20200302!$D$3:$D$219,Table!$D$3,COEM_Package_20200302!$W$3:$W$219,{"Ongoing","N/A",""},COEM_Package_20200302!$C$3:$C$219,Report_For_Each_Project!C62)))</f>
        <v>5.8562499999999993</v>
      </c>
      <c r="I69" s="118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SUMIFS(COEM_Package_20200302!$S$3:$S$219,COEM_Package_20200302!$D$3:$D$219,Table!$C$3,COEM_Package_20200302!$C$3:$C$219,Report_For_Each_Project!C62)</f>
        <v>0</v>
      </c>
      <c r="F70" s="11">
        <f>SUMIFS(COEM_Package_20200302!$T$3:$T$219,COEM_Package_20200302!$D$3:$D$219,Table!$C$3,COEM_Package_20200302!$C$3:$C$219,Report_For_Each_Project!C62)-SUM(SUMIFS(COEM_Package_20200302!$T$3:$T$219,COEM_Package_20200302!$D$3:$D$219,Table!$C$3,COEM_Package_20200302!$W$3:$W$219,{"Ongoing","N/A",""},COEM_Package_20200302!$C$3:$C$219,Report_For_Each_Project!C62))</f>
        <v>0</v>
      </c>
      <c r="G70" s="11">
        <f>E70/Table!$C$4</f>
        <v>0</v>
      </c>
      <c r="H70" s="11">
        <f>1/8*(SUMIFS(COEM_Package_20200302!$V$3:$V$219,COEM_Package_20200302!$D$3:$D$219,Table!$C$3,COEM_Package_20200302!$C$3:$C$219,Report_For_Each_Project!C62)-SUM(SUMIFS(COEM_Package_20200302!$V$3:$V$219,COEM_Package_20200302!$D$3:$D$219,Table!$C$3,COEM_Package_20200302!$W$3:$W$219,{"Ongoing","N/A",""},COEM_Package_20200302!$C$3:$C$219,Report_For_Each_Project!C62)))</f>
        <v>0</v>
      </c>
      <c r="I70" s="118" t="str">
        <f>IF(E70=0,"N/A",F70/E70)</f>
        <v>N/A</v>
      </c>
    </row>
    <row r="72" spans="1:9" x14ac:dyDescent="0.25">
      <c r="C72" t="s">
        <v>462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452</v>
      </c>
      <c r="C75" s="105">
        <f>SUM(G81:G82)</f>
        <v>1.9711111111111113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SUMIFS(COEM_Package_20200302!$S$3:$S$219,COEM_Package_20200302!$D$3:$D$219,Table!$D$3,COEM_Package_20200302!$C$3:$C$219,Report_For_Each_Project!C74)</f>
        <v>527</v>
      </c>
      <c r="F81" s="11">
        <f>SUMIFS(COEM_Package_20200302!$T$3:$T$219,COEM_Package_20200302!$D$3:$D$219,Table!$D$3,COEM_Package_20200302!$C$3:$C$219,Report_For_Each_Project!C74)-SUM(SUMIFS(COEM_Package_20200302!$T$3:$T$219,COEM_Package_20200302!$D$3:$D$219,Table!$D$3,COEM_Package_20200302!$W$3:$W$219,{"Ongoing","N/A",""},COEM_Package_20200302!$C$3:$C$219,Report_For_Each_Project!C74))</f>
        <v>527</v>
      </c>
      <c r="G81" s="11">
        <f>E81/Table!$D$4</f>
        <v>1.1711111111111112</v>
      </c>
      <c r="H81" s="11">
        <f>1/8*(SUMIFS(COEM_Package_20200302!$V$3:$V$219,COEM_Package_20200302!$D$3:$D$219,Table!$D$3,COEM_Package_20200302!$C$3:$C$219,Report_For_Each_Project!C74)-SUM(SUMIFS(COEM_Package_20200302!$V$3:$V$219,COEM_Package_20200302!$D$3:$D$219,Table!$D$3,COEM_Package_20200302!$W$3:$W$219,{"Ongoing","N/A",""},COEM_Package_20200302!$C$3:$C$219,Report_For_Each_Project!C74)))</f>
        <v>0.87874999999999992</v>
      </c>
      <c r="I81" s="118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SUMIFS(COEM_Package_20200302!$S$3:$S$219,COEM_Package_20200302!$D$3:$D$219,Table!$C$3,COEM_Package_20200302!$C$3:$C$219,Report_For_Each_Project!C74)</f>
        <v>104</v>
      </c>
      <c r="F82" s="11">
        <f>SUMIFS(COEM_Package_20200302!$T$3:$T$219,COEM_Package_20200302!$D$3:$D$219,Table!$C$3,COEM_Package_20200302!$C$3:$C$219,Report_For_Each_Project!C74)-SUM(SUMIFS(COEM_Package_20200302!$T$3:$T$219,COEM_Package_20200302!$D$3:$D$219,Table!$C$3,COEM_Package_20200302!$W$3:$W$219,{"Ongoing","N/A",""},COEM_Package_20200302!$C$3:$C$219,Report_For_Each_Project!C74))</f>
        <v>104</v>
      </c>
      <c r="G82" s="11">
        <f>E82/Table!$C$4</f>
        <v>0.8</v>
      </c>
      <c r="H82" s="11">
        <f>1/8*(SUMIFS(COEM_Package_20200302!$V$3:$V$219,COEM_Package_20200302!$D$3:$D$219,Table!$C$3,COEM_Package_20200302!$C$3:$C$219,Report_For_Each_Project!C74)-SUM(SUMIFS(COEM_Package_20200302!$V$3:$V$219,COEM_Package_20200302!$D$3:$D$219,Table!$C$3,COEM_Package_20200302!$W$3:$W$219,{"Ongoing","N/A",""},COEM_Package_20200302!$C$3:$C$219,Report_For_Each_Project!C74)))</f>
        <v>0.75</v>
      </c>
      <c r="I82" s="118">
        <f>IF(E82=0,"N/A",F82/E82)</f>
        <v>1</v>
      </c>
    </row>
    <row r="84" spans="1:9" x14ac:dyDescent="0.25">
      <c r="C84" t="s">
        <v>462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452</v>
      </c>
      <c r="C87" s="105">
        <f>SUM(G93:G94)</f>
        <v>6.9420512820512821</v>
      </c>
      <c r="D87" t="s">
        <v>453</v>
      </c>
    </row>
    <row r="88" spans="1:9" x14ac:dyDescent="0.25">
      <c r="B88" s="1" t="s">
        <v>460</v>
      </c>
      <c r="C88" s="9">
        <f>SUM(INT((WEEKDAY(F88-{2,3,4,5,6}) +H88-F88)/7))</f>
        <v>7</v>
      </c>
      <c r="D88" t="s">
        <v>453</v>
      </c>
      <c r="E88" t="s">
        <v>742</v>
      </c>
      <c r="F88" s="8">
        <v>43907</v>
      </c>
      <c r="G88" s="8" t="s">
        <v>743</v>
      </c>
      <c r="H88" s="8">
        <v>43915</v>
      </c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SUMIFS(COEM_Package_20200302!$S$3:$S$219,COEM_Package_20200302!$D$3:$D$219,Table!$D$3,COEM_Package_20200302!$C$3:$C$219,Report_For_Each_Project!C86)</f>
        <v>3072</v>
      </c>
      <c r="F93" s="11">
        <f>SUMIFS(COEM_Package_20200302!$T$3:$T$219,COEM_Package_20200302!$D$3:$D$219,Table!$D$3,COEM_Package_20200302!$C$3:$C$219,Report_For_Each_Project!C86)-SUM(SUMIFS(COEM_Package_20200302!$T$3:$T$219,COEM_Package_20200302!$D$3:$D$219,Table!$D$3,COEM_Package_20200302!$W$3:$W$219,{"Ongoing","N/A",""},COEM_Package_20200302!$C$3:$C$219,Report_For_Each_Project!C86))</f>
        <v>3072</v>
      </c>
      <c r="G93" s="11">
        <f>E93/Table!$D$4</f>
        <v>6.8266666666666671</v>
      </c>
      <c r="H93" s="11">
        <f>1/8*(SUMIFS(COEM_Package_20200302!$V$3:$V$219,COEM_Package_20200302!$D$3:$D$219,Table!$D$3,COEM_Package_20200302!$C$3:$C$219,Report_For_Each_Project!C86)-SUM(SUMIFS(COEM_Package_20200302!$V$3:$V$219,COEM_Package_20200302!$D$3:$D$219,Table!$D$3,COEM_Package_20200302!$W$3:$W$219,{"Ongoing","N/A",""},COEM_Package_20200302!$C$3:$C$219,Report_For_Each_Project!C86)))</f>
        <v>4.625</v>
      </c>
      <c r="I93" s="118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SUMIFS(COEM_Package_20200302!$S$3:$S$219,COEM_Package_20200302!$D$3:$D$219,Table!$C$3,COEM_Package_20200302!$C$3:$C$219,Report_For_Each_Project!C86)</f>
        <v>15</v>
      </c>
      <c r="F94" s="11">
        <f>SUMIFS(COEM_Package_20200302!$T$3:$T$219,COEM_Package_20200302!$D$3:$D$219,Table!$C$3,COEM_Package_20200302!$C$3:$C$219,Report_For_Each_Project!C86)-SUM(SUMIFS(COEM_Package_20200302!$T$3:$T$219,COEM_Package_20200302!$D$3:$D$219,Table!$C$3,COEM_Package_20200302!$W$3:$W$219,{"Ongoing","N/A",""},COEM_Package_20200302!$C$3:$C$219,Report_For_Each_Project!C86))</f>
        <v>15</v>
      </c>
      <c r="G94" s="11">
        <f>E94/Table!$C$4</f>
        <v>0.11538461538461539</v>
      </c>
      <c r="H94" s="11">
        <f>1/8*(SUMIFS(COEM_Package_20200302!$V$3:$V$219,COEM_Package_20200302!$D$3:$D$219,Table!$C$3,COEM_Package_20200302!$C$3:$C$219,Report_For_Each_Project!C86)-SUM(SUMIFS(COEM_Package_20200302!$V$3:$V$219,COEM_Package_20200302!$D$3:$D$219,Table!$C$3,COEM_Package_20200302!$W$3:$W$219,{"Ongoing","N/A",""},COEM_Package_20200302!$C$3:$C$219,Report_For_Each_Project!C86)))</f>
        <v>0.25</v>
      </c>
      <c r="I94" s="118">
        <f>IF(E94=0,"N/A",F94/E94)</f>
        <v>1</v>
      </c>
    </row>
    <row r="96" spans="1:9" x14ac:dyDescent="0.25">
      <c r="C96" t="s">
        <v>462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452</v>
      </c>
      <c r="C99" s="105">
        <f>SUM(G105:G106)</f>
        <v>1.1822222222222223</v>
      </c>
      <c r="D99" t="s">
        <v>453</v>
      </c>
    </row>
    <row r="100" spans="1:9" x14ac:dyDescent="0.25">
      <c r="B100" s="1" t="s">
        <v>460</v>
      </c>
      <c r="C100" s="9">
        <f>SUM(INT((WEEKDAY(F100-{2,3,4,5,6}) +H100-F100)/7))</f>
        <v>2</v>
      </c>
      <c r="D100" t="s">
        <v>453</v>
      </c>
      <c r="E100" t="s">
        <v>742</v>
      </c>
      <c r="F100" s="8">
        <v>43915</v>
      </c>
      <c r="G100" s="8" t="s">
        <v>744</v>
      </c>
      <c r="H100" s="8">
        <v>43916</v>
      </c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SUMIFS(COEM_Package_20200302!$S$3:$S$219,COEM_Package_20200302!$D$3:$D$219,Table!$D$3,COEM_Package_20200302!$C$3:$C$219,Report_For_Each_Project!C98)</f>
        <v>532</v>
      </c>
      <c r="F105" s="11">
        <f>SUMIFS(COEM_Package_20200302!$T$3:$T$219,COEM_Package_20200302!$D$3:$D$219,Table!$D$3,COEM_Package_20200302!$C$3:$C$219,Report_For_Each_Project!C98)-SUM(SUMIFS(COEM_Package_20200302!$T$3:$T$219,COEM_Package_20200302!$D$3:$D$219,Table!$D$3,COEM_Package_20200302!$W$3:$W$219,{"Ongoing","N/A",""},COEM_Package_20200302!$C$3:$C$219,Report_For_Each_Project!C98))</f>
        <v>532</v>
      </c>
      <c r="G105" s="11">
        <f>E105/Table!$D$4</f>
        <v>1.1822222222222223</v>
      </c>
      <c r="H105" s="11">
        <f>1/8*(SUMIFS(COEM_Package_20200302!$V$3:$V$219,COEM_Package_20200302!$D$3:$D$219,Table!$D$3,COEM_Package_20200302!$C$3:$C$219,Report_For_Each_Project!C98)-SUM(SUMIFS(COEM_Package_20200302!$V$3:$V$219,COEM_Package_20200302!$D$3:$D$219,Table!$D$3,COEM_Package_20200302!$W$3:$W$219,{"Ongoing","N/A",""},COEM_Package_20200302!$C$3:$C$219,Report_For_Each_Project!C98)))</f>
        <v>1.0625</v>
      </c>
      <c r="I105" s="118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SUMIFS(COEM_Package_20200302!$S$3:$S$219,COEM_Package_20200302!$D$3:$D$219,Table!$C$3,COEM_Package_20200302!$C$3:$C$219,Report_For_Each_Project!C98)</f>
        <v>0</v>
      </c>
      <c r="F106" s="11">
        <f>SUMIFS(COEM_Package_20200302!$T$3:$T$219,COEM_Package_20200302!$D$3:$D$219,Table!$C$3,COEM_Package_20200302!$C$3:$C$219,Report_For_Each_Project!C98)-SUM(SUMIFS(COEM_Package_20200302!$T$3:$T$219,COEM_Package_20200302!$D$3:$D$219,Table!$C$3,COEM_Package_20200302!$W$3:$W$219,{"Ongoing","N/A",""},COEM_Package_20200302!$C$3:$C$219,Report_For_Each_Project!C98))</f>
        <v>0</v>
      </c>
      <c r="G106" s="11">
        <f>E106/Table!$C$4</f>
        <v>0</v>
      </c>
      <c r="H106" s="11">
        <f>1/8*(SUMIFS(COEM_Package_20200302!$V$3:$V$219,COEM_Package_20200302!$D$3:$D$219,Table!$C$3,COEM_Package_20200302!$C$3:$C$219,Report_For_Each_Project!C98)-SUM(SUMIFS(COEM_Package_20200302!$V$3:$V$219,COEM_Package_20200302!$D$3:$D$219,Table!$C$3,COEM_Package_20200302!$W$3:$W$219,{"Ongoing","N/A",""},COEM_Package_20200302!$C$3:$C$219,Report_For_Each_Project!C98)))</f>
        <v>0</v>
      </c>
      <c r="I106" s="118" t="str">
        <f>IF(E106=0,"N/A",F106/E106)</f>
        <v>N/A</v>
      </c>
    </row>
    <row r="108" spans="1:9" x14ac:dyDescent="0.25">
      <c r="C108" t="s">
        <v>462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452</v>
      </c>
      <c r="C111" s="105">
        <f>SUM(G117:G118)</f>
        <v>3.6958974358974359</v>
      </c>
      <c r="D111" t="s">
        <v>453</v>
      </c>
    </row>
    <row r="112" spans="1:9" x14ac:dyDescent="0.25">
      <c r="B112" s="1" t="s">
        <v>460</v>
      </c>
      <c r="C112" s="9">
        <f>SUM(INT((WEEKDAY(F112-{2,3,4,5,6}) +H112-F112)/7))</f>
        <v>3</v>
      </c>
      <c r="D112" t="s">
        <v>453</v>
      </c>
      <c r="E112" t="s">
        <v>742</v>
      </c>
      <c r="F112" s="8">
        <v>43915</v>
      </c>
      <c r="G112" s="8" t="s">
        <v>743</v>
      </c>
      <c r="H112" s="8">
        <v>43917</v>
      </c>
    </row>
    <row r="113" spans="1:9" x14ac:dyDescent="0.25">
      <c r="B113" s="1" t="s">
        <v>461</v>
      </c>
      <c r="C113" s="9">
        <f>SUM(INT((WEEKDAY(F113-{2,3,4,5,6}) +H113-F113)/7))</f>
        <v>4</v>
      </c>
      <c r="D113" t="s">
        <v>453</v>
      </c>
      <c r="E113" t="s">
        <v>742</v>
      </c>
      <c r="F113" s="8">
        <v>43914</v>
      </c>
      <c r="G113" s="8" t="s">
        <v>743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SUMIFS(COEM_Package_20200302!$S$3:$S$219,COEM_Package_20200302!$D$3:$D$219,Table!$D$3,COEM_Package_20200302!$C$3:$C$219,Report_For_Each_Project!C110)</f>
        <v>417</v>
      </c>
      <c r="F117" s="11">
        <f>SUMIFS(COEM_Package_20200302!$T$3:$T$219,COEM_Package_20200302!$D$3:$D$219,Table!$D$3,COEM_Package_20200302!$C$3:$C$219,Report_For_Each_Project!C110)-SUM(SUMIFS(COEM_Package_20200302!$T$3:$T$219,COEM_Package_20200302!$D$3:$D$219,Table!$D$3,COEM_Package_20200302!$W$3:$W$219,{"Ongoing","N/A",""},COEM_Package_20200302!$C$3:$C$219,Report_For_Each_Project!C110))</f>
        <v>417</v>
      </c>
      <c r="G117" s="11">
        <f>E117/Table!$D$4</f>
        <v>0.92666666666666664</v>
      </c>
      <c r="H117" s="11">
        <f>1/8*(SUMIFS(COEM_Package_20200302!$V$3:$V$219,COEM_Package_20200302!$D$3:$D$219,Table!$D$3,COEM_Package_20200302!$C$3:$C$219,Report_For_Each_Project!C110)-SUM(SUMIFS(COEM_Package_20200302!$V$3:$V$219,COEM_Package_20200302!$D$3:$D$219,Table!$D$3,COEM_Package_20200302!$W$3:$W$219,{"Ongoing","N/A",""},COEM_Package_20200302!$C$3:$C$219,Report_For_Each_Project!C110)))</f>
        <v>0.625</v>
      </c>
      <c r="I117" s="118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SUMIFS(COEM_Package_20200302!$S$3:$S$219,COEM_Package_20200302!$D$3:$D$219,Table!$C$3,COEM_Package_20200302!$C$3:$C$219,Report_For_Each_Project!C110)</f>
        <v>360</v>
      </c>
      <c r="F118" s="11">
        <f>SUMIFS(COEM_Package_20200302!$T$3:$T$219,COEM_Package_20200302!$D$3:$D$219,Table!$C$3,COEM_Package_20200302!$C$3:$C$219,Report_For_Each_Project!C110)-SUM(SUMIFS(COEM_Package_20200302!$T$3:$T$219,COEM_Package_20200302!$D$3:$D$219,Table!$C$3,COEM_Package_20200302!$W$3:$W$219,{"Ongoing","N/A",""},COEM_Package_20200302!$C$3:$C$219,Report_For_Each_Project!C110))</f>
        <v>360</v>
      </c>
      <c r="G118" s="11">
        <f>E118/Table!$C$4</f>
        <v>2.7692307692307692</v>
      </c>
      <c r="H118" s="11">
        <f>1/8*(SUMIFS(COEM_Package_20200302!$V$3:$V$219,COEM_Package_20200302!$D$3:$D$219,Table!$C$3,COEM_Package_20200302!$C$3:$C$219,Report_For_Each_Project!C110)-SUM(SUMIFS(COEM_Package_20200302!$V$3:$V$219,COEM_Package_20200302!$D$3:$D$219,Table!$C$3,COEM_Package_20200302!$W$3:$W$219,{"Ongoing","N/A",""},COEM_Package_20200302!$C$3:$C$219,Report_For_Each_Project!C110)))</f>
        <v>3.5625</v>
      </c>
      <c r="I118" s="118">
        <f>IF(E118=0,"N/A",F118/E118)</f>
        <v>1</v>
      </c>
    </row>
    <row r="120" spans="1:9" x14ac:dyDescent="0.25">
      <c r="C120" t="s">
        <v>462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452</v>
      </c>
      <c r="C123" s="105">
        <f>SUM(G129:G130)</f>
        <v>2.9355555555555557</v>
      </c>
      <c r="D123" t="s">
        <v>453</v>
      </c>
    </row>
    <row r="124" spans="1:9" x14ac:dyDescent="0.25">
      <c r="B124" s="1" t="s">
        <v>460</v>
      </c>
      <c r="C124" s="9">
        <f>SUM(INT((WEEKDAY(F124-{2,3,4,5,6}) +H124-F124)/7))</f>
        <v>6</v>
      </c>
      <c r="D124" t="s">
        <v>453</v>
      </c>
      <c r="E124" t="s">
        <v>742</v>
      </c>
      <c r="F124" s="8">
        <v>43914</v>
      </c>
      <c r="G124" s="8" t="s">
        <v>743</v>
      </c>
      <c r="H124" s="8">
        <v>43921</v>
      </c>
    </row>
    <row r="125" spans="1:9" x14ac:dyDescent="0.25">
      <c r="B125" s="1" t="s">
        <v>461</v>
      </c>
      <c r="C125" s="9">
        <f>SUM(INT((WEEKDAY(F125-{2,3,4,5,6}) +H125-F125)/7))</f>
        <v>2</v>
      </c>
      <c r="D125" t="s">
        <v>453</v>
      </c>
      <c r="E125" t="s">
        <v>742</v>
      </c>
      <c r="F125" s="8">
        <v>43916</v>
      </c>
      <c r="G125" s="8" t="s">
        <v>743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43" t="s">
        <v>25</v>
      </c>
      <c r="D128" s="143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SUMIFS(COEM_Package_20200302!$S$3:$S$219,COEM_Package_20200302!$D$3:$D$219,Table!$D$3,COEM_Package_20200302!$C$3:$C$219,Report_For_Each_Project!C122)</f>
        <v>1321</v>
      </c>
      <c r="F129" s="11">
        <f>SUMIFS(COEM_Package_20200302!$T$3:$T$219,COEM_Package_20200302!$D$3:$D$219,Table!$D$3,COEM_Package_20200302!$C$3:$C$219,Report_For_Each_Project!C122)-SUM(SUMIFS(COEM_Package_20200302!$T$3:$T$219,COEM_Package_20200302!$D$3:$D$219,Table!$D$3,COEM_Package_20200302!$W$3:$W$219,{"Ongoing","N/A",""},COEM_Package_20200302!$C$3:$C$219,Report_For_Each_Project!C122))</f>
        <v>1321</v>
      </c>
      <c r="G129" s="11">
        <f>E129/Table!$D$4</f>
        <v>2.9355555555555557</v>
      </c>
      <c r="H129" s="11">
        <f>1/8*(SUMIFS(COEM_Package_20200302!$V$3:$V$219,COEM_Package_20200302!$D$3:$D$219,Table!$D$3,COEM_Package_20200302!$C$3:$C$219,Report_For_Each_Project!C122)-SUM(SUMIFS(COEM_Package_20200302!$V$3:$V$219,COEM_Package_20200302!$D$3:$D$219,Table!$D$3,COEM_Package_20200302!$W$3:$W$219,{"Ongoing","N/A",""},COEM_Package_20200302!$C$3:$C$219,Report_For_Each_Project!C122)))</f>
        <v>2.1624999999999996</v>
      </c>
      <c r="I129" s="118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SUMIFS(COEM_Package_20200302!$S$3:$S$219,COEM_Package_20200302!$D$3:$D$219,Table!$C$3,COEM_Package_20200302!$C$3:$C$219,Report_For_Each_Project!C122)</f>
        <v>0</v>
      </c>
      <c r="F130" s="11">
        <f>SUMIFS(COEM_Package_20200302!$T$3:$T$219,COEM_Package_20200302!$D$3:$D$219,Table!$C$3,COEM_Package_20200302!$C$3:$C$219,Report_For_Each_Project!C122)-SUM(SUMIFS(COEM_Package_20200302!$T$3:$T$219,COEM_Package_20200302!$D$3:$D$219,Table!$C$3,COEM_Package_20200302!$W$3:$W$219,{"Ongoing","N/A",""},COEM_Package_20200302!$C$3:$C$219,Report_For_Each_Project!C122))</f>
        <v>0</v>
      </c>
      <c r="G130" s="11">
        <f>E130/Table!$C$4</f>
        <v>0</v>
      </c>
      <c r="H130" s="11">
        <f>1/8*(SUMIFS(COEM_Package_20200302!$V$3:$V$219,COEM_Package_20200302!$D$3:$D$219,Table!$C$3,COEM_Package_20200302!$C$3:$C$219,Report_For_Each_Project!C122)-SUM(SUMIFS(COEM_Package_20200302!$V$3:$V$219,COEM_Package_20200302!$D$3:$D$219,Table!$C$3,COEM_Package_20200302!$W$3:$W$219,{"Ongoing","N/A",""},COEM_Package_20200302!$C$3:$C$219,Report_For_Each_Project!C122)))</f>
        <v>0</v>
      </c>
      <c r="I130" s="118" t="str">
        <f>IF(E130=0,"N/A",F130/E130)</f>
        <v>N/A</v>
      </c>
    </row>
    <row r="132" spans="1:9" x14ac:dyDescent="0.25">
      <c r="C132" t="s">
        <v>462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452</v>
      </c>
      <c r="C135" s="105">
        <f>SUM(G141:G142)</f>
        <v>2.8777777777777778</v>
      </c>
      <c r="D135" t="s">
        <v>453</v>
      </c>
    </row>
    <row r="136" spans="1:9" x14ac:dyDescent="0.25">
      <c r="B136" s="1" t="s">
        <v>460</v>
      </c>
      <c r="C136" s="9">
        <f>SUM(INT((WEEKDAY(F136-{2,3,4,5,6}) +H136-F136)/7))</f>
        <v>5</v>
      </c>
      <c r="D136" t="s">
        <v>453</v>
      </c>
      <c r="E136" t="s">
        <v>742</v>
      </c>
      <c r="F136" s="8">
        <v>43915</v>
      </c>
      <c r="G136" s="8" t="s">
        <v>743</v>
      </c>
      <c r="H136" s="8">
        <v>43921</v>
      </c>
    </row>
    <row r="137" spans="1:9" x14ac:dyDescent="0.25">
      <c r="B137" s="1" t="s">
        <v>461</v>
      </c>
      <c r="C137" s="9">
        <f>SUM(INT((WEEKDAY(F137-{2,3,4,5,6}) +H137-F137)/7))</f>
        <v>1</v>
      </c>
      <c r="D137" t="s">
        <v>453</v>
      </c>
      <c r="E137" t="s">
        <v>742</v>
      </c>
      <c r="F137" s="8">
        <v>43920</v>
      </c>
      <c r="G137" s="8" t="s">
        <v>743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44" t="s">
        <v>25</v>
      </c>
      <c r="D140" s="144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SUMIFS(COEM_Package_20200302!$S$3:$S$219,COEM_Package_20200302!$D$3:$D$219,Table!$D$3,COEM_Package_20200302!$C$3:$C$219,Report_For_Each_Project!C134)</f>
        <v>1295</v>
      </c>
      <c r="F141" s="11">
        <f>SUMIFS(COEM_Package_20200302!$T$3:$T$219,COEM_Package_20200302!$D$3:$D$219,Table!$D$3,COEM_Package_20200302!$C$3:$C$219,Report_For_Each_Project!C134)-SUM(SUMIFS(COEM_Package_20200302!$T$3:$T$219,COEM_Package_20200302!$D$3:$D$219,Table!$D$3,COEM_Package_20200302!$W$3:$W$219,{"Ongoing","N/A",""},COEM_Package_20200302!$C$3:$C$219,Report_For_Each_Project!C134))</f>
        <v>1295</v>
      </c>
      <c r="G141" s="11">
        <f>E141/Table!$D$4</f>
        <v>2.8777777777777778</v>
      </c>
      <c r="H141" s="11">
        <f>1/8*(SUMIFS(COEM_Package_20200302!$V$3:$V$219,COEM_Package_20200302!$D$3:$D$219,Table!$D$3,COEM_Package_20200302!$C$3:$C$219,Report_For_Each_Project!C134)-SUM(SUMIFS(COEM_Package_20200302!$V$3:$V$219,COEM_Package_20200302!$D$3:$D$219,Table!$D$3,COEM_Package_20200302!$W$3:$W$219,{"Ongoing","N/A",""},COEM_Package_20200302!$C$3:$C$219,Report_For_Each_Project!C134)))</f>
        <v>1.875</v>
      </c>
      <c r="I141" s="118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SUMIFS(COEM_Package_20200302!$S$3:$S$219,COEM_Package_20200302!$D$3:$D$219,Table!$C$3,COEM_Package_20200302!$C$3:$C$219,Report_For_Each_Project!C134)</f>
        <v>0</v>
      </c>
      <c r="F142" s="11">
        <f>SUMIFS(COEM_Package_20200302!$T$3:$T$219,COEM_Package_20200302!$D$3:$D$219,Table!$C$3,COEM_Package_20200302!$C$3:$C$219,Report_For_Each_Project!C134)-SUM(SUMIFS(COEM_Package_20200302!$T$3:$T$219,COEM_Package_20200302!$D$3:$D$219,Table!$C$3,COEM_Package_20200302!$W$3:$W$219,{"Ongoing","N/A",""},COEM_Package_20200302!$C$3:$C$219,Report_For_Each_Project!C134))</f>
        <v>0</v>
      </c>
      <c r="G142" s="11">
        <f>E142/Table!$C$4</f>
        <v>0</v>
      </c>
      <c r="H142" s="11">
        <f>1/8*(SUMIFS(COEM_Package_20200302!$V$3:$V$219,COEM_Package_20200302!$D$3:$D$219,Table!$C$3,COEM_Package_20200302!$C$3:$C$219,Report_For_Each_Project!C134)-SUM(SUMIFS(COEM_Package_20200302!$V$3:$V$219,COEM_Package_20200302!$D$3:$D$219,Table!$C$3,COEM_Package_20200302!$W$3:$W$219,{"Ongoing","N/A",""},COEM_Package_20200302!$C$3:$C$219,Report_For_Each_Project!C134)))</f>
        <v>0</v>
      </c>
      <c r="I142" s="118" t="str">
        <f>IF(E142=0,"N/A",F142/E142)</f>
        <v>N/A</v>
      </c>
    </row>
    <row r="144" spans="1:9" x14ac:dyDescent="0.25">
      <c r="C144" t="s">
        <v>462</v>
      </c>
    </row>
    <row r="146" spans="1:9" x14ac:dyDescent="0.25">
      <c r="A146" s="1">
        <f>A134+1</f>
        <v>13</v>
      </c>
      <c r="B146" s="1" t="s">
        <v>62</v>
      </c>
      <c r="C146" s="1" t="s">
        <v>681</v>
      </c>
    </row>
    <row r="147" spans="1:9" x14ac:dyDescent="0.25">
      <c r="B147" s="1" t="s">
        <v>452</v>
      </c>
      <c r="C147" s="105">
        <f>SUM(G153:G154)</f>
        <v>12.362222222222222</v>
      </c>
      <c r="D147" t="s">
        <v>453</v>
      </c>
    </row>
    <row r="148" spans="1:9" x14ac:dyDescent="0.25">
      <c r="B148" s="1" t="s">
        <v>460</v>
      </c>
      <c r="C148" s="9">
        <f>SUM(INT((WEEKDAY(F148-{2,3,4,5,6}) +H148-F148)/7))</f>
        <v>7</v>
      </c>
      <c r="D148" t="s">
        <v>453</v>
      </c>
      <c r="E148" t="s">
        <v>742</v>
      </c>
      <c r="F148" s="8">
        <v>43913</v>
      </c>
      <c r="G148" s="8" t="s">
        <v>743</v>
      </c>
      <c r="H148" s="8">
        <v>43921</v>
      </c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45" t="s">
        <v>25</v>
      </c>
      <c r="D152" s="145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SUMIFS(COEM_Package_20200302!$S$3:$S$219,COEM_Package_20200302!$D$3:$D$219,Table!$D$3,COEM_Package_20200302!$C$3:$C$219,Report_For_Each_Project!C146)</f>
        <v>5563</v>
      </c>
      <c r="F153" s="11">
        <f>SUMIFS(COEM_Package_20200302!$T$3:$T$219,COEM_Package_20200302!$D$3:$D$219,Table!$D$3,COEM_Package_20200302!$C$3:$C$219,Report_For_Each_Project!C146)-SUM(SUMIFS(COEM_Package_20200302!$T$3:$T$219,COEM_Package_20200302!$D$3:$D$219,Table!$D$3,COEM_Package_20200302!$W$3:$W$219,{"Ongoing","N/A",""},COEM_Package_20200302!$C$3:$C$219,Report_For_Each_Project!C146))</f>
        <v>3415</v>
      </c>
      <c r="G153" s="11">
        <f>E153/Table!$D$4</f>
        <v>12.362222222222222</v>
      </c>
      <c r="H153" s="11">
        <f>1/8*(SUMIFS(COEM_Package_20200302!$V$3:$V$219,COEM_Package_20200302!$D$3:$D$219,Table!$D$3,COEM_Package_20200302!$C$3:$C$219,Report_For_Each_Project!C146)-SUM(SUMIFS(COEM_Package_20200302!$V$3:$V$219,COEM_Package_20200302!$D$3:$D$219,Table!$D$3,COEM_Package_20200302!$W$3:$W$219,{"Ongoing","N/A",""},COEM_Package_20200302!$C$3:$C$219,Report_For_Each_Project!C146)))</f>
        <v>6.9762500000000003</v>
      </c>
      <c r="I153" s="118">
        <f>IF(E153=0,"N/A",F153/E153)</f>
        <v>0.61387740427826709</v>
      </c>
    </row>
    <row r="154" spans="1:9" x14ac:dyDescent="0.25">
      <c r="C154" s="10">
        <v>2</v>
      </c>
      <c r="D154" s="11" t="s">
        <v>2</v>
      </c>
      <c r="E154" s="11">
        <f>SUMIFS(COEM_Package_20200302!$S$3:$S$219,COEM_Package_20200302!$D$3:$D$219,Table!$C$3,COEM_Package_20200302!$C$3:$C$219,Report_For_Each_Project!C146)</f>
        <v>0</v>
      </c>
      <c r="F154" s="11">
        <f>SUMIFS(COEM_Package_20200302!$T$3:$T$219,COEM_Package_20200302!$D$3:$D$219,Table!$C$3,COEM_Package_20200302!$C$3:$C$219,Report_For_Each_Project!C146)-SUM(SUMIFS(COEM_Package_20200302!$T$3:$T$219,COEM_Package_20200302!$D$3:$D$219,Table!$C$3,COEM_Package_20200302!$W$3:$W$219,{"Ongoing","N/A",""},COEM_Package_20200302!$C$3:$C$219,Report_For_Each_Project!C146))</f>
        <v>0</v>
      </c>
      <c r="G154" s="11">
        <f>E154/Table!$C$4</f>
        <v>0</v>
      </c>
      <c r="H154" s="11">
        <f>1/8*(SUMIFS(COEM_Package_20200302!$V$3:$V$219,COEM_Package_20200302!$D$3:$D$219,Table!$C$3,COEM_Package_20200302!$C$3:$C$219,Report_For_Each_Project!C146)-SUM(SUMIFS(COEM_Package_20200302!$V$3:$V$219,COEM_Package_20200302!$D$3:$D$219,Table!$C$3,COEM_Package_20200302!$W$3:$W$219,{"Ongoing","N/A",""},COEM_Package_20200302!$C$3:$C$219,Report_For_Each_Project!C146)))</f>
        <v>0</v>
      </c>
      <c r="I154" s="118" t="str">
        <f>IF(E154=0,"N/A",F154/E154)</f>
        <v>N/A</v>
      </c>
    </row>
    <row r="156" spans="1:9" x14ac:dyDescent="0.25">
      <c r="C156" t="s">
        <v>462</v>
      </c>
    </row>
  </sheetData>
  <customSheetViews>
    <customSheetView guid="{7E0EA425-A420-4443-B9E0-CDF0AA9E5D09}">
      <selection activeCell="L88" sqref="L88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250915DF-0B97-45D7-B29D-7EED4C89C1C1}">
      <selection activeCell="C134" sqref="C134"/>
      <pageMargins left="0.7" right="0.7" top="0.75" bottom="0.75" header="0.3" footer="0.3"/>
    </customSheetView>
  </customSheetViews>
  <conditionalFormatting sqref="H9">
    <cfRule type="cellIs" dxfId="111" priority="93" operator="greaterThan">
      <formula>G9</formula>
    </cfRule>
  </conditionalFormatting>
  <conditionalFormatting sqref="H82">
    <cfRule type="cellIs" dxfId="110" priority="57" operator="greaterThan">
      <formula>G82</formula>
    </cfRule>
  </conditionalFormatting>
  <conditionalFormatting sqref="H93">
    <cfRule type="cellIs" dxfId="109" priority="56" operator="greaterThan">
      <formula>G93</formula>
    </cfRule>
  </conditionalFormatting>
  <conditionalFormatting sqref="H10">
    <cfRule type="cellIs" dxfId="108" priority="85" operator="greaterThan">
      <formula>G10</formula>
    </cfRule>
  </conditionalFormatting>
  <conditionalFormatting sqref="H33">
    <cfRule type="cellIs" dxfId="107" priority="66" operator="greaterThan">
      <formula>G33</formula>
    </cfRule>
  </conditionalFormatting>
  <conditionalFormatting sqref="H34">
    <cfRule type="cellIs" dxfId="106" priority="65" operator="greaterThan">
      <formula>G34</formula>
    </cfRule>
  </conditionalFormatting>
  <conditionalFormatting sqref="H21">
    <cfRule type="cellIs" dxfId="105" priority="68" operator="greaterThan">
      <formula>G21</formula>
    </cfRule>
  </conditionalFormatting>
  <conditionalFormatting sqref="H22">
    <cfRule type="cellIs" dxfId="104" priority="67" operator="greaterThan">
      <formula>G22</formula>
    </cfRule>
  </conditionalFormatting>
  <conditionalFormatting sqref="H118">
    <cfRule type="cellIs" dxfId="103" priority="51" operator="greaterThan">
      <formula>G118</formula>
    </cfRule>
  </conditionalFormatting>
  <conditionalFormatting sqref="H45">
    <cfRule type="cellIs" dxfId="102" priority="64" operator="greaterThan">
      <formula>G45</formula>
    </cfRule>
  </conditionalFormatting>
  <conditionalFormatting sqref="H46">
    <cfRule type="cellIs" dxfId="101" priority="63" operator="greaterThan">
      <formula>G46</formula>
    </cfRule>
  </conditionalFormatting>
  <conditionalFormatting sqref="H57">
    <cfRule type="cellIs" dxfId="100" priority="62" operator="greaterThan">
      <formula>G57</formula>
    </cfRule>
  </conditionalFormatting>
  <conditionalFormatting sqref="H58">
    <cfRule type="cellIs" dxfId="99" priority="61" operator="greaterThan">
      <formula>G58</formula>
    </cfRule>
  </conditionalFormatting>
  <conditionalFormatting sqref="H69">
    <cfRule type="cellIs" dxfId="98" priority="60" operator="greaterThan">
      <formula>G69</formula>
    </cfRule>
  </conditionalFormatting>
  <conditionalFormatting sqref="H70">
    <cfRule type="cellIs" dxfId="97" priority="59" operator="greaterThan">
      <formula>G70</formula>
    </cfRule>
  </conditionalFormatting>
  <conditionalFormatting sqref="H81">
    <cfRule type="cellIs" dxfId="96" priority="58" operator="greaterThan">
      <formula>G81</formula>
    </cfRule>
  </conditionalFormatting>
  <conditionalFormatting sqref="H94">
    <cfRule type="cellIs" dxfId="95" priority="55" operator="greaterThan">
      <formula>G94</formula>
    </cfRule>
  </conditionalFormatting>
  <conditionalFormatting sqref="H105">
    <cfRule type="cellIs" dxfId="94" priority="54" operator="greaterThan">
      <formula>G105</formula>
    </cfRule>
  </conditionalFormatting>
  <conditionalFormatting sqref="H106">
    <cfRule type="cellIs" dxfId="93" priority="53" operator="greaterThan">
      <formula>G106</formula>
    </cfRule>
  </conditionalFormatting>
  <conditionalFormatting sqref="H117">
    <cfRule type="cellIs" dxfId="92" priority="52" operator="greaterThan">
      <formula>G117</formula>
    </cfRule>
  </conditionalFormatting>
  <conditionalFormatting sqref="I9">
    <cfRule type="cellIs" dxfId="91" priority="49" operator="equal">
      <formula>1</formula>
    </cfRule>
    <cfRule type="cellIs" dxfId="90" priority="50" operator="lessThan">
      <formula>1</formula>
    </cfRule>
  </conditionalFormatting>
  <conditionalFormatting sqref="I10">
    <cfRule type="cellIs" dxfId="89" priority="47" operator="equal">
      <formula>1</formula>
    </cfRule>
    <cfRule type="cellIs" dxfId="88" priority="48" operator="lessThan">
      <formula>1</formula>
    </cfRule>
  </conditionalFormatting>
  <conditionalFormatting sqref="I21">
    <cfRule type="cellIs" dxfId="87" priority="45" operator="equal">
      <formula>1</formula>
    </cfRule>
    <cfRule type="cellIs" dxfId="86" priority="46" operator="lessThan">
      <formula>1</formula>
    </cfRule>
  </conditionalFormatting>
  <conditionalFormatting sqref="I22">
    <cfRule type="cellIs" dxfId="85" priority="43" operator="equal">
      <formula>1</formula>
    </cfRule>
    <cfRule type="cellIs" dxfId="84" priority="44" operator="lessThan">
      <formula>1</formula>
    </cfRule>
  </conditionalFormatting>
  <conditionalFormatting sqref="I45">
    <cfRule type="cellIs" dxfId="83" priority="41" operator="equal">
      <formula>1</formula>
    </cfRule>
    <cfRule type="cellIs" dxfId="82" priority="42" operator="lessThan">
      <formula>1</formula>
    </cfRule>
  </conditionalFormatting>
  <conditionalFormatting sqref="I46">
    <cfRule type="cellIs" dxfId="81" priority="39" operator="equal">
      <formula>1</formula>
    </cfRule>
    <cfRule type="cellIs" dxfId="80" priority="40" operator="lessThan">
      <formula>1</formula>
    </cfRule>
  </conditionalFormatting>
  <conditionalFormatting sqref="I69">
    <cfRule type="cellIs" dxfId="79" priority="37" operator="equal">
      <formula>1</formula>
    </cfRule>
    <cfRule type="cellIs" dxfId="78" priority="38" operator="lessThan">
      <formula>1</formula>
    </cfRule>
  </conditionalFormatting>
  <conditionalFormatting sqref="I70">
    <cfRule type="cellIs" dxfId="77" priority="35" operator="equal">
      <formula>1</formula>
    </cfRule>
    <cfRule type="cellIs" dxfId="76" priority="36" operator="lessThan">
      <formula>1</formula>
    </cfRule>
  </conditionalFormatting>
  <conditionalFormatting sqref="I81">
    <cfRule type="cellIs" dxfId="75" priority="33" operator="equal">
      <formula>1</formula>
    </cfRule>
    <cfRule type="cellIs" dxfId="74" priority="34" operator="lessThan">
      <formula>1</formula>
    </cfRule>
  </conditionalFormatting>
  <conditionalFormatting sqref="I82">
    <cfRule type="cellIs" dxfId="73" priority="31" operator="equal">
      <formula>1</formula>
    </cfRule>
    <cfRule type="cellIs" dxfId="72" priority="32" operator="lessThan">
      <formula>1</formula>
    </cfRule>
  </conditionalFormatting>
  <conditionalFormatting sqref="I93">
    <cfRule type="cellIs" dxfId="71" priority="29" operator="equal">
      <formula>1</formula>
    </cfRule>
    <cfRule type="cellIs" dxfId="70" priority="30" operator="lessThan">
      <formula>1</formula>
    </cfRule>
  </conditionalFormatting>
  <conditionalFormatting sqref="I94">
    <cfRule type="cellIs" dxfId="69" priority="27" operator="equal">
      <formula>1</formula>
    </cfRule>
    <cfRule type="cellIs" dxfId="68" priority="28" operator="lessThan">
      <formula>1</formula>
    </cfRule>
  </conditionalFormatting>
  <conditionalFormatting sqref="I105">
    <cfRule type="cellIs" dxfId="67" priority="25" operator="equal">
      <formula>1</formula>
    </cfRule>
    <cfRule type="cellIs" dxfId="66" priority="26" operator="lessThan">
      <formula>1</formula>
    </cfRule>
  </conditionalFormatting>
  <conditionalFormatting sqref="I106">
    <cfRule type="cellIs" dxfId="65" priority="23" operator="equal">
      <formula>1</formula>
    </cfRule>
    <cfRule type="cellIs" dxfId="64" priority="24" operator="lessThan">
      <formula>1</formula>
    </cfRule>
  </conditionalFormatting>
  <conditionalFormatting sqref="I117">
    <cfRule type="cellIs" dxfId="63" priority="21" operator="equal">
      <formula>1</formula>
    </cfRule>
    <cfRule type="cellIs" dxfId="62" priority="22" operator="lessThan">
      <formula>1</formula>
    </cfRule>
  </conditionalFormatting>
  <conditionalFormatting sqref="I118">
    <cfRule type="cellIs" dxfId="61" priority="19" operator="equal">
      <formula>1</formula>
    </cfRule>
    <cfRule type="cellIs" dxfId="60" priority="20" operator="lessThan">
      <formula>1</formula>
    </cfRule>
  </conditionalFormatting>
  <conditionalFormatting sqref="I33:I34">
    <cfRule type="cellIs" dxfId="59" priority="17" operator="equal">
      <formula>1</formula>
    </cfRule>
    <cfRule type="cellIs" dxfId="58" priority="18" operator="lessThan">
      <formula>1</formula>
    </cfRule>
  </conditionalFormatting>
  <conditionalFormatting sqref="I57:I58">
    <cfRule type="cellIs" dxfId="57" priority="15" operator="equal">
      <formula>1</formula>
    </cfRule>
    <cfRule type="cellIs" dxfId="56" priority="16" operator="lessThan">
      <formula>1</formula>
    </cfRule>
  </conditionalFormatting>
  <conditionalFormatting sqref="I129">
    <cfRule type="cellIs" dxfId="55" priority="13" operator="equal">
      <formula>1</formula>
    </cfRule>
    <cfRule type="cellIs" dxfId="54" priority="14" operator="lessThan">
      <formula>1</formula>
    </cfRule>
  </conditionalFormatting>
  <conditionalFormatting sqref="I130">
    <cfRule type="cellIs" dxfId="53" priority="11" operator="equal">
      <formula>1</formula>
    </cfRule>
    <cfRule type="cellIs" dxfId="52" priority="12" operator="lessThan">
      <formula>1</formula>
    </cfRule>
  </conditionalFormatting>
  <conditionalFormatting sqref="H130">
    <cfRule type="cellIs" dxfId="51" priority="9" operator="greaterThan">
      <formula>G130</formula>
    </cfRule>
  </conditionalFormatting>
  <conditionalFormatting sqref="H129">
    <cfRule type="cellIs" dxfId="50" priority="10" operator="greaterThan">
      <formula>G129</formula>
    </cfRule>
  </conditionalFormatting>
  <conditionalFormatting sqref="I141">
    <cfRule type="cellIs" dxfId="49" priority="7" operator="equal">
      <formula>1</formula>
    </cfRule>
    <cfRule type="cellIs" dxfId="48" priority="8" operator="lessThan">
      <formula>1</formula>
    </cfRule>
  </conditionalFormatting>
  <conditionalFormatting sqref="I142">
    <cfRule type="cellIs" dxfId="47" priority="5" operator="equal">
      <formula>1</formula>
    </cfRule>
    <cfRule type="cellIs" dxfId="46" priority="6" operator="lessThan">
      <formula>1</formula>
    </cfRule>
  </conditionalFormatting>
  <conditionalFormatting sqref="I153">
    <cfRule type="cellIs" dxfId="45" priority="3" operator="equal">
      <formula>1</formula>
    </cfRule>
    <cfRule type="cellIs" dxfId="44" priority="4" operator="lessThan">
      <formula>1</formula>
    </cfRule>
  </conditionalFormatting>
  <conditionalFormatting sqref="I154">
    <cfRule type="cellIs" dxfId="43" priority="1" operator="equal">
      <formula>1</formula>
    </cfRule>
    <cfRule type="cellIs" dxfId="42" priority="2" operator="less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41"/>
  <sheetViews>
    <sheetView topLeftCell="A22" workbookViewId="0">
      <selection activeCell="C18" sqref="C18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6</v>
      </c>
    </row>
    <row r="14" spans="2:5" x14ac:dyDescent="0.25">
      <c r="B14" s="3">
        <v>2</v>
      </c>
      <c r="C14" s="3" t="s">
        <v>82</v>
      </c>
    </row>
    <row r="15" spans="2:5" x14ac:dyDescent="0.25">
      <c r="B15" s="3">
        <v>3</v>
      </c>
      <c r="C15" s="3" t="s">
        <v>83</v>
      </c>
    </row>
    <row r="16" spans="2:5" x14ac:dyDescent="0.25">
      <c r="B16" s="3">
        <v>4</v>
      </c>
      <c r="C16" s="3" t="s">
        <v>84</v>
      </c>
    </row>
    <row r="17" spans="2:5" x14ac:dyDescent="0.25">
      <c r="B17" s="3">
        <v>5</v>
      </c>
      <c r="C17" s="3" t="s">
        <v>85</v>
      </c>
    </row>
    <row r="18" spans="2:5" x14ac:dyDescent="0.25">
      <c r="B18" s="3">
        <v>6</v>
      </c>
      <c r="C18" s="3" t="s">
        <v>86</v>
      </c>
    </row>
    <row r="19" spans="2:5" x14ac:dyDescent="0.25">
      <c r="B19" s="3">
        <v>7</v>
      </c>
      <c r="C19" s="3" t="s">
        <v>87</v>
      </c>
    </row>
    <row r="20" spans="2:5" x14ac:dyDescent="0.25">
      <c r="B20" s="3">
        <v>8</v>
      </c>
      <c r="C20" s="3" t="s">
        <v>88</v>
      </c>
    </row>
    <row r="22" spans="2:5" x14ac:dyDescent="0.25">
      <c r="B22" s="14" t="s">
        <v>19</v>
      </c>
    </row>
    <row r="23" spans="2:5" x14ac:dyDescent="0.25">
      <c r="B23" s="2" t="s">
        <v>0</v>
      </c>
      <c r="C23" s="2" t="s">
        <v>17</v>
      </c>
    </row>
    <row r="24" spans="2:5" x14ac:dyDescent="0.25">
      <c r="B24" s="2">
        <v>1</v>
      </c>
      <c r="C24" s="3" t="s">
        <v>20</v>
      </c>
      <c r="E24" s="41" t="s">
        <v>192</v>
      </c>
    </row>
    <row r="25" spans="2:5" x14ac:dyDescent="0.25">
      <c r="B25" s="2">
        <v>2</v>
      </c>
      <c r="C25" s="3" t="s">
        <v>23</v>
      </c>
    </row>
    <row r="26" spans="2:5" x14ac:dyDescent="0.25">
      <c r="B26" s="2">
        <v>3</v>
      </c>
      <c r="C26" s="3" t="s">
        <v>18</v>
      </c>
    </row>
    <row r="27" spans="2:5" x14ac:dyDescent="0.25">
      <c r="B27" s="2">
        <v>4</v>
      </c>
      <c r="C27" s="3" t="s">
        <v>107</v>
      </c>
    </row>
    <row r="28" spans="2:5" x14ac:dyDescent="0.25">
      <c r="B28" s="2">
        <v>5</v>
      </c>
      <c r="C28" s="3" t="s">
        <v>21</v>
      </c>
    </row>
    <row r="29" spans="2:5" x14ac:dyDescent="0.25">
      <c r="B29" s="2">
        <v>6</v>
      </c>
      <c r="C29" s="3" t="s">
        <v>193</v>
      </c>
    </row>
    <row r="30" spans="2:5" x14ac:dyDescent="0.25">
      <c r="B30" s="2">
        <v>7</v>
      </c>
      <c r="C30" s="3" t="s">
        <v>108</v>
      </c>
    </row>
    <row r="32" spans="2:5" x14ac:dyDescent="0.25">
      <c r="B32" s="14" t="s">
        <v>195</v>
      </c>
    </row>
    <row r="33" spans="2:3" x14ac:dyDescent="0.25">
      <c r="B33" s="2" t="s">
        <v>0</v>
      </c>
      <c r="C33" s="2" t="s">
        <v>17</v>
      </c>
    </row>
    <row r="34" spans="2:3" x14ac:dyDescent="0.25">
      <c r="B34" s="2">
        <v>1</v>
      </c>
      <c r="C34" s="3" t="s">
        <v>196</v>
      </c>
    </row>
    <row r="35" spans="2:3" x14ac:dyDescent="0.25">
      <c r="B35" s="2">
        <v>2</v>
      </c>
      <c r="C35" s="3" t="s">
        <v>197</v>
      </c>
    </row>
    <row r="37" spans="2:3" x14ac:dyDescent="0.25">
      <c r="B37" s="14" t="s">
        <v>195</v>
      </c>
    </row>
    <row r="38" spans="2:3" x14ac:dyDescent="0.25">
      <c r="B38" s="2" t="s">
        <v>0</v>
      </c>
      <c r="C38" s="2" t="s">
        <v>17</v>
      </c>
    </row>
    <row r="39" spans="2:3" x14ac:dyDescent="0.25">
      <c r="B39" s="2">
        <v>1</v>
      </c>
      <c r="C39" s="3" t="s">
        <v>801</v>
      </c>
    </row>
    <row r="40" spans="2:3" x14ac:dyDescent="0.25">
      <c r="B40" s="2">
        <v>2</v>
      </c>
      <c r="C40" s="3" t="s">
        <v>802</v>
      </c>
    </row>
    <row r="41" spans="2:3" x14ac:dyDescent="0.25">
      <c r="B41" s="2">
        <v>3</v>
      </c>
      <c r="C41" s="3" t="s">
        <v>20</v>
      </c>
    </row>
  </sheetData>
  <customSheetViews>
    <customSheetView guid="{7E0EA425-A420-4443-B9E0-CDF0AA9E5D09}" topLeftCell="A22">
      <selection activeCell="C18" sqref="C18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60D2C030-4E31-4E07-8E1C-44D2EE84B177}">
      <selection activeCell="B24" sqref="B24:C29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250915DF-0B97-45D7-B29D-7EED4C89C1C1}">
      <selection activeCell="F9" sqref="F9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6" sqref="B6:C6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171</v>
      </c>
    </row>
    <row r="2" spans="1:3" x14ac:dyDescent="0.25">
      <c r="B2" s="39" t="s">
        <v>173</v>
      </c>
      <c r="C2" t="s">
        <v>174</v>
      </c>
    </row>
    <row r="3" spans="1:3" x14ac:dyDescent="0.25">
      <c r="B3" s="39" t="s">
        <v>176</v>
      </c>
      <c r="C3" t="s">
        <v>175</v>
      </c>
    </row>
    <row r="4" spans="1:3" x14ac:dyDescent="0.25">
      <c r="B4" s="39"/>
    </row>
    <row r="5" spans="1:3" x14ac:dyDescent="0.25">
      <c r="B5" s="38" t="s">
        <v>169</v>
      </c>
    </row>
    <row r="6" spans="1:3" x14ac:dyDescent="0.25">
      <c r="B6" s="39" t="s">
        <v>177</v>
      </c>
      <c r="C6" t="s">
        <v>178</v>
      </c>
    </row>
    <row r="7" spans="1:3" x14ac:dyDescent="0.25">
      <c r="B7" s="39"/>
    </row>
    <row r="8" spans="1:3" x14ac:dyDescent="0.25">
      <c r="B8" s="38" t="s">
        <v>170</v>
      </c>
      <c r="C8" t="s">
        <v>172</v>
      </c>
    </row>
  </sheetData>
  <customSheetViews>
    <customSheetView guid="{7E0EA425-A420-4443-B9E0-CDF0AA9E5D09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40" workbookViewId="0">
      <selection activeCell="H6" sqref="H6"/>
    </sheetView>
  </sheetViews>
  <sheetFormatPr defaultRowHeight="15" x14ac:dyDescent="0.25"/>
  <cols>
    <col min="2" max="2" width="9.140625" customWidth="1"/>
    <col min="7" max="7" width="8.5703125" bestFit="1" customWidth="1"/>
  </cols>
  <sheetData>
    <row r="1" spans="1:7" x14ac:dyDescent="0.25">
      <c r="A1" s="1" t="s">
        <v>42</v>
      </c>
      <c r="B1" s="114">
        <v>43892</v>
      </c>
      <c r="D1" s="114">
        <v>43917</v>
      </c>
    </row>
    <row r="2" spans="1:7" x14ac:dyDescent="0.25">
      <c r="A2" s="1" t="s">
        <v>30</v>
      </c>
      <c r="B2" s="9">
        <v>20</v>
      </c>
    </row>
    <row r="3" spans="1:7" x14ac:dyDescent="0.25">
      <c r="A3" s="1" t="s">
        <v>321</v>
      </c>
      <c r="B3">
        <v>19.25</v>
      </c>
    </row>
    <row r="5" spans="1:7" x14ac:dyDescent="0.25">
      <c r="B5" s="1" t="s">
        <v>34</v>
      </c>
    </row>
    <row r="6" spans="1:7" ht="75" x14ac:dyDescent="0.25">
      <c r="C6" s="149" t="s">
        <v>25</v>
      </c>
      <c r="D6" s="149" t="s">
        <v>26</v>
      </c>
      <c r="E6" s="149" t="s">
        <v>27</v>
      </c>
      <c r="F6" s="149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v>37778</v>
      </c>
      <c r="F7" s="11">
        <v>34256</v>
      </c>
      <c r="G7" s="118">
        <v>0.90677113664037268</v>
      </c>
    </row>
    <row r="8" spans="1:7" x14ac:dyDescent="0.25">
      <c r="C8" s="10">
        <v>2</v>
      </c>
      <c r="D8" s="11" t="s">
        <v>2</v>
      </c>
      <c r="E8" s="11">
        <v>659</v>
      </c>
      <c r="F8" s="11">
        <v>659</v>
      </c>
      <c r="G8" s="118">
        <v>1</v>
      </c>
    </row>
    <row r="10" spans="1:7" x14ac:dyDescent="0.25">
      <c r="B10" s="1" t="s">
        <v>35</v>
      </c>
    </row>
    <row r="11" spans="1:7" ht="30" x14ac:dyDescent="0.25">
      <c r="C11" s="149" t="s">
        <v>25</v>
      </c>
      <c r="D11" s="149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v>6435</v>
      </c>
      <c r="F12" s="11">
        <v>347</v>
      </c>
    </row>
    <row r="13" spans="1:7" x14ac:dyDescent="0.25">
      <c r="C13" s="111">
        <v>2</v>
      </c>
      <c r="D13" s="111" t="s">
        <v>468</v>
      </c>
      <c r="E13" s="11">
        <v>9356</v>
      </c>
      <c r="F13" s="11">
        <v>182</v>
      </c>
    </row>
    <row r="14" spans="1:7" x14ac:dyDescent="0.25">
      <c r="C14" s="111">
        <v>3</v>
      </c>
      <c r="D14" s="111" t="s">
        <v>469</v>
      </c>
      <c r="E14" s="11">
        <v>9292</v>
      </c>
      <c r="F14" s="11">
        <v>87</v>
      </c>
    </row>
    <row r="15" spans="1:7" x14ac:dyDescent="0.25">
      <c r="C15" s="111">
        <v>4</v>
      </c>
      <c r="D15" s="111" t="s">
        <v>470</v>
      </c>
      <c r="E15" s="11">
        <v>9173</v>
      </c>
      <c r="F15" s="11"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49" t="s">
        <v>25</v>
      </c>
      <c r="D19" s="146" t="s">
        <v>37</v>
      </c>
      <c r="E19" s="147"/>
      <c r="F19" s="147"/>
      <c r="G19" s="148"/>
    </row>
    <row r="20" spans="2:7" x14ac:dyDescent="0.25">
      <c r="C20" s="111">
        <v>1</v>
      </c>
      <c r="D20" s="115" t="s">
        <v>682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ht="30" x14ac:dyDescent="0.25">
      <c r="C26" s="149" t="s">
        <v>25</v>
      </c>
      <c r="D26" s="149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1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6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680</v>
      </c>
    </row>
    <row r="34" spans="2:6" ht="30" x14ac:dyDescent="0.25">
      <c r="C34" s="149" t="s">
        <v>25</v>
      </c>
      <c r="D34" s="149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">
        <v>467</v>
      </c>
      <c r="E35" s="68" t="s">
        <v>76</v>
      </c>
      <c r="F35" s="108" t="s">
        <v>76</v>
      </c>
    </row>
    <row r="36" spans="2:6" x14ac:dyDescent="0.25">
      <c r="C36" s="111">
        <v>2</v>
      </c>
      <c r="D36" s="111" t="s">
        <v>468</v>
      </c>
      <c r="E36" s="68">
        <v>1</v>
      </c>
      <c r="F36" s="108" t="s">
        <v>678</v>
      </c>
    </row>
    <row r="37" spans="2:6" x14ac:dyDescent="0.25">
      <c r="C37" s="111">
        <v>3</v>
      </c>
      <c r="D37" s="111" t="s">
        <v>469</v>
      </c>
      <c r="E37" s="11">
        <v>1</v>
      </c>
      <c r="F37" s="108" t="s">
        <v>464</v>
      </c>
    </row>
    <row r="38" spans="2:6" x14ac:dyDescent="0.25">
      <c r="C38" s="111">
        <v>4</v>
      </c>
      <c r="D38" s="111" t="s">
        <v>470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 topLeftCell="A40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4">
        <v>43892</v>
      </c>
      <c r="D1" s="114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321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10" t="s">
        <v>25</v>
      </c>
      <c r="D6" s="110" t="s">
        <v>26</v>
      </c>
      <c r="E6" s="110" t="s">
        <v>27</v>
      </c>
      <c r="F6" s="110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COEM_Package_20200302!D243</f>
        <v>38531</v>
      </c>
      <c r="F7" s="11">
        <f>COEM_Package_20200302!E243</f>
        <v>36339</v>
      </c>
      <c r="G7" s="118">
        <f>F7/E7</f>
        <v>0.94311074199994804</v>
      </c>
    </row>
    <row r="8" spans="1:7" x14ac:dyDescent="0.25">
      <c r="C8" s="10">
        <v>2</v>
      </c>
      <c r="D8" s="11" t="s">
        <v>2</v>
      </c>
      <c r="E8" s="11">
        <f>COEM_Package_20200302!D234</f>
        <v>659</v>
      </c>
      <c r="F8" s="11">
        <f>COEM_Package_20200302!E234</f>
        <v>659</v>
      </c>
      <c r="G8" s="118">
        <f>F8/E8</f>
        <v>1</v>
      </c>
    </row>
    <row r="10" spans="1:7" x14ac:dyDescent="0.25">
      <c r="B10" s="1" t="s">
        <v>35</v>
      </c>
    </row>
    <row r="11" spans="1:7" ht="30" x14ac:dyDescent="0.25">
      <c r="C11" s="110" t="s">
        <v>25</v>
      </c>
      <c r="D11" s="110" t="s">
        <v>31</v>
      </c>
      <c r="E11" s="13" t="s">
        <v>32</v>
      </c>
      <c r="F11" s="13" t="s">
        <v>33</v>
      </c>
    </row>
    <row r="12" spans="1:7" x14ac:dyDescent="0.25">
      <c r="C12" s="111">
        <v>1</v>
      </c>
      <c r="D12" s="111" t="s">
        <v>467</v>
      </c>
      <c r="E12" s="11">
        <f>COEM_Package_20200302!E239</f>
        <v>8562</v>
      </c>
      <c r="F12" s="11">
        <f>COEM_Package_20200302!E230</f>
        <v>347</v>
      </c>
    </row>
    <row r="13" spans="1:7" x14ac:dyDescent="0.25">
      <c r="C13" s="111">
        <v>2</v>
      </c>
      <c r="D13" s="111" t="s">
        <v>468</v>
      </c>
      <c r="E13" s="11">
        <f>COEM_Package_20200302!E240</f>
        <v>9356</v>
      </c>
      <c r="F13" s="11">
        <f>COEM_Package_20200302!E231</f>
        <v>182</v>
      </c>
    </row>
    <row r="14" spans="1:7" x14ac:dyDescent="0.25">
      <c r="C14" s="111">
        <v>3</v>
      </c>
      <c r="D14" s="111" t="s">
        <v>469</v>
      </c>
      <c r="E14" s="11">
        <f>COEM_Package_20200302!E241</f>
        <v>9248</v>
      </c>
      <c r="F14" s="11">
        <f>COEM_Package_20200302!E232</f>
        <v>87</v>
      </c>
    </row>
    <row r="15" spans="1:7" x14ac:dyDescent="0.25">
      <c r="C15" s="111">
        <v>4</v>
      </c>
      <c r="D15" s="111" t="s">
        <v>470</v>
      </c>
      <c r="E15" s="11">
        <f>COEM_Package_20200302!E242</f>
        <v>9173</v>
      </c>
      <c r="F15" s="11">
        <f>COEM_Package_20200302!D233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10" t="s">
        <v>25</v>
      </c>
      <c r="D19" s="170" t="s">
        <v>37</v>
      </c>
      <c r="E19" s="170"/>
      <c r="F19" s="170"/>
      <c r="G19" s="170"/>
    </row>
    <row r="20" spans="2:7" x14ac:dyDescent="0.25">
      <c r="C20" s="111">
        <v>1</v>
      </c>
      <c r="D20" s="115" t="s">
        <v>76</v>
      </c>
      <c r="E20" s="116"/>
      <c r="F20" s="116"/>
      <c r="G20" s="117"/>
    </row>
    <row r="21" spans="2:7" x14ac:dyDescent="0.25">
      <c r="C21" s="111">
        <v>2</v>
      </c>
      <c r="D21" s="115" t="s">
        <v>76</v>
      </c>
      <c r="E21" s="116"/>
      <c r="F21" s="116"/>
      <c r="G21" s="117"/>
    </row>
    <row r="22" spans="2:7" x14ac:dyDescent="0.25">
      <c r="C22" s="111">
        <v>3</v>
      </c>
      <c r="D22" s="115" t="s">
        <v>76</v>
      </c>
      <c r="E22" s="116"/>
      <c r="F22" s="116"/>
      <c r="G22" s="117"/>
    </row>
    <row r="23" spans="2:7" x14ac:dyDescent="0.25">
      <c r="C23" s="111">
        <v>4</v>
      </c>
      <c r="D23" s="115" t="s">
        <v>76</v>
      </c>
      <c r="E23" s="116"/>
      <c r="F23" s="116"/>
      <c r="G23" s="117"/>
    </row>
    <row r="25" spans="2:7" x14ac:dyDescent="0.25">
      <c r="B25" s="1" t="s">
        <v>38</v>
      </c>
    </row>
    <row r="26" spans="2:7" x14ac:dyDescent="0.25">
      <c r="C26" s="110" t="s">
        <v>25</v>
      </c>
      <c r="D26" s="110" t="s">
        <v>31</v>
      </c>
      <c r="E26" s="13" t="s">
        <v>458</v>
      </c>
      <c r="F26" s="13" t="s">
        <v>459</v>
      </c>
    </row>
    <row r="27" spans="2:7" x14ac:dyDescent="0.25">
      <c r="C27" s="111">
        <v>1</v>
      </c>
      <c r="D27" s="111" t="s">
        <v>467</v>
      </c>
      <c r="E27" s="68">
        <v>6</v>
      </c>
      <c r="F27" s="11">
        <v>0</v>
      </c>
    </row>
    <row r="28" spans="2:7" x14ac:dyDescent="0.25">
      <c r="C28" s="111">
        <v>2</v>
      </c>
      <c r="D28" s="111" t="s">
        <v>468</v>
      </c>
      <c r="E28" s="68">
        <v>9</v>
      </c>
      <c r="F28" s="11">
        <v>0</v>
      </c>
    </row>
    <row r="29" spans="2:7" x14ac:dyDescent="0.25">
      <c r="C29" s="111">
        <v>3</v>
      </c>
      <c r="D29" s="111" t="s">
        <v>469</v>
      </c>
      <c r="E29" s="11">
        <v>5</v>
      </c>
      <c r="F29" s="68">
        <v>0</v>
      </c>
    </row>
    <row r="30" spans="2:7" x14ac:dyDescent="0.25">
      <c r="C30" s="111">
        <v>4</v>
      </c>
      <c r="D30" s="111" t="s">
        <v>470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10" t="s">
        <v>25</v>
      </c>
      <c r="D34" s="110" t="s">
        <v>31</v>
      </c>
      <c r="E34" s="13" t="s">
        <v>40</v>
      </c>
      <c r="F34" s="13" t="s">
        <v>41</v>
      </c>
    </row>
    <row r="35" spans="2:6" x14ac:dyDescent="0.25">
      <c r="C35" s="111">
        <v>1</v>
      </c>
      <c r="D35" s="111" t="str">
        <f>COEM_Package_20200302!C248</f>
        <v>duong.nguyen</v>
      </c>
      <c r="E35" s="68" t="s">
        <v>76</v>
      </c>
      <c r="F35" s="111" t="s">
        <v>76</v>
      </c>
    </row>
    <row r="36" spans="2:6" x14ac:dyDescent="0.25">
      <c r="C36" s="111">
        <v>2</v>
      </c>
      <c r="D36" s="111" t="str">
        <f>COEM_Package_20200302!C249</f>
        <v>loc.do-phu</v>
      </c>
      <c r="E36" s="68">
        <v>1</v>
      </c>
      <c r="F36" s="111" t="s">
        <v>76</v>
      </c>
    </row>
    <row r="37" spans="2:6" x14ac:dyDescent="0.25">
      <c r="C37" s="111">
        <v>3</v>
      </c>
      <c r="D37" s="111" t="str">
        <f>COEM_Package_20200302!C250</f>
        <v>thanh.nguyen-kim</v>
      </c>
      <c r="E37" s="11">
        <v>1</v>
      </c>
      <c r="F37" s="108" t="s">
        <v>464</v>
      </c>
    </row>
    <row r="38" spans="2:6" x14ac:dyDescent="0.25">
      <c r="C38" s="111">
        <v>4</v>
      </c>
      <c r="D38" s="111" t="str">
        <f>COEM_Package_20200302!C251</f>
        <v>chung.ly</v>
      </c>
      <c r="E38" s="11" t="s">
        <v>76</v>
      </c>
      <c r="F38" s="111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452</v>
      </c>
      <c r="C51" s="105">
        <v>5.8283760683760688</v>
      </c>
      <c r="D51" t="s">
        <v>453</v>
      </c>
    </row>
    <row r="52" spans="1:9" x14ac:dyDescent="0.25">
      <c r="B52" s="1" t="s">
        <v>460</v>
      </c>
      <c r="C52" s="9"/>
      <c r="F52" s="8"/>
      <c r="G52" s="8"/>
      <c r="H52" s="8"/>
    </row>
    <row r="53" spans="1:9" x14ac:dyDescent="0.25">
      <c r="B53" s="1" t="s">
        <v>461</v>
      </c>
      <c r="C53" s="9"/>
      <c r="F53" s="8"/>
      <c r="G53" s="8"/>
      <c r="H53" s="8"/>
    </row>
    <row r="54" spans="1:9" x14ac:dyDescent="0.25">
      <c r="B54" s="1" t="s">
        <v>17</v>
      </c>
      <c r="C54" t="s">
        <v>471</v>
      </c>
    </row>
    <row r="56" spans="1:9" ht="75" x14ac:dyDescent="0.25">
      <c r="C56" s="110" t="s">
        <v>25</v>
      </c>
      <c r="D56" s="110" t="s">
        <v>26</v>
      </c>
      <c r="E56" s="13" t="s">
        <v>454</v>
      </c>
      <c r="F56" s="13" t="s">
        <v>455</v>
      </c>
      <c r="G56" s="13" t="s">
        <v>456</v>
      </c>
      <c r="H56" s="13" t="s">
        <v>457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8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8">
        <v>1</v>
      </c>
    </row>
    <row r="60" spans="1:9" x14ac:dyDescent="0.25">
      <c r="C60" t="s">
        <v>462</v>
      </c>
    </row>
    <row r="61" spans="1:9" x14ac:dyDescent="0.25">
      <c r="D61" s="113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452</v>
      </c>
      <c r="C63" s="105">
        <v>17.829059829059826</v>
      </c>
      <c r="D63" t="s">
        <v>453</v>
      </c>
    </row>
    <row r="64" spans="1:9" x14ac:dyDescent="0.25">
      <c r="B64" s="1" t="s">
        <v>460</v>
      </c>
      <c r="C64" s="9"/>
      <c r="F64" s="8"/>
      <c r="G64" s="8"/>
      <c r="H64" s="8"/>
    </row>
    <row r="65" spans="1:9" x14ac:dyDescent="0.25">
      <c r="B65" s="1" t="s">
        <v>461</v>
      </c>
      <c r="C65" s="9"/>
      <c r="F65" s="8"/>
      <c r="G65" s="8"/>
      <c r="H65" s="8"/>
    </row>
    <row r="66" spans="1:9" x14ac:dyDescent="0.25">
      <c r="B66" s="1" t="s">
        <v>17</v>
      </c>
      <c r="C66" t="s">
        <v>472</v>
      </c>
    </row>
    <row r="68" spans="1:9" ht="75" x14ac:dyDescent="0.25">
      <c r="C68" s="110" t="s">
        <v>25</v>
      </c>
      <c r="D68" s="110" t="s">
        <v>26</v>
      </c>
      <c r="E68" s="13" t="s">
        <v>454</v>
      </c>
      <c r="F68" s="13" t="s">
        <v>455</v>
      </c>
      <c r="G68" s="13" t="s">
        <v>456</v>
      </c>
      <c r="H68" s="13" t="s">
        <v>457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8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8">
        <v>1</v>
      </c>
    </row>
    <row r="72" spans="1:9" x14ac:dyDescent="0.25">
      <c r="C72" t="s">
        <v>462</v>
      </c>
    </row>
    <row r="73" spans="1:9" x14ac:dyDescent="0.25">
      <c r="D73" s="113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452</v>
      </c>
      <c r="C75" s="105">
        <v>8.4044444444444437</v>
      </c>
      <c r="D75" t="s">
        <v>453</v>
      </c>
    </row>
    <row r="76" spans="1:9" x14ac:dyDescent="0.25">
      <c r="B76" s="1" t="s">
        <v>460</v>
      </c>
      <c r="C76" s="9"/>
      <c r="F76" s="8"/>
      <c r="G76" s="8"/>
      <c r="H76" s="8"/>
    </row>
    <row r="77" spans="1:9" x14ac:dyDescent="0.25">
      <c r="B77" s="1" t="s">
        <v>461</v>
      </c>
      <c r="C77" s="9"/>
      <c r="F77" s="8"/>
      <c r="G77" s="8"/>
      <c r="H77" s="8"/>
    </row>
    <row r="78" spans="1:9" x14ac:dyDescent="0.25">
      <c r="B78" s="1" t="s">
        <v>17</v>
      </c>
      <c r="C78" t="s">
        <v>472</v>
      </c>
    </row>
    <row r="80" spans="1:9" ht="75" x14ac:dyDescent="0.25">
      <c r="C80" s="110" t="s">
        <v>25</v>
      </c>
      <c r="D80" s="110" t="s">
        <v>26</v>
      </c>
      <c r="E80" s="13" t="s">
        <v>454</v>
      </c>
      <c r="F80" s="13" t="s">
        <v>455</v>
      </c>
      <c r="G80" s="13" t="s">
        <v>456</v>
      </c>
      <c r="H80" s="13" t="s">
        <v>457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8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8" t="s">
        <v>20</v>
      </c>
    </row>
    <row r="84" spans="1:9" x14ac:dyDescent="0.25">
      <c r="C84" t="s">
        <v>462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452</v>
      </c>
      <c r="C87" s="105">
        <v>2.5577777777777779</v>
      </c>
      <c r="D87" t="s">
        <v>453</v>
      </c>
    </row>
    <row r="88" spans="1:9" x14ac:dyDescent="0.25">
      <c r="B88" s="1" t="s">
        <v>460</v>
      </c>
      <c r="C88" s="9"/>
      <c r="F88" s="8"/>
      <c r="G88" s="8"/>
      <c r="H88" s="8"/>
    </row>
    <row r="89" spans="1:9" x14ac:dyDescent="0.25">
      <c r="B89" s="1" t="s">
        <v>461</v>
      </c>
      <c r="C89" s="9"/>
      <c r="F89" s="8"/>
      <c r="G89" s="8"/>
      <c r="H89" s="8"/>
    </row>
    <row r="90" spans="1:9" x14ac:dyDescent="0.25">
      <c r="B90" s="1" t="s">
        <v>17</v>
      </c>
      <c r="C90" t="s">
        <v>472</v>
      </c>
    </row>
    <row r="92" spans="1:9" ht="75" x14ac:dyDescent="0.25">
      <c r="C92" s="110" t="s">
        <v>25</v>
      </c>
      <c r="D92" s="110" t="s">
        <v>26</v>
      </c>
      <c r="E92" s="13" t="s">
        <v>454</v>
      </c>
      <c r="F92" s="13" t="s">
        <v>455</v>
      </c>
      <c r="G92" s="13" t="s">
        <v>456</v>
      </c>
      <c r="H92" s="13" t="s">
        <v>457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8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8" t="s">
        <v>20</v>
      </c>
    </row>
    <row r="96" spans="1:9" x14ac:dyDescent="0.25">
      <c r="C96" t="s">
        <v>462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452</v>
      </c>
      <c r="C99" s="105">
        <v>1.0777777777777777</v>
      </c>
      <c r="D99" t="s">
        <v>453</v>
      </c>
    </row>
    <row r="100" spans="1:9" x14ac:dyDescent="0.25">
      <c r="B100" s="1" t="s">
        <v>460</v>
      </c>
      <c r="C100" s="9"/>
      <c r="F100" s="8"/>
      <c r="G100" s="8"/>
      <c r="H100" s="8"/>
    </row>
    <row r="101" spans="1:9" x14ac:dyDescent="0.25">
      <c r="B101" s="1" t="s">
        <v>461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471</v>
      </c>
    </row>
    <row r="104" spans="1:9" ht="75" x14ac:dyDescent="0.25">
      <c r="C104" s="110" t="s">
        <v>25</v>
      </c>
      <c r="D104" s="110" t="s">
        <v>26</v>
      </c>
      <c r="E104" s="13" t="s">
        <v>454</v>
      </c>
      <c r="F104" s="13" t="s">
        <v>455</v>
      </c>
      <c r="G104" s="13" t="s">
        <v>456</v>
      </c>
      <c r="H104" s="13" t="s">
        <v>457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8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8" t="s">
        <v>20</v>
      </c>
    </row>
    <row r="108" spans="1:9" x14ac:dyDescent="0.25">
      <c r="C108" t="s">
        <v>462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452</v>
      </c>
      <c r="C111" s="105">
        <v>7.9844444444444447</v>
      </c>
      <c r="D111" t="s">
        <v>453</v>
      </c>
    </row>
    <row r="112" spans="1:9" x14ac:dyDescent="0.25">
      <c r="B112" s="1" t="s">
        <v>460</v>
      </c>
      <c r="C112" s="9"/>
      <c r="F112" s="8"/>
      <c r="G112" s="8"/>
      <c r="H112" s="8"/>
    </row>
    <row r="113" spans="1:9" x14ac:dyDescent="0.25">
      <c r="B113" s="1" t="s">
        <v>461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472</v>
      </c>
    </row>
    <row r="116" spans="1:9" ht="75" x14ac:dyDescent="0.25">
      <c r="C116" s="110" t="s">
        <v>25</v>
      </c>
      <c r="D116" s="110" t="s">
        <v>26</v>
      </c>
      <c r="E116" s="13" t="s">
        <v>454</v>
      </c>
      <c r="F116" s="13" t="s">
        <v>455</v>
      </c>
      <c r="G116" s="13" t="s">
        <v>456</v>
      </c>
      <c r="H116" s="13" t="s">
        <v>457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8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8" t="s">
        <v>20</v>
      </c>
    </row>
    <row r="120" spans="1:9" x14ac:dyDescent="0.25">
      <c r="C120" t="s">
        <v>462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452</v>
      </c>
      <c r="C123" s="105">
        <v>1.9711111111111113</v>
      </c>
      <c r="D123" t="s">
        <v>453</v>
      </c>
    </row>
    <row r="124" spans="1:9" x14ac:dyDescent="0.25">
      <c r="B124" s="1" t="s">
        <v>460</v>
      </c>
      <c r="C124" s="9"/>
      <c r="F124" s="8"/>
      <c r="G124" s="8"/>
      <c r="H124" s="8"/>
    </row>
    <row r="125" spans="1:9" x14ac:dyDescent="0.25">
      <c r="B125" s="1" t="s">
        <v>461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472</v>
      </c>
    </row>
    <row r="128" spans="1:9" ht="75" x14ac:dyDescent="0.25">
      <c r="C128" s="110" t="s">
        <v>25</v>
      </c>
      <c r="D128" s="110" t="s">
        <v>26</v>
      </c>
      <c r="E128" s="13" t="s">
        <v>454</v>
      </c>
      <c r="F128" s="13" t="s">
        <v>455</v>
      </c>
      <c r="G128" s="13" t="s">
        <v>456</v>
      </c>
      <c r="H128" s="13" t="s">
        <v>457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8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8">
        <v>1</v>
      </c>
    </row>
    <row r="132" spans="1:9" x14ac:dyDescent="0.25">
      <c r="C132" t="s">
        <v>462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452</v>
      </c>
      <c r="C135" s="105">
        <v>4.9420512820512821</v>
      </c>
      <c r="D135" t="s">
        <v>453</v>
      </c>
    </row>
    <row r="136" spans="1:9" x14ac:dyDescent="0.25">
      <c r="B136" s="1" t="s">
        <v>460</v>
      </c>
      <c r="C136" s="9"/>
      <c r="F136" s="8"/>
      <c r="G136" s="8"/>
      <c r="H136" s="8"/>
    </row>
    <row r="137" spans="1:9" x14ac:dyDescent="0.25">
      <c r="B137" s="1" t="s">
        <v>461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472</v>
      </c>
    </row>
    <row r="140" spans="1:9" ht="75" x14ac:dyDescent="0.25">
      <c r="C140" s="110" t="s">
        <v>25</v>
      </c>
      <c r="D140" s="110" t="s">
        <v>26</v>
      </c>
      <c r="E140" s="13" t="s">
        <v>454</v>
      </c>
      <c r="F140" s="13" t="s">
        <v>455</v>
      </c>
      <c r="G140" s="13" t="s">
        <v>456</v>
      </c>
      <c r="H140" s="13" t="s">
        <v>457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8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8">
        <v>1</v>
      </c>
    </row>
    <row r="144" spans="1:9" x14ac:dyDescent="0.25">
      <c r="C144" t="s">
        <v>462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452</v>
      </c>
      <c r="C147" s="105">
        <v>0</v>
      </c>
      <c r="D147" t="s">
        <v>453</v>
      </c>
    </row>
    <row r="148" spans="1:9" x14ac:dyDescent="0.25">
      <c r="B148" s="1" t="s">
        <v>460</v>
      </c>
      <c r="C148" s="9"/>
      <c r="F148" s="8"/>
      <c r="G148" s="8"/>
      <c r="H148" s="8"/>
    </row>
    <row r="149" spans="1:9" x14ac:dyDescent="0.25">
      <c r="B149" s="1" t="s">
        <v>461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463</v>
      </c>
    </row>
    <row r="152" spans="1:9" ht="75" x14ac:dyDescent="0.25">
      <c r="C152" s="110" t="s">
        <v>25</v>
      </c>
      <c r="D152" s="110" t="s">
        <v>26</v>
      </c>
      <c r="E152" s="13" t="s">
        <v>454</v>
      </c>
      <c r="F152" s="13" t="s">
        <v>455</v>
      </c>
      <c r="G152" s="13" t="s">
        <v>456</v>
      </c>
      <c r="H152" s="13" t="s">
        <v>457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8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8" t="s">
        <v>20</v>
      </c>
    </row>
    <row r="156" spans="1:9" x14ac:dyDescent="0.25">
      <c r="C156" t="s">
        <v>462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452</v>
      </c>
      <c r="C159" s="105">
        <v>0</v>
      </c>
      <c r="D159" t="s">
        <v>453</v>
      </c>
    </row>
    <row r="160" spans="1:9" x14ac:dyDescent="0.25">
      <c r="B160" s="1" t="s">
        <v>460</v>
      </c>
      <c r="C160" s="9"/>
      <c r="F160" s="8"/>
      <c r="G160" s="8"/>
      <c r="H160" s="8"/>
    </row>
    <row r="161" spans="2:9" x14ac:dyDescent="0.25">
      <c r="B161" s="1" t="s">
        <v>461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463</v>
      </c>
    </row>
    <row r="164" spans="2:9" ht="75" x14ac:dyDescent="0.25">
      <c r="C164" s="110" t="s">
        <v>25</v>
      </c>
      <c r="D164" s="110" t="s">
        <v>26</v>
      </c>
      <c r="E164" s="13" t="s">
        <v>454</v>
      </c>
      <c r="F164" s="13" t="s">
        <v>455</v>
      </c>
      <c r="G164" s="13" t="s">
        <v>456</v>
      </c>
      <c r="H164" s="13" t="s">
        <v>457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8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8" t="s">
        <v>20</v>
      </c>
    </row>
    <row r="168" spans="2:9" x14ac:dyDescent="0.25">
      <c r="C168" t="s">
        <v>462</v>
      </c>
    </row>
  </sheetData>
  <customSheetViews>
    <customSheetView guid="{7E0EA425-A420-4443-B9E0-CDF0AA9E5D09}" scale="85">
      <selection activeCell="J43" sqref="J43"/>
      <pageMargins left="0.7" right="0.7" top="0.75" bottom="0.75" header="0.3" footer="0.3"/>
    </customSheetView>
    <customSheetView guid="{72A6EB0A-84D5-4B8A-AC51-54CCD061630B}" scale="85">
      <selection activeCell="E28" sqref="E28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60D2C030-4E31-4E07-8E1C-44D2EE84B177}" scale="85" topLeftCell="A139">
      <selection activeCell="K163" sqref="K163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1" priority="42" operator="greaterThan">
      <formula>G57</formula>
    </cfRule>
  </conditionalFormatting>
  <conditionalFormatting sqref="H130">
    <cfRule type="cellIs" dxfId="40" priority="29" operator="greaterThan">
      <formula>G130</formula>
    </cfRule>
  </conditionalFormatting>
  <conditionalFormatting sqref="H141">
    <cfRule type="cellIs" dxfId="39" priority="28" operator="greaterThan">
      <formula>G141</formula>
    </cfRule>
  </conditionalFormatting>
  <conditionalFormatting sqref="H58">
    <cfRule type="cellIs" dxfId="38" priority="41" operator="greaterThan">
      <formula>G58</formula>
    </cfRule>
  </conditionalFormatting>
  <conditionalFormatting sqref="H81">
    <cfRule type="cellIs" dxfId="37" priority="38" operator="greaterThan">
      <formula>G81</formula>
    </cfRule>
  </conditionalFormatting>
  <conditionalFormatting sqref="H82">
    <cfRule type="cellIs" dxfId="36" priority="37" operator="greaterThan">
      <formula>G82</formula>
    </cfRule>
  </conditionalFormatting>
  <conditionalFormatting sqref="H69">
    <cfRule type="cellIs" dxfId="35" priority="40" operator="greaterThan">
      <formula>G69</formula>
    </cfRule>
  </conditionalFormatting>
  <conditionalFormatting sqref="H70">
    <cfRule type="cellIs" dxfId="34" priority="39" operator="greaterThan">
      <formula>G70</formula>
    </cfRule>
  </conditionalFormatting>
  <conditionalFormatting sqref="H166">
    <cfRule type="cellIs" dxfId="33" priority="23" operator="greaterThan">
      <formula>G166</formula>
    </cfRule>
  </conditionalFormatting>
  <conditionalFormatting sqref="H93">
    <cfRule type="cellIs" dxfId="32" priority="36" operator="greaterThan">
      <formula>G93</formula>
    </cfRule>
  </conditionalFormatting>
  <conditionalFormatting sqref="H94">
    <cfRule type="cellIs" dxfId="31" priority="35" operator="greaterThan">
      <formula>G94</formula>
    </cfRule>
  </conditionalFormatting>
  <conditionalFormatting sqref="H105">
    <cfRule type="cellIs" dxfId="30" priority="34" operator="greaterThan">
      <formula>G105</formula>
    </cfRule>
  </conditionalFormatting>
  <conditionalFormatting sqref="H106">
    <cfRule type="cellIs" dxfId="29" priority="33" operator="greaterThan">
      <formula>G106</formula>
    </cfRule>
  </conditionalFormatting>
  <conditionalFormatting sqref="H117">
    <cfRule type="cellIs" dxfId="28" priority="32" operator="greaterThan">
      <formula>G117</formula>
    </cfRule>
  </conditionalFormatting>
  <conditionalFormatting sqref="H118">
    <cfRule type="cellIs" dxfId="27" priority="31" operator="greaterThan">
      <formula>G118</formula>
    </cfRule>
  </conditionalFormatting>
  <conditionalFormatting sqref="H129">
    <cfRule type="cellIs" dxfId="26" priority="30" operator="greaterThan">
      <formula>G129</formula>
    </cfRule>
  </conditionalFormatting>
  <conditionalFormatting sqref="H142">
    <cfRule type="cellIs" dxfId="25" priority="27" operator="greaterThan">
      <formula>G142</formula>
    </cfRule>
  </conditionalFormatting>
  <conditionalFormatting sqref="H153">
    <cfRule type="cellIs" dxfId="24" priority="26" operator="greaterThan">
      <formula>G153</formula>
    </cfRule>
  </conditionalFormatting>
  <conditionalFormatting sqref="H154">
    <cfRule type="cellIs" dxfId="23" priority="25" operator="greaterThan">
      <formula>G154</formula>
    </cfRule>
  </conditionalFormatting>
  <conditionalFormatting sqref="H165">
    <cfRule type="cellIs" dxfId="22" priority="24" operator="greaterThan">
      <formula>G165</formula>
    </cfRule>
  </conditionalFormatting>
  <conditionalFormatting sqref="G7:G8">
    <cfRule type="cellIs" dxfId="21" priority="21" operator="equal">
      <formula>1</formula>
    </cfRule>
    <cfRule type="cellIs" dxfId="20" priority="22" operator="lessThan">
      <formula>1</formula>
    </cfRule>
  </conditionalFormatting>
  <conditionalFormatting sqref="I57:I58">
    <cfRule type="cellIs" dxfId="19" priority="19" operator="equal">
      <formula>1</formula>
    </cfRule>
    <cfRule type="cellIs" dxfId="18" priority="20" operator="lessThan">
      <formula>1</formula>
    </cfRule>
  </conditionalFormatting>
  <conditionalFormatting sqref="I69:I70">
    <cfRule type="cellIs" dxfId="17" priority="17" operator="equal">
      <formula>1</formula>
    </cfRule>
    <cfRule type="cellIs" dxfId="16" priority="18" operator="lessThan">
      <formula>1</formula>
    </cfRule>
  </conditionalFormatting>
  <conditionalFormatting sqref="I81:I82">
    <cfRule type="cellIs" dxfId="15" priority="15" operator="equal">
      <formula>1</formula>
    </cfRule>
    <cfRule type="cellIs" dxfId="14" priority="16" operator="lessThan">
      <formula>1</formula>
    </cfRule>
  </conditionalFormatting>
  <conditionalFormatting sqref="I93:I94">
    <cfRule type="cellIs" dxfId="13" priority="13" operator="equal">
      <formula>1</formula>
    </cfRule>
    <cfRule type="cellIs" dxfId="12" priority="14" operator="lessThan">
      <formula>1</formula>
    </cfRule>
  </conditionalFormatting>
  <conditionalFormatting sqref="I105:I106">
    <cfRule type="cellIs" dxfId="11" priority="11" operator="equal">
      <formula>1</formula>
    </cfRule>
    <cfRule type="cellIs" dxfId="10" priority="12" operator="lessThan">
      <formula>1</formula>
    </cfRule>
  </conditionalFormatting>
  <conditionalFormatting sqref="I117:I118">
    <cfRule type="cellIs" dxfId="9" priority="9" operator="equal">
      <formula>1</formula>
    </cfRule>
    <cfRule type="cellIs" dxfId="8" priority="10" operator="lessThan">
      <formula>1</formula>
    </cfRule>
  </conditionalFormatting>
  <conditionalFormatting sqref="I129:I130">
    <cfRule type="cellIs" dxfId="7" priority="7" operator="equal">
      <formula>1</formula>
    </cfRule>
    <cfRule type="cellIs" dxfId="6" priority="8" operator="lessThan">
      <formula>1</formula>
    </cfRule>
  </conditionalFormatting>
  <conditionalFormatting sqref="I141:I142">
    <cfRule type="cellIs" dxfId="5" priority="5" operator="equal">
      <formula>1</formula>
    </cfRule>
    <cfRule type="cellIs" dxfId="4" priority="6" operator="lessThan">
      <formula>1</formula>
    </cfRule>
  </conditionalFormatting>
  <conditionalFormatting sqref="I153:I154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165:I166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COEM_Package_20200302</vt:lpstr>
      <vt:lpstr>|-&gt;</vt:lpstr>
      <vt:lpstr>Template_Weekly_Report</vt:lpstr>
      <vt:lpstr>COEM_Package_20200401</vt:lpstr>
      <vt:lpstr>Template_Weekly_Report_Apr</vt:lpstr>
      <vt:lpstr>Report_For_Each_Project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2020-04-01T11:45:30Z</dcterms:modified>
</cp:coreProperties>
</file>