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revisions/userNames1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Headers.xml" ContentType="application/vnd.openxmlformats-officedocument.spreadsheetml.revisionHeaders+xml"/>
  <Override PartName="/xl/revisions/revisionLog117.xml" ContentType="application/vnd.openxmlformats-officedocument.spreadsheetml.revisionLog+xml"/>
  <Override PartName="/xl/revisions/revisionLog299.xml" ContentType="application/vnd.openxmlformats-officedocument.spreadsheetml.revisionLog+xml"/>
  <Override PartName="/xl/revisions/revisionLog303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42.xml" ContentType="application/vnd.openxmlformats-officedocument.spreadsheetml.revisionLog+xml"/>
  <Override PartName="/xl/revisions/revisionLog63.xml" ContentType="application/vnd.openxmlformats-officedocument.spreadsheetml.revisionLog+xml"/>
  <Override PartName="/xl/revisions/revisionLog84.xml" ContentType="application/vnd.openxmlformats-officedocument.spreadsheetml.revisionLog+xml"/>
  <Override PartName="/xl/revisions/revisionLog138.xml" ContentType="application/vnd.openxmlformats-officedocument.spreadsheetml.revisionLog+xml"/>
  <Override PartName="/xl/revisions/revisionLog159.xml" ContentType="application/vnd.openxmlformats-officedocument.spreadsheetml.revisionLog+xml"/>
  <Override PartName="/xl/revisions/revisionLog170.xml" ContentType="application/vnd.openxmlformats-officedocument.spreadsheetml.revisionLog+xml"/>
  <Override PartName="/xl/revisions/revisionLog191.xml" ContentType="application/vnd.openxmlformats-officedocument.spreadsheetml.revisionLog+xml"/>
  <Override PartName="/xl/revisions/revisionLog205.xml" ContentType="application/vnd.openxmlformats-officedocument.spreadsheetml.revisionLog+xml"/>
  <Override PartName="/xl/revisions/revisionLog226.xml" ContentType="application/vnd.openxmlformats-officedocument.spreadsheetml.revisionLog+xml"/>
  <Override PartName="/xl/revisions/revisionLog247.xml" ContentType="application/vnd.openxmlformats-officedocument.spreadsheetml.revisionLog+xml"/>
  <Override PartName="/xl/revisions/revisionLog107.xml" ContentType="application/vnd.openxmlformats-officedocument.spreadsheetml.revisionLog+xml"/>
  <Override PartName="/xl/revisions/revisionLog268.xml" ContentType="application/vnd.openxmlformats-officedocument.spreadsheetml.revisionLog+xml"/>
  <Override PartName="/xl/revisions/revisionLog289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32.xml" ContentType="application/vnd.openxmlformats-officedocument.spreadsheetml.revisionLog+xml"/>
  <Override PartName="/xl/revisions/revisionLog53.xml" ContentType="application/vnd.openxmlformats-officedocument.spreadsheetml.revisionLog+xml"/>
  <Override PartName="/xl/revisions/revisionLog74.xml" ContentType="application/vnd.openxmlformats-officedocument.spreadsheetml.revisionLog+xml"/>
  <Override PartName="/xl/revisions/revisionLog128.xml" ContentType="application/vnd.openxmlformats-officedocument.spreadsheetml.revisionLog+xml"/>
  <Override PartName="/xl/revisions/revisionLog149.xml" ContentType="application/vnd.openxmlformats-officedocument.spreadsheetml.revisionLog+xml"/>
  <Override PartName="/xl/revisions/revisionLog314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95.xml" ContentType="application/vnd.openxmlformats-officedocument.spreadsheetml.revisionLog+xml"/>
  <Override PartName="/xl/revisions/revisionLog160.xml" ContentType="application/vnd.openxmlformats-officedocument.spreadsheetml.revisionLog+xml"/>
  <Override PartName="/xl/revisions/revisionLog181.xml" ContentType="application/vnd.openxmlformats-officedocument.spreadsheetml.revisionLog+xml"/>
  <Override PartName="/xl/revisions/revisionLog216.xml" ContentType="application/vnd.openxmlformats-officedocument.spreadsheetml.revisionLog+xml"/>
  <Override PartName="/xl/revisions/revisionLog237.xml" ContentType="application/vnd.openxmlformats-officedocument.spreadsheetml.revisionLog+xml"/>
  <Override PartName="/xl/revisions/revisionLog258.xml" ContentType="application/vnd.openxmlformats-officedocument.spreadsheetml.revisionLog+xml"/>
  <Override PartName="/xl/revisions/revisionLog279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43.xml" ContentType="application/vnd.openxmlformats-officedocument.spreadsheetml.revisionLog+xml"/>
  <Override PartName="/xl/revisions/revisionLog64.xml" ContentType="application/vnd.openxmlformats-officedocument.spreadsheetml.revisionLog+xml"/>
  <Override PartName="/xl/revisions/revisionLog118.xml" ContentType="application/vnd.openxmlformats-officedocument.spreadsheetml.revisionLog+xml"/>
  <Override PartName="/xl/revisions/revisionLog139.xml" ContentType="application/vnd.openxmlformats-officedocument.spreadsheetml.revisionLog+xml"/>
  <Override PartName="/xl/revisions/revisionLog290.xml" ContentType="application/vnd.openxmlformats-officedocument.spreadsheetml.revisionLog+xml"/>
  <Override PartName="/xl/revisions/revisionLog304.xml" ContentType="application/vnd.openxmlformats-officedocument.spreadsheetml.revisionLog+xml"/>
  <Override PartName="/xl/revisions/revisionLog85.xml" ContentType="application/vnd.openxmlformats-officedocument.spreadsheetml.revisionLog+xml"/>
  <Override PartName="/xl/revisions/revisionLog150.xml" ContentType="application/vnd.openxmlformats-officedocument.spreadsheetml.revisionLog+xml"/>
  <Override PartName="/xl/revisions/revisionLog171.xml" ContentType="application/vnd.openxmlformats-officedocument.spreadsheetml.revisionLog+xml"/>
  <Override PartName="/xl/revisions/revisionLog192.xml" ContentType="application/vnd.openxmlformats-officedocument.spreadsheetml.revisionLog+xml"/>
  <Override PartName="/xl/revisions/revisionLog206.xml" ContentType="application/vnd.openxmlformats-officedocument.spreadsheetml.revisionLog+xml"/>
  <Override PartName="/xl/revisions/revisionLog227.xml" ContentType="application/vnd.openxmlformats-officedocument.spreadsheetml.revisionLog+xml"/>
  <Override PartName="/xl/revisions/revisionLog248.xml" ContentType="application/vnd.openxmlformats-officedocument.spreadsheetml.revisionLog+xml"/>
  <Override PartName="/xl/revisions/revisionLog269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33.xml" ContentType="application/vnd.openxmlformats-officedocument.spreadsheetml.revisionLog+xml"/>
  <Override PartName="/xl/revisions/revisionLog108.xml" ContentType="application/vnd.openxmlformats-officedocument.spreadsheetml.revisionLog+xml"/>
  <Override PartName="/xl/revisions/revisionLog129.xml" ContentType="application/vnd.openxmlformats-officedocument.spreadsheetml.revisionLog+xml"/>
  <Override PartName="/xl/revisions/revisionLog280.xml" ContentType="application/vnd.openxmlformats-officedocument.spreadsheetml.revisionLog+xml"/>
  <Override PartName="/xl/revisions/revisionLog315.xml" ContentType="application/vnd.openxmlformats-officedocument.spreadsheetml.revisionLog+xml"/>
  <Override PartName="/xl/revisions/revisionLog54.xml" ContentType="application/vnd.openxmlformats-officedocument.spreadsheetml.revisionLog+xml"/>
  <Override PartName="/xl/revisions/revisionLog75.xml" ContentType="application/vnd.openxmlformats-officedocument.spreadsheetml.revisionLog+xml"/>
  <Override PartName="/xl/revisions/revisionLog96.xml" ContentType="application/vnd.openxmlformats-officedocument.spreadsheetml.revisionLog+xml"/>
  <Override PartName="/xl/revisions/revisionLog140.xml" ContentType="application/vnd.openxmlformats-officedocument.spreadsheetml.revisionLog+xml"/>
  <Override PartName="/xl/revisions/revisionLog161.xml" ContentType="application/vnd.openxmlformats-officedocument.spreadsheetml.revisionLog+xml"/>
  <Override PartName="/xl/revisions/revisionLog182.xml" ContentType="application/vnd.openxmlformats-officedocument.spreadsheetml.revisionLog+xml"/>
  <Override PartName="/xl/revisions/revisionLog217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238.xml" ContentType="application/vnd.openxmlformats-officedocument.spreadsheetml.revisionLog+xml"/>
  <Override PartName="/xl/revisions/revisionLog259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119.xml" ContentType="application/vnd.openxmlformats-officedocument.spreadsheetml.revisionLog+xml"/>
  <Override PartName="/xl/revisions/revisionLog270.xml" ContentType="application/vnd.openxmlformats-officedocument.spreadsheetml.revisionLog+xml"/>
  <Override PartName="/xl/revisions/revisionLog291.xml" ContentType="application/vnd.openxmlformats-officedocument.spreadsheetml.revisionLog+xml"/>
  <Override PartName="/xl/revisions/revisionLog305.xml" ContentType="application/vnd.openxmlformats-officedocument.spreadsheetml.revisionLog+xml"/>
  <Override PartName="/xl/revisions/revisionLog44.xml" ContentType="application/vnd.openxmlformats-officedocument.spreadsheetml.revisionLog+xml"/>
  <Override PartName="/xl/revisions/revisionLog65.xml" ContentType="application/vnd.openxmlformats-officedocument.spreadsheetml.revisionLog+xml"/>
  <Override PartName="/xl/revisions/revisionLog86.xml" ContentType="application/vnd.openxmlformats-officedocument.spreadsheetml.revisionLog+xml"/>
  <Override PartName="/xl/revisions/revisionLog130.xml" ContentType="application/vnd.openxmlformats-officedocument.spreadsheetml.revisionLog+xml"/>
  <Override PartName="/xl/revisions/revisionLog151.xml" ContentType="application/vnd.openxmlformats-officedocument.spreadsheetml.revisionLog+xml"/>
  <Override PartName="/xl/revisions/revisionLog172.xml" ContentType="application/vnd.openxmlformats-officedocument.spreadsheetml.revisionLog+xml"/>
  <Override PartName="/xl/revisions/revisionLog193.xml" ContentType="application/vnd.openxmlformats-officedocument.spreadsheetml.revisionLog+xml"/>
  <Override PartName="/xl/revisions/revisionLog207.xml" ContentType="application/vnd.openxmlformats-officedocument.spreadsheetml.revisionLog+xml"/>
  <Override PartName="/xl/revisions/revisionLog228.xml" ContentType="application/vnd.openxmlformats-officedocument.spreadsheetml.revisionLog+xml"/>
  <Override PartName="/xl/revisions/revisionLog249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109.xml" ContentType="application/vnd.openxmlformats-officedocument.spreadsheetml.revisionLog+xml"/>
  <Override PartName="/xl/revisions/revisionLog260.xml" ContentType="application/vnd.openxmlformats-officedocument.spreadsheetml.revisionLog+xml"/>
  <Override PartName="/xl/revisions/revisionLog281.xml" ContentType="application/vnd.openxmlformats-officedocument.spreadsheetml.revisionLog+xml"/>
  <Override PartName="/xl/revisions/revisionLog316.xml" ContentType="application/vnd.openxmlformats-officedocument.spreadsheetml.revisionLog+xml"/>
  <Override PartName="/xl/revisions/revisionLog34.xml" ContentType="application/vnd.openxmlformats-officedocument.spreadsheetml.revisionLog+xml"/>
  <Override PartName="/xl/revisions/revisionLog55.xml" ContentType="application/vnd.openxmlformats-officedocument.spreadsheetml.revisionLog+xml"/>
  <Override PartName="/xl/revisions/revisionLog76.xml" ContentType="application/vnd.openxmlformats-officedocument.spreadsheetml.revisionLog+xml"/>
  <Override PartName="/xl/revisions/revisionLog97.xml" ContentType="application/vnd.openxmlformats-officedocument.spreadsheetml.revisionLog+xml"/>
  <Override PartName="/xl/revisions/revisionLog120.xml" ContentType="application/vnd.openxmlformats-officedocument.spreadsheetml.revisionLog+xml"/>
  <Override PartName="/xl/revisions/revisionLog141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162.xml" ContentType="application/vnd.openxmlformats-officedocument.spreadsheetml.revisionLog+xml"/>
  <Override PartName="/xl/revisions/revisionLog183.xml" ContentType="application/vnd.openxmlformats-officedocument.spreadsheetml.revisionLog+xml"/>
  <Override PartName="/xl/revisions/revisionLog218.xml" ContentType="application/vnd.openxmlformats-officedocument.spreadsheetml.revisionLog+xml"/>
  <Override PartName="/xl/revisions/revisionLog239.xml" ContentType="application/vnd.openxmlformats-officedocument.spreadsheetml.revisionLog+xml"/>
  <Override PartName="/xl/revisions/revisionLog250.xml" ContentType="application/vnd.openxmlformats-officedocument.spreadsheetml.revisionLog+xml"/>
  <Override PartName="/xl/revisions/revisionLog271.xml" ContentType="application/vnd.openxmlformats-officedocument.spreadsheetml.revisionLog+xml"/>
  <Override PartName="/xl/revisions/revisionLog292.xml" ContentType="application/vnd.openxmlformats-officedocument.spreadsheetml.revisionLog+xml"/>
  <Override PartName="/xl/revisions/revisionLog306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45.xml" ContentType="application/vnd.openxmlformats-officedocument.spreadsheetml.revisionLog+xml"/>
  <Override PartName="/xl/revisions/revisionLog66.xml" ContentType="application/vnd.openxmlformats-officedocument.spreadsheetml.revisionLog+xml"/>
  <Override PartName="/xl/revisions/revisionLog87.xml" ContentType="application/vnd.openxmlformats-officedocument.spreadsheetml.revisionLog+xml"/>
  <Override PartName="/xl/revisions/revisionLog110.xml" ContentType="application/vnd.openxmlformats-officedocument.spreadsheetml.revisionLog+xml"/>
  <Override PartName="/xl/revisions/revisionLog131.xml" ContentType="application/vnd.openxmlformats-officedocument.spreadsheetml.revisionLog+xml"/>
  <Override PartName="/xl/revisions/revisionLog152.xml" ContentType="application/vnd.openxmlformats-officedocument.spreadsheetml.revisionLog+xml"/>
  <Override PartName="/xl/revisions/revisionLog173.xml" ContentType="application/vnd.openxmlformats-officedocument.spreadsheetml.revisionLog+xml"/>
  <Override PartName="/xl/revisions/revisionLog194.xml" ContentType="application/vnd.openxmlformats-officedocument.spreadsheetml.revisionLog+xml"/>
  <Override PartName="/xl/revisions/revisionLog208.xml" ContentType="application/vnd.openxmlformats-officedocument.spreadsheetml.revisionLog+xml"/>
  <Override PartName="/xl/revisions/revisionLog229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224.xml" ContentType="application/vnd.openxmlformats-officedocument.spreadsheetml.revisionLog+xml"/>
  <Override PartName="/xl/revisions/revisionLog240.xml" ContentType="application/vnd.openxmlformats-officedocument.spreadsheetml.revisionLog+xml"/>
  <Override PartName="/xl/revisions/revisionLog245.xml" ContentType="application/vnd.openxmlformats-officedocument.spreadsheetml.revisionLog+xml"/>
  <Override PartName="/xl/revisions/revisionLog261.xml" ContentType="application/vnd.openxmlformats-officedocument.spreadsheetml.revisionLog+xml"/>
  <Override PartName="/xl/revisions/revisionLog266.xml" ContentType="application/vnd.openxmlformats-officedocument.spreadsheetml.revisionLog+xml"/>
  <Override PartName="/xl/revisions/revisionLog287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30.xml" ContentType="application/vnd.openxmlformats-officedocument.spreadsheetml.revisionLog+xml"/>
  <Override PartName="/xl/revisions/revisionLog35.xml" ContentType="application/vnd.openxmlformats-officedocument.spreadsheetml.revisionLog+xml"/>
  <Override PartName="/xl/revisions/revisionLog56.xml" ContentType="application/vnd.openxmlformats-officedocument.spreadsheetml.revisionLog+xml"/>
  <Override PartName="/xl/revisions/revisionLog77.xml" ContentType="application/vnd.openxmlformats-officedocument.spreadsheetml.revisionLog+xml"/>
  <Override PartName="/xl/revisions/revisionLog100.xml" ContentType="application/vnd.openxmlformats-officedocument.spreadsheetml.revisionLog+xml"/>
  <Override PartName="/xl/revisions/revisionLog105.xml" ContentType="application/vnd.openxmlformats-officedocument.spreadsheetml.revisionLog+xml"/>
  <Override PartName="/xl/revisions/revisionLog126.xml" ContentType="application/vnd.openxmlformats-officedocument.spreadsheetml.revisionLog+xml"/>
  <Override PartName="/xl/revisions/revisionLog147.xml" ContentType="application/vnd.openxmlformats-officedocument.spreadsheetml.revisionLog+xml"/>
  <Override PartName="/xl/revisions/revisionLog168.xml" ContentType="application/vnd.openxmlformats-officedocument.spreadsheetml.revisionLog+xml"/>
  <Override PartName="/xl/revisions/revisionLog282.xml" ContentType="application/vnd.openxmlformats-officedocument.spreadsheetml.revisionLog+xml"/>
  <Override PartName="/xl/revisions/revisionLog312.xml" ContentType="application/vnd.openxmlformats-officedocument.spreadsheetml.revisionLog+xml"/>
  <Override PartName="/xl/revisions/revisionLog317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51.xml" ContentType="application/vnd.openxmlformats-officedocument.spreadsheetml.revisionLog+xml"/>
  <Override PartName="/xl/revisions/revisionLog72.xml" ContentType="application/vnd.openxmlformats-officedocument.spreadsheetml.revisionLog+xml"/>
  <Override PartName="/xl/revisions/revisionLog93.xml" ContentType="application/vnd.openxmlformats-officedocument.spreadsheetml.revisionLog+xml"/>
  <Override PartName="/xl/revisions/revisionLog98.xml" ContentType="application/vnd.openxmlformats-officedocument.spreadsheetml.revisionLog+xml"/>
  <Override PartName="/xl/revisions/revisionLog121.xml" ContentType="application/vnd.openxmlformats-officedocument.spreadsheetml.revisionLog+xml"/>
  <Override PartName="/xl/revisions/revisionLog142.xml" ContentType="application/vnd.openxmlformats-officedocument.spreadsheetml.revisionLog+xml"/>
  <Override PartName="/xl/revisions/revisionLog163.xml" ContentType="application/vnd.openxmlformats-officedocument.spreadsheetml.revisionLog+xml"/>
  <Override PartName="/xl/revisions/revisionLog184.xml" ContentType="application/vnd.openxmlformats-officedocument.spreadsheetml.revisionLog+xml"/>
  <Override PartName="/xl/revisions/revisionLog189.xml" ContentType="application/vnd.openxmlformats-officedocument.spreadsheetml.revisionLog+xml"/>
  <Override PartName="/xl/revisions/revisionLog219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214.xml" ContentType="application/vnd.openxmlformats-officedocument.spreadsheetml.revisionLog+xml"/>
  <Override PartName="/xl/revisions/revisionLog230.xml" ContentType="application/vnd.openxmlformats-officedocument.spreadsheetml.revisionLog+xml"/>
  <Override PartName="/xl/revisions/revisionLog235.xml" ContentType="application/vnd.openxmlformats-officedocument.spreadsheetml.revisionLog+xml"/>
  <Override PartName="/xl/revisions/revisionLog251.xml" ContentType="application/vnd.openxmlformats-officedocument.spreadsheetml.revisionLog+xml"/>
  <Override PartName="/xl/revisions/revisionLog256.xml" ContentType="application/vnd.openxmlformats-officedocument.spreadsheetml.revisionLog+xml"/>
  <Override PartName="/xl/revisions/revisionLog277.xml" ContentType="application/vnd.openxmlformats-officedocument.spreadsheetml.revisionLog+xml"/>
  <Override PartName="/xl/revisions/revisionLog298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46.xml" ContentType="application/vnd.openxmlformats-officedocument.spreadsheetml.revisionLog+xml"/>
  <Override PartName="/xl/revisions/revisionLog67.xml" ContentType="application/vnd.openxmlformats-officedocument.spreadsheetml.revisionLog+xml"/>
  <Override PartName="/xl/revisions/revisionLog116.xml" ContentType="application/vnd.openxmlformats-officedocument.spreadsheetml.revisionLog+xml"/>
  <Override PartName="/xl/revisions/revisionLog137.xml" ContentType="application/vnd.openxmlformats-officedocument.spreadsheetml.revisionLog+xml"/>
  <Override PartName="/xl/revisions/revisionLog158.xml" ContentType="application/vnd.openxmlformats-officedocument.spreadsheetml.revisionLog+xml"/>
  <Override PartName="/xl/revisions/revisionLog272.xml" ContentType="application/vnd.openxmlformats-officedocument.spreadsheetml.revisionLog+xml"/>
  <Override PartName="/xl/revisions/revisionLog293.xml" ContentType="application/vnd.openxmlformats-officedocument.spreadsheetml.revisionLog+xml"/>
  <Override PartName="/xl/revisions/revisionLog302.xml" ContentType="application/vnd.openxmlformats-officedocument.spreadsheetml.revisionLog+xml"/>
  <Override PartName="/xl/revisions/revisionLog307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41.xml" ContentType="application/vnd.openxmlformats-officedocument.spreadsheetml.revisionLog+xml"/>
  <Override PartName="/xl/revisions/revisionLog62.xml" ContentType="application/vnd.openxmlformats-officedocument.spreadsheetml.revisionLog+xml"/>
  <Override PartName="/xl/revisions/revisionLog83.xml" ContentType="application/vnd.openxmlformats-officedocument.spreadsheetml.revisionLog+xml"/>
  <Override PartName="/xl/revisions/revisionLog88.xml" ContentType="application/vnd.openxmlformats-officedocument.spreadsheetml.revisionLog+xml"/>
  <Override PartName="/xl/revisions/revisionLog111.xml" ContentType="application/vnd.openxmlformats-officedocument.spreadsheetml.revisionLog+xml"/>
  <Override PartName="/xl/revisions/revisionLog132.xml" ContentType="application/vnd.openxmlformats-officedocument.spreadsheetml.revisionLog+xml"/>
  <Override PartName="/xl/revisions/revisionLog153.xml" ContentType="application/vnd.openxmlformats-officedocument.spreadsheetml.revisionLog+xml"/>
  <Override PartName="/xl/revisions/revisionLog174.xml" ContentType="application/vnd.openxmlformats-officedocument.spreadsheetml.revisionLog+xml"/>
  <Override PartName="/xl/revisions/revisionLog179.xml" ContentType="application/vnd.openxmlformats-officedocument.spreadsheetml.revisionLog+xml"/>
  <Override PartName="/xl/revisions/revisionLog195.xml" ContentType="application/vnd.openxmlformats-officedocument.spreadsheetml.revisionLog+xml"/>
  <Override PartName="/xl/revisions/revisionLog209.xml" ContentType="application/vnd.openxmlformats-officedocument.spreadsheetml.revisionLog+xml"/>
  <Override PartName="/xl/revisions/revisionLog190.xml" ContentType="application/vnd.openxmlformats-officedocument.spreadsheetml.revisionLog+xml"/>
  <Override PartName="/xl/revisions/revisionLog204.xml" ContentType="application/vnd.openxmlformats-officedocument.spreadsheetml.revisionLog+xml"/>
  <Override PartName="/xl/revisions/revisionLog220.xml" ContentType="application/vnd.openxmlformats-officedocument.spreadsheetml.revisionLog+xml"/>
  <Override PartName="/xl/revisions/revisionLog225.xml" ContentType="application/vnd.openxmlformats-officedocument.spreadsheetml.revisionLog+xml"/>
  <Override PartName="/xl/revisions/revisionLog241.xml" ContentType="application/vnd.openxmlformats-officedocument.spreadsheetml.revisionLog+xml"/>
  <Override PartName="/xl/revisions/revisionLog246.xml" ContentType="application/vnd.openxmlformats-officedocument.spreadsheetml.revisionLog+xml"/>
  <Override PartName="/xl/revisions/revisionLog267.xml" ContentType="application/vnd.openxmlformats-officedocument.spreadsheetml.revisionLog+xml"/>
  <Override PartName="/xl/revisions/revisionLog288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36.xml" ContentType="application/vnd.openxmlformats-officedocument.spreadsheetml.revisionLog+xml"/>
  <Override PartName="/xl/revisions/revisionLog57.xml" ContentType="application/vnd.openxmlformats-officedocument.spreadsheetml.revisionLog+xml"/>
  <Override PartName="/xl/revisions/revisionLog106.xml" ContentType="application/vnd.openxmlformats-officedocument.spreadsheetml.revisionLog+xml"/>
  <Override PartName="/xl/revisions/revisionLog127.xml" ContentType="application/vnd.openxmlformats-officedocument.spreadsheetml.revisionLog+xml"/>
  <Override PartName="/xl/revisions/revisionLog262.xml" ContentType="application/vnd.openxmlformats-officedocument.spreadsheetml.revisionLog+xml"/>
  <Override PartName="/xl/revisions/revisionLog283.xml" ContentType="application/vnd.openxmlformats-officedocument.spreadsheetml.revisionLog+xml"/>
  <Override PartName="/xl/revisions/revisionLog313.xml" ContentType="application/vnd.openxmlformats-officedocument.spreadsheetml.revisionLog+xml"/>
  <Override PartName="/xl/revisions/revisionLog318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31.xml" ContentType="application/vnd.openxmlformats-officedocument.spreadsheetml.revisionLog+xml"/>
  <Override PartName="/xl/revisions/revisionLog52.xml" ContentType="application/vnd.openxmlformats-officedocument.spreadsheetml.revisionLog+xml"/>
  <Override PartName="/xl/revisions/revisionLog73.xml" ContentType="application/vnd.openxmlformats-officedocument.spreadsheetml.revisionLog+xml"/>
  <Override PartName="/xl/revisions/revisionLog78.xml" ContentType="application/vnd.openxmlformats-officedocument.spreadsheetml.revisionLog+xml"/>
  <Override PartName="/xl/revisions/revisionLog94.xml" ContentType="application/vnd.openxmlformats-officedocument.spreadsheetml.revisionLog+xml"/>
  <Override PartName="/xl/revisions/revisionLog99.xml" ContentType="application/vnd.openxmlformats-officedocument.spreadsheetml.revisionLog+xml"/>
  <Override PartName="/xl/revisions/revisionLog101.xml" ContentType="application/vnd.openxmlformats-officedocument.spreadsheetml.revisionLog+xml"/>
  <Override PartName="/xl/revisions/revisionLog122.xml" ContentType="application/vnd.openxmlformats-officedocument.spreadsheetml.revisionLog+xml"/>
  <Override PartName="/xl/revisions/revisionLog143.xml" ContentType="application/vnd.openxmlformats-officedocument.spreadsheetml.revisionLog+xml"/>
  <Override PartName="/xl/revisions/revisionLog148.xml" ContentType="application/vnd.openxmlformats-officedocument.spreadsheetml.revisionLog+xml"/>
  <Override PartName="/xl/revisions/revisionLog164.xml" ContentType="application/vnd.openxmlformats-officedocument.spreadsheetml.revisionLog+xml"/>
  <Override PartName="/xl/revisions/revisionLog169.xml" ContentType="application/vnd.openxmlformats-officedocument.spreadsheetml.revisionLog+xml"/>
  <Override PartName="/xl/revisions/revisionLog185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80.xml" ContentType="application/vnd.openxmlformats-officedocument.spreadsheetml.revisionLog+xml"/>
  <Override PartName="/xl/revisions/revisionLog210.xml" ContentType="application/vnd.openxmlformats-officedocument.spreadsheetml.revisionLog+xml"/>
  <Override PartName="/xl/revisions/revisionLog215.xml" ContentType="application/vnd.openxmlformats-officedocument.spreadsheetml.revisionLog+xml"/>
  <Override PartName="/xl/revisions/revisionLog236.xml" ContentType="application/vnd.openxmlformats-officedocument.spreadsheetml.revisionLog+xml"/>
  <Override PartName="/xl/revisions/revisionLog257.xml" ContentType="application/vnd.openxmlformats-officedocument.spreadsheetml.revisionLog+xml"/>
  <Override PartName="/xl/revisions/revisionLog278.xml" ContentType="application/vnd.openxmlformats-officedocument.spreadsheetml.revisionLog+xml"/>
  <Override PartName="/xl/revisions/revisionLog26.xml" ContentType="application/vnd.openxmlformats-officedocument.spreadsheetml.revisionLog+xml"/>
  <Override PartName="/xl/revisions/revisionLog231.xml" ContentType="application/vnd.openxmlformats-officedocument.spreadsheetml.revisionLog+xml"/>
  <Override PartName="/xl/revisions/revisionLog252.xml" ContentType="application/vnd.openxmlformats-officedocument.spreadsheetml.revisionLog+xml"/>
  <Override PartName="/xl/revisions/revisionLog273.xml" ContentType="application/vnd.openxmlformats-officedocument.spreadsheetml.revisionLog+xml"/>
  <Override PartName="/xl/revisions/revisionLog294.xml" ContentType="application/vnd.openxmlformats-officedocument.spreadsheetml.revisionLog+xml"/>
  <Override PartName="/xl/revisions/revisionLog308.xml" ContentType="application/vnd.openxmlformats-officedocument.spreadsheetml.revisionLog+xml"/>
  <Override PartName="/xl/revisions/revisionLog47.xml" ContentType="application/vnd.openxmlformats-officedocument.spreadsheetml.revisionLog+xml"/>
  <Override PartName="/xl/revisions/revisionLog68.xml" ContentType="application/vnd.openxmlformats-officedocument.spreadsheetml.revisionLog+xml"/>
  <Override PartName="/xl/revisions/revisionLog89.xml" ContentType="application/vnd.openxmlformats-officedocument.spreadsheetml.revisionLog+xml"/>
  <Override PartName="/xl/revisions/revisionLog112.xml" ContentType="application/vnd.openxmlformats-officedocument.spreadsheetml.revisionLog+xml"/>
  <Override PartName="/xl/revisions/revisionLog133.xml" ContentType="application/vnd.openxmlformats-officedocument.spreadsheetml.revisionLog+xml"/>
  <Override PartName="/xl/revisions/revisionLog154.xml" ContentType="application/vnd.openxmlformats-officedocument.spreadsheetml.revisionLog+xml"/>
  <Override PartName="/xl/revisions/revisionLog175.xml" ContentType="application/vnd.openxmlformats-officedocument.spreadsheetml.revisionLog+xml"/>
  <Override PartName="/xl/revisions/revisionLog196.xml" ContentType="application/vnd.openxmlformats-officedocument.spreadsheetml.revisionLog+xml"/>
  <Override PartName="/xl/revisions/revisionLog200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221.xml" ContentType="application/vnd.openxmlformats-officedocument.spreadsheetml.revisionLog+xml"/>
  <Override PartName="/xl/revisions/revisionLog242.xml" ContentType="application/vnd.openxmlformats-officedocument.spreadsheetml.revisionLog+xml"/>
  <Override PartName="/xl/revisions/revisionLog263.xml" ContentType="application/vnd.openxmlformats-officedocument.spreadsheetml.revisionLog+xml"/>
  <Override PartName="/xl/revisions/revisionLog284.xml" ContentType="application/vnd.openxmlformats-officedocument.spreadsheetml.revisionLog+xml"/>
  <Override PartName="/xl/revisions/revisionLog319.xml" ContentType="application/vnd.openxmlformats-officedocument.spreadsheetml.revisionLog+xml"/>
  <Override PartName="/xl/revisions/revisionLog37.xml" ContentType="application/vnd.openxmlformats-officedocument.spreadsheetml.revisionLog+xml"/>
  <Override PartName="/xl/revisions/revisionLog58.xml" ContentType="application/vnd.openxmlformats-officedocument.spreadsheetml.revisionLog+xml"/>
  <Override PartName="/xl/revisions/revisionLog79.xml" ContentType="application/vnd.openxmlformats-officedocument.spreadsheetml.revisionLog+xml"/>
  <Override PartName="/xl/revisions/revisionLog102.xml" ContentType="application/vnd.openxmlformats-officedocument.spreadsheetml.revisionLog+xml"/>
  <Override PartName="/xl/revisions/revisionLog123.xml" ContentType="application/vnd.openxmlformats-officedocument.spreadsheetml.revisionLog+xml"/>
  <Override PartName="/xl/revisions/revisionLog144.xml" ContentType="application/vnd.openxmlformats-officedocument.spreadsheetml.revisionLog+xml"/>
  <Override PartName="/xl/revisions/revisionLog90.xml" ContentType="application/vnd.openxmlformats-officedocument.spreadsheetml.revisionLog+xml"/>
  <Override PartName="/xl/revisions/revisionLog165.xml" ContentType="application/vnd.openxmlformats-officedocument.spreadsheetml.revisionLog+xml"/>
  <Override PartName="/xl/revisions/revisionLog186.xml" ContentType="application/vnd.openxmlformats-officedocument.spreadsheetml.revisionLog+xml"/>
  <Override PartName="/xl/revisions/revisionLog211.xml" ContentType="application/vnd.openxmlformats-officedocument.spreadsheetml.revisionLog+xml"/>
  <Override PartName="/xl/revisions/revisionLog232.xml" ContentType="application/vnd.openxmlformats-officedocument.spreadsheetml.revisionLog+xml"/>
  <Override PartName="/xl/revisions/revisionLog253.xml" ContentType="application/vnd.openxmlformats-officedocument.spreadsheetml.revisionLog+xml"/>
  <Override PartName="/xl/revisions/revisionLog274.xml" ContentType="application/vnd.openxmlformats-officedocument.spreadsheetml.revisionLog+xml"/>
  <Override PartName="/xl/revisions/revisionLog295.xml" ContentType="application/vnd.openxmlformats-officedocument.spreadsheetml.revisionLog+xml"/>
  <Override PartName="/xl/revisions/revisionLog309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48.xml" ContentType="application/vnd.openxmlformats-officedocument.spreadsheetml.revisionLog+xml"/>
  <Override PartName="/xl/revisions/revisionLog69.xml" ContentType="application/vnd.openxmlformats-officedocument.spreadsheetml.revisionLog+xml"/>
  <Override PartName="/xl/revisions/revisionLog113.xml" ContentType="application/vnd.openxmlformats-officedocument.spreadsheetml.revisionLog+xml"/>
  <Override PartName="/xl/revisions/revisionLog134.xml" ContentType="application/vnd.openxmlformats-officedocument.spreadsheetml.revisionLog+xml"/>
  <Override PartName="/xl/revisions/revisionLog320.xml" ContentType="application/vnd.openxmlformats-officedocument.spreadsheetml.revisionLog+xml"/>
  <Override PartName="/xl/revisions/revisionLog80.xml" ContentType="application/vnd.openxmlformats-officedocument.spreadsheetml.revisionLog+xml"/>
  <Override PartName="/xl/revisions/revisionLog155.xml" ContentType="application/vnd.openxmlformats-officedocument.spreadsheetml.revisionLog+xml"/>
  <Override PartName="/xl/revisions/revisionLog176.xml" ContentType="application/vnd.openxmlformats-officedocument.spreadsheetml.revisionLog+xml"/>
  <Override PartName="/xl/revisions/revisionLog197.xml" ContentType="application/vnd.openxmlformats-officedocument.spreadsheetml.revisionLog+xml"/>
  <Override PartName="/xl/revisions/revisionLog201.xml" ContentType="application/vnd.openxmlformats-officedocument.spreadsheetml.revisionLog+xml"/>
  <Override PartName="/xl/revisions/revisionLog222.xml" ContentType="application/vnd.openxmlformats-officedocument.spreadsheetml.revisionLog+xml"/>
  <Override PartName="/xl/revisions/revisionLog243.xml" ContentType="application/vnd.openxmlformats-officedocument.spreadsheetml.revisionLog+xml"/>
  <Override PartName="/xl/revisions/revisionLog264.xml" ContentType="application/vnd.openxmlformats-officedocument.spreadsheetml.revisionLog+xml"/>
  <Override PartName="/xl/revisions/revisionLog285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38.xml" ContentType="application/vnd.openxmlformats-officedocument.spreadsheetml.revisionLog+xml"/>
  <Override PartName="/xl/revisions/revisionLog59.xml" ContentType="application/vnd.openxmlformats-officedocument.spreadsheetml.revisionLog+xml"/>
  <Override PartName="/xl/revisions/revisionLog103.xml" ContentType="application/vnd.openxmlformats-officedocument.spreadsheetml.revisionLog+xml"/>
  <Override PartName="/xl/revisions/revisionLog124.xml" ContentType="application/vnd.openxmlformats-officedocument.spreadsheetml.revisionLog+xml"/>
  <Override PartName="/xl/revisions/revisionLog310.xml" ContentType="application/vnd.openxmlformats-officedocument.spreadsheetml.revisionLog+xml"/>
  <Override PartName="/xl/revisions/revisionLog70.xml" ContentType="application/vnd.openxmlformats-officedocument.spreadsheetml.revisionLog+xml"/>
  <Override PartName="/xl/revisions/revisionLog91.xml" ContentType="application/vnd.openxmlformats-officedocument.spreadsheetml.revisionLog+xml"/>
  <Override PartName="/xl/revisions/revisionLog145.xml" ContentType="application/vnd.openxmlformats-officedocument.spreadsheetml.revisionLog+xml"/>
  <Override PartName="/xl/revisions/revisionLog166.xml" ContentType="application/vnd.openxmlformats-officedocument.spreadsheetml.revisionLog+xml"/>
  <Override PartName="/xl/revisions/revisionLog187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212.xml" ContentType="application/vnd.openxmlformats-officedocument.spreadsheetml.revisionLog+xml"/>
  <Override PartName="/xl/revisions/revisionLog233.xml" ContentType="application/vnd.openxmlformats-officedocument.spreadsheetml.revisionLog+xml"/>
  <Override PartName="/xl/revisions/revisionLog254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49.xml" ContentType="application/vnd.openxmlformats-officedocument.spreadsheetml.revisionLog+xml"/>
  <Override PartName="/xl/revisions/revisionLog114.xml" ContentType="application/vnd.openxmlformats-officedocument.spreadsheetml.revisionLog+xml"/>
  <Override PartName="/xl/revisions/revisionLog275.xml" ContentType="application/vnd.openxmlformats-officedocument.spreadsheetml.revisionLog+xml"/>
  <Override PartName="/xl/revisions/revisionLog296.xml" ContentType="application/vnd.openxmlformats-officedocument.spreadsheetml.revisionLog+xml"/>
  <Override PartName="/xl/revisions/revisionLog300.xml" ContentType="application/vnd.openxmlformats-officedocument.spreadsheetml.revisionLog+xml"/>
  <Override PartName="/xl/revisions/revisionLog60.xml" ContentType="application/vnd.openxmlformats-officedocument.spreadsheetml.revisionLog+xml"/>
  <Override PartName="/xl/revisions/revisionLog81.xml" ContentType="application/vnd.openxmlformats-officedocument.spreadsheetml.revisionLog+xml"/>
  <Override PartName="/xl/revisions/revisionLog135.xml" ContentType="application/vnd.openxmlformats-officedocument.spreadsheetml.revisionLog+xml"/>
  <Override PartName="/xl/revisions/revisionLog156.xml" ContentType="application/vnd.openxmlformats-officedocument.spreadsheetml.revisionLog+xml"/>
  <Override PartName="/xl/revisions/revisionLog177.xml" ContentType="application/vnd.openxmlformats-officedocument.spreadsheetml.revisionLog+xml"/>
  <Override PartName="/xl/revisions/revisionLog198.xml" ContentType="application/vnd.openxmlformats-officedocument.spreadsheetml.revisionLog+xml"/>
  <Override PartName="/xl/revisions/revisionLog202.xml" ContentType="application/vnd.openxmlformats-officedocument.spreadsheetml.revisionLog+xml"/>
  <Override PartName="/xl/revisions/revisionLog223.xml" ContentType="application/vnd.openxmlformats-officedocument.spreadsheetml.revisionLog+xml"/>
  <Override PartName="/xl/revisions/revisionLog244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39.xml" ContentType="application/vnd.openxmlformats-officedocument.spreadsheetml.revisionLog+xml"/>
  <Override PartName="/xl/revisions/revisionLog265.xml" ContentType="application/vnd.openxmlformats-officedocument.spreadsheetml.revisionLog+xml"/>
  <Override PartName="/xl/revisions/revisionLog286.xml" ContentType="application/vnd.openxmlformats-officedocument.spreadsheetml.revisionLog+xml"/>
  <Override PartName="/xl/revisions/revisionLog50.xml" ContentType="application/vnd.openxmlformats-officedocument.spreadsheetml.revisionLog+xml"/>
  <Override PartName="/xl/revisions/revisionLog104.xml" ContentType="application/vnd.openxmlformats-officedocument.spreadsheetml.revisionLog+xml"/>
  <Override PartName="/xl/revisions/revisionLog125.xml" ContentType="application/vnd.openxmlformats-officedocument.spreadsheetml.revisionLog+xml"/>
  <Override PartName="/xl/revisions/revisionLog146.xml" ContentType="application/vnd.openxmlformats-officedocument.spreadsheetml.revisionLog+xml"/>
  <Override PartName="/xl/revisions/revisionLog167.xml" ContentType="application/vnd.openxmlformats-officedocument.spreadsheetml.revisionLog+xml"/>
  <Override PartName="/xl/revisions/revisionLog188.xml" ContentType="application/vnd.openxmlformats-officedocument.spreadsheetml.revisionLog+xml"/>
  <Override PartName="/xl/revisions/revisionLog311.xml" ContentType="application/vnd.openxmlformats-officedocument.spreadsheetml.revisionLog+xml"/>
  <Override PartName="/xl/revisions/revisionLog71.xml" ContentType="application/vnd.openxmlformats-officedocument.spreadsheetml.revisionLog+xml"/>
  <Override PartName="/xl/revisions/revisionLog92.xml" ContentType="application/vnd.openxmlformats-officedocument.spreadsheetml.revisionLog+xml"/>
  <Override PartName="/xl/revisions/revisionLog213.xml" ContentType="application/vnd.openxmlformats-officedocument.spreadsheetml.revisionLog+xml"/>
  <Override PartName="/xl/revisions/revisionLog234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29.xml" ContentType="application/vnd.openxmlformats-officedocument.spreadsheetml.revisionLog+xml"/>
  <Override PartName="/xl/revisions/revisionLog255.xml" ContentType="application/vnd.openxmlformats-officedocument.spreadsheetml.revisionLog+xml"/>
  <Override PartName="/xl/revisions/revisionLog276.xml" ContentType="application/vnd.openxmlformats-officedocument.spreadsheetml.revisionLog+xml"/>
  <Override PartName="/xl/revisions/revisionLog297.xml" ContentType="application/vnd.openxmlformats-officedocument.spreadsheetml.revisionLog+xml"/>
  <Override PartName="/xl/revisions/revisionLog40.xml" ContentType="application/vnd.openxmlformats-officedocument.spreadsheetml.revisionLog+xml"/>
  <Override PartName="/xl/revisions/revisionLog115.xml" ContentType="application/vnd.openxmlformats-officedocument.spreadsheetml.revisionLog+xml"/>
  <Override PartName="/xl/revisions/revisionLog136.xml" ContentType="application/vnd.openxmlformats-officedocument.spreadsheetml.revisionLog+xml"/>
  <Override PartName="/xl/revisions/revisionLog157.xml" ContentType="application/vnd.openxmlformats-officedocument.spreadsheetml.revisionLog+xml"/>
  <Override PartName="/xl/revisions/revisionLog178.xml" ContentType="application/vnd.openxmlformats-officedocument.spreadsheetml.revisionLog+xml"/>
  <Override PartName="/xl/revisions/revisionLog301.xml" ContentType="application/vnd.openxmlformats-officedocument.spreadsheetml.revisionLog+xml"/>
  <Override PartName="/xl/revisions/revisionLog61.xml" ContentType="application/vnd.openxmlformats-officedocument.spreadsheetml.revisionLog+xml"/>
  <Override PartName="/xl/revisions/revisionLog82.xml" ContentType="application/vnd.openxmlformats-officedocument.spreadsheetml.revisionLog+xml"/>
  <Override PartName="/xl/revisions/revisionLog199.xml" ContentType="application/vnd.openxmlformats-officedocument.spreadsheetml.revisionLog+xml"/>
  <Override PartName="/xl/revisions/revisionLog203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hc-ut40346c\NHI5HC\hieunguyen\0000_Project\001_Prj\01_COEM\"/>
    </mc:Choice>
  </mc:AlternateContent>
  <bookViews>
    <workbookView xWindow="240" yWindow="105" windowWidth="14805" windowHeight="6105" firstSheet="3" activeTab="3"/>
  </bookViews>
  <sheets>
    <sheet name="COEM_Package_20200302" sheetId="1" r:id="rId1"/>
    <sheet name="|-&gt;" sheetId="2" r:id="rId2"/>
    <sheet name="Template_Weekly_Report" sheetId="3" r:id="rId3"/>
    <sheet name="COEM_Package_20200401" sheetId="4" r:id="rId4"/>
    <sheet name="Sheet1" sheetId="12" r:id="rId5"/>
    <sheet name="Template_Weekly_Report_Apr" sheetId="5" r:id="rId6"/>
    <sheet name="Report_For_Each_Project" sheetId="6" r:id="rId7"/>
    <sheet name="Table" sheetId="7" r:id="rId8"/>
    <sheet name="Check_List" sheetId="8" r:id="rId9"/>
    <sheet name="|--&gt;" sheetId="9" r:id="rId10"/>
    <sheet name="Weekly_20200327" sheetId="10" r:id="rId11"/>
    <sheet name="Monthly_20200320" sheetId="11" r:id="rId12"/>
  </sheets>
  <definedNames>
    <definedName name="_xlnm._FilterDatabase" localSheetId="0" hidden="1">COEM_Package_20200302!$A$2:$AG$225</definedName>
    <definedName name="_xlnm._FilterDatabase" localSheetId="3" hidden="1">COEM_Package_20200401!$B$2:$AH$108</definedName>
    <definedName name="Z_00B4488D_95A4_4856_B7E0_BFC3373F6C87_.wvu.FilterData" localSheetId="0" hidden="1">COEM_Package_20200302!$A$2:$AG$219</definedName>
    <definedName name="Z_00B4488D_95A4_4856_B7E0_BFC3373F6C87_.wvu.FilterData" localSheetId="3" hidden="1">COEM_Package_20200401!$A$2:$AH$108</definedName>
    <definedName name="Z_01EDE723_52E9_40B7_9054_DC526F36A118_.wvu.FilterData" localSheetId="0" hidden="1">COEM_Package_20200302!$A$2:$AG$26</definedName>
    <definedName name="Z_01EDE723_52E9_40B7_9054_DC526F36A118_.wvu.FilterData" localSheetId="3" hidden="1">COEM_Package_20200401!$A$2:$AH$108</definedName>
    <definedName name="Z_0531E02C_D0F9_496B_B9D8_D7DCB56FE423_.wvu.FilterData" localSheetId="0" hidden="1">COEM_Package_20200302!$A$2:$AG$219</definedName>
    <definedName name="Z_0531E02C_D0F9_496B_B9D8_D7DCB56FE423_.wvu.FilterData" localSheetId="3" hidden="1">COEM_Package_20200401!$A$2:$AH$108</definedName>
    <definedName name="Z_08AD05A3_5E62_433E_8087_DE4F8055323F_.wvu.FilterData" localSheetId="0" hidden="1">COEM_Package_20200302!$A$2:$AG$219</definedName>
    <definedName name="Z_08AD05A3_5E62_433E_8087_DE4F8055323F_.wvu.FilterData" localSheetId="3" hidden="1">COEM_Package_20200401!$A$2:$AH$108</definedName>
    <definedName name="Z_09D01E11_5602_4BFB_B258_BB045597F741_.wvu.FilterData" localSheetId="0" hidden="1">COEM_Package_20200302!$B$2:$AG$219</definedName>
    <definedName name="Z_09D01E11_5602_4BFB_B258_BB045597F741_.wvu.FilterData" localSheetId="3" hidden="1">COEM_Package_20200401!$B$2:$AH$108</definedName>
    <definedName name="Z_0B50C99A_4F8B_4D04_B153_9175FBB2D1A1_.wvu.FilterData" localSheetId="0" hidden="1">COEM_Package_20200302!$A$2:$AG$225</definedName>
    <definedName name="Z_0B50C99A_4F8B_4D04_B153_9175FBB2D1A1_.wvu.FilterData" localSheetId="3" hidden="1">COEM_Package_20200401!$B$2:$AH$108</definedName>
    <definedName name="Z_0CA04276_5960_4E09_A4E8_0B181FA5A0A9_.wvu.FilterData" localSheetId="0" hidden="1">COEM_Package_20200302!$A$2:$AG$219</definedName>
    <definedName name="Z_0CA04276_5960_4E09_A4E8_0B181FA5A0A9_.wvu.FilterData" localSheetId="3" hidden="1">COEM_Package_20200401!$A$2:$AH$108</definedName>
    <definedName name="Z_11411C9A_0810_4019_A59C_236DBD1519E0_.wvu.FilterData" localSheetId="0" hidden="1">COEM_Package_20200302!$A$2:$AG$219</definedName>
    <definedName name="Z_11411C9A_0810_4019_A59C_236DBD1519E0_.wvu.FilterData" localSheetId="3" hidden="1">COEM_Package_20200401!$A$2:$AH$108</definedName>
    <definedName name="Z_12ECA52F_E1F6_4C62_BB28_211497D1C61B_.wvu.FilterData" localSheetId="0" hidden="1">COEM_Package_20200302!$B$2:$AG$219</definedName>
    <definedName name="Z_12ECA52F_E1F6_4C62_BB28_211497D1C61B_.wvu.FilterData" localSheetId="3" hidden="1">COEM_Package_20200401!$B$2:$AH$108</definedName>
    <definedName name="Z_1688F1F8_7FFB_4A1C_8908_5BDE7EC108C6_.wvu.FilterData" localSheetId="0" hidden="1">COEM_Package_20200302!$B$2:$AG$66</definedName>
    <definedName name="Z_1688F1F8_7FFB_4A1C_8908_5BDE7EC108C6_.wvu.FilterData" localSheetId="3" hidden="1">COEM_Package_20200401!$B$2:$AH$108</definedName>
    <definedName name="Z_16D9BD5C_5EEF_45B8_83B1_4358C26FEEAA_.wvu.FilterData" localSheetId="3" hidden="1">COEM_Package_20200401!$B$2:$AH$108</definedName>
    <definedName name="Z_17568297_DE94_42DB_A62D_8B9302C2B85A_.wvu.FilterData" localSheetId="0" hidden="1">COEM_Package_20200302!$B$2:$AF$160</definedName>
    <definedName name="Z_17568297_DE94_42DB_A62D_8B9302C2B85A_.wvu.FilterData" localSheetId="3" hidden="1">COEM_Package_20200401!$B$2:$AG$108</definedName>
    <definedName name="Z_176CD623_4DF1_4454_BE73_44811274886F_.wvu.FilterData" localSheetId="0" hidden="1">COEM_Package_20200302!$A$2:$AG$26</definedName>
    <definedName name="Z_176CD623_4DF1_4454_BE73_44811274886F_.wvu.FilterData" localSheetId="3" hidden="1">COEM_Package_20200401!$A$2:$AH$108</definedName>
    <definedName name="Z_189DD86A_197E_4AEE_A3E6_5814482A22F6_.wvu.FilterData" localSheetId="0" hidden="1">COEM_Package_20200302!$A$2:$AG$219</definedName>
    <definedName name="Z_189DD86A_197E_4AEE_A3E6_5814482A22F6_.wvu.FilterData" localSheetId="3" hidden="1">COEM_Package_20200401!$A$2:$AH$108</definedName>
    <definedName name="Z_1FC6DB17_57A9_4CA3_9851_22FCB52C25D0_.wvu.FilterData" localSheetId="3" hidden="1">COEM_Package_20200401!$B$2:$AH$108</definedName>
    <definedName name="Z_2050022B_86AE_4EC1_9C92_6C8DD4BC2669_.wvu.FilterData" localSheetId="0" hidden="1">COEM_Package_20200302!$B$2:$AG$66</definedName>
    <definedName name="Z_2050022B_86AE_4EC1_9C92_6C8DD4BC2669_.wvu.FilterData" localSheetId="3" hidden="1">COEM_Package_20200401!$B$2:$AH$108</definedName>
    <definedName name="Z_2162F9F4_DB3B_406E_9B5C_FA4E58EE84AC_.wvu.FilterData" localSheetId="0" hidden="1">COEM_Package_20200302!$A$2:$AG$26</definedName>
    <definedName name="Z_2162F9F4_DB3B_406E_9B5C_FA4E58EE84AC_.wvu.FilterData" localSheetId="3" hidden="1">COEM_Package_20200401!$A$2:$AH$108</definedName>
    <definedName name="Z_250915DF_0B97_45D7_B29D_7EED4C89C1C1_.wvu.FilterData" localSheetId="0" hidden="1">COEM_Package_20200302!$A$2:$AG$219</definedName>
    <definedName name="Z_250915DF_0B97_45D7_B29D_7EED4C89C1C1_.wvu.FilterData" localSheetId="3" hidden="1">COEM_Package_20200401!$A$2:$AH$108</definedName>
    <definedName name="Z_250A96BD_283B_4529_9CB6_3A77A173C150_.wvu.FilterData" localSheetId="0" hidden="1">COEM_Package_20200302!$B$2:$AG$219</definedName>
    <definedName name="Z_250A96BD_283B_4529_9CB6_3A77A173C150_.wvu.FilterData" localSheetId="3" hidden="1">COEM_Package_20200401!$B$2:$AH$108</definedName>
    <definedName name="Z_25EF079F_DF06_4059_AB6D_9927AC1C30CA_.wvu.FilterData" localSheetId="3" hidden="1">COEM_Package_20200401!$B$2:$AH$108</definedName>
    <definedName name="Z_2796A872_74B9_41A6_AD05_2D7FFBF27D76_.wvu.FilterData" localSheetId="0" hidden="1">COEM_Package_20200302!$B$2:$AF$160</definedName>
    <definedName name="Z_2796A872_74B9_41A6_AD05_2D7FFBF27D76_.wvu.FilterData" localSheetId="3" hidden="1">COEM_Package_20200401!$B$2:$AG$108</definedName>
    <definedName name="Z_2995490B_49AE_4FB9_A673_71F3589EA65B_.wvu.FilterData" localSheetId="0" hidden="1">COEM_Package_20200302!$A$2:$AG$219</definedName>
    <definedName name="Z_2995490B_49AE_4FB9_A673_71F3589EA65B_.wvu.FilterData" localSheetId="3" hidden="1">COEM_Package_20200401!$A$2:$AH$108</definedName>
    <definedName name="Z_2ACBFFC8_47AC_4A7F_9EFE_5F7FC40A9488_.wvu.FilterData" localSheetId="3" hidden="1">COEM_Package_20200401!$B$2:$AH$108</definedName>
    <definedName name="Z_2DAA5E76_B8FF_4CD7_93D9_37F81863218D_.wvu.FilterData" localSheetId="0" hidden="1">COEM_Package_20200302!$P$2:$P$242</definedName>
    <definedName name="Z_2DAA5E76_B8FF_4CD7_93D9_37F81863218D_.wvu.FilterData" localSheetId="3" hidden="1">COEM_Package_20200401!$P$2:$P$125</definedName>
    <definedName name="Z_3209B137_0A1A_4F2D_BBCA_FE6D9DBDF35B_.wvu.FilterData" localSheetId="0" hidden="1">COEM_Package_20200302!$A$2:$AG$219</definedName>
    <definedName name="Z_3209B137_0A1A_4F2D_BBCA_FE6D9DBDF35B_.wvu.FilterData" localSheetId="3" hidden="1">COEM_Package_20200401!$A$2:$AH$108</definedName>
    <definedName name="Z_326844B4_1665_4191_A4F8_5A0604445A1E_.wvu.FilterData" localSheetId="3" hidden="1">COEM_Package_20200401!$B$2:$AH$108</definedName>
    <definedName name="Z_329A45A7_EE28_42D8_95BD_0598B318B5B1_.wvu.FilterData" localSheetId="3" hidden="1">COEM_Package_20200401!$B$2:$AH$108</definedName>
    <definedName name="Z_35B0B6AE_086F_4F08_9CA9_A72BF8F13B9D_.wvu.FilterData" localSheetId="0" hidden="1">COEM_Package_20200302!$B$2:$AG$66</definedName>
    <definedName name="Z_35B0B6AE_086F_4F08_9CA9_A72BF8F13B9D_.wvu.FilterData" localSheetId="3" hidden="1">COEM_Package_20200401!$B$2:$AH$108</definedName>
    <definedName name="Z_36B29EBA_BA12_49AB_A275_F6A1D6C8C11A_.wvu.FilterData" localSheetId="0" hidden="1">COEM_Package_20200302!$A$2:$AG$219</definedName>
    <definedName name="Z_36B29EBA_BA12_49AB_A275_F6A1D6C8C11A_.wvu.FilterData" localSheetId="3" hidden="1">COEM_Package_20200401!$A$2:$AH$108</definedName>
    <definedName name="Z_382D887A_F8D5_4E00_A4D1_AE3B77523470_.wvu.FilterData" localSheetId="0" hidden="1">COEM_Package_20200302!$B$2:$AG$66</definedName>
    <definedName name="Z_382D887A_F8D5_4E00_A4D1_AE3B77523470_.wvu.FilterData" localSheetId="3" hidden="1">COEM_Package_20200401!$B$2:$AH$108</definedName>
    <definedName name="Z_3A83DD4B_D5BC_46AA_9637_066A6F10C0C7_.wvu.FilterData" localSheetId="0" hidden="1">COEM_Package_20200302!$A$2:$AG$219</definedName>
    <definedName name="Z_3A83DD4B_D5BC_46AA_9637_066A6F10C0C7_.wvu.FilterData" localSheetId="3" hidden="1">COEM_Package_20200401!$A$2:$AH$108</definedName>
    <definedName name="Z_3AB52AB1_CE4B_4E65_9B66_3B1B58BC84F6_.wvu.FilterData" localSheetId="0" hidden="1">COEM_Package_20200302!$A$2:$AG$26</definedName>
    <definedName name="Z_3AB52AB1_CE4B_4E65_9B66_3B1B58BC84F6_.wvu.FilterData" localSheetId="3" hidden="1">COEM_Package_20200401!$A$2:$AH$108</definedName>
    <definedName name="Z_3EE173E3_F30C_4123_BA68_472D213EF7CF_.wvu.FilterData" localSheetId="0" hidden="1">COEM_Package_20200302!$B$2:$AG$66</definedName>
    <definedName name="Z_3EE173E3_F30C_4123_BA68_472D213EF7CF_.wvu.FilterData" localSheetId="3" hidden="1">COEM_Package_20200401!$B$2:$AH$108</definedName>
    <definedName name="Z_400DF9EB_0384_48D4_A67E_686556C1B492_.wvu.FilterData" localSheetId="0" hidden="1">COEM_Package_20200302!$A$2:$AG$219</definedName>
    <definedName name="Z_400DF9EB_0384_48D4_A67E_686556C1B492_.wvu.FilterData" localSheetId="3" hidden="1">COEM_Package_20200401!$A$2:$AH$108</definedName>
    <definedName name="Z_40C2C641_E735_404F_AD62_31E9BAD1216F_.wvu.FilterData" localSheetId="0" hidden="1">COEM_Package_20200302!$A$2:$AG$219</definedName>
    <definedName name="Z_40C2C641_E735_404F_AD62_31E9BAD1216F_.wvu.FilterData" localSheetId="3" hidden="1">COEM_Package_20200401!$A$2:$AH$108</definedName>
    <definedName name="Z_41B1B4D1_A075_484C_97B9_D2394E82262D_.wvu.FilterData" localSheetId="0" hidden="1">COEM_Package_20200302!$B$2:$AG$219</definedName>
    <definedName name="Z_41B1B4D1_A075_484C_97B9_D2394E82262D_.wvu.FilterData" localSheetId="3" hidden="1">COEM_Package_20200401!$B$2:$AH$108</definedName>
    <definedName name="Z_41B6B490_4439_41A5_84D6_228571039AC9_.wvu.FilterData" localSheetId="0" hidden="1">COEM_Package_20200302!$O$2:$O$242</definedName>
    <definedName name="Z_41B6B490_4439_41A5_84D6_228571039AC9_.wvu.FilterData" localSheetId="3" hidden="1">COEM_Package_20200401!$O$2:$O$125</definedName>
    <definedName name="Z_41E0E866_DA86_4AEB_BF76_E491B63B8D67_.wvu.FilterData" localSheetId="0" hidden="1">COEM_Package_20200302!$A$2:$AG$219</definedName>
    <definedName name="Z_41E0E866_DA86_4AEB_BF76_E491B63B8D67_.wvu.FilterData" localSheetId="3" hidden="1">COEM_Package_20200401!$A$2:$AH$108</definedName>
    <definedName name="Z_4273BB64_909A_4779_AF1B_C6A535984875_.wvu.FilterData" localSheetId="0" hidden="1">COEM_Package_20200302!$A$2:$AG$219</definedName>
    <definedName name="Z_4273BB64_909A_4779_AF1B_C6A535984875_.wvu.FilterData" localSheetId="3" hidden="1">COEM_Package_20200401!$A$2:$AH$108</definedName>
    <definedName name="Z_4559A19F_8862_4382_B831_23064F006456_.wvu.FilterData" localSheetId="0" hidden="1">COEM_Package_20200302!$A$2:$AG$26</definedName>
    <definedName name="Z_4559A19F_8862_4382_B831_23064F006456_.wvu.FilterData" localSheetId="3" hidden="1">COEM_Package_20200401!$A$2:$AH$108</definedName>
    <definedName name="Z_493DAEBC_2C67_49B9_AD13_A1DBD6E07EA2_.wvu.FilterData" localSheetId="3" hidden="1">COEM_Package_20200401!$B$2:$AH$108</definedName>
    <definedName name="Z_4E06BDBF_2CED_473B_850B_2A6C7311FF41_.wvu.Cols" localSheetId="3" hidden="1">COEM_Package_20200401!$P:$Q</definedName>
    <definedName name="Z_4E06BDBF_2CED_473B_850B_2A6C7311FF41_.wvu.FilterData" localSheetId="0" hidden="1">COEM_Package_20200302!$A$2:$AG$225</definedName>
    <definedName name="Z_4E06BDBF_2CED_473B_850B_2A6C7311FF41_.wvu.FilterData" localSheetId="3" hidden="1">COEM_Package_20200401!$O$2:$O$135</definedName>
    <definedName name="Z_4E06BDBF_2CED_473B_850B_2A6C7311FF41_.wvu.FilterData" localSheetId="4" hidden="1">Sheet1!$A$2:$A$119</definedName>
    <definedName name="Z_4FB3B41F_CA28_4DD6_8996_D23358E75053_.wvu.FilterData" localSheetId="0" hidden="1">COEM_Package_20200302!$B$2:$AG$219</definedName>
    <definedName name="Z_4FB3B41F_CA28_4DD6_8996_D23358E75053_.wvu.FilterData" localSheetId="3" hidden="1">COEM_Package_20200401!$B$2:$AH$108</definedName>
    <definedName name="Z_51B33DD2_3A4F_4ED6_8425_E4D47FE10114_.wvu.FilterData" localSheetId="0" hidden="1">COEM_Package_20200302!$A$2:$AG$26</definedName>
    <definedName name="Z_51B33DD2_3A4F_4ED6_8425_E4D47FE10114_.wvu.FilterData" localSheetId="3" hidden="1">COEM_Package_20200401!$A$2:$AH$108</definedName>
    <definedName name="Z_52DECCB7_0796_4506_B3E5_D75747700B63_.wvu.FilterData" localSheetId="0" hidden="1">COEM_Package_20200302!$A$2:$AG$219</definedName>
    <definedName name="Z_52DECCB7_0796_4506_B3E5_D75747700B63_.wvu.FilterData" localSheetId="3" hidden="1">COEM_Package_20200401!$A$2:$AH$108</definedName>
    <definedName name="Z_531A45AE_CB7E_48BC_80BF_D6DD27FCC565_.wvu.FilterData" localSheetId="0" hidden="1">COEM_Package_20200302!$A$2:$AG$26</definedName>
    <definedName name="Z_531A45AE_CB7E_48BC_80BF_D6DD27FCC565_.wvu.FilterData" localSheetId="3" hidden="1">COEM_Package_20200401!$A$2:$AH$108</definedName>
    <definedName name="Z_531D8BB1_1EA1_41B2_896B_A69A6024C4FA_.wvu.FilterData" localSheetId="0" hidden="1">COEM_Package_20200302!$B$2:$AG$219</definedName>
    <definedName name="Z_531D8BB1_1EA1_41B2_896B_A69A6024C4FA_.wvu.FilterData" localSheetId="3" hidden="1">COEM_Package_20200401!$B$2:$AH$108</definedName>
    <definedName name="Z_56BE0167_3075_466C_AEE9_46C5DC701D64_.wvu.FilterData" localSheetId="3" hidden="1">COEM_Package_20200401!$B$2:$AH$108</definedName>
    <definedName name="Z_582D1C0D_4848_4429_A801_7AE90E99F8E8_.wvu.FilterData" localSheetId="3" hidden="1">COEM_Package_20200401!$B$2:$AH$108</definedName>
    <definedName name="Z_594856DB_1796_41BA_9D27_B22FF73A30E5_.wvu.FilterData" localSheetId="0" hidden="1">COEM_Package_20200302!$B$2:$AG$66</definedName>
    <definedName name="Z_594856DB_1796_41BA_9D27_B22FF73A30E5_.wvu.FilterData" localSheetId="3" hidden="1">COEM_Package_20200401!$B$2:$AH$108</definedName>
    <definedName name="Z_59E59F6B_2599_43D1_B9BD_FC6B6842D97D_.wvu.FilterData" localSheetId="3" hidden="1">COEM_Package_20200401!$B$2:$AH$108</definedName>
    <definedName name="Z_5A69BDDC_69D1_4C06_9FA2_5E7FFAF1DD5D_.wvu.FilterData" localSheetId="0" hidden="1">COEM_Package_20200302!$B$2:$AG$66</definedName>
    <definedName name="Z_5A69BDDC_69D1_4C06_9FA2_5E7FFAF1DD5D_.wvu.FilterData" localSheetId="3" hidden="1">COEM_Package_20200401!$B$2:$AH$108</definedName>
    <definedName name="Z_5D0FF689_E822_48DE_8E54_0CBEE6E4BFF9_.wvu.FilterData" localSheetId="3" hidden="1">COEM_Package_20200401!$B$2:$AH$108</definedName>
    <definedName name="Z_5F96D9B1_B13C_4F03_948F_0B571D63E9B7_.wvu.FilterData" localSheetId="3" hidden="1">COEM_Package_20200401!$B$2:$AH$108</definedName>
    <definedName name="Z_60AF476A_0248_4AA2_AE15_DC04C7E32858_.wvu.FilterData" localSheetId="0" hidden="1">COEM_Package_20200302!$A$2:$AG$26</definedName>
    <definedName name="Z_60AF476A_0248_4AA2_AE15_DC04C7E32858_.wvu.FilterData" localSheetId="3" hidden="1">COEM_Package_20200401!$A$2:$AH$108</definedName>
    <definedName name="Z_60D2C030_4E31_4E07_8E1C_44D2EE84B177_.wvu.Cols" localSheetId="3" hidden="1">COEM_Package_20200401!$P:$Q</definedName>
    <definedName name="Z_60D2C030_4E31_4E07_8E1C_44D2EE84B177_.wvu.FilterData" localSheetId="0" hidden="1">COEM_Package_20200302!$B$2:$AG$225</definedName>
    <definedName name="Z_60D2C030_4E31_4E07_8E1C_44D2EE84B177_.wvu.FilterData" localSheetId="3" hidden="1">COEM_Package_20200401!$B$2:$AH$108</definedName>
    <definedName name="Z_67638758_F59B_4CE4_ABF7_530DFBE3C588_.wvu.FilterData" localSheetId="0" hidden="1">COEM_Package_20200302!$O$2:$O$242</definedName>
    <definedName name="Z_67638758_F59B_4CE4_ABF7_530DFBE3C588_.wvu.FilterData" localSheetId="3" hidden="1">COEM_Package_20200401!$O$2:$O$125</definedName>
    <definedName name="Z_67823219_E5F6_4230_86E0_7EF8352BE893_.wvu.FilterData" localSheetId="0" hidden="1">COEM_Package_20200302!$B$2:$AG$219</definedName>
    <definedName name="Z_67823219_E5F6_4230_86E0_7EF8352BE893_.wvu.FilterData" localSheetId="3" hidden="1">COEM_Package_20200401!$B$2:$AH$108</definedName>
    <definedName name="Z_6A105B8F_5BC5_43CB_A586_248CB47BBA9F_.wvu.FilterData" localSheetId="3" hidden="1">COEM_Package_20200401!$B$2:$AH$108</definedName>
    <definedName name="Z_6B1BA5A9_E057_4F4A_9C65_C6B9C02CC00C_.wvu.FilterData" localSheetId="0" hidden="1">COEM_Package_20200302!$P$2:$P$242</definedName>
    <definedName name="Z_6B1BA5A9_E057_4F4A_9C65_C6B9C02CC00C_.wvu.FilterData" localSheetId="3" hidden="1">COEM_Package_20200401!$P$2:$P$125</definedName>
    <definedName name="Z_72A6EB0A_84D5_4B8A_AC51_54CCD061630B_.wvu.Cols" localSheetId="3" hidden="1">COEM_Package_20200401!$P:$Q</definedName>
    <definedName name="Z_72A6EB0A_84D5_4B8A_AC51_54CCD061630B_.wvu.FilterData" localSheetId="0" hidden="1">COEM_Package_20200302!$A$2:$AG$225</definedName>
    <definedName name="Z_72A6EB0A_84D5_4B8A_AC51_54CCD061630B_.wvu.FilterData" localSheetId="3" hidden="1">COEM_Package_20200401!$B$2:$AH$108</definedName>
    <definedName name="Z_72BC4F42_68AA_4143_BCCA_20A8ECEBEA18_.wvu.FilterData" localSheetId="3" hidden="1">COEM_Package_20200401!$B$2:$AH$108</definedName>
    <definedName name="Z_7341A8CD_FBA6_4B2D_8E4A_3A0E9AF8C404_.wvu.FilterData" localSheetId="0" hidden="1">COEM_Package_20200302!$B$2:$AG$66</definedName>
    <definedName name="Z_7341A8CD_FBA6_4B2D_8E4A_3A0E9AF8C404_.wvu.FilterData" localSheetId="3" hidden="1">COEM_Package_20200401!$B$2:$AH$108</definedName>
    <definedName name="Z_740DC6B1_F8A3_42A4_9DBA_B7F4B4302024_.wvu.FilterData" localSheetId="0" hidden="1">COEM_Package_20200302!$B$2:$AF$10</definedName>
    <definedName name="Z_740DC6B1_F8A3_42A4_9DBA_B7F4B4302024_.wvu.FilterData" localSheetId="3" hidden="1">COEM_Package_20200401!$B$2:$AG$10</definedName>
    <definedName name="Z_75EBBE3D_6BBB_4DA6_9D69_395330ADF817_.wvu.FilterData" localSheetId="0" hidden="1">COEM_Package_20200302!$B$2:$AG$66</definedName>
    <definedName name="Z_75EBBE3D_6BBB_4DA6_9D69_395330ADF817_.wvu.FilterData" localSheetId="3" hidden="1">COEM_Package_20200401!$B$2:$AH$108</definedName>
    <definedName name="Z_77E3614A_168A_4B25_8CA6_16542FFB62CD_.wvu.FilterData" localSheetId="3" hidden="1">COEM_Package_20200401!$B$2:$AH$108</definedName>
    <definedName name="Z_7A2ABC1B_BBED_4700_958B_A7B390790674_.wvu.FilterData" localSheetId="3" hidden="1">COEM_Package_20200401!$B$2:$AH$108</definedName>
    <definedName name="Z_7C5EA105_2752_453D_88BA_A08BD8FF34E5_.wvu.FilterData" localSheetId="0" hidden="1">COEM_Package_20200302!$A$2:$AG$26</definedName>
    <definedName name="Z_7C5EA105_2752_453D_88BA_A08BD8FF34E5_.wvu.FilterData" localSheetId="3" hidden="1">COEM_Package_20200401!$A$2:$AH$108</definedName>
    <definedName name="Z_7E0EA425_A420_4443_B9E0_CDF0AA9E5D09_.wvu.Cols" localSheetId="3" hidden="1">COEM_Package_20200401!$P:$Q</definedName>
    <definedName name="Z_7E0EA425_A420_4443_B9E0_CDF0AA9E5D09_.wvu.FilterData" localSheetId="0" hidden="1">COEM_Package_20200302!$A$2:$AG$225</definedName>
    <definedName name="Z_7E0EA425_A420_4443_B9E0_CDF0AA9E5D09_.wvu.FilterData" localSheetId="3" hidden="1">COEM_Package_20200401!$B$2:$AH$108</definedName>
    <definedName name="Z_7ECC2B8E_6A82_42F5_8AB0_4A51C54EA5EC_.wvu.Cols" localSheetId="0" hidden="1">COEM_Package_20200302!$M:$N</definedName>
    <definedName name="Z_7ECC2B8E_6A82_42F5_8AB0_4A51C54EA5EC_.wvu.Cols" localSheetId="3" hidden="1">COEM_Package_20200401!$M:$N</definedName>
    <definedName name="Z_7ECC2B8E_6A82_42F5_8AB0_4A51C54EA5EC_.wvu.FilterData" localSheetId="0" hidden="1">COEM_Package_20200302!$P$2:$P$242</definedName>
    <definedName name="Z_7ECC2B8E_6A82_42F5_8AB0_4A51C54EA5EC_.wvu.FilterData" localSheetId="3" hidden="1">COEM_Package_20200401!$P$2:$P$125</definedName>
    <definedName name="Z_81D68B78_6C90_4E62_A9A0_FE3F984DF787_.wvu.FilterData" localSheetId="3" hidden="1">COEM_Package_20200401!$B$2:$AH$108</definedName>
    <definedName name="Z_8285EB99_59BB_4F35_93B9_861616B51559_.wvu.FilterData" localSheetId="0" hidden="1">COEM_Package_20200302!$A$3:$AG$219</definedName>
    <definedName name="Z_8285EB99_59BB_4F35_93B9_861616B51559_.wvu.FilterData" localSheetId="3" hidden="1">COEM_Package_20200401!$A$3:$AH$108</definedName>
    <definedName name="Z_839DFCBD_B2E4_4623_A615_58494692EC74_.wvu.FilterData" localSheetId="0" hidden="1">COEM_Package_20200302!$P$2:$P$242</definedName>
    <definedName name="Z_839DFCBD_B2E4_4623_A615_58494692EC74_.wvu.FilterData" localSheetId="3" hidden="1">COEM_Package_20200401!$P$2:$P$125</definedName>
    <definedName name="Z_8666B3DA_5A6C_4D9E_8757_08180744F52F_.wvu.FilterData" localSheetId="3" hidden="1">COEM_Package_20200401!$B$2:$AH$108</definedName>
    <definedName name="Z_8FEFE928_94D1_44D7_84F8_55FFEA01DDA3_.wvu.FilterData" localSheetId="3" hidden="1">COEM_Package_20200401!$B$2:$AH$108</definedName>
    <definedName name="Z_906FB9A6_0BB7_413C_A628_192CC46EA33D_.wvu.FilterData" localSheetId="0" hidden="1">COEM_Package_20200302!$A$2:$AG$219</definedName>
    <definedName name="Z_906FB9A6_0BB7_413C_A628_192CC46EA33D_.wvu.FilterData" localSheetId="3" hidden="1">COEM_Package_20200401!$A$2:$AH$108</definedName>
    <definedName name="Z_925FB698_D7FE_42C7_AA05_C2908FECE4B8_.wvu.FilterData" localSheetId="0" hidden="1">COEM_Package_20200302!$A$2:$AG$26</definedName>
    <definedName name="Z_925FB698_D7FE_42C7_AA05_C2908FECE4B8_.wvu.FilterData" localSheetId="3" hidden="1">COEM_Package_20200401!$A$2:$AH$108</definedName>
    <definedName name="Z_98819C79_F849_43BF_931F_D6F742BBA675_.wvu.FilterData" localSheetId="3" hidden="1">COEM_Package_20200401!$B$2:$AH$108</definedName>
    <definedName name="Z_9AB53BE4_5009_47C5_8741_484ED42BD04A_.wvu.FilterData" localSheetId="3" hidden="1">COEM_Package_20200401!$B$2:$AH$108</definedName>
    <definedName name="Z_9AFC86BF_9493_4ED5_8763_E5A763C0997C_.wvu.FilterData" localSheetId="0" hidden="1">COEM_Package_20200302!$P$2:$P$242</definedName>
    <definedName name="Z_9AFC86BF_9493_4ED5_8763_E5A763C0997C_.wvu.FilterData" localSheetId="3" hidden="1">COEM_Package_20200401!$P$2:$P$125</definedName>
    <definedName name="Z_9B66F7EE_F031_4C71_8C98_51E05F7F8BB3_.wvu.FilterData" localSheetId="0" hidden="1">COEM_Package_20200302!$A$2:$AG$219</definedName>
    <definedName name="Z_9B66F7EE_F031_4C71_8C98_51E05F7F8BB3_.wvu.FilterData" localSheetId="3" hidden="1">COEM_Package_20200401!$A$2:$AH$108</definedName>
    <definedName name="Z_9BBC5FBB_CEC7_4B7E_8FC1_DC9F240B7B1A_.wvu.FilterData" localSheetId="0" hidden="1">COEM_Package_20200302!$B$2:$AF$160</definedName>
    <definedName name="Z_9BBC5FBB_CEC7_4B7E_8FC1_DC9F240B7B1A_.wvu.FilterData" localSheetId="3" hidden="1">COEM_Package_20200401!$B$2:$AG$108</definedName>
    <definedName name="Z_9D98A458_8FF5_4B71_8A8B_EE0D8BF161E6_.wvu.FilterData" localSheetId="0" hidden="1">COEM_Package_20200302!$A$2:$AG$219</definedName>
    <definedName name="Z_9D98A458_8FF5_4B71_8A8B_EE0D8BF161E6_.wvu.FilterData" localSheetId="3" hidden="1">COEM_Package_20200401!$A$2:$AH$108</definedName>
    <definedName name="Z_9ED4B296_E9A0_43D8_A56B_F4D7CC736352_.wvu.FilterData" localSheetId="0" hidden="1">COEM_Package_20200302!$B$2:$AF$10</definedName>
    <definedName name="Z_9ED4B296_E9A0_43D8_A56B_F4D7CC736352_.wvu.FilterData" localSheetId="3" hidden="1">COEM_Package_20200401!$B$2:$AG$10</definedName>
    <definedName name="Z_A239C479_B2DC_4DCA_A930_634A835634B0_.wvu.FilterData" localSheetId="0" hidden="1">COEM_Package_20200302!$B$2:$AF$160</definedName>
    <definedName name="Z_A239C479_B2DC_4DCA_A930_634A835634B0_.wvu.FilterData" localSheetId="3" hidden="1">COEM_Package_20200401!$B$2:$AG$108</definedName>
    <definedName name="Z_A2E0FBA7_CFB4_4914_B100_23A9162A3A70_.wvu.FilterData" localSheetId="3" hidden="1">COEM_Package_20200401!$B$2:$AH$108</definedName>
    <definedName name="Z_A496F5E6_8AE3_45F0_9591_4622E0FA0969_.wvu.FilterData" localSheetId="0" hidden="1">COEM_Package_20200302!$A$2:$AG$219</definedName>
    <definedName name="Z_A496F5E6_8AE3_45F0_9591_4622E0FA0969_.wvu.FilterData" localSheetId="3" hidden="1">COEM_Package_20200401!$A$2:$AH$108</definedName>
    <definedName name="Z_A51EBE84_CBC8_46F9_AE0C_B070690415D4_.wvu.FilterData" localSheetId="0" hidden="1">COEM_Package_20200302!$P$2:$P$242</definedName>
    <definedName name="Z_A51EBE84_CBC8_46F9_AE0C_B070690415D4_.wvu.FilterData" localSheetId="3" hidden="1">COEM_Package_20200401!$P$2:$P$125</definedName>
    <definedName name="Z_A9348308_BC55_49A4_8208_2434A4A6D1C9_.wvu.FilterData" localSheetId="3" hidden="1">COEM_Package_20200401!$B$2:$AH$108</definedName>
    <definedName name="Z_AC9F3C77_6251_4EA1_8492_F9EE3AF2E860_.wvu.FilterData" localSheetId="3" hidden="1">COEM_Package_20200401!$B$2:$AH$108</definedName>
    <definedName name="Z_ACD49FC7_935A_41EE_92F2_C7EE22A85C5A_.wvu.FilterData" localSheetId="0" hidden="1">COEM_Package_20200302!$A$2:$AG$219</definedName>
    <definedName name="Z_ACD49FC7_935A_41EE_92F2_C7EE22A85C5A_.wvu.FilterData" localSheetId="3" hidden="1">COEM_Package_20200401!$A$2:$AH$108</definedName>
    <definedName name="Z_AEAF4D71_0127_4869_AEFB_E66F1C078419_.wvu.FilterData" localSheetId="0" hidden="1">COEM_Package_20200302!$B$2:$AG$219</definedName>
    <definedName name="Z_AEAF4D71_0127_4869_AEFB_E66F1C078419_.wvu.FilterData" localSheetId="3" hidden="1">COEM_Package_20200401!$B$2:$AH$108</definedName>
    <definedName name="Z_AECDC39D_B5FD_4DD6_A717_CD2987A585E9_.wvu.FilterData" localSheetId="3" hidden="1">COEM_Package_20200401!$B$2:$AH$108</definedName>
    <definedName name="Z_AF3A0642_5B32_4501_B577_DEF23756F296_.wvu.FilterData" localSheetId="3" hidden="1">COEM_Package_20200401!$B$2:$AH$108</definedName>
    <definedName name="Z_B156AFFA_16DF_4425_86DA_8148471DAEFC_.wvu.FilterData" localSheetId="0" hidden="1">COEM_Package_20200302!$B$2:$AG$66</definedName>
    <definedName name="Z_B156AFFA_16DF_4425_86DA_8148471DAEFC_.wvu.FilterData" localSheetId="3" hidden="1">COEM_Package_20200401!$B$2:$AH$108</definedName>
    <definedName name="Z_B57EF6F3_E59D_434B_9336_7B5B5B3634A8_.wvu.FilterData" localSheetId="0" hidden="1">COEM_Package_20200302!$A$2:$AG$219</definedName>
    <definedName name="Z_B57EF6F3_E59D_434B_9336_7B5B5B3634A8_.wvu.FilterData" localSheetId="3" hidden="1">COEM_Package_20200401!$A$2:$AH$108</definedName>
    <definedName name="Z_B5F61057_864A_4A05_A2A3_DE47041B609F_.wvu.FilterData" localSheetId="3" hidden="1">COEM_Package_20200401!$B$2:$AH$108</definedName>
    <definedName name="Z_B90DB7C2_E51D_4CF2_8FD5_1F2A71149B77_.wvu.FilterData" localSheetId="0" hidden="1">COEM_Package_20200302!$B$2:$AG$26</definedName>
    <definedName name="Z_B90DB7C2_E51D_4CF2_8FD5_1F2A71149B77_.wvu.FilterData" localSheetId="3" hidden="1">COEM_Package_20200401!$B$2:$AH$108</definedName>
    <definedName name="Z_B9DC22AF_7F7D_40B8_8A57_B4FF34A5FEFD_.wvu.FilterData" localSheetId="3" hidden="1">COEM_Package_20200401!$B$2:$AH$108</definedName>
    <definedName name="Z_BA1EA899_A67B_4AE0_83A4_B82D05331D8F_.wvu.FilterData" localSheetId="0" hidden="1">COEM_Package_20200302!$P$2:$P$242</definedName>
    <definedName name="Z_BA1EA899_A67B_4AE0_83A4_B82D05331D8F_.wvu.FilterData" localSheetId="3" hidden="1">COEM_Package_20200401!$P$2:$P$125</definedName>
    <definedName name="Z_BB8AAD79_297D_4B1B_A758_DD8485F2DD4C_.wvu.FilterData" localSheetId="3" hidden="1">COEM_Package_20200401!$B$2:$AH$108</definedName>
    <definedName name="Z_BBAE6BD0_8958_494E_83AF_3471AF879750_.wvu.FilterData" localSheetId="0" hidden="1">COEM_Package_20200302!$B$2:$AF$66</definedName>
    <definedName name="Z_BBAE6BD0_8958_494E_83AF_3471AF879750_.wvu.FilterData" localSheetId="3" hidden="1">COEM_Package_20200401!$B$2:$AG$108</definedName>
    <definedName name="Z_BC3B5475_529F_43D1_84B4_27DD4352C85B_.wvu.FilterData" localSheetId="0" hidden="1">COEM_Package_20200302!$B$2:$AG$219</definedName>
    <definedName name="Z_BC3B5475_529F_43D1_84B4_27DD4352C85B_.wvu.FilterData" localSheetId="3" hidden="1">COEM_Package_20200401!$B$2:$AH$108</definedName>
    <definedName name="Z_BC3C5311_6A75_4A0E_91A2_B3B621C4B757_.wvu.FilterData" localSheetId="3" hidden="1">COEM_Package_20200401!$B$2:$AH$108</definedName>
    <definedName name="Z_BF6030AA_D1CA_4D5C_8CFB_69427E72B945_.wvu.FilterData" localSheetId="0" hidden="1">COEM_Package_20200302!$B$2:$AG$219</definedName>
    <definedName name="Z_BF6030AA_D1CA_4D5C_8CFB_69427E72B945_.wvu.FilterData" localSheetId="3" hidden="1">COEM_Package_20200401!$B$2:$AH$108</definedName>
    <definedName name="Z_C11121DB_E106_4AA2_B5FF_59AD4E125A4C_.wvu.FilterData" localSheetId="3" hidden="1">COEM_Package_20200401!$B$2:$AH$108</definedName>
    <definedName name="Z_C2903E39_3C94_4EB6_A3CC_96D0BE27A109_.wvu.FilterData" localSheetId="0" hidden="1">COEM_Package_20200302!$A$2:$AG$26</definedName>
    <definedName name="Z_C2903E39_3C94_4EB6_A3CC_96D0BE27A109_.wvu.FilterData" localSheetId="3" hidden="1">COEM_Package_20200401!$A$2:$AH$108</definedName>
    <definedName name="Z_C42196FB_05E2_43D7_B266_92F73D8A5D75_.wvu.FilterData" localSheetId="0" hidden="1">COEM_Package_20200302!$A$2:$AG$219</definedName>
    <definedName name="Z_C42196FB_05E2_43D7_B266_92F73D8A5D75_.wvu.FilterData" localSheetId="3" hidden="1">COEM_Package_20200401!$A$2:$AH$108</definedName>
    <definedName name="Z_C4BC5062_8F38_4A96_A004_5659583461FE_.wvu.FilterData" localSheetId="0" hidden="1">COEM_Package_20200302!$A$2:$AG$26</definedName>
    <definedName name="Z_C4BC5062_8F38_4A96_A004_5659583461FE_.wvu.FilterData" localSheetId="3" hidden="1">COEM_Package_20200401!$A$2:$AH$108</definedName>
    <definedName name="Z_C81A18B8_F373_4EA5_8BEE_9CCD78D9B614_.wvu.FilterData" localSheetId="0" hidden="1">COEM_Package_20200302!$A$2:$AG$219</definedName>
    <definedName name="Z_C81A18B8_F373_4EA5_8BEE_9CCD78D9B614_.wvu.FilterData" localSheetId="3" hidden="1">COEM_Package_20200401!$A$2:$AH$108</definedName>
    <definedName name="Z_CB28C596_9F9E_494B_B56D_ECD6004C6E89_.wvu.FilterData" localSheetId="0" hidden="1">COEM_Package_20200302!$A$2:$AG$219</definedName>
    <definedName name="Z_CB28C596_9F9E_494B_B56D_ECD6004C6E89_.wvu.FilterData" localSheetId="3" hidden="1">COEM_Package_20200401!$A$2:$AH$108</definedName>
    <definedName name="Z_CBEF51E1_FAD6_43D8_BBFD_6C1B32E55B4B_.wvu.FilterData" localSheetId="0" hidden="1">COEM_Package_20200302!$A$2:$AG$219</definedName>
    <definedName name="Z_CBEF51E1_FAD6_43D8_BBFD_6C1B32E55B4B_.wvu.FilterData" localSheetId="3" hidden="1">COEM_Package_20200401!$A$2:$AH$108</definedName>
    <definedName name="Z_CF7D8FA3_D125_4EB9_A053_2F4A0FE3836A_.wvu.FilterData" localSheetId="0" hidden="1">COEM_Package_20200302!$A$2:$AG$219</definedName>
    <definedName name="Z_CF7D8FA3_D125_4EB9_A053_2F4A0FE3836A_.wvu.FilterData" localSheetId="3" hidden="1">COEM_Package_20200401!$A$2:$AH$108</definedName>
    <definedName name="Z_D1F7047B_CC2E_48BC_8022_C8013AE2B1E1_.wvu.Cols" localSheetId="3" hidden="1">COEM_Package_20200401!$P:$Q</definedName>
    <definedName name="Z_D1F7047B_CC2E_48BC_8022_C8013AE2B1E1_.wvu.FilterData" localSheetId="0" hidden="1">COEM_Package_20200302!$A$2:$AG$225</definedName>
    <definedName name="Z_D1F7047B_CC2E_48BC_8022_C8013AE2B1E1_.wvu.FilterData" localSheetId="3" hidden="1">COEM_Package_20200401!$B$2:$AH$108</definedName>
    <definedName name="Z_D3C27057_82FD_4B65_B62E_707A2F121BDE_.wvu.FilterData" localSheetId="3" hidden="1">COEM_Package_20200401!$B$2:$AH$108</definedName>
    <definedName name="Z_D5F9A537_3EF6_4FA9_94D8_ABB431F3ED7F_.wvu.FilterData" localSheetId="0" hidden="1">COEM_Package_20200302!$P$2:$P$242</definedName>
    <definedName name="Z_D5F9A537_3EF6_4FA9_94D8_ABB431F3ED7F_.wvu.FilterData" localSheetId="3" hidden="1">COEM_Package_20200401!$P$2:$P$125</definedName>
    <definedName name="Z_D64A1F39_2F26_414B_BFD8_5E15BACEFD82_.wvu.FilterData" localSheetId="0" hidden="1">COEM_Package_20200302!$A$2:$AG$26</definedName>
    <definedName name="Z_D64A1F39_2F26_414B_BFD8_5E15BACEFD82_.wvu.FilterData" localSheetId="3" hidden="1">COEM_Package_20200401!$A$2:$AH$108</definedName>
    <definedName name="Z_D7052A08_90FA_48CA_82A8_5EA9416A6CAA_.wvu.FilterData" localSheetId="0" hidden="1">COEM_Package_20200302!$A$2:$AG$225</definedName>
    <definedName name="Z_D71C8170_5CF8_45BB_885E_2E519DB4B102_.wvu.FilterData" localSheetId="0" hidden="1">COEM_Package_20200302!$A$2:$AG$219</definedName>
    <definedName name="Z_D71C8170_5CF8_45BB_885E_2E519DB4B102_.wvu.FilterData" localSheetId="3" hidden="1">COEM_Package_20200401!$A$2:$AH$108</definedName>
    <definedName name="Z_DAD7BB38_0E1F_419E_B884_7AE8DE7DB88D_.wvu.FilterData" localSheetId="0" hidden="1">COEM_Package_20200302!$B$2:$AG$66</definedName>
    <definedName name="Z_DAD7BB38_0E1F_419E_B884_7AE8DE7DB88D_.wvu.FilterData" localSheetId="3" hidden="1">COEM_Package_20200401!$B$2:$AH$108</definedName>
    <definedName name="Z_DCCFDF96_A2B0_4317_A5B6_111D31103E37_.wvu.FilterData" localSheetId="3" hidden="1">COEM_Package_20200401!$B$2:$AH$108</definedName>
    <definedName name="Z_DDF827EC_E1F1_48B8_B7DB_C164C61411CF_.wvu.FilterData" localSheetId="0" hidden="1">COEM_Package_20200302!$A$2:$AG$219</definedName>
    <definedName name="Z_DDF827EC_E1F1_48B8_B7DB_C164C61411CF_.wvu.FilterData" localSheetId="3" hidden="1">COEM_Package_20200401!$A$2:$AH$108</definedName>
    <definedName name="Z_E30F7C3C_88AD_4DA8_91E9_12528CA3533B_.wvu.FilterData" localSheetId="0" hidden="1">COEM_Package_20200302!$A$2:$AG$219</definedName>
    <definedName name="Z_E30F7C3C_88AD_4DA8_91E9_12528CA3533B_.wvu.FilterData" localSheetId="3" hidden="1">COEM_Package_20200401!$A$2:$AH$108</definedName>
    <definedName name="Z_E37D5B95_51DD_42C5_B085_60C100330042_.wvu.FilterData" localSheetId="0" hidden="1">COEM_Package_20200302!$A$2:$AG$219</definedName>
    <definedName name="Z_E37D5B95_51DD_42C5_B085_60C100330042_.wvu.FilterData" localSheetId="3" hidden="1">COEM_Package_20200401!$A$2:$AH$108</definedName>
    <definedName name="Z_E3A26F30_0277_4A5E_993E_C53D19254B8A_.wvu.FilterData" localSheetId="0" hidden="1">COEM_Package_20200302!$A$2:$AG$219</definedName>
    <definedName name="Z_E3A26F30_0277_4A5E_993E_C53D19254B8A_.wvu.FilterData" localSheetId="3" hidden="1">COEM_Package_20200401!$A$2:$AH$108</definedName>
    <definedName name="Z_E5802D48_ABA7_43D5_925C_3A155CB2DA37_.wvu.FilterData" localSheetId="3" hidden="1">COEM_Package_20200401!$B$2:$AH$108</definedName>
    <definedName name="Z_E5EEA525_3367_48FE_9E5F_ADB0EC9D430F_.wvu.FilterData" localSheetId="0" hidden="1">COEM_Package_20200302!$A$2:$AG$219</definedName>
    <definedName name="Z_E5EEA525_3367_48FE_9E5F_ADB0EC9D430F_.wvu.FilterData" localSheetId="3" hidden="1">COEM_Package_20200401!$A$2:$AH$108</definedName>
    <definedName name="Z_E812050A_1B97_4FAB_80D7_B16A7EC3293F_.wvu.FilterData" localSheetId="0" hidden="1">COEM_Package_20200302!$A$2:$AG$219</definedName>
    <definedName name="Z_E812050A_1B97_4FAB_80D7_B16A7EC3293F_.wvu.FilterData" localSheetId="3" hidden="1">COEM_Package_20200401!$A$2:$AH$108</definedName>
    <definedName name="Z_E8991E61_6D05_4C3B_B928_FD787FF86F58_.wvu.FilterData" localSheetId="0" hidden="1">COEM_Package_20200302!$P$2:$P$242</definedName>
    <definedName name="Z_E8991E61_6D05_4C3B_B928_FD787FF86F58_.wvu.FilterData" localSheetId="3" hidden="1">COEM_Package_20200401!$P$2:$P$125</definedName>
    <definedName name="Z_EB5E7E9A_951B_45B6_B0A1_60DAF7FD2DBC_.wvu.FilterData" localSheetId="3" hidden="1">COEM_Package_20200401!$B$2:$AH$108</definedName>
    <definedName name="Z_EC0B8CCD_915D_49CD_ACCB_A918B8A65D1A_.wvu.FilterData" localSheetId="0" hidden="1">COEM_Package_20200302!$A$2:$AG$26</definedName>
    <definedName name="Z_EC0B8CCD_915D_49CD_ACCB_A918B8A65D1A_.wvu.FilterData" localSheetId="3" hidden="1">COEM_Package_20200401!$A$2:$AH$108</definedName>
    <definedName name="Z_ECA9A2E5_B2D8_42C2_9A8E_42E77118B0CC_.wvu.FilterData" localSheetId="3" hidden="1">COEM_Package_20200401!$B$2:$AH$108</definedName>
    <definedName name="Z_F20FFF1E_3733_4E0A_901D_022160F37FC7_.wvu.FilterData" localSheetId="3" hidden="1">COEM_Package_20200401!$B$2:$AH$108</definedName>
    <definedName name="Z_F43A1B6C_8557_4EE4_B220_B0CDF8649464_.wvu.FilterData" localSheetId="3" hidden="1">COEM_Package_20200401!$B$2:$AH$108</definedName>
    <definedName name="Z_F82A2A8D_FA65_4AB1_9408_3B060B3C5FDD_.wvu.FilterData" localSheetId="3" hidden="1">COEM_Package_20200401!$B$2:$AH$108</definedName>
    <definedName name="Z_F84E6DFB_7743_4811_A5D0_FDD3F126A30C_.wvu.FilterData" localSheetId="0" hidden="1">COEM_Package_20200302!$A$2:$AG$219</definedName>
    <definedName name="Z_F84E6DFB_7743_4811_A5D0_FDD3F126A30C_.wvu.FilterData" localSheetId="3" hidden="1">COEM_Package_20200401!$A$2:$AH$108</definedName>
    <definedName name="Z_F93920D1_8A54_4156_8F64_4987EBB7BAC5_.wvu.FilterData" localSheetId="0" hidden="1">COEM_Package_20200302!$A$2:$AG$26</definedName>
    <definedName name="Z_F93920D1_8A54_4156_8F64_4987EBB7BAC5_.wvu.FilterData" localSheetId="3" hidden="1">COEM_Package_20200401!$A$2:$AH$108</definedName>
  </definedNames>
  <calcPr calcId="162913"/>
  <customWorkbookViews>
    <customWorkbookView name="EXTERNAL Nguyen Tuan Duong (Ban Vien, RBVH/EPS45) - Personal View" guid="{7E0EA425-A420-4443-B9E0-CDF0AA9E5D09}" mergeInterval="0" personalView="1" maximized="1" xWindow="-8" yWindow="-8" windowWidth="1936" windowHeight="1176" activeSheetId="4"/>
    <customWorkbookView name="EXTERNAL Nguyen Tai Hau (Ban Vien, RBVH/EPS45) - Personal View" guid="{7ECC2B8E-6A82-42F5-8AB0-4A51C54EA5EC}" mergeInterval="0" personalView="1" maximized="1" xWindow="-8" yWindow="-8" windowWidth="1936" windowHeight="1176" tabRatio="428" activeSheetId="1"/>
    <customWorkbookView name="EXTERNAL Nguyen Trung Hieu (Ban Vien, RBVH/EPS45) - Personal View" guid="{250915DF-0B97-45D7-B29D-7EED4C89C1C1}" mergeInterval="0" personalView="1" maximized="1" xWindow="-8" yWindow="-8" windowWidth="1936" windowHeight="1176" activeSheetId="1"/>
    <customWorkbookView name="EXTERNAL Nguyen Kim Thanh (Ban Vien, RBVH/EPS45) - Personal View" guid="{4E06BDBF-2CED-473B-850B-2A6C7311FF41}" mergeInterval="0" personalView="1" maximized="1" xWindow="-8" yWindow="-8" windowWidth="1936" windowHeight="1176" activeSheetId="4"/>
    <customWorkbookView name="EXTERNAL Do Phu Loc (Ban Vien, RBVH/EPS45) - Personal View" guid="{72A6EB0A-84D5-4B8A-AC51-54CCD061630B}" mergeInterval="0" personalView="1" maximized="1" xWindow="-8" yWindow="-8" windowWidth="1936" windowHeight="1176" tabRatio="589" activeSheetId="4"/>
    <customWorkbookView name="GUP7HC - Personal View" guid="{D1F7047B-CC2E-48BC-8022-C8013AE2B1E1}" mergeInterval="0" personalView="1" maximized="1" xWindow="-8" yWindow="-8" windowWidth="1936" windowHeight="1186" tabRatio="499" activeSheetId="4"/>
    <customWorkbookView name="EXTERNAL Ly Chung (Ban Vien, RBVH/EPS45) - Personal View" guid="{60D2C030-4E31-4E07-8E1C-44D2EE84B177}" mergeInterval="0" personalView="1" maximized="1" xWindow="-8" yWindow="-8" windowWidth="1936" windowHeight="1176" tabRatio="663" activeSheetId="4"/>
  </customWorkbookViews>
</workbook>
</file>

<file path=xl/calcChain.xml><?xml version="1.0" encoding="utf-8"?>
<calcChain xmlns="http://schemas.openxmlformats.org/spreadsheetml/2006/main">
  <c r="B4" i="4" l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S10" i="4"/>
  <c r="T10" i="4" s="1"/>
  <c r="T73" i="4" l="1"/>
  <c r="S95" i="4" l="1"/>
  <c r="S94" i="4"/>
  <c r="U94" i="4" s="1"/>
  <c r="S93" i="4"/>
  <c r="S92" i="4"/>
  <c r="U92" i="4" s="1"/>
  <c r="U95" i="4" l="1"/>
  <c r="T95" i="4"/>
  <c r="U93" i="4"/>
  <c r="T93" i="4"/>
  <c r="S69" i="4"/>
  <c r="T69" i="4" s="1"/>
  <c r="S68" i="4"/>
  <c r="T68" i="4" s="1"/>
  <c r="S67" i="4"/>
  <c r="T67" i="4" s="1"/>
  <c r="S70" i="4"/>
  <c r="T70" i="4" s="1"/>
  <c r="S65" i="4" l="1"/>
  <c r="T65" i="4" s="1"/>
  <c r="S66" i="4"/>
  <c r="T66" i="4" s="1"/>
  <c r="S43" i="4"/>
  <c r="T43" i="4" s="1"/>
  <c r="S33" i="4"/>
  <c r="T33" i="4" s="1"/>
  <c r="S59" i="4" l="1"/>
  <c r="T59" i="4" s="1"/>
  <c r="U6" i="1"/>
  <c r="S58" i="4" l="1"/>
  <c r="T58" i="4" s="1"/>
  <c r="S64" i="4"/>
  <c r="T64" i="4" s="1"/>
  <c r="S91" i="4"/>
  <c r="U91" i="4" s="1"/>
  <c r="S90" i="4"/>
  <c r="U90" i="4" s="1"/>
  <c r="S89" i="4"/>
  <c r="S88" i="4"/>
  <c r="S87" i="4"/>
  <c r="S86" i="4"/>
  <c r="S85" i="4"/>
  <c r="S84" i="4"/>
  <c r="S83" i="4"/>
  <c r="S82" i="4"/>
  <c r="S81" i="4"/>
  <c r="U81" i="4" s="1"/>
  <c r="S80" i="4"/>
  <c r="U80" i="4" s="1"/>
  <c r="S79" i="4"/>
  <c r="S78" i="4"/>
  <c r="S77" i="4"/>
  <c r="S76" i="4"/>
  <c r="S75" i="4"/>
  <c r="S74" i="4"/>
  <c r="U79" i="4" l="1"/>
  <c r="T79" i="4"/>
  <c r="U86" i="4"/>
  <c r="T86" i="4"/>
  <c r="U74" i="4"/>
  <c r="T74" i="4"/>
  <c r="U82" i="4"/>
  <c r="T82" i="4"/>
  <c r="U87" i="4"/>
  <c r="T87" i="4"/>
  <c r="U76" i="4"/>
  <c r="T76" i="4"/>
  <c r="U88" i="4"/>
  <c r="T88" i="4"/>
  <c r="U75" i="4"/>
  <c r="T75" i="4"/>
  <c r="U77" i="4"/>
  <c r="T77" i="4"/>
  <c r="U89" i="4"/>
  <c r="T89" i="4"/>
  <c r="U84" i="4"/>
  <c r="T84" i="4"/>
  <c r="U83" i="4"/>
  <c r="T83" i="4"/>
  <c r="U85" i="4"/>
  <c r="T85" i="4"/>
  <c r="U78" i="4"/>
  <c r="T78" i="4"/>
  <c r="U68" i="4"/>
  <c r="U69" i="4"/>
  <c r="U70" i="4"/>
  <c r="S71" i="4"/>
  <c r="U71" i="4" s="1"/>
  <c r="S72" i="4"/>
  <c r="U72" i="4" s="1"/>
  <c r="U73" i="4"/>
  <c r="U67" i="4"/>
  <c r="S63" i="4"/>
  <c r="U63" i="4" s="1"/>
  <c r="U64" i="4"/>
  <c r="U65" i="4"/>
  <c r="U66" i="4"/>
  <c r="S62" i="4"/>
  <c r="U62" i="4" s="1"/>
  <c r="U59" i="4"/>
  <c r="S60" i="4"/>
  <c r="S61" i="4"/>
  <c r="U58" i="4"/>
  <c r="U60" i="4" l="1"/>
  <c r="T60" i="4"/>
  <c r="T61" i="4"/>
  <c r="U61" i="4"/>
  <c r="S57" i="4"/>
  <c r="U57" i="4" s="1"/>
  <c r="H202" i="6"/>
  <c r="F202" i="6"/>
  <c r="E202" i="6"/>
  <c r="I202" i="6" s="1"/>
  <c r="H201" i="6"/>
  <c r="C196" i="6"/>
  <c r="H190" i="6"/>
  <c r="F190" i="6"/>
  <c r="E190" i="6"/>
  <c r="I190" i="6" s="1"/>
  <c r="H189" i="6"/>
  <c r="C184" i="6"/>
  <c r="H178" i="6"/>
  <c r="F178" i="6"/>
  <c r="E178" i="6"/>
  <c r="I178" i="6" s="1"/>
  <c r="H177" i="6"/>
  <c r="C172" i="6"/>
  <c r="H165" i="6"/>
  <c r="F165" i="6"/>
  <c r="E165" i="6"/>
  <c r="I165" i="6" s="1"/>
  <c r="H166" i="6"/>
  <c r="F166" i="6"/>
  <c r="C160" i="6"/>
  <c r="E113" i="4"/>
  <c r="S56" i="4"/>
  <c r="U56" i="4" s="1"/>
  <c r="S49" i="4"/>
  <c r="T49" i="4" s="1"/>
  <c r="T56" i="4" l="1"/>
  <c r="G202" i="6"/>
  <c r="G190" i="6"/>
  <c r="G178" i="6"/>
  <c r="G165" i="6"/>
  <c r="U49" i="4"/>
  <c r="S50" i="4"/>
  <c r="U50" i="4" s="1"/>
  <c r="S51" i="4"/>
  <c r="S52" i="4"/>
  <c r="S53" i="4"/>
  <c r="U53" i="4" s="1"/>
  <c r="S54" i="4"/>
  <c r="S55" i="4"/>
  <c r="U55" i="4" s="1"/>
  <c r="E201" i="6" l="1"/>
  <c r="G201" i="6" s="1"/>
  <c r="C198" i="6" s="1"/>
  <c r="U52" i="4"/>
  <c r="T52" i="4"/>
  <c r="U54" i="4"/>
  <c r="T54" i="4"/>
  <c r="U51" i="4"/>
  <c r="T51" i="4"/>
  <c r="S44" i="4"/>
  <c r="T44" i="4" s="1"/>
  <c r="S45" i="4"/>
  <c r="T45" i="4" s="1"/>
  <c r="S42" i="4"/>
  <c r="T42" i="4" s="1"/>
  <c r="S41" i="4"/>
  <c r="T41" i="4" s="1"/>
  <c r="S40" i="4"/>
  <c r="T40" i="4" s="1"/>
  <c r="C195" i="6" l="1"/>
  <c r="F201" i="6"/>
  <c r="I201" i="6" s="1"/>
  <c r="S17" i="4"/>
  <c r="T17" i="4" s="1"/>
  <c r="F122" i="4" l="1"/>
  <c r="F123" i="4"/>
  <c r="F124" i="4"/>
  <c r="F125" i="4"/>
  <c r="F126" i="4"/>
  <c r="S23" i="4" l="1"/>
  <c r="S24" i="4"/>
  <c r="S25" i="4"/>
  <c r="S26" i="4"/>
  <c r="S27" i="4"/>
  <c r="U27" i="4" s="1"/>
  <c r="S28" i="4"/>
  <c r="U28" i="4" s="1"/>
  <c r="S29" i="4"/>
  <c r="U29" i="4" s="1"/>
  <c r="S30" i="4"/>
  <c r="U30" i="4" s="1"/>
  <c r="S31" i="4"/>
  <c r="U31" i="4" s="1"/>
  <c r="S32" i="4"/>
  <c r="U32" i="4" s="1"/>
  <c r="U33" i="4"/>
  <c r="S34" i="4"/>
  <c r="S35" i="4"/>
  <c r="S36" i="4"/>
  <c r="U36" i="4" s="1"/>
  <c r="S37" i="4"/>
  <c r="U37" i="4" s="1"/>
  <c r="S38" i="4"/>
  <c r="U38" i="4" s="1"/>
  <c r="S39" i="4"/>
  <c r="U39" i="4" s="1"/>
  <c r="U40" i="4"/>
  <c r="U41" i="4"/>
  <c r="U42" i="4"/>
  <c r="U43" i="4"/>
  <c r="U44" i="4"/>
  <c r="U45" i="4"/>
  <c r="S46" i="4"/>
  <c r="S47" i="4"/>
  <c r="S48" i="4"/>
  <c r="S22" i="4"/>
  <c r="S12" i="4"/>
  <c r="T12" i="4" s="1"/>
  <c r="S13" i="4"/>
  <c r="T13" i="4" s="1"/>
  <c r="S11" i="4"/>
  <c r="T11" i="4" s="1"/>
  <c r="U34" i="4" l="1"/>
  <c r="T34" i="4"/>
  <c r="U35" i="4"/>
  <c r="T35" i="4"/>
  <c r="U26" i="4"/>
  <c r="T26" i="4"/>
  <c r="U25" i="4"/>
  <c r="T25" i="4"/>
  <c r="E189" i="6"/>
  <c r="G189" i="6" s="1"/>
  <c r="U46" i="4"/>
  <c r="T46" i="4"/>
  <c r="U22" i="4"/>
  <c r="T22" i="4"/>
  <c r="U48" i="4"/>
  <c r="T48" i="4"/>
  <c r="U47" i="4"/>
  <c r="T47" i="4"/>
  <c r="U23" i="4"/>
  <c r="T23" i="4"/>
  <c r="U24" i="4"/>
  <c r="T24" i="4"/>
  <c r="S9" i="4"/>
  <c r="T9" i="4" s="1"/>
  <c r="S8" i="4"/>
  <c r="T8" i="4" s="1"/>
  <c r="S7" i="4"/>
  <c r="F30" i="5"/>
  <c r="F29" i="5"/>
  <c r="F28" i="5"/>
  <c r="F27" i="5"/>
  <c r="E30" i="5"/>
  <c r="E29" i="5"/>
  <c r="E28" i="5"/>
  <c r="E27" i="5"/>
  <c r="D1" i="5"/>
  <c r="B3" i="5" s="1"/>
  <c r="F135" i="4" s="1"/>
  <c r="S5" i="4"/>
  <c r="T5" i="4" s="1"/>
  <c r="S4" i="4"/>
  <c r="F134" i="4" l="1"/>
  <c r="F189" i="6"/>
  <c r="I189" i="6" s="1"/>
  <c r="C183" i="6"/>
  <c r="C186" i="6"/>
  <c r="E123" i="4"/>
  <c r="F132" i="4"/>
  <c r="F131" i="4"/>
  <c r="F133" i="4"/>
  <c r="T4" i="4"/>
  <c r="D123" i="4"/>
  <c r="T7" i="4"/>
  <c r="E124" i="4"/>
  <c r="D124" i="4"/>
  <c r="B2" i="5"/>
  <c r="U5" i="4"/>
  <c r="S6" i="4"/>
  <c r="T6" i="4" s="1"/>
  <c r="U7" i="4"/>
  <c r="U8" i="4"/>
  <c r="U9" i="4"/>
  <c r="U10" i="4"/>
  <c r="U11" i="4"/>
  <c r="U12" i="4"/>
  <c r="U13" i="4"/>
  <c r="S14" i="4"/>
  <c r="S15" i="4"/>
  <c r="S16" i="4"/>
  <c r="U17" i="4"/>
  <c r="S18" i="4"/>
  <c r="S19" i="4"/>
  <c r="S20" i="4"/>
  <c r="S21" i="4"/>
  <c r="U4" i="4"/>
  <c r="S3" i="4"/>
  <c r="F117" i="4"/>
  <c r="F116" i="4"/>
  <c r="D116" i="4"/>
  <c r="F115" i="4"/>
  <c r="F114" i="4"/>
  <c r="F113" i="4"/>
  <c r="E116" i="4"/>
  <c r="U20" i="4" l="1"/>
  <c r="T20" i="4"/>
  <c r="U18" i="4"/>
  <c r="T18" i="4"/>
  <c r="U19" i="4"/>
  <c r="T19" i="4"/>
  <c r="U15" i="4"/>
  <c r="T15" i="4"/>
  <c r="U14" i="4"/>
  <c r="T14" i="4"/>
  <c r="E177" i="6"/>
  <c r="U3" i="4"/>
  <c r="E166" i="6"/>
  <c r="U6" i="4"/>
  <c r="E125" i="4"/>
  <c r="D125" i="4"/>
  <c r="D134" i="4" s="1"/>
  <c r="G124" i="4"/>
  <c r="H124" i="4"/>
  <c r="D126" i="4"/>
  <c r="F15" i="5"/>
  <c r="U16" i="4"/>
  <c r="D122" i="4"/>
  <c r="E122" i="4"/>
  <c r="E12" i="5" s="1"/>
  <c r="G123" i="4"/>
  <c r="H123" i="4"/>
  <c r="E13" i="5"/>
  <c r="U21" i="4"/>
  <c r="H116" i="4"/>
  <c r="E115" i="4"/>
  <c r="D115" i="4"/>
  <c r="D133" i="4" s="1"/>
  <c r="G116" i="4"/>
  <c r="D117" i="4"/>
  <c r="D113" i="4"/>
  <c r="D114" i="4"/>
  <c r="D132" i="4" s="1"/>
  <c r="E14" i="5"/>
  <c r="E114" i="4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6" i="1"/>
  <c r="L5" i="1"/>
  <c r="L4" i="1"/>
  <c r="L3" i="1"/>
  <c r="E126" i="4" l="1"/>
  <c r="H126" i="4" s="1"/>
  <c r="F177" i="6"/>
  <c r="I177" i="6" s="1"/>
  <c r="G177" i="6"/>
  <c r="C171" i="6" s="1"/>
  <c r="I166" i="6"/>
  <c r="G166" i="6"/>
  <c r="E7" i="5"/>
  <c r="E8" i="5"/>
  <c r="H125" i="4"/>
  <c r="G125" i="4"/>
  <c r="F14" i="5"/>
  <c r="E133" i="4"/>
  <c r="E134" i="4"/>
  <c r="F13" i="5"/>
  <c r="E132" i="4"/>
  <c r="D131" i="4"/>
  <c r="D135" i="4" s="1"/>
  <c r="H122" i="4"/>
  <c r="G122" i="4"/>
  <c r="E15" i="5"/>
  <c r="H114" i="4"/>
  <c r="G114" i="4"/>
  <c r="E117" i="4"/>
  <c r="G115" i="4"/>
  <c r="H115" i="4"/>
  <c r="C148" i="6"/>
  <c r="C137" i="6"/>
  <c r="C136" i="6"/>
  <c r="C125" i="6"/>
  <c r="C124" i="6"/>
  <c r="C113" i="6"/>
  <c r="C112" i="6"/>
  <c r="C100" i="6"/>
  <c r="C88" i="6"/>
  <c r="F7" i="5" l="1"/>
  <c r="G7" i="5" s="1"/>
  <c r="G126" i="4"/>
  <c r="C174" i="6"/>
  <c r="C162" i="6"/>
  <c r="C159" i="6"/>
  <c r="F8" i="5"/>
  <c r="G8" i="5" s="1"/>
  <c r="H134" i="4"/>
  <c r="G134" i="4"/>
  <c r="G133" i="4"/>
  <c r="H133" i="4"/>
  <c r="F12" i="5"/>
  <c r="E131" i="4"/>
  <c r="G132" i="4"/>
  <c r="H132" i="4"/>
  <c r="H113" i="4"/>
  <c r="G113" i="4"/>
  <c r="H117" i="4"/>
  <c r="G117" i="4"/>
  <c r="G131" i="4" l="1"/>
  <c r="E135" i="4"/>
  <c r="H131" i="4"/>
  <c r="H154" i="6"/>
  <c r="F154" i="6"/>
  <c r="E154" i="6"/>
  <c r="I154" i="6" s="1"/>
  <c r="A146" i="6"/>
  <c r="G135" i="4" l="1"/>
  <c r="H135" i="4"/>
  <c r="G154" i="6"/>
  <c r="A134" i="6"/>
  <c r="H142" i="6"/>
  <c r="F142" i="6"/>
  <c r="E142" i="6"/>
  <c r="I142" i="6" s="1"/>
  <c r="H141" i="6"/>
  <c r="G142" i="6" l="1"/>
  <c r="H130" i="6"/>
  <c r="F130" i="6"/>
  <c r="E130" i="6"/>
  <c r="I130" i="6" s="1"/>
  <c r="G130" i="6" l="1"/>
  <c r="T219" i="1" l="1"/>
  <c r="T218" i="1"/>
  <c r="T217" i="1"/>
  <c r="T216" i="1"/>
  <c r="T215" i="1"/>
  <c r="T214" i="1"/>
  <c r="T212" i="1"/>
  <c r="T210" i="1"/>
  <c r="B3" i="3" l="1"/>
  <c r="T207" i="1"/>
  <c r="T206" i="1"/>
  <c r="T204" i="1"/>
  <c r="T203" i="1"/>
  <c r="T202" i="1"/>
  <c r="T197" i="1"/>
  <c r="T196" i="1"/>
  <c r="T195" i="1"/>
  <c r="T194" i="1"/>
  <c r="T193" i="1"/>
  <c r="T192" i="1"/>
  <c r="T191" i="1"/>
  <c r="T190" i="1"/>
  <c r="T189" i="1"/>
  <c r="T167" i="1"/>
  <c r="T166" i="1"/>
  <c r="T165" i="1"/>
  <c r="U181" i="1"/>
  <c r="U219" i="1"/>
  <c r="V219" i="1" s="1"/>
  <c r="U218" i="1"/>
  <c r="V218" i="1" s="1"/>
  <c r="U217" i="1"/>
  <c r="V217" i="1" s="1"/>
  <c r="U216" i="1"/>
  <c r="V216" i="1" s="1"/>
  <c r="U215" i="1"/>
  <c r="V215" i="1" s="1"/>
  <c r="U214" i="1"/>
  <c r="V214" i="1" s="1"/>
  <c r="S213" i="1"/>
  <c r="U213" i="1" s="1"/>
  <c r="U212" i="1"/>
  <c r="V212" i="1" s="1"/>
  <c r="S211" i="1"/>
  <c r="U211" i="1" s="1"/>
  <c r="U210" i="1"/>
  <c r="V210" i="1" s="1"/>
  <c r="U209" i="1"/>
  <c r="U208" i="1"/>
  <c r="U207" i="1"/>
  <c r="V207" i="1" s="1"/>
  <c r="U206" i="1"/>
  <c r="V206" i="1" s="1"/>
  <c r="S205" i="1"/>
  <c r="U205" i="1" s="1"/>
  <c r="V205" i="1" s="1"/>
  <c r="U204" i="1"/>
  <c r="V204" i="1" s="1"/>
  <c r="U203" i="1"/>
  <c r="V203" i="1" s="1"/>
  <c r="U202" i="1"/>
  <c r="V202" i="1" s="1"/>
  <c r="S201" i="1"/>
  <c r="T201" i="1" s="1"/>
  <c r="S200" i="1"/>
  <c r="U200" i="1" s="1"/>
  <c r="V200" i="1" s="1"/>
  <c r="S199" i="1"/>
  <c r="U199" i="1" s="1"/>
  <c r="V199" i="1" s="1"/>
  <c r="S198" i="1"/>
  <c r="U198" i="1" s="1"/>
  <c r="V198" i="1" s="1"/>
  <c r="U197" i="1"/>
  <c r="V197" i="1" s="1"/>
  <c r="U196" i="1"/>
  <c r="V196" i="1" s="1"/>
  <c r="U195" i="1"/>
  <c r="V195" i="1" s="1"/>
  <c r="U194" i="1"/>
  <c r="V194" i="1" s="1"/>
  <c r="U193" i="1"/>
  <c r="V193" i="1" s="1"/>
  <c r="U192" i="1"/>
  <c r="V192" i="1" s="1"/>
  <c r="U191" i="1"/>
  <c r="V191" i="1" s="1"/>
  <c r="U190" i="1"/>
  <c r="V190" i="1" s="1"/>
  <c r="U189" i="1"/>
  <c r="V189" i="1" s="1"/>
  <c r="S188" i="1"/>
  <c r="U188" i="1" s="1"/>
  <c r="V188" i="1" s="1"/>
  <c r="S187" i="1"/>
  <c r="T187" i="1" s="1"/>
  <c r="S186" i="1"/>
  <c r="T186" i="1" s="1"/>
  <c r="S185" i="1"/>
  <c r="U184" i="1"/>
  <c r="U183" i="1"/>
  <c r="U182" i="1"/>
  <c r="S179" i="1"/>
  <c r="T178" i="1"/>
  <c r="F248" i="1" l="1"/>
  <c r="E153" i="6"/>
  <c r="G153" i="6" s="1"/>
  <c r="C147" i="6" s="1"/>
  <c r="U179" i="1"/>
  <c r="T179" i="1"/>
  <c r="U180" i="1"/>
  <c r="T180" i="1"/>
  <c r="U178" i="1"/>
  <c r="E141" i="6"/>
  <c r="U185" i="1"/>
  <c r="V185" i="1" s="1"/>
  <c r="U187" i="1"/>
  <c r="V187" i="1" s="1"/>
  <c r="T185" i="1"/>
  <c r="T198" i="1"/>
  <c r="T199" i="1"/>
  <c r="T188" i="1"/>
  <c r="T200" i="1"/>
  <c r="T205" i="1"/>
  <c r="U186" i="1"/>
  <c r="V186" i="1" s="1"/>
  <c r="U201" i="1"/>
  <c r="V201" i="1" s="1"/>
  <c r="U167" i="1"/>
  <c r="V167" i="1" s="1"/>
  <c r="F141" i="6" l="1"/>
  <c r="I141" i="6" s="1"/>
  <c r="H153" i="6"/>
  <c r="C150" i="6" s="1"/>
  <c r="F153" i="6"/>
  <c r="I153" i="6" s="1"/>
  <c r="G141" i="6"/>
  <c r="S170" i="1"/>
  <c r="S171" i="1"/>
  <c r="T171" i="1" s="1"/>
  <c r="S172" i="1"/>
  <c r="S173" i="1"/>
  <c r="U173" i="1" s="1"/>
  <c r="S174" i="1"/>
  <c r="S175" i="1"/>
  <c r="U175" i="1" s="1"/>
  <c r="S176" i="1"/>
  <c r="S177" i="1"/>
  <c r="S169" i="1"/>
  <c r="T169" i="1" s="1"/>
  <c r="U165" i="1"/>
  <c r="V165" i="1" s="1"/>
  <c r="T174" i="1" l="1"/>
  <c r="U174" i="1"/>
  <c r="V174" i="1" s="1"/>
  <c r="T170" i="1"/>
  <c r="U170" i="1"/>
  <c r="V170" i="1" s="1"/>
  <c r="T176" i="1"/>
  <c r="U176" i="1"/>
  <c r="V176" i="1" s="1"/>
  <c r="T172" i="1"/>
  <c r="U172" i="1"/>
  <c r="V172" i="1" s="1"/>
  <c r="C135" i="6"/>
  <c r="C138" i="6"/>
  <c r="U177" i="1"/>
  <c r="V177" i="1" s="1"/>
  <c r="T177" i="1"/>
  <c r="U171" i="1"/>
  <c r="V171" i="1" s="1"/>
  <c r="U169" i="1"/>
  <c r="V169" i="1" s="1"/>
  <c r="S168" i="1"/>
  <c r="T168" i="1" s="1"/>
  <c r="U166" i="1"/>
  <c r="V166" i="1" s="1"/>
  <c r="S164" i="1"/>
  <c r="S163" i="1"/>
  <c r="S162" i="1"/>
  <c r="U162" i="1" s="1"/>
  <c r="S161" i="1"/>
  <c r="T161" i="1" s="1"/>
  <c r="T164" i="1" l="1"/>
  <c r="U164" i="1"/>
  <c r="V164" i="1" s="1"/>
  <c r="F129" i="6"/>
  <c r="U163" i="1"/>
  <c r="E129" i="6"/>
  <c r="U168" i="1"/>
  <c r="V168" i="1" s="1"/>
  <c r="H129" i="6" s="1"/>
  <c r="U161" i="1"/>
  <c r="T162" i="1"/>
  <c r="S154" i="1"/>
  <c r="T154" i="1" s="1"/>
  <c r="I129" i="6" l="1"/>
  <c r="G129" i="6"/>
  <c r="C123" i="6" s="1"/>
  <c r="U132" i="1"/>
  <c r="U131" i="1"/>
  <c r="U130" i="1"/>
  <c r="U128" i="1"/>
  <c r="U127" i="1"/>
  <c r="U126" i="1"/>
  <c r="U125" i="1"/>
  <c r="U124" i="1"/>
  <c r="U123" i="1"/>
  <c r="S159" i="1"/>
  <c r="U159" i="1" s="1"/>
  <c r="S129" i="1"/>
  <c r="U129" i="1" s="1"/>
  <c r="S158" i="1"/>
  <c r="U158" i="1" s="1"/>
  <c r="S157" i="1"/>
  <c r="S156" i="1"/>
  <c r="S155" i="1"/>
  <c r="U154" i="1"/>
  <c r="S153" i="1"/>
  <c r="U153" i="1" s="1"/>
  <c r="S152" i="1"/>
  <c r="U152" i="1" s="1"/>
  <c r="S151" i="1"/>
  <c r="U151" i="1" s="1"/>
  <c r="S150" i="1"/>
  <c r="U150" i="1" s="1"/>
  <c r="S149" i="1"/>
  <c r="U149" i="1" s="1"/>
  <c r="S148" i="1"/>
  <c r="U148" i="1" s="1"/>
  <c r="S147" i="1"/>
  <c r="U147" i="1" s="1"/>
  <c r="S146" i="1"/>
  <c r="U146" i="1" s="1"/>
  <c r="S145" i="1"/>
  <c r="U145" i="1" s="1"/>
  <c r="S144" i="1"/>
  <c r="S143" i="1"/>
  <c r="U143" i="1" s="1"/>
  <c r="U142" i="1"/>
  <c r="U141" i="1"/>
  <c r="S140" i="1"/>
  <c r="U140" i="1" s="1"/>
  <c r="S138" i="1"/>
  <c r="U138" i="1" s="1"/>
  <c r="S160" i="1"/>
  <c r="U139" i="1"/>
  <c r="U137" i="1"/>
  <c r="U136" i="1"/>
  <c r="U135" i="1"/>
  <c r="U134" i="1"/>
  <c r="U133" i="1"/>
  <c r="T123" i="1"/>
  <c r="C126" i="6" l="1"/>
  <c r="U157" i="1"/>
  <c r="T157" i="1"/>
  <c r="U160" i="1"/>
  <c r="T160" i="1"/>
  <c r="U144" i="1"/>
  <c r="T144" i="1"/>
  <c r="U156" i="1"/>
  <c r="T156" i="1"/>
  <c r="U155" i="1"/>
  <c r="T155" i="1"/>
  <c r="D234" i="1"/>
  <c r="M8" i="3" s="1"/>
  <c r="T149" i="1"/>
  <c r="T148" i="1"/>
  <c r="T147" i="1"/>
  <c r="T145" i="1"/>
  <c r="T143" i="1"/>
  <c r="T142" i="1"/>
  <c r="T141" i="1"/>
  <c r="T139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2" i="1"/>
  <c r="T121" i="1"/>
  <c r="T120" i="1"/>
  <c r="T119" i="1"/>
  <c r="T118" i="1"/>
  <c r="T117" i="1"/>
  <c r="T115" i="1"/>
  <c r="T114" i="1"/>
  <c r="T113" i="1"/>
  <c r="T112" i="1"/>
  <c r="T111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77" i="1"/>
  <c r="T76" i="1"/>
  <c r="T71" i="1"/>
  <c r="T70" i="1"/>
  <c r="T69" i="1"/>
  <c r="T68" i="1"/>
  <c r="T67" i="1"/>
  <c r="T66" i="1"/>
  <c r="T65" i="1"/>
  <c r="T64" i="1"/>
  <c r="T63" i="1"/>
  <c r="T62" i="1"/>
  <c r="T61" i="1"/>
  <c r="T60" i="1"/>
  <c r="T58" i="1"/>
  <c r="T56" i="1"/>
  <c r="T55" i="1"/>
  <c r="T54" i="1"/>
  <c r="T53" i="1"/>
  <c r="T52" i="1"/>
  <c r="T50" i="1"/>
  <c r="T49" i="1"/>
  <c r="T48" i="1"/>
  <c r="T43" i="1"/>
  <c r="T42" i="1"/>
  <c r="T41" i="1"/>
  <c r="T40" i="1"/>
  <c r="T39" i="1"/>
  <c r="T38" i="1"/>
  <c r="T37" i="1"/>
  <c r="T36" i="1"/>
  <c r="T35" i="1"/>
  <c r="T30" i="1"/>
  <c r="T29" i="1"/>
  <c r="T28" i="1"/>
  <c r="T27" i="1"/>
  <c r="T26" i="1"/>
  <c r="T25" i="1"/>
  <c r="T24" i="1"/>
  <c r="T22" i="1"/>
  <c r="T21" i="1"/>
  <c r="T20" i="1"/>
  <c r="T19" i="1"/>
  <c r="T18" i="1"/>
  <c r="T17" i="1"/>
  <c r="T16" i="1"/>
  <c r="T14" i="1"/>
  <c r="T13" i="1"/>
  <c r="T12" i="1"/>
  <c r="T11" i="1"/>
  <c r="T9" i="1"/>
  <c r="T8" i="1"/>
  <c r="T7" i="1"/>
  <c r="T6" i="1"/>
  <c r="T5" i="1"/>
  <c r="T4" i="1"/>
  <c r="D38" i="11" l="1"/>
  <c r="D37" i="11"/>
  <c r="D36" i="11"/>
  <c r="D35" i="11"/>
  <c r="B3" i="11"/>
  <c r="B2" i="11"/>
  <c r="E118" i="6"/>
  <c r="B2" i="3"/>
  <c r="H118" i="6"/>
  <c r="F118" i="6"/>
  <c r="H117" i="6"/>
  <c r="F117" i="6"/>
  <c r="E117" i="6"/>
  <c r="H106" i="6"/>
  <c r="E106" i="6"/>
  <c r="H105" i="6"/>
  <c r="H94" i="6"/>
  <c r="E94" i="6"/>
  <c r="G94" i="6" s="1"/>
  <c r="H93" i="6"/>
  <c r="H82" i="6"/>
  <c r="E82" i="6"/>
  <c r="H81" i="6"/>
  <c r="H70" i="6"/>
  <c r="E70" i="6"/>
  <c r="G70" i="6" s="1"/>
  <c r="H69" i="6"/>
  <c r="H58" i="6"/>
  <c r="E58" i="6"/>
  <c r="H57" i="6"/>
  <c r="H46" i="6"/>
  <c r="F46" i="6"/>
  <c r="E46" i="6"/>
  <c r="I46" i="6" s="1"/>
  <c r="H45" i="6"/>
  <c r="H34" i="6"/>
  <c r="F34" i="6"/>
  <c r="E34" i="6"/>
  <c r="I34" i="6" s="1"/>
  <c r="H33" i="6"/>
  <c r="H22" i="6"/>
  <c r="E22" i="6"/>
  <c r="H21" i="6"/>
  <c r="H10" i="6"/>
  <c r="H9" i="6"/>
  <c r="E10" i="6"/>
  <c r="G10" i="6" s="1"/>
  <c r="A14" i="6"/>
  <c r="A26" i="6" s="1"/>
  <c r="A38" i="6" s="1"/>
  <c r="A50" i="6" s="1"/>
  <c r="A62" i="6" s="1"/>
  <c r="A74" i="6" s="1"/>
  <c r="A86" i="6" s="1"/>
  <c r="A98" i="6" s="1"/>
  <c r="A110" i="6" s="1"/>
  <c r="A122" i="6" s="1"/>
  <c r="F10" i="6"/>
  <c r="T3" i="1"/>
  <c r="I117" i="6" l="1"/>
  <c r="I118" i="6"/>
  <c r="F82" i="6"/>
  <c r="I82" i="6" s="1"/>
  <c r="E8" i="11"/>
  <c r="G46" i="6"/>
  <c r="G117" i="6"/>
  <c r="F252" i="1"/>
  <c r="F249" i="1"/>
  <c r="F250" i="1"/>
  <c r="F251" i="1"/>
  <c r="G118" i="6"/>
  <c r="F58" i="6"/>
  <c r="I58" i="6" s="1"/>
  <c r="F22" i="6"/>
  <c r="I22" i="6" s="1"/>
  <c r="G22" i="6"/>
  <c r="F94" i="6"/>
  <c r="I94" i="6" s="1"/>
  <c r="F106" i="6"/>
  <c r="I106" i="6" s="1"/>
  <c r="I10" i="6"/>
  <c r="F70" i="6"/>
  <c r="I70" i="6" s="1"/>
  <c r="G106" i="6"/>
  <c r="G82" i="6"/>
  <c r="G58" i="6"/>
  <c r="G34" i="6"/>
  <c r="F10" i="1"/>
  <c r="F241" i="1"/>
  <c r="C111" i="6" l="1"/>
  <c r="C114" i="6"/>
  <c r="U107" i="1" l="1"/>
  <c r="U106" i="1"/>
  <c r="U105" i="1"/>
  <c r="U104" i="1"/>
  <c r="U103" i="1"/>
  <c r="U108" i="1"/>
  <c r="U109" i="1"/>
  <c r="U111" i="1"/>
  <c r="U112" i="1"/>
  <c r="U113" i="1"/>
  <c r="U114" i="1"/>
  <c r="U115" i="1"/>
  <c r="U117" i="1"/>
  <c r="U122" i="1"/>
  <c r="U118" i="1" l="1"/>
  <c r="U119" i="1"/>
  <c r="U120" i="1" l="1"/>
  <c r="U121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77" i="1"/>
  <c r="U76" i="1"/>
  <c r="U71" i="1"/>
  <c r="U70" i="1"/>
  <c r="U69" i="1"/>
  <c r="U68" i="1"/>
  <c r="U67" i="1"/>
  <c r="U66" i="1"/>
  <c r="U65" i="1"/>
  <c r="U64" i="1"/>
  <c r="U63" i="1"/>
  <c r="U61" i="1"/>
  <c r="U60" i="1"/>
  <c r="U58" i="1"/>
  <c r="U56" i="1"/>
  <c r="U55" i="1"/>
  <c r="U54" i="1"/>
  <c r="U53" i="1"/>
  <c r="U52" i="1"/>
  <c r="U50" i="1"/>
  <c r="U49" i="1"/>
  <c r="U48" i="1"/>
  <c r="U43" i="1"/>
  <c r="U42" i="1"/>
  <c r="U41" i="1"/>
  <c r="U40" i="1"/>
  <c r="U39" i="1"/>
  <c r="U38" i="1"/>
  <c r="U37" i="1"/>
  <c r="U36" i="1"/>
  <c r="U35" i="1"/>
  <c r="U30" i="1"/>
  <c r="U29" i="1"/>
  <c r="U28" i="1"/>
  <c r="U27" i="1"/>
  <c r="U26" i="1"/>
  <c r="U25" i="1"/>
  <c r="U24" i="1"/>
  <c r="U22" i="1"/>
  <c r="U21" i="1"/>
  <c r="U20" i="1"/>
  <c r="U19" i="1"/>
  <c r="U18" i="1"/>
  <c r="U17" i="1"/>
  <c r="U16" i="1"/>
  <c r="U14" i="1"/>
  <c r="U13" i="1"/>
  <c r="U12" i="1"/>
  <c r="U11" i="1"/>
  <c r="U9" i="1"/>
  <c r="U8" i="1"/>
  <c r="U7" i="1"/>
  <c r="E239" i="1" l="1"/>
  <c r="M12" i="3" s="1"/>
  <c r="E12" i="11" l="1"/>
  <c r="E12" i="3"/>
  <c r="E230" i="1"/>
  <c r="F12" i="11" l="1"/>
  <c r="N12" i="3"/>
  <c r="F12" i="3"/>
  <c r="E231" i="1"/>
  <c r="E232" i="1"/>
  <c r="N14" i="3" s="1"/>
  <c r="E233" i="1"/>
  <c r="N15" i="3" s="1"/>
  <c r="E234" i="1"/>
  <c r="E248" i="1"/>
  <c r="G248" i="1" s="1"/>
  <c r="E240" i="1"/>
  <c r="E241" i="1"/>
  <c r="D230" i="1"/>
  <c r="D231" i="1"/>
  <c r="D232" i="1"/>
  <c r="D233" i="1"/>
  <c r="D239" i="1"/>
  <c r="D240" i="1"/>
  <c r="D241" i="1"/>
  <c r="F8" i="11" l="1"/>
  <c r="G8" i="11" s="1"/>
  <c r="N8" i="3"/>
  <c r="O8" i="3" s="1"/>
  <c r="F13" i="11"/>
  <c r="N13" i="3"/>
  <c r="E14" i="11"/>
  <c r="M14" i="3"/>
  <c r="E13" i="11"/>
  <c r="M13" i="3"/>
  <c r="F14" i="11"/>
  <c r="E250" i="1"/>
  <c r="F15" i="11"/>
  <c r="F14" i="3"/>
  <c r="E13" i="3"/>
  <c r="F13" i="3"/>
  <c r="F8" i="3"/>
  <c r="E8" i="3"/>
  <c r="E14" i="3"/>
  <c r="D250" i="1"/>
  <c r="E249" i="1"/>
  <c r="D248" i="1"/>
  <c r="D249" i="1"/>
  <c r="F243" i="1"/>
  <c r="S116" i="1"/>
  <c r="T116" i="1" s="1"/>
  <c r="S110" i="1"/>
  <c r="T110" i="1" s="1"/>
  <c r="S84" i="1"/>
  <c r="T84" i="1" s="1"/>
  <c r="S83" i="1"/>
  <c r="T83" i="1" s="1"/>
  <c r="S82" i="1"/>
  <c r="T82" i="1" s="1"/>
  <c r="S81" i="1"/>
  <c r="T81" i="1" s="1"/>
  <c r="S80" i="1"/>
  <c r="T80" i="1" s="1"/>
  <c r="S79" i="1"/>
  <c r="T79" i="1" s="1"/>
  <c r="S78" i="1"/>
  <c r="T78" i="1" s="1"/>
  <c r="S75" i="1"/>
  <c r="T75" i="1" s="1"/>
  <c r="S74" i="1"/>
  <c r="T74" i="1" s="1"/>
  <c r="S73" i="1"/>
  <c r="T73" i="1" s="1"/>
  <c r="S72" i="1"/>
  <c r="T72" i="1" s="1"/>
  <c r="S59" i="1"/>
  <c r="T59" i="1" s="1"/>
  <c r="S57" i="1"/>
  <c r="T57" i="1" s="1"/>
  <c r="S51" i="1"/>
  <c r="T51" i="1" s="1"/>
  <c r="S47" i="1"/>
  <c r="T47" i="1" s="1"/>
  <c r="S46" i="1"/>
  <c r="T46" i="1" s="1"/>
  <c r="S45" i="1"/>
  <c r="T45" i="1" s="1"/>
  <c r="S44" i="1"/>
  <c r="T44" i="1" s="1"/>
  <c r="S34" i="1"/>
  <c r="T34" i="1" s="1"/>
  <c r="S33" i="1"/>
  <c r="T33" i="1" s="1"/>
  <c r="S32" i="1"/>
  <c r="T32" i="1" s="1"/>
  <c r="S31" i="1"/>
  <c r="T31" i="1" s="1"/>
  <c r="S23" i="1"/>
  <c r="T23" i="1" s="1"/>
  <c r="S15" i="1"/>
  <c r="T15" i="1" s="1"/>
  <c r="S10" i="1"/>
  <c r="T10" i="1" s="1"/>
  <c r="F33" i="6" l="1"/>
  <c r="E33" i="6"/>
  <c r="E57" i="6"/>
  <c r="E21" i="6"/>
  <c r="E81" i="6"/>
  <c r="E69" i="6"/>
  <c r="E105" i="6"/>
  <c r="E93" i="6"/>
  <c r="F45" i="6"/>
  <c r="E45" i="6"/>
  <c r="F9" i="6"/>
  <c r="E9" i="6"/>
  <c r="D243" i="1"/>
  <c r="U110" i="1"/>
  <c r="U116" i="1"/>
  <c r="D242" i="1"/>
  <c r="D251" i="1" s="1"/>
  <c r="D252" i="1" s="1"/>
  <c r="U15" i="1"/>
  <c r="U81" i="1"/>
  <c r="U23" i="1"/>
  <c r="U34" i="1"/>
  <c r="U47" i="1"/>
  <c r="U72" i="1"/>
  <c r="U78" i="1"/>
  <c r="U82" i="1"/>
  <c r="U33" i="1"/>
  <c r="U46" i="1"/>
  <c r="U59" i="1"/>
  <c r="U75" i="1"/>
  <c r="U31" i="1"/>
  <c r="U44" i="1"/>
  <c r="U51" i="1"/>
  <c r="U73" i="1"/>
  <c r="U79" i="1"/>
  <c r="U83" i="1"/>
  <c r="U10" i="1"/>
  <c r="U32" i="1"/>
  <c r="U45" i="1"/>
  <c r="U57" i="1"/>
  <c r="U74" i="1"/>
  <c r="U80" i="1"/>
  <c r="U84" i="1"/>
  <c r="E242" i="1"/>
  <c r="E7" i="11" l="1"/>
  <c r="M7" i="3"/>
  <c r="M15" i="3"/>
  <c r="E15" i="3"/>
  <c r="E15" i="11"/>
  <c r="G105" i="6"/>
  <c r="G57" i="6"/>
  <c r="G93" i="6"/>
  <c r="I45" i="6"/>
  <c r="G45" i="6"/>
  <c r="G69" i="6"/>
  <c r="F81" i="6"/>
  <c r="I81" i="6" s="1"/>
  <c r="F69" i="6"/>
  <c r="I69" i="6" s="1"/>
  <c r="F105" i="6"/>
  <c r="I105" i="6" s="1"/>
  <c r="F93" i="6"/>
  <c r="I93" i="6" s="1"/>
  <c r="F21" i="6"/>
  <c r="I21" i="6" s="1"/>
  <c r="F57" i="6"/>
  <c r="I57" i="6" s="1"/>
  <c r="G81" i="6"/>
  <c r="I33" i="6"/>
  <c r="G33" i="6"/>
  <c r="G21" i="6"/>
  <c r="E7" i="3"/>
  <c r="G9" i="6"/>
  <c r="I9" i="6"/>
  <c r="E251" i="1"/>
  <c r="E252" i="1" s="1"/>
  <c r="G252" i="1" s="1"/>
  <c r="E243" i="1"/>
  <c r="F242" i="1"/>
  <c r="F240" i="1"/>
  <c r="F239" i="1"/>
  <c r="F7" i="11" l="1"/>
  <c r="G7" i="11" s="1"/>
  <c r="N7" i="3"/>
  <c r="O7" i="3" s="1"/>
  <c r="C27" i="6"/>
  <c r="C30" i="6"/>
  <c r="C42" i="6"/>
  <c r="C39" i="6"/>
  <c r="C54" i="6"/>
  <c r="C51" i="6"/>
  <c r="C15" i="6"/>
  <c r="C18" i="6"/>
  <c r="C78" i="6"/>
  <c r="C75" i="6"/>
  <c r="C63" i="6"/>
  <c r="C66" i="6"/>
  <c r="C87" i="6"/>
  <c r="C90" i="6"/>
  <c r="C102" i="6"/>
  <c r="C99" i="6"/>
  <c r="C3" i="6"/>
  <c r="C6" i="6"/>
  <c r="H252" i="1"/>
  <c r="F7" i="3"/>
  <c r="F234" i="1"/>
  <c r="F230" i="1"/>
  <c r="F232" i="1"/>
  <c r="G7" i="3" l="1"/>
  <c r="H234" i="1"/>
  <c r="H243" i="1"/>
  <c r="G8" i="3"/>
  <c r="G234" i="1"/>
  <c r="G243" i="1"/>
  <c r="F233" i="1"/>
  <c r="F231" i="1"/>
  <c r="G249" i="1" l="1"/>
  <c r="G250" i="1" l="1"/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l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l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G242" i="1" l="1"/>
  <c r="G240" i="1" l="1"/>
  <c r="G241" i="1" l="1"/>
  <c r="H250" i="1" l="1"/>
  <c r="H240" i="1"/>
  <c r="H251" i="1"/>
  <c r="F15" i="3"/>
  <c r="H241" i="1"/>
  <c r="H248" i="1"/>
  <c r="H249" i="1"/>
  <c r="G251" i="1"/>
  <c r="H231" i="1"/>
  <c r="G231" i="1"/>
  <c r="H230" i="1"/>
  <c r="G230" i="1"/>
  <c r="H233" i="1"/>
  <c r="G233" i="1"/>
  <c r="H242" i="1"/>
  <c r="H239" i="1"/>
  <c r="G239" i="1"/>
  <c r="H232" i="1"/>
  <c r="G232" i="1"/>
</calcChain>
</file>

<file path=xl/comments1.xml><?xml version="1.0" encoding="utf-8"?>
<comments xmlns="http://schemas.openxmlformats.org/spreadsheetml/2006/main">
  <authors>
    <author>EXTERNAL Nguyen Tuan Duong (Ban Vien, RBVH/EPS45)</author>
  </authors>
  <commentList>
    <comment ref="A27" authorId="0" guid="{F05A559D-F843-4CEC-BFC8-D9055B75CD20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Purple must be complete before 11-03
</t>
        </r>
      </text>
    </comment>
    <comment ref="I27" authorId="0" guid="{7D41917F-D9D0-4089-8E05-EBF56996DE8A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  <comment ref="K69" authorId="0" guid="{7474B668-ACA0-4D6C-8464-130C4BCDE5C0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\\hc-ut40745c\Ban_Vien_external\DB\05-march 
</t>
        </r>
      </text>
    </comment>
    <comment ref="A74" authorId="0" guid="{5D4C5FC3-704A-40C1-8973-C044FCDAB2D5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Yellow must be complete before 12-03
</t>
        </r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4" authorId="0" guid="{EE0D2F37-03E6-49ED-A076-52788541007B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\\hc-ut40745c\Ban_Vien_external\DB\04-march
</t>
        </r>
      </text>
    </comment>
    <comment ref="I76" authorId="0" guid="{73E5D41F-B582-492E-B828-4A60755B36DB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use "Auto Comment"
</t>
        </r>
      </text>
    </comment>
    <comment ref="A89" authorId="0" guid="{79B8A0C2-CA6B-47E3-951C-712C67EB79AB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Orange must be complete before 13_Mar
</t>
        </r>
      </text>
    </comment>
    <comment ref="B103" authorId="0" guid="{80618485-ECC0-4A56-A3F4-D3280B59D826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17_Mar
</t>
        </r>
      </text>
    </comment>
    <comment ref="A118" authorId="0" guid="{8F7AA82B-D257-4AB7-A9BC-88BF862C2DEE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18_Mar</t>
        </r>
      </text>
    </comment>
    <comment ref="A124" authorId="0" guid="{7AD8E3D6-3914-492A-BF74-54AE6330586F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20_Mar
</t>
        </r>
      </text>
    </comment>
    <comment ref="A134" authorId="0" guid="{9E3AAEF1-DDE4-4A18-ABF8-F926524A7686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25_Mar
</t>
        </r>
      </text>
    </comment>
    <comment ref="A148" authorId="0" guid="{248C911C-FCBB-41A7-8E2F-60542A9B8139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26_Mar</t>
        </r>
      </text>
    </comment>
    <comment ref="A153" authorId="0" guid="{994498C1-F0E7-4FE0-A79E-4A43EF02677D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27-Mar
</t>
        </r>
      </text>
    </comment>
    <comment ref="A163" authorId="0" guid="{E877A0E0-777A-41A5-B8B1-8A6A9E9177D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30-Mar
</t>
        </r>
      </text>
    </comment>
    <comment ref="A169" authorId="0" guid="{835C6B3E-2BCB-4F5C-8386-0779FE502C8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A181" authorId="0" guid="{ADCE5BCB-AF6F-4983-A909-95A3B992267E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I181" authorId="0" guid="{34A36C51-3E97-4D35-99E8-2EF35DAA8DB9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</commentList>
</comments>
</file>

<file path=xl/comments2.xml><?xml version="1.0" encoding="utf-8"?>
<comments xmlns="http://schemas.openxmlformats.org/spreadsheetml/2006/main">
  <authors>
    <author>EXTERNAL Nguyen Tuan Duong (Ban Vien, RBVH/EPS45)</author>
  </authors>
  <commentList>
    <comment ref="A4" authorId="0" guid="{12D33CA3-ACA5-4CD0-9347-7DE88943E423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06-Apr</t>
        </r>
      </text>
    </comment>
    <comment ref="A22" authorId="0" guid="{270126A8-242B-4D28-BEE6-FABE941A71F2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08-Apr
</t>
        </r>
      </text>
    </comment>
    <comment ref="A49" authorId="0" guid="{6C54F4CE-E839-4341-AAE0-1BEA6124620D}" shapeId="0">
      <text>
        <r>
          <rPr>
            <b/>
            <sz val="9"/>
            <color indexed="81"/>
            <rFont val="Tahoma"/>
            <charset val="1"/>
          </rPr>
          <t>EXTERNAL Nguyen Tuan Duong (Ban Vien, RBVH/EPS45):</t>
        </r>
        <r>
          <rPr>
            <sz val="9"/>
            <color indexed="81"/>
            <rFont val="Tahoma"/>
            <charset val="1"/>
          </rPr>
          <t xml:space="preserve">
Must be complete before 03-Apr
</t>
        </r>
      </text>
    </comment>
    <comment ref="A67" authorId="0" guid="{C151B7CF-3404-45C5-B6D5-641F4C0ADBE7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10-Ap
</t>
        </r>
      </text>
    </comment>
    <comment ref="A74" authorId="0" guid="{6A862414-8F1B-4A24-AACE-229B205D4C8D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12-Apr
</t>
        </r>
      </text>
    </comment>
    <comment ref="A92" authorId="0" guid="{64C57C03-B10C-43BB-8180-578F4152124A}" shapeId="0">
      <text>
        <r>
          <rPr>
            <b/>
            <sz val="9"/>
            <color indexed="81"/>
            <rFont val="Tahoma"/>
            <charset val="1"/>
          </rPr>
          <t>EXTERNAL Nguyen Tuan Duong (Ban Vien, RBVH/EPS45):</t>
        </r>
        <r>
          <rPr>
            <sz val="9"/>
            <color indexed="81"/>
            <rFont val="Tahoma"/>
            <charset val="1"/>
          </rPr>
          <t xml:space="preserve">
Should be complete before 13-Apr
</t>
        </r>
      </text>
    </comment>
  </commentList>
</comments>
</file>

<file path=xl/sharedStrings.xml><?xml version="1.0" encoding="utf-8"?>
<sst xmlns="http://schemas.openxmlformats.org/spreadsheetml/2006/main" count="5488" uniqueCount="1061">
  <si>
    <t>No</t>
  </si>
  <si>
    <t>Type</t>
  </si>
  <si>
    <t>ASW</t>
  </si>
  <si>
    <t>PSW</t>
  </si>
  <si>
    <t>No\Type</t>
  </si>
  <si>
    <t>Member</t>
  </si>
  <si>
    <t>hieu.nguyen-trung</t>
  </si>
  <si>
    <t>Tester</t>
  </si>
  <si>
    <t>1. Test Design (.xls)
2. Plot File (.plt)
3. ATT project
4. Coverage Log</t>
  </si>
  <si>
    <t>1. TPA file (.tpa)
2. test report (.html)
3. test report (.xml)
4. test summary (.html)
5. File Coverage Fail Reason (.xls)</t>
  </si>
  <si>
    <t>KPI Table</t>
  </si>
  <si>
    <t>Start</t>
  </si>
  <si>
    <t>End</t>
  </si>
  <si>
    <t>C0</t>
  </si>
  <si>
    <t>C1</t>
  </si>
  <si>
    <t>MCDC</t>
  </si>
  <si>
    <t>Reason</t>
  </si>
  <si>
    <t>Status</t>
  </si>
  <si>
    <t>Ready for review</t>
  </si>
  <si>
    <t>Status Table</t>
  </si>
  <si>
    <t>N/A</t>
  </si>
  <si>
    <t>Ready for PLC</t>
  </si>
  <si>
    <t>KPI/days</t>
  </si>
  <si>
    <t>Ongoing</t>
  </si>
  <si>
    <t>Status (%)</t>
  </si>
  <si>
    <t>#</t>
  </si>
  <si>
    <t>Types</t>
  </si>
  <si>
    <t>Assigned ELOCs</t>
  </si>
  <si>
    <t>Completed ELOCs</t>
  </si>
  <si>
    <t>Status (%)
(Completed/Assigned)</t>
  </si>
  <si>
    <t>Total Days</t>
  </si>
  <si>
    <t>External Name</t>
  </si>
  <si>
    <t>PSW
ELOCs</t>
  </si>
  <si>
    <t>ASW
ELOCs</t>
  </si>
  <si>
    <t>1. Completed ELOCs of the team from the beginning of Month (Mar) till Now:</t>
  </si>
  <si>
    <t>2. Completed ELOCs of each member from the beginning of Month (Mar) till Now:</t>
  </si>
  <si>
    <t>3. Risks/ Pending Issues:</t>
  </si>
  <si>
    <t>Risks/ Issues</t>
  </si>
  <si>
    <t>4. Found Defects/ OPLs in Month (Mar):</t>
  </si>
  <si>
    <t>5. Leave Plan (Mar):</t>
  </si>
  <si>
    <t>Num of Day</t>
  </si>
  <si>
    <t>Detail</t>
  </si>
  <si>
    <t>Date</t>
  </si>
  <si>
    <t>Note:</t>
  </si>
  <si>
    <t>PSW: 450 ELOCs</t>
  </si>
  <si>
    <t>ASW: 150 ELOCs</t>
  </si>
  <si>
    <t>Productivity of each Member per Day</t>
  </si>
  <si>
    <t>Total Productivity per Month</t>
  </si>
  <si>
    <t>PSW: 450x4x20 = 36,000 ELOCs</t>
  </si>
  <si>
    <t>ASW: 130x4x20 = 10,400 ELOCs</t>
  </si>
  <si>
    <t>Table Type of Testing</t>
  </si>
  <si>
    <t>Table Tester</t>
  </si>
  <si>
    <t>Detail Output</t>
  </si>
  <si>
    <t>ATT</t>
  </si>
  <si>
    <t>Cantata</t>
  </si>
  <si>
    <t>Tool</t>
  </si>
  <si>
    <t>Table KPI ASW</t>
  </si>
  <si>
    <t>Table KPI PSW</t>
  </si>
  <si>
    <t>LOC Complete</t>
  </si>
  <si>
    <t>Actual hour</t>
  </si>
  <si>
    <t>Task Jira</t>
  </si>
  <si>
    <t>PAP_Odometry</t>
  </si>
  <si>
    <t>Project</t>
  </si>
  <si>
    <t>ComponentName</t>
  </si>
  <si>
    <t>TaskID</t>
  </si>
  <si>
    <t>ItemName</t>
  </si>
  <si>
    <t>MC_227282_SGMW_E200_Plus_ESPCPiGen9.3_BSS04_SP02</t>
  </si>
  <si>
    <t>241595_GAC_A27_ESP9.3CP_BL04</t>
  </si>
  <si>
    <t>223331_GAC_A39_Carbon_ESP9.3HD_OBD_BL07</t>
  </si>
  <si>
    <t>RBVoltageHandler_Suppression.c</t>
  </si>
  <si>
    <t>SGMW_RBA_NDS_HBCRequest_Callout.c</t>
  </si>
  <si>
    <t>RBHMI_LDMLamp_CNMS.c</t>
  </si>
  <si>
    <t>ObdCyclesHandler.c</t>
  </si>
  <si>
    <t>DFN_ESP_Gen9.3_532EC_244112_BSS01</t>
  </si>
  <si>
    <t>Planned Start</t>
  </si>
  <si>
    <t>Planned End</t>
  </si>
  <si>
    <t>-</t>
  </si>
  <si>
    <t>MC_232534_SGMW_CN202C_ESP9.3CPi_ACC_BSS04_SP02</t>
  </si>
  <si>
    <t>RBAPLCUST_EOLDelayCtrlOrAPBMi.c</t>
  </si>
  <si>
    <t>RBAPLCUST_RDBI_TPMS.c</t>
  </si>
  <si>
    <t>RBAPLCUST_RoutineControl_TPMSReset.c</t>
  </si>
  <si>
    <t>Package</t>
  </si>
  <si>
    <t>hau.nguyen-tai</t>
  </si>
  <si>
    <t>bang.nguyen-duy</t>
  </si>
  <si>
    <t>dac.luu-cong</t>
  </si>
  <si>
    <t>duong.nguyen</t>
  </si>
  <si>
    <t>loc.do-phu</t>
  </si>
  <si>
    <t>thanh.nguyen-kim</t>
  </si>
  <si>
    <t>chung.ly</t>
  </si>
  <si>
    <t>GAC_Beryllium_GEN93_ESP_Mainpath_BL05</t>
  </si>
  <si>
    <t>NET_SCL_Tx_APAInformSts.c</t>
  </si>
  <si>
    <t>Database</t>
  </si>
  <si>
    <t>GAC_ESPHevX_HADHAP_Int</t>
  </si>
  <si>
    <t>SGMW_ESP93_Carbon_Int</t>
  </si>
  <si>
    <t>Gac_ESP93CP_A26HD_Int</t>
  </si>
  <si>
    <t>GAC_ESP93CP_Carbon_Int</t>
  </si>
  <si>
    <t>GAC_ESP93CP_Int</t>
  </si>
  <si>
    <t>BYD_IPB_SW_Mainstream_BL05</t>
  </si>
  <si>
    <t>RBA_NDS_Complex_Callout.c</t>
  </si>
  <si>
    <t>GWM_ESP9.3CP_RBVH_Stream_BSS04</t>
  </si>
  <si>
    <t>RBAPLCUST_RBDI_NVMData.c</t>
  </si>
  <si>
    <t>RBAPLCUST_RDBI_PBCData.c</t>
  </si>
  <si>
    <t>NET_ATM_Callout_GWM.c</t>
  </si>
  <si>
    <t>V3.3.147305.2</t>
  </si>
  <si>
    <t>none</t>
  </si>
  <si>
    <t>BYD_IPB_BL05_Int</t>
  </si>
  <si>
    <t>GWM_CP_RBVH_Stream_Int</t>
  </si>
  <si>
    <t>Ready for delivery</t>
  </si>
  <si>
    <t>Complete &amp; Closed</t>
  </si>
  <si>
    <t>V4.2.104.1</t>
  </si>
  <si>
    <t>Actually ELOC = 294</t>
  </si>
  <si>
    <t>Actually ELOC = 183</t>
  </si>
  <si>
    <t>CNMS Super Deuterium BSS01</t>
  </si>
  <si>
    <t>RBAPLCUST_RDBI_AnalogData.c</t>
  </si>
  <si>
    <t>RBAPLCUST_RDBI_StatusInformation.c</t>
  </si>
  <si>
    <t>RBAPLCUST_RoutineControl_iBoosterActuatorTest.c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</si>
  <si>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</si>
  <si>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</si>
  <si>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</si>
  <si>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</si>
  <si>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RBAPLCUST_RDBI_IOCtrlState.c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</si>
  <si>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</si>
  <si>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</si>
  <si>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</si>
  <si>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</si>
  <si>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</si>
  <si>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</si>
  <si>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</si>
  <si>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</si>
  <si>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</si>
  <si>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</si>
  <si>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</si>
  <si>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</si>
  <si>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</si>
  <si>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</si>
  <si>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</si>
  <si>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</si>
  <si>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</si>
  <si>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</si>
  <si>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</si>
  <si>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</si>
  <si>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</si>
  <si>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</si>
  <si>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RBAPLCUST_RDBI_WheelSpeed.c</t>
  </si>
  <si>
    <t>RBAPLCUST_RoutineControl_EOLTable.c</t>
  </si>
  <si>
    <t>RBAPLCUST_RoutineControl_SpeedLimit.c</t>
  </si>
  <si>
    <t>RBAPLCUST_RoutineControl_VRShutdown.c</t>
  </si>
  <si>
    <t>RBAPLCUST_WDBI_NVMData_ESP.c</t>
  </si>
  <si>
    <t>RBAPLCUST_RBDI_NVMData_ESP.c</t>
  </si>
  <si>
    <t>rb\as\cnms_core\app\dcom\RBAPLCust\src\IPB</t>
  </si>
  <si>
    <t>rb\as\gaig\prj\dsmpr\src\RBVoltageHandler\src</t>
  </si>
  <si>
    <t>rb\as\sgmw\CN210S\app\net\RBScl\RBScl_SGMW\src</t>
  </si>
  <si>
    <t>rb\as\gaig\A10\dsmpr\src\RBHMI\src</t>
  </si>
  <si>
    <t>rb\as\cnms_core\app\obd\ObdCyclesHandler\src</t>
  </si>
  <si>
    <t>rb\as\cnms_core\app\net\scl\LDMFunctions\APA\src</t>
  </si>
  <si>
    <t>ELOC Assigned</t>
  </si>
  <si>
    <t>ELOC Recheck With Tool</t>
  </si>
  <si>
    <r>
      <t>Wrong extension C "RBHMI_LDMLamp_CNMS</t>
    </r>
    <r>
      <rPr>
        <sz val="11"/>
        <color rgb="FFFF0000"/>
        <rFont val="Calibri"/>
        <family val="2"/>
        <scheme val="minor"/>
      </rPr>
      <t>.C</t>
    </r>
    <r>
      <rPr>
        <sz val="11"/>
        <color theme="1"/>
        <rFont val="Calibri"/>
        <family val="2"/>
        <scheme val="minor"/>
      </rPr>
      <t>"</t>
    </r>
  </si>
  <si>
    <t>Bug (Condition is always TRUE)</t>
  </si>
  <si>
    <t>Status Result</t>
  </si>
  <si>
    <t>NG</t>
  </si>
  <si>
    <t>OK</t>
  </si>
  <si>
    <t>Bug (Condition is always TRUE) so can not cover MCDC.</t>
  </si>
  <si>
    <t>CNMS_Deuterium_Int</t>
  </si>
  <si>
    <t>Yes</t>
  </si>
  <si>
    <t>PeerReviewer</t>
  </si>
  <si>
    <t>Estimation base TOOL</t>
  </si>
  <si>
    <t>Owner Contact</t>
  </si>
  <si>
    <t>Remark</t>
  </si>
  <si>
    <t>Please ensure your push correct the Package name with the TaskGroup</t>
  </si>
  <si>
    <t xml:space="preserve">+ Location for delivery to internal team: </t>
  </si>
  <si>
    <t>Location</t>
  </si>
  <si>
    <t>\\hc-ut40745c\Ban_Vien_external\Release\Gen_9.3</t>
  </si>
  <si>
    <t>+ Location Internal Project:</t>
  </si>
  <si>
    <t>\\hc-ut40346c\NHI5HC\hieunguyen\0000_Project</t>
  </si>
  <si>
    <t>\\hc-ut40346c\NHI5HC\hieunguyen\0000_Project\001_Prj\01_COEM\01_Output_Package</t>
  </si>
  <si>
    <t>+ Location Internal Your Output:</t>
  </si>
  <si>
    <t>+ Location Internal Your Release Output:</t>
  </si>
  <si>
    <t>\\hc-ut40346c\NHI5HC\hieunguyen\0000_Project\001_Prj\01_COEM\02_Release_Package</t>
  </si>
  <si>
    <t>Status Review</t>
  </si>
  <si>
    <t>Tool collect 148 ELOC, but the real is 357</t>
  </si>
  <si>
    <t>Got 1 findings</t>
  </si>
  <si>
    <t>rb\as\gwm\core\app\dcom\RBAPLCust\src</t>
  </si>
  <si>
    <t>rb\as\gwm\core\app\net\scl\Callout\src\ATMwithoutSportPlus</t>
  </si>
  <si>
    <t>rb\as\gwm\core\app\net\scl\Callout\src\ATMwithSportPlus</t>
  </si>
  <si>
    <t>RB_SCL_GAC_RX.c</t>
  </si>
  <si>
    <t>RB_SCL_GAC_TX.c</t>
  </si>
  <si>
    <t>NET_SCL_Tx_AEB.c</t>
  </si>
  <si>
    <t>rb\as\sgmw\core\app\dcom\RBAPLCust\src\ESP</t>
  </si>
  <si>
    <t>rb\as\gaig\A10\app\net\RBScl\RBSclGAC\src</t>
  </si>
  <si>
    <t>rb\as\cnms_core\app\net\scl\LDMFunctions\ACC\src</t>
  </si>
  <si>
    <t>Bug (Condition not occur)</t>
  </si>
  <si>
    <t>COEM process: test--&gt;review test----(feedback no finding)--&gt;generate WT----(review WT no finding)---&gt; done task
Tức là bên anh gửi UT output cho internal =&gt; Có OPL có bug =&gt; Internal review OK =&gt; Làm walkthrough =&gt; Sau đó internal review Walkthrough =&gt; Send email cho External confirm OK =&gt; Mark Done</t>
  </si>
  <si>
    <t>Pending for OPL</t>
  </si>
  <si>
    <t>rb\as\cnms_core\app\dcom\RBAPLCust\src\ESP</t>
  </si>
  <si>
    <t>Type of Comment</t>
  </si>
  <si>
    <t>Auto</t>
  </si>
  <si>
    <t>Manual</t>
  </si>
  <si>
    <t>rb\as\rbcn\core\app\dcom\RBAPLCust\src\IPB</t>
  </si>
  <si>
    <t>HDC_InvalidThrPos</t>
  </si>
  <si>
    <t>rb\as\rbcn\core\app\dcom\RBAPLCust\src\iBooster</t>
  </si>
  <si>
    <t>rb\as\cnms_core\app\dcom\RBAPLCust\src\common</t>
  </si>
  <si>
    <t>FAW_C105EV_ESPhev</t>
  </si>
  <si>
    <t>rb\as\cnms_core\app\net\scl_callout\</t>
  </si>
  <si>
    <t>RBA_NDS_ABS_3_Callout.c</t>
  </si>
  <si>
    <t>RBA_NDS_APC_1_Callout.c</t>
  </si>
  <si>
    <t>RBA_NDS_ESP_3_Callout.c</t>
  </si>
  <si>
    <t>RBA_NDS_HCU_PT_10_Callout.c</t>
  </si>
  <si>
    <t>RBA_NDS_HCU_PT_2_Callout.c</t>
  </si>
  <si>
    <t>RBA_NDS_SystemInfo.c</t>
  </si>
  <si>
    <t>FAW_Carbon_TypeF_HevX_Int</t>
  </si>
  <si>
    <t>OPL It does not impact to SW functionality.</t>
  </si>
  <si>
    <t>rb\as\BYD\ipb\app\net\RBScl\Scl_Callout\src</t>
  </si>
  <si>
    <t>Have issues with database, complexity of code</t>
  </si>
  <si>
    <t>OPL is already feedback, confirm it can be ignore</t>
  </si>
  <si>
    <t>Bug, con not cover MCDC beacause this is true case for above condition</t>
  </si>
  <si>
    <t>No code</t>
  </si>
  <si>
    <t>rb\as\core\app\asw\apbmi\host\PDM\APBPbcVariantItem_C\SRC\</t>
  </si>
  <si>
    <t>\rb\as\sgmw\CN210S\app\net\RbNetPrj\RBNet_Can\src\</t>
  </si>
  <si>
    <t xml:space="preserve">\rb\as\sgmw\CN210S\app\net\RBScl\RBScl_SGMW\src\  </t>
  </si>
  <si>
    <t>\rb\as\sgmw\CN210S\app\net\RBScl\RBScl_SGMW\src\</t>
  </si>
  <si>
    <r>
      <t>MC_</t>
    </r>
    <r>
      <rPr>
        <b/>
        <sz val="11"/>
        <color rgb="FFFF0000"/>
        <rFont val="Calibri"/>
        <family val="2"/>
        <scheme val="minor"/>
      </rPr>
      <t>227282</t>
    </r>
    <r>
      <rPr>
        <sz val="11"/>
        <color theme="1"/>
        <rFont val="Calibri"/>
        <family val="2"/>
        <scheme val="minor"/>
      </rPr>
      <t>_SGMW_E200_Plus_ESPCPiGen9.3_BSS04_SP02</t>
    </r>
  </si>
  <si>
    <t>PbcVariantItem_PersistentData.c</t>
  </si>
  <si>
    <t>NET_CheckSumLib_CNMS.c</t>
  </si>
  <si>
    <t>NET_SCL_Tx_SGMW_AyCompensationExport.c</t>
  </si>
  <si>
    <t>NET_SCL_Tx_SGMW_TPMF.c</t>
  </si>
  <si>
    <t>SGMW_RBA_NDS_Belt_Door_Callout.c</t>
  </si>
  <si>
    <t>SGMW_RBA_NDS_SystemInfo_Callout.c</t>
  </si>
  <si>
    <t>225378_FAW_D357_High_BL31</t>
  </si>
  <si>
    <t>TPMS_Handler_COMMON_CN.c</t>
  </si>
  <si>
    <t>TPMS_NvM_COMMON_CN.c</t>
  </si>
  <si>
    <t>TPMS_PSW_Interface_COMMON_CN.c</t>
  </si>
  <si>
    <t>Dem_PrjSpecificIndiHandling.c</t>
  </si>
  <si>
    <t>ApbHostData_Project.c</t>
  </si>
  <si>
    <t>NET_AliveCounterLib_CNMS.c</t>
  </si>
  <si>
    <t>NET_ChecksumLib_CNMS_Crc1850.c</t>
  </si>
  <si>
    <t>NET_MonitoringClasses_F30.c</t>
  </si>
  <si>
    <t>Obd_CalId.c</t>
  </si>
  <si>
    <t>EcuM_stub.c</t>
  </si>
  <si>
    <t>RBPduHandler_Callouts.c</t>
  </si>
  <si>
    <t>TestEnvironment_Fee_EV711101.c</t>
  </si>
  <si>
    <t>CNMS_Var_DcmRead.c</t>
  </si>
  <si>
    <t>CNMS_Var_Global.c</t>
  </si>
  <si>
    <t>FAW_MainPath_V2.0_Int</t>
  </si>
  <si>
    <t>rb\as\fawMP\fawcore\app\tpms\MW\Common\src\</t>
  </si>
  <si>
    <t xml:space="preserve">rb\as\fawMP\fawcore\app\dsm\RBWarningIndicator\src\              </t>
  </si>
  <si>
    <t xml:space="preserve">rb\as\fawMP\prjConf\app\asw\apbmi\host\PDM\APBHostData_Project_C\SRC\  </t>
  </si>
  <si>
    <t xml:space="preserve">rb\as\fawMP\prjConf\app\net\RbNetPrj\RBNet_Can\src\              </t>
  </si>
  <si>
    <t xml:space="preserve">rb\as\fawMP\prjConf\app\obd\ObdCvnCalId\src\                     </t>
  </si>
  <si>
    <t xml:space="preserve">rb\as\fawMP\prjConf\dsmpr\src\Cubas\ESM\EcuM\src\              </t>
  </si>
  <si>
    <t xml:space="preserve">rb\as\fawMP\prjConf\dsmpr\src\                                 </t>
  </si>
  <si>
    <t xml:space="preserve">rb\as\fawMP\prjConf\hswpr\tst\hswsim\src\                      </t>
  </si>
  <si>
    <t>rb\as\fawMP\prjConf\varcode</t>
  </si>
  <si>
    <t>221259_FAW_C105EV_L2_ESPhev_BL62</t>
  </si>
  <si>
    <t>FAW_Carbon_TypeF_IBooster_Int</t>
  </si>
  <si>
    <t>SAIC EP22 M2 withDA ESP9.3 BSS02</t>
  </si>
  <si>
    <t>MC_228919_SGMW_CN202C_ABS9.3CBi_Carbon_BSS02_SP02</t>
  </si>
  <si>
    <t>MC_227282_SGMW_E200_Plus_ESPCPiGen9.3_BSS04</t>
  </si>
  <si>
    <t>rb\as\fawhevx\fawcore\app\net\RBScl\src\</t>
  </si>
  <si>
    <t>rb\as\faw\core\app\net\net_OBD_Off\RBScl\src\</t>
  </si>
  <si>
    <t>\RBVAR\src\</t>
  </si>
  <si>
    <t xml:space="preserve">\RBScl\RBScl_BB80507\src\     </t>
  </si>
  <si>
    <t>\RBScl\RBScl_SGMW\src\src_xmt\</t>
  </si>
  <si>
    <t>rb\as\saic\CpiwAPB\app\dsm\RBHMI\src\</t>
  </si>
  <si>
    <t>rb\as\sgmw\CN210S\app\dsm\RBVAR\src\</t>
  </si>
  <si>
    <t xml:space="preserve">rb\as\core\app\dcom\rbapleol\src\             </t>
  </si>
  <si>
    <t xml:space="preserve">rb\as\saic\core\app\dcom\RBAPLCust\src\ESP\   </t>
  </si>
  <si>
    <t>rb\as\saic\core\app\dcom\RBAPLCust\src\common\</t>
  </si>
  <si>
    <t xml:space="preserve">rb\as\saic\CpiwAPB\app\asw\aswif\src\         </t>
  </si>
  <si>
    <t>ComScl_Scl_Complex_proc.c</t>
  </si>
  <si>
    <t>NET_Monitoring.c</t>
  </si>
  <si>
    <t>RBAPLEOL_ValvesToggling.c</t>
  </si>
  <si>
    <t>RBAPLCUST_RDBI_SnapshotRead.c</t>
  </si>
  <si>
    <t>DNCIF_DTCOnCan.c</t>
  </si>
  <si>
    <t>RBAPLCUST_DTCOnCan.c</t>
  </si>
  <si>
    <t>RBVAR_SystemStateManagement_COMMON.c</t>
  </si>
  <si>
    <t>ComScl_Scl_ComplexProc_BB80507.c</t>
  </si>
  <si>
    <t>NET_SCL_Tx_SystemInfo.c</t>
  </si>
  <si>
    <t>RBAPLCUST_ReadDTC.c</t>
  </si>
  <si>
    <t>RBHMI_ConfigOutputDriver_PRJ.c</t>
  </si>
  <si>
    <t>RBAPLCUST_DiagnosticSessionControl.c</t>
  </si>
  <si>
    <t>RBVAR_SystemStateManagement_PROJECT.c</t>
  </si>
  <si>
    <t>FAW_Carbon_TypeF_Hevx_Int</t>
  </si>
  <si>
    <t>SAIC_A_ARCH_CMP_ESP93_Carbon_Int</t>
  </si>
  <si>
    <t>SGMW_ABS93_MS_Int</t>
  </si>
  <si>
    <t>Cant cover 100%. Owner said that's fine.</t>
  </si>
  <si>
    <t>No code, already confirmed with Mr.Hai</t>
  </si>
  <si>
    <t xml:space="preserve">dupplicate </t>
  </si>
  <si>
    <t>Cant cover 100% when (RBFS_RBAPLEOLValvesToggling==RBFS_RBAPLEOLValvesToggling_OFF). Owner said that's fine.</t>
  </si>
  <si>
    <t>Cant cover 100% when (RBFS_RBAPLEOLComfortPulseCalib == RBFS_RBAPLEOLComfortPulseCalib_OFF). Owner said that's fine.</t>
  </si>
  <si>
    <t>Cant cover 100% when (RBFS_RBAPLEOLDynamicTest == RBFS_RBAPLEOLDynamicTest_OFF). Owner said that's fine.</t>
  </si>
  <si>
    <t>Actually ELOC = 122</t>
  </si>
  <si>
    <t>Tool Issue</t>
  </si>
  <si>
    <t>No code for test</t>
  </si>
  <si>
    <t>No have function for test</t>
  </si>
  <si>
    <t>BYD_IPB_SW_Mainstream_BL05_SP09</t>
  </si>
  <si>
    <t>BYD_Carbon_Mainstream_BL01</t>
  </si>
  <si>
    <t>rb\as\cnms_core\app\net\scl_callout\src\</t>
  </si>
  <si>
    <t>\MainstreamF30\rb\as\byd\Bydcarbon\app\net\RBScl_Callout\</t>
  </si>
  <si>
    <t xml:space="preserve">\MainstreamF30\rb\as\byd\Bydcarbon\app\net\RBScl\        </t>
  </si>
  <si>
    <t xml:space="preserve">\MainstreamF30\rb\as\byd\Bydcarbon\app\net\RBScl\ </t>
  </si>
  <si>
    <t>RBA_NDS_ESP_2_Callout.c</t>
  </si>
  <si>
    <t>NET_SCL_Rx_SGMW_RemoteControl.c</t>
  </si>
  <si>
    <t>NET_SCL_Rx_SystemInfo.c</t>
  </si>
  <si>
    <t>ComScl_RxPdu_WorkingMode_Monitor.c</t>
  </si>
  <si>
    <t>NET_SCL_Rx_EngineSpeed.c</t>
  </si>
  <si>
    <t>NET_SCL_Rx_GearBox.c</t>
  </si>
  <si>
    <t>NET_SCL_Rx_TCU.c</t>
  </si>
  <si>
    <t>NET_SCL_Rx_VAF_Complex.c</t>
  </si>
  <si>
    <t>RBA_NDS_WheelOdoEdges_Callout.c</t>
  </si>
  <si>
    <t>rba_SCL_Settings.c</t>
  </si>
  <si>
    <t>RBNET_Scl_Complexsignals.c</t>
  </si>
  <si>
    <t>BYD_Carbon_ESP93_Int</t>
  </si>
  <si>
    <t>No function to test.</t>
  </si>
  <si>
    <t>HHT_VX1_ESPHevX_BL2_Sprint3</t>
  </si>
  <si>
    <t>VDCVAFS_PreindicatorArbitrator</t>
  </si>
  <si>
    <t>VDCVAFS_VDCActiveArbitrator</t>
  </si>
  <si>
    <t>CM_IVC_HHT_HADPADActivation</t>
  </si>
  <si>
    <t>2.1.805.3</t>
  </si>
  <si>
    <t>1371465_1367009.zip</t>
  </si>
  <si>
    <t>1366969.zip</t>
  </si>
  <si>
    <t>Duration</t>
  </si>
  <si>
    <t>Total</t>
  </si>
  <si>
    <t>Judge Total KPI</t>
  </si>
  <si>
    <t>CM_IVC_RWS_Status</t>
  </si>
  <si>
    <t>CM_IVC_ModeHandling</t>
  </si>
  <si>
    <t>rb\as\sgmw\core\app\dcom\RBAPLCust\src</t>
  </si>
  <si>
    <t>rb\as\core\hwp\cubas\Diagnosis</t>
  </si>
  <si>
    <t>rb\as\core\app\net</t>
  </si>
  <si>
    <t>rb\as\fawMPHev\prjConf\app\net</t>
  </si>
  <si>
    <t>GWM_ESP9.3_CHB071_HP_RC2</t>
  </si>
  <si>
    <t>FAW_HQEV_2WD_MC</t>
  </si>
  <si>
    <t>GWM_CHB071HevX_Carbon_Int</t>
  </si>
  <si>
    <t>FAW_MainPathHEV_Int</t>
  </si>
  <si>
    <t>Please check with task ID: 1364387</t>
  </si>
  <si>
    <t>DemCSMosar_EventLogger.c</t>
  </si>
  <si>
    <t>RBDsm_Measurement.c</t>
  </si>
  <si>
    <t>RBCAN_CanSMBusOffRecovery.c</t>
  </si>
  <si>
    <t>NET_SCL_Tx_APBMi.c</t>
  </si>
  <si>
    <t>NET_SCL_Rx_HHC.c</t>
  </si>
  <si>
    <t>rba_BldrCmp_Cfg_NvmIf.c</t>
  </si>
  <si>
    <t>rba_BldrCmp_Cfg_CheckMem.c</t>
  </si>
  <si>
    <t>rba_BldrCmp_Cfg_Functions.c</t>
  </si>
  <si>
    <t>Owner confirm could be ignore</t>
  </si>
  <si>
    <t>239689_NIO_G1.3&amp;G1.F_ESPHevX_BSS03_SP01</t>
  </si>
  <si>
    <t>E111_ESPHevx_BSL30</t>
  </si>
  <si>
    <t>Geely_KC2A_ESP9.3_HB_225750_BB8033_BL04_SP01</t>
  </si>
  <si>
    <t>1345833.zip</t>
  </si>
  <si>
    <t>CDD_SsmSelContr</t>
  </si>
  <si>
    <t>4.0.146322.0</t>
  </si>
  <si>
    <t>FAW_E111_ESPHevX_Int</t>
  </si>
  <si>
    <t xml:space="preserve">Geely_Beryllium2_OBD_China6_Int </t>
  </si>
  <si>
    <t>GAC_Carbon_Stream_ESPCP_BL04</t>
  </si>
  <si>
    <t>rb\as\gaig\core\app\dcom\RBAPLCust\src\common\</t>
  </si>
  <si>
    <t>rb\as\gaig\core\app\dcom\RBAPLCust\src\ESP\</t>
  </si>
  <si>
    <t>rb\as\cnms_core\app\dcom\RBAPLCust\src\ESP\</t>
  </si>
  <si>
    <t>rb\as\gaig\core\app\dcom\Cubas\src\Dcm_CNMS\</t>
  </si>
  <si>
    <t>rb\as\dfsk\CpiwAPB\app\dsm\RBVAR\src\</t>
  </si>
  <si>
    <t>rb\as\dfsk\CpiwAPB\app\net\RBScl\RBScl_DFSK\src\</t>
  </si>
  <si>
    <t>rb\as\dfsk\CpiwAPB\hswpr\tst\hswsim\src\</t>
  </si>
  <si>
    <t>GAC_220680_Carbon_A18_ESPHevx_FPA\RPA_BL03</t>
  </si>
  <si>
    <t>CHEN Xiaomin (CC-AS\EVA-SW31-CN)</t>
  </si>
  <si>
    <t>WANG Yang (CC-AS\EVA-SW32-CN)</t>
  </si>
  <si>
    <t>MIAO Huafeng (CC-AS\EVA-SW32-CN)</t>
  </si>
  <si>
    <t>QIAN Li (CC-AS\EVA-SW2-CN)</t>
  </si>
  <si>
    <t>SUN Yun (CC-AS\EVA-SW31-CN)</t>
  </si>
  <si>
    <t>ZHANG Yu (CC-AS\EVA-SW31-CN)</t>
  </si>
  <si>
    <t>GUO Sasa (CC-AS\EVA-SW3-CN)</t>
  </si>
  <si>
    <t>Ngo Nhat Tan (RBVH\EAS12)</t>
  </si>
  <si>
    <t>HU Evan (CC-AS\EVA-SW33-CN)</t>
  </si>
  <si>
    <t>Nguyen Quang Vinh (RBVH\EAS15)</t>
  </si>
  <si>
    <t>LU Martin (CC-AS\ESW2-CN)</t>
  </si>
  <si>
    <t>XU Sherry (CC-AS\EVA-SW2-CN)</t>
  </si>
  <si>
    <t>BAO Eric (CC-AS\EVA-SW32-CN)</t>
  </si>
  <si>
    <t>JIN Li (CC-AS\EVA-SW33-CN)</t>
  </si>
  <si>
    <t>SUN Nan (CC-AS\EVA-SW1-CN)</t>
  </si>
  <si>
    <t>FANG Amanda (CC-AS\EVA-SW31-CN)</t>
  </si>
  <si>
    <t>Pham Duc Trung (RBVH\EAS11)</t>
  </si>
  <si>
    <t>LI Xiaoyu (CC-AS\EVA-SW2-CN)</t>
  </si>
  <si>
    <t>LESLIE PUTHOOR Milda (CC-AS\EVA-SW31-CN)</t>
  </si>
  <si>
    <t>DIAO Aimei (CC-AS\EVA-SW32-CN)</t>
  </si>
  <si>
    <t>LI Zhiyuan (CC-AS\EVA-SW31-CN)</t>
  </si>
  <si>
    <t>Nguyen Duc Huong Quynh (RBVH\EAS12)</t>
  </si>
  <si>
    <t>ZHANG Ruipeng (BEG\ESW-CN)</t>
  </si>
  <si>
    <t>WANG Zhenyu (CC-AS\EVA-SW2-CN)</t>
  </si>
  <si>
    <t>Chitra Chandrasekaran (RBEI\EBB7)</t>
  </si>
  <si>
    <t>rb\as\geely\core\app\dcom\RBAPLCust\src\</t>
  </si>
  <si>
    <t>KASIVASAKAM Murugananth (CC-AS\EVA-SW32-CN)</t>
  </si>
  <si>
    <t>240688_DFSK_F517\527\537_EVR_Carbon_ESP9.3</t>
  </si>
  <si>
    <t>rba\Bldr_FAW</t>
  </si>
  <si>
    <t>RBAPLCUST_RBDI_VariandCode.c</t>
  </si>
  <si>
    <t>RBAPLCUST_RDBI_TPMS_GAC.c</t>
  </si>
  <si>
    <t>RBAPLCUST_WDBI_TPMS_GAC.c</t>
  </si>
  <si>
    <t>DcmAppl_DcmSwitchCommunicationControl.c</t>
  </si>
  <si>
    <t>RBVAR_VarCode_PROJECT.c</t>
  </si>
  <si>
    <t>NET_VAR_IsVcActive.c</t>
  </si>
  <si>
    <t>RBA_NDS_Rx_ASW_Callout.c</t>
  </si>
  <si>
    <t>RBA_NDS_Rx_VAF_Callout.c</t>
  </si>
  <si>
    <t>RBA_NDS_Tx_ASW_Callout.c</t>
  </si>
  <si>
    <t>TestEnvironment_Fee_EV702148.c</t>
  </si>
  <si>
    <t>81262, 81708</t>
  </si>
  <si>
    <t>81262, 81709</t>
  </si>
  <si>
    <t>81262, 81710</t>
  </si>
  <si>
    <t>81262, 81711</t>
  </si>
  <si>
    <t>81262, 81712</t>
  </si>
  <si>
    <t>81262, 81713</t>
  </si>
  <si>
    <t>81262, 81714</t>
  </si>
  <si>
    <t>DFSK_ESP_Carbon_Int</t>
  </si>
  <si>
    <t>PAN Qi (CC-AS/EVA-SW31-CN)</t>
  </si>
  <si>
    <t>Nguyen Hiep Thanh (RBVH/EAS11)</t>
  </si>
  <si>
    <t>Owner said it doesn’t affect the project</t>
  </si>
  <si>
    <t>- Cant cover true case if (*length_pu16 &gt; maxLength_u16) at line 95
- Cant cover false case if (retValue == E_OK) at line 276
Owner said it doesn’t affect the project</t>
  </si>
  <si>
    <t>Adapt_236234_SMART_VDDM_ESPHevX_BSS02_E2_SP2</t>
  </si>
  <si>
    <t>235199_SAIC_EP21_MCE_ESP9.3HevX_BSS03_SP02</t>
  </si>
  <si>
    <t>GEEA2.0\rb\as\cevt\Geely\app\dsm\RBVAR\src\</t>
  </si>
  <si>
    <t>VAR09_OutputDriver_CEVT.c</t>
  </si>
  <si>
    <t>VAR09_IDDefinitionTable_CEVT.c</t>
  </si>
  <si>
    <t>rba_BldrCmp_Cfg_PrjFunctions.c</t>
  </si>
  <si>
    <t>rba_BldrCMP_Cfg_CRC.c</t>
  </si>
  <si>
    <t>CEVT_GEEA_SMART_Deuterium_Int</t>
  </si>
  <si>
    <t>SAIC_EP_CMP_ESPHevX_Int</t>
  </si>
  <si>
    <t>ZHANG Guorong (CC-AS/EVA-SW32-CN)</t>
  </si>
  <si>
    <t>Moogambika Ratha Krishnan (RBEI/EBB7)</t>
  </si>
  <si>
    <t>235199_SAIC_EP21_MCE_ESP9.3HevX_BSS03_SP03</t>
  </si>
  <si>
    <t>rb\as\saicep\esphevx\app\net\RBScl\src\</t>
  </si>
  <si>
    <t>ComScl_Scl_Complex.c</t>
  </si>
  <si>
    <t>TANG Yanqi (CC-AS/EVA-SW31-CN)</t>
  </si>
  <si>
    <t>ESPhevXSAICEP\rba\Bldr\config\ApplicationLayer\rba_BldrCmp\src</t>
  </si>
  <si>
    <t>GAC_Carbon_RPA_iBooster_Mainpath_BL04</t>
  </si>
  <si>
    <t>PFA_ISC_SituationSupport</t>
  </si>
  <si>
    <t>1366593.zip</t>
  </si>
  <si>
    <t>1.0.147.2.1.3.147315.1</t>
  </si>
  <si>
    <t>CUI Jin (CC-AS/EVA-SW1-CN)</t>
  </si>
  <si>
    <t>Raised OPL</t>
  </si>
  <si>
    <t>Got 1 defect
Reason: not send to internal team</t>
  </si>
  <si>
    <t>233878_GAC_A20_CarbonESP9.3CP_BL04</t>
  </si>
  <si>
    <t>GEELY_BX11_ESP9.3HD_BL06_SP01</t>
  </si>
  <si>
    <t>GEELY_BX11_ESPHEVX_BL06_SP01</t>
  </si>
  <si>
    <t>AvhSendSoftSwctrlst</t>
  </si>
  <si>
    <t>EPBVirtualButtonSignalProcess</t>
  </si>
  <si>
    <t xml:space="preserve">EPBButton_StpOnBrkProcess    </t>
  </si>
  <si>
    <t xml:space="preserve">EPBButtonArbitration         </t>
  </si>
  <si>
    <t xml:space="preserve">HMI_ApbFunctionLamp </t>
  </si>
  <si>
    <t>HMI_ApbFunctionLamp</t>
  </si>
  <si>
    <t>1380028.zip</t>
  </si>
  <si>
    <t>1379963.zip</t>
  </si>
  <si>
    <t>1381575.zip</t>
  </si>
  <si>
    <t>1382215.zip</t>
  </si>
  <si>
    <t>LIU Qiang (CC-AS/EVA-SW2-CN)</t>
  </si>
  <si>
    <t>QIU Liqi (CC-AS/EVA-SW2-CN)</t>
  </si>
  <si>
    <t>HOU Jue (CC-AS/EVA-SW2-CN)</t>
  </si>
  <si>
    <t>ZHANG Lucy (CC-AS/EVA-SW2-CN)</t>
  </si>
  <si>
    <t>Time</t>
  </si>
  <si>
    <t>days</t>
  </si>
  <si>
    <t>Assigned
ELOCs</t>
  </si>
  <si>
    <t>Completed
ELOCs</t>
  </si>
  <si>
    <t>Effort
(days)</t>
  </si>
  <si>
    <t>Actual Effort
(days)</t>
  </si>
  <si>
    <t>Num of OPLs</t>
  </si>
  <si>
    <t>Num of Defects</t>
  </si>
  <si>
    <t>Duration (Plan)</t>
  </si>
  <si>
    <t>Duration (Actual)</t>
  </si>
  <si>
    <t>Brief Description:</t>
  </si>
  <si>
    <t>Ontime</t>
  </si>
  <si>
    <t>- Day-off Fri, 20-Mar</t>
  </si>
  <si>
    <t>Loc Assigned</t>
  </si>
  <si>
    <t>Actual Effort (days)</t>
  </si>
  <si>
    <t>Nguyen Tuan Duong</t>
  </si>
  <si>
    <t>Do Phu Loc</t>
  </si>
  <si>
    <t>Nguyen Kim Thanh</t>
  </si>
  <si>
    <t>Ly Chung</t>
  </si>
  <si>
    <t>Delayed</t>
  </si>
  <si>
    <t>InAdvanced</t>
  </si>
  <si>
    <t>ApbDynConfig</t>
  </si>
  <si>
    <t>`</t>
  </si>
  <si>
    <t>\\10.184.143.103\d\vivi\BV\Release\20200303\CNMS_Deuterium_Int\RV</t>
  </si>
  <si>
    <t>T_C-001</t>
  </si>
  <si>
    <t>T_C-002</t>
  </si>
  <si>
    <t>T_C-003</t>
  </si>
  <si>
    <t>T_C-004</t>
  </si>
  <si>
    <t>T_C-005</t>
  </si>
  <si>
    <t>T_C-006</t>
  </si>
  <si>
    <t>T_C-007</t>
  </si>
  <si>
    <t>T_C-008</t>
  </si>
  <si>
    <t>T_C-009</t>
  </si>
  <si>
    <t>T_C-010</t>
  </si>
  <si>
    <t>T_C-011</t>
  </si>
  <si>
    <t>T_C-012</t>
  </si>
  <si>
    <t>T_C-013</t>
  </si>
  <si>
    <t>T_C-014</t>
  </si>
  <si>
    <t>T_C-015</t>
  </si>
  <si>
    <t>T_C-016</t>
  </si>
  <si>
    <t>T_C-017</t>
  </si>
  <si>
    <t>T_C-018</t>
  </si>
  <si>
    <t>T_C-019</t>
  </si>
  <si>
    <t>T_C-020</t>
  </si>
  <si>
    <t>T_C-021</t>
  </si>
  <si>
    <t>T_C-022</t>
  </si>
  <si>
    <t>T_C-023</t>
  </si>
  <si>
    <t>T_C-024</t>
  </si>
  <si>
    <t>T_C-025</t>
  </si>
  <si>
    <t>T_C-026</t>
  </si>
  <si>
    <t>T_C-027</t>
  </si>
  <si>
    <t>T_C-028</t>
  </si>
  <si>
    <t>T_C-029</t>
  </si>
  <si>
    <t>T_C-030</t>
  </si>
  <si>
    <t>T_C-031</t>
  </si>
  <si>
    <t>T_C-032</t>
  </si>
  <si>
    <t>T_C-033</t>
  </si>
  <si>
    <t>T_C-034</t>
  </si>
  <si>
    <t>T_C-035</t>
  </si>
  <si>
    <t>T_C-036</t>
  </si>
  <si>
    <t>T_C-037</t>
  </si>
  <si>
    <t>T_C-038</t>
  </si>
  <si>
    <t>T_C-039</t>
  </si>
  <si>
    <t>T_C-040</t>
  </si>
  <si>
    <t>T_C-041</t>
  </si>
  <si>
    <t>T_C-042</t>
  </si>
  <si>
    <t>T_C-043</t>
  </si>
  <si>
    <t>T_C-044</t>
  </si>
  <si>
    <t>T_C-045</t>
  </si>
  <si>
    <t>T_C-046</t>
  </si>
  <si>
    <t>T_C-047</t>
  </si>
  <si>
    <t>T_C-048</t>
  </si>
  <si>
    <t>T_C-049</t>
  </si>
  <si>
    <t>T_C-050</t>
  </si>
  <si>
    <t>T_C-051</t>
  </si>
  <si>
    <t>T_C-052</t>
  </si>
  <si>
    <t>T_C-053</t>
  </si>
  <si>
    <t>T_C-054</t>
  </si>
  <si>
    <t>T_C-055</t>
  </si>
  <si>
    <t>T_C-056</t>
  </si>
  <si>
    <t>T_C-057</t>
  </si>
  <si>
    <t>T_C-058</t>
  </si>
  <si>
    <t>T_C-059</t>
  </si>
  <si>
    <t>T_C-060</t>
  </si>
  <si>
    <t>T_C-061</t>
  </si>
  <si>
    <t>T_C-062</t>
  </si>
  <si>
    <t>T_C-063</t>
  </si>
  <si>
    <t>T_C-064</t>
  </si>
  <si>
    <t>T_C-065</t>
  </si>
  <si>
    <t>T_C-066</t>
  </si>
  <si>
    <t>T_C-067</t>
  </si>
  <si>
    <t>T_C-068</t>
  </si>
  <si>
    <t>T_C-069</t>
  </si>
  <si>
    <t>T_C-070</t>
  </si>
  <si>
    <t>T_C-071</t>
  </si>
  <si>
    <t>T_C-072</t>
  </si>
  <si>
    <t>T_C-073</t>
  </si>
  <si>
    <t>T_C-074</t>
  </si>
  <si>
    <t>T_C-075</t>
  </si>
  <si>
    <t>T_C-076</t>
  </si>
  <si>
    <t>T_C-077</t>
  </si>
  <si>
    <t>T_C-078</t>
  </si>
  <si>
    <t>T_C-079</t>
  </si>
  <si>
    <t>T_C-080</t>
  </si>
  <si>
    <t>T_C-081</t>
  </si>
  <si>
    <t>T_C-082</t>
  </si>
  <si>
    <t>T_C-083</t>
  </si>
  <si>
    <t>T_C-084</t>
  </si>
  <si>
    <t>T_C-085</t>
  </si>
  <si>
    <t>T_C-086</t>
  </si>
  <si>
    <t>T_C-087</t>
  </si>
  <si>
    <t>T_C-088</t>
  </si>
  <si>
    <t>T_C-089</t>
  </si>
  <si>
    <t>T_C-090</t>
  </si>
  <si>
    <t>T_C-091</t>
  </si>
  <si>
    <t>T_C-092</t>
  </si>
  <si>
    <t>T_C-093</t>
  </si>
  <si>
    <t>T_C-094</t>
  </si>
  <si>
    <t>T_C-095</t>
  </si>
  <si>
    <t>T_C-096</t>
  </si>
  <si>
    <t>T_C-097</t>
  </si>
  <si>
    <t>T_C-098</t>
  </si>
  <si>
    <t>T_C-099</t>
  </si>
  <si>
    <t>T_C-100</t>
  </si>
  <si>
    <t>T_C-101</t>
  </si>
  <si>
    <t>T_C-102</t>
  </si>
  <si>
    <t>T_C-103</t>
  </si>
  <si>
    <t>T_C-104</t>
  </si>
  <si>
    <t>T_C-105</t>
  </si>
  <si>
    <t>T_C-106</t>
  </si>
  <si>
    <t>T_C-107</t>
  </si>
  <si>
    <t>T_C-108</t>
  </si>
  <si>
    <t>T_C-109</t>
  </si>
  <si>
    <t>T_C-110</t>
  </si>
  <si>
    <t>T_C-111</t>
  </si>
  <si>
    <t>T_C-112</t>
  </si>
  <si>
    <t>T_C-113</t>
  </si>
  <si>
    <t>T_C-114</t>
  </si>
  <si>
    <t>T_C-115</t>
  </si>
  <si>
    <t>T_C-116</t>
  </si>
  <si>
    <t>T_C-117</t>
  </si>
  <si>
    <t>T_C-118</t>
  </si>
  <si>
    <t>T_C-119</t>
  </si>
  <si>
    <t>T_C-120</t>
  </si>
  <si>
    <t>T_C-121</t>
  </si>
  <si>
    <t>T_C-122</t>
  </si>
  <si>
    <t>T_C-123</t>
  </si>
  <si>
    <t>T_C-124</t>
  </si>
  <si>
    <t>T_C-125</t>
  </si>
  <si>
    <t>T_C-126</t>
  </si>
  <si>
    <t>T_C-127</t>
  </si>
  <si>
    <t>T_C-128</t>
  </si>
  <si>
    <t>T_C-129</t>
  </si>
  <si>
    <t>T_C-130</t>
  </si>
  <si>
    <t>T_C-131</t>
  </si>
  <si>
    <t>T_C-132</t>
  </si>
  <si>
    <t>T_C-133</t>
  </si>
  <si>
    <t>T_C-134</t>
  </si>
  <si>
    <t>T_C-135</t>
  </si>
  <si>
    <t>T_C-136</t>
  </si>
  <si>
    <t>T_C-137</t>
  </si>
  <si>
    <t>T_C-138</t>
  </si>
  <si>
    <t>T_C-139</t>
  </si>
  <si>
    <t>T_C-140</t>
  </si>
  <si>
    <t>T_C-141</t>
  </si>
  <si>
    <t>T_C-142</t>
  </si>
  <si>
    <t>T_C-143</t>
  </si>
  <si>
    <t>T_C-144</t>
  </si>
  <si>
    <t>T_C-145</t>
  </si>
  <si>
    <t>T_C-146</t>
  </si>
  <si>
    <t>T_C-147</t>
  </si>
  <si>
    <t>T_C-148</t>
  </si>
  <si>
    <t>T_C-149</t>
  </si>
  <si>
    <t>T_C-150</t>
  </si>
  <si>
    <t>T_C-151</t>
  </si>
  <si>
    <t>T_C-152</t>
  </si>
  <si>
    <t>T_C-153</t>
  </si>
  <si>
    <t>T_C-154</t>
  </si>
  <si>
    <t>T_C-155</t>
  </si>
  <si>
    <t>T_C-156</t>
  </si>
  <si>
    <t>T_C-157</t>
  </si>
  <si>
    <t>T_C-158</t>
  </si>
  <si>
    <t>Raised OPL. Can't cover MCDC because this is a true case for above condition</t>
  </si>
  <si>
    <t>Raised OPL : Improvement code swap two api
Defect ID: Defect 1381675</t>
  </si>
  <si>
    <t>221602_CheHeJia_D01_ESPHevX_BL04</t>
  </si>
  <si>
    <t>CNMSESPHevX\rb\as\faw\core\app\dcom\RBAPLCust\src\ESP\</t>
  </si>
  <si>
    <t>SAS_Functions.c</t>
  </si>
  <si>
    <t>CheHeJia_D01_ESPHevX_Int</t>
  </si>
  <si>
    <t>ZHOU Xiaoxi (CC-AS/EVA-SW31-CN)</t>
  </si>
  <si>
    <t>ZHENG Fangfang (CC-AS/EVA-SW33-CN)</t>
  </si>
  <si>
    <t>Geely_KC2A_ESP9.3_HB_225750_BB8033</t>
  </si>
  <si>
    <t>EC_245942_GAC_Carbon_A39Phev_EC_OBD_BL01</t>
  </si>
  <si>
    <t>\MainstreamF30\rb\as\geely\project\app\obd\ObdCvnCalId\src\</t>
  </si>
  <si>
    <t>rb\as\fawMP\prjConf\dsmpr\src\RBEMM\</t>
  </si>
  <si>
    <t>rb\as\gaig\A12ESP\app\dsm\RBVAR\BB_99735A39Phev\src\</t>
  </si>
  <si>
    <t>rb\as\cnms_core\app\dsm\DemVar\src\</t>
  </si>
  <si>
    <t>rb\as\gaig\A12ESP\app\obd\ObdPermanentDTCStorge\src\</t>
  </si>
  <si>
    <t>Obd_Cvn_CalId.c</t>
  </si>
  <si>
    <t>CCM_Callbacks_Project.c</t>
  </si>
  <si>
    <t>Dem_VarCodeHandling.c</t>
  </si>
  <si>
    <t>Dem_PrjObdProjectExtension.c</t>
  </si>
  <si>
    <t>ObdPermanentDTCStorge_GAC.c</t>
  </si>
  <si>
    <t>Geely_Beryllium2_OBD_China6_Int</t>
  </si>
  <si>
    <t>YANG Zhongjian (CC-AS/EVA-SW2-CN)</t>
  </si>
  <si>
    <t>CHEN Xiaomin (CC-AS/EVA-SW31-CN)</t>
  </si>
  <si>
    <t>Adapt_218053_CA_CD569_ESP9.3CP_BL6_SP1</t>
  </si>
  <si>
    <t>\MainstreamF30\rb\as\gaig\A12ESP\app\dsm\RBVAR\BB_81116A76CP\src\</t>
  </si>
  <si>
    <t>\MainstreamF30\rb\as\gaig\A12ESP\app\dsm\RBVAR\BB_81175A36CP\src\</t>
  </si>
  <si>
    <t>rb\as\gaig\A12ESP\app\dsm\RBVAR\BB_81989A11HD\src\</t>
  </si>
  <si>
    <t>rb\as\gaig\A12ESP\app\dsm\RBVAR\BB_81990A11CP\src\</t>
  </si>
  <si>
    <t>rb\as\ca\core\app\dcom\RBAPLCust\src\ESP\</t>
  </si>
  <si>
    <t>RBVAR_OutputDriver_PROJECT.c</t>
  </si>
  <si>
    <t>RBAPLCUST_RoutineControl_ConditionCheck.c</t>
  </si>
  <si>
    <t>ChangAn_ESP_Carbon_Int</t>
  </si>
  <si>
    <t>FENG Yinfei (CC-AS/EVA-SW31-CN)</t>
  </si>
  <si>
    <t>ZHANG Chao (CC-AS/EVA-SW32-CN)</t>
  </si>
  <si>
    <t>rb\as\cnms_core\app\net\scl\Sensors\Steering\src</t>
  </si>
  <si>
    <t>- In for loop can’t cover MCDC because Cantata can't generate coverage file.</t>
  </si>
  <si>
    <t>Owner said it doesn’t affect the project (already exist WT confirm at previous phase)</t>
  </si>
  <si>
    <t>rb\as\gaig\core\app\dcom\RBAPLCust\src\</t>
  </si>
  <si>
    <t>RBAPLCUST_RDBI_InputData_APBMi.c</t>
  </si>
  <si>
    <t>RBAPLCUST_WDBI_NVMData.c</t>
  </si>
  <si>
    <t>GAC_ESP93CP_A26HD_Int</t>
  </si>
  <si>
    <t>MA Maoting (CC-AS/EVA-SW31-CN)</t>
  </si>
  <si>
    <t>EPBVirtualButton_DragMode</t>
  </si>
  <si>
    <t>1.0.315.1</t>
  </si>
  <si>
    <t>- Off 9th Mar</t>
  </si>
  <si>
    <t>OPL: Cant cover 100% MCDC. Owner said that's fine.</t>
  </si>
  <si>
    <t>5. Leave Plan/Other activities(Mar):</t>
  </si>
  <si>
    <t>20200303_1</t>
  </si>
  <si>
    <t>- Duong's PC got broken =&gt; waiting IT reset user for PC</t>
  </si>
  <si>
    <t>T_C-159</t>
  </si>
  <si>
    <t>T_C-160</t>
  </si>
  <si>
    <t>T_C-161</t>
  </si>
  <si>
    <t>T_C-162</t>
  </si>
  <si>
    <t>T_C-163</t>
  </si>
  <si>
    <t>T_C-164</t>
  </si>
  <si>
    <t>T_C-165</t>
  </si>
  <si>
    <t>T_C-166</t>
  </si>
  <si>
    <t>T_C-167</t>
  </si>
  <si>
    <t>T_C-168</t>
  </si>
  <si>
    <t>T_C-169</t>
  </si>
  <si>
    <t>T_C-170</t>
  </si>
  <si>
    <t>T_C-171</t>
  </si>
  <si>
    <t>T_C-172</t>
  </si>
  <si>
    <t>T_C-173</t>
  </si>
  <si>
    <t>T_C-174</t>
  </si>
  <si>
    <t>T_C-175</t>
  </si>
  <si>
    <t>T_C-176</t>
  </si>
  <si>
    <t>T_C-177</t>
  </si>
  <si>
    <t>T_C-178</t>
  </si>
  <si>
    <t>T_C-179</t>
  </si>
  <si>
    <t>T_C-180</t>
  </si>
  <si>
    <t>T_C-181</t>
  </si>
  <si>
    <t>T_C-182</t>
  </si>
  <si>
    <t>T_C-183</t>
  </si>
  <si>
    <t>T_C-184</t>
  </si>
  <si>
    <t>T_C-185</t>
  </si>
  <si>
    <t>T_C-186</t>
  </si>
  <si>
    <t>T_C-187</t>
  </si>
  <si>
    <t>T_C-188</t>
  </si>
  <si>
    <t>T_C-189</t>
  </si>
  <si>
    <t>T_C-190</t>
  </si>
  <si>
    <t>T_C-191</t>
  </si>
  <si>
    <t>T_C-192</t>
  </si>
  <si>
    <t>T_C-193</t>
  </si>
  <si>
    <t>T_C-194</t>
  </si>
  <si>
    <t>T_C-195</t>
  </si>
  <si>
    <t>T_C-196</t>
  </si>
  <si>
    <t>T_C-197</t>
  </si>
  <si>
    <t>T_C-198</t>
  </si>
  <si>
    <t>T_C-199</t>
  </si>
  <si>
    <t>T_C-200</t>
  </si>
  <si>
    <t>T_C-201</t>
  </si>
  <si>
    <t>T_C-202</t>
  </si>
  <si>
    <t>T_C-203</t>
  </si>
  <si>
    <t>T_C-204</t>
  </si>
  <si>
    <t>T_C-205</t>
  </si>
  <si>
    <t>T_C-206</t>
  </si>
  <si>
    <t>T_C-207</t>
  </si>
  <si>
    <t>T_C-208</t>
  </si>
  <si>
    <t>T_C-209</t>
  </si>
  <si>
    <t>T_C-210</t>
  </si>
  <si>
    <t>T_C-211</t>
  </si>
  <si>
    <t>T_C-212</t>
  </si>
  <si>
    <t>T_C-213</t>
  </si>
  <si>
    <t>T_C-214</t>
  </si>
  <si>
    <t>T_C-215</t>
  </si>
  <si>
    <t>T_C-216</t>
  </si>
  <si>
    <t>T_C-217</t>
  </si>
  <si>
    <t>8h00</t>
  </si>
  <si>
    <t>17h00</t>
  </si>
  <si>
    <t>12h00</t>
  </si>
  <si>
    <t>- Duong's PC got broken =&gt; waiting IT reset user for PC.</t>
  </si>
  <si>
    <t>81650 &amp; 81651</t>
  </si>
  <si>
    <t>1.1.315.1</t>
  </si>
  <si>
    <t>1.0.315.0</t>
  </si>
  <si>
    <t>V1.3.147303.0</t>
  </si>
  <si>
    <t>ItemReVision</t>
  </si>
  <si>
    <t>V 1.1</t>
  </si>
  <si>
    <t>V 1.0</t>
  </si>
  <si>
    <t>V2.0.147303.0</t>
  </si>
  <si>
    <t>Defect: Defect ID: 1396104</t>
  </si>
  <si>
    <t>Already have confirm of owner as previous phase</t>
  </si>
  <si>
    <t>Adapt_236234_SMART_VDDM_ESPHevX_BSS02</t>
  </si>
  <si>
    <t>216997_FAW_E115_L3_IB2_BL60</t>
  </si>
  <si>
    <t>1390416.zip</t>
  </si>
  <si>
    <t>DynamicTarballSelection.c</t>
  </si>
  <si>
    <t>NET_CustomerStrategy_FAW.c</t>
  </si>
  <si>
    <t>RBA_NDS_CustomerStrategy_Callout.c</t>
  </si>
  <si>
    <t>RBAPLCUST_RoutineControl_APBMi.c</t>
  </si>
  <si>
    <t>RBAPLCUST_RDBI_InputData.c</t>
  </si>
  <si>
    <t>RBAPLCUST_VariandCode.c</t>
  </si>
  <si>
    <t>RBAPLOBD_Data.c</t>
  </si>
  <si>
    <t>RBAPLOBD_Global.c</t>
  </si>
  <si>
    <t>BB</t>
  </si>
  <si>
    <t>T_C-218</t>
  </si>
  <si>
    <t>T_C-219</t>
  </si>
  <si>
    <t>T_C-220</t>
  </si>
  <si>
    <t>T_C-221</t>
  </si>
  <si>
    <t>T_C-222</t>
  </si>
  <si>
    <t>T_C-223</t>
  </si>
  <si>
    <t>T_C-224</t>
  </si>
  <si>
    <t>T_C-225</t>
  </si>
  <si>
    <t>T_C-226</t>
  </si>
  <si>
    <t>T_C-227</t>
  </si>
  <si>
    <t>T_C-228</t>
  </si>
  <si>
    <t>T_C-229</t>
  </si>
  <si>
    <t>T_C-230</t>
  </si>
  <si>
    <t>T_C-231</t>
  </si>
  <si>
    <t>T_C-232</t>
  </si>
  <si>
    <t>T_C-233</t>
  </si>
  <si>
    <t>T_C-234</t>
  </si>
  <si>
    <t>T_C-235</t>
  </si>
  <si>
    <t>T_C-236</t>
  </si>
  <si>
    <t>HU Di (CC-AS/ESW2-CN)</t>
  </si>
  <si>
    <t>ELOC Recheck by Tool</t>
  </si>
  <si>
    <t>81518, 81534</t>
  </si>
  <si>
    <t>WANG Luyang (CC-AS/EVA-SW1-CN)</t>
  </si>
  <si>
    <t>TENG Huan (CC-AS/EVA-SW33-CN)</t>
  </si>
  <si>
    <t>FAW_E115_iBGen2_Int</t>
  </si>
  <si>
    <t>HE Qi (CC-AS/EVA-SW42-CN)</t>
  </si>
  <si>
    <t>OPL/Defect</t>
  </si>
  <si>
    <t>OPL</t>
  </si>
  <si>
    <t>Defect</t>
  </si>
  <si>
    <t>-Update version testing for old Task ID 1371465</t>
  </si>
  <si>
    <t>1. Completed ELOCs of the team from the beginning of Month (Apr) till Now:</t>
  </si>
  <si>
    <t>4. Found Defects/ OPLs in Month (Apr):</t>
  </si>
  <si>
    <t>5. Leave Plan/Other activities(Apr):</t>
  </si>
  <si>
    <t>2. Completed ELOCs of each member from the beginning of Month (Apr) till Now:</t>
  </si>
  <si>
    <t>216916_FAW_E115_L3_ESPhev_APB(CBi)_BL60</t>
  </si>
  <si>
    <t>GWM_B30_CP_BSS07</t>
  </si>
  <si>
    <t>SAIC SV51H iBooster BSS05 SP04</t>
  </si>
  <si>
    <t>BYD_IPB_SW_Mainstream_BL05_SP10</t>
  </si>
  <si>
    <t>DFN_ESP_Gen9.3_534_238307_BS03SP02</t>
  </si>
  <si>
    <t xml:space="preserve">rb/as/cnms_core/app/dsm/DemVar/src/            </t>
  </si>
  <si>
    <t xml:space="preserve">rb/as/cnms_core/app/dsm/RBVAR/src/             </t>
  </si>
  <si>
    <t xml:space="preserve">rb/as/gwm/cp/app/dsm/RBWarningIndicator/src/   </t>
  </si>
  <si>
    <t xml:space="preserve">rb/as/gwm/cp/app/dsm/RBVAR/BB80433/src/        </t>
  </si>
  <si>
    <t xml:space="preserve">rb/as/gwm/cp/app/dsm/RBVAR/BB80431/src/        </t>
  </si>
  <si>
    <t xml:space="preserve">rb/as/gwm/cp/app/dsm/RBVAR/BB81003/src/        </t>
  </si>
  <si>
    <t>rb/as/gwm/cp/dsmpr/src/</t>
  </si>
  <si>
    <t>rb/as/saic51/core/app/dcom/RBAPLCust/src/common/</t>
  </si>
  <si>
    <t>rb/as/saic/core/app/dcom/RBAPLCust/src/common/</t>
  </si>
  <si>
    <t>/RBAPLCust/src/IPB/</t>
  </si>
  <si>
    <t>rb/as/venucia/project/app/dsm/RBVAR/src/</t>
  </si>
  <si>
    <t>RBAPLCUST_RDBI_SnapshotInfo.c</t>
  </si>
  <si>
    <t>RBAPLCUST_BYD_WDBI_NVMData.c</t>
  </si>
  <si>
    <t>RBAPLCUST_BYD_RBDI_AnalogData.c</t>
  </si>
  <si>
    <t>T_C-237</t>
  </si>
  <si>
    <t>T_C-238</t>
  </si>
  <si>
    <t>T_C-239</t>
  </si>
  <si>
    <t>T_C-240</t>
  </si>
  <si>
    <t>T_C-241</t>
  </si>
  <si>
    <t>T_C-242</t>
  </si>
  <si>
    <t>T_C-243</t>
  </si>
  <si>
    <t>T_C-244</t>
  </si>
  <si>
    <t>T_C-245</t>
  </si>
  <si>
    <t>T_C-246</t>
  </si>
  <si>
    <t>T_C-247</t>
  </si>
  <si>
    <t>T_C-248</t>
  </si>
  <si>
    <t>T_C-249</t>
  </si>
  <si>
    <t>T_C-250</t>
  </si>
  <si>
    <t>T_C-251</t>
  </si>
  <si>
    <t>T_C-252</t>
  </si>
  <si>
    <t>T_C-253</t>
  </si>
  <si>
    <t>T_C-254</t>
  </si>
  <si>
    <t>T_C-255</t>
  </si>
  <si>
    <t>T_C-256</t>
  </si>
  <si>
    <t>T_C-257</t>
  </si>
  <si>
    <t>T_C-258</t>
  </si>
  <si>
    <t>T_C-259</t>
  </si>
  <si>
    <t>T_C-260</t>
  </si>
  <si>
    <t>T_C-261</t>
  </si>
  <si>
    <t>T_C-262</t>
  </si>
  <si>
    <t>T_C-263</t>
  </si>
  <si>
    <t>RBMCounter.c</t>
  </si>
  <si>
    <t>80431, 80433, 81003</t>
  </si>
  <si>
    <t>80431, 80433, 81004</t>
  </si>
  <si>
    <t>80431, 80433, 81005</t>
  </si>
  <si>
    <t>80431, 80433, 81006</t>
  </si>
  <si>
    <t>80431, 80433, 81007</t>
  </si>
  <si>
    <t>80431, 80433, 81008</t>
  </si>
  <si>
    <t>80431, 80433, 81009</t>
  </si>
  <si>
    <t>80431, 80433, 81010</t>
  </si>
  <si>
    <t>80431, 80433, 81011</t>
  </si>
  <si>
    <t>80431, 80433, 81012</t>
  </si>
  <si>
    <t>80431, 80433, 81013</t>
  </si>
  <si>
    <t>FAW_L3_MainPath_HevX_Int</t>
  </si>
  <si>
    <t>GWM_AB30_CP_Int</t>
  </si>
  <si>
    <t>-Cant cover 100% MCDC.</t>
  </si>
  <si>
    <t>SAIC_SV51H_IB2_CNMS_MIG_INT</t>
  </si>
  <si>
    <t>SAIC_SV51H_ESP93_Migra2_CNMS_BSS07SP10_Int</t>
  </si>
  <si>
    <t>DFN_Venucia_ESP93_Carbon_Int</t>
  </si>
  <si>
    <t>CHEN Steve (CC-AS/EVA-SW33-CN)</t>
  </si>
  <si>
    <t>LESLIE PUTHOOR Milda (CC-AS/EVA-SW31-CN)</t>
  </si>
  <si>
    <t>LU Martin (CC-AS/ESW2-CN)</t>
  </si>
  <si>
    <t>LI Joe (CC-AS/EVA-SW32-CN)</t>
  </si>
  <si>
    <t>MC_244837_SGMW_CN210M_RC_ABS9.3CBi_BL01_SP01</t>
  </si>
  <si>
    <t>DWS_Handler_COMMON.c</t>
  </si>
  <si>
    <t>rba_BldrCmp_36TransferData_Decomp.c</t>
  </si>
  <si>
    <t>rba_BldrCmp_DataHdl.c</t>
  </si>
  <si>
    <t>rba_BldrCmp_LogBlkHdl.c</t>
  </si>
  <si>
    <t>SGMW_ABS93_MS_Stable</t>
  </si>
  <si>
    <t>Pham Duc Trung (RBVH/EAS11)</t>
  </si>
  <si>
    <t>T_C-264</t>
  </si>
  <si>
    <t>T_C-265</t>
  </si>
  <si>
    <t>T_C-266</t>
  </si>
  <si>
    <t>T_C-267</t>
  </si>
  <si>
    <t>T_C-268</t>
  </si>
  <si>
    <t>T_C-269</t>
  </si>
  <si>
    <t>T_C-270</t>
  </si>
  <si>
    <t>SGWM_ESP93_Carbon_Int</t>
  </si>
  <si>
    <t>SUN Yun (CC-AS/EVA-SW31-CN)</t>
  </si>
  <si>
    <t>MainstreamF30/rb/as/sgmw/core/app/dcom/RBAPLCust/src/common/</t>
  </si>
  <si>
    <t>rb/as/byd/ipb/app/dsm/RBVAR/src/</t>
  </si>
  <si>
    <t>rb/as/byd/ipb/app/dsm/ RBVAR/src/</t>
  </si>
  <si>
    <t xml:space="preserve">rb/as/fawMP/fawcore/app/netRBNm/src/             </t>
  </si>
  <si>
    <t xml:space="preserve">rb/as/fawMP/fawcore/app/netRBScl/src/            </t>
  </si>
  <si>
    <t>rb/as/cnms_core/app/netscl/src/Callout_Functions/</t>
  </si>
  <si>
    <t>C:/02_CANTATA/COEM_April/_DataBase/FAW_E115_iBGen2_Int/iBoosterGen2/rb/as/faw/core/app/dcom/RBAPLCust/src/ESP</t>
  </si>
  <si>
    <t>C:/02_CANTATA/COEM_April/_DataBase/FAW_L3_MainPath_HevX_Int/CNMSESPHevX/rb/as/fawesphevx/fawcore/app/dcom/RBAPLCust/src/ESP</t>
  </si>
  <si>
    <t>C:/02_CANTATA/COEM_April/_DataBase/SGMW_ABS93_MS_Stable/RB_SGMW_ABS93/rb/as/sgmw/abs93/app/tpms_sri/src</t>
  </si>
  <si>
    <t>C:/02_CANTATA/COEM_April/_DataBase/SGMW_ABS93_MS_Stable/RB_SGMW_ABS93/rba/BldrCmp/src</t>
  </si>
  <si>
    <t>C:/02_CANTATA/COEM_April/_DataBase/SGMW_ABS93_MS_Stable/RB_SGMW_ABS93/rba/as/Bldr/HWRef/comps/ApplicationLayer/rba_BldrCmp/src</t>
  </si>
  <si>
    <t>18h00</t>
  </si>
  <si>
    <t>Brief Description: Urgent request from RBVH start dat 03-Apr, due day 03-Apr</t>
  </si>
  <si>
    <t>Out put name rba_BldrCmp_LogBlkHdl</t>
  </si>
  <si>
    <t>Out put name rba_BldrCmp_LogBlkHdl_1</t>
  </si>
  <si>
    <t>SGMW_ABS93_MS_Stable/RB_SGMW_ABS93/rba/as/Bldr/HWRef/comps/ApplicationLayer/rba_BldrCmp/src</t>
  </si>
  <si>
    <t>SGMW_ABS93_MS_Stable/RB_SGMW_ABS93/rba/BldrCmp/src</t>
  </si>
  <si>
    <t>T_C-271</t>
  </si>
  <si>
    <t>- Day-off Fri, 03-Apr</t>
  </si>
  <si>
    <t>- Day-off Mon, 9th Mar</t>
  </si>
  <si>
    <t>- None</t>
  </si>
  <si>
    <t>1. Completed ELOCs of the team from the beginning from (02-Mar) till Now(03-Apr)</t>
  </si>
  <si>
    <t>2. Completed ELOCs of each member from the beginning of from (02-Mar) till Now(03-Apr)</t>
  </si>
  <si>
    <t xml:space="preserve">can’t cover for case default at line#231 of switch(rba_BldrCmp_Td_DecompWriteState_en)
</t>
  </si>
  <si>
    <t>Because out of range of enum rba_BldrCmp_Td_DecompWriteState_ten</t>
  </si>
  <si>
    <t>239689_NIO_G1.3&amp;G1.F_ESPHevX_BSS03</t>
  </si>
  <si>
    <t>MC_227282_SGMW_E200_Plus_ESPCPiGen9.3_BSS04_SP03</t>
  </si>
  <si>
    <t>SGMW_RBA_NDS_EngineIntervention_EV_Callout.c</t>
  </si>
  <si>
    <t>RBHMI_LDMLamp_CNMS.C</t>
  </si>
  <si>
    <t>RBA_NDS_WSS_FailureInfo_Callout.c</t>
  </si>
  <si>
    <t>NextEV_ESPHevX_Int</t>
  </si>
  <si>
    <t>LI Jiaxing (CC-AS/EVA-SW32-CN)</t>
  </si>
  <si>
    <t>WANG Yang (CC-AS/EVA-SW32-CN)</t>
  </si>
  <si>
    <t>XU Jialin (CC-AS/EVA-SW32-CN)</t>
  </si>
  <si>
    <t>T_C-272</t>
  </si>
  <si>
    <t>T_C-273</t>
  </si>
  <si>
    <t>T_C-274</t>
  </si>
  <si>
    <t>T_C-275</t>
  </si>
  <si>
    <t>T_C-276</t>
  </si>
  <si>
    <t>236075_SAIC_IP31E iBooster_BSS02_SP01</t>
  </si>
  <si>
    <t>GEELY_Ibooster_GE12_BX11_BL07</t>
  </si>
  <si>
    <t>rb/as/nio/core/app/net/RBScl/src/</t>
  </si>
  <si>
    <t>rb/as/sgmw/CN210S/app/net/RBScl/RBScl_SGMW/src/</t>
  </si>
  <si>
    <t>rb/as/ca/CpiwAPB/dsmpr/src/RBHMI/src/</t>
  </si>
  <si>
    <t>rb/as/cnms_core/app/net/scl_callout/src/</t>
  </si>
  <si>
    <t>rb/as/core/app/asw/psc/src/</t>
  </si>
  <si>
    <t>rb/as/core/app/asw/mli/src/</t>
  </si>
  <si>
    <t>iBoosterGen2/rba/Bldr/config/ApplicationLayer/rba_BldrCmp/src/</t>
  </si>
  <si>
    <t>RBPSC_ControlMain.c</t>
  </si>
  <si>
    <t>RBMLI_TargetValueSwitch.c</t>
  </si>
  <si>
    <t>T_C-277</t>
  </si>
  <si>
    <t>T_C-278</t>
  </si>
  <si>
    <t>T_C-279</t>
  </si>
  <si>
    <t>T_C-280</t>
  </si>
  <si>
    <t>T_C-281</t>
  </si>
  <si>
    <t>81185, 99648</t>
  </si>
  <si>
    <t>81185, 99649</t>
  </si>
  <si>
    <t>SAIC_EP_CMP_iBooster_Gen2_Int</t>
  </si>
  <si>
    <t>Geely_FS11_GE12_BX11_iBooster_Gen2_Int</t>
  </si>
  <si>
    <t>XIONG Ice (CC-AS/EVA-SW1-CN)</t>
  </si>
  <si>
    <t>Thangamani Shanmugam (RBEI/EBB7)</t>
  </si>
  <si>
    <t>rb/as/cnms_core/app/dcom/RBAPLCust/src/common/</t>
  </si>
  <si>
    <t>rb/as/venucia/core/app/dcom/RBAPLCust/src/SID22/CANSupportMonitor/</t>
  </si>
  <si>
    <t>rb/as/venucia/core/app/dcom/RBAPLCust/src/SID22/DataMonitor/</t>
  </si>
  <si>
    <t>rb/as/faw/prj/dsmpr/src/</t>
  </si>
  <si>
    <t>rb/as/faw/prj/dsmpr/src/RBEMM/src/</t>
  </si>
  <si>
    <t>rb/as/fawesphevx/fawprj/dsmpr/src/RBEMM/</t>
  </si>
  <si>
    <t>rb/as/fawesphevx/fawprj/dsmpr/src/</t>
  </si>
  <si>
    <t>RBAPLCUST_ClearDiagnosticInformation.c</t>
  </si>
  <si>
    <t>RBAPLCUST_RDBI_CANSupportMonitor.c</t>
  </si>
  <si>
    <t>RBAPLCUST_DataMonitor_13xx.c</t>
  </si>
  <si>
    <t>VENKATESAN Azhaku Sathya Narayanan (CC-AS/EVA-SW32-CN)</t>
  </si>
  <si>
    <t>T_C-282</t>
  </si>
  <si>
    <t>T_C-283</t>
  </si>
  <si>
    <t>T_C-284</t>
  </si>
  <si>
    <t>T_C-285</t>
  </si>
  <si>
    <t>T_C-286</t>
  </si>
  <si>
    <t>T_C-287</t>
  </si>
  <si>
    <t>T_C-288</t>
  </si>
  <si>
    <t>1</t>
  </si>
  <si>
    <t>-Waiting license of ASCET Tool and re-install ASCET =&gt; Lead to delay for all class related with ASW, take time for other task</t>
  </si>
  <si>
    <t>- don’t have function for test</t>
  </si>
  <si>
    <t>VAR09_VehicleSetting_NISSAN.c</t>
  </si>
  <si>
    <t>DNCIF09_ControlSignalsInAbsSys_NIS9.c</t>
  </si>
  <si>
    <t>DNCIF09_WssEdgeSum_NIS9.c</t>
  </si>
  <si>
    <t>NET09_ComSclAdapter_Measurement_BB92121.c</t>
  </si>
  <si>
    <t>NET09_ComSclAdapter_MonitoringTables_BB92121.c</t>
  </si>
  <si>
    <t>NET09_ComSclAdapter_RxCbk_BB92121.c</t>
  </si>
  <si>
    <t>NET09_ComSclAdapter_RxSignalCopy_BB92121.c</t>
  </si>
  <si>
    <t>NET09_ComSclAdapter_RxTimeoutCbk_BB92121.c</t>
  </si>
  <si>
    <t>NET09_ComSclAdapter_TxCbk_BB92121.c</t>
  </si>
  <si>
    <t>NET09_NDS14_FaultConfiguration_BB92121.c</t>
  </si>
  <si>
    <t>NET09_SCL_RawSignals_BB92121.c</t>
  </si>
  <si>
    <t>NET09_ChecksumLib_NIS9.c</t>
  </si>
  <si>
    <t>NET09_FrameControl_NIS9.c</t>
  </si>
  <si>
    <t>NET09_IdleStopTreatment_NIS9.c</t>
  </si>
  <si>
    <t>NET09_Rcv6E2_NIS9.c</t>
  </si>
  <si>
    <t>NET09_RcvGear_NIS9.c</t>
  </si>
  <si>
    <t>NET09_Xmt245_NIS9.C</t>
  </si>
  <si>
    <t>NET09_Xmt354_NIS9.C</t>
  </si>
  <si>
    <t>1.7.5.2</t>
  </si>
  <si>
    <t>1.3.4.1</t>
  </si>
  <si>
    <t>1.6.4.0.3.1.1.1</t>
  </si>
  <si>
    <t>1.5.7.4</t>
  </si>
  <si>
    <t>1.3.1.0.5.4</t>
  </si>
  <si>
    <t>1.2.4.2</t>
  </si>
  <si>
    <t>1.4.1.3.1.1</t>
  </si>
  <si>
    <t>1.1.1.0.3.8.2.2</t>
  </si>
  <si>
    <t>1.2.1.0.5.3</t>
  </si>
  <si>
    <t>2.0.4.2</t>
  </si>
  <si>
    <t>4.4.1.1.1.2.1.6</t>
  </si>
  <si>
    <t>1.0.1.0.1.5</t>
  </si>
  <si>
    <t>1.1.1.1</t>
  </si>
  <si>
    <t>1.3.3.0</t>
  </si>
  <si>
    <t>3.0.1.1.3.2</t>
  </si>
  <si>
    <t>T_C-289</t>
  </si>
  <si>
    <t>T_C-290</t>
  </si>
  <si>
    <t>T_C-291</t>
  </si>
  <si>
    <t>T_C-292</t>
  </si>
  <si>
    <t>T_C-293</t>
  </si>
  <si>
    <t>T_C-294</t>
  </si>
  <si>
    <t>T_C-295</t>
  </si>
  <si>
    <t>T_C-296</t>
  </si>
  <si>
    <t>T_C-297</t>
  </si>
  <si>
    <t>T_C-298</t>
  </si>
  <si>
    <t>T_C-299</t>
  </si>
  <si>
    <t>T_C-300</t>
  </si>
  <si>
    <t>T_C-301</t>
  </si>
  <si>
    <t>T_C-302</t>
  </si>
  <si>
    <t>T_C-303</t>
  </si>
  <si>
    <t>T_C-304</t>
  </si>
  <si>
    <t>T_C-305</t>
  </si>
  <si>
    <t>T_C-306</t>
  </si>
  <si>
    <t>-SGMW_ABS93_MS_Stable/RB_SGMW_ABS93/rba/as/Bldr/HWRef/comps/ApplicationLayer/rba_BldrCmp/src</t>
  </si>
  <si>
    <t>-SGMW_ABS93_MS_Stable/RB_SGMW_ABS93/rba/BldrCmp/src</t>
  </si>
  <si>
    <t>GEEA2.0/rb/as/cevt/Geely/aswpr/EV/src</t>
  </si>
  <si>
    <t>iBoosterGen2/rb/as/faw/core/app/dcom/RBAPLCust/src/common</t>
  </si>
  <si>
    <t>CNMSESPHevX\rb\as\fawesphevx\fawcore\app\dcom\RBAPLCust\src\common</t>
  </si>
  <si>
    <t>rb/as/faw/core/app/dcom/RBAPLCust/src/common</t>
  </si>
  <si>
    <t>CNMSESPHevX\rb\as\fawesphevx\fawcore\app\dcom\RBAPLOBD\src</t>
  </si>
  <si>
    <t>CNMSESPHevX\rb\as\fawesphevx\fawcore\app\dcom\Cubas\src\Dcm_CNMS</t>
  </si>
  <si>
    <t xml:space="preserve">-Can’t cover case “default” of “switch (Control)” </t>
  </si>
  <si>
    <t>rb/as/fawesphevx/fawcore/app/dcom/RBAPLCust/src/iBooster</t>
  </si>
  <si>
    <t>//10.184.143.103/d/vivi/BV/DB/06Mar/Nissan_35.zip</t>
  </si>
  <si>
    <t xml:space="preserve">- Cant cover full case of switch( ls_VariantConfig_ST[variantindex].NisEngineType_N ) at line #319
Because NisEngineType_N is a read-only object.
- Cant cover full case of switch( ls_VariantConfig_ST[variantindex].NisGearboxType_N )at line #367
Because NisGearboxType_N is a read-only object.
- Cant cover full case of switch( ls_VariantConfig_ST[variantindex].NisCanGen_N ) at line #401
Because NisCanGen_N is a read-only object.
</t>
  </si>
  <si>
    <t>-No function for testing.</t>
  </si>
  <si>
    <t>-don't have functions for test</t>
  </si>
  <si>
    <t>rb/as/fawesphevx/fawcore/app/dcom/RBAPLCust/src/common</t>
  </si>
  <si>
    <t>rb/as/gwm/cp/app/dsm/RBHMI/src/</t>
  </si>
  <si>
    <t>rb/as/gwm/cp/app/dsm/RBVAR/BB80433/src/</t>
  </si>
  <si>
    <t>rb/as/gwm/cp/app/dsm/RBVAR/BB80431/src/</t>
  </si>
  <si>
    <t>rb/as/gwm/cp/app/dsm/RBVAR/BB81003/src/</t>
  </si>
  <si>
    <t>\Psw\DNC\DNC09_BB99524\NET09_BB99524\NET09_NIS9_ABS\SRC</t>
  </si>
  <si>
    <t>\Psw\DNC\DNC09_BB99524\NET09_BB99524\NET09_GEN_BB92121\SRC</t>
  </si>
  <si>
    <t>241595_GAC_A27_ESP9.3CP</t>
  </si>
  <si>
    <t>235149_FAW_HS7_RC_BL02</t>
  </si>
  <si>
    <t>MC_232534_SGMW_CN202C_ESP9.3CPi_ACC_BSS04</t>
  </si>
  <si>
    <t>rb/as/cnms_core/app/net/scl/Controllers/RBC/src/</t>
  </si>
  <si>
    <t>rb/as/faw/fawcore/app/dcom/RBAPLCust/src/</t>
  </si>
  <si>
    <t>NET_SCL_Rx_RBC.c</t>
  </si>
  <si>
    <t>RBAPLCUST_SecurityAccess.c</t>
  </si>
  <si>
    <t>FAW_Beryllium_TypeA_For_RBVH_Int</t>
  </si>
  <si>
    <t>T_C-307</t>
  </si>
  <si>
    <t>T_C-308</t>
  </si>
  <si>
    <t>T_C-309</t>
  </si>
  <si>
    <t>T_C-310</t>
  </si>
  <si>
    <t>rb/as/faw/core/app/dcom/RBAPLCust/src/iBooster</t>
  </si>
  <si>
    <t>ZHANG Yu (CC-AS/EVA-SW31-CN)</t>
  </si>
  <si>
    <t>Nguyen Duc Huong Quynh (RBVH/EAS12)</t>
  </si>
  <si>
    <t>-Can't check faulse condition bc this always is true</t>
  </si>
  <si>
    <r>
      <t xml:space="preserve">Can’t cover false case of </t>
    </r>
    <r>
      <rPr>
        <sz val="10"/>
        <color rgb="FFFFBB00"/>
        <rFont val="Consolas"/>
        <family val="3"/>
      </rPr>
      <t>if</t>
    </r>
    <r>
      <rPr>
        <sz val="10"/>
        <color rgb="FF009A00"/>
        <rFont val="Consolas"/>
        <family val="3"/>
      </rPr>
      <t>(1 == DCM_CFG_DSP_NUMSECURITY) because DCM_CFG_DSP_NUMSECURITY is defined by 1.</t>
    </r>
  </si>
  <si>
    <t>- Owner said its OK like usual</t>
  </si>
  <si>
    <t>-Rework due to wrong BD</t>
  </si>
  <si>
    <t>rb/as/faw/core/app/dcom/RBAPLOBD/src</t>
  </si>
  <si>
    <t>rb/as/faw/core/app/dcom/Cubas/src/Dcm_CNMS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</si>
</sst>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9C6500"/>
      <name val="Arial"/>
      <family val="2"/>
    </font>
    <font>
      <sz val="10"/>
      <color rgb="FF00610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61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9C0006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0"/>
      <color rgb="FF00610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rgb="FF9C6500"/>
      <name val="Arial"/>
    </font>
    <font>
      <sz val="11"/>
      <name val="Calibri"/>
      <scheme val="minor"/>
    </font>
    <font>
      <sz val="10"/>
      <color rgb="FF9C0006"/>
      <name val="Arial"/>
    </font>
    <font>
      <sz val="10"/>
      <color rgb="FF006100"/>
      <name val="Arial"/>
    </font>
    <font>
      <sz val="11"/>
      <color theme="1"/>
      <name val="Calibri"/>
      <scheme val="minor"/>
    </font>
    <font>
      <sz val="11"/>
      <color theme="1"/>
      <name val="Bosch Office Sans"/>
    </font>
    <font>
      <sz val="10"/>
      <color rgb="FFFFBB00"/>
      <name val="Consolas"/>
      <family val="3"/>
    </font>
    <font>
      <sz val="10"/>
      <color rgb="FF009A00"/>
      <name val="Consolas"/>
      <family val="3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</patternFill>
    </fill>
    <fill>
      <patternFill patternType="solid">
        <fgColor rgb="FFFFC000"/>
        <bgColor indexed="64"/>
      </patternFill>
    </fill>
    <fill>
      <patternFill patternType="solid">
        <fgColor rgb="FFFFEB9C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7" fillId="14" borderId="0" applyNumberFormat="0" applyBorder="0" applyAlignment="0" applyProtection="0"/>
  </cellStyleXfs>
  <cellXfs count="202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Fill="1" applyBorder="1"/>
    <xf numFmtId="0" fontId="0" fillId="0" borderId="0" xfId="0" applyBorder="1"/>
    <xf numFmtId="10" fontId="0" fillId="0" borderId="1" xfId="0" applyNumberFormat="1" applyBorder="1"/>
    <xf numFmtId="0" fontId="0" fillId="0" borderId="1" xfId="0" applyFill="1" applyBorder="1" applyAlignment="1">
      <alignment horizontal="left" vertical="center"/>
    </xf>
    <xf numFmtId="14" fontId="0" fillId="0" borderId="0" xfId="0" applyNumberFormat="1"/>
    <xf numFmtId="0" fontId="0" fillId="0" borderId="0" xfId="0" applyNumberFormat="1"/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" fillId="0" borderId="0" xfId="0" applyNumberFormat="1" applyFont="1" applyFill="1" applyBorder="1" applyAlignment="1" applyProtection="1"/>
    <xf numFmtId="0" fontId="4" fillId="0" borderId="0" xfId="0" applyFont="1" applyFill="1"/>
    <xf numFmtId="0" fontId="6" fillId="0" borderId="1" xfId="0" applyFont="1" applyFill="1" applyBorder="1" applyAlignment="1">
      <alignment horizontal="left" vertical="top"/>
    </xf>
    <xf numFmtId="164" fontId="6" fillId="0" borderId="1" xfId="0" applyNumberFormat="1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top"/>
    </xf>
    <xf numFmtId="0" fontId="6" fillId="3" borderId="1" xfId="0" applyNumberFormat="1" applyFont="1" applyFill="1" applyBorder="1" applyAlignment="1" applyProtection="1">
      <alignment horizontal="left" vertical="top"/>
    </xf>
    <xf numFmtId="0" fontId="6" fillId="3" borderId="1" xfId="0" applyFont="1" applyFill="1" applyBorder="1" applyAlignment="1">
      <alignment horizontal="left" vertical="top"/>
    </xf>
    <xf numFmtId="14" fontId="0" fillId="0" borderId="1" xfId="0" applyNumberFormat="1" applyFont="1" applyBorder="1" applyAlignment="1">
      <alignment horizontal="left" vertical="top"/>
    </xf>
    <xf numFmtId="0" fontId="6" fillId="0" borderId="1" xfId="0" applyNumberFormat="1" applyFont="1" applyFill="1" applyBorder="1" applyAlignment="1" applyProtection="1">
      <alignment horizontal="left" vertical="top"/>
    </xf>
    <xf numFmtId="0" fontId="6" fillId="0" borderId="0" xfId="0" applyNumberFormat="1" applyFont="1" applyFill="1" applyBorder="1" applyAlignment="1" applyProtection="1">
      <alignment horizontal="left" vertical="top"/>
    </xf>
    <xf numFmtId="0" fontId="6" fillId="0" borderId="1" xfId="0" quotePrefix="1" applyFont="1" applyFill="1" applyBorder="1" applyAlignment="1">
      <alignment horizontal="left" vertical="top"/>
    </xf>
    <xf numFmtId="0" fontId="0" fillId="0" borderId="1" xfId="0" applyFont="1" applyBorder="1" applyAlignment="1">
      <alignment horizontal="left" vertical="top" wrapText="1"/>
    </xf>
    <xf numFmtId="0" fontId="6" fillId="0" borderId="1" xfId="0" quotePrefix="1" applyNumberFormat="1" applyFont="1" applyFill="1" applyBorder="1" applyAlignment="1" applyProtection="1">
      <alignment horizontal="left" vertical="top"/>
    </xf>
    <xf numFmtId="164" fontId="8" fillId="4" borderId="1" xfId="0" applyNumberFormat="1" applyFont="1" applyFill="1" applyBorder="1" applyAlignment="1">
      <alignment horizontal="left" vertical="top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0" fillId="0" borderId="0" xfId="0" applyFill="1" applyBorder="1"/>
    <xf numFmtId="0" fontId="0" fillId="0" borderId="0" xfId="0" applyFill="1"/>
    <xf numFmtId="0" fontId="0" fillId="0" borderId="1" xfId="0" quotePrefix="1" applyFont="1" applyFill="1" applyBorder="1" applyAlignment="1">
      <alignment horizontal="left" vertical="top"/>
    </xf>
    <xf numFmtId="0" fontId="6" fillId="7" borderId="1" xfId="0" applyNumberFormat="1" applyFont="1" applyFill="1" applyBorder="1" applyAlignment="1" applyProtection="1">
      <alignment horizontal="left" vertical="top"/>
    </xf>
    <xf numFmtId="0" fontId="0" fillId="6" borderId="1" xfId="0" applyFont="1" applyFill="1" applyBorder="1" applyAlignment="1">
      <alignment horizontal="left" vertical="top"/>
    </xf>
    <xf numFmtId="0" fontId="6" fillId="2" borderId="1" xfId="0" applyNumberFormat="1" applyFont="1" applyFill="1" applyBorder="1" applyAlignment="1" applyProtection="1">
      <alignment horizontal="left" vertical="top"/>
    </xf>
    <xf numFmtId="0" fontId="6" fillId="8" borderId="1" xfId="0" applyNumberFormat="1" applyFont="1" applyFill="1" applyBorder="1" applyAlignment="1" applyProtection="1">
      <alignment horizontal="left" vertical="top"/>
    </xf>
    <xf numFmtId="0" fontId="13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6" fillId="10" borderId="1" xfId="0" applyNumberFormat="1" applyFont="1" applyFill="1" applyBorder="1" applyAlignment="1" applyProtection="1">
      <alignment horizontal="left" vertical="top"/>
    </xf>
    <xf numFmtId="0" fontId="16" fillId="0" borderId="1" xfId="0" applyFont="1" applyFill="1" applyBorder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0" fontId="15" fillId="0" borderId="1" xfId="0" applyFont="1" applyFill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16" fillId="0" borderId="1" xfId="0" quotePrefix="1" applyFont="1" applyBorder="1" applyAlignment="1">
      <alignment horizontal="left" vertical="top"/>
    </xf>
    <xf numFmtId="0" fontId="0" fillId="0" borderId="1" xfId="0" applyFill="1" applyBorder="1" applyAlignment="1">
      <alignment horizontal="left" vertical="center"/>
    </xf>
    <xf numFmtId="0" fontId="6" fillId="11" borderId="1" xfId="0" applyNumberFormat="1" applyFont="1" applyFill="1" applyBorder="1" applyAlignment="1" applyProtection="1">
      <alignment horizontal="left" vertical="top"/>
    </xf>
    <xf numFmtId="0" fontId="0" fillId="11" borderId="1" xfId="0" applyFont="1" applyFill="1" applyBorder="1" applyAlignment="1">
      <alignment horizontal="left" vertical="top"/>
    </xf>
    <xf numFmtId="0" fontId="0" fillId="11" borderId="1" xfId="0" quotePrefix="1" applyFont="1" applyFill="1" applyBorder="1" applyAlignment="1">
      <alignment horizontal="left" vertical="top"/>
    </xf>
    <xf numFmtId="164" fontId="0" fillId="11" borderId="1" xfId="0" applyNumberFormat="1" applyFont="1" applyFill="1" applyBorder="1" applyAlignment="1">
      <alignment horizontal="left" vertical="top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0" fontId="0" fillId="0" borderId="1" xfId="0" quotePrefix="1" applyFill="1" applyBorder="1" applyAlignment="1">
      <alignment horizontal="center" vertical="center"/>
    </xf>
    <xf numFmtId="0" fontId="6" fillId="6" borderId="1" xfId="0" applyNumberFormat="1" applyFont="1" applyFill="1" applyBorder="1" applyAlignment="1" applyProtection="1">
      <alignment horizontal="left" vertical="top"/>
    </xf>
    <xf numFmtId="0" fontId="6" fillId="12" borderId="1" xfId="0" applyNumberFormat="1" applyFont="1" applyFill="1" applyBorder="1" applyAlignment="1" applyProtection="1">
      <alignment horizontal="left" vertical="top"/>
    </xf>
    <xf numFmtId="164" fontId="0" fillId="9" borderId="1" xfId="0" applyNumberFormat="1" applyFont="1" applyFill="1" applyBorder="1" applyAlignment="1">
      <alignment horizontal="left" vertical="top"/>
    </xf>
    <xf numFmtId="0" fontId="6" fillId="13" borderId="1" xfId="0" applyNumberFormat="1" applyFont="1" applyFill="1" applyBorder="1" applyAlignment="1" applyProtection="1">
      <alignment horizontal="left" vertical="top"/>
    </xf>
    <xf numFmtId="14" fontId="17" fillId="14" borderId="1" xfId="0" applyNumberFormat="1" applyFont="1" applyFill="1" applyBorder="1" applyAlignment="1">
      <alignment horizontal="left" vertical="top"/>
    </xf>
    <xf numFmtId="0" fontId="11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 wrapText="1"/>
    </xf>
    <xf numFmtId="0" fontId="18" fillId="0" borderId="1" xfId="0" applyFont="1" applyFill="1" applyBorder="1" applyAlignment="1">
      <alignment horizontal="left" vertical="top"/>
    </xf>
    <xf numFmtId="0" fontId="18" fillId="0" borderId="0" xfId="0" applyFont="1" applyFill="1"/>
    <xf numFmtId="0" fontId="19" fillId="0" borderId="0" xfId="0" applyFont="1" applyFill="1"/>
    <xf numFmtId="0" fontId="19" fillId="0" borderId="1" xfId="0" applyFont="1" applyFill="1" applyBorder="1" applyAlignment="1">
      <alignment horizontal="left" vertical="top"/>
    </xf>
    <xf numFmtId="0" fontId="19" fillId="0" borderId="1" xfId="0" quotePrefix="1" applyFont="1" applyFill="1" applyBorder="1" applyAlignment="1">
      <alignment horizontal="left" vertical="top"/>
    </xf>
    <xf numFmtId="14" fontId="19" fillId="0" borderId="1" xfId="0" applyNumberFormat="1" applyFont="1" applyFill="1" applyBorder="1" applyAlignment="1">
      <alignment horizontal="left" vertical="top"/>
    </xf>
    <xf numFmtId="0" fontId="20" fillId="0" borderId="1" xfId="0" applyFont="1" applyFill="1" applyBorder="1" applyAlignment="1">
      <alignment horizontal="left" vertical="top"/>
    </xf>
    <xf numFmtId="0" fontId="18" fillId="6" borderId="1" xfId="0" applyFont="1" applyFill="1" applyBorder="1" applyAlignment="1">
      <alignment horizontal="left" vertical="top"/>
    </xf>
    <xf numFmtId="0" fontId="21" fillId="10" borderId="1" xfId="0" applyNumberFormat="1" applyFont="1" applyFill="1" applyBorder="1" applyAlignment="1" applyProtection="1">
      <alignment horizontal="left" vertical="top"/>
    </xf>
    <xf numFmtId="0" fontId="21" fillId="6" borderId="1" xfId="0" applyNumberFormat="1" applyFont="1" applyFill="1" applyBorder="1" applyAlignment="1" applyProtection="1">
      <alignment horizontal="left" vertical="top"/>
    </xf>
    <xf numFmtId="0" fontId="18" fillId="3" borderId="1" xfId="0" applyFont="1" applyFill="1" applyBorder="1" applyAlignment="1">
      <alignment horizontal="left" vertical="top"/>
    </xf>
    <xf numFmtId="164" fontId="0" fillId="0" borderId="1" xfId="0" applyNumberFormat="1" applyFont="1" applyFill="1" applyBorder="1" applyAlignment="1">
      <alignment horizontal="left" vertical="top"/>
    </xf>
    <xf numFmtId="0" fontId="22" fillId="0" borderId="1" xfId="0" applyFont="1" applyBorder="1" applyAlignment="1">
      <alignment horizontal="left" vertical="top"/>
    </xf>
    <xf numFmtId="0" fontId="15" fillId="0" borderId="0" xfId="0" applyFont="1"/>
    <xf numFmtId="0" fontId="23" fillId="0" borderId="1" xfId="0" applyFont="1" applyBorder="1" applyAlignment="1">
      <alignment horizontal="left" vertical="top"/>
    </xf>
    <xf numFmtId="164" fontId="24" fillId="0" borderId="1" xfId="0" applyNumberFormat="1" applyFont="1" applyFill="1" applyBorder="1" applyAlignment="1">
      <alignment horizontal="left" vertical="top"/>
    </xf>
    <xf numFmtId="164" fontId="6" fillId="0" borderId="1" xfId="0" applyNumberFormat="1" applyFont="1" applyFill="1" applyBorder="1" applyAlignment="1" applyProtection="1">
      <alignment horizontal="left" vertical="top"/>
    </xf>
    <xf numFmtId="0" fontId="24" fillId="0" borderId="1" xfId="0" applyFont="1" applyFill="1" applyBorder="1" applyAlignment="1">
      <alignment horizontal="left" vertical="top"/>
    </xf>
    <xf numFmtId="0" fontId="24" fillId="0" borderId="0" xfId="0" applyNumberFormat="1" applyFont="1" applyFill="1" applyBorder="1" applyAlignment="1" applyProtection="1"/>
    <xf numFmtId="0" fontId="23" fillId="13" borderId="1" xfId="0" applyNumberFormat="1" applyFont="1" applyFill="1" applyBorder="1" applyAlignment="1" applyProtection="1">
      <alignment horizontal="left"/>
    </xf>
    <xf numFmtId="0" fontId="24" fillId="0" borderId="1" xfId="0" applyNumberFormat="1" applyFont="1" applyFill="1" applyBorder="1" applyAlignment="1" applyProtection="1">
      <alignment horizontal="left"/>
    </xf>
    <xf numFmtId="0" fontId="24" fillId="0" borderId="1" xfId="0" quotePrefix="1" applyNumberFormat="1" applyFont="1" applyFill="1" applyBorder="1" applyAlignment="1" applyProtection="1">
      <alignment horizontal="left"/>
    </xf>
    <xf numFmtId="0" fontId="24" fillId="6" borderId="1" xfId="0" applyNumberFormat="1" applyFont="1" applyFill="1" applyBorder="1" applyAlignment="1" applyProtection="1">
      <alignment horizontal="left"/>
    </xf>
    <xf numFmtId="0" fontId="0" fillId="0" borderId="1" xfId="0" applyNumberFormat="1" applyFont="1" applyBorder="1" applyAlignment="1">
      <alignment horizontal="left" vertical="top"/>
    </xf>
    <xf numFmtId="164" fontId="24" fillId="0" borderId="1" xfId="0" applyNumberFormat="1" applyFont="1" applyFill="1" applyBorder="1" applyAlignment="1" applyProtection="1">
      <alignment horizontal="left"/>
    </xf>
    <xf numFmtId="0" fontId="24" fillId="0" borderId="1" xfId="0" applyFont="1" applyBorder="1" applyAlignment="1">
      <alignment horizontal="left" vertical="top"/>
    </xf>
    <xf numFmtId="0" fontId="24" fillId="3" borderId="1" xfId="0" applyNumberFormat="1" applyFont="1" applyFill="1" applyBorder="1" applyAlignment="1" applyProtection="1">
      <alignment horizontal="left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ont="1"/>
    <xf numFmtId="0" fontId="6" fillId="15" borderId="1" xfId="0" applyNumberFormat="1" applyFont="1" applyFill="1" applyBorder="1" applyAlignment="1" applyProtection="1">
      <alignment horizontal="left" vertical="top"/>
    </xf>
    <xf numFmtId="0" fontId="16" fillId="10" borderId="1" xfId="0" applyFont="1" applyFill="1" applyBorder="1" applyAlignment="1">
      <alignment horizontal="left" vertical="top"/>
    </xf>
    <xf numFmtId="0" fontId="0" fillId="0" borderId="1" xfId="0" quotePrefix="1" applyFill="1" applyBorder="1" applyAlignment="1">
      <alignment horizontal="left" vertical="center"/>
    </xf>
    <xf numFmtId="0" fontId="0" fillId="10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17" fillId="14" borderId="1" xfId="1" applyBorder="1"/>
    <xf numFmtId="0" fontId="0" fillId="0" borderId="0" xfId="0" quotePrefix="1"/>
    <xf numFmtId="164" fontId="0" fillId="0" borderId="0" xfId="0" applyNumberFormat="1"/>
    <xf numFmtId="0" fontId="0" fillId="16" borderId="2" xfId="0" quotePrefix="1" applyFill="1" applyBorder="1" applyAlignment="1">
      <alignment vertical="center"/>
    </xf>
    <xf numFmtId="0" fontId="0" fillId="16" borderId="3" xfId="0" applyFill="1" applyBorder="1" applyAlignment="1">
      <alignment vertical="center"/>
    </xf>
    <xf numFmtId="0" fontId="0" fillId="16" borderId="4" xfId="0" applyFill="1" applyBorder="1" applyAlignment="1">
      <alignment vertical="center"/>
    </xf>
    <xf numFmtId="1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ont="1" applyFill="1" applyBorder="1" applyAlignment="1" applyProtection="1"/>
    <xf numFmtId="0" fontId="5" fillId="4" borderId="1" xfId="0" applyFont="1" applyFill="1" applyBorder="1" applyAlignment="1">
      <alignment horizontal="left" vertical="top"/>
    </xf>
    <xf numFmtId="0" fontId="6" fillId="17" borderId="1" xfId="0" applyNumberFormat="1" applyFont="1" applyFill="1" applyBorder="1" applyAlignment="1" applyProtection="1">
      <alignment horizontal="left" vertical="top"/>
    </xf>
    <xf numFmtId="164" fontId="25" fillId="0" borderId="1" xfId="0" applyNumberFormat="1" applyFont="1" applyFill="1" applyBorder="1" applyAlignment="1" applyProtection="1">
      <alignment horizontal="left"/>
    </xf>
    <xf numFmtId="164" fontId="25" fillId="0" borderId="1" xfId="0" applyNumberFormat="1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25" fillId="0" borderId="1" xfId="0" applyFont="1" applyFill="1" applyBorder="1" applyAlignment="1">
      <alignment horizontal="left" vertical="top"/>
    </xf>
    <xf numFmtId="0" fontId="25" fillId="0" borderId="1" xfId="0" applyNumberFormat="1" applyFont="1" applyFill="1" applyBorder="1" applyAlignment="1" applyProtection="1">
      <alignment horizontal="left"/>
    </xf>
    <xf numFmtId="164" fontId="0" fillId="0" borderId="1" xfId="0" applyNumberForma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 wrapText="1"/>
    </xf>
    <xf numFmtId="0" fontId="0" fillId="0" borderId="0" xfId="0" applyFont="1" applyBorder="1" applyAlignment="1">
      <alignment horizontal="left" vertical="top"/>
    </xf>
    <xf numFmtId="0" fontId="0" fillId="0" borderId="0" xfId="0" quotePrefix="1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14" fontId="0" fillId="0" borderId="0" xfId="0" applyNumberFormat="1" applyFont="1" applyBorder="1" applyAlignment="1">
      <alignment horizontal="left" vertical="top"/>
    </xf>
    <xf numFmtId="0" fontId="0" fillId="0" borderId="4" xfId="0" applyFont="1" applyBorder="1" applyAlignment="1">
      <alignment horizontal="left" vertical="top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/>
    </xf>
    <xf numFmtId="0" fontId="6" fillId="18" borderId="1" xfId="0" applyNumberFormat="1" applyFont="1" applyFill="1" applyBorder="1" applyAlignment="1" applyProtection="1">
      <alignment horizontal="left" vertical="top"/>
    </xf>
    <xf numFmtId="0" fontId="6" fillId="19" borderId="1" xfId="0" applyNumberFormat="1" applyFont="1" applyFill="1" applyBorder="1" applyAlignment="1" applyProtection="1">
      <alignment horizontal="left" vertical="top"/>
    </xf>
    <xf numFmtId="0" fontId="0" fillId="0" borderId="1" xfId="0" quotePrefix="1" applyFill="1" applyBorder="1" applyAlignment="1">
      <alignment horizontal="left" vertical="top"/>
    </xf>
    <xf numFmtId="0" fontId="27" fillId="0" borderId="1" xfId="0" applyFont="1" applyBorder="1" applyAlignment="1">
      <alignment horizontal="left" vertical="top"/>
    </xf>
    <xf numFmtId="0" fontId="6" fillId="20" borderId="1" xfId="0" applyNumberFormat="1" applyFont="1" applyFill="1" applyBorder="1" applyAlignment="1" applyProtection="1">
      <alignment horizontal="left" vertical="top"/>
    </xf>
    <xf numFmtId="0" fontId="6" fillId="5" borderId="1" xfId="0" applyNumberFormat="1" applyFont="1" applyFill="1" applyBorder="1" applyAlignment="1" applyProtection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3" fontId="0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164" fontId="0" fillId="0" borderId="1" xfId="0" applyNumberFormat="1" applyFill="1" applyBorder="1" applyAlignment="1">
      <alignment horizontal="left" vertical="top"/>
    </xf>
    <xf numFmtId="0" fontId="28" fillId="4" borderId="1" xfId="0" applyNumberFormat="1" applyFont="1" applyFill="1" applyBorder="1" applyAlignment="1" applyProtection="1">
      <alignment horizontal="left"/>
    </xf>
    <xf numFmtId="0" fontId="6" fillId="21" borderId="1" xfId="0" applyNumberFormat="1" applyFont="1" applyFill="1" applyBorder="1" applyAlignment="1" applyProtection="1">
      <alignment horizontal="left" vertical="top"/>
    </xf>
    <xf numFmtId="0" fontId="0" fillId="0" borderId="1" xfId="0" quotePrefix="1" applyBorder="1"/>
    <xf numFmtId="0" fontId="2" fillId="2" borderId="1" xfId="0" applyFont="1" applyFill="1" applyBorder="1" applyAlignment="1">
      <alignment horizontal="center" vertical="center"/>
    </xf>
    <xf numFmtId="0" fontId="29" fillId="0" borderId="0" xfId="0" applyFont="1" applyBorder="1"/>
    <xf numFmtId="164" fontId="30" fillId="0" borderId="1" xfId="0" applyNumberFormat="1" applyFont="1" applyBorder="1" applyAlignment="1">
      <alignment horizontal="left" vertical="top"/>
    </xf>
    <xf numFmtId="0" fontId="0" fillId="0" borderId="1" xfId="0" quotePrefix="1" applyBorder="1" applyAlignment="1">
      <alignment horizontal="left"/>
    </xf>
    <xf numFmtId="0" fontId="0" fillId="0" borderId="1" xfId="0" applyNumberFormat="1" applyFont="1" applyFill="1" applyBorder="1" applyAlignment="1" applyProtection="1">
      <alignment horizontal="left"/>
    </xf>
    <xf numFmtId="164" fontId="6" fillId="0" borderId="1" xfId="0" applyNumberFormat="1" applyFont="1" applyBorder="1" applyAlignment="1">
      <alignment horizontal="left" vertical="top"/>
    </xf>
    <xf numFmtId="0" fontId="7" fillId="0" borderId="0" xfId="0" applyFont="1" applyBorder="1"/>
    <xf numFmtId="0" fontId="19" fillId="22" borderId="1" xfId="0" applyFont="1" applyFill="1" applyBorder="1" applyAlignment="1">
      <alignment horizontal="left" vertical="top"/>
    </xf>
    <xf numFmtId="0" fontId="0" fillId="23" borderId="1" xfId="0" quotePrefix="1" applyFont="1" applyFill="1" applyBorder="1" applyAlignment="1">
      <alignment horizontal="left" vertical="top" wrapText="1"/>
    </xf>
    <xf numFmtId="0" fontId="6" fillId="0" borderId="1" xfId="0" applyNumberFormat="1" applyFont="1" applyBorder="1" applyAlignment="1">
      <alignment horizontal="left" vertical="top"/>
    </xf>
    <xf numFmtId="0" fontId="4" fillId="24" borderId="1" xfId="0" applyFont="1" applyFill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5" borderId="1" xfId="0" applyNumberFormat="1" applyFont="1" applyFill="1" applyBorder="1" applyAlignment="1" applyProtection="1">
      <alignment horizontal="left" vertical="top"/>
    </xf>
    <xf numFmtId="0" fontId="33" fillId="26" borderId="1" xfId="0" quotePrefix="1" applyFont="1" applyFill="1" applyBorder="1" applyAlignment="1">
      <alignment horizontal="left" vertical="top"/>
    </xf>
    <xf numFmtId="0" fontId="34" fillId="0" borderId="1" xfId="0" applyNumberFormat="1" applyFont="1" applyBorder="1" applyAlignment="1">
      <alignment horizontal="left" vertical="top"/>
    </xf>
    <xf numFmtId="0" fontId="34" fillId="0" borderId="1" xfId="0" applyFont="1" applyBorder="1" applyAlignment="1">
      <alignment horizontal="left" vertical="top"/>
    </xf>
    <xf numFmtId="0" fontId="0" fillId="25" borderId="1" xfId="0" quotePrefix="1" applyFill="1" applyBorder="1"/>
    <xf numFmtId="10" fontId="35" fillId="14" borderId="1" xfId="0" applyNumberFormat="1" applyFont="1" applyFill="1" applyBorder="1" applyAlignment="1">
      <alignment horizontal="center" vertical="center"/>
    </xf>
    <xf numFmtId="10" fontId="36" fillId="4" borderId="1" xfId="0" applyNumberFormat="1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left" vertical="top"/>
    </xf>
    <xf numFmtId="0" fontId="6" fillId="23" borderId="1" xfId="0" applyNumberFormat="1" applyFont="1" applyFill="1" applyBorder="1" applyAlignment="1" applyProtection="1">
      <alignment horizontal="left" vertical="top"/>
    </xf>
    <xf numFmtId="0" fontId="0" fillId="19" borderId="1" xfId="0" quotePrefix="1" applyFill="1" applyBorder="1"/>
    <xf numFmtId="0" fontId="6" fillId="27" borderId="1" xfId="0" applyNumberFormat="1" applyFont="1" applyFill="1" applyBorder="1" applyAlignment="1" applyProtection="1">
      <alignment horizontal="left" vertical="top"/>
    </xf>
    <xf numFmtId="0" fontId="33" fillId="24" borderId="1" xfId="0" applyFont="1" applyFill="1" applyBorder="1" applyAlignment="1">
      <alignment horizontal="left" vertical="top"/>
    </xf>
    <xf numFmtId="0" fontId="6" fillId="28" borderId="1" xfId="0" applyNumberFormat="1" applyFont="1" applyFill="1" applyBorder="1" applyAlignment="1" applyProtection="1">
      <alignment horizontal="left" vertical="top"/>
    </xf>
    <xf numFmtId="0" fontId="7" fillId="0" borderId="1" xfId="0" applyFont="1" applyBorder="1" applyAlignment="1">
      <alignment horizontal="left"/>
    </xf>
    <xf numFmtId="0" fontId="36" fillId="4" borderId="1" xfId="0" applyNumberFormat="1" applyFont="1" applyFill="1" applyBorder="1" applyAlignment="1" applyProtection="1">
      <alignment horizontal="left" vertical="top"/>
    </xf>
    <xf numFmtId="14" fontId="37" fillId="0" borderId="1" xfId="0" applyNumberFormat="1" applyFont="1" applyBorder="1" applyAlignment="1">
      <alignment horizontal="left" vertical="top"/>
    </xf>
    <xf numFmtId="14" fontId="6" fillId="0" borderId="1" xfId="0" applyNumberFormat="1" applyFont="1" applyBorder="1" applyAlignment="1">
      <alignment horizontal="left" vertical="top"/>
    </xf>
    <xf numFmtId="0" fontId="34" fillId="0" borderId="1" xfId="0" applyNumberFormat="1" applyFont="1" applyFill="1" applyBorder="1" applyAlignment="1" applyProtection="1">
      <alignment horizontal="left" vertical="top"/>
    </xf>
    <xf numFmtId="0" fontId="37" fillId="0" borderId="1" xfId="0" quotePrefix="1" applyFont="1" applyBorder="1" applyAlignment="1">
      <alignment horizontal="left" vertical="top"/>
    </xf>
    <xf numFmtId="0" fontId="0" fillId="0" borderId="0" xfId="0" quotePrefix="1" applyBorder="1" applyAlignment="1"/>
    <xf numFmtId="0" fontId="37" fillId="0" borderId="0" xfId="0" applyFont="1" applyBorder="1"/>
    <xf numFmtId="0" fontId="2" fillId="3" borderId="1" xfId="0" applyFont="1" applyFill="1" applyBorder="1" applyAlignment="1">
      <alignment horizontal="left" vertical="top"/>
    </xf>
    <xf numFmtId="0" fontId="38" fillId="0" borderId="0" xfId="0" applyFont="1"/>
    <xf numFmtId="0" fontId="38" fillId="0" borderId="0" xfId="0" applyFont="1" applyAlignment="1">
      <alignment horizontal="center" vertical="center"/>
    </xf>
    <xf numFmtId="0" fontId="0" fillId="3" borderId="1" xfId="0" applyNumberFormat="1" applyFont="1" applyFill="1" applyBorder="1" applyAlignment="1" applyProtection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18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revisionHeaders" Target="revisions/revisionHeader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usernames" Target="revisions/userNames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evisions/_rels/revisionHeaders.xml.rels><?xml version="1.0" encoding="UTF-8" standalone="yes"?>
<Relationships xmlns="http://schemas.openxmlformats.org/package/2006/relationships"><Relationship Id="rId117" Type="http://schemas.openxmlformats.org/officeDocument/2006/relationships/revisionLog" Target="revisionLog117.xml"/><Relationship Id="rId299" Type="http://schemas.openxmlformats.org/officeDocument/2006/relationships/revisionLog" Target="revisionLog299.xml"/><Relationship Id="rId303" Type="http://schemas.openxmlformats.org/officeDocument/2006/relationships/revisionLog" Target="revisionLog303.xml"/><Relationship Id="rId21" Type="http://schemas.openxmlformats.org/officeDocument/2006/relationships/revisionLog" Target="revisionLog21.xml"/><Relationship Id="rId42" Type="http://schemas.openxmlformats.org/officeDocument/2006/relationships/revisionLog" Target="revisionLog42.xml"/><Relationship Id="rId63" Type="http://schemas.openxmlformats.org/officeDocument/2006/relationships/revisionLog" Target="revisionLog63.xml"/><Relationship Id="rId84" Type="http://schemas.openxmlformats.org/officeDocument/2006/relationships/revisionLog" Target="revisionLog84.xml"/><Relationship Id="rId138" Type="http://schemas.openxmlformats.org/officeDocument/2006/relationships/revisionLog" Target="revisionLog138.xml"/><Relationship Id="rId159" Type="http://schemas.openxmlformats.org/officeDocument/2006/relationships/revisionLog" Target="revisionLog159.xml"/><Relationship Id="rId170" Type="http://schemas.openxmlformats.org/officeDocument/2006/relationships/revisionLog" Target="revisionLog170.xml"/><Relationship Id="rId191" Type="http://schemas.openxmlformats.org/officeDocument/2006/relationships/revisionLog" Target="revisionLog191.xml"/><Relationship Id="rId205" Type="http://schemas.openxmlformats.org/officeDocument/2006/relationships/revisionLog" Target="revisionLog205.xml"/><Relationship Id="rId226" Type="http://schemas.openxmlformats.org/officeDocument/2006/relationships/revisionLog" Target="revisionLog226.xml"/><Relationship Id="rId247" Type="http://schemas.openxmlformats.org/officeDocument/2006/relationships/revisionLog" Target="revisionLog247.xml"/><Relationship Id="rId107" Type="http://schemas.openxmlformats.org/officeDocument/2006/relationships/revisionLog" Target="revisionLog107.xml"/><Relationship Id="rId268" Type="http://schemas.openxmlformats.org/officeDocument/2006/relationships/revisionLog" Target="revisionLog268.xml"/><Relationship Id="rId289" Type="http://schemas.openxmlformats.org/officeDocument/2006/relationships/revisionLog" Target="revisionLog289.xml"/><Relationship Id="rId11" Type="http://schemas.openxmlformats.org/officeDocument/2006/relationships/revisionLog" Target="revisionLog11.xml"/><Relationship Id="rId32" Type="http://schemas.openxmlformats.org/officeDocument/2006/relationships/revisionLog" Target="revisionLog32.xml"/><Relationship Id="rId53" Type="http://schemas.openxmlformats.org/officeDocument/2006/relationships/revisionLog" Target="revisionLog53.xml"/><Relationship Id="rId74" Type="http://schemas.openxmlformats.org/officeDocument/2006/relationships/revisionLog" Target="revisionLog74.xml"/><Relationship Id="rId128" Type="http://schemas.openxmlformats.org/officeDocument/2006/relationships/revisionLog" Target="revisionLog128.xml"/><Relationship Id="rId149" Type="http://schemas.openxmlformats.org/officeDocument/2006/relationships/revisionLog" Target="revisionLog149.xml"/><Relationship Id="rId314" Type="http://schemas.openxmlformats.org/officeDocument/2006/relationships/revisionLog" Target="revisionLog314.xml"/><Relationship Id="rId5" Type="http://schemas.openxmlformats.org/officeDocument/2006/relationships/revisionLog" Target="revisionLog5.xml"/><Relationship Id="rId95" Type="http://schemas.openxmlformats.org/officeDocument/2006/relationships/revisionLog" Target="revisionLog95.xml"/><Relationship Id="rId160" Type="http://schemas.openxmlformats.org/officeDocument/2006/relationships/revisionLog" Target="revisionLog160.xml"/><Relationship Id="rId181" Type="http://schemas.openxmlformats.org/officeDocument/2006/relationships/revisionLog" Target="revisionLog181.xml"/><Relationship Id="rId216" Type="http://schemas.openxmlformats.org/officeDocument/2006/relationships/revisionLog" Target="revisionLog216.xml"/><Relationship Id="rId237" Type="http://schemas.openxmlformats.org/officeDocument/2006/relationships/revisionLog" Target="revisionLog237.xml"/><Relationship Id="rId258" Type="http://schemas.openxmlformats.org/officeDocument/2006/relationships/revisionLog" Target="revisionLog258.xml"/><Relationship Id="rId279" Type="http://schemas.openxmlformats.org/officeDocument/2006/relationships/revisionLog" Target="revisionLog279.xml"/><Relationship Id="rId22" Type="http://schemas.openxmlformats.org/officeDocument/2006/relationships/revisionLog" Target="revisionLog22.xml"/><Relationship Id="rId43" Type="http://schemas.openxmlformats.org/officeDocument/2006/relationships/revisionLog" Target="revisionLog43.xml"/><Relationship Id="rId64" Type="http://schemas.openxmlformats.org/officeDocument/2006/relationships/revisionLog" Target="revisionLog64.xml"/><Relationship Id="rId118" Type="http://schemas.openxmlformats.org/officeDocument/2006/relationships/revisionLog" Target="revisionLog118.xml"/><Relationship Id="rId139" Type="http://schemas.openxmlformats.org/officeDocument/2006/relationships/revisionLog" Target="revisionLog139.xml"/><Relationship Id="rId290" Type="http://schemas.openxmlformats.org/officeDocument/2006/relationships/revisionLog" Target="revisionLog290.xml"/><Relationship Id="rId304" Type="http://schemas.openxmlformats.org/officeDocument/2006/relationships/revisionLog" Target="revisionLog304.xml"/><Relationship Id="rId85" Type="http://schemas.openxmlformats.org/officeDocument/2006/relationships/revisionLog" Target="revisionLog85.xml"/><Relationship Id="rId150" Type="http://schemas.openxmlformats.org/officeDocument/2006/relationships/revisionLog" Target="revisionLog150.xml"/><Relationship Id="rId171" Type="http://schemas.openxmlformats.org/officeDocument/2006/relationships/revisionLog" Target="revisionLog171.xml"/><Relationship Id="rId192" Type="http://schemas.openxmlformats.org/officeDocument/2006/relationships/revisionLog" Target="revisionLog192.xml"/><Relationship Id="rId206" Type="http://schemas.openxmlformats.org/officeDocument/2006/relationships/revisionLog" Target="revisionLog206.xml"/><Relationship Id="rId227" Type="http://schemas.openxmlformats.org/officeDocument/2006/relationships/revisionLog" Target="revisionLog227.xml"/><Relationship Id="rId248" Type="http://schemas.openxmlformats.org/officeDocument/2006/relationships/revisionLog" Target="revisionLog248.xml"/><Relationship Id="rId269" Type="http://schemas.openxmlformats.org/officeDocument/2006/relationships/revisionLog" Target="revisionLog269.xml"/><Relationship Id="rId12" Type="http://schemas.openxmlformats.org/officeDocument/2006/relationships/revisionLog" Target="revisionLog12.xml"/><Relationship Id="rId33" Type="http://schemas.openxmlformats.org/officeDocument/2006/relationships/revisionLog" Target="revisionLog33.xml"/><Relationship Id="rId108" Type="http://schemas.openxmlformats.org/officeDocument/2006/relationships/revisionLog" Target="revisionLog108.xml"/><Relationship Id="rId129" Type="http://schemas.openxmlformats.org/officeDocument/2006/relationships/revisionLog" Target="revisionLog129.xml"/><Relationship Id="rId280" Type="http://schemas.openxmlformats.org/officeDocument/2006/relationships/revisionLog" Target="revisionLog280.xml"/><Relationship Id="rId315" Type="http://schemas.openxmlformats.org/officeDocument/2006/relationships/revisionLog" Target="revisionLog315.xml"/><Relationship Id="rId54" Type="http://schemas.openxmlformats.org/officeDocument/2006/relationships/revisionLog" Target="revisionLog54.xml"/><Relationship Id="rId75" Type="http://schemas.openxmlformats.org/officeDocument/2006/relationships/revisionLog" Target="revisionLog75.xml"/><Relationship Id="rId96" Type="http://schemas.openxmlformats.org/officeDocument/2006/relationships/revisionLog" Target="revisionLog96.xml"/><Relationship Id="rId140" Type="http://schemas.openxmlformats.org/officeDocument/2006/relationships/revisionLog" Target="revisionLog140.xml"/><Relationship Id="rId161" Type="http://schemas.openxmlformats.org/officeDocument/2006/relationships/revisionLog" Target="revisionLog161.xml"/><Relationship Id="rId182" Type="http://schemas.openxmlformats.org/officeDocument/2006/relationships/revisionLog" Target="revisionLog182.xml"/><Relationship Id="rId217" Type="http://schemas.openxmlformats.org/officeDocument/2006/relationships/revisionLog" Target="revisionLog217.xml"/><Relationship Id="rId6" Type="http://schemas.openxmlformats.org/officeDocument/2006/relationships/revisionLog" Target="revisionLog6.xml"/><Relationship Id="rId238" Type="http://schemas.openxmlformats.org/officeDocument/2006/relationships/revisionLog" Target="revisionLog238.xml"/><Relationship Id="rId259" Type="http://schemas.openxmlformats.org/officeDocument/2006/relationships/revisionLog" Target="revisionLog259.xml"/><Relationship Id="rId23" Type="http://schemas.openxmlformats.org/officeDocument/2006/relationships/revisionLog" Target="revisionLog23.xml"/><Relationship Id="rId119" Type="http://schemas.openxmlformats.org/officeDocument/2006/relationships/revisionLog" Target="revisionLog119.xml"/><Relationship Id="rId270" Type="http://schemas.openxmlformats.org/officeDocument/2006/relationships/revisionLog" Target="revisionLog270.xml"/><Relationship Id="rId291" Type="http://schemas.openxmlformats.org/officeDocument/2006/relationships/revisionLog" Target="revisionLog291.xml"/><Relationship Id="rId305" Type="http://schemas.openxmlformats.org/officeDocument/2006/relationships/revisionLog" Target="revisionLog305.xml"/><Relationship Id="rId44" Type="http://schemas.openxmlformats.org/officeDocument/2006/relationships/revisionLog" Target="revisionLog44.xml"/><Relationship Id="rId65" Type="http://schemas.openxmlformats.org/officeDocument/2006/relationships/revisionLog" Target="revisionLog65.xml"/><Relationship Id="rId86" Type="http://schemas.openxmlformats.org/officeDocument/2006/relationships/revisionLog" Target="revisionLog86.xml"/><Relationship Id="rId130" Type="http://schemas.openxmlformats.org/officeDocument/2006/relationships/revisionLog" Target="revisionLog130.xml"/><Relationship Id="rId151" Type="http://schemas.openxmlformats.org/officeDocument/2006/relationships/revisionLog" Target="revisionLog151.xml"/><Relationship Id="rId172" Type="http://schemas.openxmlformats.org/officeDocument/2006/relationships/revisionLog" Target="revisionLog172.xml"/><Relationship Id="rId193" Type="http://schemas.openxmlformats.org/officeDocument/2006/relationships/revisionLog" Target="revisionLog193.xml"/><Relationship Id="rId207" Type="http://schemas.openxmlformats.org/officeDocument/2006/relationships/revisionLog" Target="revisionLog207.xml"/><Relationship Id="rId228" Type="http://schemas.openxmlformats.org/officeDocument/2006/relationships/revisionLog" Target="revisionLog228.xml"/><Relationship Id="rId249" Type="http://schemas.openxmlformats.org/officeDocument/2006/relationships/revisionLog" Target="revisionLog249.xml"/><Relationship Id="rId13" Type="http://schemas.openxmlformats.org/officeDocument/2006/relationships/revisionLog" Target="revisionLog13.xml"/><Relationship Id="rId109" Type="http://schemas.openxmlformats.org/officeDocument/2006/relationships/revisionLog" Target="revisionLog109.xml"/><Relationship Id="rId260" Type="http://schemas.openxmlformats.org/officeDocument/2006/relationships/revisionLog" Target="revisionLog260.xml"/><Relationship Id="rId281" Type="http://schemas.openxmlformats.org/officeDocument/2006/relationships/revisionLog" Target="revisionLog281.xml"/><Relationship Id="rId316" Type="http://schemas.openxmlformats.org/officeDocument/2006/relationships/revisionLog" Target="revisionLog316.xml"/><Relationship Id="rId34" Type="http://schemas.openxmlformats.org/officeDocument/2006/relationships/revisionLog" Target="revisionLog34.xml"/><Relationship Id="rId55" Type="http://schemas.openxmlformats.org/officeDocument/2006/relationships/revisionLog" Target="revisionLog55.xml"/><Relationship Id="rId76" Type="http://schemas.openxmlformats.org/officeDocument/2006/relationships/revisionLog" Target="revisionLog76.xml"/><Relationship Id="rId97" Type="http://schemas.openxmlformats.org/officeDocument/2006/relationships/revisionLog" Target="revisionLog97.xml"/><Relationship Id="rId120" Type="http://schemas.openxmlformats.org/officeDocument/2006/relationships/revisionLog" Target="revisionLog120.xml"/><Relationship Id="rId141" Type="http://schemas.openxmlformats.org/officeDocument/2006/relationships/revisionLog" Target="revisionLog141.xml"/><Relationship Id="rId7" Type="http://schemas.openxmlformats.org/officeDocument/2006/relationships/revisionLog" Target="revisionLog7.xml"/><Relationship Id="rId162" Type="http://schemas.openxmlformats.org/officeDocument/2006/relationships/revisionLog" Target="revisionLog162.xml"/><Relationship Id="rId183" Type="http://schemas.openxmlformats.org/officeDocument/2006/relationships/revisionLog" Target="revisionLog183.xml"/><Relationship Id="rId218" Type="http://schemas.openxmlformats.org/officeDocument/2006/relationships/revisionLog" Target="revisionLog218.xml"/><Relationship Id="rId239" Type="http://schemas.openxmlformats.org/officeDocument/2006/relationships/revisionLog" Target="revisionLog239.xml"/><Relationship Id="rId250" Type="http://schemas.openxmlformats.org/officeDocument/2006/relationships/revisionLog" Target="revisionLog250.xml"/><Relationship Id="rId271" Type="http://schemas.openxmlformats.org/officeDocument/2006/relationships/revisionLog" Target="revisionLog271.xml"/><Relationship Id="rId292" Type="http://schemas.openxmlformats.org/officeDocument/2006/relationships/revisionLog" Target="revisionLog292.xml"/><Relationship Id="rId306" Type="http://schemas.openxmlformats.org/officeDocument/2006/relationships/revisionLog" Target="revisionLog306.xml"/><Relationship Id="rId24" Type="http://schemas.openxmlformats.org/officeDocument/2006/relationships/revisionLog" Target="revisionLog24.xml"/><Relationship Id="rId45" Type="http://schemas.openxmlformats.org/officeDocument/2006/relationships/revisionLog" Target="revisionLog45.xml"/><Relationship Id="rId66" Type="http://schemas.openxmlformats.org/officeDocument/2006/relationships/revisionLog" Target="revisionLog66.xml"/><Relationship Id="rId87" Type="http://schemas.openxmlformats.org/officeDocument/2006/relationships/revisionLog" Target="revisionLog87.xml"/><Relationship Id="rId110" Type="http://schemas.openxmlformats.org/officeDocument/2006/relationships/revisionLog" Target="revisionLog110.xml"/><Relationship Id="rId131" Type="http://schemas.openxmlformats.org/officeDocument/2006/relationships/revisionLog" Target="revisionLog131.xml"/><Relationship Id="rId152" Type="http://schemas.openxmlformats.org/officeDocument/2006/relationships/revisionLog" Target="revisionLog152.xml"/><Relationship Id="rId173" Type="http://schemas.openxmlformats.org/officeDocument/2006/relationships/revisionLog" Target="revisionLog173.xml"/><Relationship Id="rId194" Type="http://schemas.openxmlformats.org/officeDocument/2006/relationships/revisionLog" Target="revisionLog194.xml"/><Relationship Id="rId208" Type="http://schemas.openxmlformats.org/officeDocument/2006/relationships/revisionLog" Target="revisionLog208.xml"/><Relationship Id="rId229" Type="http://schemas.openxmlformats.org/officeDocument/2006/relationships/revisionLog" Target="revisionLog229.xml"/><Relationship Id="rId19" Type="http://schemas.openxmlformats.org/officeDocument/2006/relationships/revisionLog" Target="revisionLog19.xml"/><Relationship Id="rId224" Type="http://schemas.openxmlformats.org/officeDocument/2006/relationships/revisionLog" Target="revisionLog224.xml"/><Relationship Id="rId240" Type="http://schemas.openxmlformats.org/officeDocument/2006/relationships/revisionLog" Target="revisionLog240.xml"/><Relationship Id="rId245" Type="http://schemas.openxmlformats.org/officeDocument/2006/relationships/revisionLog" Target="revisionLog245.xml"/><Relationship Id="rId261" Type="http://schemas.openxmlformats.org/officeDocument/2006/relationships/revisionLog" Target="revisionLog261.xml"/><Relationship Id="rId266" Type="http://schemas.openxmlformats.org/officeDocument/2006/relationships/revisionLog" Target="revisionLog266.xml"/><Relationship Id="rId287" Type="http://schemas.openxmlformats.org/officeDocument/2006/relationships/revisionLog" Target="revisionLog287.xml"/><Relationship Id="rId14" Type="http://schemas.openxmlformats.org/officeDocument/2006/relationships/revisionLog" Target="revisionLog14.xml"/><Relationship Id="rId30" Type="http://schemas.openxmlformats.org/officeDocument/2006/relationships/revisionLog" Target="revisionLog30.xml"/><Relationship Id="rId35" Type="http://schemas.openxmlformats.org/officeDocument/2006/relationships/revisionLog" Target="revisionLog35.xml"/><Relationship Id="rId56" Type="http://schemas.openxmlformats.org/officeDocument/2006/relationships/revisionLog" Target="revisionLog56.xml"/><Relationship Id="rId77" Type="http://schemas.openxmlformats.org/officeDocument/2006/relationships/revisionLog" Target="revisionLog77.xml"/><Relationship Id="rId100" Type="http://schemas.openxmlformats.org/officeDocument/2006/relationships/revisionLog" Target="revisionLog100.xml"/><Relationship Id="rId105" Type="http://schemas.openxmlformats.org/officeDocument/2006/relationships/revisionLog" Target="revisionLog105.xml"/><Relationship Id="rId126" Type="http://schemas.openxmlformats.org/officeDocument/2006/relationships/revisionLog" Target="revisionLog126.xml"/><Relationship Id="rId147" Type="http://schemas.openxmlformats.org/officeDocument/2006/relationships/revisionLog" Target="revisionLog147.xml"/><Relationship Id="rId168" Type="http://schemas.openxmlformats.org/officeDocument/2006/relationships/revisionLog" Target="revisionLog168.xml"/><Relationship Id="rId282" Type="http://schemas.openxmlformats.org/officeDocument/2006/relationships/revisionLog" Target="revisionLog282.xml"/><Relationship Id="rId312" Type="http://schemas.openxmlformats.org/officeDocument/2006/relationships/revisionLog" Target="revisionLog312.xml"/><Relationship Id="rId317" Type="http://schemas.openxmlformats.org/officeDocument/2006/relationships/revisionLog" Target="revisionLog317.xml"/><Relationship Id="rId8" Type="http://schemas.openxmlformats.org/officeDocument/2006/relationships/revisionLog" Target="revisionLog8.xml"/><Relationship Id="rId51" Type="http://schemas.openxmlformats.org/officeDocument/2006/relationships/revisionLog" Target="revisionLog51.xml"/><Relationship Id="rId72" Type="http://schemas.openxmlformats.org/officeDocument/2006/relationships/revisionLog" Target="revisionLog72.xml"/><Relationship Id="rId93" Type="http://schemas.openxmlformats.org/officeDocument/2006/relationships/revisionLog" Target="revisionLog93.xml"/><Relationship Id="rId98" Type="http://schemas.openxmlformats.org/officeDocument/2006/relationships/revisionLog" Target="revisionLog98.xml"/><Relationship Id="rId121" Type="http://schemas.openxmlformats.org/officeDocument/2006/relationships/revisionLog" Target="revisionLog121.xml"/><Relationship Id="rId142" Type="http://schemas.openxmlformats.org/officeDocument/2006/relationships/revisionLog" Target="revisionLog142.xml"/><Relationship Id="rId163" Type="http://schemas.openxmlformats.org/officeDocument/2006/relationships/revisionLog" Target="revisionLog163.xml"/><Relationship Id="rId184" Type="http://schemas.openxmlformats.org/officeDocument/2006/relationships/revisionLog" Target="revisionLog184.xml"/><Relationship Id="rId189" Type="http://schemas.openxmlformats.org/officeDocument/2006/relationships/revisionLog" Target="revisionLog189.xml"/><Relationship Id="rId219" Type="http://schemas.openxmlformats.org/officeDocument/2006/relationships/revisionLog" Target="revisionLog219.xml"/><Relationship Id="rId3" Type="http://schemas.openxmlformats.org/officeDocument/2006/relationships/revisionLog" Target="revisionLog3.xml"/><Relationship Id="rId214" Type="http://schemas.openxmlformats.org/officeDocument/2006/relationships/revisionLog" Target="revisionLog214.xml"/><Relationship Id="rId230" Type="http://schemas.openxmlformats.org/officeDocument/2006/relationships/revisionLog" Target="revisionLog230.xml"/><Relationship Id="rId235" Type="http://schemas.openxmlformats.org/officeDocument/2006/relationships/revisionLog" Target="revisionLog235.xml"/><Relationship Id="rId251" Type="http://schemas.openxmlformats.org/officeDocument/2006/relationships/revisionLog" Target="revisionLog251.xml"/><Relationship Id="rId256" Type="http://schemas.openxmlformats.org/officeDocument/2006/relationships/revisionLog" Target="revisionLog256.xml"/><Relationship Id="rId277" Type="http://schemas.openxmlformats.org/officeDocument/2006/relationships/revisionLog" Target="revisionLog277.xml"/><Relationship Id="rId298" Type="http://schemas.openxmlformats.org/officeDocument/2006/relationships/revisionLog" Target="revisionLog298.xml"/><Relationship Id="rId25" Type="http://schemas.openxmlformats.org/officeDocument/2006/relationships/revisionLog" Target="revisionLog25.xml"/><Relationship Id="rId46" Type="http://schemas.openxmlformats.org/officeDocument/2006/relationships/revisionLog" Target="revisionLog46.xml"/><Relationship Id="rId67" Type="http://schemas.openxmlformats.org/officeDocument/2006/relationships/revisionLog" Target="revisionLog67.xml"/><Relationship Id="rId116" Type="http://schemas.openxmlformats.org/officeDocument/2006/relationships/revisionLog" Target="revisionLog116.xml"/><Relationship Id="rId137" Type="http://schemas.openxmlformats.org/officeDocument/2006/relationships/revisionLog" Target="revisionLog137.xml"/><Relationship Id="rId158" Type="http://schemas.openxmlformats.org/officeDocument/2006/relationships/revisionLog" Target="revisionLog158.xml"/><Relationship Id="rId272" Type="http://schemas.openxmlformats.org/officeDocument/2006/relationships/revisionLog" Target="revisionLog272.xml"/><Relationship Id="rId293" Type="http://schemas.openxmlformats.org/officeDocument/2006/relationships/revisionLog" Target="revisionLog293.xml"/><Relationship Id="rId302" Type="http://schemas.openxmlformats.org/officeDocument/2006/relationships/revisionLog" Target="revisionLog302.xml"/><Relationship Id="rId307" Type="http://schemas.openxmlformats.org/officeDocument/2006/relationships/revisionLog" Target="revisionLog307.xml"/><Relationship Id="rId20" Type="http://schemas.openxmlformats.org/officeDocument/2006/relationships/revisionLog" Target="revisionLog20.xml"/><Relationship Id="rId41" Type="http://schemas.openxmlformats.org/officeDocument/2006/relationships/revisionLog" Target="revisionLog41.xml"/><Relationship Id="rId62" Type="http://schemas.openxmlformats.org/officeDocument/2006/relationships/revisionLog" Target="revisionLog62.xml"/><Relationship Id="rId83" Type="http://schemas.openxmlformats.org/officeDocument/2006/relationships/revisionLog" Target="revisionLog83.xml"/><Relationship Id="rId88" Type="http://schemas.openxmlformats.org/officeDocument/2006/relationships/revisionLog" Target="revisionLog88.xml"/><Relationship Id="rId111" Type="http://schemas.openxmlformats.org/officeDocument/2006/relationships/revisionLog" Target="revisionLog111.xml"/><Relationship Id="rId132" Type="http://schemas.openxmlformats.org/officeDocument/2006/relationships/revisionLog" Target="revisionLog132.xml"/><Relationship Id="rId153" Type="http://schemas.openxmlformats.org/officeDocument/2006/relationships/revisionLog" Target="revisionLog153.xml"/><Relationship Id="rId174" Type="http://schemas.openxmlformats.org/officeDocument/2006/relationships/revisionLog" Target="revisionLog174.xml"/><Relationship Id="rId179" Type="http://schemas.openxmlformats.org/officeDocument/2006/relationships/revisionLog" Target="revisionLog179.xml"/><Relationship Id="rId195" Type="http://schemas.openxmlformats.org/officeDocument/2006/relationships/revisionLog" Target="revisionLog195.xml"/><Relationship Id="rId209" Type="http://schemas.openxmlformats.org/officeDocument/2006/relationships/revisionLog" Target="revisionLog209.xml"/><Relationship Id="rId190" Type="http://schemas.openxmlformats.org/officeDocument/2006/relationships/revisionLog" Target="revisionLog190.xml"/><Relationship Id="rId204" Type="http://schemas.openxmlformats.org/officeDocument/2006/relationships/revisionLog" Target="revisionLog204.xml"/><Relationship Id="rId220" Type="http://schemas.openxmlformats.org/officeDocument/2006/relationships/revisionLog" Target="revisionLog220.xml"/><Relationship Id="rId225" Type="http://schemas.openxmlformats.org/officeDocument/2006/relationships/revisionLog" Target="revisionLog225.xml"/><Relationship Id="rId241" Type="http://schemas.openxmlformats.org/officeDocument/2006/relationships/revisionLog" Target="revisionLog241.xml"/><Relationship Id="rId246" Type="http://schemas.openxmlformats.org/officeDocument/2006/relationships/revisionLog" Target="revisionLog246.xml"/><Relationship Id="rId267" Type="http://schemas.openxmlformats.org/officeDocument/2006/relationships/revisionLog" Target="revisionLog267.xml"/><Relationship Id="rId288" Type="http://schemas.openxmlformats.org/officeDocument/2006/relationships/revisionLog" Target="revisionLog288.xml"/><Relationship Id="rId15" Type="http://schemas.openxmlformats.org/officeDocument/2006/relationships/revisionLog" Target="revisionLog15.xml"/><Relationship Id="rId36" Type="http://schemas.openxmlformats.org/officeDocument/2006/relationships/revisionLog" Target="revisionLog36.xml"/><Relationship Id="rId57" Type="http://schemas.openxmlformats.org/officeDocument/2006/relationships/revisionLog" Target="revisionLog57.xml"/><Relationship Id="rId106" Type="http://schemas.openxmlformats.org/officeDocument/2006/relationships/revisionLog" Target="revisionLog106.xml"/><Relationship Id="rId127" Type="http://schemas.openxmlformats.org/officeDocument/2006/relationships/revisionLog" Target="revisionLog127.xml"/><Relationship Id="rId262" Type="http://schemas.openxmlformats.org/officeDocument/2006/relationships/revisionLog" Target="revisionLog262.xml"/><Relationship Id="rId283" Type="http://schemas.openxmlformats.org/officeDocument/2006/relationships/revisionLog" Target="revisionLog283.xml"/><Relationship Id="rId313" Type="http://schemas.openxmlformats.org/officeDocument/2006/relationships/revisionLog" Target="revisionLog313.xml"/><Relationship Id="rId318" Type="http://schemas.openxmlformats.org/officeDocument/2006/relationships/revisionLog" Target="revisionLog318.xml"/><Relationship Id="rId10" Type="http://schemas.openxmlformats.org/officeDocument/2006/relationships/revisionLog" Target="revisionLog10.xml"/><Relationship Id="rId31" Type="http://schemas.openxmlformats.org/officeDocument/2006/relationships/revisionLog" Target="revisionLog31.xml"/><Relationship Id="rId52" Type="http://schemas.openxmlformats.org/officeDocument/2006/relationships/revisionLog" Target="revisionLog52.xml"/><Relationship Id="rId73" Type="http://schemas.openxmlformats.org/officeDocument/2006/relationships/revisionLog" Target="revisionLog73.xml"/><Relationship Id="rId78" Type="http://schemas.openxmlformats.org/officeDocument/2006/relationships/revisionLog" Target="revisionLog78.xml"/><Relationship Id="rId94" Type="http://schemas.openxmlformats.org/officeDocument/2006/relationships/revisionLog" Target="revisionLog94.xml"/><Relationship Id="rId99" Type="http://schemas.openxmlformats.org/officeDocument/2006/relationships/revisionLog" Target="revisionLog99.xml"/><Relationship Id="rId101" Type="http://schemas.openxmlformats.org/officeDocument/2006/relationships/revisionLog" Target="revisionLog101.xml"/><Relationship Id="rId122" Type="http://schemas.openxmlformats.org/officeDocument/2006/relationships/revisionLog" Target="revisionLog122.xml"/><Relationship Id="rId143" Type="http://schemas.openxmlformats.org/officeDocument/2006/relationships/revisionLog" Target="revisionLog143.xml"/><Relationship Id="rId148" Type="http://schemas.openxmlformats.org/officeDocument/2006/relationships/revisionLog" Target="revisionLog148.xml"/><Relationship Id="rId164" Type="http://schemas.openxmlformats.org/officeDocument/2006/relationships/revisionLog" Target="revisionLog164.xml"/><Relationship Id="rId169" Type="http://schemas.openxmlformats.org/officeDocument/2006/relationships/revisionLog" Target="revisionLog169.xml"/><Relationship Id="rId185" Type="http://schemas.openxmlformats.org/officeDocument/2006/relationships/revisionLog" Target="revisionLog185.xml"/><Relationship Id="rId4" Type="http://schemas.openxmlformats.org/officeDocument/2006/relationships/revisionLog" Target="revisionLog4.xml"/><Relationship Id="rId9" Type="http://schemas.openxmlformats.org/officeDocument/2006/relationships/revisionLog" Target="revisionLog9.xml"/><Relationship Id="rId180" Type="http://schemas.openxmlformats.org/officeDocument/2006/relationships/revisionLog" Target="revisionLog180.xml"/><Relationship Id="rId210" Type="http://schemas.openxmlformats.org/officeDocument/2006/relationships/revisionLog" Target="revisionLog210.xml"/><Relationship Id="rId215" Type="http://schemas.openxmlformats.org/officeDocument/2006/relationships/revisionLog" Target="revisionLog215.xml"/><Relationship Id="rId236" Type="http://schemas.openxmlformats.org/officeDocument/2006/relationships/revisionLog" Target="revisionLog236.xml"/><Relationship Id="rId257" Type="http://schemas.openxmlformats.org/officeDocument/2006/relationships/revisionLog" Target="revisionLog257.xml"/><Relationship Id="rId278" Type="http://schemas.openxmlformats.org/officeDocument/2006/relationships/revisionLog" Target="revisionLog278.xml"/><Relationship Id="rId26" Type="http://schemas.openxmlformats.org/officeDocument/2006/relationships/revisionLog" Target="revisionLog26.xml"/><Relationship Id="rId231" Type="http://schemas.openxmlformats.org/officeDocument/2006/relationships/revisionLog" Target="revisionLog231.xml"/><Relationship Id="rId252" Type="http://schemas.openxmlformats.org/officeDocument/2006/relationships/revisionLog" Target="revisionLog252.xml"/><Relationship Id="rId273" Type="http://schemas.openxmlformats.org/officeDocument/2006/relationships/revisionLog" Target="revisionLog273.xml"/><Relationship Id="rId294" Type="http://schemas.openxmlformats.org/officeDocument/2006/relationships/revisionLog" Target="revisionLog294.xml"/><Relationship Id="rId308" Type="http://schemas.openxmlformats.org/officeDocument/2006/relationships/revisionLog" Target="revisionLog308.xml"/><Relationship Id="rId47" Type="http://schemas.openxmlformats.org/officeDocument/2006/relationships/revisionLog" Target="revisionLog47.xml"/><Relationship Id="rId68" Type="http://schemas.openxmlformats.org/officeDocument/2006/relationships/revisionLog" Target="revisionLog68.xml"/><Relationship Id="rId89" Type="http://schemas.openxmlformats.org/officeDocument/2006/relationships/revisionLog" Target="revisionLog89.xml"/><Relationship Id="rId112" Type="http://schemas.openxmlformats.org/officeDocument/2006/relationships/revisionLog" Target="revisionLog112.xml"/><Relationship Id="rId133" Type="http://schemas.openxmlformats.org/officeDocument/2006/relationships/revisionLog" Target="revisionLog133.xml"/><Relationship Id="rId154" Type="http://schemas.openxmlformats.org/officeDocument/2006/relationships/revisionLog" Target="revisionLog154.xml"/><Relationship Id="rId175" Type="http://schemas.openxmlformats.org/officeDocument/2006/relationships/revisionLog" Target="revisionLog175.xml"/><Relationship Id="rId196" Type="http://schemas.openxmlformats.org/officeDocument/2006/relationships/revisionLog" Target="revisionLog196.xml"/><Relationship Id="rId200" Type="http://schemas.openxmlformats.org/officeDocument/2006/relationships/revisionLog" Target="revisionLog200.xml"/><Relationship Id="rId16" Type="http://schemas.openxmlformats.org/officeDocument/2006/relationships/revisionLog" Target="revisionLog16.xml"/><Relationship Id="rId221" Type="http://schemas.openxmlformats.org/officeDocument/2006/relationships/revisionLog" Target="revisionLog221.xml"/><Relationship Id="rId242" Type="http://schemas.openxmlformats.org/officeDocument/2006/relationships/revisionLog" Target="revisionLog242.xml"/><Relationship Id="rId263" Type="http://schemas.openxmlformats.org/officeDocument/2006/relationships/revisionLog" Target="revisionLog263.xml"/><Relationship Id="rId284" Type="http://schemas.openxmlformats.org/officeDocument/2006/relationships/revisionLog" Target="revisionLog284.xml"/><Relationship Id="rId319" Type="http://schemas.openxmlformats.org/officeDocument/2006/relationships/revisionLog" Target="revisionLog319.xml"/><Relationship Id="rId37" Type="http://schemas.openxmlformats.org/officeDocument/2006/relationships/revisionLog" Target="revisionLog37.xml"/><Relationship Id="rId58" Type="http://schemas.openxmlformats.org/officeDocument/2006/relationships/revisionLog" Target="revisionLog58.xml"/><Relationship Id="rId79" Type="http://schemas.openxmlformats.org/officeDocument/2006/relationships/revisionLog" Target="revisionLog79.xml"/><Relationship Id="rId102" Type="http://schemas.openxmlformats.org/officeDocument/2006/relationships/revisionLog" Target="revisionLog102.xml"/><Relationship Id="rId123" Type="http://schemas.openxmlformats.org/officeDocument/2006/relationships/revisionLog" Target="revisionLog123.xml"/><Relationship Id="rId144" Type="http://schemas.openxmlformats.org/officeDocument/2006/relationships/revisionLog" Target="revisionLog144.xml"/><Relationship Id="rId90" Type="http://schemas.openxmlformats.org/officeDocument/2006/relationships/revisionLog" Target="revisionLog90.xml"/><Relationship Id="rId165" Type="http://schemas.openxmlformats.org/officeDocument/2006/relationships/revisionLog" Target="revisionLog165.xml"/><Relationship Id="rId186" Type="http://schemas.openxmlformats.org/officeDocument/2006/relationships/revisionLog" Target="revisionLog186.xml"/><Relationship Id="rId211" Type="http://schemas.openxmlformats.org/officeDocument/2006/relationships/revisionLog" Target="revisionLog211.xml"/><Relationship Id="rId232" Type="http://schemas.openxmlformats.org/officeDocument/2006/relationships/revisionLog" Target="revisionLog232.xml"/><Relationship Id="rId253" Type="http://schemas.openxmlformats.org/officeDocument/2006/relationships/revisionLog" Target="revisionLog253.xml"/><Relationship Id="rId274" Type="http://schemas.openxmlformats.org/officeDocument/2006/relationships/revisionLog" Target="revisionLog274.xml"/><Relationship Id="rId295" Type="http://schemas.openxmlformats.org/officeDocument/2006/relationships/revisionLog" Target="revisionLog295.xml"/><Relationship Id="rId309" Type="http://schemas.openxmlformats.org/officeDocument/2006/relationships/revisionLog" Target="revisionLog309.xml"/><Relationship Id="rId27" Type="http://schemas.openxmlformats.org/officeDocument/2006/relationships/revisionLog" Target="revisionLog27.xml"/><Relationship Id="rId48" Type="http://schemas.openxmlformats.org/officeDocument/2006/relationships/revisionLog" Target="revisionLog48.xml"/><Relationship Id="rId69" Type="http://schemas.openxmlformats.org/officeDocument/2006/relationships/revisionLog" Target="revisionLog69.xml"/><Relationship Id="rId113" Type="http://schemas.openxmlformats.org/officeDocument/2006/relationships/revisionLog" Target="revisionLog113.xml"/><Relationship Id="rId134" Type="http://schemas.openxmlformats.org/officeDocument/2006/relationships/revisionLog" Target="revisionLog134.xml"/><Relationship Id="rId320" Type="http://schemas.openxmlformats.org/officeDocument/2006/relationships/revisionLog" Target="revisionLog320.xml"/><Relationship Id="rId80" Type="http://schemas.openxmlformats.org/officeDocument/2006/relationships/revisionLog" Target="revisionLog80.xml"/><Relationship Id="rId155" Type="http://schemas.openxmlformats.org/officeDocument/2006/relationships/revisionLog" Target="revisionLog155.xml"/><Relationship Id="rId176" Type="http://schemas.openxmlformats.org/officeDocument/2006/relationships/revisionLog" Target="revisionLog176.xml"/><Relationship Id="rId197" Type="http://schemas.openxmlformats.org/officeDocument/2006/relationships/revisionLog" Target="revisionLog197.xml"/><Relationship Id="rId201" Type="http://schemas.openxmlformats.org/officeDocument/2006/relationships/revisionLog" Target="revisionLog201.xml"/><Relationship Id="rId222" Type="http://schemas.openxmlformats.org/officeDocument/2006/relationships/revisionLog" Target="revisionLog222.xml"/><Relationship Id="rId243" Type="http://schemas.openxmlformats.org/officeDocument/2006/relationships/revisionLog" Target="revisionLog243.xml"/><Relationship Id="rId264" Type="http://schemas.openxmlformats.org/officeDocument/2006/relationships/revisionLog" Target="revisionLog264.xml"/><Relationship Id="rId285" Type="http://schemas.openxmlformats.org/officeDocument/2006/relationships/revisionLog" Target="revisionLog285.xml"/><Relationship Id="rId17" Type="http://schemas.openxmlformats.org/officeDocument/2006/relationships/revisionLog" Target="revisionLog17.xml"/><Relationship Id="rId38" Type="http://schemas.openxmlformats.org/officeDocument/2006/relationships/revisionLog" Target="revisionLog38.xml"/><Relationship Id="rId59" Type="http://schemas.openxmlformats.org/officeDocument/2006/relationships/revisionLog" Target="revisionLog59.xml"/><Relationship Id="rId103" Type="http://schemas.openxmlformats.org/officeDocument/2006/relationships/revisionLog" Target="revisionLog103.xml"/><Relationship Id="rId124" Type="http://schemas.openxmlformats.org/officeDocument/2006/relationships/revisionLog" Target="revisionLog124.xml"/><Relationship Id="rId310" Type="http://schemas.openxmlformats.org/officeDocument/2006/relationships/revisionLog" Target="revisionLog310.xml"/><Relationship Id="rId70" Type="http://schemas.openxmlformats.org/officeDocument/2006/relationships/revisionLog" Target="revisionLog70.xml"/><Relationship Id="rId91" Type="http://schemas.openxmlformats.org/officeDocument/2006/relationships/revisionLog" Target="revisionLog91.xml"/><Relationship Id="rId145" Type="http://schemas.openxmlformats.org/officeDocument/2006/relationships/revisionLog" Target="revisionLog145.xml"/><Relationship Id="rId166" Type="http://schemas.openxmlformats.org/officeDocument/2006/relationships/revisionLog" Target="revisionLog166.xml"/><Relationship Id="rId187" Type="http://schemas.openxmlformats.org/officeDocument/2006/relationships/revisionLog" Target="revisionLog187.xml"/><Relationship Id="rId1" Type="http://schemas.openxmlformats.org/officeDocument/2006/relationships/revisionLog" Target="revisionLog1.xml"/><Relationship Id="rId212" Type="http://schemas.openxmlformats.org/officeDocument/2006/relationships/revisionLog" Target="revisionLog212.xml"/><Relationship Id="rId233" Type="http://schemas.openxmlformats.org/officeDocument/2006/relationships/revisionLog" Target="revisionLog233.xml"/><Relationship Id="rId254" Type="http://schemas.openxmlformats.org/officeDocument/2006/relationships/revisionLog" Target="revisionLog254.xml"/><Relationship Id="rId28" Type="http://schemas.openxmlformats.org/officeDocument/2006/relationships/revisionLog" Target="revisionLog28.xml"/><Relationship Id="rId49" Type="http://schemas.openxmlformats.org/officeDocument/2006/relationships/revisionLog" Target="revisionLog49.xml"/><Relationship Id="rId114" Type="http://schemas.openxmlformats.org/officeDocument/2006/relationships/revisionLog" Target="revisionLog114.xml"/><Relationship Id="rId275" Type="http://schemas.openxmlformats.org/officeDocument/2006/relationships/revisionLog" Target="revisionLog275.xml"/><Relationship Id="rId296" Type="http://schemas.openxmlformats.org/officeDocument/2006/relationships/revisionLog" Target="revisionLog296.xml"/><Relationship Id="rId300" Type="http://schemas.openxmlformats.org/officeDocument/2006/relationships/revisionLog" Target="revisionLog300.xml"/><Relationship Id="rId60" Type="http://schemas.openxmlformats.org/officeDocument/2006/relationships/revisionLog" Target="revisionLog60.xml"/><Relationship Id="rId81" Type="http://schemas.openxmlformats.org/officeDocument/2006/relationships/revisionLog" Target="revisionLog81.xml"/><Relationship Id="rId135" Type="http://schemas.openxmlformats.org/officeDocument/2006/relationships/revisionLog" Target="revisionLog135.xml"/><Relationship Id="rId156" Type="http://schemas.openxmlformats.org/officeDocument/2006/relationships/revisionLog" Target="revisionLog156.xml"/><Relationship Id="rId177" Type="http://schemas.openxmlformats.org/officeDocument/2006/relationships/revisionLog" Target="revisionLog177.xml"/><Relationship Id="rId198" Type="http://schemas.openxmlformats.org/officeDocument/2006/relationships/revisionLog" Target="revisionLog198.xml"/><Relationship Id="rId202" Type="http://schemas.openxmlformats.org/officeDocument/2006/relationships/revisionLog" Target="revisionLog202.xml"/><Relationship Id="rId223" Type="http://schemas.openxmlformats.org/officeDocument/2006/relationships/revisionLog" Target="revisionLog223.xml"/><Relationship Id="rId244" Type="http://schemas.openxmlformats.org/officeDocument/2006/relationships/revisionLog" Target="revisionLog244.xml"/><Relationship Id="rId18" Type="http://schemas.openxmlformats.org/officeDocument/2006/relationships/revisionLog" Target="revisionLog18.xml"/><Relationship Id="rId39" Type="http://schemas.openxmlformats.org/officeDocument/2006/relationships/revisionLog" Target="revisionLog39.xml"/><Relationship Id="rId265" Type="http://schemas.openxmlformats.org/officeDocument/2006/relationships/revisionLog" Target="revisionLog265.xml"/><Relationship Id="rId286" Type="http://schemas.openxmlformats.org/officeDocument/2006/relationships/revisionLog" Target="revisionLog286.xml"/><Relationship Id="rId50" Type="http://schemas.openxmlformats.org/officeDocument/2006/relationships/revisionLog" Target="revisionLog50.xml"/><Relationship Id="rId104" Type="http://schemas.openxmlformats.org/officeDocument/2006/relationships/revisionLog" Target="revisionLog104.xml"/><Relationship Id="rId125" Type="http://schemas.openxmlformats.org/officeDocument/2006/relationships/revisionLog" Target="revisionLog125.xml"/><Relationship Id="rId146" Type="http://schemas.openxmlformats.org/officeDocument/2006/relationships/revisionLog" Target="revisionLog146.xml"/><Relationship Id="rId167" Type="http://schemas.openxmlformats.org/officeDocument/2006/relationships/revisionLog" Target="revisionLog167.xml"/><Relationship Id="rId188" Type="http://schemas.openxmlformats.org/officeDocument/2006/relationships/revisionLog" Target="revisionLog188.xml"/><Relationship Id="rId311" Type="http://schemas.openxmlformats.org/officeDocument/2006/relationships/revisionLog" Target="revisionLog311.xml"/><Relationship Id="rId71" Type="http://schemas.openxmlformats.org/officeDocument/2006/relationships/revisionLog" Target="revisionLog71.xml"/><Relationship Id="rId92" Type="http://schemas.openxmlformats.org/officeDocument/2006/relationships/revisionLog" Target="revisionLog92.xml"/><Relationship Id="rId213" Type="http://schemas.openxmlformats.org/officeDocument/2006/relationships/revisionLog" Target="revisionLog213.xml"/><Relationship Id="rId234" Type="http://schemas.openxmlformats.org/officeDocument/2006/relationships/revisionLog" Target="revisionLog234.xml"/><Relationship Id="rId2" Type="http://schemas.openxmlformats.org/officeDocument/2006/relationships/revisionLog" Target="revisionLog2.xml"/><Relationship Id="rId29" Type="http://schemas.openxmlformats.org/officeDocument/2006/relationships/revisionLog" Target="revisionLog29.xml"/><Relationship Id="rId255" Type="http://schemas.openxmlformats.org/officeDocument/2006/relationships/revisionLog" Target="revisionLog255.xml"/><Relationship Id="rId276" Type="http://schemas.openxmlformats.org/officeDocument/2006/relationships/revisionLog" Target="revisionLog276.xml"/><Relationship Id="rId297" Type="http://schemas.openxmlformats.org/officeDocument/2006/relationships/revisionLog" Target="revisionLog297.xml"/><Relationship Id="rId40" Type="http://schemas.openxmlformats.org/officeDocument/2006/relationships/revisionLog" Target="revisionLog40.xml"/><Relationship Id="rId115" Type="http://schemas.openxmlformats.org/officeDocument/2006/relationships/revisionLog" Target="revisionLog115.xml"/><Relationship Id="rId136" Type="http://schemas.openxmlformats.org/officeDocument/2006/relationships/revisionLog" Target="revisionLog136.xml"/><Relationship Id="rId157" Type="http://schemas.openxmlformats.org/officeDocument/2006/relationships/revisionLog" Target="revisionLog157.xml"/><Relationship Id="rId178" Type="http://schemas.openxmlformats.org/officeDocument/2006/relationships/revisionLog" Target="revisionLog178.xml"/><Relationship Id="rId301" Type="http://schemas.openxmlformats.org/officeDocument/2006/relationships/revisionLog" Target="revisionLog301.xml"/><Relationship Id="rId61" Type="http://schemas.openxmlformats.org/officeDocument/2006/relationships/revisionLog" Target="revisionLog61.xml"/><Relationship Id="rId82" Type="http://schemas.openxmlformats.org/officeDocument/2006/relationships/revisionLog" Target="revisionLog82.xml"/><Relationship Id="rId199" Type="http://schemas.openxmlformats.org/officeDocument/2006/relationships/revisionLog" Target="revisionLog199.xml"/><Relationship Id="rId203" Type="http://schemas.openxmlformats.org/officeDocument/2006/relationships/revisionLog" Target="revisionLog203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176010C6-2A4B-4C2D-90F8-C6A45A5F40A4}" diskRevisions="1" revisionId="4088" version="320">
  <header guid="{D99242AA-E93B-48C8-933E-7D36FDF32DCA}" dateTime="2020-03-31T11:40:55" maxSheetId="12" userName="EXTERNAL Nguyen Tuan Duong (Ban Vien, RBVH/EPS45)" r:id="rId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84B23E4-818E-4BF7-BA50-8805169122BA}" dateTime="2020-03-31T11:44:35" maxSheetId="12" userName="EXTERNAL Nguyen Tuan Duong (Ban Vien, RBVH/EPS45)" r:id="rId2" minRId="1" maxRId="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5BC3CEB-FB29-4DF1-85B4-BA2678DB4FBB}" dateTime="2020-03-31T11:44:47" maxSheetId="12" userName="EXTERNAL Nguyen Tuan Duong (Ban Vien, RBVH/EPS45)" r:id="rId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E1945C9-891F-4E15-A1D2-21482E3B3455}" dateTime="2020-03-31T11:45:05" maxSheetId="12" userName="EXTERNAL Nguyen Tuan Duong (Ban Vien, RBVH/EPS45)" r:id="rId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2930198-A514-4885-B730-BFA980947E5E}" dateTime="2020-03-31T11:45:37" maxSheetId="12" userName="EXTERNAL Nguyen Tuan Duong (Ban Vien, RBVH/EPS45)" r:id="rId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BBB75C0-58B0-4721-ADD1-997002E785F7}" dateTime="2020-03-31T11:48:00" maxSheetId="12" userName="EXTERNAL Nguyen Kim Thanh (Ban Vien, RBVH/EPS45)" r:id="rId6" minRId="19" maxRId="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6D290BA-DF76-4C76-9009-2E9A271B6552}" dateTime="2020-03-31T13:57:40" maxSheetId="12" userName="EXTERNAL Nguyen Tuan Duong (Ban Vien, RBVH/EPS45)" r:id="rId7" minRId="25" maxRId="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41EDB6E-8E4D-4608-B4A1-21E30C66EDD5}" dateTime="2020-03-31T14:03:35" maxSheetId="12" userName="EXTERNAL Do Phu Loc (Ban Vien, RBVH/EPS45)" r:id="rId8" minRId="28" maxRId="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D0F1C0A-2E98-4FDC-B46F-92C762C1BD67}" dateTime="2020-03-31T14:22:59" maxSheetId="12" userName="EXTERNAL Nguyen Tuan Duong (Ban Vien, RBVH/EPS45)" r:id="rId9" minRId="4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14108E-8529-40AE-B6F3-EA5199EFB2F9}" dateTime="2020-03-31T14:33:49" maxSheetId="12" userName="EXTERNAL Nguyen Tuan Duong (Ban Vien, RBVH/EPS45)" r:id="rId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457FFC1-1BDB-48EE-974A-6F222809C016}" dateTime="2020-03-31T14:34:37" maxSheetId="12" userName="EXTERNAL Nguyen Tuan Duong (Ban Vien, RBVH/EPS45)" r:id="rId11" minRId="48" maxRId="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DC677BA-EC7D-4393-913B-02992387BABE}" dateTime="2020-03-31T14:38:19" maxSheetId="12" userName="EXTERNAL Do Phu Loc (Ban Vien, RBVH/EPS45)" r:id="rId12" minRId="60" maxRId="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B56F127-2C40-4B7B-AC53-43D65DFE32E5}" dateTime="2020-03-31T14:38:42" maxSheetId="12" userName="EXTERNAL Do Phu Loc (Ban Vien, RBVH/EPS45)" r:id="rId13" minRId="67" maxRId="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371DEE4-7C0F-4B4A-A3B2-DEEBFDD18D9A}" dateTime="2020-03-31T14:39:27" maxSheetId="12" userName="EXTERNAL Do Phu Loc (Ban Vien, RBVH/EPS45)" r:id="rId14" minRId="7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8AA5EB5-BA24-4FEA-BDA5-03A01505953B}" dateTime="2020-03-31T14:58:53" maxSheetId="12" userName="EXTERNAL Ly Chung (Ban Vien, RBVH/EPS45)" r:id="rId15" minRId="7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950F6DE-B387-445D-89D8-29D5B1181F9D}" dateTime="2020-03-31T15:24:56" maxSheetId="12" userName="EXTERNAL Do Phu Loc (Ban Vien, RBVH/EPS45)" r:id="rId16" minRId="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407D113-BC75-4DE0-9B2A-D10090F0F3A7}" dateTime="2020-03-31T15:25:00" maxSheetId="12" userName="EXTERNAL Do Phu Loc (Ban Vien, RBVH/EPS45)" r:id="rId1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027019-BE40-43B1-9FA2-6CC1F4846DE2}" dateTime="2020-03-31T15:25:20" maxSheetId="12" userName="EXTERNAL Do Phu Loc (Ban Vien, RBVH/EPS45)" r:id="rId18" minRId="77" maxRId="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AA7C1F0-7533-4080-9A05-7D4565FD4D07}" dateTime="2020-03-31T15:26:35" maxSheetId="12" userName="EXTERNAL Do Phu Loc (Ban Vien, RBVH/EPS45)" r:id="rId19" minRId="9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D6C1EED-E112-451A-8ECF-9F87769A3BE8}" dateTime="2020-03-31T15:37:30" maxSheetId="12" userName="EXTERNAL Do Phu Loc (Ban Vien, RBVH/EPS45)" r:id="rId20" minRId="94" maxRId="1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DDCDA44-0E9C-4714-A979-F8C7F2D6D751}" dateTime="2020-03-31T15:53:20" maxSheetId="12" userName="EXTERNAL Do Phu Loc (Ban Vien, RBVH/EPS45)" r:id="rId21" minRId="108" maxRId="1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58B5299-F3B9-4511-818E-00E05E32F97D}" dateTime="2020-03-31T16:26:27" maxSheetId="12" userName="EXTERNAL Do Phu Loc (Ban Vien, RBVH/EPS45)" r:id="rId22" minRId="111" maxRId="1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6521069-8A69-4CB8-A43B-E468D295EC37}" dateTime="2020-03-31T16:26:36" maxSheetId="12" userName="EXTERNAL Do Phu Loc (Ban Vien, RBVH/EPS45)" r:id="rId23" minRId="12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DD36FEB-7326-4A4D-9376-01C7169203E4}" dateTime="2020-03-31T16:48:21" maxSheetId="12" userName="EXTERNAL Nguyen Kim Thanh (Ban Vien, RBVH/EPS45)" r:id="rId24" minRId="126" maxRId="14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7392201-50DA-402F-B437-777780EA297A}" dateTime="2020-03-31T16:48:29" maxSheetId="12" userName="EXTERNAL Nguyen Kim Thanh (Ban Vien, RBVH/EPS45)" r:id="rId25" minRId="1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F0C46B2-3CC9-45A8-A754-FAAA0FD263B3}" dateTime="2020-03-31T16:50:42" maxSheetId="12" userName="EXTERNAL Do Phu Loc (Ban Vien, RBVH/EPS45)" r:id="rId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F092C39-8918-4B7F-B26C-0C1F697FAFA3}" dateTime="2020-04-01T08:58:59" maxSheetId="12" userName="EXTERNAL Nguyen Tuan Duong (Ban Vien, RBVH/EPS45)" r:id="rId27" minRId="155" maxRId="47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01CFB5-D0A7-44A8-8E2C-912DAF6FE701}" dateTime="2020-04-01T08:59:52" maxSheetId="12" userName="EXTERNAL Nguyen Tuan Duong (Ban Vien, RBVH/EPS45)" r:id="rId28" minRId="481" maxRId="48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98AB5B7-BC57-45A9-9F7C-690B569B2F2E}" dateTime="2020-04-01T09:02:05" maxSheetId="12" userName="EXTERNAL Nguyen Tuan Duong (Ban Vien, RBVH/EPS45)" r:id="rId29" minRId="489" maxRId="6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E15D66B-38E8-43DE-97D4-4EB642CC6AD8}" dateTime="2020-04-01T09:02:33" maxSheetId="12" userName="EXTERNAL Nguyen Tuan Duong (Ban Vien, RBVH/EPS45)" r:id="rId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ECC5B5-D0C9-4354-9704-50878A290B0A}" dateTime="2020-04-01T09:07:50" maxSheetId="12" userName="EXTERNAL Nguyen Tuan Duong (Ban Vien, RBVH/EPS45)" r:id="rId31" minRId="657" maxRId="6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A543AAC-3030-4724-9CF8-8483965481B8}" dateTime="2020-04-01T09:09:39" maxSheetId="12" userName="EXTERNAL Nguyen Tuan Duong (Ban Vien, RBVH/EPS45)" r:id="rId32" minRId="690" maxRId="69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5B9791-9FB5-4ACA-9F2B-20E5D96B3BDB}" dateTime="2020-04-01T09:09:52" maxSheetId="12" userName="EXTERNAL Nguyen Tuan Duong (Ban Vien, RBVH/EPS45)" r:id="rId33" minRId="700" maxRId="7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0BCD1CA-2132-4EB5-9096-A8E5BAF736EE}" dateTime="2020-04-01T09:10:26" maxSheetId="12" userName="EXTERNAL Nguyen Tuan Duong (Ban Vien, RBVH/EPS45)" r:id="rId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A03BE93-D78D-48BD-91A7-F6B92F394DA9}" dateTime="2020-04-01T09:12:04" maxSheetId="12" userName="EXTERNAL Nguyen Tuan Duong (Ban Vien, RBVH/EPS45)" r:id="rId35" minRId="762" maxRId="7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7ABC2C0-90CA-45A3-82D7-EFEEB8D2A1D9}" dateTime="2020-04-01T09:13:25" maxSheetId="12" userName="EXTERNAL Nguyen Tuan Duong (Ban Vien, RBVH/EPS45)" r:id="rId36" minRId="767" maxRId="76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1B19DD8-936D-4A58-9C39-2F5D563556EE}" dateTime="2020-04-01T09:13:54" maxSheetId="12" userName="EXTERNAL Nguyen Tuan Duong (Ban Vien, RBVH/EPS45)" r:id="rId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1EDE70-665E-4C0C-A197-CBFAE05C3601}" dateTime="2020-04-01T09:14:17" maxSheetId="12" userName="EXTERNAL Nguyen Tuan Duong (Ban Vien, RBVH/EPS45)" r:id="rId3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79F9A80-0829-4972-B3D1-1C0A039C769E}" dateTime="2020-04-01T09:14:24" maxSheetId="12" userName="EXTERNAL Nguyen Tuan Duong (Ban Vien, RBVH/EPS45)" r:id="rId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4A00557-CB3F-4933-AB63-E4E7D13CDFF8}" dateTime="2020-04-01T09:15:03" maxSheetId="12" userName="EXTERNAL Nguyen Tuan Duong (Ban Vien, RBVH/EPS45)" r:id="rId40" minRId="7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392588B-B373-4604-A08F-B7C1BE0A251B}" dateTime="2020-04-01T10:42:18" maxSheetId="12" userName="EXTERNAL Nguyen Tuan Duong (Ban Vien, RBVH/EPS45)" r:id="rId41" minRId="783" maxRId="7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313381-40B7-4E1A-B855-4194A99C144A}" dateTime="2020-04-01T10:47:08" maxSheetId="12" userName="EXTERNAL Nguyen Tuan Duong (Ban Vien, RBVH/EPS45)" r:id="rId4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03CAC0A-936B-4046-8559-ED95DA971636}" dateTime="2020-04-01T10:47:21" maxSheetId="12" userName="EXTERNAL Do Phu Loc (Ban Vien, RBVH/EPS45)" r:id="rId43" minRId="7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C61A3D2-4996-4FDF-88BE-CA0D5493AE17}" dateTime="2020-04-01T10:54:51" maxSheetId="12" userName="EXTERNAL Nguyen Tuan Duong (Ban Vien, RBVH/EPS45)" r:id="rId44" minRId="803" maxRId="8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7C84692-6751-405E-8BCB-F148CE2DDC6F}" dateTime="2020-04-01T10:58:37" maxSheetId="12" userName="EXTERNAL Do Phu Loc (Ban Vien, RBVH/EPS45)" r:id="rId45" minRId="808" maxRId="81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C43BA77-7799-4ECF-8E26-C613EC807381}" dateTime="2020-04-01T11:02:15" maxSheetId="12" userName="EXTERNAL Do Phu Loc (Ban Vien, RBVH/EPS45)" r:id="rId46" minRId="821" maxRId="84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979A136-8161-4178-B12C-00D3A327328A}" dateTime="2020-04-01T11:02:38" maxSheetId="12" userName="EXTERNAL Do Phu Loc (Ban Vien, RBVH/EPS45)" r:id="rId4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4F35AFD-9FD4-4128-860A-92F645B9AD6B}" dateTime="2020-04-01T11:04:07" maxSheetId="12" userName="EXTERNAL Do Phu Loc (Ban Vien, RBVH/EPS45)" r:id="rId48" minRId="856" maxRId="87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BD36880-1516-4376-A2CF-A7FC914FA378}" dateTime="2020-04-01T11:06:19" maxSheetId="12" userName="EXTERNAL Nguyen Tuan Duong (Ban Vien, RBVH/EPS45)" r:id="rId49" minRId="881" maxRId="8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8C3291B-C17F-490C-88B1-37B6AA12D416}" dateTime="2020-04-01T11:06:47" maxSheetId="12" userName="EXTERNAL Nguyen Tuan Duong (Ban Vien, RBVH/EPS45)" r:id="rId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F42F972-2E66-414E-8B9C-38AB9F79BF36}" dateTime="2020-04-01T11:07:41" maxSheetId="12" userName="EXTERNAL Nguyen Tuan Duong (Ban Vien, RBVH/EPS45)" r:id="rId5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A9D337F-C69C-4C8D-BDFB-DBAD7721F7D1}" dateTime="2020-04-01T11:07:47" maxSheetId="12" userName="EXTERNAL Nguyen Tuan Duong (Ban Vien, RBVH/EPS45)" r:id="rId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2EAB546-77A8-491F-B339-30EECD27A352}" dateTime="2020-04-01T11:07:51" maxSheetId="12" userName="EXTERNAL Nguyen Kim Thanh (Ban Vien, RBVH/EPS45)" r:id="rId53" minRId="897" maxRId="9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E4500B5-549C-4994-ABA1-E6A9441D3E69}" dateTime="2020-04-01T11:07:59" maxSheetId="12" userName="EXTERNAL Nguyen Tuan Duong (Ban Vien, RBVH/EPS45)" r:id="rId54" minRId="9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5895BF4-0294-477D-8677-ED7B5B8080AC}" dateTime="2020-04-01T11:08:45" maxSheetId="12" userName="EXTERNAL Nguyen Tuan Duong (Ban Vien, RBVH/EPS45)" r:id="rId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273EBDA-544E-4EF2-BC74-9571A10DD7F0}" dateTime="2020-04-01T11:08:52" maxSheetId="12" userName="EXTERNAL Nguyen Kim Thanh (Ban Vien, RBVH/EPS45)" r:id="rId56" minRId="917" maxRId="9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4472A46-2359-4E85-B2FF-0335F0386CCD}" dateTime="2020-04-01T11:10:47" maxSheetId="12" userName="EXTERNAL Nguyen Kim Thanh (Ban Vien, RBVH/EPS45)" r:id="rId57" minRId="931" maxRId="94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7C596BD-4478-450E-9CB3-AED6A163598E}" dateTime="2020-04-01T11:15:16" maxSheetId="12" userName="EXTERNAL Nguyen Tuan Duong (Ban Vien, RBVH/EPS45)" r:id="rId58" minRId="944" maxRId="9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2FB4B74-03AF-44F3-812F-4DF79ABE0E40}" dateTime="2020-04-01T11:23:33" maxSheetId="12" userName="EXTERNAL Do Phu Loc (Ban Vien, RBVH/EPS45)" r:id="rId59" minRId="9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06A9003-11E5-4528-A450-FC5C9F98C702}" dateTime="2020-04-01T11:27:36" maxSheetId="12" userName="EXTERNAL Do Phu Loc (Ban Vien, RBVH/EPS45)" r:id="rId60" minRId="9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CF8B6E-2357-43DB-BD4D-0B180924F225}" dateTime="2020-04-01T11:29:28" maxSheetId="12" userName="EXTERNAL Do Phu Loc (Ban Vien, RBVH/EPS45)" r:id="rId61" minRId="957" maxRId="9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CF6985E-4E45-450B-B4C4-84F8F2A4DB2F}" dateTime="2020-04-01T12:00:47" maxSheetId="12" userName="EXTERNAL Do Phu Loc (Ban Vien, RBVH/EPS45)" r:id="rId62" minRId="980" maxRId="98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6A60BB2-6EEA-4B16-93BC-D74CB560FF9A}" dateTime="2020-04-01T12:12:09" maxSheetId="12" userName="EXTERNAL Do Phu Loc (Ban Vien, RBVH/EPS45)" r:id="rId63" minRId="9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CB643F9-61EE-45D6-B86B-0B08A4B40A5F}" dateTime="2020-04-01T14:13:38" maxSheetId="12" userName="EXTERNAL Do Phu Loc (Ban Vien, RBVH/EPS45)" r:id="rId64" minRId="987" maxRId="9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2E8AA42-6449-42C3-BCDE-D0BC86A3B34A}" dateTime="2020-04-01T14:54:06" maxSheetId="12" userName="EXTERNAL Do Phu Loc (Ban Vien, RBVH/EPS45)" r:id="rId65" minRId="1001" maxRId="102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8BB58FF-F48B-4E32-8581-C488691868D7}" dateTime="2020-04-01T15:03:22" maxSheetId="12" userName="EXTERNAL Nguyen Kim Thanh (Ban Vien, RBVH/EPS45)" r:id="rId66" minRId="1024" maxRId="10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D1A742A-4B6F-429C-A0E6-E6F12667EB05}" dateTime="2020-04-01T15:09:29" maxSheetId="12" userName="EXTERNAL Nguyen Kim Thanh (Ban Vien, RBVH/EPS45)" r:id="rId67" minRId="1049" maxRId="10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265A42-F03D-4934-B36F-F39F2872A961}" dateTime="2020-04-01T16:51:03" maxSheetId="12" userName="EXTERNAL Nguyen Kim Thanh (Ban Vien, RBVH/EPS45)" r:id="rId68" minRId="1072" maxRId="10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68138A2-C8B4-45BB-979A-08C64C1214CB}" dateTime="2020-04-01T18:44:31" maxSheetId="12" userName="EXTERNAL Nguyen Tuan Duong (Ban Vien, RBVH/EPS45)" r:id="rId69" minRId="1087" maxRId="10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160C6C1-D39D-402F-9D23-4C17DBEA3372}" dateTime="2020-04-01T18:45:30" maxSheetId="12" userName="EXTERNAL Nguyen Tuan Duong (Ban Vien, RBVH/EPS45)" r:id="rId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0C49ABF-4D31-4748-844B-BE16F9DA3C5F}" dateTime="2020-04-03T10:23:41" maxSheetId="12" userName="EXTERNAL Do Phu Loc (Ban Vien, RBVH/EPS45)" r:id="rId71" minRId="10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8F60FD3-9EC4-44E6-80AF-FECF2D450520}" dateTime="2020-04-03T10:58:41" maxSheetId="12" userName="EXTERNAL Nguyen Tuan Duong (Ban Vien, RBVH/EPS45)" r:id="rId72" minRId="1103" maxRId="111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F0688E9-1D7F-493A-B411-5F94BCA35520}" dateTime="2020-04-03T10:59:27" maxSheetId="12" userName="EXTERNAL Nguyen Tuan Duong (Ban Vien, RBVH/EPS45)" r:id="rId73" minRId="1116" maxRId="111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D8B86EB-10C4-4437-B97B-92733726D9AE}" dateTime="2020-04-03T10:59:51" maxSheetId="12" userName="EXTERNAL Nguyen Tuan Duong (Ban Vien, RBVH/EPS45)" r:id="rId7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1947C15-7C17-40FF-90F9-F87869D68085}" dateTime="2020-04-03T11:00:22" maxSheetId="12" userName="EXTERNAL Nguyen Tuan Duong (Ban Vien, RBVH/EPS45)" r:id="rId75" minRId="11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F9B9F9-C953-433E-8CD9-1F839DD33B86}" dateTime="2020-04-03T11:45:07" maxSheetId="12" userName="EXTERNAL Do Phu Loc (Ban Vien, RBVH/EPS45)" r:id="rId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9BBA7B4-CCB5-4808-80B1-4C4F3BDA1D0A}" dateTime="2020-04-03T11:57:19" maxSheetId="12" userName="EXTERNAL Nguyen Tuan Duong (Ban Vien, RBVH/EPS45)" r:id="rId77" minRId="1130" maxRId="113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821399-A0B8-432A-BA42-878E2E1A044B}" dateTime="2020-04-03T12:28:20" maxSheetId="12" userName="EXTERNAL Nguyen Tuan Duong (Ban Vien, RBVH/EPS45)" r:id="rId78" minRId="1136" maxRId="126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58088A3-5973-4443-80B9-AD43C803190F}" dateTime="2020-04-03T12:29:18" maxSheetId="12" userName="EXTERNAL Nguyen Tuan Duong (Ban Vien, RBVH/EPS45)" r:id="rId79" minRId="1265" maxRId="128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A7F82D1-A8B1-445E-A8A5-72CA517D7EE7}" dateTime="2020-04-03T12:30:04" maxSheetId="12" userName="EXTERNAL Nguyen Tuan Duong (Ban Vien, RBVH/EPS45)" r:id="rId80" minRId="1289" maxRId="13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B8F412C-A872-424C-B3CF-8AD9A23137D0}" dateTime="2020-04-03T12:30:43" maxSheetId="12" userName="EXTERNAL Nguyen Tuan Duong (Ban Vien, RBVH/EPS45)" r:id="rId8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78DFE3-FE91-4D80-83B5-B3B10CC2557B}" dateTime="2020-04-03T13:11:11" maxSheetId="12" userName="EXTERNAL Do Phu Loc (Ban Vien, RBVH/EPS45)" r:id="rId82" minRId="134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FCD74E-4791-401B-A487-6B643B63D383}" dateTime="2020-04-03T13:18:38" maxSheetId="12" userName="EXTERNAL Do Phu Loc (Ban Vien, RBVH/EPS45)" r:id="rId83" minRId="1347" maxRId="135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578236C-B717-4885-A712-7E96AAC51A04}" dateTime="2020-04-03T13:19:04" maxSheetId="12" userName="EXTERNAL Do Phu Loc (Ban Vien, RBVH/EPS45)" r:id="rId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54925D6-D59B-41D7-945C-FC6E07CC3A90}" dateTime="2020-04-03T13:26:56" maxSheetId="12" userName="EXTERNAL Do Phu Loc (Ban Vien, RBVH/EPS45)" r:id="rId85" minRId="1360" maxRId="136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5472608-8E86-44F4-933D-F4454A01DE41}" dateTime="2020-04-03T13:28:03" maxSheetId="12" userName="EXTERNAL Do Phu Loc (Ban Vien, RBVH/EPS45)" r:id="rId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90341B1-99CE-4733-A436-A6F9A0356F8B}" dateTime="2020-04-03T13:28:25" maxSheetId="12" userName="EXTERNAL Do Phu Loc (Ban Vien, RBVH/EPS45)" r:id="rId8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65FD303-A43F-4F9B-9334-8251A7744B7B}" dateTime="2020-04-03T13:48:07" maxSheetId="12" userName="EXTERNAL Do Phu Loc (Ban Vien, RBVH/EPS45)" r:id="rId88" minRId="1371" maxRId="13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8567857-7288-4A3D-8636-EF9A8CB3EA86}" dateTime="2020-04-03T13:50:43" maxSheetId="12" userName="EXTERNAL Nguyen Tuan Duong (Ban Vien, RBVH/EPS45)" r:id="rId89" minRId="1396" maxRId="139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CD4C675-0A47-47A2-8C22-63700C0AD12F}" dateTime="2020-04-03T13:59:44" maxSheetId="12" userName="EXTERNAL Nguyen Kim Thanh (Ban Vien, RBVH/EPS45)" r:id="rId90" minRId="1402" maxRId="140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7EB66DB-75BC-4395-B3F0-A21A8B49C0D9}" dateTime="2020-04-03T16:22:34" maxSheetId="12" userName="EXTERNAL Nguyen Tuan Duong (Ban Vien, RBVH/EPS45)" r:id="rId91" minRId="1413" maxRId="14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E7AC824-223F-44D2-96AC-9BF6375DCF5A}" dateTime="2020-04-03T16:31:11" maxSheetId="12" userName="EXTERNAL Nguyen Tuan Duong (Ban Vien, RBVH/EPS45)" r:id="rId92" minRId="1443" maxRId="14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FEB1F00-8DCB-4E20-A665-3039970A5771}" dateTime="2020-04-03T16:31:57" maxSheetId="12" userName="EXTERNAL Nguyen Tuan Duong (Ban Vien, RBVH/EPS45)" r:id="rId9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D73D697-A6C3-4EC4-8D1D-87EF928AD311}" dateTime="2020-04-03T16:35:00" maxSheetId="12" userName="EXTERNAL Do Phu Loc (Ban Vien, RBVH/EPS45)" r:id="rId94" minRId="1486" maxRId="149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EF87F5E-D793-4FFA-926E-703693A19468}" dateTime="2020-04-03T16:46:51" maxSheetId="12" userName="EXTERNAL Nguyen Tuan Duong (Ban Vien, RBVH/EPS45)" r:id="rId95" minRId="1497" maxRId="157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DC0E37D-2D64-49A1-BF48-A405756EB517}" dateTime="2020-04-03T16:53:22" maxSheetId="12" userName="EXTERNAL Do Phu Loc (Ban Vien, RBVH/EPS45)" r:id="rId96" minRId="1577" maxRId="15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B359153-1CB7-4851-A088-D77478B3EAC7}" dateTime="2020-04-03T16:54:15" maxSheetId="12" userName="EXTERNAL Do Phu Loc (Ban Vien, RBVH/EPS45)" r:id="rId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414F82E-A0DC-4355-B604-BDE5EA9139FB}" dateTime="2020-04-03T16:57:36" maxSheetId="12" userName="EXTERNAL Nguyen Tuan Duong (Ban Vien, RBVH/EPS45)" r:id="rId98" minRId="1593" maxRId="16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4C6E62B-EF4D-4589-B163-74DF1E189243}" dateTime="2020-04-03T16:58:30" maxSheetId="12" userName="EXTERNAL Nguyen Tuan Duong (Ban Vien, RBVH/EPS45)" r:id="rId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A9C8C4A-428E-45BF-9548-35FF4A7C2E7F}" dateTime="2020-04-03T17:22:00" maxSheetId="12" userName="EXTERNAL Do Phu Loc (Ban Vien, RBVH/EPS45)" r:id="rId100" minRId="16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DE0A2B1-C3F6-4E35-B04A-A405481F4099}" dateTime="2020-04-03T17:22:57" maxSheetId="12" userName="EXTERNAL Nguyen Tuan Duong (Ban Vien, RBVH/EPS45)" r:id="rId101" minRId="1690" maxRId="175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4525D79-0789-435C-96A7-0FA0A29FB640}" dateTime="2020-04-03T17:23:09" maxSheetId="12" userName="EXTERNAL Nguyen Tuan Duong (Ban Vien, RBVH/EPS45)" r:id="rId10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D376BB4-9D0D-4DA4-8DA9-A1F251E31DA9}" dateTime="2020-04-03T17:29:33" maxSheetId="12" userName="EXTERNAL Nguyen Tuan Duong (Ban Vien, RBVH/EPS45)" r:id="rId103" minRId="1762" maxRId="182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8D2D770-DC60-46A2-BC90-68577CB282E5}" dateTime="2020-04-03T17:37:29" maxSheetId="12" userName="EXTERNAL Nguyen Tuan Duong (Ban Vien, RBVH/EPS45)" r:id="rId104" minRId="1829" maxRId="18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683CBA4-F364-43D9-94CA-E9FB36671DF3}" dateTime="2020-04-03T17:37:39" maxSheetId="12" userName="EXTERNAL Nguyen Kim Thanh (Ban Vien, RBVH/EPS45)" r:id="rId105" minRId="1835" maxRId="183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D979094-D2BF-41E6-A15D-5DF12F7C749F}" dateTime="2020-04-03T17:37:40" maxSheetId="12" userName="EXTERNAL Nguyen Tuan Duong (Ban Vien, RBVH/EPS45)" r:id="rId1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8575E3C-7CD7-4F3E-B25D-F3CE832563E1}" dateTime="2020-04-03T17:40:21" maxSheetId="12" userName="EXTERNAL Nguyen Kim Thanh (Ban Vien, RBVH/EPS45)" r:id="rId107" minRId="1845" maxRId="18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2AE9F89-7D15-4BD4-9215-8D9A188908C3}" dateTime="2020-04-06T09:37:33" maxSheetId="12" userName="EXTERNAL Do Phu Loc (Ban Vien, RBVH/EPS45)" r:id="rId10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4D2785-7817-4CAF-8740-6A656A1B9906}" dateTime="2020-04-06T09:39:09" maxSheetId="12" userName="EXTERNAL Ly Chung (Ban Vien, RBVH/EPS45)" r:id="rId109" minRId="1857" maxRId="186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756FA5D-148F-4747-94DF-8FE600015834}" dateTime="2020-04-06T09:39:22" maxSheetId="12" userName="EXTERNAL Ly Chung (Ban Vien, RBVH/EPS45)" r:id="rId110" minRId="186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1E6ED9D-03EC-40B6-BDDF-CD1B2D338382}" dateTime="2020-04-06T09:39:40" maxSheetId="12" userName="EXTERNAL Nguyen Tuan Duong (Ban Vien, RBVH/EPS45)" r:id="rId111" minRId="1866" maxRId="187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F4719B2-4DB8-4E53-9F90-C0A97BF80597}" dateTime="2020-04-06T10:14:53" maxSheetId="12" userName="EXTERNAL Nguyen Tuan Duong (Ban Vien, RBVH/EPS45)" r:id="rId112" minRId="1882" maxRId="18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C9CBABB-3D8D-475F-846E-2F75764566E0}" dateTime="2020-04-06T10:15:20" maxSheetId="12" userName="EXTERNAL Nguyen Tuan Duong (Ban Vien, RBVH/EPS45)" r:id="rId113" minRId="1901" maxRId="191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3239599-89D3-43A0-9B88-2984CD050C85}" dateTime="2020-04-06T10:16:53" maxSheetId="12" userName="EXTERNAL Nguyen Tuan Duong (Ban Vien, RBVH/EPS45)" r:id="rId114" minRId="1916" maxRId="193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DD448B-06B3-482E-A905-6013DB7D110D}" dateTime="2020-04-06T10:19:27" maxSheetId="12" userName="EXTERNAL Nguyen Tuan Duong (Ban Vien, RBVH/EPS45)" r:id="rId115" minRId="1940" maxRId="19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9F579A9-29F1-43A5-A9EC-40CC1EF0508E}" dateTime="2020-04-06T10:20:06" maxSheetId="12" userName="EXTERNAL Nguyen Tuan Duong (Ban Vien, RBVH/EPS45)" r:id="rId116" minRId="1959" maxRId="196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952EDEF-677C-4666-A0EC-280D9F47CEF0}" dateTime="2020-04-06T10:20:30" maxSheetId="12" userName="EXTERNAL Nguyen Tuan Duong (Ban Vien, RBVH/EPS45)" r:id="rId117" minRId="1973" maxRId="19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D46547-7923-49CF-91E7-F898181D9101}" dateTime="2020-04-06T10:22:03" maxSheetId="12" userName="EXTERNAL Ly Chung (Ban Vien, RBVH/EPS45)" r:id="rId118" minRId="1983" maxRId="198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E7164C6-6586-44C9-977C-759F5589B23D}" dateTime="2020-04-06T10:22:19" maxSheetId="12" userName="EXTERNAL Ly Chung (Ban Vien, RBVH/EPS45)" r:id="rId119" minRId="1993" maxRId="199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AC15551-2490-482A-95AB-F2CD6321DDE4}" dateTime="2020-04-06T10:22:53" maxSheetId="12" userName="EXTERNAL Ly Chung (Ban Vien, RBVH/EPS45)" r:id="rId120" minRId="19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78BA7C3-A18E-4E2D-AC35-8DDC5D78FBC8}" dateTime="2020-04-06T10:35:46" maxSheetId="12" userName="EXTERNAL Nguyen Tuan Duong (Ban Vien, RBVH/EPS45)" r:id="rId121" minRId="2000" maxRId="20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4EECECA-3AD4-48F6-9EA6-1852B5564560}" dateTime="2020-04-06T10:36:09" maxSheetId="12" userName="EXTERNAL Nguyen Tuan Duong (Ban Vien, RBVH/EPS45)" r:id="rId122" minRId="2010" maxRId="201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1084EDB-A05C-43E6-931C-73E753E944B3}" dateTime="2020-04-06T10:42:51" maxSheetId="12" userName="EXTERNAL Nguyen Tuan Duong (Ban Vien, RBVH/EPS45)" r:id="rId123" minRId="2015" maxRId="205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6CB527-51E8-4FD5-9ECF-544AD305969F}" dateTime="2020-04-06T10:43:24" maxSheetId="12" userName="EXTERNAL Nguyen Tuan Duong (Ban Vien, RBVH/EPS45)" r:id="rId124" minRId="2057" maxRId="20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5769B7C-D9CE-4E79-BBC3-FEF0AAFFC91C}" dateTime="2020-04-06T10:43:33" maxSheetId="12" userName="EXTERNAL Nguyen Tuan Duong (Ban Vien, RBVH/EPS45)" r:id="rId125" minRId="2080" maxRId="20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8F5857F-67DF-4EA7-A505-88690CAB7D3D}" dateTime="2020-04-06T10:43:56" maxSheetId="12" userName="EXTERNAL Nguyen Tuan Duong (Ban Vien, RBVH/EPS45)" r:id="rId126" minRId="2088" maxRId="20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19D2565-48DD-4F6C-9C42-B30041564A32}" dateTime="2020-04-06T10:44:02" maxSheetId="12" userName="EXTERNAL Nguyen Tuan Duong (Ban Vien, RBVH/EPS45)" r:id="rId127" minRId="2096" maxRId="210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825DC07-127D-4833-B914-206638517070}" dateTime="2020-04-06T10:44:31" maxSheetId="12" userName="EXTERNAL Nguyen Tuan Duong (Ban Vien, RBVH/EPS45)" r:id="rId128" minRId="2105" maxRId="21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DC339C6-4B24-4654-8DBA-83ED7DDA3DDD}" dateTime="2020-04-06T10:45:37" maxSheetId="12" userName="EXTERNAL Nguyen Tuan Duong (Ban Vien, RBVH/EPS45)" r:id="rId129" minRId="2110" maxRId="21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9EF6050-3C20-4AE0-B89C-5BC996B4FABF}" dateTime="2020-04-06T10:47:55" maxSheetId="12" userName="EXTERNAL Nguyen Tuan Duong (Ban Vien, RBVH/EPS45)" r:id="rId130" minRId="2131" maxRId="21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A6959F1-1451-4912-B208-C0B804106850}" dateTime="2020-04-06T10:48:39" maxSheetId="12" userName="EXTERNAL Nguyen Kim Thanh (Ban Vien, RBVH/EPS45)" r:id="rId13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34C8E94-BEC3-4DE2-A54B-46693E185744}" dateTime="2020-04-06T11:20:55" maxSheetId="12" userName="EXTERNAL Ly Chung (Ban Vien, RBVH/EPS45)" r:id="rId132" minRId="214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D1DF38E-E4C5-4CA7-842C-DAE6FBBC2ACB}" dateTime="2020-04-06T11:21:18" maxSheetId="12" userName="EXTERNAL Ly Chung (Ban Vien, RBVH/EPS45)" r:id="rId133" minRId="2143" maxRId="214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E31C6D0-0E69-4640-9B78-A0B83F720C82}" dateTime="2020-04-06T11:23:40" maxSheetId="12" userName="EXTERNAL Nguyen Tuan Duong (Ban Vien, RBVH/EPS45)" r:id="rId134" minRId="2151" maxRId="21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66A7DF6-3880-4179-BBC5-6A678F2BF85B}" dateTime="2020-04-06T11:24:12" maxSheetId="12" userName="EXTERNAL Nguyen Tuan Duong (Ban Vien, RBVH/EPS45)" r:id="rId1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42B226E-7CE2-4802-8DC1-40EB1363765C}" dateTime="2020-04-06T11:27:37" maxSheetId="12" userName="EXTERNAL Nguyen Tuan Duong (Ban Vien, RBVH/EPS45)" r:id="rId136" minRId="2159" maxRId="219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3DFA582-FC54-4B32-B580-D65AD5B429E8}" dateTime="2020-04-06T11:28:44" maxSheetId="12" userName="EXTERNAL Nguyen Tuan Duong (Ban Vien, RBVH/EPS45)" r:id="rId137" minRId="2202" maxRId="22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9FBC540-A54F-4C5E-8BB5-1BE74BDDBB96}" dateTime="2020-04-06T11:29:26" maxSheetId="12" userName="EXTERNAL Nguyen Tuan Duong (Ban Vien, RBVH/EPS45)" r:id="rId138" minRId="2252" maxRId="22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2D9637C-77AA-4544-8FE8-4DE2EED81546}" dateTime="2020-04-06T11:29:41" maxSheetId="12" userName="EXTERNAL Nguyen Tuan Duong (Ban Vien, RBVH/EPS45)" r:id="rId1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7817E09-26D4-4B43-AB24-787549F81573}" dateTime="2020-04-06T11:30:26" maxSheetId="12" userName="EXTERNAL Nguyen Tuan Duong (Ban Vien, RBVH/EPS45)" r:id="rId140" minRId="2262" maxRId="22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A28A6EB-B200-44A9-9BB1-D4AC9A67F197}" dateTime="2020-04-06T11:31:00" maxSheetId="12" userName="EXTERNAL Nguyen Tuan Duong (Ban Vien, RBVH/EPS45)" r:id="rId141" minRId="2269" maxRId="228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A7C887B-ADFE-452B-8C1B-4F1E533E1083}" dateTime="2020-04-06T11:31:55" maxSheetId="12" userName="EXTERNAL Nguyen Tuan Duong (Ban Vien, RBVH/EPS45)" r:id="rId142" minRId="2286" maxRId="232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BD439A9-BC8D-42A4-9EB5-1726B10B5435}" dateTime="2020-04-06T11:32:04" maxSheetId="12" userName="EXTERNAL Nguyen Tuan Duong (Ban Vien, RBVH/EPS45)" r:id="rId143" minRId="2324" maxRId="23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3672C52-B76F-4D25-8BC3-A1638D561F5E}" dateTime="2020-04-06T11:32:15" maxSheetId="12" userName="EXTERNAL Nguyen Tuan Duong (Ban Vien, RBVH/EPS45)" r:id="rId144" minRId="2334" maxRId="234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C3821D1-3E14-4F39-86AD-E3AD512EDCB4}" dateTime="2020-04-06T11:32:46" maxSheetId="12" userName="EXTERNAL Nguyen Tuan Duong (Ban Vien, RBVH/EPS45)" r:id="rId1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E9AD7F8-359A-4473-BDBD-92A02BFF16BC}" dateTime="2020-04-06T11:33:17" maxSheetId="12" userName="EXTERNAL Nguyen Tuan Duong (Ban Vien, RBVH/EPS45)" r:id="rId146" minRId="2344" maxRId="234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7B2893C-6030-4AD8-B0A6-48868B4CE213}" dateTime="2020-04-06T11:33:29" maxSheetId="12" userName="EXTERNAL Nguyen Tuan Duong (Ban Vien, RBVH/EPS45)" r:id="rId147" minRId="235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61F09BA-2D10-4ECA-AB02-2891335E0F98}" dateTime="2020-04-06T11:34:45" maxSheetId="12" userName="EXTERNAL Nguyen Tuan Duong (Ban Vien, RBVH/EPS45)" r:id="rId148" minRId="2357" maxRId="235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CE3E08F-F976-449C-ADA7-CC2F5F91039F}" dateTime="2020-04-06T11:35:39" maxSheetId="12" userName="EXTERNAL Nguyen Tuan Duong (Ban Vien, RBVH/EPS45)" r:id="rId149" minRId="236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B8096FC-8BFA-4964-BA65-42BE285E196C}" dateTime="2020-04-06T11:39:56" maxSheetId="12" userName="EXTERNAL Ly Chung (Ban Vien, RBVH/EPS45)" r:id="rId150" minRId="2361" maxRId="236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B15708E-1EF7-4B61-AB38-A3103EA40693}" dateTime="2020-04-06T11:53:09" maxSheetId="12" userName="EXTERNAL Ly Chung (Ban Vien, RBVH/EPS45)" r:id="rId151" minRId="23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6CD6F04-21B9-46AD-935D-D3DAFECA66FF}" dateTime="2020-04-06T13:35:34" maxSheetId="12" userName="EXTERNAL Nguyen Tuan Duong (Ban Vien, RBVH/EPS45)" r:id="rId152" minRId="2369" maxRId="23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8FCB4AB-7598-4297-B515-39E1FFCF1BDB}" dateTime="2020-04-06T13:37:42" maxSheetId="12" userName="EXTERNAL Nguyen Tuan Duong (Ban Vien, RBVH/EPS45)" r:id="rId153" minRId="2374" maxRId="246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AB17039-2E5D-4C9F-88E2-EF9AE3CCB823}" dateTime="2020-04-06T13:38:40" maxSheetId="12" userName="EXTERNAL Do Phu Loc (Ban Vien, RBVH/EPS45)" r:id="rId15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B2463C9-3A25-437E-AA91-A85F9FDE4754}" dateTime="2020-04-06T13:38:44" maxSheetId="12" userName="EXTERNAL Nguyen Tuan Duong (Ban Vien, RBVH/EPS45)" r:id="rId155" minRId="2474" maxRId="25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7DEDDBA-9D9B-46BE-96E6-7ADFEB868C1E}" dateTime="2020-04-06T13:39:34" maxSheetId="12" userName="EXTERNAL Nguyen Tuan Duong (Ban Vien, RBVH/EPS45)" r:id="rId156" minRId="2514" maxRId="253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76E1C69-9459-44D4-8795-6C29D9DA6BE4}" dateTime="2020-04-06T13:39:37" maxSheetId="12" userName="EXTERNAL Nguyen Tuan Duong (Ban Vien, RBVH/EPS45)" r:id="rId157" minRId="2535" maxRId="25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AEAFAFD-3835-4973-A42A-6357DA5B274C}" dateTime="2020-04-06T13:40:06" maxSheetId="12" userName="EXTERNAL Do Phu Loc (Ban Vien, RBVH/EPS45)" r:id="rId15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EA908CA-0CCA-4884-AE8E-C80898578B81}" dateTime="2020-04-06T13:41:05" maxSheetId="12" userName="EXTERNAL Nguyen Tuan Duong (Ban Vien, RBVH/EPS45)" r:id="rId159" minRId="2556" maxRId="264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1A4AA3E-0D6F-4366-BD6B-37EEED18CC0B}" dateTime="2020-04-06T13:41:41" maxSheetId="12" userName="EXTERNAL Nguyen Tuan Duong (Ban Vien, RBVH/EPS45)" r:id="rId160" minRId="2650" maxRId="270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2C7D4C6-D1BD-4FCA-ADC4-CE9638ED72FF}" dateTime="2020-04-06T13:41:54" maxSheetId="12" userName="EXTERNAL Nguyen Tuan Duong (Ban Vien, RBVH/EPS45)" r:id="rId161" minRId="2707" maxRId="272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DE0B7E0-13B6-40AA-85C8-7D5D369FAAFE}" dateTime="2020-04-06T13:42:05" maxSheetId="12" userName="EXTERNAL Nguyen Tuan Duong (Ban Vien, RBVH/EPS45)" r:id="rId162" minRId="2728" maxRId="27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CBF2FE7-D68B-4116-A1CD-F24C0C19867D}" dateTime="2020-04-06T13:42:13" maxSheetId="12" userName="EXTERNAL Nguyen Tuan Duong (Ban Vien, RBVH/EPS45)" r:id="rId1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921C9E9-64A7-44FC-B6B0-DE0D78DC8FB7}" dateTime="2020-04-06T13:42:23" maxSheetId="12" userName="EXTERNAL Do Phu Loc (Ban Vien, RBVH/EPS45)" r:id="rId164" minRId="27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19FF037-263A-4103-BF3C-89DABFD3FD4C}" dateTime="2020-04-06T13:42:33" maxSheetId="12" userName="EXTERNAL Nguyen Tuan Duong (Ban Vien, RBVH/EPS45)" r:id="rId16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A648319-582A-4677-BEC3-DDA9D6420C1F}" dateTime="2020-04-06T13:42:55" maxSheetId="12" userName="EXTERNAL Do Phu Loc (Ban Vien, RBVH/EPS45)" r:id="rId166" minRId="2753" maxRId="276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CC6BDBC-9C24-4E19-BA2C-A44D2402513E}" dateTime="2020-04-06T13:43:38" maxSheetId="12" userName="EXTERNAL Do Phu Loc (Ban Vien, RBVH/EPS45)" r:id="rId16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C852193-B2A1-42FA-AB77-A47DF6B82D15}" dateTime="2020-04-06T13:44:54" maxSheetId="12" userName="EXTERNAL Do Phu Loc (Ban Vien, RBVH/EPS45)" r:id="rId1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D9CF509-F431-4D24-8B7F-193D9ABA3CE6}" dateTime="2020-04-06T14:01:10" maxSheetId="12" userName="EXTERNAL Ly Chung (Ban Vien, RBVH/EPS45)" r:id="rId169" minRId="2772" maxRId="277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B4FD681-97CE-4BAB-8403-43435F45E35E}" dateTime="2020-04-06T14:02:42" maxSheetId="12" userName="EXTERNAL Ly Chung (Ban Vien, RBVH/EPS45)" r:id="rId170" minRId="2782" maxRId="279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A7D7BFA-B1BD-4401-8D93-AFA27536CB5D}" dateTime="2020-04-06T14:05:51" maxSheetId="12" userName="EXTERNAL Ly Chung (Ban Vien, RBVH/EPS45)" r:id="rId171" minRId="2800" maxRId="280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1CB9067-8911-4522-AB92-CF36E81F299F}" dateTime="2020-04-06T14:31:42" maxSheetId="12" userName="EXTERNAL Nguyen Tuan Duong (Ban Vien, RBVH/EPS45)" r:id="rId172" minRId="2803" maxRId="280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F67C14A-C5D8-411B-9B26-89D7DEE8B9EF}" dateTime="2020-04-06T15:28:21" maxSheetId="12" userName="EXTERNAL Ly Chung (Ban Vien, RBVH/EPS45)" r:id="rId173" minRId="2806" maxRId="281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C308E9C-F2BD-4477-8401-D6980D38C821}" dateTime="2020-04-06T15:34:39" maxSheetId="12" userName="EXTERNAL Nguyen Tuan Duong (Ban Vien, RBVH/EPS45)" r:id="rId174" minRId="2819" maxRId="28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8BB990B-BD9F-43F2-BE4A-49A37F143229}" dateTime="2020-04-06T15:35:01" maxSheetId="12" userName="EXTERNAL Nguyen Tuan Duong (Ban Vien, RBVH/EPS45)" r:id="rId175" minRId="28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299523A-7192-4425-B221-A67D1100640D}" dateTime="2020-04-06T15:35:42" maxSheetId="12" userName="EXTERNAL Ly Chung (Ban Vien, RBVH/EPS45)" r:id="rId1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BEDF3D1-D530-4DD6-B04B-75BE37171387}" dateTime="2020-04-06T15:39:21" maxSheetId="12" userName="EXTERNAL Ly Chung (Ban Vien, RBVH/EPS45)" r:id="rId177" minRId="28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0ED6F18-58B6-4BE1-9F6C-BFA1A9FA09DF}" dateTime="2020-04-06T15:46:02" maxSheetId="12" userName="EXTERNAL Nguyen Tuan Duong (Ban Vien, RBVH/EPS45)" r:id="rId178" minRId="28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AF42946-7F3F-43A3-8622-556AB57FB178}" dateTime="2020-04-06T15:51:23" maxSheetId="12" userName="EXTERNAL Do Phu Loc (Ban Vien, RBVH/EPS45)" r:id="rId179" minRId="28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2AA9045-82D3-4C37-B277-1594FA80FEAF}" dateTime="2020-04-06T15:51:56" maxSheetId="12" userName="EXTERNAL Nguyen Tuan Duong (Ban Vien, RBVH/EPS45)" r:id="rId180" minRId="284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9C0DCFA-4CD5-4AAC-BC09-E989FB685872}" dateTime="2020-04-06T16:24:48" maxSheetId="12" userName="EXTERNAL Ly Chung (Ban Vien, RBVH/EPS45)" r:id="rId181" minRId="2847" maxRId="28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D6D7359-BE1D-4F3B-8D57-DD1835BAEF98}" dateTime="2020-04-06T16:25:37" maxSheetId="12" userName="EXTERNAL Ly Chung (Ban Vien, RBVH/EPS45)" r:id="rId182" minRId="2849" maxRId="285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13973E1-1B5F-42CD-9C01-1D8DFE3512B7}" dateTime="2020-04-06T16:38:19" maxSheetId="12" userName="EXTERNAL Ly Chung (Ban Vien, RBVH/EPS45)" r:id="rId183" minRId="2861" maxRId="28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9E40333-84F0-4A35-863B-65DC5192A552}" dateTime="2020-04-06T16:47:31" maxSheetId="12" userName="EXTERNAL Ly Chung (Ban Vien, RBVH/EPS45)" r:id="rId184" minRId="2872" maxRId="289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926AC4F-B9EC-42C0-8F92-470EA9FC6D96}" dateTime="2020-04-06T16:49:19" maxSheetId="12" userName="EXTERNAL Ly Chung (Ban Vien, RBVH/EPS45)" r:id="rId185" minRId="289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6EFAA19-BB66-4C65-B667-CDD6A4E7F174}" dateTime="2020-04-06T16:49:48" maxSheetId="12" userName="EXTERNAL Ly Chung (Ban Vien, RBVH/EPS45)" r:id="rId186" minRId="28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3BC25CA-A617-4819-BBD5-F8E2B45E8035}" dateTime="2020-04-06T16:50:58" maxSheetId="12" userName="EXTERNAL Nguyen Kim Thanh (Ban Vien, RBVH/EPS45)" r:id="rId187" minRId="2900" maxRId="29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5D371B0-551A-4F3B-B16E-15DC74FE8485}" dateTime="2020-04-06T16:51:16" maxSheetId="12" userName="EXTERNAL Ly Chung (Ban Vien, RBVH/EPS45)" r:id="rId188" minRId="2914" maxRId="292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56B1C9E-4FAC-42BB-AD74-FDE24CADB901}" dateTime="2020-04-06T17:03:45" maxSheetId="12" userName="EXTERNAL Ly Chung (Ban Vien, RBVH/EPS45)" r:id="rId189" minRId="2925" maxRId="29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FEA3D69-7C26-4148-AA0C-412B60490C79}" dateTime="2020-04-06T17:10:56" maxSheetId="12" userName="EXTERNAL Ly Chung (Ban Vien, RBVH/EPS45)" r:id="rId190" minRId="2934" maxRId="29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DEFC9B8-3D3A-45B8-A9D0-49FB43F16295}" dateTime="2020-04-06T17:12:47" maxSheetId="12" userName="EXTERNAL Nguyen Kim Thanh (Ban Vien, RBVH/EPS45)" r:id="rId191" minRId="29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0C5442-138B-4743-86CB-E6314D957E55}" dateTime="2020-04-06T17:32:13" maxSheetId="12" userName="EXTERNAL Ly Chung (Ban Vien, RBVH/EPS45)" r:id="rId192" minRId="2940" maxRId="295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E26CF20-A281-4DA9-AFE7-BD64975471AC}" dateTime="2020-04-06T17:36:38" maxSheetId="12" userName="EXTERNAL Ly Chung (Ban Vien, RBVH/EPS45)" r:id="rId19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CEC233B-AE96-43A8-9240-E3A9F481F82B}" dateTime="2020-04-06T17:43:09" maxSheetId="12" userName="EXTERNAL Nguyen Tuan Duong (Ban Vien, RBVH/EPS45)" r:id="rId19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9158963-81BD-478B-BC4B-1FB56A16869D}" dateTime="2020-04-07T08:50:12" maxSheetId="12" userName="EXTERNAL Nguyen Kim Thanh (Ban Vien, RBVH/EPS45)" r:id="rId195" minRId="2961" maxRId="296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DB57ED3-3767-4AD6-AB4B-9096E96F6A33}" dateTime="2020-04-07T09:40:10" maxSheetId="12" userName="EXTERNAL Nguyen Tuan Duong (Ban Vien, RBVH/EPS45)" r:id="rId19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1ED8400-4A03-42EF-918A-2FABEA7211E5}" dateTime="2020-04-07T10:12:40" maxSheetId="12" userName="EXTERNAL Do Phu Loc (Ban Vien, RBVH/EPS45)" r:id="rId1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D835B0F-772B-4D50-B55E-22A77ED89697}" dateTime="2020-04-07T10:24:48" maxSheetId="12" userName="EXTERNAL Do Phu Loc (Ban Vien, RBVH/EPS45)" r:id="rId19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74F3F6E-8983-46B8-A14F-95E22D6A0629}" dateTime="2020-04-07T10:29:46" maxSheetId="12" userName="EXTERNAL Do Phu Loc (Ban Vien, RBVH/EPS45)" r:id="rId1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A5031F4-C619-41C2-9626-17BC50937E7C}" dateTime="2020-04-07T10:30:06" maxSheetId="12" userName="EXTERNAL Do Phu Loc (Ban Vien, RBVH/EPS45)" r:id="rId20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75BB28C-60DB-4A1B-BD00-32AA2C229A75}" dateTime="2020-04-07T10:49:10" maxSheetId="12" userName="EXTERNAL Nguyen Tuan Duong (Ban Vien, RBVH/EPS45)" r:id="rId201" minRId="2975" maxRId="30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F6C5F61-E46D-47E8-B09D-F30FA1C52FCE}" dateTime="2020-04-07T10:51:36" maxSheetId="12" userName="EXTERNAL Nguyen Tuan Duong (Ban Vien, RBVH/EPS45)" r:id="rId202" minRId="3008" maxRId="301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99DC0D4-E621-46DD-A749-D363EB723AC3}" dateTime="2020-04-07T10:52:26" maxSheetId="12" userName="EXTERNAL Nguyen Tuan Duong (Ban Vien, RBVH/EPS45)" r:id="rId203" minRId="3018" maxRId="301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900C314-5BB7-4B72-8C90-33584ACFD737}" dateTime="2020-04-07T10:53:33" maxSheetId="12" userName="EXTERNAL Do Phu Loc (Ban Vien, RBVH/EPS45)" r:id="rId2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0B66424-FA12-4062-AD69-578E53A30A95}" dateTime="2020-04-07T10:54:20" maxSheetId="12" userName="EXTERNAL Nguyen Tuan Duong (Ban Vien, RBVH/EPS45)" r:id="rId205" minRId="3026" maxRId="304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75D4E9A-DA1A-45C5-A9E4-9C0A9F928721}" dateTime="2020-04-07T10:54:57" maxSheetId="12" userName="EXTERNAL Nguyen Tuan Duong (Ban Vien, RBVH/EPS45)" r:id="rId2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EBD4BB8-9048-4F6E-B793-5CF1D2664D6A}" dateTime="2020-04-07T10:55:39" maxSheetId="12" userName="EXTERNAL Nguyen Tuan Duong (Ban Vien, RBVH/EPS45)" r:id="rId20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FED9159-98D3-4C4F-AF9F-28B97779F210}" dateTime="2020-04-07T11:06:53" maxSheetId="12" userName="EXTERNAL Nguyen Tuan Duong (Ban Vien, RBVH/EPS45)" r:id="rId208" minRId="3053" maxRId="30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A1581E6-B386-448F-A434-BA9CA9F92098}" dateTime="2020-04-07T11:26:56" maxSheetId="12" userName="EXTERNAL Nguyen Kim Thanh (Ban Vien, RBVH/EPS45)" r:id="rId209" minRId="3067" maxRId="307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162BA8B-193B-4B71-9EB1-89FE54BC96C1}" dateTime="2020-04-07T13:17:42" maxSheetId="12" userName="EXTERNAL Ly Chung (Ban Vien, RBVH/EPS45)" r:id="rId210" minRId="3079" maxRId="30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5408C5E-7784-44D1-95ED-536DD9C49929}" dateTime="2020-04-07T14:01:45" maxSheetId="12" userName="EXTERNAL Nguyen Kim Thanh (Ban Vien, RBVH/EPS45)" r:id="rId211" minRId="3088" maxRId="310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946114D-3511-431D-BEFA-1FE86A2E5993}" dateTime="2020-04-07T14:11:41" maxSheetId="12" userName="EXTERNAL Nguyen Tuan Duong (Ban Vien, RBVH/EPS45)" r:id="rId212" minRId="31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31C4DA-7DF3-47C7-A80D-F1A36ACCCAAF}" dateTime="2020-04-07T14:14:35" maxSheetId="12" userName="EXTERNAL Ly Chung (Ban Vien, RBVH/EPS45)" r:id="rId213" minRId="3108" maxRId="314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BF2D6F2-4449-4227-9B77-CF366648CC0C}" dateTime="2020-04-07T14:42:33" maxSheetId="12" userName="EXTERNAL Nguyen Tuan Duong (Ban Vien, RBVH/EPS45)" r:id="rId214" minRId="3145" maxRId="314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DC35364-C001-4179-80DA-01A854E021E0}" dateTime="2020-04-07T14:45:23" maxSheetId="12" userName="EXTERNAL Nguyen Kim Thanh (Ban Vien, RBVH/EPS45)" r:id="rId215" minRId="3150" maxRId="315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A53AE02-F6F1-4E34-AB2E-0EB87A8E16F9}" dateTime="2020-04-07T14:50:42" maxSheetId="12" userName="EXTERNAL Nguyen Tuan Duong (Ban Vien, RBVH/EPS45)" r:id="rId216" minRId="3162" maxRId="316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047878B-8C24-4EAB-973E-204F1B9CA95D}" dateTime="2020-04-07T14:58:55" maxSheetId="12" userName="EXTERNAL Nguyen Tuan Duong (Ban Vien, RBVH/EPS45)" r:id="rId21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B4E2B47-98CB-4201-8E7F-135E5D4A4921}" dateTime="2020-04-07T15:01:04" maxSheetId="12" userName="EXTERNAL Nguyen Tuan Duong (Ban Vien, RBVH/EPS45)" r:id="rId21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92F9E2F-CB57-45EA-A3A4-435057A9DC2D}" dateTime="2020-04-07T15:02:29" maxSheetId="12" userName="EXTERNAL Do Phu Loc (Ban Vien, RBVH/EPS45)" r:id="rId219" minRId="3176" maxRId="318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D998988-CAE4-4723-9F39-77B3865C67AA}" dateTime="2020-04-07T15:03:33" maxSheetId="12" userName="EXTERNAL Do Phu Loc (Ban Vien, RBVH/EPS45)" r:id="rId220" minRId="3193" maxRId="31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106700F-D8E8-4211-AAFE-4C2085FBC2C7}" dateTime="2020-04-07T15:05:01" maxSheetId="12" userName="EXTERNAL Do Phu Loc (Ban Vien, RBVH/EPS45)" r:id="rId221" minRId="3201" maxRId="320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4A95F20-0B08-4EBF-8B75-ED4040A66334}" dateTime="2020-04-07T15:07:47" maxSheetId="12" userName="EXTERNAL Nguyen Kim Thanh (Ban Vien, RBVH/EPS45)" r:id="rId222" minRId="3209" maxRId="32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F30FBE6-DEAF-4801-8FCA-58EDBC6EA934}" dateTime="2020-04-07T15:07:55" maxSheetId="12" userName="EXTERNAL Ly Chung (Ban Vien, RBVH/EPS45)" r:id="rId223" minRId="3211" maxRId="322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F821991-5059-4C4B-91D4-9EE6AF7812DA}" dateTime="2020-04-07T15:08:44" maxSheetId="12" userName="EXTERNAL Ly Chung (Ban Vien, RBVH/EPS45)" r:id="rId224" minRId="3226" maxRId="32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11DB56B-2ACA-4716-95F7-9BCDD01DA18A}" dateTime="2020-04-07T15:17:14" maxSheetId="12" userName="EXTERNAL Do Phu Loc (Ban Vien, RBVH/EPS45)" r:id="rId225" minRId="3228" maxRId="32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3D17A69-520E-4264-8CB9-D672F0A9842F}" dateTime="2020-04-07T15:17:32" maxSheetId="12" userName="EXTERNAL Do Phu Loc (Ban Vien, RBVH/EPS45)" r:id="rId2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278C02A-D87E-4349-88F4-475FA41C0E64}" dateTime="2020-04-07T15:17:34" maxSheetId="12" userName="EXTERNAL Nguyen Kim Thanh (Ban Vien, RBVH/EPS45)" r:id="rId227" minRId="3244" maxRId="32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A2BF1A3-6A37-4EB3-BBCD-73C02372F5EE}" dateTime="2020-04-07T15:32:52" maxSheetId="12" userName="EXTERNAL Ly Chung (Ban Vien, RBVH/EPS45)" r:id="rId228" minRId="3249" maxRId="325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CCFE902-D8B1-4E0B-8D57-DD7979AA372F}" dateTime="2020-04-07T15:47:14" maxSheetId="12" userName="EXTERNAL Nguyen Kim Thanh (Ban Vien, RBVH/EPS45)" r:id="rId229" minRId="3258" maxRId="326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1CB617-2AEF-46DA-9EB6-D4B70DFD22C0}" dateTime="2020-04-07T15:48:15" maxSheetId="12" userName="EXTERNAL Nguyen Kim Thanh (Ban Vien, RBVH/EPS45)" r:id="rId230" minRId="3262" maxRId="32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BE7E6FC-5CF5-4198-ADAD-4BC2205D4724}" dateTime="2020-04-07T15:48:30" maxSheetId="12" userName="EXTERNAL Nguyen Kim Thanh (Ban Vien, RBVH/EPS45)" r:id="rId231" minRId="3283" maxRId="329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FFADE62-24E4-499A-9FAE-64C0A434E834}" dateTime="2020-04-07T15:48:41" maxSheetId="12" userName="EXTERNAL Nguyen Kim Thanh (Ban Vien, RBVH/EPS45)" r:id="rId232" minRId="3294" maxRId="329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28FECAD-1661-4853-9C9F-67F912150E08}" dateTime="2020-04-07T15:48:56" maxSheetId="12" userName="EXTERNAL Nguyen Kim Thanh (Ban Vien, RBVH/EPS45)" r:id="rId233" minRId="329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0608F82-3B14-49F6-A23D-46E534B283F0}" dateTime="2020-04-07T15:49:28" maxSheetId="12" userName="EXTERNAL Nguyen Kim Thanh (Ban Vien, RBVH/EPS45)" r:id="rId234" minRId="330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6CD2EA0-B0D8-4B5A-A1F4-62BEA13D39DC}" dateTime="2020-04-07T16:14:37" maxSheetId="12" userName="EXTERNAL Nguyen Tuan Duong (Ban Vien, RBVH/EPS45)" r:id="rId235" minRId="3304" maxRId="33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F82C7DE-D4DE-497F-83F0-732F0F30EA79}" dateTime="2020-04-07T16:15:08" maxSheetId="12" userName="EXTERNAL Nguyen Tuan Duong (Ban Vien, RBVH/EPS45)" r:id="rId236" minRId="3310" maxRId="33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549D8AF-D725-4DAE-9E02-7C1A79807C5A}" dateTime="2020-04-07T16:23:20" maxSheetId="12" userName="EXTERNAL Nguyen Tuan Duong (Ban Vien, RBVH/EPS45)" r:id="rId237" minRId="332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C0FD875-33B2-4D09-B0BA-17B91FAE4402}" dateTime="2020-04-07T16:49:06" maxSheetId="12" userName="EXTERNAL Nguyen Kim Thanh (Ban Vien, RBVH/EPS45)" r:id="rId238" minRId="3329" maxRId="333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9BAB598-E474-4F0E-BA40-CD0DEB41EA5F}" dateTime="2020-04-07T16:56:59" maxSheetId="12" userName="EXTERNAL Nguyen Kim Thanh (Ban Vien, RBVH/EPS45)" r:id="rId239" minRId="3342" maxRId="33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4028BB3-BB68-4FDD-88AF-C74570224DF8}" dateTime="2020-04-07T16:57:09" maxSheetId="12" userName="EXTERNAL Nguyen Kim Thanh (Ban Vien, RBVH/EPS45)" r:id="rId240" minRId="334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A597E0C-396D-4318-B467-213F1332AF5A}" dateTime="2020-04-07T17:06:23" maxSheetId="12" userName="EXTERNAL Nguyen Tuan Duong (Ban Vien, RBVH/EPS45)" r:id="rId241" minRId="3353" maxRId="336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C8E460A-68AE-4C8B-B350-17037CE53A7C}" dateTime="2020-04-07T17:26:49" maxSheetId="12" userName="EXTERNAL Nguyen Kim Thanh (Ban Vien, RBVH/EPS45)" r:id="rId242" minRId="336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06B92D7-4A87-4491-99F6-EBCDF0FBD787}" dateTime="2020-04-07T17:27:32" maxSheetId="12" userName="EXTERNAL Nguyen Kim Thanh (Ban Vien, RBVH/EPS45)" r:id="rId243" minRId="3368" maxRId="337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CB235B9-599F-40A9-B090-BA4ED707A0CC}" dateTime="2020-04-07T17:34:43" maxSheetId="12" userName="EXTERNAL Nguyen Kim Thanh (Ban Vien, RBVH/EPS45)" r:id="rId244" minRId="3376" maxRId="33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B3FEF9D-38C7-4702-A27A-472630E4A156}" dateTime="2020-04-07T17:40:14" maxSheetId="12" userName="EXTERNAL Do Phu Loc (Ban Vien, RBVH/EPS45)" r:id="rId2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FD8D49E-25A1-4CF9-9EE0-8A485F0C2EA1}" dateTime="2020-04-07T17:55:58" maxSheetId="12" userName="EXTERNAL Do Phu Loc (Ban Vien, RBVH/EPS45)" r:id="rId24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FBEE9B0-7DF7-4FB0-BE2F-BE46A874DAFC}" dateTime="2020-04-07T17:56:14" maxSheetId="12" userName="EXTERNAL Do Phu Loc (Ban Vien, RBVH/EPS45)" r:id="rId247" minRId="3393" maxRId="340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27A3616-B3E6-4795-B742-8DB3127868D9}" dateTime="2020-04-07T18:00:08" maxSheetId="12" userName="EXTERNAL Nguyen Tuan Duong (Ban Vien, RBVH/EPS45)" r:id="rId248" minRId="3407" maxRId="341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7D4D53C-8543-4EDB-B9A1-02802AA805A9}" dateTime="2020-04-07T18:02:49" maxSheetId="12" userName="EXTERNAL Nguyen Kim Thanh (Ban Vien, RBVH/EPS45)" r:id="rId24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2837B44-41E0-47F8-BBA6-70FB3CAB0ECE}" dateTime="2020-04-07T18:05:23" maxSheetId="12" userName="EXTERNAL Do Phu Loc (Ban Vien, RBVH/EPS45)" r:id="rId2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403EF61-770F-4F56-AD30-2C0E47D739A2}" dateTime="2020-04-07T18:05:43" maxSheetId="12" userName="EXTERNAL Do Phu Loc (Ban Vien, RBVH/EPS45)" r:id="rId251" minRId="3421" maxRId="34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8C9C12A-E3AD-4055-9F20-3D18B3B7F371}" dateTime="2020-04-07T18:14:33" maxSheetId="12" userName="EXTERNAL Nguyen Tuan Duong (Ban Vien, RBVH/EPS45)" r:id="rId252" minRId="3434" maxRId="34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D5A7E2D-ED81-4114-BFB7-48586AEA5061}" dateTime="2020-04-07T18:14:49" maxSheetId="12" userName="EXTERNAL Nguyen Tuan Duong (Ban Vien, RBVH/EPS45)" r:id="rId253" minRId="3441" maxRId="34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B0B1F33-299F-46A9-A689-4AAD9C7F811C}" dateTime="2020-04-07T18:17:55" maxSheetId="12" userName="EXTERNAL Do Phu Loc (Ban Vien, RBVH/EPS45)" r:id="rId254" minRId="344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82BC3F1-A392-4485-98A5-A7DBEDFC721E}" dateTime="2020-04-07T18:18:18" maxSheetId="12" userName="EXTERNAL Do Phu Loc (Ban Vien, RBVH/EPS45)" r:id="rId255" minRId="3453" maxRId="346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63FDE55-5422-433C-8B39-48A5FA6A3734}" dateTime="2020-04-07T18:24:01" maxSheetId="12" userName="EXTERNAL Nguyen Tuan Duong (Ban Vien, RBVH/EPS45)" r:id="rId2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0F7F86D-B5B1-4130-8B8C-835477898E63}" dateTime="2020-04-07T18:24:36" maxSheetId="12" userName="EXTERNAL Do Phu Loc (Ban Vien, RBVH/EPS45)" r:id="rId257" minRId="3467" maxRId="347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60487CC-1A94-4949-B492-CEB4D9E18AE6}" dateTime="2020-04-07T18:25:18" maxSheetId="12" userName="EXTERNAL Do Phu Loc (Ban Vien, RBVH/EPS45)" r:id="rId258" minRId="3478" maxRId="348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9D86D2-B807-43C1-91CA-55854E3510BF}" dateTime="2020-04-07T18:25:52" maxSheetId="12" userName="EXTERNAL Do Phu Loc (Ban Vien, RBVH/EPS45)" r:id="rId25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00A039D-F1D6-4B8B-971F-7C3E350EEFC3}" dateTime="2020-04-07T19:06:11" maxSheetId="12" userName="EXTERNAL Nguyen Tuan Duong (Ban Vien, RBVH/EPS45)" r:id="rId260" minRId="3484" maxRId="350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7846F24-347D-4513-B57E-A3A9B5A6D67E}" dateTime="2020-04-08T08:54:04" maxSheetId="12" userName="EXTERNAL Do Phu Loc (Ban Vien, RBVH/EPS45)" r:id="rId261" minRId="350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AD03F5E-9EF7-4380-A36C-42F0F39CB6C6}" dateTime="2020-04-08T09:09:54" maxSheetId="12" userName="EXTERNAL Do Phu Loc (Ban Vien, RBVH/EPS45)" r:id="rId26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B50671E-5505-48F1-AEA7-EEC2A4551C37}" dateTime="2020-04-08T09:15:02" maxSheetId="13" userName="EXTERNAL Ly Chung (Ban Vien, RBVH/EPS45)" r:id="rId263" minRId="3514" maxRId="3525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70A4C9FA-3154-4D1D-B9F1-E903D5B3853F}" dateTime="2020-04-08T09:17:05" maxSheetId="13" userName="EXTERNAL Ly Chung (Ban Vien, RBVH/EPS45)" r:id="rId264" minRId="3530" maxRId="3538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5F219E21-BF6A-41E7-BBDC-148EC967D438}" dateTime="2020-04-08T09:23:55" maxSheetId="13" userName="EXTERNAL Nguyen Kim Thanh (Ban Vien, RBVH/EPS45)" r:id="rId265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437D46D5-D138-413A-B430-FDC102FA4075}" dateTime="2020-04-08T09:33:35" maxSheetId="13" userName="EXTERNAL Ly Chung (Ban Vien, RBVH/EPS45)" r:id="rId266" minRId="3547" maxRId="3548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1D82DCD8-4D30-4019-AA9E-3F69E89557C6}" dateTime="2020-04-08T09:36:12" maxSheetId="13" userName="EXTERNAL Nguyen Tuan Duong (Ban Vien, RBVH/EPS45)" r:id="rId267" minRId="3553" maxRId="3557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86BF626B-A441-4F74-8865-007D86487C8F}" dateTime="2020-04-08T09:36:36" maxSheetId="13" userName="EXTERNAL Nguyen Tuan Duong (Ban Vien, RBVH/EPS45)" r:id="rId268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F9184236-9426-4D02-AF15-EB49D22CC072}" dateTime="2020-04-08T09:39:21" maxSheetId="13" userName="EXTERNAL Ly Chung (Ban Vien, RBVH/EPS45)" r:id="rId269" minRId="3564" maxRId="3565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51681BB4-64A5-4845-BDBA-CB3C909FE675}" dateTime="2020-04-08T09:46:38" maxSheetId="13" userName="EXTERNAL Do Phu Loc (Ban Vien, RBVH/EPS45)" r:id="rId270" minRId="3570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4C04DE00-E0DA-4D4D-ACFB-FBB6ACC1F077}" dateTime="2020-04-08T09:54:38" maxSheetId="13" userName="EXTERNAL Do Phu Loc (Ban Vien, RBVH/EPS45)" r:id="rId271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7E08D568-73DD-4032-A103-F416E110FA56}" dateTime="2020-04-08T09:56:47" maxSheetId="13" userName="EXTERNAL Nguyen Tuan Duong (Ban Vien, RBVH/EPS45)" r:id="rId272" minRId="3577" maxRId="3594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DEFA02A0-8F1C-43F3-B31F-A55B4EEA30BB}" dateTime="2020-04-08T10:00:25" maxSheetId="13" userName="EXTERNAL Nguyen Tuan Duong (Ban Vien, RBVH/EPS45)" r:id="rId273" minRId="3598" maxRId="361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418DC0B4-597A-4B01-A9DC-2B45BD8DD77B}" dateTime="2020-04-08T10:00:44" maxSheetId="13" userName="EXTERNAL Nguyen Tuan Duong (Ban Vien, RBVH/EPS45)" r:id="rId274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AE2EBCE6-1D66-4583-91DA-F515B3A3304D}" dateTime="2020-04-08T10:03:06" maxSheetId="13" userName="EXTERNAL Nguyen Tuan Duong (Ban Vien, RBVH/EPS45)" r:id="rId275" minRId="3622" maxRId="3641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DF7174E2-B8D2-4B39-8D27-5042E6A071C3}" dateTime="2020-04-08T10:03:33" maxSheetId="13" userName="EXTERNAL Nguyen Tuan Duong (Ban Vien, RBVH/EPS45)" r:id="rId276" minRId="3645" maxRId="3652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3115287B-7A35-467E-A375-B1CC1DEC0D60}" dateTime="2020-04-08T10:05:00" maxSheetId="13" userName="EXTERNAL Nguyen Tuan Duong (Ban Vien, RBVH/EPS45)" r:id="rId277" minRId="3656" maxRId="3703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506811C4-49E7-475B-8180-35D7EC74E4BF}" dateTime="2020-04-08T10:05:57" maxSheetId="13" userName="EXTERNAL Nguyen Tuan Duong (Ban Vien, RBVH/EPS45)" r:id="rId278" minRId="3707" maxRId="3729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DF50C082-BF81-453A-8117-A76AC9E42C02}" dateTime="2020-04-08T10:06:15" maxSheetId="13" userName="EXTERNAL Nguyen Tuan Duong (Ban Vien, RBVH/EPS45)" r:id="rId279" minRId="3733" maxRId="3761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C4988654-B3ED-4532-87EA-466EA9AD2099}" dateTime="2020-04-08T10:07:09" maxSheetId="13" userName="EXTERNAL Nguyen Tuan Duong (Ban Vien, RBVH/EPS45)" r:id="rId280" minRId="3765" maxRId="3770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6BE0B39C-2163-4FAE-974C-AEFE2A1DB937}" dateTime="2020-04-08T10:07:30" maxSheetId="13" userName="EXTERNAL Nguyen Tuan Duong (Ban Vien, RBVH/EPS45)" r:id="rId281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C4E0420F-D01B-4FEB-8FDF-443A004858A2}" dateTime="2020-04-08T10:08:07" maxSheetId="13" userName="EXTERNAL Nguyen Tuan Duong (Ban Vien, RBVH/EPS45)" r:id="rId282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4621277F-8912-4A7E-B652-75E4D814B9CB}" dateTime="2020-04-08T10:09:19" maxSheetId="13" userName="EXTERNAL Nguyen Kim Thanh (Ban Vien, RBVH/EPS45)" r:id="rId283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6506ADDA-B87F-4AC9-AF3F-DBEB60C61DBC}" dateTime="2020-04-08T10:26:57" maxSheetId="13" userName="EXTERNAL Nguyen Kim Thanh (Ban Vien, RBVH/EPS45)" r:id="rId284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5A4DB8FE-3397-472A-AFA7-6C9FF88FA474}" dateTime="2020-04-08T10:27:33" maxSheetId="13" userName="EXTERNAL Nguyen Tuan Duong (Ban Vien, RBVH/EPS45)" r:id="rId285" minRId="3788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A15D3C59-814C-443D-9BBB-CA02835BB5B5}" dateTime="2020-04-08T11:14:27" maxSheetId="13" userName="EXTERNAL Nguyen Tuan Duong (Ban Vien, RBVH/EPS45)" r:id="rId286" minRId="3792" maxRId="3793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72C88F8F-FE7F-4FF4-B174-7526D276394E}" dateTime="2020-04-08T11:25:40" maxSheetId="13" userName="EXTERNAL Nguyen Tuan Duong (Ban Vien, RBVH/EPS45)" r:id="rId287" minRId="3797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C47300B9-A782-4103-B993-3C3E40045DC2}" dateTime="2020-04-08T11:37:45" maxSheetId="13" userName="EXTERNAL Nguyen Tuan Duong (Ban Vien, RBVH/EPS45)" r:id="rId288" minRId="3801" maxRId="3810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B32BB079-D906-496A-BCAA-1CEC98710F18}" dateTime="2020-04-08T11:38:18" maxSheetId="13" userName="EXTERNAL Nguyen Tuan Duong (Ban Vien, RBVH/EPS45)" r:id="rId289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BEB48F7C-DF96-4185-936C-9FC67CC57CE8}" dateTime="2020-04-08T11:38:19" maxSheetId="13" userName="EXTERNAL Nguyen Tuan Duong (Ban Vien, RBVH/EPS45)" r:id="rId290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E08C8F63-DD16-431A-A2C4-80CF5D9B8590}" dateTime="2020-04-08T12:03:10" maxSheetId="13" userName="EXTERNAL Nguyen Tuan Duong (Ban Vien, RBVH/EPS45)" r:id="rId291" minRId="3820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E862C1EB-D53D-4C91-ADBC-F8D01F71E4BD}" dateTime="2020-04-08T13:07:54" maxSheetId="13" userName="EXTERNAL Do Phu Loc (Ban Vien, RBVH/EPS45)" r:id="rId292" minRId="3824" maxRId="3833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FBC7ED93-85DF-4FCF-A78A-C2063A3F1CB3}" dateTime="2020-04-08T13:08:13" maxSheetId="13" userName="EXTERNAL Do Phu Loc (Ban Vien, RBVH/EPS45)" r:id="rId293" minRId="3837" maxRId="3838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A1140A4B-6498-494D-AF57-A96A799D935F}" dateTime="2020-04-08T13:10:00" maxSheetId="13" userName="EXTERNAL Nguyen Tuan Duong (Ban Vien, RBVH/EPS45)" r:id="rId294" minRId="3839" maxRId="384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A4FE828C-5556-4015-B534-2ECA9C9879C4}" dateTime="2020-04-08T13:31:03" maxSheetId="13" userName="EXTERNAL Ly Chung (Ban Vien, RBVH/EPS45)" r:id="rId295" minRId="3846" maxRId="3855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08FB2CED-A5D4-44BE-8713-A4C89BD36970}" dateTime="2020-04-08T13:31:47" maxSheetId="13" userName="EXTERNAL Do Phu Loc (Ban Vien, RBVH/EPS45)" r:id="rId296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D16246FF-BC0B-4534-98FE-2689D9457FEC}" dateTime="2020-04-08T13:36:22" maxSheetId="13" userName="EXTERNAL Do Phu Loc (Ban Vien, RBVH/EPS45)" r:id="rId297" minRId="3863" maxRId="3864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D7195F27-5426-4912-B29B-6315F95C99CA}" dateTime="2020-04-08T14:42:48" maxSheetId="13" userName="EXTERNAL Ly Chung (Ban Vien, RBVH/EPS45)" r:id="rId298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F8A132A3-0728-4414-B719-948A2039B870}" dateTime="2020-04-08T14:58:45" maxSheetId="13" userName="EXTERNAL Nguyen Tuan Duong (Ban Vien, RBVH/EPS45)" r:id="rId299" minRId="3872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38E6FD7A-D723-4AB4-92E4-864DC5DD0B75}" dateTime="2020-04-08T15:00:50" maxSheetId="13" userName="EXTERNAL Nguyen Tuan Duong (Ban Vien, RBVH/EPS45)" r:id="rId300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082DEDFE-E8FC-4A85-A5FB-C9B5F80C6891}" dateTime="2020-04-08T15:05:12" maxSheetId="13" userName="EXTERNAL Nguyen Tuan Duong (Ban Vien, RBVH/EPS45)" r:id="rId301" minRId="3879" maxRId="3880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34E6A38C-9A24-42C9-8E1A-B12B45DF96A9}" dateTime="2020-04-08T15:14:48" maxSheetId="13" userName="EXTERNAL Do Phu Loc (Ban Vien, RBVH/EPS45)" r:id="rId302" minRId="3884" maxRId="388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F07A5CCB-CBBD-4777-A48D-785947D632E9}" dateTime="2020-04-08T15:16:03" maxSheetId="13" userName="EXTERNAL Do Phu Loc (Ban Vien, RBVH/EPS45)" r:id="rId303" minRId="3886" maxRId="389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DDAEF731-1EC2-4337-8AAA-493AD3D52774}" dateTime="2020-04-08T15:18:11" maxSheetId="13" userName="EXTERNAL Do Phu Loc (Ban Vien, RBVH/EPS45)" r:id="rId304" minRId="3899" maxRId="3909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72EE12E5-AF4D-4F67-8C4F-0DC85B99C0D3}" dateTime="2020-04-08T15:18:39" maxSheetId="13" userName="EXTERNAL Do Phu Loc (Ban Vien, RBVH/EPS45)" r:id="rId305" minRId="3913" maxRId="3914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54139CB6-FE92-4CE1-8006-9F04540FDCA6}" dateTime="2020-04-08T15:18:49" maxSheetId="13" userName="EXTERNAL Do Phu Loc (Ban Vien, RBVH/EPS45)" r:id="rId306" minRId="391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56B201EF-617D-4B2A-B546-84796DC837AE}" dateTime="2020-04-08T15:20:56" maxSheetId="13" userName="EXTERNAL Do Phu Loc (Ban Vien, RBVH/EPS45)" r:id="rId307" minRId="3916" maxRId="3918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B5C9B969-8E6C-4D4C-B811-F36FDD31EAA9}" dateTime="2020-04-08T15:21:22" maxSheetId="13" userName="EXTERNAL Do Phu Loc (Ban Vien, RBVH/EPS45)" r:id="rId308" minRId="3919" maxRId="3921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0C361D93-3202-414A-9BD0-ECC3C24D530A}" dateTime="2020-04-08T15:35:48" maxSheetId="13" userName="EXTERNAL Do Phu Loc (Ban Vien, RBVH/EPS45)" r:id="rId309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896F1817-5734-4536-992C-9499FA61C3D0}" dateTime="2020-04-08T16:06:49" maxSheetId="13" userName="EXTERNAL Ly Chung (Ban Vien, RBVH/EPS45)" r:id="rId310" minRId="392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175B1F12-4306-4580-AE3C-27F258E6C429}" dateTime="2020-04-08T16:07:12" maxSheetId="13" userName="EXTERNAL Ly Chung (Ban Vien, RBVH/EPS45)" r:id="rId311" minRId="3930" maxRId="3931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CAF7C7AA-E00E-44F0-BD5D-70D79FB013F5}" dateTime="2020-04-08T16:17:19" maxSheetId="13" userName="EXTERNAL Do Phu Loc (Ban Vien, RBVH/EPS45)" r:id="rId312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EED4C29D-594B-49CA-B0BE-EF4B5DCCAD73}" dateTime="2020-04-08T16:22:09" maxSheetId="13" userName="EXTERNAL Nguyen Kim Thanh (Ban Vien, RBVH/EPS45)" r:id="rId313" minRId="3935" maxRId="3946">
    <sheetIdMap count="12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</sheetIdMap>
  </header>
  <header guid="{61B68D4A-5DAC-45E0-B4EA-084FB18C20A8}" dateTime="2020-04-08T16:24:54" maxSheetId="13" userName="EXTERNAL Do Phu Loc (Ban Vien, RBVH/EPS45)" r:id="rId314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0A9466F2-C7FD-4DD1-936F-3D9D5AEBF661}" dateTime="2020-04-08T16:44:01" maxSheetId="13" userName="GUP7HC" r:id="rId31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7D93244A-621A-4330-9EA7-33A4678DABE0}" dateTime="2020-04-08T17:14:28" maxSheetId="13" userName="EXTERNAL Ly Chung (Ban Vien, RBVH/EPS45)" r:id="rId316" minRId="3957" maxRId="396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FA3025DB-0954-4C27-8B1C-D04AEE8462C0}" dateTime="2020-04-08T17:15:31" maxSheetId="13" userName="EXTERNAL Ly Chung (Ban Vien, RBVH/EPS45)" r:id="rId317" minRId="3969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0C0A572F-C00D-4214-BBE6-C573FD4D9273}" dateTime="2020-04-08T17:18:00" maxSheetId="13" userName="EXTERNAL Nguyen Tuan Duong (Ban Vien, RBVH/EPS45)" r:id="rId318" minRId="3973" maxRId="3975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746008B2-67AC-4797-8D0C-7574812E5972}" dateTime="2020-04-08T17:22:02" maxSheetId="13" userName="GUP7HC" r:id="rId319" minRId="3979" maxRId="4082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  <header guid="{176010C6-2A4B-4C2D-90F8-C6A45A5F40A4}" dateTime="2020-04-08T18:25:17" maxSheetId="13" userName="EXTERNAL Nguyen Tuan Duong (Ban Vien, RBVH/EPS45)" r:id="rId320">
    <sheetIdMap count="12">
      <sheetId val="1"/>
      <sheetId val="2"/>
      <sheetId val="3"/>
      <sheetId val="4"/>
      <sheetId val="12"/>
      <sheetId val="5"/>
      <sheetId val="6"/>
      <sheetId val="7"/>
      <sheetId val="8"/>
      <sheetId val="9"/>
      <sheetId val="10"/>
      <sheetId val="11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dn rId="1" name="_xlfn.COUNTIFS" function="1" oldFunction="1" hidden="1" oldHidden="1">
    <formula>#NAME?</formula>
  </rdn>
  <rcc rId="2" sId="5">
    <nc r="E27">
      <f>COUNTIFS(COEM_Package_20200401!AF3:AF25,Table!C39,COEM_Package_20200401!O3:O25,Table!C17)</f>
    </nc>
  </rcc>
  <rcc rId="3" sId="5">
    <nc r="E28">
      <f>COUNTIFS(COEM_Package_20200401!AF3:AF25,Table!C39,COEM_Package_20200401!O3:O25,Table!C18)</f>
    </nc>
  </rcc>
  <rcc rId="4" sId="5">
    <nc r="E29">
      <f>COUNTIFS(COEM_Package_20200401!AF3:AF25,Table!C39,COEM_Package_20200401!O3:O25,Table!C19)</f>
    </nc>
  </rcc>
  <rcc rId="5" sId="5">
    <nc r="E30">
      <f>COUNTIFS(COEM_Package_20200401!AF3:AF25,Table!C39,COEM_Package_20200401!O3:O25,Table!C20)</f>
    </nc>
  </rcc>
  <rcc rId="6" sId="5">
    <nc r="F27">
      <f>COUNTIFS(COEM_Package_20200401!AF3:AF25,Table!C40,COEM_Package_20200401!O3:O25,Table!C17)</f>
    </nc>
  </rcc>
  <rcc rId="7" sId="5">
    <nc r="F28">
      <f>COUNTIFS(COEM_Package_20200401!AF3:AF25,Table!C40,COEM_Package_20200401!O3:O25,Table!C18)</f>
    </nc>
  </rcc>
  <rcc rId="8" sId="5">
    <nc r="F29">
      <f>COUNTIFS(COEM_Package_20200401!AF3:AF25,Table!C40,COEM_Package_20200401!O3:O25,Table!C19)</f>
    </nc>
  </rcc>
  <rcc rId="9" sId="5">
    <nc r="F30">
      <f>COUNTIFS(COEM_Package_20200401!AF3:AF25,Table!C40,COEM_Package_20200401!O3:O25,Table!C20)</f>
    </nc>
  </rcc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" sId="4">
    <oc r="S7">
      <f>R7</f>
    </oc>
    <nc r="S7">
      <f>R7+303-155</f>
    </nc>
  </rcc>
  <rfmt sheetId="4" sqref="S7">
    <dxf>
      <fill>
        <patternFill patternType="solid">
          <bgColor rgb="FFFF0000"/>
        </patternFill>
      </fill>
    </dxf>
  </rfmt>
  <rcc rId="20" sId="4">
    <oc r="S8">
      <f>R8</f>
    </oc>
    <nc r="S8">
      <f>R8+114-34</f>
    </nc>
  </rcc>
  <rfmt sheetId="4" sqref="S8">
    <dxf>
      <fill>
        <patternFill patternType="solid">
          <bgColor rgb="FFFF0000"/>
        </patternFill>
      </fill>
    </dxf>
  </rfmt>
  <rcc rId="21" sId="4">
    <oc r="S9">
      <f>R9</f>
    </oc>
    <nc r="S9">
      <f>R9+213-280</f>
    </nc>
  </rcc>
  <rfmt sheetId="4" sqref="S9">
    <dxf>
      <fill>
        <patternFill patternType="solid">
          <bgColor rgb="FFFF0000"/>
        </patternFill>
      </fill>
    </dxf>
  </rfmt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COEM_Package_20200302!$A$2:$AG$219</oldFormula>
  </rdn>
  <rdn rId="0" localSheetId="4" customView="1" name="Z_4E06BDBF_2CED_473B_850B_2A6C7311FF41_.wvu.Cols" hidden="1" oldHidden="1">
    <formula>COEM_Package_20200401!$P:$Q</formula>
  </rdn>
  <rdn rId="0" localSheetId="4" customView="1" name="Z_4E06BDBF_2CED_473B_850B_2A6C7311FF41_.wvu.FilterData" hidden="1" oldHidden="1">
    <formula>COEM_Package_20200401!$B$2:$AH$25</formula>
    <oldFormula>COEM_Package_20200401!$A$2:$AH$25</oldFormula>
  </rdn>
  <rcv guid="{4E06BDBF-2CED-473B-850B-2A6C7311FF41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" sId="5">
    <oc r="B25" t="inlineStr">
      <is>
        <t>4. Found Defects/ OPLs in Month (Mar):</t>
      </is>
    </oc>
    <nc r="B25" t="inlineStr">
      <is>
        <t>4. Found Defects/ OPLs in Month (Apr):</t>
      </is>
    </nc>
  </rcc>
  <rcc rId="26" sId="5">
    <oc r="B33" t="inlineStr">
      <is>
        <t>5. Leave Plan/Other activities(Mar):</t>
      </is>
    </oc>
    <nc r="B33" t="inlineStr">
      <is>
        <t>5. Leave Plan/Other activities(Apr):</t>
      </is>
    </nc>
  </rcc>
  <rcc rId="27" sId="5">
    <oc r="B10" t="inlineStr">
      <is>
        <t>2. Completed ELOCs of each member from the beginning of Month (Mar) till Now:</t>
      </is>
    </oc>
    <nc r="B10" t="inlineStr">
      <is>
        <t>2. Completed ELOCs of each member from the beginning of Month (Apr) till Now:</t>
      </is>
    </nc>
  </rcc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" sId="4" xfDxf="1" dxf="1" quotePrefix="1">
    <oc r="F13" t="inlineStr">
      <is>
        <t>-</t>
      </is>
    </oc>
    <nc r="F13" t="inlineStr">
      <is>
        <t>C:\02_CANTATA\COEM_April\_DataBase\FAW_E115_iBGen2_Int\iBoosterGen2\rb\as\faw\core\app\dcom\RBAPLCust\src\ESP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" sId="4">
    <nc r="V13">
      <v>2</v>
    </nc>
  </rcc>
  <rcc rId="30" sId="4">
    <nc r="W13" t="inlineStr">
      <is>
        <t>Ready for review</t>
      </is>
    </nc>
  </rcc>
  <rcc rId="31" sId="4" numFmtId="19">
    <nc r="Z13">
      <v>43921</v>
    </nc>
  </rcc>
  <rcc rId="32" sId="4" numFmtId="19">
    <nc r="AA13">
      <v>43921</v>
    </nc>
  </rcc>
  <rcc rId="33" sId="4">
    <nc r="AB13" t="inlineStr">
      <is>
        <t>OK</t>
      </is>
    </nc>
  </rcc>
  <rcc rId="34" sId="4">
    <nc r="AC13">
      <v>100</v>
    </nc>
  </rcc>
  <rcc rId="35" sId="4">
    <nc r="AD13">
      <v>100</v>
    </nc>
  </rcc>
  <rcc rId="36" sId="4">
    <nc r="AE13">
      <v>100</v>
    </nc>
  </rcc>
  <rcc rId="37" sId="4">
    <nc r="AF13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1" sId="1">
    <oc r="H31" t="inlineStr">
      <is>
        <t>RBAPLCUST_InputOutputControl_GeneralFunctions.c</t>
      </is>
    </oc>
    <nc r="H31" t="inlineStr">
      <is>
        <t>OPL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" sId="1">
    <nc r="AC173">
      <v>100</v>
    </nc>
  </rcc>
  <rcc rId="49" sId="1">
    <nc r="AD173">
      <v>100</v>
    </nc>
  </rcc>
  <rcc rId="50" sId="1">
    <nc r="AE173">
      <v>100</v>
    </nc>
  </rcc>
  <rcc rId="51" sId="1">
    <nc r="AC175">
      <v>100</v>
    </nc>
  </rcc>
  <rcc rId="52" sId="1">
    <nc r="AD175">
      <v>100</v>
    </nc>
  </rcc>
  <rcc rId="53" sId="1">
    <nc r="AE175">
      <v>100</v>
    </nc>
  </rcc>
  <rcc rId="54" sId="1">
    <nc r="AC163">
      <v>100</v>
    </nc>
  </rcc>
  <rcc rId="55" sId="1">
    <nc r="AD163">
      <v>100</v>
    </nc>
  </rcc>
  <rcc rId="56" sId="1">
    <nc r="AE163">
      <v>98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4 H5 H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60" sId="4">
    <oc r="S10">
      <f>R10</f>
    </oc>
    <nc r="S10"/>
  </rcc>
  <rcc rId="61" sId="4">
    <oc r="S11">
      <f>R11</f>
    </oc>
    <nc r="S11"/>
  </rcc>
  <rcc rId="62" sId="4">
    <oc r="S12">
      <f>R12</f>
    </oc>
    <nc r="S12"/>
  </rcc>
  <rcc rId="63" sId="4">
    <oc r="S13">
      <f>R13</f>
    </oc>
    <nc r="S13"/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7" sId="4">
    <nc r="S10">
      <f>R10</f>
    </nc>
  </rcc>
  <rcc rId="68" sId="4">
    <nc r="S11">
      <f>R11</f>
    </nc>
  </rcc>
  <rcc rId="69" sId="4">
    <nc r="S12">
      <f>R12</f>
    </nc>
  </rcc>
  <rcc rId="70" sId="4">
    <nc r="S13">
      <f>R13</f>
    </nc>
  </rcc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1" sId="4">
    <nc r="T13">
      <f>S13</f>
    </nc>
  </rcc>
  <rfmt sheetId="4" sqref="S10:S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2" sId="1" quotePrefix="1">
    <oc r="AF161" t="inlineStr">
      <is>
        <t>-</t>
      </is>
    </oc>
    <nc r="AF161" t="inlineStr">
      <is>
        <t>-Cant cover 100% MCDC.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COEM_Package_20200302!$B$2:$AG$219</oldFormula>
  </rdn>
  <rdn rId="0" localSheetId="4" customView="1" name="Z_60D2C030_4E31_4E07_8E1C_44D2EE84B177_.wvu.Cols" hidden="1" oldHidden="1">
    <formula>COEM_Package_20200401!$P:$Q</formula>
  </rdn>
  <rdn rId="0" localSheetId="4" customView="1" name="Z_60D2C030_4E31_4E07_8E1C_44D2EE84B177_.wvu.FilterData" hidden="1" oldHidden="1">
    <formula>COEM_Package_20200401!$B$2:$AH$25</formula>
    <oldFormula>COEM_Package_20200401!$B$2:$AH$25</oldFormula>
  </rdn>
  <rcv guid="{60D2C030-4E31-4E07-8E1C-44D2EE84B177}" action="add"/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6" sId="4" xfDxf="1" dxf="1" quotePrefix="1">
    <oc r="F11" t="inlineStr">
      <is>
        <t>-</t>
      </is>
    </oc>
    <nc r="F11" t="inlineStr">
      <is>
        <t>C:\02_CANTATA\COEM_April\_DataBase\FAW_E115_iBGen2_Int\iBoosterGen2\rb\as\faw\core\app\dcom\RBAPLCust\src\ESP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7" sId="4">
    <nc r="V11">
      <v>2</v>
    </nc>
  </rcc>
  <rcc rId="78" sId="4">
    <nc r="T11">
      <f>S11</f>
    </nc>
  </rcc>
  <rcc rId="79" sId="4">
    <nc r="W11" t="inlineStr">
      <is>
        <t>Ready for review</t>
      </is>
    </nc>
  </rcc>
  <rcc rId="80" sId="4" numFmtId="19">
    <nc r="Z11">
      <v>43921</v>
    </nc>
  </rcc>
  <rcc rId="81" sId="4" numFmtId="19">
    <nc r="AA11">
      <v>43921</v>
    </nc>
  </rcc>
  <rcc rId="82" sId="4">
    <nc r="AB11" t="inlineStr">
      <is>
        <t>OK</t>
      </is>
    </nc>
  </rcc>
  <rcc rId="83" sId="4">
    <nc r="AC11">
      <v>100</v>
    </nc>
  </rcc>
  <rcc rId="84" sId="4">
    <nc r="AD11">
      <v>100</v>
    </nc>
  </rcc>
  <rcc rId="85" sId="4">
    <nc r="AE11">
      <v>100</v>
    </nc>
  </rcc>
  <rcc rId="86" sId="4">
    <nc r="AF11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0" sId="4" xfDxf="1" dxf="1" quotePrefix="1">
    <oc r="F12" t="inlineStr">
      <is>
        <t>-</t>
      </is>
    </oc>
    <nc r="F12" t="inlineStr">
      <is>
        <t>C:\02_CANTATA\COEM_April\_DataBase\FAW_E115_iBGen2_Int\iBoosterGen2\rb\as\faw\core\app\dcom\RBAPLCust\src\ESP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94" sId="4">
    <nc r="T12">
      <f>S12</f>
    </nc>
  </rcc>
  <rcc rId="95" sId="4">
    <oc r="V11">
      <v>2</v>
    </oc>
    <nc r="V11">
      <v>1</v>
    </nc>
  </rcc>
  <rcc rId="96" sId="4">
    <nc r="V12">
      <v>0.5</v>
    </nc>
  </rcc>
  <rcc rId="97" sId="4">
    <nc r="W12" t="inlineStr">
      <is>
        <t>Ready for review</t>
      </is>
    </nc>
  </rcc>
  <rcc rId="98" sId="4" numFmtId="19">
    <nc r="Z12">
      <v>43921</v>
    </nc>
  </rcc>
  <rcc rId="99" sId="4" numFmtId="19">
    <nc r="AA12">
      <v>43921</v>
    </nc>
  </rcc>
  <rcc rId="100" sId="4">
    <nc r="AB12" t="inlineStr">
      <is>
        <t>OK</t>
      </is>
    </nc>
  </rcc>
  <rcc rId="101" sId="4">
    <nc r="AC12">
      <v>100</v>
    </nc>
  </rcc>
  <rcc rId="102" sId="4">
    <nc r="AD12">
      <v>100</v>
    </nc>
  </rcc>
  <rcc rId="103" sId="4">
    <nc r="AE12">
      <v>100</v>
    </nc>
  </rcc>
  <rcc rId="104" sId="4">
    <nc r="AF12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T30" start="0" length="0">
    <dxf>
      <font>
        <sz val="11"/>
        <color rgb="FFFF0000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T31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T32" start="0" length="0">
    <dxf>
      <font>
        <sz val="11"/>
        <color rgb="FFFF0000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08" sId="4">
    <oc r="S11">
      <f>R11</f>
    </oc>
    <nc r="S11">
      <f>R11+160-144</f>
    </nc>
  </rcc>
  <rcc rId="109" sId="4">
    <oc r="S13">
      <f>R13</f>
    </oc>
    <nc r="S13">
      <f>R13+376-354</f>
    </nc>
  </rcc>
  <rfmt sheetId="4" sqref="S13">
    <dxf>
      <fill>
        <patternFill>
          <bgColor rgb="FFFF0000"/>
        </patternFill>
      </fill>
    </dxf>
  </rfmt>
  <rfmt sheetId="4" sqref="S11">
    <dxf>
      <fill>
        <patternFill>
          <bgColor rgb="FFFF0000"/>
        </patternFill>
      </fill>
    </dxf>
  </rfmt>
  <rfmt sheetId="4" sqref="S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10" sId="4" odxf="1" dxf="1">
    <oc r="S12">
      <f>R12</f>
    </oc>
    <nc r="S12">
      <f>R12</f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1" sId="4" odxf="1" dxf="1" quotePrefix="1">
    <oc r="F10" t="inlineStr">
      <is>
        <t>rb\as\cnms_core\app\netscl\src\Callout_Functions\</t>
      </is>
    </oc>
    <nc r="F10" t="inlineStr">
      <is>
        <t>rb\as\cnms_core\app\netscl\src\Callout_Functions\
C:\02_CANTATA\COEM_April\_DataBase\FAW_E115_iBGen2_Int\iBoosterGen2\rb\as\faw\core\app\net\net_OBD_Off\RBScl\src\scl_callout</t>
      </is>
    </nc>
    <odxf>
      <alignment wrapText="0" readingOrder="0"/>
    </odxf>
    <ndxf>
      <alignment wrapText="1" readingOrder="0"/>
    </ndxf>
  </rcc>
  <rfmt sheetId="4" sqref="H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112" sId="4">
    <nc r="T10">
      <f>S10</f>
    </nc>
  </rcc>
  <rcc rId="113" sId="4">
    <nc r="V10">
      <v>0.5</v>
    </nc>
  </rcc>
  <rcc rId="114" sId="4">
    <nc r="W10" t="inlineStr">
      <is>
        <t>Ready for review</t>
      </is>
    </nc>
  </rcc>
  <rcc rId="115" sId="4">
    <nc r="AF10" t="inlineStr">
      <is>
        <t>OPL</t>
      </is>
    </nc>
  </rcc>
  <rcc rId="116" sId="4">
    <nc r="AB10" t="inlineStr">
      <is>
        <t>NG</t>
      </is>
    </nc>
  </rcc>
  <rcc rId="117" sId="4" odxf="1" dxf="1" numFmtId="19">
    <nc r="Z10">
      <v>43921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18" sId="4" odxf="1" dxf="1" numFmtId="19">
    <nc r="AA10">
      <v>43921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19" sId="4">
    <nc r="AC10">
      <v>80</v>
    </nc>
  </rcc>
  <rcc rId="120" sId="4">
    <nc r="AD10">
      <v>100</v>
    </nc>
  </rcc>
  <rcc rId="121" sId="4">
    <nc r="AE10">
      <v>100</v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S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25" sId="4" odxf="1" dxf="1">
    <oc r="S10">
      <f>R10</f>
    </oc>
    <nc r="S10">
      <f>R10</f>
    </nc>
    <n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6" sId="4">
    <nc r="T7">
      <f>S7</f>
    </nc>
  </rcc>
  <rcc rId="127" sId="4">
    <nc r="T9">
      <f>S9</f>
    </nc>
  </rcc>
  <rcc rId="128" sId="4">
    <nc r="V7">
      <v>5</v>
    </nc>
  </rcc>
  <rcc rId="129" sId="4">
    <nc r="V9">
      <v>3</v>
    </nc>
  </rcc>
  <rcc rId="130" sId="4">
    <nc r="W9" t="inlineStr">
      <is>
        <t>Ready for review</t>
      </is>
    </nc>
  </rcc>
  <rcc rId="131" sId="4" numFmtId="19">
    <nc r="Z9">
      <v>43921</v>
    </nc>
  </rcc>
  <rcc rId="132" sId="4" numFmtId="19">
    <nc r="Z7">
      <v>43921</v>
    </nc>
  </rcc>
  <rcc rId="133" sId="4" numFmtId="19">
    <nc r="AA7">
      <v>43921</v>
    </nc>
  </rcc>
  <rcc rId="134" sId="4" numFmtId="19">
    <nc r="AA9">
      <v>43921</v>
    </nc>
  </rcc>
  <rcc rId="135" sId="4">
    <nc r="AB7" t="inlineStr">
      <is>
        <t>OK</t>
      </is>
    </nc>
  </rcc>
  <rcc rId="136" sId="4">
    <nc r="AC7">
      <v>100</v>
    </nc>
  </rcc>
  <rcc rId="137" sId="4">
    <nc r="AD7">
      <v>100</v>
    </nc>
  </rcc>
  <rcc rId="138" sId="4" odxf="1" dxf="1">
    <nc r="AE7">
      <v>100</v>
    </nc>
    <odxf/>
    <ndxf/>
  </rcc>
  <rcc rId="139" sId="4" odxf="1" dxf="1">
    <nc r="AF7" t="inlineStr">
      <is>
        <t>N/A</t>
      </is>
    </nc>
    <odxf/>
    <ndxf/>
  </rcc>
  <rcc rId="140" sId="4">
    <nc r="AB9" t="inlineStr">
      <is>
        <t>OK</t>
      </is>
    </nc>
  </rcc>
  <rcc rId="141" sId="4">
    <nc r="AC9">
      <v>100</v>
    </nc>
  </rcc>
  <rcc rId="142" sId="4">
    <nc r="AD9">
      <v>100</v>
    </nc>
  </rcc>
  <rcc rId="143" sId="4">
    <nc r="AE9">
      <v>100</v>
    </nc>
  </rcc>
  <rcc rId="144" sId="4">
    <nc r="AF9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COEM_Package_20200401!$B$2:$AH$25</formula>
    <oldFormula>COEM_Package_20200401!$B$2:$AH$25</oldFormula>
  </rdn>
  <rcv guid="{4E06BDBF-2CED-473B-850B-2A6C7311FF41}" action="add"/>
</revisions>
</file>

<file path=xl/revisions/revisionLog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8" sId="4">
    <nc r="W7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COEM_Package_20200401!$B$2:$AH$25</formula>
    <oldFormula>COEM_Package_20200401!$B$2:$AH$25</oldFormula>
  </rdn>
  <rcv guid="{4E06BDBF-2CED-473B-850B-2A6C7311FF41}" action="add"/>
</revisions>
</file>

<file path=xl/revisions/revisionLog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T30:T32" start="0" length="0">
    <dxf>
      <border>
        <left/>
      </border>
    </dxf>
  </rfmt>
  <rfmt sheetId="4" sqref="T30" start="0" length="0">
    <dxf>
      <border>
        <top/>
      </border>
    </dxf>
  </rfmt>
  <rfmt sheetId="4" sqref="T30:T32" start="0" length="0">
    <dxf>
      <border>
        <right/>
      </border>
    </dxf>
  </rfmt>
  <rfmt sheetId="4" sqref="T32" start="0" length="0">
    <dxf>
      <border>
        <bottom/>
      </border>
    </dxf>
  </rfmt>
  <rfmt sheetId="4" sqref="T30:T32">
    <dxf>
      <border>
        <top/>
        <bottom/>
        <horizontal/>
      </border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55" sId="4" ref="A23:XFD25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rc rId="156" sId="4" ref="A23:XFD25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rc rId="157" sId="4" ref="A23:XFD28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rc rId="158" sId="4" ref="A23:XFD34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cc rId="159" sId="4">
    <nc r="B23">
      <f>B22+1</f>
    </nc>
  </rcc>
  <rcc rId="160" sId="4">
    <nc r="B24">
      <f>B23+1</f>
    </nc>
  </rcc>
  <rcc rId="161" sId="4">
    <nc r="B25">
      <f>B24+1</f>
    </nc>
  </rcc>
  <rcc rId="162" sId="4">
    <nc r="B26">
      <f>B25+1</f>
    </nc>
  </rcc>
  <rcc rId="163" sId="4">
    <nc r="B27">
      <f>B26+1</f>
    </nc>
  </rcc>
  <rcc rId="164" sId="4">
    <nc r="B28">
      <f>B27+1</f>
    </nc>
  </rcc>
  <rcc rId="165" sId="4">
    <nc r="B29">
      <f>B28+1</f>
    </nc>
  </rcc>
  <rcc rId="166" sId="4">
    <nc r="B30">
      <f>B29+1</f>
    </nc>
  </rcc>
  <rcc rId="167" sId="4">
    <nc r="B31">
      <f>B30+1</f>
    </nc>
  </rcc>
  <rcc rId="168" sId="4">
    <nc r="B32">
      <f>B31+1</f>
    </nc>
  </rcc>
  <rcc rId="169" sId="4">
    <nc r="B33">
      <f>B32+1</f>
    </nc>
  </rcc>
  <rcc rId="170" sId="4">
    <nc r="B34">
      <f>B33+1</f>
    </nc>
  </rcc>
  <rcc rId="171" sId="4">
    <nc r="B35">
      <f>B34+1</f>
    </nc>
  </rcc>
  <rcc rId="172" sId="4">
    <nc r="B36">
      <f>B35+1</f>
    </nc>
  </rcc>
  <rcc rId="173" sId="4">
    <nc r="B37">
      <f>B36+1</f>
    </nc>
  </rcc>
  <rcc rId="174" sId="4">
    <nc r="B38">
      <f>B37+1</f>
    </nc>
  </rcc>
  <rcc rId="175" sId="4">
    <nc r="B39">
      <f>B38+1</f>
    </nc>
  </rcc>
  <rcc rId="176" sId="4">
    <nc r="B40">
      <f>B39+1</f>
    </nc>
  </rcc>
  <rcc rId="177" sId="4">
    <nc r="B41">
      <f>B40+1</f>
    </nc>
  </rcc>
  <rcc rId="178" sId="4">
    <nc r="B42">
      <f>B41+1</f>
    </nc>
  </rcc>
  <rcc rId="179" sId="4">
    <nc r="B43">
      <f>B42+1</f>
    </nc>
  </rcc>
  <rcc rId="180" sId="4">
    <nc r="B44">
      <f>B43+1</f>
    </nc>
  </rcc>
  <rcc rId="181" sId="4">
    <nc r="B45">
      <f>B44+1</f>
    </nc>
  </rcc>
  <rcc rId="182" sId="4">
    <nc r="B46">
      <f>B45+1</f>
    </nc>
  </rcc>
  <rcc rId="183" sId="4">
    <oc r="B47">
      <f>B22+1</f>
    </oc>
    <nc r="B47">
      <f>B46+1</f>
    </nc>
  </rcc>
  <rcc rId="184" sId="4">
    <oc r="B48">
      <f>B47+1</f>
    </oc>
    <nc r="B48">
      <f>B47+1</f>
    </nc>
  </rcc>
  <rcc rId="185" sId="4">
    <nc r="C22">
      <v>20200331</v>
    </nc>
  </rcc>
  <rcc rId="186" sId="4">
    <nc r="C23">
      <v>20200331</v>
    </nc>
  </rcc>
  <rcc rId="187" sId="4">
    <nc r="C24">
      <v>20200331</v>
    </nc>
  </rcc>
  <rcc rId="188" sId="4">
    <nc r="C25">
      <v>20200331</v>
    </nc>
  </rcc>
  <rcc rId="189" sId="4">
    <nc r="C26">
      <v>20200331</v>
    </nc>
  </rcc>
  <rcc rId="190" sId="4">
    <nc r="C27">
      <v>20200331</v>
    </nc>
  </rcc>
  <rcc rId="191" sId="4">
    <nc r="C28">
      <v>20200331</v>
    </nc>
  </rcc>
  <rcc rId="192" sId="4">
    <nc r="C29">
      <v>20200331</v>
    </nc>
  </rcc>
  <rcc rId="193" sId="4">
    <nc r="C30">
      <v>20200331</v>
    </nc>
  </rcc>
  <rcc rId="194" sId="4">
    <nc r="C31">
      <v>20200331</v>
    </nc>
  </rcc>
  <rcc rId="195" sId="4">
    <nc r="C32">
      <v>20200331</v>
    </nc>
  </rcc>
  <rcc rId="196" sId="4">
    <nc r="C33">
      <v>20200331</v>
    </nc>
  </rcc>
  <rcc rId="197" sId="4">
    <nc r="C34">
      <v>20200331</v>
    </nc>
  </rcc>
  <rcc rId="198" sId="4">
    <nc r="C35">
      <v>20200331</v>
    </nc>
  </rcc>
  <rcc rId="199" sId="4">
    <nc r="C36">
      <v>20200331</v>
    </nc>
  </rcc>
  <rcc rId="200" sId="4">
    <nc r="C37">
      <v>20200331</v>
    </nc>
  </rcc>
  <rcc rId="201" sId="4">
    <nc r="C38">
      <v>20200331</v>
    </nc>
  </rcc>
  <rcc rId="202" sId="4">
    <nc r="C39">
      <v>20200331</v>
    </nc>
  </rcc>
  <rcc rId="203" sId="4">
    <nc r="C40">
      <v>20200331</v>
    </nc>
  </rcc>
  <rcc rId="204" sId="4">
    <nc r="C41">
      <v>20200331</v>
    </nc>
  </rcc>
  <rcc rId="205" sId="4">
    <nc r="C42">
      <v>20200331</v>
    </nc>
  </rcc>
  <rcc rId="206" sId="4">
    <nc r="C43">
      <v>20200331</v>
    </nc>
  </rcc>
  <rcc rId="207" sId="4">
    <nc r="C44">
      <v>20200331</v>
    </nc>
  </rcc>
  <rcc rId="208" sId="4">
    <nc r="C45">
      <v>20200331</v>
    </nc>
  </rcc>
  <rcc rId="209" sId="4">
    <nc r="C46">
      <v>20200331</v>
    </nc>
  </rcc>
  <rcc rId="210" sId="4">
    <nc r="C47">
      <v>20200331</v>
    </nc>
  </rcc>
  <rcc rId="211" sId="4">
    <nc r="C48">
      <v>20200331</v>
    </nc>
  </rcc>
  <rcc rId="212" sId="4" xfDxf="1" dxf="1">
    <nc r="E22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3" sId="4" xfDxf="1" dxf="1">
    <nc r="E23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4" sId="4" xfDxf="1" dxf="1">
    <nc r="E24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5" sId="4" xfDxf="1" dxf="1">
    <nc r="E25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6" sId="4" xfDxf="1" dxf="1">
    <nc r="E26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7" sId="4" xfDxf="1" dxf="1">
    <nc r="E27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8" sId="4" xfDxf="1" dxf="1">
    <nc r="E28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9" sId="4" xfDxf="1" dxf="1">
    <nc r="E29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" sId="4" xfDxf="1" dxf="1">
    <nc r="E30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1" sId="4" xfDxf="1" dxf="1">
    <nc r="E31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" sId="4" xfDxf="1" dxf="1">
    <nc r="E32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" sId="4" xfDxf="1" dxf="1">
    <nc r="E33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" sId="4" xfDxf="1" dxf="1">
    <nc r="E34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5" sId="4" xfDxf="1" dxf="1">
    <nc r="E35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" sId="4" xfDxf="1" dxf="1">
    <nc r="E36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" sId="4" xfDxf="1" dxf="1">
    <nc r="E37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8" sId="4" xfDxf="1" dxf="1">
    <nc r="E38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" sId="4" xfDxf="1" dxf="1">
    <nc r="E39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" sId="4" xfDxf="1" dxf="1">
    <nc r="E40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1" sId="4" xfDxf="1" dxf="1">
    <nc r="E41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2" sId="4" xfDxf="1" dxf="1">
    <nc r="E42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3" sId="4" xfDxf="1" dxf="1">
    <nc r="E43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4" sId="4" xfDxf="1" dxf="1">
    <nc r="E44" t="inlineStr">
      <is>
        <t>SAIC SV51H iBooster BSS05 SP04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5" sId="4" xfDxf="1" dxf="1">
    <nc r="E45" t="inlineStr">
      <is>
        <t>SAIC SV51H iBooster BSS05 SP04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6" sId="4" xfDxf="1" dxf="1">
    <nc r="E46" t="inlineStr">
      <is>
        <t>BYD_IPB_SW_Mainstream_BL05_SP10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7" sId="4" xfDxf="1" dxf="1">
    <nc r="E47" t="inlineStr">
      <is>
        <t>BYD_IPB_SW_Mainstream_BL05_SP10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8" sId="4" xfDxf="1" dxf="1">
    <nc r="E48" t="inlineStr">
      <is>
        <t>DFN_ESP_Gen9.3_534_238307_BS03SP02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9" sId="4" odxf="1" dxf="1">
    <nc r="D22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0" sId="4" odxf="1" dxf="1">
    <nc r="D23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1" sId="4" odxf="1" dxf="1">
    <nc r="D24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2" sId="4" odxf="1" dxf="1">
    <nc r="D25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3" sId="4" odxf="1" dxf="1">
    <nc r="D26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4" sId="4" odxf="1" dxf="1">
    <nc r="D27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5" sId="4" odxf="1" dxf="1">
    <nc r="D28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6" sId="4" odxf="1" dxf="1">
    <nc r="D29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7" sId="4" odxf="1" dxf="1">
    <nc r="D30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8" sId="4" odxf="1" dxf="1">
    <nc r="D31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9" sId="4" odxf="1" dxf="1">
    <nc r="D32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0" sId="4" odxf="1" dxf="1">
    <nc r="D33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1" sId="4" odxf="1" dxf="1">
    <nc r="D34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2" sId="4" odxf="1" dxf="1">
    <nc r="D35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3" sId="4" odxf="1" dxf="1">
    <nc r="D36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4" sId="4" odxf="1" dxf="1">
    <nc r="D37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5" sId="4" odxf="1" dxf="1">
    <nc r="D38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6" sId="4" odxf="1" dxf="1">
    <nc r="D39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7" sId="4" odxf="1" dxf="1">
    <nc r="D40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8" sId="4" odxf="1" dxf="1">
    <nc r="D41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9" sId="4" odxf="1" dxf="1">
    <nc r="D42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0" sId="4" odxf="1" dxf="1">
    <nc r="D43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1" sId="4" odxf="1" dxf="1">
    <nc r="D44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2" sId="4" odxf="1" dxf="1">
    <nc r="D45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3" sId="4" odxf="1" dxf="1">
    <nc r="D46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4" sId="4" odxf="1" dxf="1">
    <nc r="D47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5" sId="4" odxf="1" dxf="1">
    <nc r="D48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D49" start="0" length="0">
    <dxf>
      <font>
        <sz val="11"/>
        <color auto="1"/>
        <name val="Calibri"/>
        <scheme val="minor"/>
      </font>
    </dxf>
  </rfmt>
  <rcc rId="266" sId="4" xfDxf="1" dxf="1" quotePrefix="1">
    <nc r="F22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7" sId="4" xfDxf="1" dxf="1" quotePrefix="1">
    <nc r="F23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8" sId="4" xfDxf="1" dxf="1" quotePrefix="1">
    <nc r="F24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9" sId="4" xfDxf="1" dxf="1" quotePrefix="1">
    <nc r="F25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" sId="4" xfDxf="1" dxf="1" quotePrefix="1">
    <nc r="F26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1" sId="4" xfDxf="1" dxf="1" quotePrefix="1">
    <nc r="F27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2" sId="4" xfDxf="1" dxf="1" quotePrefix="1">
    <nc r="F28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3" sId="4" xfDxf="1" dxf="1" quotePrefix="1">
    <nc r="F29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4" sId="4" xfDxf="1" dxf="1" quotePrefix="1">
    <nc r="F30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5" sId="4" xfDxf="1" dxf="1" quotePrefix="1">
    <nc r="F31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" sId="4" xfDxf="1" dxf="1" quotePrefix="1">
    <nc r="F32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" sId="4" xfDxf="1" dxf="1" quotePrefix="1">
    <nc r="F33" t="inlineStr">
      <is>
        <t xml:space="preserve">rb/as/cnms_core/app/dsm/DemVar/src/    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8" sId="4" xfDxf="1" dxf="1" quotePrefix="1">
    <nc r="F34" t="inlineStr">
      <is>
        <t xml:space="preserve">rb/as/cnms_core/app/dsm/RBVAR/src/     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9" sId="4" xfDxf="1" dxf="1" quotePrefix="1">
    <nc r="F35" t="inlineStr">
      <is>
        <t xml:space="preserve">rb/as/gwm/cp/app/dsm/RBWarningIndicator/src/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" sId="4" xfDxf="1" dxf="1" quotePrefix="1">
    <nc r="F36" t="inlineStr">
      <is>
        <t xml:space="preserve">rb/as/gwm/cp/app/dsm/RBHMI/src/        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" sId="4" xfDxf="1" dxf="1" quotePrefix="1">
    <nc r="F37" t="inlineStr">
      <is>
        <t xml:space="preserve">rb/as/gwm/cp/app/dsm/RBVAR/BB80433/src/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" sId="4" xfDxf="1" dxf="1" quotePrefix="1">
    <nc r="F38" t="inlineStr">
      <is>
        <t xml:space="preserve">rb/as/gwm/cp/app/dsm/RBVAR/BB80431/src/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3" sId="4" xfDxf="1" dxf="1" quotePrefix="1">
    <nc r="F39" t="inlineStr">
      <is>
        <t xml:space="preserve">rb/as/gwm/cp/app/dsm/RBVAR/BB81003/src/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4" sId="4" xfDxf="1" dxf="1" quotePrefix="1">
    <nc r="F40" t="inlineStr">
      <is>
        <t xml:space="preserve">rb/as/gwm/cp/app/dsm/RBVAR/BB80433/src/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5" sId="4" xfDxf="1" dxf="1" quotePrefix="1">
    <nc r="F41" t="inlineStr">
      <is>
        <t xml:space="preserve">rb/as/gwm/cp/app/dsm/RBVAR/BB80431/src/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6" sId="4" xfDxf="1" dxf="1" quotePrefix="1">
    <nc r="F42" t="inlineStr">
      <is>
        <t xml:space="preserve">rb/as/gwm/cp/app/dsm/RBVAR/BB81003/src/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7" sId="4" xfDxf="1" dxf="1" quotePrefix="1">
    <nc r="F43" t="inlineStr">
      <is>
        <t>rb/as/gwm/cp/dsmpr/src/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8" sId="4" xfDxf="1" dxf="1" quotePrefix="1">
    <nc r="F44" t="inlineStr">
      <is>
        <t>rb/as/saic51/core/app/dcom/RBAPLCust/src/common/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9" sId="4" xfDxf="1" dxf="1" quotePrefix="1">
    <nc r="F45" t="inlineStr">
      <is>
        <t>rb/as/saic/core/app/dcom/RBAPLCust/src/common/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0" sId="4" xfDxf="1" dxf="1" quotePrefix="1">
    <nc r="F46" t="inlineStr">
      <is>
        <t>/RBAPLCust/src/IPB/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1" sId="4" xfDxf="1" dxf="1" quotePrefix="1">
    <nc r="F47" t="inlineStr">
      <is>
        <t>/RBAPLCust/src/IPB/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2" sId="4" xfDxf="1" dxf="1" quotePrefix="1">
    <nc r="F48" t="inlineStr">
      <is>
        <t>rb/as/venucia/project/app/dsm/RBVAR/src/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3" sId="4">
    <oc r="B49">
      <f>B48+1</f>
    </oc>
    <nc r="B49">
      <v>47</v>
    </nc>
  </rcc>
  <rcc rId="294" sId="4" xfDxf="1" dxf="1">
    <nc r="G22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5" sId="4" xfDxf="1" dxf="1">
    <nc r="G23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6" sId="4" xfDxf="1" dxf="1">
    <nc r="G24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7" sId="4" xfDxf="1" dxf="1">
    <nc r="G25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8" sId="4" xfDxf="1" dxf="1">
    <nc r="G26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9" sId="4" xfDxf="1" dxf="1">
    <nc r="G27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0" sId="4" xfDxf="1" dxf="1">
    <nc r="G28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1" sId="4" xfDxf="1" dxf="1">
    <nc r="G29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2" sId="4" xfDxf="1" dxf="1">
    <nc r="G30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3" sId="4" xfDxf="1" dxf="1">
    <nc r="G31">
      <v>1372753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4" sId="4" xfDxf="1" dxf="1">
    <nc r="G32">
      <v>1372753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5" sId="4" xfDxf="1" dxf="1">
    <nc r="G33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6" sId="4" xfDxf="1" dxf="1">
    <nc r="G34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7" sId="4" xfDxf="1" dxf="1">
    <nc r="G35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8" sId="4" xfDxf="1" dxf="1">
    <nc r="G36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9" sId="4" xfDxf="1" dxf="1">
    <nc r="G37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0" sId="4" xfDxf="1" dxf="1">
    <nc r="G38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1" sId="4" xfDxf="1" dxf="1">
    <nc r="G39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2" sId="4" xfDxf="1" dxf="1">
    <nc r="G40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3" sId="4" xfDxf="1" dxf="1">
    <nc r="G41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4" sId="4" xfDxf="1" dxf="1">
    <nc r="G42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5" sId="4" xfDxf="1" dxf="1">
    <nc r="G43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6" sId="4" xfDxf="1" dxf="1">
    <nc r="G44">
      <v>1397051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7" sId="4" xfDxf="1" dxf="1">
    <nc r="G45">
      <v>1397036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8" sId="4" xfDxf="1" dxf="1">
    <nc r="G46">
      <v>1396341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9" sId="4" xfDxf="1" dxf="1">
    <nc r="G47">
      <v>1396341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0" sId="4" xfDxf="1" dxf="1">
    <nc r="G48">
      <v>1395915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4" xfDxf="1" sqref="H2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9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0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1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9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0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1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321" sId="4">
    <nc r="I23" t="inlineStr">
      <is>
        <t>Manual</t>
      </is>
    </nc>
  </rcc>
  <rcc rId="322" sId="4">
    <nc r="I22" t="inlineStr">
      <is>
        <t>Manual</t>
      </is>
    </nc>
  </rcc>
  <rcc rId="323" sId="4">
    <nc r="I24" t="inlineStr">
      <is>
        <t>Manual</t>
      </is>
    </nc>
  </rcc>
  <rcc rId="324" sId="4">
    <nc r="I25" t="inlineStr">
      <is>
        <t>Manual</t>
      </is>
    </nc>
  </rcc>
  <rcc rId="325" sId="4">
    <nc r="I26" t="inlineStr">
      <is>
        <t>Manual</t>
      </is>
    </nc>
  </rcc>
  <rcc rId="326" sId="4">
    <nc r="I27" t="inlineStr">
      <is>
        <t>Manual</t>
      </is>
    </nc>
  </rcc>
  <rcc rId="327" sId="4">
    <nc r="I28" t="inlineStr">
      <is>
        <t>Manual</t>
      </is>
    </nc>
  </rcc>
  <rcc rId="328" sId="4">
    <nc r="I29" t="inlineStr">
      <is>
        <t>Manual</t>
      </is>
    </nc>
  </rcc>
  <rcc rId="329" sId="4">
    <nc r="I30" t="inlineStr">
      <is>
        <t>Manual</t>
      </is>
    </nc>
  </rcc>
  <rcc rId="330" sId="4">
    <nc r="I31" t="inlineStr">
      <is>
        <t>Manual</t>
      </is>
    </nc>
  </rcc>
  <rcc rId="331" sId="4">
    <nc r="I32" t="inlineStr">
      <is>
        <t>Manual</t>
      </is>
    </nc>
  </rcc>
  <rcc rId="332" sId="4">
    <nc r="I33" t="inlineStr">
      <is>
        <t>Auto</t>
      </is>
    </nc>
  </rcc>
  <rcc rId="333" sId="4">
    <nc r="I34" t="inlineStr">
      <is>
        <t>Auto</t>
      </is>
    </nc>
  </rcc>
  <rcc rId="334" sId="4">
    <nc r="I35" t="inlineStr">
      <is>
        <t>Auto</t>
      </is>
    </nc>
  </rcc>
  <rcc rId="335" sId="4">
    <nc r="I36" t="inlineStr">
      <is>
        <t>Auto</t>
      </is>
    </nc>
  </rcc>
  <rcc rId="336" sId="4">
    <nc r="I37" t="inlineStr">
      <is>
        <t>Auto</t>
      </is>
    </nc>
  </rcc>
  <rcc rId="337" sId="4">
    <nc r="I38" t="inlineStr">
      <is>
        <t>Auto</t>
      </is>
    </nc>
  </rcc>
  <rcc rId="338" sId="4">
    <nc r="I39" t="inlineStr">
      <is>
        <t>Auto</t>
      </is>
    </nc>
  </rcc>
  <rcc rId="339" sId="4">
    <nc r="I40" t="inlineStr">
      <is>
        <t>Auto</t>
      </is>
    </nc>
  </rcc>
  <rcc rId="340" sId="4">
    <nc r="I41" t="inlineStr">
      <is>
        <t>Auto</t>
      </is>
    </nc>
  </rcc>
  <rcc rId="341" sId="4">
    <nc r="I42" t="inlineStr">
      <is>
        <t>Auto</t>
      </is>
    </nc>
  </rcc>
  <rcc rId="342" sId="4">
    <nc r="I43" t="inlineStr">
      <is>
        <t>Auto</t>
      </is>
    </nc>
  </rcc>
  <rcc rId="343" sId="4">
    <nc r="I44" t="inlineStr">
      <is>
        <t>Auto</t>
      </is>
    </nc>
  </rcc>
  <rcc rId="344" sId="4">
    <nc r="I45" t="inlineStr">
      <is>
        <t>Auto</t>
      </is>
    </nc>
  </rcc>
  <rcc rId="345" sId="4">
    <nc r="I46" t="inlineStr">
      <is>
        <t>Auto</t>
      </is>
    </nc>
  </rcc>
  <rcc rId="346" sId="4">
    <nc r="I47" t="inlineStr">
      <is>
        <t>Auto</t>
      </is>
    </nc>
  </rcc>
  <rcc rId="347" sId="4" xfDxf="1" dxf="1">
    <nc r="R22">
      <v>160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8" sId="4" xfDxf="1" dxf="1">
    <nc r="R23">
      <v>23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9" sId="4" xfDxf="1" dxf="1">
    <nc r="R24">
      <v>376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0" sId="4" xfDxf="1" dxf="1">
    <nc r="R25">
      <v>54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1" sId="4" xfDxf="1" dxf="1">
    <nc r="R26">
      <v>130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2" sId="4" xfDxf="1" dxf="1">
    <nc r="R27">
      <v>77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3" sId="4" xfDxf="1" dxf="1">
    <nc r="R28">
      <v>200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4" sId="4" xfDxf="1" dxf="1">
    <nc r="R29">
      <v>199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5" sId="4" xfDxf="1" dxf="1">
    <nc r="R30">
      <v>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6" sId="4" xfDxf="1" dxf="1">
    <nc r="R31">
      <v>84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7" sId="4" xfDxf="1" dxf="1">
    <nc r="R32">
      <v>259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8" sId="4" xfDxf="1" dxf="1">
    <nc r="R33">
      <v>155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9" sId="4" xfDxf="1" dxf="1">
    <nc r="R34">
      <v>21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0" sId="4" xfDxf="1" dxf="1">
    <nc r="R35">
      <v>165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1" sId="4" xfDxf="1" dxf="1">
    <nc r="R36">
      <v>280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2" sId="4" xfDxf="1" dxf="1">
    <nc r="R37">
      <v>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" sId="4" xfDxf="1" dxf="1">
    <nc r="R38">
      <v>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" sId="4" xfDxf="1" dxf="1">
    <nc r="R39">
      <v>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5" sId="4" xfDxf="1" dxf="1">
    <nc r="R40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6" sId="4" xfDxf="1" dxf="1">
    <nc r="R41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7" sId="4" xfDxf="1" dxf="1">
    <nc r="R42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8" sId="4" xfDxf="1" dxf="1">
    <nc r="R43">
      <v>220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9" sId="4" xfDxf="1" dxf="1">
    <nc r="R44">
      <v>156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0" sId="4" xfDxf="1" dxf="1">
    <nc r="R45">
      <v>156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1" sId="4" xfDxf="1" dxf="1">
    <nc r="R46">
      <v>46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2" sId="4" xfDxf="1" dxf="1">
    <nc r="R47">
      <v>40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3" sId="4" xfDxf="1" dxf="1">
    <nc r="R48">
      <v>136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4" sId="4">
    <nc r="N22" t="inlineStr">
      <is>
        <t>T_C-237</t>
      </is>
    </nc>
  </rcc>
  <rcc rId="375" sId="4">
    <nc r="N23" t="inlineStr">
      <is>
        <t>T_C-238</t>
      </is>
    </nc>
  </rcc>
  <rcc rId="376" sId="4">
    <nc r="N24" t="inlineStr">
      <is>
        <t>T_C-239</t>
      </is>
    </nc>
  </rcc>
  <rcc rId="377" sId="4">
    <nc r="N25" t="inlineStr">
      <is>
        <t>T_C-240</t>
      </is>
    </nc>
  </rcc>
  <rcc rId="378" sId="4">
    <nc r="N26" t="inlineStr">
      <is>
        <t>T_C-241</t>
      </is>
    </nc>
  </rcc>
  <rcc rId="379" sId="4">
    <nc r="N27" t="inlineStr">
      <is>
        <t>T_C-242</t>
      </is>
    </nc>
  </rcc>
  <rcc rId="380" sId="4">
    <nc r="N28" t="inlineStr">
      <is>
        <t>T_C-243</t>
      </is>
    </nc>
  </rcc>
  <rcc rId="381" sId="4">
    <nc r="N29" t="inlineStr">
      <is>
        <t>T_C-244</t>
      </is>
    </nc>
  </rcc>
  <rcc rId="382" sId="4">
    <nc r="N30" t="inlineStr">
      <is>
        <t>T_C-245</t>
      </is>
    </nc>
  </rcc>
  <rcc rId="383" sId="4">
    <nc r="N31" t="inlineStr">
      <is>
        <t>T_C-246</t>
      </is>
    </nc>
  </rcc>
  <rcc rId="384" sId="4">
    <nc r="N32" t="inlineStr">
      <is>
        <t>T_C-247</t>
      </is>
    </nc>
  </rcc>
  <rcc rId="385" sId="4">
    <nc r="N33" t="inlineStr">
      <is>
        <t>T_C-248</t>
      </is>
    </nc>
  </rcc>
  <rcc rId="386" sId="4">
    <nc r="N34" t="inlineStr">
      <is>
        <t>T_C-249</t>
      </is>
    </nc>
  </rcc>
  <rcc rId="387" sId="4">
    <nc r="N35" t="inlineStr">
      <is>
        <t>T_C-250</t>
      </is>
    </nc>
  </rcc>
  <rcc rId="388" sId="4">
    <nc r="N36" t="inlineStr">
      <is>
        <t>T_C-251</t>
      </is>
    </nc>
  </rcc>
  <rcc rId="389" sId="4">
    <nc r="N37" t="inlineStr">
      <is>
        <t>T_C-252</t>
      </is>
    </nc>
  </rcc>
  <rcc rId="390" sId="4">
    <nc r="N38" t="inlineStr">
      <is>
        <t>T_C-253</t>
      </is>
    </nc>
  </rcc>
  <rcc rId="391" sId="4">
    <nc r="N39" t="inlineStr">
      <is>
        <t>T_C-254</t>
      </is>
    </nc>
  </rcc>
  <rcc rId="392" sId="4">
    <nc r="N40" t="inlineStr">
      <is>
        <t>T_C-255</t>
      </is>
    </nc>
  </rcc>
  <rcc rId="393" sId="4">
    <nc r="N41" t="inlineStr">
      <is>
        <t>T_C-256</t>
      </is>
    </nc>
  </rcc>
  <rcc rId="394" sId="4">
    <nc r="N42" t="inlineStr">
      <is>
        <t>T_C-257</t>
      </is>
    </nc>
  </rcc>
  <rcc rId="395" sId="4">
    <nc r="N43" t="inlineStr">
      <is>
        <t>T_C-258</t>
      </is>
    </nc>
  </rcc>
  <rcc rId="396" sId="4">
    <nc r="N44" t="inlineStr">
      <is>
        <t>T_C-259</t>
      </is>
    </nc>
  </rcc>
  <rcc rId="397" sId="4">
    <nc r="N45" t="inlineStr">
      <is>
        <t>T_C-260</t>
      </is>
    </nc>
  </rcc>
  <rcc rId="398" sId="4">
    <nc r="N46" t="inlineStr">
      <is>
        <t>T_C-261</t>
      </is>
    </nc>
  </rcc>
  <rcc rId="399" sId="4">
    <nc r="N47" t="inlineStr">
      <is>
        <t>T_C-262</t>
      </is>
    </nc>
  </rcc>
  <rcc rId="400" sId="4">
    <nc r="N48" t="inlineStr">
      <is>
        <t>T_C-263</t>
      </is>
    </nc>
  </rcc>
  <rcc rId="401" sId="4" xfDxf="1" dxf="1">
    <nc r="H22" t="inlineStr">
      <is>
        <t>RBAPLCUST_RDBI_IOCtrlState.c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2" sId="4" xfDxf="1" dxf="1">
    <nc r="H23" t="inlineStr">
      <is>
        <t>RBAPLCUST_RDBI_PBC.c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3" sId="4" xfDxf="1" dxf="1">
    <nc r="H24" t="inlineStr">
      <is>
        <t>RBAPLCUST_RoutineControl_APBMi.c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4" sId="4" xfDxf="1" dxf="1">
    <nc r="H25" t="inlineStr">
      <is>
        <t>RBAPLCUST_RDBI_InputData.c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5" sId="4" xfDxf="1" dxf="1">
    <nc r="H26" t="inlineStr">
      <is>
        <t>RBAPLCUST_VariandCode.c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6" sId="4" xfDxf="1" dxf="1">
    <nc r="H27" t="inlineStr">
      <is>
        <t>RBAPLCUST_RDBI_AnalogData.c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7" sId="4" xfDxf="1" dxf="1">
    <nc r="H28" t="inlineStr">
      <is>
        <t>RBAPLCUST_RoutineControl_iBoosterActuatorTest.c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8" sId="4" xfDxf="1" dxf="1">
    <nc r="H29" t="inlineStr">
      <is>
        <t>RBAPLOBD_Data.c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9" sId="4" xfDxf="1" dxf="1">
    <nc r="H30" t="inlineStr">
      <is>
        <t>RBAPLOBD_Global.c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0" sId="4" xfDxf="1" dxf="1">
    <nc r="H31" t="inlineStr">
      <is>
        <t>DcmAppl_DcmSwitchCommunicationControl.c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1" sId="4" xfDxf="1" dxf="1">
    <nc r="H32" t="inlineStr">
      <is>
        <t>RBAPLCUST_DiagnosticSessionControl.c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2" sId="4" xfDxf="1" dxf="1">
    <nc r="H33" t="inlineStr">
      <is>
        <t>Dem_VarCodeHandling.c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3" sId="4" xfDxf="1" dxf="1">
    <nc r="H34" t="inlineStr">
      <is>
        <t>RBVAR_SystemStateManagement_COMMON.c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4" sId="4" xfDxf="1" dxf="1">
    <nc r="H35" t="inlineStr">
      <is>
        <t>Dem_PrjSpecificIndiHandling.c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5" sId="4" xfDxf="1" dxf="1">
    <nc r="H36" t="inlineStr">
      <is>
        <t>RBHMI_ConfigOutputDriver_PRJ.c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6" sId="4" xfDxf="1" dxf="1">
    <nc r="H37" t="inlineStr">
      <is>
        <t>RBVAR_OutputDriver_PROJECT.c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7" sId="4" xfDxf="1" dxf="1">
    <nc r="H38" t="inlineStr">
      <is>
        <t>RBVAR_OutputDriver_PROJECT.c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8" sId="4" xfDxf="1" dxf="1">
    <nc r="H39" t="inlineStr">
      <is>
        <t>RBVAR_OutputDriver_PROJECT.c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9" sId="4" xfDxf="1" dxf="1">
    <nc r="H40" t="inlineStr">
      <is>
        <t>RBVAR_VarCode_PROJECT.c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0" sId="4" xfDxf="1" dxf="1">
    <nc r="H41" t="inlineStr">
      <is>
        <t>RBVAR_VarCode_PROJECT.c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1" sId="4" xfDxf="1" dxf="1">
    <nc r="H42" t="inlineStr">
      <is>
        <t>RBVAR_VarCode_PROJECT.c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2" sId="4" xfDxf="1" dxf="1">
    <nc r="H43" t="inlineStr">
      <is>
        <t>RBPduHandler_Callouts.c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3" sId="4" xfDxf="1" dxf="1">
    <nc r="H44" t="inlineStr">
      <is>
        <t>RBAPLCUST_RDBI_SnapshotInfo.c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4" sId="4" xfDxf="1" dxf="1">
    <nc r="H45" t="inlineStr">
      <is>
        <t>RBAPLCUST_RDBI_SnapshotInfo.c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5" sId="4" xfDxf="1" dxf="1">
    <nc r="H46" t="inlineStr">
      <is>
        <t>RBAPLCUST_BYD_WDBI_NVMData.c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6" sId="4" xfDxf="1" dxf="1">
    <nc r="H47" t="inlineStr">
      <is>
        <t>RBAPLCUST_BYD_RBDI_AnalogData.c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7" sId="4" xfDxf="1" dxf="1">
    <nc r="H48" t="inlineStr">
      <is>
        <t>RBMCounter.c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8" sId="4">
    <nc r="I48" t="inlineStr">
      <is>
        <t>Auto</t>
      </is>
    </nc>
  </rcc>
  <rcc rId="429" sId="4" xfDxf="1" dxf="1">
    <nc r="J22">
      <v>99180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0" sId="4">
    <nc r="J23">
      <v>99180</v>
    </nc>
  </rcc>
  <rcc rId="431" sId="4">
    <nc r="J24">
      <v>99180</v>
    </nc>
  </rcc>
  <rcc rId="432" sId="4">
    <nc r="J25">
      <v>99180</v>
    </nc>
  </rcc>
  <rcc rId="433" sId="4">
    <nc r="J26">
      <v>99180</v>
    </nc>
  </rcc>
  <rcc rId="434" sId="4">
    <nc r="J27">
      <v>99180</v>
    </nc>
  </rcc>
  <rcc rId="435" sId="4">
    <nc r="J28">
      <v>99180</v>
    </nc>
  </rcc>
  <rcc rId="436" sId="4">
    <nc r="J29">
      <v>99180</v>
    </nc>
  </rcc>
  <rcc rId="437" sId="4">
    <nc r="J30">
      <v>99180</v>
    </nc>
  </rcc>
  <rcc rId="438" sId="4" xfDxf="1" dxf="1">
    <nc r="J31">
      <v>99181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9" sId="4">
    <nc r="J32">
      <v>99181</v>
    </nc>
  </rcc>
  <rcc rId="440" sId="4" xfDxf="1" dxf="1">
    <nc r="J33" t="inlineStr">
      <is>
        <t>80431, 80433, 81003</t>
      </is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1" sId="4">
    <nc r="J34" t="inlineStr">
      <is>
        <t>80431, 80433, 81004</t>
      </is>
    </nc>
  </rcc>
  <rcc rId="442" sId="4">
    <nc r="J35" t="inlineStr">
      <is>
        <t>80431, 80433, 81005</t>
      </is>
    </nc>
  </rcc>
  <rcc rId="443" sId="4">
    <nc r="J36" t="inlineStr">
      <is>
        <t>80431, 80433, 81006</t>
      </is>
    </nc>
  </rcc>
  <rcc rId="444" sId="4">
    <nc r="J37" t="inlineStr">
      <is>
        <t>80431, 80433, 81007</t>
      </is>
    </nc>
  </rcc>
  <rcc rId="445" sId="4">
    <nc r="J38" t="inlineStr">
      <is>
        <t>80431, 80433, 81008</t>
      </is>
    </nc>
  </rcc>
  <rcc rId="446" sId="4">
    <nc r="J39" t="inlineStr">
      <is>
        <t>80431, 80433, 81009</t>
      </is>
    </nc>
  </rcc>
  <rcc rId="447" sId="4">
    <nc r="J40" t="inlineStr">
      <is>
        <t>80431, 80433, 81010</t>
      </is>
    </nc>
  </rcc>
  <rcc rId="448" sId="4">
    <nc r="J41" t="inlineStr">
      <is>
        <t>80431, 80433, 81011</t>
      </is>
    </nc>
  </rcc>
  <rcc rId="449" sId="4">
    <nc r="J42" t="inlineStr">
      <is>
        <t>80431, 80433, 81012</t>
      </is>
    </nc>
  </rcc>
  <rcc rId="450" sId="4">
    <nc r="J43" t="inlineStr">
      <is>
        <t>80431, 80433, 81013</t>
      </is>
    </nc>
  </rcc>
  <rcc rId="451" sId="4" xfDxf="1" dxf="1">
    <nc r="J44">
      <v>99377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2" sId="4" xfDxf="1" dxf="1">
    <nc r="J45">
      <v>99301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3" sId="4" xfDxf="1" dxf="1">
    <nc r="J48">
      <v>81615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4" sId="4" odxf="1" dxf="1" quotePrefix="1">
    <nc r="J46" t="inlineStr">
      <is>
        <t>-</t>
      </is>
    </nc>
    <odxf/>
    <ndxf/>
  </rcc>
  <rcc rId="455" sId="4" odxf="1" dxf="1" quotePrefix="1">
    <nc r="J47" t="inlineStr">
      <is>
        <t>-</t>
      </is>
    </nc>
    <odxf/>
    <ndxf/>
  </rcc>
  <rcc rId="456" sId="4" xfDxf="1" dxf="1">
    <nc r="K22" t="inlineStr">
      <is>
        <t>FAW_L3_MainPath_HevX_Int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7" sId="4">
    <nc r="K23" t="inlineStr">
      <is>
        <t>FAW_L3_MainPath_HevX_Int</t>
      </is>
    </nc>
  </rcc>
  <rcc rId="458" sId="4">
    <nc r="K24" t="inlineStr">
      <is>
        <t>FAW_L3_MainPath_HevX_Int</t>
      </is>
    </nc>
  </rcc>
  <rcc rId="459" sId="4">
    <nc r="K25" t="inlineStr">
      <is>
        <t>FAW_L3_MainPath_HevX_Int</t>
      </is>
    </nc>
  </rcc>
  <rcc rId="460" sId="4">
    <nc r="K26" t="inlineStr">
      <is>
        <t>FAW_L3_MainPath_HevX_Int</t>
      </is>
    </nc>
  </rcc>
  <rcc rId="461" sId="4">
    <nc r="K27" t="inlineStr">
      <is>
        <t>FAW_L3_MainPath_HevX_Int</t>
      </is>
    </nc>
  </rcc>
  <rcc rId="462" sId="4">
    <nc r="K28" t="inlineStr">
      <is>
        <t>FAW_L3_MainPath_HevX_Int</t>
      </is>
    </nc>
  </rcc>
  <rcc rId="463" sId="4">
    <nc r="K29" t="inlineStr">
      <is>
        <t>FAW_L3_MainPath_HevX_Int</t>
      </is>
    </nc>
  </rcc>
  <rcc rId="464" sId="4">
    <nc r="K30" t="inlineStr">
      <is>
        <t>FAW_L3_MainPath_HevX_Int</t>
      </is>
    </nc>
  </rcc>
  <rcc rId="465" sId="4">
    <nc r="K31" t="inlineStr">
      <is>
        <t>FAW_L3_MainPath_HevX_Int</t>
      </is>
    </nc>
  </rcc>
  <rcc rId="466" sId="4">
    <nc r="K32" t="inlineStr">
      <is>
        <t>FAW_L3_MainPath_HevX_Int</t>
      </is>
    </nc>
  </rcc>
  <rcc rId="467" sId="4" xfDxf="1" dxf="1">
    <nc r="K33" t="inlineStr">
      <is>
        <t>GWM_AB30_CP_Int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8" sId="4">
    <nc r="K34" t="inlineStr">
      <is>
        <t>GWM_AB30_CP_Int</t>
      </is>
    </nc>
  </rcc>
  <rcc rId="469" sId="4">
    <nc r="K35" t="inlineStr">
      <is>
        <t>GWM_AB30_CP_Int</t>
      </is>
    </nc>
  </rcc>
  <rcc rId="470" sId="4">
    <nc r="K36" t="inlineStr">
      <is>
        <t>GWM_AB30_CP_Int</t>
      </is>
    </nc>
  </rcc>
  <rcc rId="471" sId="4">
    <nc r="K37" t="inlineStr">
      <is>
        <t>GWM_AB30_CP_Int</t>
      </is>
    </nc>
  </rcc>
  <rcc rId="472" sId="4">
    <nc r="K38" t="inlineStr">
      <is>
        <t>GWM_AB30_CP_Int</t>
      </is>
    </nc>
  </rcc>
  <rcc rId="473" sId="4">
    <nc r="K39" t="inlineStr">
      <is>
        <t>GWM_AB30_CP_Int</t>
      </is>
    </nc>
  </rcc>
  <rcc rId="474" sId="4">
    <nc r="K40" t="inlineStr">
      <is>
        <t>GWM_AB30_CP_Int</t>
      </is>
    </nc>
  </rcc>
  <rcc rId="475" sId="4">
    <nc r="K41" t="inlineStr">
      <is>
        <t>GWM_AB30_CP_Int</t>
      </is>
    </nc>
  </rcc>
  <rcc rId="476" sId="4">
    <nc r="K42" t="inlineStr">
      <is>
        <t>GWM_AB30_CP_Int</t>
      </is>
    </nc>
  </rcc>
  <rcc rId="477" sId="4">
    <nc r="K43" t="inlineStr">
      <is>
        <t>GWM_AB30_CP_Int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1" sId="4" xfDxf="1" dxf="1">
    <nc r="K44" t="inlineStr">
      <is>
        <t>SAIC_SV51H_IB2_CNMS_MIG_INT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2" sId="4" xfDxf="1" dxf="1">
    <nc r="K45" t="inlineStr">
      <is>
        <t>SAIC_SV51H_ESP93_Migra2_CNMS_BSS07SP10_Int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3" sId="4" xfDxf="1" dxf="1">
    <nc r="K47" t="inlineStr">
      <is>
        <t>BYD_IPB_BL05_Int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4" sId="4" xfDxf="1" dxf="1">
    <nc r="K48" t="inlineStr">
      <is>
        <t>DFN_Venucia_ESP93_Carbon_Int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5" sId="4">
    <nc r="K46" t="inlineStr">
      <is>
        <t>BYD_IPB_BL05_Int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9" sId="4" quotePrefix="1">
    <nc r="L22" t="inlineStr">
      <is>
        <t>-</t>
      </is>
    </nc>
  </rcc>
  <rcc rId="490" sId="4" quotePrefix="1">
    <nc r="L23" t="inlineStr">
      <is>
        <t>-</t>
      </is>
    </nc>
  </rcc>
  <rcc rId="491" sId="4" quotePrefix="1">
    <nc r="L24" t="inlineStr">
      <is>
        <t>-</t>
      </is>
    </nc>
  </rcc>
  <rcc rId="492" sId="4" quotePrefix="1">
    <nc r="L25" t="inlineStr">
      <is>
        <t>-</t>
      </is>
    </nc>
  </rcc>
  <rcc rId="493" sId="4" quotePrefix="1">
    <nc r="L26" t="inlineStr">
      <is>
        <t>-</t>
      </is>
    </nc>
  </rcc>
  <rcc rId="494" sId="4" quotePrefix="1">
    <nc r="L27" t="inlineStr">
      <is>
        <t>-</t>
      </is>
    </nc>
  </rcc>
  <rcc rId="495" sId="4" quotePrefix="1">
    <nc r="L28" t="inlineStr">
      <is>
        <t>-</t>
      </is>
    </nc>
  </rcc>
  <rcc rId="496" sId="4" quotePrefix="1">
    <nc r="L29" t="inlineStr">
      <is>
        <t>-</t>
      </is>
    </nc>
  </rcc>
  <rcc rId="497" sId="4" quotePrefix="1">
    <nc r="L30" t="inlineStr">
      <is>
        <t>-</t>
      </is>
    </nc>
  </rcc>
  <rcc rId="498" sId="4" quotePrefix="1">
    <nc r="L31" t="inlineStr">
      <is>
        <t>-</t>
      </is>
    </nc>
  </rcc>
  <rcc rId="499" sId="4" quotePrefix="1">
    <nc r="L32" t="inlineStr">
      <is>
        <t>-</t>
      </is>
    </nc>
  </rcc>
  <rcc rId="500" sId="4" quotePrefix="1">
    <nc r="L33" t="inlineStr">
      <is>
        <t>-</t>
      </is>
    </nc>
  </rcc>
  <rcc rId="501" sId="4" quotePrefix="1">
    <nc r="L34" t="inlineStr">
      <is>
        <t>-</t>
      </is>
    </nc>
  </rcc>
  <rcc rId="502" sId="4" quotePrefix="1">
    <nc r="L35" t="inlineStr">
      <is>
        <t>-</t>
      </is>
    </nc>
  </rcc>
  <rcc rId="503" sId="4" quotePrefix="1">
    <nc r="L36" t="inlineStr">
      <is>
        <t>-</t>
      </is>
    </nc>
  </rcc>
  <rcc rId="504" sId="4" quotePrefix="1">
    <nc r="L37" t="inlineStr">
      <is>
        <t>-</t>
      </is>
    </nc>
  </rcc>
  <rcc rId="505" sId="4" quotePrefix="1">
    <nc r="L38" t="inlineStr">
      <is>
        <t>-</t>
      </is>
    </nc>
  </rcc>
  <rcc rId="506" sId="4" quotePrefix="1">
    <nc r="L39" t="inlineStr">
      <is>
        <t>-</t>
      </is>
    </nc>
  </rcc>
  <rcc rId="507" sId="4" quotePrefix="1">
    <nc r="L40" t="inlineStr">
      <is>
        <t>-</t>
      </is>
    </nc>
  </rcc>
  <rcc rId="508" sId="4" quotePrefix="1">
    <nc r="L41" t="inlineStr">
      <is>
        <t>-</t>
      </is>
    </nc>
  </rcc>
  <rcc rId="509" sId="4" quotePrefix="1">
    <nc r="L42" t="inlineStr">
      <is>
        <t>-</t>
      </is>
    </nc>
  </rcc>
  <rcc rId="510" sId="4" quotePrefix="1">
    <nc r="L43" t="inlineStr">
      <is>
        <t>-</t>
      </is>
    </nc>
  </rcc>
  <rcc rId="511" sId="4" quotePrefix="1">
    <nc r="L44" t="inlineStr">
      <is>
        <t>-</t>
      </is>
    </nc>
  </rcc>
  <rcc rId="512" sId="4" quotePrefix="1">
    <nc r="L45" t="inlineStr">
      <is>
        <t>-</t>
      </is>
    </nc>
  </rcc>
  <rcc rId="513" sId="4" quotePrefix="1">
    <nc r="L46" t="inlineStr">
      <is>
        <t>-</t>
      </is>
    </nc>
  </rcc>
  <rcc rId="514" sId="4" quotePrefix="1">
    <nc r="L47" t="inlineStr">
      <is>
        <t>-</t>
      </is>
    </nc>
  </rcc>
  <rcc rId="515" sId="4" quotePrefix="1">
    <nc r="L48" t="inlineStr">
      <is>
        <t>-</t>
      </is>
    </nc>
  </rcc>
  <rcc rId="516" sId="4" xfDxf="1" dxf="1" quotePrefix="1">
    <nc r="M22" t="inlineStr">
      <is>
        <t>HE Qi (CC-AS/EVA-SW42-CN)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17" sId="4" quotePrefix="1">
    <nc r="M23" t="inlineStr">
      <is>
        <t>HE Qi (CC-AS/EVA-SW42-CN)</t>
      </is>
    </nc>
  </rcc>
  <rcc rId="518" sId="4" quotePrefix="1">
    <nc r="M24" t="inlineStr">
      <is>
        <t>HE Qi (CC-AS/EVA-SW42-CN)</t>
      </is>
    </nc>
  </rcc>
  <rcc rId="519" sId="4" quotePrefix="1">
    <nc r="M25" t="inlineStr">
      <is>
        <t>HE Qi (CC-AS/EVA-SW42-CN)</t>
      </is>
    </nc>
  </rcc>
  <rcc rId="520" sId="4" quotePrefix="1">
    <nc r="M26" t="inlineStr">
      <is>
        <t>HE Qi (CC-AS/EVA-SW42-CN)</t>
      </is>
    </nc>
  </rcc>
  <rcc rId="521" sId="4" quotePrefix="1">
    <nc r="M27" t="inlineStr">
      <is>
        <t>HE Qi (CC-AS/EVA-SW42-CN)</t>
      </is>
    </nc>
  </rcc>
  <rcc rId="522" sId="4" quotePrefix="1">
    <nc r="M28" t="inlineStr">
      <is>
        <t>HE Qi (CC-AS/EVA-SW42-CN)</t>
      </is>
    </nc>
  </rcc>
  <rcc rId="523" sId="4" quotePrefix="1">
    <nc r="M29" t="inlineStr">
      <is>
        <t>HE Qi (CC-AS/EVA-SW42-CN)</t>
      </is>
    </nc>
  </rcc>
  <rcc rId="524" sId="4" quotePrefix="1">
    <nc r="M30" t="inlineStr">
      <is>
        <t>HE Qi (CC-AS/EVA-SW42-CN)</t>
      </is>
    </nc>
  </rcc>
  <rcc rId="525" sId="4" quotePrefix="1">
    <nc r="M31" t="inlineStr">
      <is>
        <t>HE Qi (CC-AS/EVA-SW42-CN)</t>
      </is>
    </nc>
  </rcc>
  <rcc rId="526" sId="4" quotePrefix="1">
    <nc r="M32" t="inlineStr">
      <is>
        <t>HE Qi (CC-AS/EVA-SW42-CN)</t>
      </is>
    </nc>
  </rcc>
  <rcc rId="527" sId="4" xfDxf="1" dxf="1" quotePrefix="1">
    <nc r="M33" t="inlineStr">
      <is>
        <t>CHEN Steve (CC-AS/EVA-SW33-CN)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28" sId="4" quotePrefix="1">
    <nc r="M34" t="inlineStr">
      <is>
        <t>CHEN Steve (CC-AS/EVA-SW33-CN)</t>
      </is>
    </nc>
  </rcc>
  <rcc rId="529" sId="4" quotePrefix="1">
    <nc r="M35" t="inlineStr">
      <is>
        <t>CHEN Steve (CC-AS/EVA-SW33-CN)</t>
      </is>
    </nc>
  </rcc>
  <rcc rId="530" sId="4" quotePrefix="1">
    <nc r="M36" t="inlineStr">
      <is>
        <t>CHEN Steve (CC-AS/EVA-SW33-CN)</t>
      </is>
    </nc>
  </rcc>
  <rcc rId="531" sId="4" quotePrefix="1">
    <nc r="M37" t="inlineStr">
      <is>
        <t>CHEN Steve (CC-AS/EVA-SW33-CN)</t>
      </is>
    </nc>
  </rcc>
  <rcc rId="532" sId="4" quotePrefix="1">
    <nc r="M38" t="inlineStr">
      <is>
        <t>CHEN Steve (CC-AS/EVA-SW33-CN)</t>
      </is>
    </nc>
  </rcc>
  <rcc rId="533" sId="4" quotePrefix="1">
    <nc r="M39" t="inlineStr">
      <is>
        <t>CHEN Steve (CC-AS/EVA-SW33-CN)</t>
      </is>
    </nc>
  </rcc>
  <rcc rId="534" sId="4" quotePrefix="1">
    <nc r="M40" t="inlineStr">
      <is>
        <t>CHEN Steve (CC-AS/EVA-SW33-CN)</t>
      </is>
    </nc>
  </rcc>
  <rcc rId="535" sId="4" quotePrefix="1">
    <nc r="M41" t="inlineStr">
      <is>
        <t>CHEN Steve (CC-AS/EVA-SW33-CN)</t>
      </is>
    </nc>
  </rcc>
  <rcc rId="536" sId="4" quotePrefix="1">
    <nc r="M42" t="inlineStr">
      <is>
        <t>CHEN Steve (CC-AS/EVA-SW33-CN)</t>
      </is>
    </nc>
  </rcc>
  <rcc rId="537" sId="4" quotePrefix="1">
    <nc r="M43" t="inlineStr">
      <is>
        <t>CHEN Steve (CC-AS/EVA-SW33-CN)</t>
      </is>
    </nc>
  </rcc>
  <rcc rId="538" sId="4" xfDxf="1" dxf="1" quotePrefix="1">
    <nc r="M44" t="inlineStr">
      <is>
        <t>LESLIE PUTHOOR Milda (CC-AS/EVA-SW31-CN)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39" sId="4" quotePrefix="1">
    <nc r="M45" t="inlineStr">
      <is>
        <t>LESLIE PUTHOOR Milda (CC-AS/EVA-SW31-CN)</t>
      </is>
    </nc>
  </rcc>
  <rcc rId="540" sId="4" xfDxf="1" dxf="1" quotePrefix="1">
    <nc r="M46" t="inlineStr">
      <is>
        <t>LU Martin (CC-AS/ESW2-CN)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41" sId="4" quotePrefix="1">
    <nc r="M47" t="inlineStr">
      <is>
        <t>LU Martin (CC-AS/ESW2-CN)</t>
      </is>
    </nc>
  </rcc>
  <rcc rId="542" sId="4" xfDxf="1" dxf="1" quotePrefix="1">
    <nc r="M48" t="inlineStr">
      <is>
        <t>LI Joe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43" sId="4">
    <nc r="S22">
      <f>R22</f>
    </nc>
  </rcc>
  <rfmt sheetId="4" sqref="S11" start="0" length="2147483647">
    <dxf>
      <font>
        <color auto="1"/>
      </font>
    </dxf>
  </rfmt>
  <rfmt sheetId="4" sqref="S13" start="0" length="2147483647">
    <dxf>
      <font>
        <color auto="1"/>
      </font>
    </dxf>
  </rfmt>
  <rcc rId="544" sId="4">
    <nc r="S23">
      <f>R23</f>
    </nc>
  </rcc>
  <rcc rId="545" sId="4">
    <nc r="S24">
      <f>R24</f>
    </nc>
  </rcc>
  <rcc rId="546" sId="4">
    <nc r="S25">
      <f>R25</f>
    </nc>
  </rcc>
  <rcc rId="547" sId="4">
    <nc r="S26">
      <f>R26</f>
    </nc>
  </rcc>
  <rcc rId="548" sId="4">
    <nc r="S27">
      <f>R27</f>
    </nc>
  </rcc>
  <rcc rId="549" sId="4">
    <nc r="S28">
      <f>R28</f>
    </nc>
  </rcc>
  <rcc rId="550" sId="4">
    <nc r="S29">
      <f>R29</f>
    </nc>
  </rcc>
  <rcc rId="551" sId="4">
    <nc r="S30">
      <f>R30</f>
    </nc>
  </rcc>
  <rcc rId="552" sId="4">
    <nc r="S31">
      <f>R31</f>
    </nc>
  </rcc>
  <rcc rId="553" sId="4">
    <nc r="S32">
      <f>R32</f>
    </nc>
  </rcc>
  <rcc rId="554" sId="4">
    <nc r="S33">
      <f>R33</f>
    </nc>
  </rcc>
  <rcc rId="555" sId="4">
    <nc r="S34">
      <f>R34</f>
    </nc>
  </rcc>
  <rcc rId="556" sId="4">
    <nc r="S35">
      <f>R35</f>
    </nc>
  </rcc>
  <rcc rId="557" sId="4">
    <nc r="S36">
      <f>R36</f>
    </nc>
  </rcc>
  <rcc rId="558" sId="4">
    <nc r="S37">
      <f>R37</f>
    </nc>
  </rcc>
  <rcc rId="559" sId="4">
    <nc r="S38">
      <f>R38</f>
    </nc>
  </rcc>
  <rcc rId="560" sId="4">
    <nc r="S39">
      <f>R39</f>
    </nc>
  </rcc>
  <rcc rId="561" sId="4">
    <nc r="S40">
      <f>R40</f>
    </nc>
  </rcc>
  <rcc rId="562" sId="4">
    <nc r="S41">
      <f>R41</f>
    </nc>
  </rcc>
  <rcc rId="563" sId="4">
    <nc r="S42">
      <f>R42</f>
    </nc>
  </rcc>
  <rcc rId="564" sId="4">
    <nc r="S43">
      <f>R43</f>
    </nc>
  </rcc>
  <rcc rId="565" sId="4">
    <nc r="S44">
      <f>R44</f>
    </nc>
  </rcc>
  <rcc rId="566" sId="4">
    <nc r="S45">
      <f>R45</f>
    </nc>
  </rcc>
  <rcc rId="567" sId="4">
    <nc r="S46">
      <f>R46</f>
    </nc>
  </rcc>
  <rcc rId="568" sId="4">
    <nc r="S47">
      <f>R47</f>
    </nc>
  </rcc>
  <rcc rId="569" sId="4">
    <nc r="S48">
      <f>R48</f>
    </nc>
  </rcc>
  <rcc rId="570" sId="4">
    <nc r="U22">
      <f>ROUNDDOWN(S22/HLOOKUP(D22,Table!$C$3:$D$4,2,0)*8,2)</f>
    </nc>
  </rcc>
  <rcc rId="571" sId="4">
    <nc r="U23">
      <f>ROUNDDOWN(S23/HLOOKUP(D23,Table!$C$3:$D$4,2,0)*8,2)</f>
    </nc>
  </rcc>
  <rcc rId="572" sId="4">
    <nc r="U24">
      <f>ROUNDDOWN(S24/HLOOKUP(D24,Table!$C$3:$D$4,2,0)*8,2)</f>
    </nc>
  </rcc>
  <rcc rId="573" sId="4">
    <nc r="U25">
      <f>ROUNDDOWN(S25/HLOOKUP(D25,Table!$C$3:$D$4,2,0)*8,2)</f>
    </nc>
  </rcc>
  <rcc rId="574" sId="4">
    <nc r="U26">
      <f>ROUNDDOWN(S26/HLOOKUP(D26,Table!$C$3:$D$4,2,0)*8,2)</f>
    </nc>
  </rcc>
  <rcc rId="575" sId="4">
    <nc r="U27">
      <f>ROUNDDOWN(S27/HLOOKUP(D27,Table!$C$3:$D$4,2,0)*8,2)</f>
    </nc>
  </rcc>
  <rcc rId="576" sId="4">
    <nc r="U28">
      <f>ROUNDDOWN(S28/HLOOKUP(D28,Table!$C$3:$D$4,2,0)*8,2)</f>
    </nc>
  </rcc>
  <rcc rId="577" sId="4">
    <nc r="U29">
      <f>ROUNDDOWN(S29/HLOOKUP(D29,Table!$C$3:$D$4,2,0)*8,2)</f>
    </nc>
  </rcc>
  <rcc rId="578" sId="4">
    <nc r="U30">
      <f>ROUNDDOWN(S30/HLOOKUP(D30,Table!$C$3:$D$4,2,0)*8,2)</f>
    </nc>
  </rcc>
  <rcc rId="579" sId="4">
    <nc r="U31">
      <f>ROUNDDOWN(S31/HLOOKUP(D31,Table!$C$3:$D$4,2,0)*8,2)</f>
    </nc>
  </rcc>
  <rcc rId="580" sId="4">
    <nc r="U32">
      <f>ROUNDDOWN(S32/HLOOKUP(D32,Table!$C$3:$D$4,2,0)*8,2)</f>
    </nc>
  </rcc>
  <rcc rId="581" sId="4">
    <nc r="U33">
      <f>ROUNDDOWN(S33/HLOOKUP(D33,Table!$C$3:$D$4,2,0)*8,2)</f>
    </nc>
  </rcc>
  <rcc rId="582" sId="4">
    <nc r="U34">
      <f>ROUNDDOWN(S34/HLOOKUP(D34,Table!$C$3:$D$4,2,0)*8,2)</f>
    </nc>
  </rcc>
  <rcc rId="583" sId="4">
    <nc r="U35">
      <f>ROUNDDOWN(S35/HLOOKUP(D35,Table!$C$3:$D$4,2,0)*8,2)</f>
    </nc>
  </rcc>
  <rcc rId="584" sId="4">
    <nc r="U36">
      <f>ROUNDDOWN(S36/HLOOKUP(D36,Table!$C$3:$D$4,2,0)*8,2)</f>
    </nc>
  </rcc>
  <rcc rId="585" sId="4">
    <nc r="U37">
      <f>ROUNDDOWN(S37/HLOOKUP(D37,Table!$C$3:$D$4,2,0)*8,2)</f>
    </nc>
  </rcc>
  <rcc rId="586" sId="4">
    <nc r="U38">
      <f>ROUNDDOWN(S38/HLOOKUP(D38,Table!$C$3:$D$4,2,0)*8,2)</f>
    </nc>
  </rcc>
  <rcc rId="587" sId="4">
    <nc r="U39">
      <f>ROUNDDOWN(S39/HLOOKUP(D39,Table!$C$3:$D$4,2,0)*8,2)</f>
    </nc>
  </rcc>
  <rcc rId="588" sId="4">
    <nc r="U40">
      <f>ROUNDDOWN(S40/HLOOKUP(D40,Table!$C$3:$D$4,2,0)*8,2)</f>
    </nc>
  </rcc>
  <rcc rId="589" sId="4">
    <nc r="U41">
      <f>ROUNDDOWN(S41/HLOOKUP(D41,Table!$C$3:$D$4,2,0)*8,2)</f>
    </nc>
  </rcc>
  <rcc rId="590" sId="4">
    <nc r="U42">
      <f>ROUNDDOWN(S42/HLOOKUP(D42,Table!$C$3:$D$4,2,0)*8,2)</f>
    </nc>
  </rcc>
  <rcc rId="591" sId="4">
    <nc r="U43">
      <f>ROUNDDOWN(S43/HLOOKUP(D43,Table!$C$3:$D$4,2,0)*8,2)</f>
    </nc>
  </rcc>
  <rcc rId="592" sId="4">
    <nc r="U44">
      <f>ROUNDDOWN(S44/HLOOKUP(D44,Table!$C$3:$D$4,2,0)*8,2)</f>
    </nc>
  </rcc>
  <rcc rId="593" sId="4">
    <nc r="U45">
      <f>ROUNDDOWN(S45/HLOOKUP(D45,Table!$C$3:$D$4,2,0)*8,2)</f>
    </nc>
  </rcc>
  <rcc rId="594" sId="4">
    <nc r="U46">
      <f>ROUNDDOWN(S46/HLOOKUP(D46,Table!$C$3:$D$4,2,0)*8,2)</f>
    </nc>
  </rcc>
  <rcc rId="595" sId="4">
    <nc r="U47">
      <f>ROUNDDOWN(S47/HLOOKUP(D47,Table!$C$3:$D$4,2,0)*8,2)</f>
    </nc>
  </rcc>
  <rcc rId="596" sId="4">
    <nc r="U48">
      <f>ROUNDDOWN(S48/HLOOKUP(D48,Table!$C$3:$D$4,2,0)*8,2)</f>
    </nc>
  </rcc>
  <rcc rId="597" sId="4" numFmtId="19">
    <nc r="X22">
      <v>43922</v>
    </nc>
  </rcc>
  <rcc rId="598" sId="4" numFmtId="19">
    <nc r="Y22">
      <v>43929</v>
    </nc>
  </rcc>
  <rcc rId="599" sId="4" numFmtId="19">
    <nc r="X23">
      <v>43922</v>
    </nc>
  </rcc>
  <rcc rId="600" sId="4" numFmtId="19">
    <nc r="X24">
      <v>43922</v>
    </nc>
  </rcc>
  <rcc rId="601" sId="4" numFmtId="19">
    <nc r="X25">
      <v>43922</v>
    </nc>
  </rcc>
  <rcc rId="602" sId="4" numFmtId="19">
    <nc r="X26">
      <v>43922</v>
    </nc>
  </rcc>
  <rcc rId="603" sId="4" numFmtId="19">
    <nc r="X27">
      <v>43922</v>
    </nc>
  </rcc>
  <rcc rId="604" sId="4" numFmtId="19">
    <nc r="X28">
      <v>43922</v>
    </nc>
  </rcc>
  <rcc rId="605" sId="4" numFmtId="19">
    <nc r="X29">
      <v>43922</v>
    </nc>
  </rcc>
  <rcc rId="606" sId="4" numFmtId="19">
    <nc r="X30">
      <v>43922</v>
    </nc>
  </rcc>
  <rcc rId="607" sId="4" numFmtId="19">
    <nc r="X31">
      <v>43922</v>
    </nc>
  </rcc>
  <rcc rId="608" sId="4" numFmtId="19">
    <nc r="X32">
      <v>43922</v>
    </nc>
  </rcc>
  <rcc rId="609" sId="4" numFmtId="19">
    <nc r="X33">
      <v>43922</v>
    </nc>
  </rcc>
  <rcc rId="610" sId="4" numFmtId="19">
    <nc r="X34">
      <v>43922</v>
    </nc>
  </rcc>
  <rcc rId="611" sId="4" numFmtId="19">
    <nc r="X35">
      <v>43922</v>
    </nc>
  </rcc>
  <rcc rId="612" sId="4" numFmtId="19">
    <nc r="X36">
      <v>43922</v>
    </nc>
  </rcc>
  <rcc rId="613" sId="4" numFmtId="19">
    <nc r="X37">
      <v>43922</v>
    </nc>
  </rcc>
  <rcc rId="614" sId="4" numFmtId="19">
    <nc r="X38">
      <v>43922</v>
    </nc>
  </rcc>
  <rcc rId="615" sId="4" numFmtId="19">
    <nc r="X39">
      <v>43922</v>
    </nc>
  </rcc>
  <rcc rId="616" sId="4" numFmtId="19">
    <nc r="X40">
      <v>43922</v>
    </nc>
  </rcc>
  <rcc rId="617" sId="4" numFmtId="19">
    <nc r="X41">
      <v>43922</v>
    </nc>
  </rcc>
  <rcc rId="618" sId="4" numFmtId="19">
    <nc r="X42">
      <v>43922</v>
    </nc>
  </rcc>
  <rcc rId="619" sId="4" numFmtId="19">
    <nc r="X43">
      <v>43922</v>
    </nc>
  </rcc>
  <rcc rId="620" sId="4" numFmtId="19">
    <nc r="X44">
      <v>43922</v>
    </nc>
  </rcc>
  <rcc rId="621" sId="4" numFmtId="19">
    <nc r="X45">
      <v>43922</v>
    </nc>
  </rcc>
  <rcc rId="622" sId="4" numFmtId="19">
    <nc r="X46">
      <v>43922</v>
    </nc>
  </rcc>
  <rcc rId="623" sId="4" numFmtId="19">
    <nc r="X47">
      <v>43922</v>
    </nc>
  </rcc>
  <rcc rId="624" sId="4" numFmtId="19">
    <nc r="X48">
      <v>43922</v>
    </nc>
  </rcc>
  <rcc rId="625" sId="4" numFmtId="19">
    <nc r="Y23">
      <v>43929</v>
    </nc>
  </rcc>
  <rcc rId="626" sId="4" numFmtId="19">
    <nc r="Y24">
      <v>43929</v>
    </nc>
  </rcc>
  <rcc rId="627" sId="4" numFmtId="19">
    <nc r="Y25">
      <v>43929</v>
    </nc>
  </rcc>
  <rcc rId="628" sId="4" numFmtId="19">
    <nc r="Y26">
      <v>43929</v>
    </nc>
  </rcc>
  <rcc rId="629" sId="4" numFmtId="19">
    <nc r="Y27">
      <v>43929</v>
    </nc>
  </rcc>
  <rcc rId="630" sId="4" numFmtId="19">
    <nc r="Y28">
      <v>43929</v>
    </nc>
  </rcc>
  <rcc rId="631" sId="4" numFmtId="19">
    <nc r="Y29">
      <v>43929</v>
    </nc>
  </rcc>
  <rcc rId="632" sId="4" numFmtId="19">
    <nc r="Y30">
      <v>43929</v>
    </nc>
  </rcc>
  <rcc rId="633" sId="4" numFmtId="19">
    <nc r="Y31">
      <v>43929</v>
    </nc>
  </rcc>
  <rcc rId="634" sId="4" numFmtId="19">
    <nc r="Y32">
      <v>43929</v>
    </nc>
  </rcc>
  <rcc rId="635" sId="4" numFmtId="19">
    <nc r="Y33">
      <v>43929</v>
    </nc>
  </rcc>
  <rcc rId="636" sId="4" numFmtId="19">
    <nc r="Y34">
      <v>43929</v>
    </nc>
  </rcc>
  <rcc rId="637" sId="4" numFmtId="19">
    <nc r="Y35">
      <v>43929</v>
    </nc>
  </rcc>
  <rcc rId="638" sId="4" numFmtId="19">
    <nc r="Y36">
      <v>43929</v>
    </nc>
  </rcc>
  <rcc rId="639" sId="4" numFmtId="19">
    <nc r="Y37">
      <v>43929</v>
    </nc>
  </rcc>
  <rcc rId="640" sId="4" numFmtId="19">
    <nc r="Y38">
      <v>43929</v>
    </nc>
  </rcc>
  <rcc rId="641" sId="4" numFmtId="19">
    <nc r="Y39">
      <v>43929</v>
    </nc>
  </rcc>
  <rcc rId="642" sId="4" numFmtId="19">
    <nc r="Y40">
      <v>43929</v>
    </nc>
  </rcc>
  <rcc rId="643" sId="4" numFmtId="19">
    <nc r="Y41">
      <v>43929</v>
    </nc>
  </rcc>
  <rcc rId="644" sId="4" numFmtId="19">
    <nc r="Y42">
      <v>43929</v>
    </nc>
  </rcc>
  <rcc rId="645" sId="4" numFmtId="19">
    <nc r="Y43">
      <v>43929</v>
    </nc>
  </rcc>
  <rcc rId="646" sId="4" numFmtId="19">
    <nc r="Y44">
      <v>43929</v>
    </nc>
  </rcc>
  <rcc rId="647" sId="4" numFmtId="19">
    <nc r="Y45">
      <v>43929</v>
    </nc>
  </rcc>
  <rcc rId="648" sId="4" numFmtId="19">
    <nc r="Y46">
      <v>43929</v>
    </nc>
  </rcc>
  <rcc rId="649" sId="4" numFmtId="19">
    <nc r="Y47">
      <v>43929</v>
    </nc>
  </rcc>
  <rcc rId="650" sId="4" numFmtId="19">
    <nc r="Y48">
      <v>43929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57" sId="4">
    <oc r="L52" t="inlineStr">
      <is>
        <t>Count ELOC assigned</t>
      </is>
    </oc>
    <nc r="L52"/>
  </rcc>
  <rcc rId="658" sId="4">
    <oc r="L53" t="inlineStr">
      <is>
        <t>duong.nguyen</t>
      </is>
    </oc>
    <nc r="L53"/>
  </rcc>
  <rcc rId="659" sId="4">
    <oc r="M53">
      <f>SUMIFS($R$3:$R$21,$O$3:$O$21,L53)</f>
    </oc>
    <nc r="M53"/>
  </rcc>
  <rcc rId="660" sId="4">
    <oc r="L54" t="inlineStr">
      <is>
        <t>loc.do-phu</t>
      </is>
    </oc>
    <nc r="L54"/>
  </rcc>
  <rcc rId="661" sId="4">
    <oc r="M54">
      <f>SUMIFS($R$3:$R$21,$O$3:$O$21,L54)</f>
    </oc>
    <nc r="M54"/>
  </rcc>
  <rcc rId="662" sId="4">
    <oc r="L55" t="inlineStr">
      <is>
        <t>chung.ly</t>
      </is>
    </oc>
    <nc r="L55"/>
  </rcc>
  <rcc rId="663" sId="4">
    <oc r="M55">
      <f>SUMIFS($R$3:$R$21,$O$3:$O$21,L55)</f>
    </oc>
    <nc r="M55"/>
  </rcc>
  <rcc rId="664" sId="4">
    <oc r="L56" t="inlineStr">
      <is>
        <t>thanh.nguyen-kim</t>
      </is>
    </oc>
    <nc r="L56"/>
  </rcc>
  <rcc rId="665" sId="4">
    <oc r="M56">
      <f>SUMIFS($R$3:$R$21,$O$3:$O$21,L56)</f>
    </oc>
    <nc r="M56"/>
  </rcc>
  <rcc rId="666" sId="4">
    <nc r="O22" t="inlineStr">
      <is>
        <t>chung.ly</t>
      </is>
    </nc>
  </rcc>
  <rcc rId="667" sId="4">
    <nc r="O23" t="inlineStr">
      <is>
        <t>thanh.nguyen-kim</t>
      </is>
    </nc>
  </rcc>
  <rcc rId="668" sId="4">
    <nc r="O24" t="inlineStr">
      <is>
        <t>loc.do-phu</t>
      </is>
    </nc>
  </rcc>
  <rcc rId="669" sId="4">
    <nc r="O25" t="inlineStr">
      <is>
        <t>loc.do-phu</t>
      </is>
    </nc>
  </rcc>
  <rcc rId="670" sId="4">
    <nc r="O27" t="inlineStr">
      <is>
        <t>duong.nguyen</t>
      </is>
    </nc>
  </rcc>
  <rcc rId="671" sId="4">
    <nc r="O26" t="inlineStr">
      <is>
        <t>chung.ly</t>
      </is>
    </nc>
  </rcc>
  <rcc rId="672" sId="4">
    <nc r="O28" t="inlineStr">
      <is>
        <t>duong.nguyen</t>
      </is>
    </nc>
  </rcc>
  <rcc rId="673" sId="4">
    <nc r="O32" t="inlineStr">
      <is>
        <t>duong.nguyen</t>
      </is>
    </nc>
  </rcc>
  <rcc rId="674" sId="4">
    <nc r="O37" t="inlineStr">
      <is>
        <t>duong.nguyen</t>
      </is>
    </nc>
  </rcc>
  <rcc rId="675" sId="4">
    <nc r="O38" t="inlineStr">
      <is>
        <t>duong.nguyen</t>
      </is>
    </nc>
  </rcc>
  <rcc rId="676" sId="4">
    <nc r="O39" t="inlineStr">
      <is>
        <t>duong.nguyen</t>
      </is>
    </nc>
  </rcc>
  <rcc rId="677" sId="4">
    <nc r="O33" t="inlineStr">
      <is>
        <t>thanh.nguyen-kim</t>
      </is>
    </nc>
  </rcc>
  <rcc rId="678" sId="4">
    <nc r="O34" t="inlineStr">
      <is>
        <t>thanh.nguyen-kim</t>
      </is>
    </nc>
  </rcc>
  <rcc rId="679" sId="4">
    <nc r="O35" t="inlineStr">
      <is>
        <t>chung.ly</t>
      </is>
    </nc>
  </rcc>
  <rcc rId="680" sId="4">
    <nc r="O36" t="inlineStr">
      <is>
        <t>chung.ly</t>
      </is>
    </nc>
  </rcc>
  <rcc rId="681" sId="4">
    <nc r="O40" t="inlineStr">
      <is>
        <t>loc.do-phu</t>
      </is>
    </nc>
  </rcc>
  <rcc rId="682" sId="4">
    <nc r="O41" t="inlineStr">
      <is>
        <t>loc.do-phu</t>
      </is>
    </nc>
  </rcc>
  <rcc rId="683" sId="4">
    <nc r="O42" t="inlineStr">
      <is>
        <t>loc.do-phu</t>
      </is>
    </nc>
  </rcc>
  <rcc rId="684" sId="4">
    <nc r="O46" t="inlineStr">
      <is>
        <t>thanh.nguyen-kim</t>
      </is>
    </nc>
  </rcc>
  <rcc rId="685" sId="4">
    <nc r="O47" t="inlineStr">
      <is>
        <t>thanh.nguyen-kim</t>
      </is>
    </nc>
  </rcc>
  <rcc rId="686" sId="4">
    <nc r="O48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90" sId="4">
    <oc r="O48" t="inlineStr">
      <is>
        <t>thanh.nguyen-kim</t>
      </is>
    </oc>
    <nc r="O48" t="inlineStr">
      <is>
        <t>chung.ly</t>
      </is>
    </nc>
  </rcc>
  <rcc rId="691" sId="4">
    <nc r="O43" t="inlineStr">
      <is>
        <t>duong.nguyen</t>
      </is>
    </nc>
  </rcc>
  <rcc rId="692" sId="4">
    <nc r="O44" t="inlineStr">
      <is>
        <t>thanh.nguyen-kim</t>
      </is>
    </nc>
  </rcc>
  <rcc rId="693" sId="4">
    <nc r="O45" t="inlineStr">
      <is>
        <t>thanh.nguyen-kim</t>
      </is>
    </nc>
  </rcc>
  <rcc rId="694" sId="4">
    <nc r="O29" t="inlineStr">
      <is>
        <t>thanh.nguyen-kim</t>
      </is>
    </nc>
  </rcc>
  <rcc rId="695" sId="4">
    <nc r="O30" t="inlineStr">
      <is>
        <t>loc.do-phu</t>
      </is>
    </nc>
  </rcc>
  <rcc rId="696" sId="4">
    <nc r="O31" t="inlineStr">
      <is>
        <t>loc.do-phu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00" sId="4" quotePrefix="1">
    <nc r="AG22" t="inlineStr">
      <is>
        <t>-</t>
      </is>
    </nc>
  </rcc>
  <rcc rId="701" sId="4" quotePrefix="1">
    <nc r="AG23" t="inlineStr">
      <is>
        <t>-</t>
      </is>
    </nc>
  </rcc>
  <rcc rId="702" sId="4" quotePrefix="1">
    <nc r="AG24" t="inlineStr">
      <is>
        <t>-</t>
      </is>
    </nc>
  </rcc>
  <rcc rId="703" sId="4" quotePrefix="1">
    <nc r="AG25" t="inlineStr">
      <is>
        <t>-</t>
      </is>
    </nc>
  </rcc>
  <rcc rId="704" sId="4" quotePrefix="1">
    <nc r="AG26" t="inlineStr">
      <is>
        <t>-</t>
      </is>
    </nc>
  </rcc>
  <rcc rId="705" sId="4" quotePrefix="1">
    <nc r="AG27" t="inlineStr">
      <is>
        <t>-</t>
      </is>
    </nc>
  </rcc>
  <rcc rId="706" sId="4" quotePrefix="1">
    <nc r="AG28" t="inlineStr">
      <is>
        <t>-</t>
      </is>
    </nc>
  </rcc>
  <rcc rId="707" sId="4" quotePrefix="1">
    <nc r="AG29" t="inlineStr">
      <is>
        <t>-</t>
      </is>
    </nc>
  </rcc>
  <rcc rId="708" sId="4" quotePrefix="1">
    <nc r="AG30" t="inlineStr">
      <is>
        <t>-</t>
      </is>
    </nc>
  </rcc>
  <rcc rId="709" sId="4" quotePrefix="1">
    <nc r="AG31" t="inlineStr">
      <is>
        <t>-</t>
      </is>
    </nc>
  </rcc>
  <rcc rId="710" sId="4" quotePrefix="1">
    <nc r="AG32" t="inlineStr">
      <is>
        <t>-</t>
      </is>
    </nc>
  </rcc>
  <rcc rId="711" sId="4" quotePrefix="1">
    <nc r="AG33" t="inlineStr">
      <is>
        <t>-</t>
      </is>
    </nc>
  </rcc>
  <rcc rId="712" sId="4" quotePrefix="1">
    <nc r="AG34" t="inlineStr">
      <is>
        <t>-</t>
      </is>
    </nc>
  </rcc>
  <rcc rId="713" sId="4" quotePrefix="1">
    <nc r="AG35" t="inlineStr">
      <is>
        <t>-</t>
      </is>
    </nc>
  </rcc>
  <rcc rId="714" sId="4" quotePrefix="1">
    <nc r="AG36" t="inlineStr">
      <is>
        <t>-</t>
      </is>
    </nc>
  </rcc>
  <rcc rId="715" sId="4" quotePrefix="1">
    <nc r="AG37" t="inlineStr">
      <is>
        <t>-</t>
      </is>
    </nc>
  </rcc>
  <rcc rId="716" sId="4" quotePrefix="1">
    <nc r="AG38" t="inlineStr">
      <is>
        <t>-</t>
      </is>
    </nc>
  </rcc>
  <rcc rId="717" sId="4" quotePrefix="1">
    <nc r="AG39" t="inlineStr">
      <is>
        <t>-</t>
      </is>
    </nc>
  </rcc>
  <rcc rId="718" sId="4" quotePrefix="1">
    <nc r="AG40" t="inlineStr">
      <is>
        <t>-</t>
      </is>
    </nc>
  </rcc>
  <rcc rId="719" sId="4" quotePrefix="1">
    <nc r="AG41" t="inlineStr">
      <is>
        <t>-</t>
      </is>
    </nc>
  </rcc>
  <rcc rId="720" sId="4" quotePrefix="1">
    <nc r="AG42" t="inlineStr">
      <is>
        <t>-</t>
      </is>
    </nc>
  </rcc>
  <rcc rId="721" sId="4" quotePrefix="1">
    <nc r="AG43" t="inlineStr">
      <is>
        <t>-</t>
      </is>
    </nc>
  </rcc>
  <rcc rId="722" sId="4" quotePrefix="1">
    <nc r="AG44" t="inlineStr">
      <is>
        <t>-</t>
      </is>
    </nc>
  </rcc>
  <rcc rId="723" sId="4" quotePrefix="1">
    <nc r="AG45" t="inlineStr">
      <is>
        <t>-</t>
      </is>
    </nc>
  </rcc>
  <rcc rId="724" sId="4" quotePrefix="1">
    <nc r="AG46" t="inlineStr">
      <is>
        <t>-</t>
      </is>
    </nc>
  </rcc>
  <rcc rId="725" sId="4" odxf="1" dxf="1" quotePrefix="1">
    <nc r="AG47" t="inlineStr">
      <is>
        <t>-</t>
      </is>
    </nc>
    <odxf/>
    <ndxf/>
  </rcc>
  <rcc rId="726" sId="4" quotePrefix="1">
    <nc r="AG48" t="inlineStr">
      <is>
        <t>-</t>
      </is>
    </nc>
  </rcc>
  <rcc rId="727" sId="4" quotePrefix="1">
    <nc r="AG49" t="inlineStr">
      <is>
        <t>-</t>
      </is>
    </nc>
  </rcc>
  <rcc rId="728" sId="4" quotePrefix="1">
    <nc r="AH22" t="inlineStr">
      <is>
        <t>-</t>
      </is>
    </nc>
  </rcc>
  <rcc rId="729" sId="4" quotePrefix="1">
    <nc r="AH23" t="inlineStr">
      <is>
        <t>-</t>
      </is>
    </nc>
  </rcc>
  <rcc rId="730" sId="4" quotePrefix="1">
    <nc r="AH24" t="inlineStr">
      <is>
        <t>-</t>
      </is>
    </nc>
  </rcc>
  <rcc rId="731" sId="4" quotePrefix="1">
    <nc r="AH25" t="inlineStr">
      <is>
        <t>-</t>
      </is>
    </nc>
  </rcc>
  <rcc rId="732" sId="4" quotePrefix="1">
    <nc r="AH26" t="inlineStr">
      <is>
        <t>-</t>
      </is>
    </nc>
  </rcc>
  <rcc rId="733" sId="4" quotePrefix="1">
    <nc r="AH27" t="inlineStr">
      <is>
        <t>-</t>
      </is>
    </nc>
  </rcc>
  <rcc rId="734" sId="4" quotePrefix="1">
    <nc r="AH28" t="inlineStr">
      <is>
        <t>-</t>
      </is>
    </nc>
  </rcc>
  <rcc rId="735" sId="4" quotePrefix="1">
    <nc r="AH29" t="inlineStr">
      <is>
        <t>-</t>
      </is>
    </nc>
  </rcc>
  <rcc rId="736" sId="4" quotePrefix="1">
    <nc r="AH30" t="inlineStr">
      <is>
        <t>-</t>
      </is>
    </nc>
  </rcc>
  <rcc rId="737" sId="4" quotePrefix="1">
    <nc r="AH31" t="inlineStr">
      <is>
        <t>-</t>
      </is>
    </nc>
  </rcc>
  <rcc rId="738" sId="4" quotePrefix="1">
    <nc r="AH32" t="inlineStr">
      <is>
        <t>-</t>
      </is>
    </nc>
  </rcc>
  <rcc rId="739" sId="4" quotePrefix="1">
    <nc r="AH33" t="inlineStr">
      <is>
        <t>-</t>
      </is>
    </nc>
  </rcc>
  <rcc rId="740" sId="4" quotePrefix="1">
    <nc r="AH34" t="inlineStr">
      <is>
        <t>-</t>
      </is>
    </nc>
  </rcc>
  <rcc rId="741" sId="4" quotePrefix="1">
    <nc r="AH35" t="inlineStr">
      <is>
        <t>-</t>
      </is>
    </nc>
  </rcc>
  <rcc rId="742" sId="4" quotePrefix="1">
    <nc r="AH36" t="inlineStr">
      <is>
        <t>-</t>
      </is>
    </nc>
  </rcc>
  <rcc rId="743" sId="4" quotePrefix="1">
    <nc r="AH37" t="inlineStr">
      <is>
        <t>-</t>
      </is>
    </nc>
  </rcc>
  <rcc rId="744" sId="4" quotePrefix="1">
    <nc r="AH38" t="inlineStr">
      <is>
        <t>-</t>
      </is>
    </nc>
  </rcc>
  <rcc rId="745" sId="4" quotePrefix="1">
    <nc r="AH39" t="inlineStr">
      <is>
        <t>-</t>
      </is>
    </nc>
  </rcc>
  <rcc rId="746" sId="4" quotePrefix="1">
    <nc r="AH40" t="inlineStr">
      <is>
        <t>-</t>
      </is>
    </nc>
  </rcc>
  <rcc rId="747" sId="4" quotePrefix="1">
    <nc r="AH41" t="inlineStr">
      <is>
        <t>-</t>
      </is>
    </nc>
  </rcc>
  <rcc rId="748" sId="4" quotePrefix="1">
    <nc r="AH42" t="inlineStr">
      <is>
        <t>-</t>
      </is>
    </nc>
  </rcc>
  <rcc rId="749" sId="4" quotePrefix="1">
    <nc r="AH43" t="inlineStr">
      <is>
        <t>-</t>
      </is>
    </nc>
  </rcc>
  <rcc rId="750" sId="4" quotePrefix="1">
    <nc r="AH44" t="inlineStr">
      <is>
        <t>-</t>
      </is>
    </nc>
  </rcc>
  <rcc rId="751" sId="4" quotePrefix="1">
    <nc r="AH45" t="inlineStr">
      <is>
        <t>-</t>
      </is>
    </nc>
  </rcc>
  <rcc rId="752" sId="4" quotePrefix="1">
    <nc r="AH46" t="inlineStr">
      <is>
        <t>-</t>
      </is>
    </nc>
  </rcc>
  <rcc rId="753" sId="4" quotePrefix="1">
    <nc r="AH47" t="inlineStr">
      <is>
        <t>-</t>
      </is>
    </nc>
  </rcc>
  <rcc rId="754" sId="4" quotePrefix="1">
    <nc r="AH48" t="inlineStr">
      <is>
        <t>-</t>
      </is>
    </nc>
  </rcc>
  <rcc rId="755" sId="4" quotePrefix="1">
    <nc r="AH49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22:B48">
    <dxf>
      <fill>
        <patternFill patternType="solid">
          <bgColor theme="2" tint="-0.249977111117893"/>
        </patternFill>
      </fill>
    </dxf>
  </rfmt>
  <rcmt sheetId="4" cell="A22" guid="{270126A8-242B-4D28-BEE6-FABE941A71F2}" author="EXTERNAL Nguyen Tuan Duong (Ban Vien, RBVH/EPS45)" newLength="82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62" sId="4">
    <oc r="O33" t="inlineStr">
      <is>
        <t>thanh.nguyen-kim</t>
      </is>
    </oc>
    <nc r="O33" t="inlineStr">
      <is>
        <t>duong.nguyen</t>
      </is>
    </nc>
  </rcc>
  <rcc rId="763" sId="4">
    <oc r="O43" t="inlineStr">
      <is>
        <t>duong.nguyen</t>
      </is>
    </oc>
    <nc r="O43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67" sId="4">
    <oc r="O34" t="inlineStr">
      <is>
        <t>thanh.nguyen-kim</t>
      </is>
    </oc>
    <nc r="O34" t="inlineStr">
      <is>
        <t>chung.ly</t>
      </is>
    </nc>
  </rcc>
  <rcc rId="768" sId="4">
    <oc r="O26" t="inlineStr">
      <is>
        <t>chung.ly</t>
      </is>
    </oc>
    <nc r="O26" t="inlineStr">
      <is>
        <t>thanh.nguyen-kim</t>
      </is>
    </nc>
  </rcc>
  <rcc rId="769" sId="4">
    <oc r="O29" t="inlineStr">
      <is>
        <t>thanh.nguyen-kim</t>
      </is>
    </oc>
    <nc r="O29" t="inlineStr">
      <is>
        <t>chung.ly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10">
    <dxf>
      <alignment wrapText="0" readingOrder="0"/>
    </dxf>
  </rfmt>
  <rfmt sheetId="4" sqref="F10">
    <dxf>
      <alignment wrapText="1" readingOrder="0"/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10">
    <dxf>
      <fill>
        <patternFill patternType="solid">
          <bgColor rgb="FFFFC000"/>
        </patternFill>
      </fill>
    </dxf>
  </rfmt>
</revisions>
</file>

<file path=xl/revisions/revisionLog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79" sId="4" quotePrefix="1">
    <oc r="AH10" t="inlineStr">
      <is>
        <t>-</t>
      </is>
    </oc>
    <nc r="AH10" t="inlineStr">
      <is>
        <t>-Wrong path of component name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83" sId="4">
    <nc r="T3">
      <v>61</v>
    </nc>
  </rcc>
  <rcc rId="784" sId="4">
    <nc r="V3">
      <v>3</v>
    </nc>
  </rcc>
  <rcc rId="785" sId="4">
    <nc r="W3" t="inlineStr">
      <is>
        <t>Ready for review</t>
      </is>
    </nc>
  </rcc>
  <rcc rId="786" sId="4" numFmtId="19">
    <nc r="Z3">
      <v>43922</v>
    </nc>
  </rcc>
  <rcc rId="787" sId="4" numFmtId="19">
    <nc r="AA3">
      <v>43922</v>
    </nc>
  </rcc>
  <rcc rId="788" sId="4">
    <nc r="AB3" t="inlineStr">
      <is>
        <t>OK</t>
      </is>
    </nc>
  </rcc>
  <rcc rId="789" sId="4">
    <nc r="AC3">
      <v>100</v>
    </nc>
  </rcc>
  <rcc rId="790" sId="4">
    <nc r="AD3">
      <v>100</v>
    </nc>
  </rcc>
  <rcc rId="791" sId="4">
    <nc r="AE3">
      <v>100</v>
    </nc>
  </rcc>
  <rcc rId="792" sId="4">
    <nc r="AF3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99" sId="4" xfDxf="1" dxf="1" quotePrefix="1">
    <oc r="F24" t="inlineStr">
      <is>
        <t xml:space="preserve"> </t>
      </is>
    </oc>
    <nc r="F24" t="inlineStr">
      <is>
        <t>C:\02_CANTATA\COEM_April\_DataBase\FAW_L3_MainPath_HevX_Int\CNMSESPHevX\rb\as\fawesphevx\fawcore\app\dcom\RBAPLCust\src\ESP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03" sId="1">
    <oc r="W169" t="inlineStr">
      <is>
        <t>Ready for review</t>
      </is>
    </oc>
    <nc r="W169" t="inlineStr">
      <is>
        <t>Ready for PLC</t>
      </is>
    </nc>
  </rcc>
  <rcc rId="804" sId="1">
    <oc r="W171" t="inlineStr">
      <is>
        <t>Ready for review</t>
      </is>
    </oc>
    <nc r="W171" t="inlineStr">
      <is>
        <t>Ready for PLC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808" sId="4">
    <nc r="T24">
      <f>S24</f>
    </nc>
  </rcc>
  <rcc rId="809" sId="4">
    <nc r="V24">
      <v>1</v>
    </nc>
  </rcc>
  <rcc rId="810" sId="4">
    <nc r="W24" t="inlineStr">
      <is>
        <t>Ready for review</t>
      </is>
    </nc>
  </rcc>
  <rcc rId="811" sId="4" numFmtId="19">
    <nc r="Z24">
      <v>43922</v>
    </nc>
  </rcc>
  <rcc rId="812" sId="4" numFmtId="19">
    <nc r="AA24">
      <v>43922</v>
    </nc>
  </rcc>
  <rcc rId="813" sId="4" odxf="1" dxf="1">
    <nc r="AB2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814" sId="4">
    <nc r="AC24">
      <v>100</v>
    </nc>
  </rcc>
  <rcc rId="815" sId="4">
    <nc r="AD24">
      <v>100</v>
    </nc>
  </rcc>
  <rcc rId="816" sId="4">
    <nc r="AE24">
      <v>100</v>
    </nc>
  </rcc>
  <rcc rId="817" sId="4">
    <nc r="AF24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21" sId="4" odxf="1" dxf="1">
    <nc r="M62" t="inlineStr">
      <is>
        <t>loc.do-phu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2" sId="4" odxf="1" dxf="1">
    <nc r="M63" t="inlineStr">
      <is>
        <t>loc.do-phu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3" sId="4" odxf="1" dxf="1">
    <nc r="M64" t="inlineStr">
      <is>
        <t>loc.do-phu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4" sId="4" odxf="1" dxf="1">
    <nc r="M65" t="inlineStr">
      <is>
        <t>chung.ly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5" sId="4" odxf="1" dxf="1">
    <nc r="M66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6" sId="4" odxf="1" dxf="1">
    <nc r="M67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7" sId="4" odxf="1" dxf="1">
    <nc r="M68" t="inlineStr">
      <is>
        <t>thanh.nguyen-kim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8" sId="4" odxf="1" dxf="1">
    <nc r="M69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9" sId="4" odxf="1" dxf="1">
    <nc r="M70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0" sId="4" odxf="1" dxf="1">
    <nc r="M71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1" sId="4" odxf="1" dxf="1">
    <nc r="M72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2" sId="4" odxf="1" dxf="1">
    <nc r="M73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3" sId="4" odxf="1" dxf="1">
    <nc r="M74" t="inlineStr">
      <is>
        <t>thanh.nguyen-kim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4" sId="4" odxf="1" dxf="1">
    <nc r="M75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5" sId="4" odxf="1" dxf="1">
    <nc r="M76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6" sId="4" odxf="1" dxf="1">
    <nc r="M77" t="inlineStr">
      <is>
        <t>thanh.nguyen-kim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7" sId="4" odxf="1" dxf="1">
    <nc r="M78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8" sId="4" odxf="1" dxf="1">
    <nc r="M79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9" sId="4" odxf="1" dxf="1">
    <nc r="M80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0" sId="4" odxf="1" dxf="1">
    <nc r="M81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1" sId="4" odxf="1" dxf="1">
    <nc r="M82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2" sId="4" odxf="1" dxf="1">
    <nc r="M83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3" sId="4" odxf="1" dxf="1">
    <oc r="O22" t="inlineStr">
      <is>
        <t>chung.ly</t>
      </is>
    </oc>
    <nc r="O22" t="inlineStr">
      <is>
        <t>loc.do-phu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844" sId="4" odxf="1" dxf="1">
    <oc r="O23" t="inlineStr">
      <is>
        <t>thanh.nguyen-kim</t>
      </is>
    </oc>
    <nc r="O23" t="inlineStr">
      <is>
        <t>loc.do-phu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O24" start="0" length="0">
    <dxf>
      <font>
        <sz val="11"/>
        <color auto="1"/>
        <name val="Calibri"/>
        <scheme val="minor"/>
      </font>
    </dxf>
  </rfmt>
  <rcc rId="845" sId="4" odxf="1" dxf="1">
    <oc r="O25" t="inlineStr">
      <is>
        <t>loc.do-phu</t>
      </is>
    </oc>
    <nc r="O25" t="inlineStr">
      <is>
        <t>chung.ly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846" sId="4">
    <oc r="O26" t="inlineStr">
      <is>
        <t>thanh.nguyen-kim</t>
      </is>
    </oc>
    <nc r="O26" t="inlineStr">
      <is>
        <t>chung.ly</t>
      </is>
    </nc>
  </rcc>
  <rcc rId="847" sId="4">
    <oc r="O28" t="inlineStr">
      <is>
        <t>duong.nguyen</t>
      </is>
    </oc>
    <nc r="O28" t="inlineStr">
      <is>
        <t>thanh.nguyen-kim</t>
      </is>
    </nc>
  </rcc>
  <rcc rId="848" sId="4">
    <oc r="O30" t="inlineStr">
      <is>
        <t>loc.do-phu</t>
      </is>
    </oc>
    <nc r="O30" t="inlineStr">
      <is>
        <t>chung.ly</t>
      </is>
    </nc>
  </rcc>
  <rcc rId="849" sId="4">
    <oc r="O31" t="inlineStr">
      <is>
        <t>loc.do-phu</t>
      </is>
    </oc>
    <nc r="O31" t="inlineStr">
      <is>
        <t>chung.ly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56" sId="4">
    <oc r="M62" t="inlineStr">
      <is>
        <t>loc.do-phu</t>
      </is>
    </oc>
    <nc r="M62"/>
  </rcc>
  <rcc rId="857" sId="4">
    <oc r="M63" t="inlineStr">
      <is>
        <t>loc.do-phu</t>
      </is>
    </oc>
    <nc r="M63"/>
  </rcc>
  <rcc rId="858" sId="4">
    <oc r="M64" t="inlineStr">
      <is>
        <t>loc.do-phu</t>
      </is>
    </oc>
    <nc r="M64"/>
  </rcc>
  <rcc rId="859" sId="4">
    <oc r="M65" t="inlineStr">
      <is>
        <t>chung.ly</t>
      </is>
    </oc>
    <nc r="M65"/>
  </rcc>
  <rcc rId="860" sId="4">
    <oc r="M66" t="inlineStr">
      <is>
        <t>chung.ly</t>
      </is>
    </oc>
    <nc r="M66"/>
  </rcc>
  <rcc rId="861" sId="4">
    <oc r="M67" t="inlineStr">
      <is>
        <t>duong.nguyen</t>
      </is>
    </oc>
    <nc r="M67"/>
  </rcc>
  <rcc rId="862" sId="4">
    <oc r="M68" t="inlineStr">
      <is>
        <t>thanh.nguyen-kim</t>
      </is>
    </oc>
    <nc r="M68"/>
  </rcc>
  <rcc rId="863" sId="4">
    <oc r="M69" t="inlineStr">
      <is>
        <t>chung.ly</t>
      </is>
    </oc>
    <nc r="M69"/>
  </rcc>
  <rcc rId="864" sId="4">
    <oc r="M70" t="inlineStr">
      <is>
        <t>chung.ly</t>
      </is>
    </oc>
    <nc r="M70"/>
  </rcc>
  <rcc rId="865" sId="4">
    <oc r="M71" t="inlineStr">
      <is>
        <t>chung.ly</t>
      </is>
    </oc>
    <nc r="M71"/>
  </rcc>
  <rcc rId="866" sId="4">
    <oc r="M72" t="inlineStr">
      <is>
        <t>duong.nguyen</t>
      </is>
    </oc>
    <nc r="M72"/>
  </rcc>
  <rcc rId="867" sId="4">
    <oc r="M73" t="inlineStr">
      <is>
        <t>chung.ly</t>
      </is>
    </oc>
    <nc r="M73"/>
  </rcc>
  <rcc rId="868" sId="4">
    <oc r="M74" t="inlineStr">
      <is>
        <t>thanh.nguyen-kim</t>
      </is>
    </oc>
    <nc r="M74"/>
  </rcc>
  <rcc rId="869" sId="4">
    <oc r="M75" t="inlineStr">
      <is>
        <t>loc.do-phu</t>
      </is>
    </oc>
    <nc r="M75"/>
  </rcc>
  <rcc rId="870" sId="4">
    <oc r="M76" t="inlineStr">
      <is>
        <t>loc.do-phu</t>
      </is>
    </oc>
    <nc r="M76"/>
  </rcc>
  <rcc rId="871" sId="4">
    <oc r="M77" t="inlineStr">
      <is>
        <t>thanh.nguyen-kim</t>
      </is>
    </oc>
    <nc r="M77"/>
  </rcc>
  <rcc rId="872" sId="4">
    <oc r="M78" t="inlineStr">
      <is>
        <t>duong.nguyen</t>
      </is>
    </oc>
    <nc r="M78"/>
  </rcc>
  <rcc rId="873" sId="4">
    <oc r="M79" t="inlineStr">
      <is>
        <t>duong.nguyen</t>
      </is>
    </oc>
    <nc r="M79"/>
  </rcc>
  <rcc rId="874" sId="4">
    <oc r="M80" t="inlineStr">
      <is>
        <t>chung.ly</t>
      </is>
    </oc>
    <nc r="M80"/>
  </rcc>
  <rcc rId="875" sId="4">
    <oc r="M81" t="inlineStr">
      <is>
        <t>loc.do-phu</t>
      </is>
    </oc>
    <nc r="M81"/>
  </rcc>
  <rcc rId="876" sId="4">
    <oc r="M82" t="inlineStr">
      <is>
        <t>loc.do-phu</t>
      </is>
    </oc>
    <nc r="M82"/>
  </rcc>
  <rcc rId="877" sId="4">
    <oc r="M83" t="inlineStr">
      <is>
        <t>duong.nguyen</t>
      </is>
    </oc>
    <nc r="M83"/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81" sId="4">
    <oc r="O36" t="inlineStr">
      <is>
        <t>chung.ly</t>
      </is>
    </oc>
    <nc r="O36" t="inlineStr">
      <is>
        <t>duong.nguyen</t>
      </is>
    </nc>
  </rcc>
  <rcc rId="882" sId="4">
    <oc r="O33" t="inlineStr">
      <is>
        <t>duong.nguyen</t>
      </is>
    </oc>
    <nc r="O33" t="inlineStr">
      <is>
        <t>chung.ly</t>
      </is>
    </nc>
  </rcc>
  <rcc rId="883" sId="4">
    <oc r="O43" t="inlineStr">
      <is>
        <t>thanh.nguyen-kim</t>
      </is>
    </oc>
    <nc r="O43" t="inlineStr">
      <is>
        <t>duong.nguyen</t>
      </is>
    </nc>
  </rcc>
  <rcc rId="884" sId="4">
    <oc r="O48" t="inlineStr">
      <is>
        <t>chung.ly</t>
      </is>
    </oc>
    <nc r="O48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M62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3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4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5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6" start="0" length="0">
    <dxf>
      <alignment horizontal="general" vertical="bottom" readingOrder="0"/>
      <border outline="0">
        <left/>
        <right/>
        <top/>
        <bottom/>
      </border>
    </dxf>
  </rfmt>
  <rfmt sheetId="4" sqref="M67" start="0" length="0">
    <dxf>
      <alignment horizontal="general" vertical="bottom" readingOrder="0"/>
      <border outline="0">
        <left/>
        <right/>
        <top/>
        <bottom/>
      </border>
    </dxf>
  </rfmt>
  <rfmt sheetId="4" sqref="M68" start="0" length="0">
    <dxf>
      <alignment horizontal="general" vertical="bottom" readingOrder="0"/>
      <border outline="0">
        <left/>
        <right/>
        <top/>
        <bottom/>
      </border>
    </dxf>
  </rfmt>
  <rfmt sheetId="4" sqref="M69" start="0" length="0">
    <dxf>
      <alignment horizontal="general" vertical="bottom" readingOrder="0"/>
      <border outline="0">
        <left/>
        <right/>
        <top/>
        <bottom/>
      </border>
    </dxf>
  </rfmt>
  <rfmt sheetId="4" sqref="M70" start="0" length="0">
    <dxf>
      <alignment horizontal="general" vertical="bottom" readingOrder="0"/>
      <border outline="0">
        <left/>
        <right/>
        <top/>
        <bottom/>
      </border>
    </dxf>
  </rfmt>
  <rfmt sheetId="4" sqref="M71" start="0" length="0">
    <dxf>
      <alignment horizontal="general" vertical="bottom" readingOrder="0"/>
      <border outline="0">
        <left/>
        <right/>
        <top/>
        <bottom/>
      </border>
    </dxf>
  </rfmt>
  <rfmt sheetId="4" sqref="M72" start="0" length="0">
    <dxf>
      <alignment horizontal="general" vertical="bottom" readingOrder="0"/>
      <border outline="0">
        <left/>
        <right/>
        <top/>
        <bottom/>
      </border>
    </dxf>
  </rfmt>
  <rfmt sheetId="4" sqref="M73" start="0" length="0">
    <dxf>
      <alignment horizontal="general" vertical="bottom" readingOrder="0"/>
      <border outline="0">
        <left/>
        <right/>
        <top/>
        <bottom/>
      </border>
    </dxf>
  </rfmt>
  <rfmt sheetId="4" sqref="M74" start="0" length="0">
    <dxf>
      <alignment horizontal="general" vertical="bottom" readingOrder="0"/>
      <border outline="0">
        <left/>
        <right/>
        <top/>
        <bottom/>
      </border>
    </dxf>
  </rfmt>
  <rfmt sheetId="4" sqref="M75" start="0" length="0">
    <dxf>
      <alignment horizontal="general" vertical="bottom" readingOrder="0"/>
      <border outline="0">
        <left/>
        <right/>
        <top/>
        <bottom/>
      </border>
    </dxf>
  </rfmt>
  <rfmt sheetId="4" sqref="M76" start="0" length="0">
    <dxf>
      <alignment horizontal="general" vertical="bottom" readingOrder="0"/>
      <border outline="0">
        <left/>
        <right/>
        <top/>
        <bottom/>
      </border>
    </dxf>
  </rfmt>
  <rfmt sheetId="4" sqref="M77" start="0" length="0">
    <dxf>
      <alignment horizontal="general" vertical="bottom" readingOrder="0"/>
      <border outline="0">
        <left/>
        <right/>
        <top/>
        <bottom/>
      </border>
    </dxf>
  </rfmt>
  <rfmt sheetId="4" sqref="M78" start="0" length="0">
    <dxf>
      <alignment horizontal="general" vertical="bottom" readingOrder="0"/>
      <border outline="0">
        <left/>
        <right/>
        <top/>
        <bottom/>
      </border>
    </dxf>
  </rfmt>
  <rfmt sheetId="4" sqref="M79" start="0" length="0">
    <dxf>
      <alignment horizontal="general" vertical="bottom" readingOrder="0"/>
      <border outline="0">
        <left/>
        <right/>
        <top/>
        <bottom/>
      </border>
    </dxf>
  </rfmt>
  <rfmt sheetId="4" sqref="M80" start="0" length="0">
    <dxf>
      <alignment horizontal="general" vertical="bottom" readingOrder="0"/>
      <border outline="0">
        <left/>
        <right/>
        <top/>
        <bottom/>
      </border>
    </dxf>
  </rfmt>
  <rfmt sheetId="4" sqref="M81" start="0" length="0">
    <dxf>
      <alignment horizontal="general" vertical="bottom" readingOrder="0"/>
      <border outline="0">
        <left/>
        <right/>
        <top/>
        <bottom/>
      </border>
    </dxf>
  </rfmt>
  <rfmt sheetId="4" sqref="M82" start="0" length="0">
    <dxf>
      <alignment horizontal="general" vertical="bottom" readingOrder="0"/>
      <border outline="0">
        <left/>
        <right/>
        <top/>
        <bottom/>
      </border>
    </dxf>
  </rfmt>
  <rfmt sheetId="4" sqref="M83" start="0" length="0">
    <dxf>
      <alignment horizontal="general" vertical="bottom" readingOrder="0"/>
      <border outline="0">
        <left/>
        <right/>
        <top/>
        <bottom/>
      </border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97" sId="4">
    <nc r="T8">
      <f>S8</f>
    </nc>
  </rcc>
  <rcc rId="898" sId="4">
    <nc r="V8">
      <v>1</v>
    </nc>
  </rcc>
  <rcc rId="899" sId="4">
    <nc r="W8" t="inlineStr">
      <is>
        <t>Ready for review</t>
      </is>
    </nc>
  </rcc>
  <rcc rId="900" sId="4" numFmtId="19">
    <nc r="Z8">
      <v>43922</v>
    </nc>
  </rcc>
  <rcc rId="901" sId="4" numFmtId="19">
    <nc r="AA8">
      <v>43922</v>
    </nc>
  </rcc>
  <rcc rId="902" sId="4">
    <nc r="AB8" t="inlineStr">
      <is>
        <t>OK</t>
      </is>
    </nc>
  </rcc>
  <rcc rId="903" sId="4">
    <nc r="AC8">
      <v>100</v>
    </nc>
  </rcc>
  <rcc rId="904" sId="4">
    <nc r="AD8">
      <v>100</v>
    </nc>
  </rcc>
  <rcc rId="905" sId="4" odxf="1" dxf="1">
    <nc r="AE8">
      <v>100</v>
    </nc>
    <odxf/>
    <ndxf/>
  </rcc>
  <rcc rId="906" sId="4" odxf="1" dxf="1" quotePrefix="1">
    <nc r="AF8" t="inlineStr">
      <is>
        <t>N/A</t>
      </is>
    </nc>
    <odxf/>
    <ndxf/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10" sId="4">
    <oc r="O43" t="inlineStr">
      <is>
        <t>duong.nguyen</t>
      </is>
    </oc>
    <nc r="O43" t="inlineStr">
      <is>
        <t>chung.ly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17" sId="4">
    <oc r="S17">
      <f>R17</f>
    </oc>
    <nc r="S17">
      <f>R17+200-R17</f>
    </nc>
  </rcc>
  <rfmt sheetId="4" sqref="S17">
    <dxf>
      <fill>
        <patternFill patternType="solid">
          <bgColor rgb="FFFF0000"/>
        </patternFill>
      </fill>
    </dxf>
  </rfmt>
  <rcc rId="918" sId="4">
    <nc r="T17">
      <f>S17</f>
    </nc>
  </rcc>
  <rcc rId="919" sId="4">
    <nc r="V17">
      <v>1</v>
    </nc>
  </rcc>
  <rcc rId="920" sId="4">
    <nc r="W17" t="inlineStr">
      <is>
        <t>Ready for review</t>
      </is>
    </nc>
  </rcc>
  <rcc rId="921" sId="4" numFmtId="19">
    <nc r="Z17">
      <v>43922</v>
    </nc>
  </rcc>
  <rcc rId="922" sId="4" numFmtId="19">
    <nc r="AA17">
      <v>43922</v>
    </nc>
  </rcc>
  <rcc rId="923" sId="4">
    <nc r="AB17" t="inlineStr">
      <is>
        <t>OK</t>
      </is>
    </nc>
  </rcc>
  <rcc rId="924" sId="4">
    <nc r="AC17">
      <v>100</v>
    </nc>
  </rcc>
  <rcc rId="925" sId="4">
    <nc r="AD17">
      <v>100</v>
    </nc>
  </rcc>
  <rcc rId="926" sId="4">
    <nc r="AE17">
      <v>100</v>
    </nc>
  </rcc>
  <rcc rId="927" sId="4">
    <nc r="AF17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31" sId="4">
    <nc r="T28">
      <v>200</v>
    </nc>
  </rcc>
  <rcc rId="932" sId="4">
    <nc r="V28">
      <v>1</v>
    </nc>
  </rcc>
  <rcc rId="933" sId="4">
    <nc r="W28" t="inlineStr">
      <is>
        <t>Ready for review</t>
      </is>
    </nc>
  </rcc>
  <rcc rId="934" sId="4" numFmtId="19">
    <nc r="Z28">
      <v>43922</v>
    </nc>
  </rcc>
  <rcc rId="935" sId="4" numFmtId="19">
    <nc r="AA28">
      <v>43922</v>
    </nc>
  </rcc>
  <rcc rId="936" sId="4" odxf="1" dxf="1">
    <nc r="AB2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37" sId="4">
    <nc r="AC28">
      <v>100</v>
    </nc>
  </rcc>
  <rcc rId="938" sId="4">
    <nc r="AD28">
      <v>100</v>
    </nc>
  </rcc>
  <rcc rId="939" sId="4">
    <nc r="AE28">
      <v>100</v>
    </nc>
  </rcc>
  <rcc rId="940" sId="4">
    <nc r="AF28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44" sId="1">
    <nc r="T183">
      <v>210</v>
    </nc>
  </rcc>
  <rcc rId="945" sId="1">
    <nc r="V183">
      <v>4</v>
    </nc>
  </rcc>
  <rcc rId="946" sId="1">
    <nc r="W183" t="inlineStr">
      <is>
        <t>Ready for review</t>
      </is>
    </nc>
  </rcc>
  <rcc rId="947" sId="1" numFmtId="19">
    <nc r="Z183">
      <v>43921</v>
    </nc>
  </rcc>
  <rcc rId="948" sId="1" numFmtId="19">
    <nc r="AA183">
      <v>43921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52" sId="4" xfDxf="1" dxf="1" quotePrefix="1">
    <oc r="F22" t="inlineStr">
      <is>
        <t xml:space="preserve"> </t>
      </is>
    </oc>
    <nc r="F22" t="inlineStr">
      <is>
        <t>C:\02_CANTATA\COEM_April\_DataBase\FAW_L3_MainPath_HevX_Int\CNMSESPHevX\rb\as\fawesphevx\fawcore\app\dcom\RBAPLCust\src\ESP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956" sId="4" xfDxf="1" dxf="1" quotePrefix="1">
    <oc r="F23" t="inlineStr">
      <is>
        <t xml:space="preserve"> </t>
      </is>
    </oc>
    <nc r="F23" t="inlineStr">
      <is>
        <t>C:\02_CANTATA\COEM_April\_DataBase\FAW_L3_MainPath_HevX_Int\CNMSESPHevX\rb\as\fawesphevx\fawcore\app\dcom\RBAPLCust\src\ESP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957" sId="4">
    <nc r="T22">
      <f>S22</f>
    </nc>
  </rcc>
  <rcc rId="958" sId="4">
    <nc r="T23">
      <f>S23</f>
    </nc>
  </rcc>
  <rcc rId="959" sId="4">
    <nc r="V23">
      <v>2</v>
    </nc>
  </rcc>
  <rcc rId="960" sId="4">
    <nc r="V22">
      <v>2</v>
    </nc>
  </rcc>
  <rcc rId="961" sId="4">
    <nc r="W22" t="inlineStr">
      <is>
        <t>Ready for review</t>
      </is>
    </nc>
  </rcc>
  <rcc rId="962" sId="4">
    <nc r="W23" t="inlineStr">
      <is>
        <t>Ready for review</t>
      </is>
    </nc>
  </rcc>
  <rcc rId="963" sId="4" numFmtId="19">
    <nc r="Z22">
      <v>43922</v>
    </nc>
  </rcc>
  <rcc rId="964" sId="4" numFmtId="19">
    <nc r="AA22">
      <v>43922</v>
    </nc>
  </rcc>
  <rcc rId="965" sId="4" odxf="1" dxf="1">
    <nc r="AB22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66" sId="4">
    <nc r="AC22">
      <v>100</v>
    </nc>
  </rcc>
  <rcc rId="967" sId="4">
    <nc r="AD22">
      <v>100</v>
    </nc>
  </rcc>
  <rcc rId="968" sId="4">
    <nc r="AE22">
      <v>100</v>
    </nc>
  </rcc>
  <rcc rId="969" sId="4">
    <nc r="AF22" t="inlineStr">
      <is>
        <t>N/A</t>
      </is>
    </nc>
  </rcc>
  <rcc rId="970" sId="4" numFmtId="19">
    <nc r="Z23">
      <v>43922</v>
    </nc>
  </rcc>
  <rcc rId="971" sId="4" numFmtId="19">
    <nc r="AA23">
      <v>43922</v>
    </nc>
  </rcc>
  <rcc rId="972" sId="4" odxf="1" dxf="1">
    <nc r="AB23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73" sId="4">
    <nc r="AC23">
      <v>100</v>
    </nc>
  </rcc>
  <rcc rId="974" sId="4">
    <nc r="AD23">
      <v>100</v>
    </nc>
  </rcc>
  <rcc rId="975" sId="4">
    <nc r="AE23">
      <v>100</v>
    </nc>
  </rcc>
  <rcc rId="976" sId="4">
    <nc r="AF23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80" sId="4">
    <oc r="S40">
      <f>R40</f>
    </oc>
    <nc r="S40">
      <f>R40+255-34</f>
    </nc>
  </rcc>
  <rfmt sheetId="4" sqref="S52" start="0" length="0">
    <dxf>
      <font>
        <sz val="11"/>
        <color rgb="FFFF0000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981" sId="4">
    <oc r="S41">
      <f>R41</f>
    </oc>
    <nc r="S41">
      <f>R41+176-R41</f>
    </nc>
  </rcc>
  <rfmt sheetId="4" sqref="S40:S41">
    <dxf>
      <fill>
        <patternFill patternType="solid">
          <bgColor rgb="FFFF0000"/>
        </patternFill>
      </fill>
    </dxf>
  </rfmt>
  <rcc rId="982" sId="4">
    <oc r="S42">
      <f>R42</f>
    </oc>
    <nc r="S42">
      <f>R42+122-R42</f>
    </nc>
  </rcc>
  <rfmt sheetId="4" sqref="S52" start="0" length="0">
    <dxf>
      <border>
        <left/>
        <right/>
        <top/>
        <bottom/>
      </border>
    </dxf>
  </rfmt>
  <rfmt sheetId="4" sqref="S42">
    <dxf>
      <fill>
        <patternFill patternType="solid">
          <bgColor rgb="FFFF0000"/>
        </patternFill>
      </fill>
    </dxf>
  </rfmt>
</revisions>
</file>

<file path=xl/revisions/revisionLog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83" sId="4">
    <oc r="E64">
      <f>SUMIFS($S$3:$S$49,$D$3:$D$49,Table!$D$3,$O$3:$O$49,C64)-SUM(SUMIFS($S$3:$S$49,$D$3:$D$49,Table!$D$3,$O$3:$O$49,C64,$W$3:$W$49,{"Ongoing","N/A",""}))</f>
    </oc>
    <nc r="E64">
      <f>SUMIFS($S$3:$S$49,$D$3:$D$49,Table!$D$3,$O$3:$O$49,C64)-SUM(SUMIFS($S$3:$S$49,$D$3:$D$49,Table!$D$3,$O$3:$O$49,C64,$W$3:$W$49,{"Ongoing","N/A",""}))</f>
    </nc>
  </rcc>
  <rfmt sheetId="4" sqref="H4:H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10:H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22:H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87" sId="4">
    <nc r="T40">
      <f>S40</f>
    </nc>
  </rcc>
  <rcc rId="988" sId="4">
    <nc r="V40">
      <v>1</v>
    </nc>
  </rcc>
  <rcc rId="989" sId="4">
    <nc r="W40" t="inlineStr">
      <is>
        <t>Ready for review</t>
      </is>
    </nc>
  </rcc>
  <rcc rId="990" sId="4" numFmtId="19">
    <nc r="Z40">
      <v>43922</v>
    </nc>
  </rcc>
  <rcc rId="991" sId="4" numFmtId="19">
    <nc r="AA40">
      <v>43922</v>
    </nc>
  </rcc>
  <rcc rId="992" sId="4" odxf="1" dxf="1">
    <nc r="AB40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93" sId="4">
    <nc r="AC40">
      <v>100</v>
    </nc>
  </rcc>
  <rcc rId="994" sId="4">
    <nc r="AD40">
      <v>100</v>
    </nc>
  </rcc>
  <rcc rId="995" sId="4">
    <nc r="AE40">
      <v>100</v>
    </nc>
  </rcc>
  <rcc rId="996" sId="4">
    <nc r="AF40" t="inlineStr">
      <is>
        <t>N/A</t>
      </is>
    </nc>
  </rcc>
  <rcc rId="997" sId="4" quotePrefix="1">
    <oc r="AG10" t="inlineStr">
      <is>
        <t>-</t>
      </is>
    </oc>
    <nc r="AG10" t="inlineStr">
      <is>
        <t>Can’t cover statement at line 39.</t>
      </is>
    </nc>
  </rcc>
  <rfmt sheetId="4" sqref="H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4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1001" sId="4">
    <nc r="T41">
      <f>S41</f>
    </nc>
  </rcc>
  <rcc rId="1002" sId="4">
    <nc r="T42">
      <f>S42</f>
    </nc>
  </rcc>
  <rcc rId="1003" sId="4">
    <nc r="V41">
      <v>1</v>
    </nc>
  </rcc>
  <rcc rId="1004" sId="4">
    <nc r="V42">
      <v>1</v>
    </nc>
  </rcc>
  <rcc rId="1005" sId="4">
    <nc r="W41" t="inlineStr">
      <is>
        <t>Ready for review</t>
      </is>
    </nc>
  </rcc>
  <rcc rId="1006" sId="4" numFmtId="19">
    <nc r="Z41">
      <v>43922</v>
    </nc>
  </rcc>
  <rcc rId="1007" sId="4" numFmtId="19">
    <nc r="AA41">
      <v>43922</v>
    </nc>
  </rcc>
  <rcc rId="1008" sId="4" odxf="1" dxf="1">
    <nc r="AB41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09" sId="4">
    <nc r="AC41">
      <v>100</v>
    </nc>
  </rcc>
  <rcc rId="1010" sId="4">
    <nc r="AD41">
      <v>100</v>
    </nc>
  </rcc>
  <rcc rId="1011" sId="4">
    <nc r="AE41">
      <v>100</v>
    </nc>
  </rcc>
  <rcc rId="1012" sId="4">
    <nc r="AF41" t="inlineStr">
      <is>
        <t>N/A</t>
      </is>
    </nc>
  </rcc>
  <rcc rId="1013" sId="4">
    <nc r="W42" t="inlineStr">
      <is>
        <t>Ready for review</t>
      </is>
    </nc>
  </rcc>
  <rcc rId="1014" sId="4" numFmtId="19">
    <nc r="Z42">
      <v>43922</v>
    </nc>
  </rcc>
  <rcc rId="1015" sId="4" numFmtId="19">
    <nc r="AA42">
      <v>43922</v>
    </nc>
  </rcc>
  <rcc rId="1016" sId="4" odxf="1" dxf="1">
    <nc r="AB42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17" sId="4">
    <nc r="AC42">
      <v>100</v>
    </nc>
  </rcc>
  <rcc rId="1018" sId="4">
    <nc r="AD42">
      <v>100</v>
    </nc>
  </rcc>
  <rcc rId="1019" sId="4">
    <nc r="AE42">
      <v>100</v>
    </nc>
  </rcc>
  <rcc rId="1020" sId="4">
    <nc r="AF42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24" sId="4">
    <oc r="S45">
      <f>R45</f>
    </oc>
    <nc r="S45">
      <f>R45+159-156</f>
    </nc>
  </rcc>
  <rfmt sheetId="4" sqref="S45">
    <dxf>
      <fill>
        <patternFill patternType="solid">
          <bgColor rgb="FFFF0000"/>
        </patternFill>
      </fill>
    </dxf>
  </rfmt>
  <rcc rId="1025" sId="4" odxf="1" dxf="1">
    <oc r="S44">
      <f>R44</f>
    </oc>
    <nc r="S44">
      <f>R44+159-156</f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1026" sId="4">
    <nc r="T44">
      <f>S44</f>
    </nc>
  </rcc>
  <rcc rId="1027" sId="4">
    <nc r="T45">
      <f>S45</f>
    </nc>
  </rcc>
  <rcc rId="1028" sId="4">
    <nc r="V44">
      <v>2</v>
    </nc>
  </rcc>
  <rcc rId="1029" sId="4">
    <nc r="V45">
      <v>2</v>
    </nc>
  </rcc>
  <rcc rId="1030" sId="4">
    <nc r="W44" t="inlineStr">
      <is>
        <t>Ready for review</t>
      </is>
    </nc>
  </rcc>
  <rcc rId="1031" sId="4">
    <nc r="W45" t="inlineStr">
      <is>
        <t>Ready for review</t>
      </is>
    </nc>
  </rcc>
  <rcc rId="1032" sId="4" numFmtId="19">
    <nc r="Z44">
      <v>43922</v>
    </nc>
  </rcc>
  <rcc rId="1033" sId="4" numFmtId="19">
    <nc r="AA44">
      <v>43922</v>
    </nc>
  </rcc>
  <rcc rId="1034" sId="4" numFmtId="19">
    <nc r="Z45">
      <v>43922</v>
    </nc>
  </rcc>
  <rcc rId="1035" sId="4" numFmtId="19">
    <nc r="AA45">
      <v>43922</v>
    </nc>
  </rcc>
  <rcc rId="1036" sId="4" odxf="1" dxf="1">
    <nc r="AB4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37" sId="4">
    <nc r="AC44">
      <v>100</v>
    </nc>
  </rcc>
  <rcc rId="1038" sId="4">
    <nc r="AD44">
      <v>100</v>
    </nc>
  </rcc>
  <rcc rId="1039" sId="4">
    <nc r="AE44">
      <v>100</v>
    </nc>
  </rcc>
  <rcc rId="1040" sId="4">
    <nc r="AF44" t="inlineStr">
      <is>
        <t>N/A</t>
      </is>
    </nc>
  </rcc>
  <rcc rId="1041" sId="4" odxf="1" dxf="1">
    <nc r="AB45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42" sId="4">
    <nc r="AC45">
      <v>100</v>
    </nc>
  </rcc>
  <rcc rId="1043" sId="4">
    <nc r="AD45">
      <v>100</v>
    </nc>
  </rcc>
  <rcc rId="1044" sId="4">
    <nc r="AE45">
      <v>100</v>
    </nc>
  </rcc>
  <rcc rId="1045" sId="4">
    <nc r="AF45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49" sId="4">
    <nc r="T46">
      <f>S46</f>
    </nc>
  </rcc>
  <rcc rId="1050" sId="4">
    <nc r="T47">
      <f>S47</f>
    </nc>
  </rcc>
  <rcc rId="1051" sId="4">
    <nc r="V46">
      <v>0.5</v>
    </nc>
  </rcc>
  <rcc rId="1052" sId="4">
    <nc r="V47">
      <v>0.5</v>
    </nc>
  </rcc>
  <rcc rId="1053" sId="4">
    <nc r="W46" t="inlineStr">
      <is>
        <t>Ready for review</t>
      </is>
    </nc>
  </rcc>
  <rcc rId="1054" sId="4">
    <nc r="W47" t="inlineStr">
      <is>
        <t>Ready for review</t>
      </is>
    </nc>
  </rcc>
  <rcc rId="1055" sId="4" numFmtId="19">
    <nc r="Z46">
      <v>43922</v>
    </nc>
  </rcc>
  <rcc rId="1056" sId="4" numFmtId="19">
    <nc r="AA46">
      <v>43922</v>
    </nc>
  </rcc>
  <rcc rId="1057" sId="4" odxf="1" dxf="1">
    <nc r="AB46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58" sId="4">
    <nc r="AC46">
      <v>100</v>
    </nc>
  </rcc>
  <rcc rId="1059" sId="4">
    <nc r="AD46">
      <v>100</v>
    </nc>
  </rcc>
  <rcc rId="1060" sId="4">
    <nc r="AE46">
      <v>100</v>
    </nc>
  </rcc>
  <rcc rId="1061" sId="4">
    <nc r="AF46" t="inlineStr">
      <is>
        <t>N/A</t>
      </is>
    </nc>
  </rcc>
  <rcc rId="1062" sId="4" numFmtId="19">
    <nc r="Z47">
      <v>43922</v>
    </nc>
  </rcc>
  <rcc rId="1063" sId="4" numFmtId="19">
    <nc r="AA47">
      <v>43922</v>
    </nc>
  </rcc>
  <rcc rId="1064" sId="4" odxf="1" dxf="1">
    <nc r="AB47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65" sId="4" odxf="1" dxf="1">
    <nc r="AC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066" sId="4" odxf="1" dxf="1">
    <nc r="AD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067" sId="4" odxf="1" dxf="1">
    <nc r="AE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068" sId="4" odxf="1" dxf="1">
    <nc r="AF47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72" sId="4">
    <nc r="T48">
      <f>S48</f>
    </nc>
  </rcc>
  <rcc rId="1073" sId="4">
    <nc r="V48">
      <v>1</v>
    </nc>
  </rcc>
  <rcc rId="1074" sId="4">
    <oc r="V44">
      <v>2</v>
    </oc>
    <nc r="V44">
      <v>1.5</v>
    </nc>
  </rcc>
  <rcc rId="1075" sId="4">
    <oc r="V45">
      <v>2</v>
    </oc>
    <nc r="V45">
      <v>1.5</v>
    </nc>
  </rcc>
  <rcc rId="1076" sId="4">
    <nc r="W48" t="inlineStr">
      <is>
        <t>Ready for review</t>
      </is>
    </nc>
  </rcc>
  <rcc rId="1077" sId="4" numFmtId="19">
    <nc r="Z48">
      <v>43922</v>
    </nc>
  </rcc>
  <rcc rId="1078" sId="4" numFmtId="19">
    <nc r="AA48">
      <v>43922</v>
    </nc>
  </rcc>
  <rcc rId="1079" sId="4" odxf="1" dxf="1">
    <nc r="AB4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80" sId="4">
    <nc r="AC48">
      <v>100</v>
    </nc>
  </rcc>
  <rcc rId="1081" sId="4">
    <nc r="AD48">
      <v>100</v>
    </nc>
  </rcc>
  <rcc rId="1082" sId="4">
    <nc r="AE48">
      <v>100</v>
    </nc>
  </rcc>
  <rcc rId="1083" sId="4">
    <nc r="AF48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87" sId="1">
    <nc r="T184">
      <v>622</v>
    </nc>
  </rcc>
  <rcc rId="1088" sId="1">
    <nc r="V184">
      <v>6</v>
    </nc>
  </rcc>
  <rcc rId="1089" sId="1">
    <nc r="W184" t="inlineStr">
      <is>
        <t>Ready for review</t>
      </is>
    </nc>
  </rcc>
  <rcc rId="1090" sId="5" quotePrefix="1">
    <oc r="D20" t="inlineStr">
      <is>
        <t>-</t>
      </is>
    </oc>
    <nc r="D20" t="inlineStr">
      <is>
        <t>-Waiting license of ASCET Tool =&gt; Lead to delay for all class related with ASW</t>
      </is>
    </nc>
  </rcc>
  <rcc rId="1091" sId="1" numFmtId="19">
    <nc r="Z184">
      <v>43922</v>
    </nc>
  </rcc>
  <rcc rId="1092" sId="1" numFmtId="19">
    <nc r="AA184">
      <v>43922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99" sId="5">
    <oc r="B3">
      <f>IF(TODAY()&lt;D1,SUM(INT((WEEKDAY(B1-{2,3,4,5,6})+TODAY()-B1)/7)),SUM(INT((WEEKDAY(B1-{2,3,4,5,6})+D1-B1)/7)))</f>
    </oc>
    <nc r="B3">
      <f>IF(TODAY()&lt;D1,SUM(INT((WEEKDAY(B1-{2,3,4,5,6})+TODAY()-B1)/7)),SUM(INT((WEEKDAY(B1-{2,3,4,5,6})+D1-B1)/7)))-1</f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03" sId="1">
    <nc r="T209">
      <v>150</v>
    </nc>
  </rcc>
  <rcc rId="1104" sId="1">
    <nc r="V209">
      <v>2</v>
    </nc>
  </rcc>
  <rcc rId="1105" sId="1">
    <nc r="W209" t="inlineStr">
      <is>
        <t>Ready for review</t>
      </is>
    </nc>
  </rcc>
  <rcc rId="1106" sId="1" numFmtId="19">
    <nc r="Z209">
      <v>43924</v>
    </nc>
  </rcc>
  <rcc rId="1107" sId="1" numFmtId="19">
    <nc r="AA209">
      <v>43924</v>
    </nc>
  </rcc>
  <rcc rId="1108" sId="1">
    <nc r="T181">
      <v>77</v>
    </nc>
  </rcc>
  <rcc rId="1109" sId="1">
    <nc r="V181">
      <v>1</v>
    </nc>
  </rcc>
  <rcc rId="1110" sId="1">
    <nc r="W181" t="inlineStr">
      <is>
        <t>Ready for review</t>
      </is>
    </nc>
  </rcc>
  <rcc rId="1111" sId="1" numFmtId="19">
    <nc r="Z181">
      <v>43924</v>
    </nc>
  </rcc>
  <rcc rId="1112" sId="1" numFmtId="19">
    <nc r="AA181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16" sId="1" numFmtId="19">
    <nc r="Z182">
      <v>43924</v>
    </nc>
  </rcc>
  <rcc rId="1117" sId="1" numFmtId="19">
    <nc r="AA182">
      <v>43924</v>
    </nc>
  </rcc>
  <rcc rId="1118" sId="1" numFmtId="19">
    <nc r="Z208">
      <v>43924</v>
    </nc>
  </rcc>
  <rcc rId="1119" sId="1" numFmtId="19">
    <nc r="AA208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S180">
    <dxf>
      <fill>
        <patternFill patternType="solid">
          <bgColor rgb="FFFF0000"/>
        </patternFill>
      </fill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26" sId="3" numFmtId="19">
    <oc r="D1">
      <f>TODAY()</f>
    </oc>
    <nc r="D1">
      <v>43921</v>
    </nc>
  </rcc>
</revisions>
</file>

<file path=xl/revisions/revisionLog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7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30" sId="1">
    <nc r="T182">
      <v>44</v>
    </nc>
  </rcc>
  <rcc rId="1131" sId="1">
    <nc r="V182">
      <v>0.5</v>
    </nc>
  </rcc>
  <rcc rId="1132" sId="1">
    <nc r="W182" t="inlineStr">
      <is>
        <t>Ready for review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136" sId="4" ref="A49:XFD49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</rrc>
  <rfmt sheetId="4" sqref="B49" start="0" length="0">
    <dxf>
      <fill>
        <patternFill patternType="none">
          <bgColor indexed="65"/>
        </patternFill>
      </fill>
    </dxf>
  </rfmt>
  <rcc rId="1137" sId="4">
    <nc r="B49">
      <f>B48+1</f>
    </nc>
  </rcc>
  <rcc rId="1138" sId="4">
    <oc r="B50">
      <v>47</v>
    </oc>
    <nc r="B50">
      <f>B49+1</f>
    </nc>
  </rcc>
  <rrc rId="1139" sId="4" ref="A49:XFD50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</rrc>
  <rcc rId="1140" sId="4" odxf="1" dxf="1">
    <nc r="B49">
      <f>B46+1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41" sId="4" odxf="1" dxf="1">
    <nc r="B50">
      <f>B49+1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0" start="0" length="0">
    <dxf>
      <font>
        <sz val="11"/>
        <color theme="1"/>
        <name val="Calibri"/>
        <scheme val="minor"/>
      </font>
      <numFmt numFmtId="19" formatCode="m/d/yyyy"/>
    </dxf>
  </rfmt>
  <rfmt sheetId="4" sqref="AC50" start="0" length="0">
    <dxf>
      <font>
        <sz val="11"/>
        <color theme="1"/>
        <name val="Calibri"/>
        <scheme val="minor"/>
      </font>
    </dxf>
  </rfmt>
  <rfmt sheetId="4" sqref="AD50" start="0" length="0">
    <dxf>
      <font>
        <sz val="11"/>
        <color theme="1"/>
        <name val="Calibri"/>
        <scheme val="minor"/>
      </font>
    </dxf>
  </rfmt>
  <rfmt sheetId="4" sqref="AE50" start="0" length="0">
    <dxf>
      <font>
        <sz val="11"/>
        <color theme="1"/>
        <name val="Calibri"/>
        <scheme val="minor"/>
      </font>
    </dxf>
  </rfmt>
  <rfmt sheetId="4" sqref="AF50" start="0" length="0">
    <dxf>
      <font>
        <sz val="11"/>
        <color theme="1"/>
        <name val="Calibri"/>
        <scheme val="minor"/>
      </font>
    </dxf>
  </rfmt>
  <rcc rId="1142" sId="4" quotePrefix="1">
    <nc r="AG50" t="inlineStr">
      <is>
        <t>-</t>
      </is>
    </nc>
  </rcc>
  <rcc rId="1143" sId="4" quotePrefix="1">
    <nc r="AH50" t="inlineStr">
      <is>
        <t>-</t>
      </is>
    </nc>
  </rcc>
  <rrc rId="1144" sId="4" ref="A49:XFD52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</rrc>
  <rcc rId="1145" sId="4" odxf="1" dxf="1">
    <nc r="B49">
      <f>B42+1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46" sId="4" odxf="1" dxf="1">
    <nc r="B50">
      <f>B49+1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0" start="0" length="0">
    <dxf>
      <font>
        <sz val="11"/>
        <color theme="1"/>
        <name val="Calibri"/>
        <scheme val="minor"/>
      </font>
      <numFmt numFmtId="19" formatCode="m/d/yyyy"/>
    </dxf>
  </rfmt>
  <rfmt sheetId="4" sqref="AC50" start="0" length="0">
    <dxf>
      <font>
        <sz val="11"/>
        <color theme="1"/>
        <name val="Calibri"/>
        <scheme val="minor"/>
      </font>
    </dxf>
  </rfmt>
  <rfmt sheetId="4" sqref="AD50" start="0" length="0">
    <dxf>
      <font>
        <sz val="11"/>
        <color theme="1"/>
        <name val="Calibri"/>
        <scheme val="minor"/>
      </font>
    </dxf>
  </rfmt>
  <rfmt sheetId="4" sqref="AE50" start="0" length="0">
    <dxf>
      <font>
        <sz val="11"/>
        <color theme="1"/>
        <name val="Calibri"/>
        <scheme val="minor"/>
      </font>
    </dxf>
  </rfmt>
  <rfmt sheetId="4" sqref="AF50" start="0" length="0">
    <dxf>
      <font>
        <sz val="11"/>
        <color theme="1"/>
        <name val="Calibri"/>
        <scheme val="minor"/>
      </font>
    </dxf>
  </rfmt>
  <rcc rId="1147" sId="4" quotePrefix="1">
    <nc r="AG50" t="inlineStr">
      <is>
        <t>-</t>
      </is>
    </nc>
  </rcc>
  <rcc rId="1148" sId="4" quotePrefix="1">
    <nc r="AH50" t="inlineStr">
      <is>
        <t>-</t>
      </is>
    </nc>
  </rcc>
  <rcc rId="1149" sId="4" odxf="1" dxf="1">
    <nc r="B51">
      <f>B44+1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50" sId="4" odxf="1" dxf="1">
    <nc r="B52">
      <f>B51+1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2" start="0" length="0">
    <dxf>
      <font>
        <sz val="11"/>
        <color theme="1"/>
        <name val="Calibri"/>
        <scheme val="minor"/>
      </font>
      <numFmt numFmtId="19" formatCode="m/d/yyyy"/>
    </dxf>
  </rfmt>
  <rfmt sheetId="4" sqref="AC52" start="0" length="0">
    <dxf>
      <font>
        <sz val="11"/>
        <color theme="1"/>
        <name val="Calibri"/>
        <scheme val="minor"/>
      </font>
    </dxf>
  </rfmt>
  <rfmt sheetId="4" sqref="AD52" start="0" length="0">
    <dxf>
      <font>
        <sz val="11"/>
        <color theme="1"/>
        <name val="Calibri"/>
        <scheme val="minor"/>
      </font>
    </dxf>
  </rfmt>
  <rfmt sheetId="4" sqref="AE52" start="0" length="0">
    <dxf>
      <font>
        <sz val="11"/>
        <color theme="1"/>
        <name val="Calibri"/>
        <scheme val="minor"/>
      </font>
    </dxf>
  </rfmt>
  <rfmt sheetId="4" sqref="AF52" start="0" length="0">
    <dxf>
      <font>
        <sz val="11"/>
        <color theme="1"/>
        <name val="Calibri"/>
        <scheme val="minor"/>
      </font>
    </dxf>
  </rfmt>
  <rcc rId="1151" sId="4" quotePrefix="1">
    <nc r="AG52" t="inlineStr">
      <is>
        <t>-</t>
      </is>
    </nc>
  </rcc>
  <rcc rId="1152" sId="4" quotePrefix="1">
    <nc r="AH52" t="inlineStr">
      <is>
        <t>-</t>
      </is>
    </nc>
  </rcc>
  <rrc rId="1153" sId="4" ref="A49:XFD56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</rrc>
  <rcc rId="1154" sId="4" odxf="1" dxf="1">
    <nc r="B49">
      <f>B34+1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55" sId="4" odxf="1" dxf="1">
    <nc r="B50">
      <f>B49+1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0" start="0" length="0">
    <dxf>
      <font>
        <sz val="11"/>
        <color theme="1"/>
        <name val="Calibri"/>
        <scheme val="minor"/>
      </font>
      <numFmt numFmtId="19" formatCode="m/d/yyyy"/>
    </dxf>
  </rfmt>
  <rfmt sheetId="4" sqref="AC50" start="0" length="0">
    <dxf>
      <font>
        <sz val="11"/>
        <color theme="1"/>
        <name val="Calibri"/>
        <scheme val="minor"/>
      </font>
    </dxf>
  </rfmt>
  <rfmt sheetId="4" sqref="AD50" start="0" length="0">
    <dxf>
      <font>
        <sz val="11"/>
        <color theme="1"/>
        <name val="Calibri"/>
        <scheme val="minor"/>
      </font>
    </dxf>
  </rfmt>
  <rfmt sheetId="4" sqref="AE50" start="0" length="0">
    <dxf>
      <font>
        <sz val="11"/>
        <color theme="1"/>
        <name val="Calibri"/>
        <scheme val="minor"/>
      </font>
    </dxf>
  </rfmt>
  <rfmt sheetId="4" sqref="AF50" start="0" length="0">
    <dxf>
      <font>
        <sz val="11"/>
        <color theme="1"/>
        <name val="Calibri"/>
        <scheme val="minor"/>
      </font>
    </dxf>
  </rfmt>
  <rcc rId="1156" sId="4" quotePrefix="1">
    <nc r="AG50" t="inlineStr">
      <is>
        <t>-</t>
      </is>
    </nc>
  </rcc>
  <rcc rId="1157" sId="4" quotePrefix="1">
    <nc r="AH50" t="inlineStr">
      <is>
        <t>-</t>
      </is>
    </nc>
  </rcc>
  <rcc rId="1158" sId="4" odxf="1" dxf="1">
    <nc r="B51">
      <f>B36+1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59" sId="4" odxf="1" dxf="1">
    <nc r="B52">
      <f>B51+1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2" start="0" length="0">
    <dxf>
      <font>
        <sz val="11"/>
        <color theme="1"/>
        <name val="Calibri"/>
        <scheme val="minor"/>
      </font>
      <numFmt numFmtId="19" formatCode="m/d/yyyy"/>
    </dxf>
  </rfmt>
  <rfmt sheetId="4" sqref="AC52" start="0" length="0">
    <dxf>
      <font>
        <sz val="11"/>
        <color theme="1"/>
        <name val="Calibri"/>
        <scheme val="minor"/>
      </font>
    </dxf>
  </rfmt>
  <rfmt sheetId="4" sqref="AD52" start="0" length="0">
    <dxf>
      <font>
        <sz val="11"/>
        <color theme="1"/>
        <name val="Calibri"/>
        <scheme val="minor"/>
      </font>
    </dxf>
  </rfmt>
  <rfmt sheetId="4" sqref="AE52" start="0" length="0">
    <dxf>
      <font>
        <sz val="11"/>
        <color theme="1"/>
        <name val="Calibri"/>
        <scheme val="minor"/>
      </font>
    </dxf>
  </rfmt>
  <rfmt sheetId="4" sqref="AF52" start="0" length="0">
    <dxf>
      <font>
        <sz val="11"/>
        <color theme="1"/>
        <name val="Calibri"/>
        <scheme val="minor"/>
      </font>
    </dxf>
  </rfmt>
  <rcc rId="1160" sId="4" quotePrefix="1">
    <nc r="AG52" t="inlineStr">
      <is>
        <t>-</t>
      </is>
    </nc>
  </rcc>
  <rcc rId="1161" sId="4" quotePrefix="1">
    <nc r="AH52" t="inlineStr">
      <is>
        <t>-</t>
      </is>
    </nc>
  </rcc>
  <rcc rId="1162" sId="4" odxf="1" dxf="1">
    <nc r="B53">
      <f>B38+1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63" sId="4" odxf="1" dxf="1">
    <nc r="B54">
      <f>B53+1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4" start="0" length="0">
    <dxf>
      <font>
        <sz val="11"/>
        <color theme="1"/>
        <name val="Calibri"/>
        <scheme val="minor"/>
      </font>
      <numFmt numFmtId="19" formatCode="m/d/yyyy"/>
    </dxf>
  </rfmt>
  <rfmt sheetId="4" sqref="AC54" start="0" length="0">
    <dxf>
      <font>
        <sz val="11"/>
        <color theme="1"/>
        <name val="Calibri"/>
        <scheme val="minor"/>
      </font>
    </dxf>
  </rfmt>
  <rfmt sheetId="4" sqref="AD54" start="0" length="0">
    <dxf>
      <font>
        <sz val="11"/>
        <color theme="1"/>
        <name val="Calibri"/>
        <scheme val="minor"/>
      </font>
    </dxf>
  </rfmt>
  <rfmt sheetId="4" sqref="AE54" start="0" length="0">
    <dxf>
      <font>
        <sz val="11"/>
        <color theme="1"/>
        <name val="Calibri"/>
        <scheme val="minor"/>
      </font>
    </dxf>
  </rfmt>
  <rfmt sheetId="4" sqref="AF54" start="0" length="0">
    <dxf>
      <font>
        <sz val="11"/>
        <color theme="1"/>
        <name val="Calibri"/>
        <scheme val="minor"/>
      </font>
    </dxf>
  </rfmt>
  <rcc rId="1164" sId="4" quotePrefix="1">
    <nc r="AG54" t="inlineStr">
      <is>
        <t>-</t>
      </is>
    </nc>
  </rcc>
  <rcc rId="1165" sId="4" quotePrefix="1">
    <nc r="AH54" t="inlineStr">
      <is>
        <t>-</t>
      </is>
    </nc>
  </rcc>
  <rcc rId="1166" sId="4" odxf="1" dxf="1">
    <nc r="B55">
      <f>B40+1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67" sId="4" odxf="1" dxf="1">
    <nc r="B56">
      <f>B55+1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6" start="0" length="0">
    <dxf>
      <font>
        <sz val="11"/>
        <color theme="1"/>
        <name val="Calibri"/>
        <scheme val="minor"/>
      </font>
      <numFmt numFmtId="19" formatCode="m/d/yyyy"/>
    </dxf>
  </rfmt>
  <rfmt sheetId="4" sqref="AC56" start="0" length="0">
    <dxf>
      <font>
        <sz val="11"/>
        <color theme="1"/>
        <name val="Calibri"/>
        <scheme val="minor"/>
      </font>
    </dxf>
  </rfmt>
  <rfmt sheetId="4" sqref="AD56" start="0" length="0">
    <dxf>
      <font>
        <sz val="11"/>
        <color theme="1"/>
        <name val="Calibri"/>
        <scheme val="minor"/>
      </font>
    </dxf>
  </rfmt>
  <rfmt sheetId="4" sqref="AE56" start="0" length="0">
    <dxf>
      <font>
        <sz val="11"/>
        <color theme="1"/>
        <name val="Calibri"/>
        <scheme val="minor"/>
      </font>
    </dxf>
  </rfmt>
  <rfmt sheetId="4" sqref="AF56" start="0" length="0">
    <dxf>
      <font>
        <sz val="11"/>
        <color theme="1"/>
        <name val="Calibri"/>
        <scheme val="minor"/>
      </font>
    </dxf>
  </rfmt>
  <rcc rId="1168" sId="4" quotePrefix="1">
    <nc r="AG56" t="inlineStr">
      <is>
        <t>-</t>
      </is>
    </nc>
  </rcc>
  <rcc rId="1169" sId="4" quotePrefix="1">
    <nc r="AH56" t="inlineStr">
      <is>
        <t>-</t>
      </is>
    </nc>
  </rcc>
  <rcc rId="1170" sId="4">
    <nc r="C49">
      <v>20200403</v>
    </nc>
  </rcc>
  <rcc rId="1171" sId="4" xfDxf="1" dxf="1">
    <nc r="E49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2" sId="4" xfDxf="1" dxf="1">
    <nc r="E50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3" sId="4" xfDxf="1" dxf="1">
    <nc r="E51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4" sId="4" xfDxf="1" dxf="1">
    <nc r="E52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5" sId="4" xfDxf="1" dxf="1">
    <nc r="E53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6" sId="4" xfDxf="1" dxf="1">
    <nc r="E54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7" sId="4" xfDxf="1" dxf="1">
    <nc r="E55" t="inlineStr">
      <is>
        <t>MC_227282_SGMW_E200_Plus_ESPCPiGen9.3_BSS04_SP02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8" sId="4">
    <nc r="D50" t="inlineStr">
      <is>
        <t>PSW</t>
      </is>
    </nc>
  </rcc>
  <rcc rId="1179" sId="4">
    <nc r="D52" t="inlineStr">
      <is>
        <t>PSW</t>
      </is>
    </nc>
  </rcc>
  <rcc rId="1180" sId="4">
    <nc r="D54" t="inlineStr">
      <is>
        <t>PSW</t>
      </is>
    </nc>
  </rcc>
  <rcc rId="1181" sId="4">
    <nc r="C50">
      <v>20200403</v>
    </nc>
  </rcc>
  <rcc rId="1182" sId="4">
    <nc r="C51">
      <v>20200403</v>
    </nc>
  </rcc>
  <rcc rId="1183" sId="4">
    <nc r="C52">
      <v>20200403</v>
    </nc>
  </rcc>
  <rcc rId="1184" sId="4">
    <nc r="C53">
      <v>20200403</v>
    </nc>
  </rcc>
  <rcc rId="1185" sId="4">
    <nc r="C54">
      <v>20200403</v>
    </nc>
  </rcc>
  <rcc rId="1186" sId="4">
    <nc r="C55">
      <v>20200403</v>
    </nc>
  </rcc>
  <rcc rId="1187" sId="4">
    <nc r="D49" t="inlineStr">
      <is>
        <t>PSW</t>
      </is>
    </nc>
  </rcc>
  <rcc rId="1188" sId="4">
    <nc r="D51" t="inlineStr">
      <is>
        <t>PSW</t>
      </is>
    </nc>
  </rcc>
  <rcc rId="1189" sId="4">
    <nc r="D53" t="inlineStr">
      <is>
        <t>PSW</t>
      </is>
    </nc>
  </rcc>
  <rcc rId="1190" sId="4">
    <nc r="D55" t="inlineStr">
      <is>
        <t>PSW</t>
      </is>
    </nc>
  </rcc>
  <rcc rId="1191" sId="4" odxf="1" dxf="1" quotePrefix="1">
    <oc r="F25" t="inlineStr">
      <is>
        <t xml:space="preserve"> </t>
      </is>
    </oc>
    <nc r="F25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2" sId="4" odxf="1" dxf="1" quotePrefix="1">
    <oc r="F26" t="inlineStr">
      <is>
        <t xml:space="preserve"> </t>
      </is>
    </oc>
    <nc r="F26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3" sId="4" odxf="1" dxf="1" quotePrefix="1">
    <oc r="F27" t="inlineStr">
      <is>
        <t xml:space="preserve"> </t>
      </is>
    </oc>
    <nc r="F27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4" sId="4" odxf="1" dxf="1" quotePrefix="1">
    <oc r="F28" t="inlineStr">
      <is>
        <t xml:space="preserve"> </t>
      </is>
    </oc>
    <nc r="F28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5" sId="4" odxf="1" dxf="1" quotePrefix="1">
    <oc r="F29" t="inlineStr">
      <is>
        <t xml:space="preserve"> </t>
      </is>
    </oc>
    <nc r="F29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6" sId="4" odxf="1" dxf="1" quotePrefix="1">
    <oc r="F30" t="inlineStr">
      <is>
        <t xml:space="preserve"> </t>
      </is>
    </oc>
    <nc r="F30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7" sId="4" odxf="1" dxf="1" quotePrefix="1">
    <oc r="F31" t="inlineStr">
      <is>
        <t xml:space="preserve"> </t>
      </is>
    </oc>
    <nc r="F31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8" sId="4" odxf="1" dxf="1" quotePrefix="1">
    <oc r="F32" t="inlineStr">
      <is>
        <t xml:space="preserve"> </t>
      </is>
    </oc>
    <nc r="F32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9" sId="4" odxf="1" dxf="1" quotePrefix="1">
    <nc r="F49" t="inlineStr">
      <is>
        <t>-</t>
      </is>
    </nc>
    <ndxf>
      <alignment horizontal="general" vertical="bottom" readingOrder="0"/>
    </ndxf>
  </rcc>
  <rcc rId="1200" sId="4" odxf="1" dxf="1" quotePrefix="1">
    <nc r="F50" t="inlineStr">
      <is>
        <t>-</t>
      </is>
    </nc>
    <ndxf>
      <alignment horizontal="general" vertical="bottom" readingOrder="0"/>
    </ndxf>
  </rcc>
  <rcc rId="1201" sId="4" odxf="1" dxf="1" quotePrefix="1">
    <nc r="F51" t="inlineStr">
      <is>
        <t>-</t>
      </is>
    </nc>
    <ndxf>
      <alignment horizontal="general" vertical="bottom" readingOrder="0"/>
    </ndxf>
  </rcc>
  <rcc rId="1202" sId="4" odxf="1" dxf="1" quotePrefix="1">
    <nc r="F52" t="inlineStr">
      <is>
        <t>-</t>
      </is>
    </nc>
    <ndxf>
      <alignment horizontal="general" vertical="bottom" readingOrder="0"/>
    </ndxf>
  </rcc>
  <rcc rId="1203" sId="4" odxf="1" dxf="1" quotePrefix="1">
    <nc r="F53" t="inlineStr">
      <is>
        <t>-</t>
      </is>
    </nc>
    <ndxf>
      <alignment horizontal="general" vertical="bottom" readingOrder="0"/>
    </ndxf>
  </rcc>
  <rcc rId="1204" sId="4" odxf="1" dxf="1" quotePrefix="1">
    <nc r="F54" t="inlineStr">
      <is>
        <t>-</t>
      </is>
    </nc>
    <ndxf>
      <alignment horizontal="general" vertical="bottom" readingOrder="0"/>
    </ndxf>
  </rcc>
  <rcc rId="1205" sId="4" odxf="1" dxf="1" quotePrefix="1">
    <nc r="F55" t="inlineStr">
      <is>
        <t>-</t>
      </is>
    </nc>
    <ndxf>
      <alignment horizontal="general" vertical="bottom" readingOrder="0"/>
    </ndxf>
  </rcc>
  <rcc rId="1206" sId="4" xfDxf="1" dxf="1">
    <nc r="G49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07" sId="4" xfDxf="1" dxf="1">
    <nc r="G50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08" sId="4" xfDxf="1" dxf="1">
    <nc r="G51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09" sId="4" xfDxf="1" dxf="1">
    <nc r="G52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0" sId="4" xfDxf="1" dxf="1">
    <nc r="G53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1" sId="4" xfDxf="1" dxf="1">
    <nc r="G54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2" sId="4" xfDxf="1" dxf="1">
    <nc r="G55">
      <v>1399233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3" sId="4" xfDxf="1" dxf="1">
    <nc r="H49" t="inlineStr">
      <is>
        <t>DWS_Handler_COMMON.c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4" sId="4" xfDxf="1" dxf="1">
    <nc r="H50" t="inlineStr">
      <is>
        <t>RBAPLCUST_RDBI_InputData.c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5" sId="4" xfDxf="1" dxf="1">
    <nc r="H51" t="inlineStr">
      <is>
        <t>RBAPLCUST_RDBI_TPMS.c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6" sId="4" xfDxf="1" dxf="1">
    <nc r="H52" t="inlineStr">
      <is>
        <t>rba_BldrCmp_36TransferData_Decomp.c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7" sId="4" xfDxf="1" dxf="1">
    <nc r="H53" t="inlineStr">
      <is>
        <t>rba_BldrCmp_DataHdl.c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8" sId="4" xfDxf="1" dxf="1">
    <nc r="H54" t="inlineStr">
      <is>
        <t>rba_BldrCmp_LogBlkHdl.c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9" sId="4" xfDxf="1" dxf="1">
    <nc r="H55" t="inlineStr">
      <is>
        <t>RBAPLCUST_ReadDTC.c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20" sId="4">
    <nc r="I49" t="inlineStr">
      <is>
        <t>Auto</t>
      </is>
    </nc>
  </rcc>
  <rcc rId="1221" sId="4">
    <nc r="I50" t="inlineStr">
      <is>
        <t>Auto</t>
      </is>
    </nc>
  </rcc>
  <rcc rId="1222" sId="4">
    <nc r="I51" t="inlineStr">
      <is>
        <t>Auto</t>
      </is>
    </nc>
  </rcc>
  <rcc rId="1223" sId="4">
    <nc r="I52" t="inlineStr">
      <is>
        <t>Auto</t>
      </is>
    </nc>
  </rcc>
  <rcc rId="1224" sId="4">
    <nc r="I53" t="inlineStr">
      <is>
        <t>Auto</t>
      </is>
    </nc>
  </rcc>
  <rcc rId="1225" sId="4">
    <nc r="I54" t="inlineStr">
      <is>
        <t>Auto</t>
      </is>
    </nc>
  </rcc>
  <rcc rId="1226" sId="4">
    <nc r="I55" t="inlineStr">
      <is>
        <t>Auto</t>
      </is>
    </nc>
  </rcc>
  <rcc rId="1227" sId="4" odxf="1" dxf="1" quotePrefix="1">
    <nc r="J49" t="inlineStr">
      <is>
        <t>-</t>
      </is>
    </nc>
    <ndxf/>
  </rcc>
  <rcc rId="1228" sId="4" odxf="1" dxf="1" quotePrefix="1">
    <nc r="J50" t="inlineStr">
      <is>
        <t>-</t>
      </is>
    </nc>
    <ndxf/>
  </rcc>
  <rcc rId="1229" sId="4" odxf="1" dxf="1" quotePrefix="1">
    <nc r="J51" t="inlineStr">
      <is>
        <t>-</t>
      </is>
    </nc>
    <ndxf/>
  </rcc>
  <rcc rId="1230" sId="4" odxf="1" dxf="1" quotePrefix="1">
    <nc r="J52" t="inlineStr">
      <is>
        <t>-</t>
      </is>
    </nc>
    <ndxf/>
  </rcc>
  <rcc rId="1231" sId="4" odxf="1" dxf="1" quotePrefix="1">
    <nc r="J53" t="inlineStr">
      <is>
        <t>-</t>
      </is>
    </nc>
    <ndxf/>
  </rcc>
  <rcc rId="1232" sId="4" odxf="1" dxf="1" quotePrefix="1">
    <nc r="J54" t="inlineStr">
      <is>
        <t>-</t>
      </is>
    </nc>
    <ndxf/>
  </rcc>
  <rcc rId="1233" sId="4" odxf="1" dxf="1" quotePrefix="1">
    <nc r="J55" t="inlineStr">
      <is>
        <t>-</t>
      </is>
    </nc>
    <ndxf/>
  </rcc>
  <rcc rId="1234" sId="4" xfDxf="1" dxf="1">
    <nc r="K49" t="inlineStr">
      <is>
        <t>SGMW_ABS93_MS_Stable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35" sId="4">
    <nc r="K50" t="inlineStr">
      <is>
        <t>SGMW_ABS93_MS_Stable</t>
      </is>
    </nc>
  </rcc>
  <rcc rId="1236" sId="4">
    <nc r="K51" t="inlineStr">
      <is>
        <t>SGMW_ABS93_MS_Stable</t>
      </is>
    </nc>
  </rcc>
  <rcc rId="1237" sId="4">
    <nc r="K52" t="inlineStr">
      <is>
        <t>SGMW_ABS93_MS_Stable</t>
      </is>
    </nc>
  </rcc>
  <rcc rId="1238" sId="4">
    <nc r="K53" t="inlineStr">
      <is>
        <t>SGMW_ABS93_MS_Stable</t>
      </is>
    </nc>
  </rcc>
  <rcc rId="1239" sId="4">
    <nc r="K54" t="inlineStr">
      <is>
        <t>SGMW_ABS93_MS_Stable</t>
      </is>
    </nc>
  </rcc>
  <rcc rId="1240" sId="4">
    <nc r="K55" t="inlineStr">
      <is>
        <t>SGMW_ABS93_MS_Stable</t>
      </is>
    </nc>
  </rcc>
  <rcc rId="1241" sId="4" quotePrefix="1">
    <nc r="L49" t="inlineStr">
      <is>
        <t>-</t>
      </is>
    </nc>
  </rcc>
  <rcc rId="1242" sId="4" quotePrefix="1">
    <nc r="L50" t="inlineStr">
      <is>
        <t>-</t>
      </is>
    </nc>
  </rcc>
  <rcc rId="1243" sId="4" quotePrefix="1">
    <nc r="L51" t="inlineStr">
      <is>
        <t>-</t>
      </is>
    </nc>
  </rcc>
  <rcc rId="1244" sId="4" quotePrefix="1">
    <nc r="L52" t="inlineStr">
      <is>
        <t>-</t>
      </is>
    </nc>
  </rcc>
  <rcc rId="1245" sId="4" quotePrefix="1">
    <nc r="L53" t="inlineStr">
      <is>
        <t>-</t>
      </is>
    </nc>
  </rcc>
  <rcc rId="1246" sId="4" quotePrefix="1">
    <nc r="L54" t="inlineStr">
      <is>
        <t>-</t>
      </is>
    </nc>
  </rcc>
  <rcc rId="1247" sId="4" quotePrefix="1">
    <nc r="L55" t="inlineStr">
      <is>
        <t>-</t>
      </is>
    </nc>
  </rcc>
  <rcc rId="1248" sId="4" xfDxf="1" dxf="1" quotePrefix="1">
    <nc r="M49" t="inlineStr">
      <is>
        <t>Pham Duc Trung (RBVH/EAS11)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49" sId="4" quotePrefix="1">
    <nc r="M50" t="inlineStr">
      <is>
        <t>Pham Duc Trung (RBVH/EAS11)</t>
      </is>
    </nc>
  </rcc>
  <rcc rId="1250" sId="4" quotePrefix="1">
    <nc r="M51" t="inlineStr">
      <is>
        <t>Pham Duc Trung (RBVH/EAS11)</t>
      </is>
    </nc>
  </rcc>
  <rcc rId="1251" sId="4" quotePrefix="1">
    <nc r="M52" t="inlineStr">
      <is>
        <t>Pham Duc Trung (RBVH/EAS11)</t>
      </is>
    </nc>
  </rcc>
  <rcc rId="1252" sId="4" quotePrefix="1">
    <nc r="M53" t="inlineStr">
      <is>
        <t>Pham Duc Trung (RBVH/EAS11)</t>
      </is>
    </nc>
  </rcc>
  <rcc rId="1253" sId="4" quotePrefix="1">
    <nc r="M54" t="inlineStr">
      <is>
        <t>Pham Duc Trung (RBVH/EAS11)</t>
      </is>
    </nc>
  </rcc>
  <rcc rId="1254" sId="4" quotePrefix="1">
    <nc r="M55" t="inlineStr">
      <is>
        <t>Pham Duc Trung (RBVH/EAS11)</t>
      </is>
    </nc>
  </rcc>
  <rcc rId="1255" sId="4">
    <nc r="N49" t="inlineStr">
      <is>
        <t>T_C-264</t>
      </is>
    </nc>
  </rcc>
  <rcc rId="1256" sId="4">
    <nc r="N50" t="inlineStr">
      <is>
        <t>T_C-265</t>
      </is>
    </nc>
  </rcc>
  <rcc rId="1257" sId="4">
    <nc r="N51" t="inlineStr">
      <is>
        <t>T_C-266</t>
      </is>
    </nc>
  </rcc>
  <rcc rId="1258" sId="4">
    <nc r="N52" t="inlineStr">
      <is>
        <t>T_C-267</t>
      </is>
    </nc>
  </rcc>
  <rcc rId="1259" sId="4">
    <nc r="N53" t="inlineStr">
      <is>
        <t>T_C-268</t>
      </is>
    </nc>
  </rcc>
  <rcc rId="1260" sId="4">
    <nc r="N54" t="inlineStr">
      <is>
        <t>T_C-269</t>
      </is>
    </nc>
  </rcc>
  <rcc rId="1261" sId="4">
    <nc r="N55" t="inlineStr">
      <is>
        <t>T_C-270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7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65" sId="4" xfDxf="1" dxf="1">
    <nc r="R49">
      <v>370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66" sId="4" xfDxf="1" dxf="1">
    <nc r="R50">
      <v>54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67" sId="4" xfDxf="1" dxf="1">
    <nc r="R51">
      <v>286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68" sId="4" xfDxf="1" dxf="1">
    <nc r="R52">
      <v>158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69" sId="4" xfDxf="1" dxf="1">
    <nc r="R53">
      <v>202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70" sId="4" xfDxf="1" dxf="1">
    <nc r="R54">
      <v>133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71" sId="4" xfDxf="1" dxf="1">
    <nc r="R55">
      <v>178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72" sId="4">
    <nc r="S49">
      <f>R49</f>
    </nc>
  </rcc>
  <rcc rId="1273" sId="4">
    <nc r="S50">
      <f>R50</f>
    </nc>
  </rcc>
  <rcc rId="1274" sId="4">
    <nc r="S51">
      <f>R51</f>
    </nc>
  </rcc>
  <rcc rId="1275" sId="4">
    <nc r="S52">
      <f>R52</f>
    </nc>
  </rcc>
  <rcc rId="1276" sId="4">
    <nc r="S53">
      <f>R53</f>
    </nc>
  </rcc>
  <rcc rId="1277" sId="4">
    <nc r="S54">
      <f>R54</f>
    </nc>
  </rcc>
  <rcc rId="1278" sId="4">
    <nc r="S55">
      <f>R55</f>
    </nc>
  </rcc>
  <rcc rId="1279" sId="4">
    <nc r="O49" t="inlineStr">
      <is>
        <t>loc.do-phu</t>
      </is>
    </nc>
  </rcc>
  <rcc rId="1280" sId="4">
    <nc r="O54" t="inlineStr">
      <is>
        <t>loc.do-phu</t>
      </is>
    </nc>
  </rcc>
  <rcc rId="1281" sId="4">
    <nc r="O55" t="inlineStr">
      <is>
        <t>duong.nguyen</t>
      </is>
    </nc>
  </rcc>
  <rcc rId="1282" sId="4">
    <nc r="O50" t="inlineStr">
      <is>
        <t>duong.nguyen</t>
      </is>
    </nc>
  </rcc>
  <rcc rId="1283" sId="4">
    <nc r="O53" t="inlineStr">
      <is>
        <t>duong.nguyen</t>
      </is>
    </nc>
  </rcc>
  <rcc rId="1284" sId="4">
    <nc r="O51" t="inlineStr">
      <is>
        <t>thanh.nguyen-kim</t>
      </is>
    </nc>
  </rcc>
  <rcc rId="1285" sId="4">
    <nc r="O52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8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89" sId="4">
    <nc r="U49">
      <f>ROUNDDOWN(S49/HLOOKUP(D49,Table!$C$3:$D$4,2,0)*8,2)</f>
    </nc>
  </rcc>
  <rcc rId="1290" sId="4">
    <nc r="U50">
      <f>ROUNDDOWN(S50/HLOOKUP(D50,Table!$C$3:$D$4,2,0)*8,2)</f>
    </nc>
  </rcc>
  <rcc rId="1291" sId="4">
    <nc r="U51">
      <f>ROUNDDOWN(S51/HLOOKUP(D51,Table!$C$3:$D$4,2,0)*8,2)</f>
    </nc>
  </rcc>
  <rcc rId="1292" sId="4">
    <nc r="U52">
      <f>ROUNDDOWN(S52/HLOOKUP(D52,Table!$C$3:$D$4,2,0)*8,2)</f>
    </nc>
  </rcc>
  <rcc rId="1293" sId="4">
    <nc r="U53">
      <f>ROUNDDOWN(S53/HLOOKUP(D53,Table!$C$3:$D$4,2,0)*8,2)</f>
    </nc>
  </rcc>
  <rcc rId="1294" sId="4">
    <nc r="U54">
      <f>ROUNDDOWN(S54/HLOOKUP(D54,Table!$C$3:$D$4,2,0)*8,2)</f>
    </nc>
  </rcc>
  <rcc rId="1295" sId="4">
    <nc r="U55">
      <f>ROUNDDOWN(S55/HLOOKUP(D55,Table!$C$3:$D$4,2,0)*8,2)</f>
    </nc>
  </rcc>
  <rcc rId="1296" sId="4" numFmtId="19">
    <nc r="X49">
      <v>43924</v>
    </nc>
  </rcc>
  <rcc rId="1297" sId="4" numFmtId="19">
    <nc r="X50">
      <v>43924</v>
    </nc>
  </rcc>
  <rcc rId="1298" sId="4" numFmtId="19">
    <nc r="X51">
      <v>43924</v>
    </nc>
  </rcc>
  <rcc rId="1299" sId="4" numFmtId="19">
    <nc r="X52">
      <v>43924</v>
    </nc>
  </rcc>
  <rcc rId="1300" sId="4" numFmtId="19">
    <nc r="X53">
      <v>43924</v>
    </nc>
  </rcc>
  <rcc rId="1301" sId="4" numFmtId="19">
    <nc r="X54">
      <v>43924</v>
    </nc>
  </rcc>
  <rcc rId="1302" sId="4" numFmtId="19">
    <nc r="X55">
      <v>43924</v>
    </nc>
  </rcc>
  <rcc rId="1303" sId="4" numFmtId="19">
    <nc r="Y49">
      <v>43924</v>
    </nc>
  </rcc>
  <rcc rId="1304" sId="4" numFmtId="19">
    <nc r="Y50">
      <v>43924</v>
    </nc>
  </rcc>
  <rcc rId="1305" sId="4" numFmtId="19">
    <nc r="Y51">
      <v>43924</v>
    </nc>
  </rcc>
  <rcc rId="1306" sId="4" numFmtId="19">
    <nc r="Y52">
      <v>43924</v>
    </nc>
  </rcc>
  <rcc rId="1307" sId="4" numFmtId="19">
    <nc r="Y53">
      <v>43924</v>
    </nc>
  </rcc>
  <rcc rId="1308" sId="4" numFmtId="19">
    <nc r="Y54">
      <v>43924</v>
    </nc>
  </rcc>
  <rcc rId="1309" sId="4" numFmtId="19">
    <nc r="Y55">
      <v>43924</v>
    </nc>
  </rcc>
  <rcc rId="1310" sId="4" quotePrefix="1">
    <nc r="AG49" t="inlineStr">
      <is>
        <t>-</t>
      </is>
    </nc>
  </rcc>
  <rcc rId="1311" sId="4" quotePrefix="1">
    <nc r="AG51" t="inlineStr">
      <is>
        <t>-</t>
      </is>
    </nc>
  </rcc>
  <rcc rId="1312" sId="4" quotePrefix="1">
    <nc r="AG53" t="inlineStr">
      <is>
        <t>-</t>
      </is>
    </nc>
  </rcc>
  <rcc rId="1313" sId="4" quotePrefix="1">
    <nc r="AG55" t="inlineStr">
      <is>
        <t>-</t>
      </is>
    </nc>
  </rcc>
  <rcc rId="1314" sId="4" quotePrefix="1">
    <nc r="AG57" t="inlineStr">
      <is>
        <t>-</t>
      </is>
    </nc>
  </rcc>
  <rcc rId="1315" sId="4" quotePrefix="1">
    <nc r="AG59" t="inlineStr">
      <is>
        <t>-</t>
      </is>
    </nc>
  </rcc>
  <rcc rId="1316" sId="4" quotePrefix="1">
    <nc r="AG61" t="inlineStr">
      <is>
        <t>-</t>
      </is>
    </nc>
  </rcc>
  <rcc rId="1317" sId="4" quotePrefix="1">
    <nc r="AG63" t="inlineStr">
      <is>
        <t>-</t>
      </is>
    </nc>
  </rcc>
  <rcc rId="1318" sId="4" quotePrefix="1">
    <nc r="AH49" t="inlineStr">
      <is>
        <t>-</t>
      </is>
    </nc>
  </rcc>
  <rcc rId="1319" sId="4" quotePrefix="1">
    <nc r="AH51" t="inlineStr">
      <is>
        <t>-</t>
      </is>
    </nc>
  </rcc>
  <rcc rId="1320" sId="4" quotePrefix="1">
    <nc r="AH53" t="inlineStr">
      <is>
        <t>-</t>
      </is>
    </nc>
  </rcc>
  <rcc rId="1321" sId="4" quotePrefix="1">
    <nc r="AH55" t="inlineStr">
      <is>
        <t>-</t>
      </is>
    </nc>
  </rcc>
  <rcc rId="1322" sId="4" quotePrefix="1">
    <nc r="AH57" t="inlineStr">
      <is>
        <t>-</t>
      </is>
    </nc>
  </rcc>
  <rcc rId="1323" sId="4" quotePrefix="1">
    <nc r="AH59" t="inlineStr">
      <is>
        <t>-</t>
      </is>
    </nc>
  </rcc>
  <rcc rId="1324" sId="4" quotePrefix="1">
    <nc r="AH61" t="inlineStr">
      <is>
        <t>-</t>
      </is>
    </nc>
  </rcc>
  <rcc rId="1325" sId="4" quotePrefix="1">
    <nc r="AH63" t="inlineStr">
      <is>
        <t>-</t>
      </is>
    </nc>
  </rcc>
  <rcc rId="1326" sId="4" numFmtId="19">
    <nc r="Z49">
      <v>43924</v>
    </nc>
  </rcc>
  <rcc rId="1327" sId="4" numFmtId="19">
    <nc r="AA49">
      <v>43924</v>
    </nc>
  </rcc>
  <rcc rId="1328" sId="4" numFmtId="19">
    <nc r="Z50">
      <v>43924</v>
    </nc>
  </rcc>
  <rcc rId="1329" sId="4" numFmtId="19">
    <nc r="AA50">
      <v>43924</v>
    </nc>
  </rcc>
  <rcc rId="1330" sId="4" numFmtId="19">
    <nc r="Z51">
      <v>43924</v>
    </nc>
  </rcc>
  <rcc rId="1331" sId="4" numFmtId="19">
    <nc r="AA51">
      <v>43924</v>
    </nc>
  </rcc>
  <rcc rId="1332" sId="4" numFmtId="19">
    <nc r="Z52">
      <v>43924</v>
    </nc>
  </rcc>
  <rcc rId="1333" sId="4" numFmtId="19">
    <nc r="AA52">
      <v>43924</v>
    </nc>
  </rcc>
  <rcc rId="1334" sId="4" numFmtId="19">
    <nc r="Z53">
      <v>43924</v>
    </nc>
  </rcc>
  <rcc rId="1335" sId="4" numFmtId="19">
    <nc r="AA53">
      <v>43924</v>
    </nc>
  </rcc>
  <rcc rId="1336" sId="4" numFmtId="19">
    <nc r="Z54">
      <v>43924</v>
    </nc>
  </rcc>
  <rcc rId="1337" sId="4" numFmtId="19">
    <nc r="AA54">
      <v>43924</v>
    </nc>
  </rcc>
  <rcc rId="1338" sId="4" numFmtId="19">
    <nc r="Z55">
      <v>43924</v>
    </nc>
  </rcc>
  <rcc rId="1339" sId="4" numFmtId="19">
    <nc r="AA55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8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49:B55">
    <dxf>
      <fill>
        <patternFill patternType="solid">
          <bgColor theme="5" tint="0.39997558519241921"/>
        </patternFill>
      </fill>
    </dxf>
  </rfmt>
  <rcmt sheetId="4" cell="A49" guid="{6C54F4CE-E839-4341-AAE0-1BEA6124620D}" author="EXTERNAL Nguyen Tuan Duong (Ban Vien, RBVH/EPS45)" newLength="82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8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46" sId="4" xfDxf="1" dxf="1" quotePrefix="1">
    <oc r="F49" t="inlineStr">
      <is>
        <t>-</t>
      </is>
    </oc>
    <nc r="F49" t="inlineStr">
      <is>
        <t>C:\02_CANTATA\COEM_April\_DataBase\SGMW_ABS93_MS_Stable\RB_SGMW_ABS93\rb\as\sgmw\abs93\app\tpms_sri\src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8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4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1347" sId="4">
    <nc r="V49">
      <v>4</v>
    </nc>
  </rcc>
  <rcc rId="1348" sId="4">
    <nc r="W49" t="inlineStr">
      <is>
        <t>Ready for review</t>
      </is>
    </nc>
  </rcc>
  <rcc rId="1349" sId="4">
    <nc r="AB49" t="inlineStr">
      <is>
        <t>OK</t>
      </is>
    </nc>
  </rcc>
  <rcc rId="1350" sId="4">
    <nc r="AC49">
      <v>100</v>
    </nc>
  </rcc>
  <rcc rId="1351" sId="4">
    <nc r="AD49">
      <v>100</v>
    </nc>
  </rcc>
  <rcc rId="1352" sId="4">
    <nc r="AE49">
      <v>100</v>
    </nc>
  </rcc>
  <rcc rId="1353" sId="4">
    <nc r="AF49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60" sId="4">
    <oc r="S49">
      <f>R49</f>
    </oc>
    <nc r="S49">
      <f>R49+388-R49</f>
    </nc>
  </rcc>
  <rfmt sheetId="4" sqref="S49">
    <dxf>
      <fill>
        <patternFill patternType="solid">
          <bgColor rgb="FFFF0000"/>
        </patternFill>
      </fill>
    </dxf>
  </rfmt>
  <rcc rId="1361" sId="4">
    <nc r="T49">
      <f>S49</f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71" sId="4" odxf="1" dxf="1">
    <oc r="B56">
      <f>B55+1</f>
    </oc>
    <nc r="B56">
      <f>B55+1</f>
    </nc>
    <odxf>
      <fill>
        <patternFill patternType="none">
          <bgColor indexed="65"/>
        </patternFill>
      </fill>
    </odxf>
    <ndxf>
      <fill>
        <patternFill patternType="solid">
          <bgColor theme="5" tint="0.39997558519241921"/>
        </patternFill>
      </fill>
    </ndxf>
  </rcc>
  <rcc rId="1372" sId="4">
    <nc r="C56">
      <v>20200403</v>
    </nc>
  </rcc>
  <rcc rId="1373" sId="4">
    <nc r="D56" t="inlineStr">
      <is>
        <t>PSW</t>
      </is>
    </nc>
  </rcc>
  <rcc rId="1374" sId="4">
    <nc r="E56" t="inlineStr">
      <is>
        <t>MC_244837_SGMW_CN210M_RC_ABS9.3CBi_BL01_SP01</t>
      </is>
    </nc>
  </rcc>
  <rfmt sheetId="4" sqref="F56" start="0" length="0">
    <dxf>
      <alignment horizontal="general" vertical="bottom" readingOrder="0"/>
    </dxf>
  </rfmt>
  <rcc rId="1375" sId="4">
    <nc r="G56">
      <v>1401513</v>
    </nc>
  </rcc>
  <rcc rId="1376" sId="4">
    <nc r="H56" t="inlineStr">
      <is>
        <t>rba_BldrCmp_LogBlkHdl.c</t>
      </is>
    </nc>
  </rcc>
  <rcc rId="1377" sId="4">
    <nc r="I56" t="inlineStr">
      <is>
        <t>Auto</t>
      </is>
    </nc>
  </rcc>
  <rcc rId="1378" sId="4" odxf="1" dxf="1" quotePrefix="1">
    <nc r="J56" t="inlineStr">
      <is>
        <t>-</t>
      </is>
    </nc>
    <odxf/>
    <ndxf/>
  </rcc>
  <rcc rId="1379" sId="4">
    <nc r="K56" t="inlineStr">
      <is>
        <t>SGMW_ABS93_MS_Stable</t>
      </is>
    </nc>
  </rcc>
  <rcc rId="1380" sId="4" quotePrefix="1">
    <nc r="L56" t="inlineStr">
      <is>
        <t>-</t>
      </is>
    </nc>
  </rcc>
  <rcc rId="1381" sId="4" quotePrefix="1">
    <nc r="M56" t="inlineStr">
      <is>
        <t>Pham Duc Trung (RBVH/EAS11)</t>
      </is>
    </nc>
  </rcc>
  <rcc rId="1382" sId="4">
    <nc r="N56" t="inlineStr">
      <is>
        <t>T_C-269</t>
      </is>
    </nc>
  </rcc>
  <rcc rId="1383" sId="4">
    <nc r="O56" t="inlineStr">
      <is>
        <t>loc.do-phu</t>
      </is>
    </nc>
  </rcc>
  <rcc rId="1384" sId="4">
    <nc r="R56">
      <v>133</v>
    </nc>
  </rcc>
  <rcc rId="1385" sId="4">
    <nc r="S56">
      <f>R56</f>
    </nc>
  </rcc>
  <rcc rId="1386" sId="4">
    <nc r="U56">
      <f>ROUNDDOWN(S56/HLOOKUP(D56,Table!$C$3:$D$4,2,0)*8,2)</f>
    </nc>
  </rcc>
  <rcc rId="1387" sId="4" numFmtId="19">
    <nc r="X56">
      <v>43924</v>
    </nc>
  </rcc>
  <rcc rId="1388" sId="4" numFmtId="19">
    <nc r="Y56">
      <v>43924</v>
    </nc>
  </rcc>
  <rcc rId="1389" sId="4" numFmtId="19">
    <nc r="Z56">
      <v>43924</v>
    </nc>
  </rcc>
  <rcc rId="1390" sId="4" numFmtId="19">
    <nc r="AA56">
      <v>43924</v>
    </nc>
  </rcc>
  <rcc rId="1391" sId="4" xfDxf="1" dxf="1" quotePrefix="1">
    <oc r="F54" t="inlineStr">
      <is>
        <t>-</t>
      </is>
    </oc>
    <nc r="F54" t="inlineStr">
      <is>
        <t>C:\02_CANTATA\COEM_April\_DataBase\SGMW_ABS93_MS_Stable\RB_SGMW_ABS93\rba\BldrCmp\src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392" sId="4" xfDxf="1" dxf="1" quotePrefix="1">
    <nc r="F56" t="inlineStr">
      <is>
        <t>C:\02_CANTATA\COEM_April\_DataBase\SGMW_ABS93_MS_Stable\RB_SGMW_ABS93\rba\as\Bldr\HWRef\comps\ApplicationLayer\rba_BldrCmp\src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96" sId="1">
    <nc r="T208">
      <v>68</v>
    </nc>
  </rcc>
  <rcc rId="1397" sId="1">
    <nc r="V208">
      <v>1</v>
    </nc>
  </rcc>
  <rcc rId="1398" sId="1">
    <nc r="W208" t="inlineStr">
      <is>
        <t>Ready for review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02" sId="4">
    <nc r="T51">
      <f>S51</f>
    </nc>
  </rcc>
  <rcc rId="1403" sId="4">
    <nc r="V51">
      <v>5</v>
    </nc>
  </rcc>
  <rcc rId="1404" sId="4">
    <nc r="W51" t="inlineStr">
      <is>
        <t>Ready for review</t>
      </is>
    </nc>
  </rcc>
  <rcc rId="1405" sId="4">
    <nc r="AB51" t="inlineStr">
      <is>
        <t>OK</t>
      </is>
    </nc>
  </rcc>
  <rcc rId="1406" sId="4">
    <nc r="AC51">
      <v>100</v>
    </nc>
  </rcc>
  <rcc rId="1407" sId="4">
    <nc r="AD51">
      <v>100</v>
    </nc>
  </rcc>
  <rcc rId="1408" sId="4">
    <nc r="AE51">
      <v>100</v>
    </nc>
  </rcc>
  <rcc rId="1409" sId="4">
    <nc r="AF51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COEM_Package_20200401!$B$2:$AH$64</formula>
    <oldFormula>COEM_Package_20200401!$B$2:$AH$64</oldFormula>
  </rdn>
  <rcv guid="{4E06BDBF-2CED-473B-850B-2A6C7311FF41}" action="add"/>
</revisions>
</file>

<file path=xl/revisions/revisionLog9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13" sId="4">
    <oc r="K55" t="inlineStr">
      <is>
        <t>SGMW_ABS93_MS_Stable</t>
      </is>
    </oc>
    <nc r="K55" t="inlineStr">
      <is>
        <t>SGWM_ESP93_Carbon_Int</t>
      </is>
    </nc>
  </rcc>
  <rcc rId="1414" sId="4" quotePrefix="1">
    <oc r="M55" t="inlineStr">
      <is>
        <t>Pham Duc Trung (RBVH/EAS11)</t>
      </is>
    </oc>
    <nc r="M55" t="inlineStr">
      <is>
        <t>SUN Yun (CC-AS/EVA-SW31-CN)</t>
      </is>
    </nc>
  </rcc>
  <rcc rId="1415" sId="4" quotePrefix="1">
    <oc r="F55" t="inlineStr">
      <is>
        <t>-</t>
      </is>
    </oc>
    <nc r="F55" t="inlineStr">
      <is>
        <t>MainstreamF30/rb/as/sgmw/core/app/dcom/RBAPLCust/src/common/</t>
      </is>
    </nc>
  </rcc>
  <rcc rId="1416" sId="4">
    <oc r="F4" t="inlineStr">
      <is>
        <t>rb\as\byd\ipb\app\dsm\RBVAR\src\</t>
      </is>
    </oc>
    <nc r="F4" t="inlineStr">
      <is>
        <t>rb/as/byd/ipb/app/dsm/RBVAR/src/</t>
      </is>
    </nc>
  </rcc>
  <rcc rId="1417" sId="4">
    <oc r="F5" t="inlineStr">
      <is>
        <t>rb\as\byd\ipb\app\dsm\ RBVAR\src\</t>
      </is>
    </oc>
    <nc r="F5" t="inlineStr">
      <is>
        <t>rb/as/byd/ipb/app/dsm/ RBVAR/src/</t>
      </is>
    </nc>
  </rcc>
  <rcc rId="1418" sId="4">
    <oc r="F6" t="inlineStr">
      <is>
        <t>\GEEA2\0\rb\as\cevt\Geely\aswpr\EV\src\</t>
      </is>
    </oc>
    <nc r="F6" t="inlineStr">
      <is>
        <t>/GEEA2/0/rb/as/cevt/Geely/aswpr/EV/src/</t>
      </is>
    </nc>
  </rcc>
  <rcc rId="1419" sId="4" quotePrefix="1">
    <oc r="F7" t="inlineStr">
      <is>
        <t xml:space="preserve">rb\as\fawMP\fawcore\app\netRBNm\src\             </t>
      </is>
    </oc>
    <nc r="F7" t="inlineStr">
      <is>
        <t xml:space="preserve">rb/as/fawMP/fawcore/app/netRBNm/src/             </t>
      </is>
    </nc>
  </rcc>
  <rcc rId="1420" sId="4" quotePrefix="1">
    <oc r="F8" t="inlineStr">
      <is>
        <t xml:space="preserve">rb\as\fawMP\fawcore\app\netRBScl\src\            </t>
      </is>
    </oc>
    <nc r="F8" t="inlineStr">
      <is>
        <t xml:space="preserve">rb/as/fawMP/fawcore/app/netRBScl/src/            </t>
      </is>
    </nc>
  </rcc>
  <rcc rId="1421" sId="4" quotePrefix="1">
    <oc r="F9" t="inlineStr">
      <is>
        <t>rb\as\cnms_core\app\netscl\src\Callout_Functions\</t>
      </is>
    </oc>
    <nc r="F9" t="inlineStr">
      <is>
        <t>rb/as/cnms_core/app/netscl/src/Callout_Functions/</t>
      </is>
    </nc>
  </rcc>
  <rcc rId="1422" sId="4" quotePrefix="1">
    <oc r="F10" t="inlineStr">
      <is>
        <t>rb\as\cnms_core\app\netscl\src\Callout_Functions\
C:\02_CANTATA\COEM_April\_DataBase\FAW_E115_iBGen2_Int\iBoosterGen2\rb\as\faw\core\app\net\net_OBD_Off\RBScl\src\scl_callout</t>
      </is>
    </oc>
    <nc r="F10" t="inlineStr">
      <is>
        <t>rb/as/cnms_core/app/netscl/src/Callout_Functions/
C:/02_CANTATA/COEM_April/_DataBase/FAW_E115_iBGen2_Int/iBoosterGen2/rb/as/faw/core/app/net/net_OBD_Off/RBScl/src/scl_callout</t>
      </is>
    </nc>
  </rcc>
  <rcc rId="1423" sId="4" quotePrefix="1">
    <oc r="F11" t="inlineStr">
      <is>
        <t>C:\02_CANTATA\COEM_April\_DataBase\FAW_E115_iBGen2_Int\iBoosterGen2\rb\as\faw\core\app\dcom\RBAPLCust\src\ESP</t>
      </is>
    </oc>
    <nc r="F11" t="inlineStr">
      <is>
        <t>C:/02_CANTATA/COEM_April/_DataBase/FAW_E115_iBGen2_Int/iBoosterGen2/rb/as/faw/core/app/dcom/RBAPLCust/src/ESP</t>
      </is>
    </nc>
  </rcc>
  <rcc rId="1424" sId="4" quotePrefix="1">
    <oc r="F12" t="inlineStr">
      <is>
        <t>C:\02_CANTATA\COEM_April\_DataBase\FAW_E115_iBGen2_Int\iBoosterGen2\rb\as\faw\core\app\dcom\RBAPLCust\src\ESP</t>
      </is>
    </oc>
    <nc r="F12" t="inlineStr">
      <is>
        <t>C:/02_CANTATA/COEM_April/_DataBase/FAW_E115_iBGen2_Int/iBoosterGen2/rb/as/faw/core/app/dcom/RBAPLCust/src/ESP</t>
      </is>
    </nc>
  </rcc>
  <rcc rId="1425" sId="4" quotePrefix="1">
    <oc r="F13" t="inlineStr">
      <is>
        <t>C:\02_CANTATA\COEM_April\_DataBase\FAW_E115_iBGen2_Int\iBoosterGen2\rb\as\faw\core\app\dcom\RBAPLCust\src\ESP</t>
      </is>
    </oc>
    <nc r="F13" t="inlineStr">
      <is>
        <t>C:/02_CANTATA/COEM_April/_DataBase/FAW_E115_iBGen2_Int/iBoosterGen2/rb/as/faw/core/app/dcom/RBAPLCust/src/ESP</t>
      </is>
    </nc>
  </rcc>
  <rcc rId="1426" sId="4" quotePrefix="1">
    <oc r="F22" t="inlineStr">
      <is>
        <t>C:\02_CANTATA\COEM_April\_DataBase\FAW_L3_MainPath_HevX_Int\CNMSESPHevX\rb\as\fawesphevx\fawcore\app\dcom\RBAPLCust\src\ESP</t>
      </is>
    </oc>
    <nc r="F22" t="inlineStr">
      <is>
        <t>C:/02_CANTATA/COEM_April/_DataBase/FAW_L3_MainPath_HevX_Int/CNMSESPHevX/rb/as/fawesphevx/fawcore/app/dcom/RBAPLCust/src/ESP</t>
      </is>
    </nc>
  </rcc>
  <rcc rId="1427" sId="4" quotePrefix="1">
    <oc r="F23" t="inlineStr">
      <is>
        <t>C:\02_CANTATA\COEM_April\_DataBase\FAW_L3_MainPath_HevX_Int\CNMSESPHevX\rb\as\fawesphevx\fawcore\app\dcom\RBAPLCust\src\ESP</t>
      </is>
    </oc>
    <nc r="F23" t="inlineStr">
      <is>
        <t>C:/02_CANTATA/COEM_April/_DataBase/FAW_L3_MainPath_HevX_Int/CNMSESPHevX/rb/as/fawesphevx/fawcore/app/dcom/RBAPLCust/src/ESP</t>
      </is>
    </nc>
  </rcc>
  <rcc rId="1428" sId="4" quotePrefix="1">
    <oc r="F24" t="inlineStr">
      <is>
        <t>C:\02_CANTATA\COEM_April\_DataBase\FAW_L3_MainPath_HevX_Int\CNMSESPHevX\rb\as\fawesphevx\fawcore\app\dcom\RBAPLCust\src\ESP</t>
      </is>
    </oc>
    <nc r="F24" t="inlineStr">
      <is>
        <t>C:/02_CANTATA/COEM_April/_DataBase/FAW_L3_MainPath_HevX_Int/CNMSESPHevX/rb/as/fawesphevx/fawcore/app/dcom/RBAPLCust/src/ESP</t>
      </is>
    </nc>
  </rcc>
  <rcc rId="1429" sId="4" quotePrefix="1">
    <oc r="F49" t="inlineStr">
      <is>
        <t>C:\02_CANTATA\COEM_April\_DataBase\SGMW_ABS93_MS_Stable\RB_SGMW_ABS93\rb\as\sgmw\abs93\app\tpms_sri\src</t>
      </is>
    </oc>
    <nc r="F49" t="inlineStr">
      <is>
        <t>C:/02_CANTATA/COEM_April/_DataBase/SGMW_ABS93_MS_Stable/RB_SGMW_ABS93/rb/as/sgmw/abs93/app/tpms_sri/src</t>
      </is>
    </nc>
  </rcc>
  <rcc rId="1430" sId="4" quotePrefix="1">
    <oc r="F54" t="inlineStr">
      <is>
        <t>C:\02_CANTATA\COEM_April\_DataBase\SGMW_ABS93_MS_Stable\RB_SGMW_ABS93\rba\BldrCmp\src</t>
      </is>
    </oc>
    <nc r="F54" t="inlineStr">
      <is>
        <t>C:/02_CANTATA/COEM_April/_DataBase/SGMW_ABS93_MS_Stable/RB_SGMW_ABS93/rba/BldrCmp/src</t>
      </is>
    </nc>
  </rcc>
  <rcc rId="1431" sId="4" quotePrefix="1">
    <oc r="F56" t="inlineStr">
      <is>
        <t>C:\02_CANTATA\COEM_April\_DataBase\SGMW_ABS93_MS_Stable\RB_SGMW_ABS93\rba\as\Bldr\HWRef\comps\ApplicationLayer\rba_BldrCmp\src</t>
      </is>
    </oc>
    <nc r="F56" t="inlineStr">
      <is>
        <t>C:/02_CANTATA/COEM_April/_DataBase/SGMW_ABS93_MS_Stable/RB_SGMW_ABS93/rba/as/Bldr/HWRef/comps/ApplicationLayer/rba_BldrCmp/src</t>
      </is>
    </nc>
  </rcc>
  <rcc rId="1432" sId="4">
    <oc r="E69">
      <f>SUMIFS($T$3:$T$64,$D$3:$D$64,Table!$C$3,$O$3:$O$64,C69)-SUM(SUMIFS($T$3:$T$64,$D$3:$D$64,Table!$C$3,$O$3:$O$64,C69,$W$3:$W$64,{"Ongoing","N\A",""}))</f>
    </oc>
    <nc r="E69">
      <f>SUMIFS($T$3:$T$64,$D$3:$D$64,Table!$C$3,$O$3:$O$64,C69)-SUM(SUMIFS($T$3:$T$64,$D$3:$D$64,Table!$C$3,$O$3:$O$64,C69,$W$3:$W$64,{"Ongoing","N/A",""}))</f>
    </nc>
  </rcc>
  <rcc rId="1433" sId="4">
    <nc r="V55">
      <v>3</v>
    </nc>
  </rcc>
  <rcc rId="1434" sId="4">
    <nc r="W55" t="inlineStr">
      <is>
        <t>Ready for review</t>
      </is>
    </nc>
  </rcc>
  <rcc rId="1435" sId="4">
    <nc r="AB55" t="inlineStr">
      <is>
        <t>OK</t>
      </is>
    </nc>
  </rcc>
  <rcc rId="1436" sId="4">
    <nc r="AC55">
      <v>100</v>
    </nc>
  </rcc>
  <rcc rId="1437" sId="4">
    <nc r="AD55">
      <v>100</v>
    </nc>
  </rcc>
  <rcc rId="1438" sId="4">
    <nc r="AE55">
      <v>100</v>
    </nc>
  </rcc>
  <rcc rId="1439" sId="4">
    <nc r="AF55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43" sId="4">
    <nc r="T55">
      <v>178</v>
    </nc>
  </rcc>
  <rcc rId="1444" sId="4">
    <nc r="T16">
      <v>313</v>
    </nc>
  </rcc>
  <rcc rId="1445" sId="4">
    <nc r="T21">
      <v>259</v>
    </nc>
  </rcc>
  <rcc rId="1446" sId="4">
    <nc r="V16">
      <v>5</v>
    </nc>
  </rcc>
  <rcc rId="1447" sId="4">
    <nc r="V21">
      <v>4.5</v>
    </nc>
  </rcc>
  <rcc rId="1448" sId="4">
    <nc r="W16" t="inlineStr">
      <is>
        <t>Ready for review</t>
      </is>
    </nc>
  </rcc>
  <rcc rId="1449" sId="4">
    <nc r="W21" t="inlineStr">
      <is>
        <t>Ready for review</t>
      </is>
    </nc>
  </rcc>
  <rcc rId="1450" sId="4">
    <nc r="T53">
      <v>202</v>
    </nc>
  </rcc>
  <rcc rId="1451" sId="4">
    <nc r="T50">
      <v>54</v>
    </nc>
  </rcc>
  <rcc rId="1452" sId="4">
    <nc r="V50">
      <v>1</v>
    </nc>
  </rcc>
  <rcc rId="1453" sId="4">
    <nc r="V53">
      <v>4</v>
    </nc>
  </rcc>
  <rcc rId="1454" sId="4">
    <nc r="W50" t="inlineStr">
      <is>
        <t>Ready for review</t>
      </is>
    </nc>
  </rcc>
  <rcc rId="1455" sId="4">
    <nc r="W53" t="inlineStr">
      <is>
        <t>Ready for review</t>
      </is>
    </nc>
  </rcc>
  <rcc rId="1456" sId="4" numFmtId="19">
    <nc r="Z16">
      <v>43922</v>
    </nc>
  </rcc>
  <rcc rId="1457" sId="4" numFmtId="19">
    <nc r="AA16">
      <v>43922</v>
    </nc>
  </rcc>
  <rcc rId="1458" sId="4" numFmtId="19">
    <nc r="Z21">
      <v>43922</v>
    </nc>
  </rcc>
  <rcc rId="1459" sId="4" numFmtId="19">
    <nc r="AA21">
      <v>43922</v>
    </nc>
  </rcc>
  <rcc rId="1460" sId="4">
    <nc r="AB16" t="inlineStr">
      <is>
        <t>OK</t>
      </is>
    </nc>
  </rcc>
  <rcc rId="1461" sId="4" odxf="1" dxf="1">
    <nc r="AB21" t="inlineStr">
      <is>
        <t>OK</t>
      </is>
    </nc>
    <odxf>
      <font>
        <sz val="11"/>
        <color theme="1"/>
        <name val="Calibri"/>
        <scheme val="minor"/>
      </font>
      <numFmt numFmtId="164" formatCode="[$-409]d\-mmm\-yyyy;@"/>
    </odxf>
    <ndxf>
      <font>
        <sz val="11"/>
        <color auto="1"/>
        <name val="Calibri"/>
        <scheme val="minor"/>
      </font>
      <numFmt numFmtId="0" formatCode="General"/>
    </ndxf>
  </rcc>
  <rcc rId="1462" sId="4" odxf="1" dxf="1">
    <nc r="AB50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463" sId="4">
    <nc r="AB53" t="inlineStr">
      <is>
        <t>OK</t>
      </is>
    </nc>
  </rcc>
  <rcc rId="1464" sId="4" odxf="1" dxf="1">
    <nc r="AC5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65" sId="4" odxf="1" dxf="1">
    <nc r="AD5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66" sId="4" odxf="1" dxf="1">
    <nc r="AE5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67" sId="4">
    <nc r="AC53">
      <v>100</v>
    </nc>
  </rcc>
  <rcc rId="1468" sId="4">
    <nc r="AD53">
      <v>100</v>
    </nc>
  </rcc>
  <rcc rId="1469" sId="4">
    <nc r="AE53">
      <v>100</v>
    </nc>
  </rcc>
  <rcc rId="1470" sId="4">
    <nc r="AC16">
      <v>100</v>
    </nc>
  </rcc>
  <rcc rId="1471" sId="4">
    <nc r="AD16">
      <v>100</v>
    </nc>
  </rcc>
  <rcc rId="1472" sId="4">
    <nc r="AE16">
      <v>100</v>
    </nc>
  </rcc>
  <rcc rId="1473" sId="4">
    <nc r="AC21">
      <v>100</v>
    </nc>
  </rcc>
  <rcc rId="1474" sId="4">
    <nc r="AD21">
      <v>100</v>
    </nc>
  </rcc>
  <rcc rId="1475" sId="4">
    <nc r="AE21">
      <v>100</v>
    </nc>
  </rcc>
  <rcc rId="1476" sId="4">
    <nc r="AF16" t="inlineStr">
      <is>
        <t>N/A</t>
      </is>
    </nc>
  </rcc>
  <rcc rId="1477" sId="4">
    <nc r="AF21" t="inlineStr">
      <is>
        <t>N/A</t>
      </is>
    </nc>
  </rcc>
  <rcc rId="1478" sId="4" odxf="1" dxf="1">
    <nc r="AF50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79" sId="4">
    <nc r="AF53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1486" sId="4">
    <nc r="T54">
      <f>S54</f>
    </nc>
  </rcc>
  <rcc rId="1487" sId="4">
    <nc r="V54">
      <v>2</v>
    </nc>
  </rcc>
  <rcc rId="1488" sId="4">
    <nc r="W54" t="inlineStr">
      <is>
        <t>Ready for review</t>
      </is>
    </nc>
  </rcc>
  <rcc rId="1489" sId="4" odxf="1" dxf="1">
    <nc r="AB5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490" sId="4" odxf="1" dxf="1">
    <nc r="AC5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91" sId="4" odxf="1" dxf="1">
    <nc r="AD5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92" sId="4" odxf="1" dxf="1">
    <nc r="AE5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93" sId="4" odxf="1" dxf="1">
    <nc r="AF54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9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97" sId="6">
    <nc r="A158">
      <v>14</v>
    </nc>
  </rcc>
  <rcc rId="1498" sId="6" odxf="1" dxf="1">
    <nc r="B158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499" sId="6" odxf="1" dxf="1">
    <nc r="B159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00" sId="6" odxf="1" dxf="1">
    <nc r="B160" t="inlineStr">
      <is>
        <t>Duration (Plan)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01" sId="6" odxf="1" dxf="1">
    <nc r="B161" t="inlineStr">
      <is>
        <t>Duration (Actual)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02" sId="6" odxf="1" dxf="1">
    <nc r="B162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xfDxf="1" sqref="C158" start="0" length="0"/>
  <rfmt sheetId="6" sqref="C158" start="0" length="2147483647">
    <dxf>
      <font>
        <b/>
      </font>
    </dxf>
  </rfmt>
  <rcc rId="1503" sId="6" odxf="1">
    <nc r="C159">
      <f>SUM(G165:G166)</f>
    </nc>
    <odxf/>
  </rcc>
  <rcc rId="1504" sId="6">
    <nc r="D159" t="inlineStr">
      <is>
        <t>days</t>
      </is>
    </nc>
  </rcc>
  <rcc rId="1505" sId="6" odxf="1">
    <nc r="C160">
      <f>SUM(INT((WEEKDAY(F160-{2,3,4,5,6}) +H160-F160)/7))</f>
    </nc>
    <odxf/>
  </rcc>
  <rcc rId="1506" sId="6">
    <nc r="D160" t="inlineStr">
      <is>
        <t>days</t>
      </is>
    </nc>
  </rcc>
  <rcc rId="1507" sId="6">
    <nc r="E160" t="inlineStr">
      <is>
        <t>8h00</t>
      </is>
    </nc>
  </rcc>
  <rfmt sheetId="6" sqref="F160" start="0" length="0">
    <dxf>
      <numFmt numFmtId="19" formatCode="m/d/yyyy"/>
    </dxf>
  </rfmt>
  <rfmt sheetId="6" sqref="G160" start="0" length="0">
    <dxf>
      <numFmt numFmtId="19" formatCode="m/d/yyyy"/>
    </dxf>
  </rfmt>
  <rfmt sheetId="6" sqref="H160" start="0" length="0">
    <dxf>
      <numFmt numFmtId="19" formatCode="m/d/yyyy"/>
    </dxf>
  </rfmt>
  <rfmt sheetId="6" sqref="F161" start="0" length="0">
    <dxf>
      <numFmt numFmtId="19" formatCode="m/d/yyyy"/>
    </dxf>
  </rfmt>
  <rfmt sheetId="6" sqref="G161" start="0" length="0">
    <dxf>
      <numFmt numFmtId="19" formatCode="m/d/yyyy"/>
    </dxf>
  </rfmt>
  <rfmt sheetId="6" sqref="H161" start="0" length="0">
    <dxf>
      <numFmt numFmtId="19" formatCode="m/d/yyyy"/>
    </dxf>
  </rfmt>
  <rcc rId="1508" sId="6">
    <nc r="C162">
      <f>IF(SUM(H165:H166)&gt;SUM(G165:G166),"Delayed",IF(SUM(H165:H166)&lt;SUM(G165:G166),"InAdvanced","Ontime"))</f>
    </nc>
  </rcc>
  <rcc rId="1509" sId="6" odxf="1" dxf="1">
    <nc r="C164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0" sId="6" odxf="1" dxf="1">
    <nc r="D164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1" sId="6" odxf="1" dxf="1">
    <nc r="E164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2" sId="6" odxf="1" dxf="1">
    <nc r="F164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3" sId="6" odxf="1" dxf="1">
    <nc r="G164" t="inlineStr">
      <is>
        <t>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4" sId="6" odxf="1" dxf="1">
    <nc r="H164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5" sId="6" odxf="1" dxf="1">
    <nc r="I164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6" sId="6" odxf="1" dxf="1">
    <nc r="C165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7" sId="6" odxf="1" dxf="1">
    <nc r="D165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6" sqref="E16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6" sqref="F16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518" sId="6" odxf="1" dxf="1">
    <nc r="G165">
      <f>E165/Table!$D$4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6" sqref="H16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6" sqref="I165" start="0" length="0">
    <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519" sId="6" odxf="1" dxf="1">
    <nc r="C166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20" sId="6" odxf="1" dxf="1">
    <nc r="D166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6" sqref="E166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6" sqref="F166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521" sId="6" odxf="1" dxf="1">
    <nc r="G166">
      <f>E166/Table!$C$4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6" sqref="H166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6" sqref="I166" start="0" length="0">
    <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522" sId="6">
    <nc r="C168" t="inlineStr">
      <is>
        <t>Brief Description:</t>
      </is>
    </nc>
  </rcc>
  <rcc rId="1523" sId="6">
    <nc r="C158">
      <v>20200326</v>
    </nc>
  </rcc>
  <rcc rId="1524" sId="6" numFmtId="19">
    <nc r="F160">
      <v>43922</v>
    </nc>
  </rcc>
  <rcc rId="1525" sId="6" numFmtId="19">
    <nc r="H160">
      <v>43922</v>
    </nc>
  </rcc>
  <rcc rId="1526" sId="6">
    <nc r="G160" t="inlineStr">
      <is>
        <t>12h00</t>
      </is>
    </nc>
  </rcc>
  <rcc rId="1527" sId="6">
    <nc r="E166">
      <f>SUMIFS(COEM_Package_20200401!$S$3:$S$56,COEM_Package_20200401!$D$3:$D$56,Table!$C$3,COEM_Package_20200401!$C$3:$C$56,Report_For_Each_Project!C158)</f>
    </nc>
  </rcc>
  <rcc rId="1528" sId="6">
    <nc r="F166">
      <f>SUMIFS(COEM_Package_20200401!$T$3:$T$56,COEM_Package_20200401!$D$3:$D$56,Table!$C$3,COEM_Package_20200401!$C$3:$C$56,Report_For_Each_Project!C158)-SUM(SUMIFS(COEM_Package_20200401!$T$3:$T$56,COEM_Package_20200401!$D$3:$D$56,Table!$C$3,COEM_Package_20200401!$W$3:$W$56,{"Ongoing","N/A",""},COEM_Package_20200401!$C$3:$C$56,Report_For_Each_Project!C158))</f>
    </nc>
  </rcc>
  <rcc rId="1529" sId="6">
    <nc r="H166">
      <f>1/8*(SUMIFS(COEM_Package_20200401!$V$3:$V$56,COEM_Package_20200401!$D$3:$D$56,Table!$C$3,COEM_Package_20200401!$C$3:$C$56,Report_For_Each_Project!C158)-SUM(SUMIFS(COEM_Package_20200401!$V$3:$V$56,COEM_Package_20200401!$D$3:$D$56,Table!$C$3,COEM_Package_20200401!$W$3:$W$56,{"Ongoing","N/A",""},COEM_Package_20200401!$C$3:$C$56,Report_For_Each_Project!C158)))</f>
    </nc>
  </rcc>
  <rcc rId="1530" sId="6">
    <nc r="I166">
      <f>IF(E166=0,"N/A",F166/E166)</f>
    </nc>
  </rcc>
  <rcc rId="1531" sId="6">
    <nc r="E165">
      <f>SUMIFS(COEM_Package_20200401!$S$3:$S$56,COEM_Package_20200401!$D$3:$D$56,Table!$D$3,COEM_Package_20200401!$C$3:$C$56,Report_For_Each_Project!C158)</f>
    </nc>
  </rcc>
  <rcc rId="1532" sId="6">
    <nc r="F165">
      <f>SUMIFS(COEM_Package_20200401!$T$3:$T$56,COEM_Package_20200401!$D$3:$D$56,Table!$D$3,COEM_Package_20200401!$C$3:$C$56,Report_For_Each_Project!C158)-SUM(SUMIFS(COEM_Package_20200401!$T$3:$T$56,COEM_Package_20200401!$D$3:$D$56,Table!$D$3,COEM_Package_20200401!$W$3:$W$56,{"Ongoing","N/A",""},COEM_Package_20200401!$C$3:$C$56,Report_For_Each_Project!C158))</f>
    </nc>
  </rcc>
  <rcc rId="1533" sId="6">
    <nc r="H165">
      <f>1/8*(SUMIFS(COEM_Package_20200401!$V$3:$V$56,COEM_Package_20200401!$D$3:$D$56,Table!$D$3,COEM_Package_20200401!$C$3:$C$56,Report_For_Each_Project!C158)-SUM(SUMIFS(COEM_Package_20200401!$V$3:$V$56,COEM_Package_20200401!$D$3:$D$56,Table!$D$3,COEM_Package_20200401!$W$3:$W$56,{"Ongoing","N/A",""},COEM_Package_20200401!$C$3:$C$56,Report_For_Each_Project!C158)))</f>
    </nc>
  </rcc>
  <rcc rId="1534" sId="6">
    <nc r="I165">
      <f>IF(E165=0,"N/A",F165/E165)</f>
    </nc>
  </rcc>
  <rcc rId="1535" sId="6" odxf="1" dxf="1">
    <nc r="B170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C170" start="0" length="0">
    <dxf>
      <font>
        <b/>
        <sz val="11"/>
        <color theme="1"/>
        <name val="Calibri"/>
        <scheme val="minor"/>
      </font>
    </dxf>
  </rfmt>
  <rcc rId="1536" sId="6" odxf="1" dxf="1">
    <nc r="B171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37" sId="6" odxf="1">
    <nc r="C171">
      <f>SUM(G177:G178)</f>
    </nc>
    <odxf/>
  </rcc>
  <rcc rId="1538" sId="6">
    <nc r="D171" t="inlineStr">
      <is>
        <t>days</t>
      </is>
    </nc>
  </rcc>
  <rcc rId="1539" sId="6" odxf="1" dxf="1">
    <nc r="B172" t="inlineStr">
      <is>
        <t>Duration (Plan)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40" sId="6" odxf="1">
    <nc r="C172">
      <f>SUM(INT((WEEKDAY(F172-{2,3,4,5,6}) +H172-F172)/7))</f>
    </nc>
    <odxf/>
  </rcc>
  <rcc rId="1541" sId="6">
    <nc r="D172" t="inlineStr">
      <is>
        <t>days</t>
      </is>
    </nc>
  </rcc>
  <rcc rId="1542" sId="6">
    <nc r="E172" t="inlineStr">
      <is>
        <t>8h00</t>
      </is>
    </nc>
  </rcc>
  <rcc rId="1543" sId="6" odxf="1" dxf="1" numFmtId="19">
    <nc r="F172">
      <v>43922</v>
    </nc>
    <odxf>
      <numFmt numFmtId="0" formatCode="General"/>
    </odxf>
    <ndxf>
      <numFmt numFmtId="19" formatCode="m/d/yyyy"/>
    </ndxf>
  </rcc>
  <rfmt sheetId="6" sqref="G172" start="0" length="0">
    <dxf>
      <numFmt numFmtId="19" formatCode="m/d/yyyy"/>
    </dxf>
  </rfmt>
  <rcc rId="1544" sId="6" odxf="1" dxf="1" numFmtId="19">
    <nc r="H172">
      <v>43922</v>
    </nc>
    <odxf>
      <numFmt numFmtId="0" formatCode="General"/>
    </odxf>
    <ndxf>
      <numFmt numFmtId="19" formatCode="m/d/yyyy"/>
    </ndxf>
  </rcc>
  <rcc rId="1545" sId="6" odxf="1" dxf="1">
    <nc r="B173" t="inlineStr">
      <is>
        <t>Duration (Actual)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F173" start="0" length="0">
    <dxf>
      <numFmt numFmtId="19" formatCode="m/d/yyyy"/>
    </dxf>
  </rfmt>
  <rfmt sheetId="6" sqref="G173" start="0" length="0">
    <dxf>
      <numFmt numFmtId="19" formatCode="m/d/yyyy"/>
    </dxf>
  </rfmt>
  <rfmt sheetId="6" sqref="H173" start="0" length="0">
    <dxf>
      <numFmt numFmtId="19" formatCode="m/d/yyyy"/>
    </dxf>
  </rfmt>
  <rcc rId="1546" sId="6" odxf="1" dxf="1">
    <nc r="B174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47" sId="6">
    <nc r="C174">
      <f>IF(SUM(H177:H178)&gt;SUM(G177:G178),"Delayed",IF(SUM(H177:H178)&lt;SUM(G177:G178),"InAdvanced","Ontime"))</f>
    </nc>
  </rcc>
  <rcc rId="1548" sId="6" odxf="1" dxf="1">
    <nc r="C176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49" sId="6" odxf="1" dxf="1">
    <nc r="D176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0" sId="6" odxf="1" dxf="1">
    <nc r="E176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1" sId="6" odxf="1" dxf="1">
    <nc r="F176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2" sId="6" odxf="1" dxf="1">
    <nc r="G176" t="inlineStr">
      <is>
        <t>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3" sId="6" odxf="1" dxf="1">
    <nc r="H176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4" sId="6" odxf="1" dxf="1">
    <nc r="I176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5" sId="6" odxf="1" dxf="1">
    <nc r="C177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6" sId="6" odxf="1" dxf="1">
    <nc r="D177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7" sId="6" odxf="1" dxf="1">
    <nc r="E177">
      <f>SUMIFS(COEM_Package_20200401!$S$3:$S$56,COEM_Package_20200401!$D$3:$D$56,Table!$D$3,COEM_Package_20200401!$C$3:$C$56,Report_For_Each_Project!C170)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8" sId="6" odxf="1" dxf="1">
    <nc r="F177">
      <f>SUMIFS(COEM_Package_20200401!$T$3:$T$56,COEM_Package_20200401!$D$3:$D$56,Table!$D$3,COEM_Package_20200401!$C$3:$C$56,Report_For_Each_Project!C170)-SUM(SUMIFS(COEM_Package_20200401!$T$3:$T$56,COEM_Package_20200401!$D$3:$D$56,Table!$D$3,COEM_Package_20200401!$W$3:$W$56,{"Ongoing","N/A",""},COEM_Package_20200401!$C$3:$C$56,Report_For_Each_Project!C170)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9" sId="6" odxf="1" dxf="1">
    <nc r="G177">
      <f>E177/Table!$D$4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0" sId="6" odxf="1" dxf="1">
    <nc r="H177">
      <f>1/8*(SUMIFS(COEM_Package_20200401!$V$3:$V$56,COEM_Package_20200401!$D$3:$D$56,Table!$D$3,COEM_Package_20200401!$C$3:$C$56,Report_For_Each_Project!C170)-SUM(SUMIFS(COEM_Package_20200401!$V$3:$V$56,COEM_Package_20200401!$D$3:$D$56,Table!$D$3,COEM_Package_20200401!$W$3:$W$56,{"Ongoing","N/A",""},COEM_Package_20200401!$C$3:$C$56,Report_For_Each_Project!C170)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1" sId="6" odxf="1" dxf="1">
    <nc r="I177">
      <f>IF(E177=0,"N/A",F177/E177)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2" sId="6" odxf="1" dxf="1">
    <nc r="C178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3" sId="6" odxf="1" dxf="1">
    <nc r="D178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4" sId="6" odxf="1" dxf="1">
    <nc r="E178">
      <f>SUMIFS(COEM_Package_20200401!$S$3:$S$56,COEM_Package_20200401!$D$3:$D$56,Table!$C$3,COEM_Package_20200401!$C$3:$C$56,Report_For_Each_Project!C170)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5" sId="6" odxf="1" dxf="1">
    <nc r="F178">
      <f>SUMIFS(COEM_Package_20200401!$T$3:$T$56,COEM_Package_20200401!$D$3:$D$56,Table!$C$3,COEM_Package_20200401!$C$3:$C$56,Report_For_Each_Project!C170)-SUM(SUMIFS(COEM_Package_20200401!$T$3:$T$56,COEM_Package_20200401!$D$3:$D$56,Table!$C$3,COEM_Package_20200401!$W$3:$W$56,{"Ongoing","N/A",""},COEM_Package_20200401!$C$3:$C$56,Report_For_Each_Project!C170)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6" sId="6" odxf="1" dxf="1">
    <nc r="G178">
      <f>E178/Table!$C$4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7" sId="6" odxf="1" dxf="1">
    <nc r="H178">
      <f>1/8*(SUMIFS(COEM_Package_20200401!$V$3:$V$56,COEM_Package_20200401!$D$3:$D$56,Table!$C$3,COEM_Package_20200401!$C$3:$C$56,Report_For_Each_Project!C170)-SUM(SUMIFS(COEM_Package_20200401!$V$3:$V$56,COEM_Package_20200401!$D$3:$D$56,Table!$C$3,COEM_Package_20200401!$W$3:$W$56,{"Ongoing","N/A",""},COEM_Package_20200401!$C$3:$C$56,Report_For_Each_Project!C170)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8" sId="6" odxf="1" dxf="1">
    <nc r="I178">
      <f>IF(E178=0,"N/A",F178/E178)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9" sId="6">
    <nc r="C180" t="inlineStr">
      <is>
        <t>Brief Description:</t>
      </is>
    </nc>
  </rcc>
  <rcc rId="1570" sId="6">
    <nc r="A170">
      <v>15</v>
    </nc>
  </rcc>
  <rcc rId="1571" sId="6">
    <nc r="C170">
      <v>20200330</v>
    </nc>
  </rcc>
  <rcc rId="1572" sId="6">
    <nc r="G172" t="inlineStr">
      <is>
        <t>17h00</t>
      </is>
    </nc>
  </rcc>
  <rcc rId="1573" sId="4" numFmtId="19">
    <oc r="Y3">
      <v>43923</v>
    </oc>
    <nc r="Y3">
      <v>43922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AH54" start="0" length="0">
    <dxf>
      <font>
        <sz val="10"/>
        <color rgb="FF9C6500"/>
        <name val="Arial"/>
        <scheme val="none"/>
      </font>
      <fill>
        <patternFill patternType="solid">
          <bgColor rgb="FFFFEB9C"/>
        </patternFill>
      </fill>
    </dxf>
  </rfmt>
  <rcc rId="1577" sId="4">
    <oc r="AH54" t="inlineStr">
      <is>
        <t>-</t>
      </is>
    </oc>
    <nc r="AH54" t="inlineStr">
      <is>
        <t>Out put name rba_BldrCmp_LogBlkHdl</t>
      </is>
    </nc>
  </rcc>
  <rfmt sheetId="4" sqref="H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1578" sId="4">
    <nc r="T56">
      <f>S56</f>
    </nc>
  </rcc>
  <rcc rId="1579" sId="4">
    <nc r="V56">
      <v>2</v>
    </nc>
  </rcc>
  <rcc rId="1580" sId="4">
    <nc r="W56" t="inlineStr">
      <is>
        <t>Ready for review</t>
      </is>
    </nc>
  </rcc>
  <rcc rId="1581" sId="4" odxf="1" dxf="1">
    <nc r="AB56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582" sId="4" odxf="1" dxf="1">
    <nc r="AC5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83" sId="4" odxf="1" dxf="1">
    <nc r="AD5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84" sId="4" odxf="1" dxf="1">
    <nc r="AE5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85" sId="4" odxf="1" dxf="1">
    <nc r="AF56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AH56" start="0" length="0">
    <dxf>
      <font>
        <sz val="10"/>
        <color rgb="FF9C6500"/>
        <name val="Arial"/>
        <scheme val="none"/>
      </font>
      <fill>
        <patternFill patternType="solid">
          <bgColor rgb="FFFFEB9C"/>
        </patternFill>
      </fill>
    </dxf>
  </rfmt>
  <rcc rId="1586" sId="4">
    <oc r="AH56" t="inlineStr">
      <is>
        <t>-</t>
      </is>
    </oc>
    <nc r="AH56" t="inlineStr">
      <is>
        <t>Out put name rba_BldrCmp_LogBlkHdl_1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9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9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593" sId="6" numFmtId="19">
    <oc r="F172">
      <v>43922</v>
    </oc>
    <nc r="F172">
      <v>43921</v>
    </nc>
  </rcc>
  <rcc rId="1594" sId="6" numFmtId="19">
    <oc r="H172">
      <v>43922</v>
    </oc>
    <nc r="H172">
      <v>43927</v>
    </nc>
  </rcc>
  <rcc rId="1595" sId="6" odxf="1" dxf="1">
    <nc r="B182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C182" start="0" length="0">
    <dxf>
      <font>
        <b/>
        <sz val="11"/>
        <color theme="1"/>
        <name val="Calibri"/>
        <scheme val="minor"/>
      </font>
    </dxf>
  </rfmt>
  <rcc rId="1596" sId="6" odxf="1" dxf="1">
    <nc r="B183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97" sId="6" odxf="1">
    <nc r="C183">
      <f>SUM(G189:G190)</f>
    </nc>
    <odxf/>
  </rcc>
  <rcc rId="1598" sId="6">
    <nc r="D183" t="inlineStr">
      <is>
        <t>days</t>
      </is>
    </nc>
  </rcc>
  <rcc rId="1599" sId="6" odxf="1" dxf="1">
    <nc r="B184" t="inlineStr">
      <is>
        <t>Duration (Plan)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00" sId="6" odxf="1">
    <nc r="C184">
      <f>SUM(INT((WEEKDAY(F184-{2,3,4,5,6}) +H184-F184)/7))</f>
    </nc>
    <odxf/>
  </rcc>
  <rcc rId="1601" sId="6">
    <nc r="D184" t="inlineStr">
      <is>
        <t>days</t>
      </is>
    </nc>
  </rcc>
  <rcc rId="1602" sId="6">
    <nc r="E184" t="inlineStr">
      <is>
        <t>8h00</t>
      </is>
    </nc>
  </rcc>
  <rfmt sheetId="6" sqref="F184" start="0" length="0">
    <dxf>
      <numFmt numFmtId="19" formatCode="m/d/yyyy"/>
    </dxf>
  </rfmt>
  <rcc rId="1603" sId="6" odxf="1" dxf="1">
    <nc r="G184" t="inlineStr">
      <is>
        <t>17h00</t>
      </is>
    </nc>
    <odxf>
      <numFmt numFmtId="0" formatCode="General"/>
    </odxf>
    <ndxf>
      <numFmt numFmtId="19" formatCode="m/d/yyyy"/>
    </ndxf>
  </rcc>
  <rfmt sheetId="6" sqref="H184" start="0" length="0">
    <dxf>
      <numFmt numFmtId="19" formatCode="m/d/yyyy"/>
    </dxf>
  </rfmt>
  <rcc rId="1604" sId="6" odxf="1" dxf="1">
    <nc r="B185" t="inlineStr">
      <is>
        <t>Duration (Actual)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F185" start="0" length="0">
    <dxf>
      <numFmt numFmtId="19" formatCode="m/d/yyyy"/>
    </dxf>
  </rfmt>
  <rfmt sheetId="6" sqref="G185" start="0" length="0">
    <dxf>
      <numFmt numFmtId="19" formatCode="m/d/yyyy"/>
    </dxf>
  </rfmt>
  <rfmt sheetId="6" sqref="H185" start="0" length="0">
    <dxf>
      <numFmt numFmtId="19" formatCode="m/d/yyyy"/>
    </dxf>
  </rfmt>
  <rcc rId="1605" sId="6" odxf="1" dxf="1">
    <nc r="B186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06" sId="6">
    <nc r="C186">
      <f>IF(SUM(H189:H190)&gt;SUM(G189:G190),"Delayed",IF(SUM(H189:H190)&lt;SUM(G189:G190),"InAdvanced","Ontime"))</f>
    </nc>
  </rcc>
  <rcc rId="1607" sId="6" odxf="1" dxf="1">
    <nc r="C188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08" sId="6" odxf="1" dxf="1">
    <nc r="D188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09" sId="6" odxf="1" dxf="1">
    <nc r="E188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0" sId="6" odxf="1" dxf="1">
    <nc r="F188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1" sId="6" odxf="1" dxf="1">
    <nc r="G188" t="inlineStr">
      <is>
        <t>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2" sId="6" odxf="1" dxf="1">
    <nc r="H188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3" sId="6" odxf="1" dxf="1">
    <nc r="I188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4" sId="6" odxf="1" dxf="1">
    <nc r="C189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5" sId="6" odxf="1" dxf="1">
    <nc r="D189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6" sId="6" odxf="1" dxf="1">
    <nc r="E189">
      <f>SUMIFS(COEM_Package_20200401!$S$3:$S$56,COEM_Package_20200401!$D$3:$D$56,Table!$D$3,COEM_Package_20200401!$C$3:$C$56,Report_For_Each_Project!C182)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7" sId="6" odxf="1" dxf="1">
    <nc r="F189">
      <f>SUMIFS(COEM_Package_20200401!$T$3:$T$56,COEM_Package_20200401!$D$3:$D$56,Table!$D$3,COEM_Package_20200401!$C$3:$C$56,Report_For_Each_Project!C182)-SUM(SUMIFS(COEM_Package_20200401!$T$3:$T$56,COEM_Package_20200401!$D$3:$D$56,Table!$D$3,COEM_Package_20200401!$W$3:$W$56,{"Ongoing","N/A",""},COEM_Package_20200401!$C$3:$C$56,Report_For_Each_Project!C182)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8" sId="6" odxf="1" dxf="1">
    <nc r="G189">
      <f>E189/Table!$D$4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9" sId="6" odxf="1" dxf="1">
    <nc r="H189">
      <f>1/8*(SUMIFS(COEM_Package_20200401!$V$3:$V$56,COEM_Package_20200401!$D$3:$D$56,Table!$D$3,COEM_Package_20200401!$C$3:$C$56,Report_For_Each_Project!C182)-SUM(SUMIFS(COEM_Package_20200401!$V$3:$V$56,COEM_Package_20200401!$D$3:$D$56,Table!$D$3,COEM_Package_20200401!$W$3:$W$56,{"Ongoing","N/A",""},COEM_Package_20200401!$C$3:$C$56,Report_For_Each_Project!C182)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0" sId="6" odxf="1" dxf="1">
    <nc r="I189">
      <f>IF(E189=0,"N/A",F189/E189)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1" sId="6" odxf="1" dxf="1">
    <nc r="C190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2" sId="6" odxf="1" dxf="1">
    <nc r="D190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3" sId="6" odxf="1" dxf="1">
    <nc r="E190">
      <f>SUMIFS(COEM_Package_20200401!$S$3:$S$56,COEM_Package_20200401!$D$3:$D$56,Table!$C$3,COEM_Package_20200401!$C$3:$C$56,Report_For_Each_Project!C182)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4" sId="6" odxf="1" dxf="1">
    <nc r="F190">
      <f>SUMIFS(COEM_Package_20200401!$T$3:$T$56,COEM_Package_20200401!$D$3:$D$56,Table!$C$3,COEM_Package_20200401!$C$3:$C$56,Report_For_Each_Project!C182)-SUM(SUMIFS(COEM_Package_20200401!$T$3:$T$56,COEM_Package_20200401!$D$3:$D$56,Table!$C$3,COEM_Package_20200401!$W$3:$W$56,{"Ongoing","N/A",""},COEM_Package_20200401!$C$3:$C$56,Report_For_Each_Project!C182)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5" sId="6" odxf="1" dxf="1">
    <nc r="G190">
      <f>E190/Table!$C$4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6" sId="6" odxf="1" dxf="1">
    <nc r="H190">
      <f>1/8*(SUMIFS(COEM_Package_20200401!$V$3:$V$56,COEM_Package_20200401!$D$3:$D$56,Table!$C$3,COEM_Package_20200401!$C$3:$C$56,Report_For_Each_Project!C182)-SUM(SUMIFS(COEM_Package_20200401!$V$3:$V$56,COEM_Package_20200401!$D$3:$D$56,Table!$C$3,COEM_Package_20200401!$W$3:$W$56,{"Ongoing","N/A",""},COEM_Package_20200401!$C$3:$C$56,Report_For_Each_Project!C182)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7" sId="6" odxf="1" dxf="1">
    <nc r="I190">
      <f>IF(E190=0,"N/A",F190/E190)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8" sId="6">
    <nc r="C192" t="inlineStr">
      <is>
        <t>Brief Description:</t>
      </is>
    </nc>
  </rcc>
  <rcc rId="1629" sId="6">
    <nc r="A182">
      <v>16</v>
    </nc>
  </rcc>
  <rcc rId="1630" sId="6">
    <nc r="C182">
      <v>20200331</v>
    </nc>
  </rcc>
  <rcc rId="1631" sId="6" numFmtId="19">
    <nc r="F184">
      <v>43922</v>
    </nc>
  </rcc>
  <rcc rId="1632" sId="6" numFmtId="19">
    <nc r="H184">
      <v>43929</v>
    </nc>
  </rcc>
  <rcc rId="1633" sId="6" odxf="1" dxf="1">
    <nc r="B194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C194" start="0" length="0">
    <dxf>
      <font>
        <b/>
        <sz val="11"/>
        <color theme="1"/>
        <name val="Calibri"/>
        <scheme val="minor"/>
      </font>
    </dxf>
  </rfmt>
  <rcc rId="1634" sId="6" odxf="1" dxf="1">
    <nc r="B195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35" sId="6" odxf="1">
    <nc r="C195">
      <f>SUM(G201:G202)</f>
    </nc>
    <odxf/>
  </rcc>
  <rcc rId="1636" sId="6">
    <nc r="D195" t="inlineStr">
      <is>
        <t>days</t>
      </is>
    </nc>
  </rcc>
  <rcc rId="1637" sId="6" odxf="1" dxf="1">
    <nc r="B196" t="inlineStr">
      <is>
        <t>Duration (Plan)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38" sId="6" odxf="1">
    <nc r="C196">
      <f>SUM(INT((WEEKDAY(F196-{2,3,4,5,6}) +H196-F196)/7))</f>
    </nc>
    <odxf/>
  </rcc>
  <rcc rId="1639" sId="6">
    <nc r="D196" t="inlineStr">
      <is>
        <t>days</t>
      </is>
    </nc>
  </rcc>
  <rfmt sheetId="6" sqref="F196" start="0" length="0">
    <dxf>
      <numFmt numFmtId="19" formatCode="m/d/yyyy"/>
    </dxf>
  </rfmt>
  <rfmt sheetId="6" sqref="G196" start="0" length="0">
    <dxf>
      <numFmt numFmtId="19" formatCode="m/d/yyyy"/>
    </dxf>
  </rfmt>
  <rfmt sheetId="6" sqref="H196" start="0" length="0">
    <dxf>
      <numFmt numFmtId="19" formatCode="m/d/yyyy"/>
    </dxf>
  </rfmt>
  <rcc rId="1640" sId="6" odxf="1" dxf="1">
    <nc r="B197" t="inlineStr">
      <is>
        <t>Duration (Actual)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F197" start="0" length="0">
    <dxf>
      <numFmt numFmtId="19" formatCode="m/d/yyyy"/>
    </dxf>
  </rfmt>
  <rfmt sheetId="6" sqref="G197" start="0" length="0">
    <dxf>
      <numFmt numFmtId="19" formatCode="m/d/yyyy"/>
    </dxf>
  </rfmt>
  <rfmt sheetId="6" sqref="H197" start="0" length="0">
    <dxf>
      <numFmt numFmtId="19" formatCode="m/d/yyyy"/>
    </dxf>
  </rfmt>
  <rcc rId="1641" sId="6" odxf="1" dxf="1">
    <nc r="B198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42" sId="6">
    <nc r="C198">
      <f>IF(SUM(H201:H202)&gt;SUM(G201:G202),"Delayed",IF(SUM(H201:H202)&lt;SUM(G201:G202),"InAdvanced","Ontime"))</f>
    </nc>
  </rcc>
  <rcc rId="1643" sId="6" odxf="1" dxf="1">
    <nc r="C200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4" sId="6" odxf="1" dxf="1">
    <nc r="D200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5" sId="6" odxf="1" dxf="1">
    <nc r="E200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6" sId="6" odxf="1" dxf="1">
    <nc r="F200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7" sId="6" odxf="1" dxf="1">
    <nc r="G200" t="inlineStr">
      <is>
        <t>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8" sId="6" odxf="1" dxf="1">
    <nc r="H200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9" sId="6" odxf="1" dxf="1">
    <nc r="I200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0" sId="6" odxf="1" dxf="1">
    <nc r="C201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1" sId="6" odxf="1" dxf="1">
    <nc r="D201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2" sId="6" odxf="1" dxf="1">
    <nc r="E201">
      <f>SUMIFS(COEM_Package_20200401!$S$3:$S$56,COEM_Package_20200401!$D$3:$D$56,Table!$D$3,COEM_Package_20200401!$C$3:$C$56,Report_For_Each_Project!C194)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3" sId="6" odxf="1" dxf="1">
    <nc r="F201">
      <f>SUMIFS(COEM_Package_20200401!$T$3:$T$56,COEM_Package_20200401!$D$3:$D$56,Table!$D$3,COEM_Package_20200401!$C$3:$C$56,Report_For_Each_Project!C194)-SUM(SUMIFS(COEM_Package_20200401!$T$3:$T$56,COEM_Package_20200401!$D$3:$D$56,Table!$D$3,COEM_Package_20200401!$W$3:$W$56,{"Ongoing","N/A",""},COEM_Package_20200401!$C$3:$C$56,Report_For_Each_Project!C194)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4" sId="6" odxf="1" dxf="1">
    <nc r="G201">
      <f>E201/Table!$D$4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5" sId="6" odxf="1" dxf="1">
    <nc r="H201">
      <f>1/8*(SUMIFS(COEM_Package_20200401!$V$3:$V$56,COEM_Package_20200401!$D$3:$D$56,Table!$D$3,COEM_Package_20200401!$C$3:$C$56,Report_For_Each_Project!C194)-SUM(SUMIFS(COEM_Package_20200401!$V$3:$V$56,COEM_Package_20200401!$D$3:$D$56,Table!$D$3,COEM_Package_20200401!$W$3:$W$56,{"Ongoing","N/A",""},COEM_Package_20200401!$C$3:$C$56,Report_For_Each_Project!C194)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6" sId="6" odxf="1" dxf="1">
    <nc r="I201">
      <f>IF(E201=0,"N/A",F201/E201)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7" sId="6" odxf="1" dxf="1">
    <nc r="C202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8" sId="6" odxf="1" dxf="1">
    <nc r="D202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9" sId="6" odxf="1" dxf="1">
    <nc r="E202">
      <f>SUMIFS(COEM_Package_20200401!$S$3:$S$56,COEM_Package_20200401!$D$3:$D$56,Table!$C$3,COEM_Package_20200401!$C$3:$C$56,Report_For_Each_Project!C194)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0" sId="6" odxf="1" dxf="1">
    <nc r="F202">
      <f>SUMIFS(COEM_Package_20200401!$T$3:$T$56,COEM_Package_20200401!$D$3:$D$56,Table!$C$3,COEM_Package_20200401!$C$3:$C$56,Report_For_Each_Project!C194)-SUM(SUMIFS(COEM_Package_20200401!$T$3:$T$56,COEM_Package_20200401!$D$3:$D$56,Table!$C$3,COEM_Package_20200401!$W$3:$W$56,{"Ongoing","N/A",""},COEM_Package_20200401!$C$3:$C$56,Report_For_Each_Project!C194)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1" sId="6" odxf="1" dxf="1">
    <nc r="G202">
      <f>E202/Table!$C$4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2" sId="6" odxf="1" dxf="1">
    <nc r="H202">
      <f>1/8*(SUMIFS(COEM_Package_20200401!$V$3:$V$56,COEM_Package_20200401!$D$3:$D$56,Table!$C$3,COEM_Package_20200401!$C$3:$C$56,Report_For_Each_Project!C194)-SUM(SUMIFS(COEM_Package_20200401!$V$3:$V$56,COEM_Package_20200401!$D$3:$D$56,Table!$C$3,COEM_Package_20200401!$W$3:$W$56,{"Ongoing","N/A",""},COEM_Package_20200401!$C$3:$C$56,Report_For_Each_Project!C194)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3" sId="6" odxf="1" dxf="1">
    <nc r="I202">
      <f>IF(E202=0,"N/A",F202/E202)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4" sId="6">
    <nc r="A194">
      <v>17</v>
    </nc>
  </rcc>
  <rcc rId="1665" sId="6">
    <nc r="C194">
      <v>20200403</v>
    </nc>
  </rcc>
  <rcc rId="1666" sId="6">
    <nc r="E196" t="inlineStr">
      <is>
        <t>12h00</t>
      </is>
    </nc>
  </rcc>
  <rcc rId="1667" sId="6">
    <nc r="G196" t="inlineStr">
      <is>
        <t>18h00</t>
      </is>
    </nc>
  </rcc>
  <rcc rId="1668" sId="6" numFmtId="19">
    <nc r="F196">
      <v>43924</v>
    </nc>
  </rcc>
  <rcc rId="1669" sId="6" numFmtId="19">
    <nc r="H196">
      <v>43924</v>
    </nc>
  </rcc>
  <rcc rId="1670" sId="6">
    <nc r="C204" t="inlineStr">
      <is>
        <t>Brief Description: Urgent request from RBVH start dat 03-Apr, due day 03-Apr</t>
      </is>
    </nc>
  </rcc>
  <rcc rId="1671" sId="1">
    <nc r="W185" t="inlineStr">
      <is>
        <t>Ready for review</t>
      </is>
    </nc>
  </rcc>
  <rcc rId="1672" sId="1">
    <nc r="W186" t="inlineStr">
      <is>
        <t>Ready for review</t>
      </is>
    </nc>
  </rcc>
  <rcc rId="1673" sId="1">
    <nc r="W187" t="inlineStr">
      <is>
        <t>Ready for review</t>
      </is>
    </nc>
  </rcc>
  <rcc rId="1674" sId="1">
    <nc r="W188" t="inlineStr">
      <is>
        <t>Ready for review</t>
      </is>
    </nc>
  </rcc>
  <rcc rId="1675" sId="1">
    <nc r="W198" t="inlineStr">
      <is>
        <t>Ready for review</t>
      </is>
    </nc>
  </rcc>
  <rcc rId="1676" sId="1">
    <nc r="W199" t="inlineStr">
      <is>
        <t>Ready for review</t>
      </is>
    </nc>
  </rcc>
  <rcc rId="1677" sId="1">
    <nc r="W200" t="inlineStr">
      <is>
        <t>Ready for review</t>
      </is>
    </nc>
  </rcc>
  <rcc rId="1678" sId="1">
    <nc r="W201" t="inlineStr">
      <is>
        <t>Ready for review</t>
      </is>
    </nc>
  </rcc>
  <rcc rId="1679" sId="1" odxf="1" dxf="1">
    <nc r="W205" t="inlineStr">
      <is>
        <t>Ready for review</t>
      </is>
    </nc>
    <odxf/>
    <ndxf/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10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686" sId="4">
    <oc r="N56" t="inlineStr">
      <is>
        <t>T_C-269</t>
      </is>
    </oc>
    <nc r="N56" t="inlineStr">
      <is>
        <t>T_C-271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10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690" sId="3" odxf="1" dxf="1">
    <nc r="J5" t="inlineStr">
      <is>
        <t>1. Completed ELOCs of the team from the beginning of Month (Mar) till Now:</t>
      </is>
    </nc>
    <ndxf>
      <font>
        <b/>
        <sz val="11"/>
        <color theme="1"/>
        <name val="Calibri"/>
        <scheme val="minor"/>
      </font>
    </ndxf>
  </rcc>
  <rcc rId="1691" sId="3" odxf="1" dxf="1">
    <nc r="K6" t="inlineStr">
      <is>
        <t>#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2" sId="3" odxf="1" dxf="1">
    <nc r="L6" t="inlineStr">
      <is>
        <t>Types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3" sId="3" odxf="1" dxf="1">
    <nc r="M6" t="inlineStr">
      <is>
        <t>Assigned ELOCs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4" sId="3" odxf="1" dxf="1">
    <nc r="N6" t="inlineStr">
      <is>
        <t>Completed ELOCs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5" sId="3" odxf="1" dxf="1">
    <nc r="O6" t="inlineStr">
      <is>
        <t>Status (%)
(Completed/Assigned)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6" sId="3" odxf="1" dxf="1">
    <nc r="K7">
      <v>1</v>
    </nc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7" sId="3" odxf="1" dxf="1">
    <nc r="L7" t="inlineStr">
      <is>
        <t>PSW</t>
      </is>
    </nc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7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7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O7" start="0" length="0">
    <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698" sId="3" odxf="1" dxf="1">
    <nc r="K8">
      <v>2</v>
    </nc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9" sId="3" odxf="1" dxf="1">
    <nc r="L8" t="inlineStr">
      <is>
        <t>ASW</t>
      </is>
    </nc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8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8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O8" start="0" length="0">
    <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00" sId="3" odxf="1" dxf="1">
    <nc r="J10" t="inlineStr">
      <is>
        <t>2. Completed ELOCs of each member from the beginning of Month (Mar) till Now:</t>
      </is>
    </nc>
    <ndxf>
      <font>
        <b/>
        <sz val="11"/>
        <color theme="1"/>
        <name val="Calibri"/>
        <scheme val="minor"/>
      </font>
    </ndxf>
  </rcc>
  <rcc rId="1701" sId="3" odxf="1" dxf="1">
    <nc r="K11" t="inlineStr">
      <is>
        <t>#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2" sId="3" odxf="1" dxf="1">
    <nc r="L11" t="inlineStr">
      <is>
        <t>External Name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3" sId="3" odxf="1" dxf="1">
    <nc r="M11" t="inlineStr">
      <is>
        <t>PSW
ELOCs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4" sId="3" odxf="1" dxf="1">
    <nc r="N11" t="inlineStr">
      <is>
        <t>ASW
ELOCs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5" sId="3" odxf="1" dxf="1">
    <nc r="K12">
      <v>1</v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6" sId="3" odxf="1" dxf="1">
    <nc r="L12" t="inlineStr">
      <is>
        <t>Nguyen Tuan Duong</t>
      </is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12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12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07" sId="3" odxf="1" dxf="1">
    <nc r="K13">
      <v>2</v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8" sId="3" odxf="1" dxf="1">
    <nc r="L13" t="inlineStr">
      <is>
        <t>Do Phu Loc</t>
      </is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13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13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09" sId="3" odxf="1" dxf="1">
    <nc r="K14">
      <v>3</v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10" sId="3" odxf="1" dxf="1">
    <nc r="L14" t="inlineStr">
      <is>
        <t>Nguyen Kim Thanh</t>
      </is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14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14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11" sId="3" odxf="1" dxf="1">
    <nc r="K15">
      <v>4</v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12" sId="3" odxf="1" dxf="1">
    <nc r="L15" t="inlineStr">
      <is>
        <t>Ly Chung</t>
      </is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1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1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13" sId="3">
    <nc r="O7">
      <f>N7/M7</f>
    </nc>
  </rcc>
  <rcc rId="1714" sId="3">
    <nc r="O8">
      <f>N8/M8</f>
    </nc>
  </rcc>
  <rcc rId="1715" sId="3">
    <nc r="M7">
      <f>COEM_Package_20200302!D243+COEM_Package_20200401!D82</f>
    </nc>
  </rcc>
  <rcc rId="1716" sId="3">
    <nc r="N7">
      <f>COEM_Package_20200302!E243+COEM_Package_20200401!E82</f>
    </nc>
  </rcc>
  <rcc rId="1717" sId="3">
    <nc r="M8">
      <f>COEM_Package_20200302!D234+COEM_Package_20200401!D73</f>
    </nc>
  </rcc>
  <rcc rId="1718" sId="3">
    <nc r="N8">
      <f>COEM_Package_20200302!E234+COEM_Package_20200401!E73</f>
    </nc>
  </rcc>
  <rcc rId="1719" sId="3">
    <nc r="M12">
      <f>COEM_Package_20200302!E239</f>
    </nc>
  </rcc>
  <rcc rId="1720" sId="3">
    <nc r="M13">
      <f>COEM_Package_20200302!E240</f>
    </nc>
  </rcc>
  <rcc rId="1721" sId="3">
    <nc r="M14">
      <f>COEM_Package_20200302!E241</f>
    </nc>
  </rcc>
  <rcc rId="1722" sId="3">
    <nc r="M15">
      <f>COEM_Package_20200302!E242</f>
    </nc>
  </rcc>
  <rcc rId="1723" sId="3">
    <nc r="N12">
      <f>COEM_Package_20200302!E230</f>
    </nc>
  </rcc>
  <rcc rId="1724" sId="3">
    <nc r="N13">
      <f>COEM_Package_20200302!E231</f>
    </nc>
  </rcc>
  <rcc rId="1725" sId="3">
    <nc r="N14">
      <f>COEM_Package_20200302!E232</f>
    </nc>
  </rcc>
  <rcc rId="1726" sId="3">
    <nc r="N15">
      <f>COEM_Package_20200302!E233</f>
    </nc>
  </rcc>
  <rcc rId="1727" sId="4" odxf="1" dxf="1">
    <oc r="B57">
      <f>B42+1</f>
    </oc>
    <nc r="B57">
      <f>B42+1</f>
    </nc>
    <odxf>
      <fill>
        <patternFill patternType="none">
          <bgColor indexed="65"/>
        </patternFill>
      </fill>
    </odxf>
    <ndxf>
      <fill>
        <patternFill patternType="solid">
          <bgColor theme="5" tint="0.39997558519241921"/>
        </patternFill>
      </fill>
    </ndxf>
  </rcc>
  <rcc rId="1728" sId="4">
    <nc r="C57">
      <v>20200403</v>
    </nc>
  </rcc>
  <rcc rId="1729" sId="4">
    <nc r="D57" t="inlineStr">
      <is>
        <t>PSW</t>
      </is>
    </nc>
  </rcc>
  <rcc rId="1730" sId="4">
    <nc r="E57" t="inlineStr">
      <is>
        <t>MC_244837_SGMW_CN210M_RC_ABS9.3CBi_BL01_SP01</t>
      </is>
    </nc>
  </rcc>
  <rfmt sheetId="4" sqref="F57" start="0" length="0">
    <dxf>
      <alignment horizontal="general" vertical="bottom" readingOrder="0"/>
    </dxf>
  </rfmt>
  <rcc rId="1731" sId="4">
    <nc r="G57">
      <v>1401513</v>
    </nc>
  </rcc>
  <rcc rId="1732" sId="4">
    <nc r="H57" t="inlineStr">
      <is>
        <t>rba_BldrCmp_DataHdl.c</t>
      </is>
    </nc>
  </rcc>
  <rcc rId="1733" sId="4">
    <nc r="I57" t="inlineStr">
      <is>
        <t>Auto</t>
      </is>
    </nc>
  </rcc>
  <rcc rId="1734" sId="4" odxf="1" dxf="1" quotePrefix="1">
    <nc r="J57" t="inlineStr">
      <is>
        <t>-</t>
      </is>
    </nc>
    <odxf/>
    <ndxf/>
  </rcc>
  <rcc rId="1735" sId="4">
    <nc r="K57" t="inlineStr">
      <is>
        <t>SGMW_ABS93_MS_Stable</t>
      </is>
    </nc>
  </rcc>
  <rcc rId="1736" sId="4" quotePrefix="1">
    <nc r="L57" t="inlineStr">
      <is>
        <t>-</t>
      </is>
    </nc>
  </rcc>
  <rcc rId="1737" sId="4" quotePrefix="1">
    <nc r="M57" t="inlineStr">
      <is>
        <t>Pham Duc Trung (RBVH/EAS11)</t>
      </is>
    </nc>
  </rcc>
  <rcc rId="1738" sId="4">
    <nc r="N57" t="inlineStr">
      <is>
        <t>T_C-268</t>
      </is>
    </nc>
  </rcc>
  <rcc rId="1739" sId="4">
    <nc r="O57" t="inlineStr">
      <is>
        <t>duong.nguyen</t>
      </is>
    </nc>
  </rcc>
  <rcc rId="1740" sId="4">
    <nc r="R57">
      <v>202</v>
    </nc>
  </rcc>
  <rcc rId="1741" sId="4">
    <nc r="S57">
      <f>R57</f>
    </nc>
  </rcc>
  <rcc rId="1742" sId="4">
    <nc r="T57">
      <v>202</v>
    </nc>
  </rcc>
  <rcc rId="1743" sId="4">
    <nc r="U57">
      <f>ROUNDDOWN(S57/HLOOKUP(D57,Table!$C$3:$D$4,2,0)*8,2)</f>
    </nc>
  </rcc>
  <rcc rId="1744" sId="4">
    <nc r="V57">
      <v>4</v>
    </nc>
  </rcc>
  <rcc rId="1745" sId="4">
    <nc r="W57" t="inlineStr">
      <is>
        <t>Ready for review</t>
      </is>
    </nc>
  </rcc>
  <rcc rId="1746" sId="4" numFmtId="19">
    <nc r="X57">
      <v>43924</v>
    </nc>
  </rcc>
  <rcc rId="1747" sId="4" numFmtId="19">
    <nc r="Y57">
      <v>43924</v>
    </nc>
  </rcc>
  <rcc rId="1748" sId="4" numFmtId="19">
    <nc r="Z57">
      <v>43924</v>
    </nc>
  </rcc>
  <rcc rId="1749" sId="4" numFmtId="19">
    <nc r="AA57">
      <v>43924</v>
    </nc>
  </rcc>
  <rcc rId="1750" sId="4">
    <nc r="AB57" t="inlineStr">
      <is>
        <t>OK</t>
      </is>
    </nc>
  </rcc>
  <rcc rId="1751" sId="4">
    <nc r="AC57">
      <v>100</v>
    </nc>
  </rcc>
  <rcc rId="1752" sId="4">
    <nc r="AD57">
      <v>100</v>
    </nc>
  </rcc>
  <rcc rId="1753" sId="4">
    <nc r="AE57">
      <v>100</v>
    </nc>
  </rcc>
  <rcc rId="1754" sId="4">
    <nc r="AF57" t="inlineStr">
      <is>
        <t>N/A</t>
      </is>
    </nc>
  </rcc>
  <rcc rId="1755" sId="4" quotePrefix="1">
    <oc r="AH53" t="inlineStr">
      <is>
        <t>-</t>
      </is>
    </oc>
    <nc r="AH53" t="inlineStr">
      <is>
        <t>-SGMW_ABS93_MS_Stable\RB_SGMW_ABS93\rba\as\Bldr\HWRef\comps\ApplicationLayer\rba_BldrCmp\src</t>
      </is>
    </nc>
  </rcc>
  <rcc rId="1756" sId="4" quotePrefix="1">
    <oc r="AH57" t="inlineStr">
      <is>
        <t>-</t>
      </is>
    </oc>
    <nc r="AH57" t="inlineStr">
      <is>
        <t>-SGMW_ABS93_MS_Stable\RB_SGMW_ABS93\rba\BldrCmp\src</t>
      </is>
    </nc>
  </rcc>
  <rcc rId="1757" sId="4" quotePrefix="1">
    <oc r="F53" t="inlineStr">
      <is>
        <t>-</t>
      </is>
    </oc>
    <nc r="F53" t="inlineStr">
      <is>
        <t>SGMW_ABS93_MS_Stable/RB_SGMW_ABS93/rba/as/Bldr/HWRef/comps/ApplicationLayer/rba_BldrCmp/src</t>
      </is>
    </nc>
  </rcc>
  <rcc rId="1758" sId="4" quotePrefix="1">
    <nc r="F57" t="inlineStr">
      <is>
        <t>SGMW_ABS93_MS_Stable/RB_SGMW_ABS93/rba/BldrCmp/src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10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53">
    <dxf>
      <fill>
        <patternFill patternType="solid">
          <bgColor theme="5" tint="0.39997558519241921"/>
        </patternFill>
      </fill>
    </dxf>
  </rfmt>
  <rfmt sheetId="4" sqref="F57">
    <dxf>
      <fill>
        <patternFill patternType="solid">
          <bgColor theme="5" tint="0.39997558519241921"/>
        </patternFill>
      </fill>
    </dxf>
  </rfmt>
</revisions>
</file>

<file path=xl/revisions/revisionLog10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762" sId="3">
    <oc r="M12">
      <f>COEM_Package_20200302!E239</f>
    </oc>
    <nc r="M12">
      <f>COEM_Package_20200302!E239+COEM_Package_20200401!E78</f>
    </nc>
  </rcc>
  <rcc rId="1763" sId="3">
    <oc r="M13">
      <f>COEM_Package_20200302!E240</f>
    </oc>
    <nc r="M13">
      <f>COEM_Package_20200302!E240+COEM_Package_20200401!E79</f>
    </nc>
  </rcc>
  <rcc rId="1764" sId="3">
    <oc r="M14">
      <f>COEM_Package_20200302!E241</f>
    </oc>
    <nc r="M14">
      <f>COEM_Package_20200302!E241+COEM_Package_20200401!E80</f>
    </nc>
  </rcc>
  <rcc rId="1765" sId="3">
    <oc r="M15">
      <f>COEM_Package_20200302!E242</f>
    </oc>
    <nc r="M15">
      <f>COEM_Package_20200302!E242+COEM_Package_20200401!E81</f>
    </nc>
  </rcc>
  <rcc rId="1766" sId="3">
    <oc r="N12">
      <f>COEM_Package_20200302!E230</f>
    </oc>
    <nc r="N12">
      <f>COEM_Package_20200302!E230+COEM_Package_20200401!E69</f>
    </nc>
  </rcc>
  <rcc rId="1767" sId="3">
    <oc r="N13">
      <f>COEM_Package_20200302!E231</f>
    </oc>
    <nc r="N13">
      <f>COEM_Package_20200302!E231+COEM_Package_20200401!E70</f>
    </nc>
  </rcc>
  <rcc rId="1768" sId="3">
    <oc r="N14">
      <f>COEM_Package_20200302!E232</f>
    </oc>
    <nc r="N14">
      <f>COEM_Package_20200302!E232+COEM_Package_20200401!E71</f>
    </nc>
  </rcc>
  <rcc rId="1769" sId="3">
    <oc r="N15">
      <f>COEM_Package_20200302!E233</f>
    </oc>
    <nc r="N15">
      <f>COEM_Package_20200302!E233+COEM_Package_20200401!E72</f>
    </nc>
  </rcc>
  <rcc rId="1770" sId="3" odxf="1" dxf="1">
    <nc r="J17" t="inlineStr">
      <is>
        <t>3. Risks/ Pending Issues: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771" sId="3" odxf="1" dxf="1">
    <nc r="K18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72" sId="3" odxf="1" dxf="1">
    <nc r="L18" t="inlineStr">
      <is>
        <t>Risks/ Issues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ndxf>
  </rcc>
  <rfmt sheetId="3" sqref="M18" start="0" length="0">
    <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18" start="0" length="0">
    <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18" start="0" length="0">
    <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73" sId="3" odxf="1" dxf="1">
    <nc r="K19">
      <v>1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L19" start="0" length="0">
    <dxf>
      <fill>
        <patternFill patternType="solid">
          <bgColor theme="0"/>
        </patternFill>
      </fill>
      <alignment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</rfmt>
  <rfmt sheetId="3" sqref="M19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19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19" start="0" length="0">
    <dxf>
      <fill>
        <patternFill patternType="solid">
          <bgColor theme="0"/>
        </patternFill>
      </fill>
      <alignment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74" sId="3" odxf="1" dxf="1">
    <nc r="K20">
      <v>2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75" sId="3" odxf="1" dxf="1" quotePrefix="1">
    <nc r="L20" t="inlineStr">
      <is>
        <t>-</t>
      </is>
    </nc>
    <odxf>
      <fill>
        <patternFill patternType="none">
          <bgColor indexed="65"/>
        </patternFill>
      </fill>
      <alignment vertical="bottom" readingOrder="0"/>
      <border outline="0">
        <left/>
        <top/>
        <bottom/>
      </border>
    </odxf>
    <ndxf>
      <fill>
        <patternFill patternType="solid">
          <bgColor theme="0"/>
        </patternFill>
      </fill>
      <alignment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ndxf>
  </rcc>
  <rfmt sheetId="3" sqref="M20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20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20" start="0" length="0">
    <dxf>
      <fill>
        <patternFill patternType="solid">
          <bgColor theme="0"/>
        </patternFill>
      </fill>
      <alignment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76" sId="3" odxf="1" dxf="1">
    <nc r="K21">
      <v>3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77" sId="3" odxf="1" dxf="1" quotePrefix="1">
    <nc r="L21" t="inlineStr">
      <is>
        <t>-</t>
      </is>
    </nc>
    <odxf>
      <fill>
        <patternFill patternType="none">
          <bgColor indexed="65"/>
        </patternFill>
      </fill>
      <alignment vertical="bottom" readingOrder="0"/>
      <border outline="0">
        <left/>
        <top/>
        <bottom/>
      </border>
    </odxf>
    <ndxf>
      <fill>
        <patternFill patternType="solid">
          <bgColor theme="0"/>
        </patternFill>
      </fill>
      <alignment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ndxf>
  </rcc>
  <rfmt sheetId="3" sqref="M21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21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21" start="0" length="0">
    <dxf>
      <fill>
        <patternFill patternType="solid">
          <bgColor theme="0"/>
        </patternFill>
      </fill>
      <alignment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78" sId="3" odxf="1" dxf="1">
    <nc r="K22">
      <v>4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79" sId="3" odxf="1" dxf="1" quotePrefix="1">
    <nc r="L22" t="inlineStr">
      <is>
        <t>-</t>
      </is>
    </nc>
    <odxf>
      <fill>
        <patternFill patternType="none">
          <bgColor indexed="65"/>
        </patternFill>
      </fill>
      <alignment vertical="bottom" readingOrder="0"/>
      <border outline="0">
        <left/>
        <top/>
        <bottom/>
      </border>
    </odxf>
    <ndxf>
      <fill>
        <patternFill patternType="solid">
          <bgColor theme="0"/>
        </patternFill>
      </fill>
      <alignment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ndxf>
  </rcc>
  <rfmt sheetId="3" sqref="M22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22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22" start="0" length="0">
    <dxf>
      <fill>
        <patternFill patternType="solid">
          <bgColor theme="0"/>
        </patternFill>
      </fill>
      <alignment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80" sId="3" odxf="1" dxf="1">
    <nc r="J24" t="inlineStr">
      <is>
        <t>4. Found Defects/ OPLs in Month (Mar):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781" sId="3" odxf="1" dxf="1">
    <nc r="K25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2" sId="3" odxf="1" dxf="1">
    <nc r="L25" t="inlineStr">
      <is>
        <t>External Name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3" sId="3" odxf="1" dxf="1">
    <nc r="M25" t="inlineStr">
      <is>
        <t>Num of OPLs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4" sId="3" odxf="1" dxf="1">
    <nc r="N25" t="inlineStr">
      <is>
        <t>Num of Defects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5" sId="3" odxf="1" dxf="1">
    <nc r="K26">
      <v>1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6" sId="3" odxf="1" dxf="1">
    <nc r="L26" t="inlineStr">
      <is>
        <t>Nguyen Tuan Duong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7" sId="3" odxf="1" dxf="1">
    <nc r="M26">
      <v>7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8" sId="3" odxf="1" dxf="1">
    <nc r="N26">
      <v>1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9" sId="3" odxf="1" dxf="1">
    <nc r="K27">
      <v>2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0" sId="3" odxf="1" dxf="1">
    <nc r="L27" t="inlineStr">
      <is>
        <t>Do Phu Loc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27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91" sId="3" odxf="1" dxf="1">
    <nc r="N27">
      <v>0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2" sId="3" odxf="1" dxf="1">
    <nc r="K28">
      <v>3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3" sId="3" odxf="1" dxf="1">
    <nc r="L28" t="inlineStr">
      <is>
        <t>Nguyen Kim Thanh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4" sId="3" odxf="1" dxf="1">
    <nc r="M28">
      <v>6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5" sId="3" odxf="1" dxf="1">
    <nc r="N28">
      <v>0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6" sId="3" odxf="1" dxf="1">
    <nc r="K29">
      <v>4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7" sId="3" odxf="1" dxf="1">
    <nc r="L29" t="inlineStr">
      <is>
        <t>Ly Chung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8" sId="3" odxf="1" dxf="1">
    <nc r="M29">
      <v>8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9" sId="3" odxf="1" dxf="1">
    <nc r="N29">
      <v>1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K30" start="0" length="0">
    <dxf>
      <alignment horizontal="left" vertical="center" readingOrder="0"/>
    </dxf>
  </rfmt>
  <rfmt sheetId="3" sqref="L30" start="0" length="0">
    <dxf>
      <alignment horizontal="left" vertical="center" readingOrder="0"/>
    </dxf>
  </rfmt>
  <rfmt sheetId="3" sqref="M30" start="0" length="0">
    <dxf>
      <alignment horizontal="left" vertical="center" readingOrder="0"/>
    </dxf>
  </rfmt>
  <rfmt sheetId="3" sqref="N30" start="0" length="0">
    <dxf>
      <alignment horizontal="left" vertical="center" readingOrder="0"/>
    </dxf>
  </rfmt>
  <rfmt sheetId="3" sqref="O30" start="0" length="0">
    <dxf>
      <alignment horizontal="left" vertical="center" readingOrder="0"/>
    </dxf>
  </rfmt>
  <rcc rId="1800" sId="3" odxf="1" dxf="1">
    <nc r="J32" t="inlineStr">
      <is>
        <t>5. Leave Plan/Other activities(Mar):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801" sId="3" odxf="1" dxf="1">
    <nc r="K33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2" sId="3" odxf="1" dxf="1">
    <nc r="L33" t="inlineStr">
      <is>
        <t>External Name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3" sId="3" odxf="1" dxf="1">
    <nc r="M33" t="inlineStr">
      <is>
        <t>Num of Day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4" sId="3" odxf="1" dxf="1">
    <nc r="N33" t="inlineStr">
      <is>
        <t>Detail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5" sId="3" odxf="1" dxf="1">
    <nc r="K34">
      <v>1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6" sId="3" odxf="1" dxf="1">
    <nc r="L34" t="inlineStr">
      <is>
        <t>Nguyen Tuan Duong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7" sId="3" odxf="1" dxf="1" quotePrefix="1">
    <nc r="M3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8" sId="3" odxf="1" dxf="1" quotePrefix="1">
    <nc r="N3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9" sId="3" odxf="1" dxf="1">
    <nc r="K35">
      <v>2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0" sId="3" odxf="1" dxf="1">
    <nc r="L35" t="inlineStr">
      <is>
        <t>Do Phu Loc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1" sId="3" odxf="1" dxf="1">
    <nc r="M35">
      <v>1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N35" start="0" length="0">
    <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812" sId="3" odxf="1" dxf="1">
    <nc r="K36">
      <v>3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3" sId="3" odxf="1" dxf="1">
    <nc r="L36" t="inlineStr">
      <is>
        <t>Nguyen Kim Thanh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4" sId="3" odxf="1" dxf="1">
    <nc r="M36">
      <v>1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5" sId="3" odxf="1" dxf="1" quotePrefix="1">
    <nc r="N36" t="inlineStr">
      <is>
        <t>- Day-off Fri, 20-Mar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6" sId="3" odxf="1" dxf="1">
    <nc r="K37">
      <v>4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7" sId="3" odxf="1" dxf="1">
    <nc r="L37" t="inlineStr">
      <is>
        <t>Ly Chung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37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37" start="0" length="0">
    <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818" sId="3">
    <nc r="M37">
      <v>1</v>
    </nc>
  </rcc>
  <rcc rId="1819" sId="3" odxf="1" dxf="1" quotePrefix="1">
    <nc r="N37" t="inlineStr">
      <is>
        <t>- Day-off Fri, 03-Apr</t>
      </is>
    </nc>
    <ndxf/>
  </rcc>
  <rcc rId="1820" sId="3" quotePrefix="1">
    <nc r="N35" t="inlineStr">
      <is>
        <t>- Day-off Mon, 9th Mar</t>
      </is>
    </nc>
  </rcc>
  <rcc rId="1821" sId="3">
    <nc r="M27">
      <v>10</v>
    </nc>
  </rcc>
  <rcc rId="1822" sId="3" quotePrefix="1">
    <nc r="L19" t="inlineStr">
      <is>
        <t>- None</t>
      </is>
    </nc>
  </rcc>
  <rcc rId="1823" sId="3">
    <oc r="J10" t="inlineStr">
      <is>
        <t>2. Completed ELOCs of each member from the beginning of Month (Mar) till Now:</t>
      </is>
    </oc>
    <nc r="J10" t="inlineStr">
      <is>
        <t>2. Completed ELOCs of each member from the beginning of from (02-Mar) till Now:</t>
      </is>
    </nc>
  </rcc>
  <rcc rId="1824" sId="3">
    <oc r="J5" t="inlineStr">
      <is>
        <t>1. Completed ELOCs of the team from the beginning of Month (Mar) till Now:</t>
      </is>
    </oc>
    <nc r="J5" t="inlineStr">
      <is>
        <t>1. Completed ELOCs of the team from the beginning from (02-Mar) till Now:</t>
      </is>
    </nc>
  </rcc>
  <rcc rId="1825" sId="4">
    <oc r="F90">
      <f>IF(OR(Template_Weekly_Report_Apr!E38="-",Template_Weekly_Report_Apr!E38=""),Template_Weekly_Report_Apr!$B$3,Template_Weekly_Report_Apr!$B$3-Template_Weekly_Report_Apr!E38)</f>
    </oc>
    <nc r="F90">
      <f>IF(OR(Template_Weekly_Report_Apr!E38="-",Template_Weekly_Report_Apr!E38=""),Template_Weekly_Report_Apr!$B$3,Template_Weekly_Report_Apr!$B$3-Template_Weekly_Report_Apr!E38)-1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10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3" sqref="O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Arial"/>
        <scheme val="none"/>
      </font>
      <fill>
        <patternFill patternType="solid">
          <fgColor indexed="65"/>
          <bgColor rgb="FFFFC7CE"/>
        </patternFill>
      </fill>
    </dxf>
  </rfmt>
  <rfmt sheetId="3" sqref="O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1829" sId="3">
    <oc r="J5" t="inlineStr">
      <is>
        <t>1. Completed ELOCs of the team from the beginning from (02-Mar) till Now:</t>
      </is>
    </oc>
    <nc r="J5" t="inlineStr">
      <is>
        <t>1. Completed ELOCs of the team from the beginning from (02-Mar) till Now(03-Apr)</t>
      </is>
    </nc>
  </rcc>
  <rcc rId="1830" sId="3">
    <oc r="J10" t="inlineStr">
      <is>
        <t>2. Completed ELOCs of each member from the beginning of from (02-Mar) till Now:</t>
      </is>
    </oc>
    <nc r="J10" t="inlineStr">
      <is>
        <t>2. Completed ELOCs of each member from the beginning of from (02-Mar) till Now(03-Apr)</t>
      </is>
    </nc>
  </rcc>
  <rm rId="1831" sheetId="3" source="J17:O38" destination="J18:O39" sourceSheetId="3"/>
  <rrc rId="1832" sId="3" ref="A21:XFD21" action="deleteRow">
    <rfmt sheetId="3" xfDxf="1" sqref="A21:XFD21" start="0" length="0"/>
    <rcc rId="0" sId="3" dxf="1">
      <nc r="C21">
        <v>2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D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E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F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G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3" dxf="1">
      <nc r="K21">
        <v>2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L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M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N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O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833" sId="3" ref="A21:XFD21" action="deleteRow">
    <rfmt sheetId="3" xfDxf="1" sqref="A21:XFD21" start="0" length="0"/>
    <rcc rId="0" sId="3" dxf="1">
      <nc r="C21">
        <v>3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D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E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F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G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3" dxf="1">
      <nc r="K21">
        <v>3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L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M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N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O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834" sId="3" ref="A21:XFD21" action="deleteRow">
    <rfmt sheetId="3" xfDxf="1" sqref="A21:XFD21" start="0" length="0"/>
    <rcc rId="0" sId="3" dxf="1">
      <nc r="C21">
        <v>4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D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E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F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G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3" dxf="1">
      <nc r="K21">
        <v>4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L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M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N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O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</revisions>
</file>

<file path=xl/revisions/revisionLog10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35" sId="4">
    <nc r="T52">
      <f>S52</f>
    </nc>
  </rcc>
  <rcc rId="1836" sId="4">
    <nc r="V52">
      <v>3</v>
    </nc>
  </rcc>
  <rcc rId="1837" sId="4">
    <nc r="W52" t="inlineStr">
      <is>
        <t>Ready for review</t>
      </is>
    </nc>
  </rcc>
  <rcc rId="1838" sId="4">
    <nc r="AB52" t="inlineStr">
      <is>
        <t>NG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COEM_Package_20200401!$B$2:$AH$64</formula>
    <oldFormula>COEM_Package_20200401!$B$2:$AH$64</oldFormula>
  </rdn>
  <rcv guid="{4E06BDBF-2CED-473B-850B-2A6C7311FF41}" action="add"/>
</revisions>
</file>

<file path=xl/revisions/revisionLog10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10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45" sId="4">
    <nc r="AC52">
      <v>95</v>
    </nc>
  </rcc>
  <rcc rId="1846" sId="4">
    <nc r="AD52">
      <v>97</v>
    </nc>
  </rcc>
  <rcc rId="1847" sId="4">
    <nc r="AE52">
      <v>100</v>
    </nc>
  </rcc>
  <rcc rId="1848" sId="4" odxf="1" dxf="1">
    <nc r="AF52" t="inlineStr">
      <is>
        <t>OPL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849" sId="4" odxf="1" dxf="1" quotePrefix="1">
    <oc r="AG52" t="inlineStr">
      <is>
        <t>-</t>
      </is>
    </oc>
    <nc r="AG52" t="inlineStr">
      <is>
        <t xml:space="preserve">can’t cover for case default at line#231 of switch(rba_BldrCmp_Td_DecompWriteState_en)
</t>
      </is>
    </nc>
    <odxf>
      <alignment wrapText="0" readingOrder="0"/>
    </odxf>
    <ndxf>
      <alignment wrapText="1" readingOrder="0"/>
    </ndxf>
  </rcc>
  <rcc rId="1850" sId="4" quotePrefix="1">
    <oc r="AH52" t="inlineStr">
      <is>
        <t>-</t>
      </is>
    </oc>
    <nc r="AH52" t="inlineStr">
      <is>
        <t>Because out of range of enum rba_BldrCmp_Td_DecompWriteState_ten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COEM_Package_20200401!$B$2:$AH$64</formula>
    <oldFormula>COEM_Package_20200401!$B$2:$AH$64</oldFormula>
  </rdn>
  <rcv guid="{4E06BDBF-2CED-473B-850B-2A6C7311FF41}" action="add"/>
</revisions>
</file>

<file path=xl/revisions/revisionLog10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fmt sheetId="4" sqref="H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fmt sheetId="4" sqref="H4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10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57" sId="4">
    <nc r="AC14">
      <v>100</v>
    </nc>
  </rcc>
  <rcc rId="1858" sId="4">
    <nc r="AD14">
      <v>100</v>
    </nc>
  </rcc>
  <rcc rId="1859" sId="4">
    <nc r="AE14">
      <v>100</v>
    </nc>
  </rcc>
  <rcc rId="1860" sId="4">
    <nc r="V14">
      <v>1</v>
    </nc>
  </rcc>
  <rcc rId="1861" sId="4">
    <nc r="W14" t="inlineStr">
      <is>
        <t>Ready for review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COEM_Package_20200401!$B$2:$AH$64</formula>
    <oldFormula>COEM_Package_20200401!$B$2:$AH$64</oldFormula>
  </rdn>
  <rcv guid="{60D2C030-4E31-4E07-8E1C-44D2EE84B177}" action="add"/>
</revisions>
</file>

<file path=xl/revisions/revisionLog1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65" sId="4">
    <nc r="T14">
      <f>S14</f>
    </nc>
  </rcc>
</revisions>
</file>

<file path=xl/revisions/revisionLog1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866" sId="4" ref="A59:XFD64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1867" sId="4">
    <nc r="B59">
      <f>B58+1</f>
    </nc>
  </rcc>
  <rcc rId="1868" sId="4">
    <nc r="B60">
      <f>B59+1</f>
    </nc>
  </rcc>
  <rcc rId="1869" sId="4">
    <nc r="B61">
      <f>B60+1</f>
    </nc>
  </rcc>
  <rcc rId="1870" sId="4">
    <nc r="B62">
      <f>B61+1</f>
    </nc>
  </rcc>
  <rcc rId="1871" sId="4">
    <nc r="B63">
      <f>B62+1</f>
    </nc>
  </rcc>
  <rcc rId="1872" sId="4">
    <nc r="B64">
      <f>B63+1</f>
    </nc>
  </rcc>
  <rcc rId="1873" sId="4">
    <oc r="B65">
      <f>B44+1</f>
    </oc>
    <nc r="B65">
      <f>B64+1</f>
    </nc>
  </rcc>
  <rcc rId="1874" sId="4">
    <oc r="B66">
      <f>B65+1</f>
    </oc>
    <nc r="B66">
      <f>B65+1</f>
    </nc>
  </rcc>
  <rcc rId="1875" sId="4">
    <oc r="B67">
      <f>B46+1</f>
    </oc>
    <nc r="B67">
      <f>B66+1</f>
    </nc>
  </rcc>
  <rcc rId="1876" sId="4">
    <oc r="B68">
      <f>B67+1</f>
    </oc>
    <nc r="B68">
      <f>B67+1</f>
    </nc>
  </rcc>
  <rcc rId="1877" sId="4">
    <oc r="B69">
      <f>B48+1</f>
    </oc>
    <nc r="B69">
      <f>B68+1</f>
    </nc>
  </rcc>
  <rcc rId="1878" sId="4">
    <oc r="B70">
      <f>B69+1</f>
    </oc>
    <nc r="B70">
      <f>B69+1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82" sId="4" xfDxf="1" dxf="1">
    <nc r="E58" t="inlineStr">
      <is>
        <t>239689_NIO_G1.3&amp;G1.F_ESPHevX_BSS03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83" sId="4" xfDxf="1" dxf="1">
    <nc r="E59" t="inlineStr">
      <is>
        <t>MC_227282_SGMW_E200_Plus_ESPCPiGen9.3_BSS04_SP03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84" sId="4" xfDxf="1" dxf="1">
    <nc r="E60" t="inlineStr">
      <is>
        <t>Adapt_218053_CA_CD569_ESP9.3CP_BL6_SP1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85" sId="4" xfDxf="1" dxf="1">
    <nc r="E61" t="inlineStr">
      <is>
        <t>Adapt_218053_CA_CD569_ESP9.3CP_BL6_SP1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86" sId="4">
    <nc r="C58">
      <v>20200403</v>
    </nc>
  </rcc>
  <rcc rId="1887" sId="4">
    <nc r="C59">
      <v>20200403</v>
    </nc>
  </rcc>
  <rcc rId="1888" sId="4">
    <nc r="C60">
      <v>20200403</v>
    </nc>
  </rcc>
  <rcc rId="1889" sId="4">
    <nc r="C61">
      <v>20200403</v>
    </nc>
  </rcc>
  <rfmt sheetId="4" sqref="B58:B61">
    <dxf>
      <fill>
        <patternFill patternType="solid">
          <bgColor rgb="FFFFC000"/>
        </patternFill>
      </fill>
    </dxf>
  </rfmt>
  <rcc rId="1890" sId="4">
    <nc r="D58" t="inlineStr">
      <is>
        <t>PSW</t>
      </is>
    </nc>
  </rcc>
  <rcc rId="1891" sId="4">
    <nc r="D60" t="inlineStr">
      <is>
        <t>PSW</t>
      </is>
    </nc>
  </rcc>
  <rcc rId="1892" sId="4">
    <nc r="D61" t="inlineStr">
      <is>
        <t>PSW</t>
      </is>
    </nc>
  </rcc>
  <rcc rId="1893" sId="4">
    <nc r="D59" t="inlineStr">
      <is>
        <t>PSW</t>
      </is>
    </nc>
  </rcc>
  <rcc rId="1894" sId="4" xfDxf="1" dxf="1" quotePrefix="1">
    <nc r="F58" t="inlineStr">
      <is>
        <t>rb\as\nio\core\app\net\RBScl\src\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95" sId="4" xfDxf="1" dxf="1" quotePrefix="1">
    <nc r="F59" t="inlineStr">
      <is>
        <t>rb\as\sgmw\CN210S\app\net\RBScl\RBScl_SGMW\src\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96" sId="4" xfDxf="1" dxf="1" quotePrefix="1">
    <nc r="F60" t="inlineStr">
      <is>
        <t>rb\as\ca\CpiwAPB\dsmpr\src\RBHMI\src\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97" sId="4" xfDxf="1" dxf="1" quotePrefix="1">
    <nc r="F61" t="inlineStr">
      <is>
        <t>rb\as\cnms_core\app\net\scl_callout\src\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01" sId="4" xfDxf="1" dxf="1">
    <nc r="G58">
      <v>1404971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2" sId="4" xfDxf="1" dxf="1">
    <nc r="G59">
      <v>1404901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3" sId="4" xfDxf="1" dxf="1">
    <nc r="G60">
      <v>1404877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4" sId="4" xfDxf="1" dxf="1">
    <nc r="G61">
      <v>1400940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5" sId="4" xfDxf="1" dxf="1">
    <nc r="H58" t="inlineStr">
      <is>
        <t>NET_Monitoring.c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6" sId="4" xfDxf="1" dxf="1">
    <nc r="H59" t="inlineStr">
      <is>
        <t>SGMW_RBA_NDS_EngineIntervention_EV_Callout.c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7" sId="4" xfDxf="1" dxf="1">
    <nc r="H60" t="inlineStr">
      <is>
        <t>RBHMI_LDMLamp_CNMS.C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8" sId="4" xfDxf="1" dxf="1">
    <nc r="H61" t="inlineStr">
      <is>
        <t>RBA_NDS_WSS_FailureInfo_Callout.c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9" sId="4">
    <nc r="I59" t="inlineStr">
      <is>
        <t>Auto</t>
      </is>
    </nc>
  </rcc>
  <rcc rId="1910" sId="4">
    <nc r="I61" t="inlineStr">
      <is>
        <t>Auto</t>
      </is>
    </nc>
  </rcc>
  <rcc rId="1911" sId="4">
    <nc r="I58" t="inlineStr">
      <is>
        <t>Auto</t>
      </is>
    </nc>
  </rcc>
  <rcc rId="1912" sId="4">
    <nc r="I60" t="inlineStr">
      <is>
        <t>Auto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16" sId="4" xfDxf="1" dxf="1">
    <nc r="J58">
      <v>81484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17" sId="4" xfDxf="1" dxf="1">
    <nc r="J59">
      <v>99885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18" sId="4" xfDxf="1" dxf="1">
    <nc r="J61">
      <v>99186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19" sId="4" odxf="1" dxf="1" quotePrefix="1">
    <nc r="J60" t="inlineStr">
      <is>
        <t>-</t>
      </is>
    </nc>
    <odxf/>
    <ndxf/>
  </rcc>
  <rcc rId="1920" sId="4" xfDxf="1" dxf="1">
    <nc r="K58" t="inlineStr">
      <is>
        <t>NextEV_ESPHevX_Int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1" sId="4" xfDxf="1" dxf="1">
    <nc r="K59" t="inlineStr">
      <is>
        <t>SGMW_ESP93_Carbon_Int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2" sId="4" xfDxf="1" dxf="1">
    <nc r="K60" t="inlineStr">
      <is>
        <t>ChangAn_ESP_Carbon_Int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3" sId="4" xfDxf="1" dxf="1">
    <nc r="K61" t="inlineStr">
      <is>
        <t>ChangAn_ESP_Carbon_Int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4" sId="4" quotePrefix="1">
    <nc r="L58" t="inlineStr">
      <is>
        <t>-</t>
      </is>
    </nc>
  </rcc>
  <rcc rId="1925" sId="4" quotePrefix="1">
    <nc r="L59" t="inlineStr">
      <is>
        <t>-</t>
      </is>
    </nc>
  </rcc>
  <rcc rId="1926" sId="4" quotePrefix="1">
    <nc r="L60" t="inlineStr">
      <is>
        <t>-</t>
      </is>
    </nc>
  </rcc>
  <rcc rId="1927" sId="4" quotePrefix="1">
    <nc r="L61" t="inlineStr">
      <is>
        <t>-</t>
      </is>
    </nc>
  </rcc>
  <rcc rId="1928" sId="4" xfDxf="1" dxf="1" quotePrefix="1">
    <nc r="M58" t="inlineStr">
      <is>
        <t>LI Jiaxing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9" sId="4" xfDxf="1" dxf="1" quotePrefix="1">
    <nc r="M59" t="inlineStr">
      <is>
        <t>WANG Yang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30" sId="4" xfDxf="1" dxf="1" quotePrefix="1">
    <nc r="M60" t="inlineStr">
      <is>
        <t>XU Jialin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31" sId="4" xfDxf="1" dxf="1" quotePrefix="1">
    <nc r="M61" t="inlineStr">
      <is>
        <t>WANG Yang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32" sId="4">
    <oc r="N57" t="inlineStr">
      <is>
        <t>T_C-268</t>
      </is>
    </oc>
    <nc r="N57" t="inlineStr">
      <is>
        <t>T_C-272</t>
      </is>
    </nc>
  </rcc>
  <rcc rId="1933" sId="4">
    <nc r="N58" t="inlineStr">
      <is>
        <t>T_C-273</t>
      </is>
    </nc>
  </rcc>
  <rcc rId="1934" sId="4">
    <nc r="N59" t="inlineStr">
      <is>
        <t>T_C-274</t>
      </is>
    </nc>
  </rcc>
  <rcc rId="1935" sId="4">
    <nc r="N60" t="inlineStr">
      <is>
        <t>T_C-275</t>
      </is>
    </nc>
  </rcc>
  <rcc rId="1936" sId="4">
    <nc r="N61" t="inlineStr">
      <is>
        <t>T_C-276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40" sId="4" xfDxf="1" dxf="1">
    <nc r="R58">
      <v>130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41" sId="4" xfDxf="1" dxf="1">
    <nc r="R59">
      <v>180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42" sId="4" xfDxf="1" dxf="1">
    <nc r="R60">
      <v>291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43" sId="4" xfDxf="1" dxf="1">
    <nc r="R61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44" sId="4">
    <nc r="O60" t="inlineStr">
      <is>
        <t>duong.nguyen</t>
      </is>
    </nc>
  </rcc>
  <rcc rId="1945" sId="4">
    <nc r="O59" t="inlineStr">
      <is>
        <t>thanh.nguyen-kim</t>
      </is>
    </nc>
  </rcc>
  <rcc rId="1946" sId="4">
    <nc r="O58" t="inlineStr">
      <is>
        <t>thanh.nguyen-kim</t>
      </is>
    </nc>
  </rcc>
  <rcc rId="1947" sId="4">
    <nc r="O61" t="inlineStr">
      <is>
        <t>chung.ly</t>
      </is>
    </nc>
  </rcc>
  <rcc rId="1948" sId="4" numFmtId="19">
    <nc r="X58">
      <v>43924</v>
    </nc>
  </rcc>
  <rcc rId="1949" sId="4" numFmtId="19">
    <nc r="X59">
      <v>43924</v>
    </nc>
  </rcc>
  <rcc rId="1950" sId="4" numFmtId="19">
    <nc r="X60">
      <v>43924</v>
    </nc>
  </rcc>
  <rcc rId="1951" sId="4" numFmtId="19">
    <nc r="X61">
      <v>43924</v>
    </nc>
  </rcc>
  <rcc rId="1952" sId="4" numFmtId="19">
    <nc r="Y58">
      <v>43928</v>
    </nc>
  </rcc>
  <rcc rId="1953" sId="4" numFmtId="19">
    <nc r="Y59">
      <v>43928</v>
    </nc>
  </rcc>
  <rcc rId="1954" sId="4" numFmtId="19">
    <nc r="Y60">
      <v>43928</v>
    </nc>
  </rcc>
  <rcc rId="1955" sId="4" numFmtId="19">
    <nc r="Y61">
      <v>43928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59" sId="4">
    <oc r="W49" t="inlineStr">
      <is>
        <t>Ready for review</t>
      </is>
    </oc>
    <nc r="W49" t="inlineStr">
      <is>
        <t>Ready for PLC</t>
      </is>
    </nc>
  </rcc>
  <rcc rId="1960" sId="4">
    <oc r="W50" t="inlineStr">
      <is>
        <t>Ready for review</t>
      </is>
    </oc>
    <nc r="W50" t="inlineStr">
      <is>
        <t>Ready for PLC</t>
      </is>
    </nc>
  </rcc>
  <rcc rId="1961" sId="4">
    <oc r="W51" t="inlineStr">
      <is>
        <t>Ready for review</t>
      </is>
    </oc>
    <nc r="W51" t="inlineStr">
      <is>
        <t>Ready for PLC</t>
      </is>
    </nc>
  </rcc>
  <rcc rId="1962" sId="4">
    <oc r="W52" t="inlineStr">
      <is>
        <t>Ready for review</t>
      </is>
    </oc>
    <nc r="W52" t="inlineStr">
      <is>
        <t>Ready for PLC</t>
      </is>
    </nc>
  </rcc>
  <rcc rId="1963" sId="4">
    <oc r="W53" t="inlineStr">
      <is>
        <t>Ready for review</t>
      </is>
    </oc>
    <nc r="W53" t="inlineStr">
      <is>
        <t>Ready for PLC</t>
      </is>
    </nc>
  </rcc>
  <rcc rId="1964" sId="4">
    <oc r="W54" t="inlineStr">
      <is>
        <t>Ready for review</t>
      </is>
    </oc>
    <nc r="W54" t="inlineStr">
      <is>
        <t>Ready for PLC</t>
      </is>
    </nc>
  </rcc>
  <rcc rId="1965" sId="4">
    <oc r="W55" t="inlineStr">
      <is>
        <t>Ready for review</t>
      </is>
    </oc>
    <nc r="W55" t="inlineStr">
      <is>
        <t>Ready for PLC</t>
      </is>
    </nc>
  </rcc>
  <rcc rId="1966" sId="4">
    <oc r="W56" t="inlineStr">
      <is>
        <t>Ready for review</t>
      </is>
    </oc>
    <nc r="W56" t="inlineStr">
      <is>
        <t>Ready for PLC</t>
      </is>
    </nc>
  </rcc>
  <rcc rId="1967" sId="4">
    <oc r="W57" t="inlineStr">
      <is>
        <t>Ready for review</t>
      </is>
    </oc>
    <nc r="W57" t="inlineStr">
      <is>
        <t>Ready for PLC</t>
      </is>
    </nc>
  </rcc>
  <rcc rId="1968" sId="1">
    <oc r="W118" t="inlineStr">
      <is>
        <t>Ready for review</t>
      </is>
    </oc>
    <nc r="W118" t="inlineStr">
      <is>
        <t>Complete &amp; Closed</t>
      </is>
    </nc>
  </rcc>
  <rcc rId="1969" sId="1">
    <oc r="W119" t="inlineStr">
      <is>
        <t>Ready for review</t>
      </is>
    </oc>
    <nc r="W119" t="inlineStr">
      <is>
        <t>Complete &amp; Closed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73" sId="4">
    <nc r="S58">
      <f>R58</f>
    </nc>
  </rcc>
  <rcc rId="1974" sId="4">
    <nc r="S59">
      <f>R59</f>
    </nc>
  </rcc>
  <rcc rId="1975" sId="4">
    <nc r="S60">
      <f>R60</f>
    </nc>
  </rcc>
  <rcc rId="1976" sId="4">
    <nc r="S61">
      <f>R61</f>
    </nc>
  </rcc>
  <rcc rId="1977" sId="4">
    <nc r="U58">
      <f>ROUNDDOWN(S58/HLOOKUP(D58,Table!$C$3:$D$4,2,0)*8,2)</f>
    </nc>
  </rcc>
  <rcc rId="1978" sId="4">
    <nc r="U59">
      <f>ROUNDDOWN(S59/HLOOKUP(D59,Table!$C$3:$D$4,2,0)*8,2)</f>
    </nc>
  </rcc>
  <rcc rId="1979" sId="4">
    <nc r="U60">
      <f>ROUNDDOWN(S60/HLOOKUP(D60,Table!$C$3:$D$4,2,0)*8,2)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83" sId="4" xfDxf="1" dxf="1" quotePrefix="1">
    <oc r="F14" t="inlineStr">
      <is>
        <t>-</t>
      </is>
    </oc>
    <nc r="F14" t="inlineStr">
      <is>
        <t>iBoosterGen2\rb\as\faw\core\app\dcom\RBAPLCust\src\common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84" sId="4">
    <nc r="W15" t="inlineStr">
      <is>
        <t>Ready for review</t>
      </is>
    </nc>
  </rcc>
  <rcc rId="1985" sId="4">
    <nc r="AC15">
      <v>100</v>
    </nc>
  </rcc>
  <rcc rId="1986" sId="4">
    <nc r="T15">
      <f>S15</f>
    </nc>
  </rcc>
  <rcc rId="1987" sId="4">
    <nc r="V15">
      <v>2.82</v>
    </nc>
  </rcc>
  <rcc rId="1988" sId="4">
    <nc r="AD15">
      <v>100</v>
    </nc>
  </rcc>
  <rcc rId="1989" sId="4">
    <nc r="AE15">
      <v>100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COEM_Package_20200401!$B$2:$AH$70</formula>
    <oldFormula>COEM_Package_20200401!$B$2:$AH$70</oldFormula>
  </rdn>
  <rcv guid="{60D2C030-4E31-4E07-8E1C-44D2EE84B177}" action="add"/>
</revisions>
</file>

<file path=xl/revisions/revisionLog1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93" sId="4">
    <nc r="T18">
      <f>S18</f>
    </nc>
  </rcc>
  <rcc rId="1994" sId="4">
    <nc r="T19">
      <f>S19</f>
    </nc>
  </rcc>
  <rcc rId="1995" sId="4">
    <nc r="T20">
      <f>S20</f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COEM_Package_20200401!$B$2:$AH$70</formula>
    <oldFormula>COEM_Package_20200401!$B$2:$AH$70</oldFormula>
  </rdn>
  <rcv guid="{60D2C030-4E31-4E07-8E1C-44D2EE84B177}" action="add"/>
</revisions>
</file>

<file path=xl/revisions/revisionLog1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99" sId="4" quotePrefix="1">
    <oc r="F15" t="inlineStr">
      <is>
        <t>-</t>
      </is>
    </oc>
    <nc r="F15" t="inlineStr">
      <is>
        <t>iBoosterGen2\rb\as\faw\core\app\dcom\RBAPLCust\src\common</t>
      </is>
    </nc>
  </rcc>
</revisions>
</file>

<file path=xl/revisions/revisionLog1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00" sId="1">
    <nc r="U164">
      <f>ROUNDDOWN(S164/HLOOKUP(D164,Table!$C$3:$D$4,2,0)*8,2)</f>
    </nc>
  </rcc>
  <rcc rId="2001" sId="1">
    <nc r="U170">
      <f>ROUNDDOWN(S170/HLOOKUP(D170,Table!$C$3:$D$4,2,0)*8,2)</f>
    </nc>
  </rcc>
  <rcc rId="2002" sId="1">
    <nc r="U172">
      <f>ROUNDDOWN(S172/HLOOKUP(D172,Table!$C$3:$D$4,2,0)*8,2)</f>
    </nc>
  </rcc>
  <rcc rId="2003" sId="1">
    <oc r="U173">
      <f>ROUNDDOWN(S173/HLOOKUP(D173,Table!$C$3:$D$4,2,0)*8,2)</f>
    </oc>
    <nc r="U173">
      <f>ROUNDDOWN(S173/HLOOKUP(D173,Table!$C$3:$D$4,2,0)*8,2)</f>
    </nc>
  </rcc>
  <rcc rId="2004" sId="1">
    <nc r="U174">
      <f>ROUNDDOWN(S174/HLOOKUP(D174,Table!$C$3:$D$4,2,0)*8,2)</f>
    </nc>
  </rcc>
  <rcc rId="2005" sId="1">
    <oc r="U175">
      <f>ROUNDDOWN(S175/HLOOKUP(D175,Table!$C$3:$D$4,2,0)*8,2)</f>
    </oc>
    <nc r="U175">
      <f>ROUNDDOWN(S175/HLOOKUP(D175,Table!$C$3:$D$4,2,0)*8,2)</f>
    </nc>
  </rcc>
  <rcc rId="2006" sId="1">
    <nc r="U176">
      <f>ROUNDDOWN(S176/HLOOKUP(D176,Table!$C$3:$D$4,2,0)*8,2)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10" sId="1">
    <oc r="W179" t="inlineStr">
      <is>
        <t>Ready for review</t>
      </is>
    </oc>
    <nc r="W179" t="inlineStr">
      <is>
        <t>Complete &amp; Closed</t>
      </is>
    </nc>
  </rcc>
  <rcc rId="2011" sId="1">
    <oc r="W180" t="inlineStr">
      <is>
        <t>Ready for review</t>
      </is>
    </oc>
    <nc r="W180" t="inlineStr">
      <is>
        <t>Complete &amp; Closed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15" sId="4" xfDxf="1" dxf="1">
    <nc r="E62" t="inlineStr">
      <is>
        <t>236075_SAIC_IP31E iBooster_BSS02_SP01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16" sId="4" xfDxf="1" dxf="1">
    <nc r="E63" t="inlineStr">
      <is>
        <t>236075_SAIC_IP31E iBooster_BSS02_SP01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17" sId="4" xfDxf="1" dxf="1">
    <nc r="E64" t="inlineStr">
      <is>
        <t>SAIC SV51H iBooster BSS05 SP04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18" sId="4" xfDxf="1" dxf="1">
    <nc r="E65" t="inlineStr">
      <is>
        <t>GEELY_Ibooster_GE12_BX11_BL07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19" sId="4" xfDxf="1" dxf="1">
    <nc r="E66" t="inlineStr">
      <is>
        <t>GEELY_Ibooster_GE12_BX11_BL07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20" sId="4">
    <nc r="D63" t="inlineStr">
      <is>
        <t>PSW</t>
      </is>
    </nc>
  </rcc>
  <rcc rId="2021" sId="4">
    <nc r="D65" t="inlineStr">
      <is>
        <t>PSW</t>
      </is>
    </nc>
  </rcc>
  <rcc rId="2022" sId="4">
    <nc r="D62" t="inlineStr">
      <is>
        <t>PSW</t>
      </is>
    </nc>
  </rcc>
  <rcc rId="2023" sId="4">
    <nc r="D64" t="inlineStr">
      <is>
        <t>PSW</t>
      </is>
    </nc>
  </rcc>
  <rcc rId="2024" sId="4">
    <nc r="D66" t="inlineStr">
      <is>
        <t>PSW</t>
      </is>
    </nc>
  </rcc>
  <rcc rId="2025" sId="4">
    <nc r="C62">
      <v>20200403</v>
    </nc>
  </rcc>
  <rcc rId="2026" sId="4">
    <nc r="C63">
      <v>20200403</v>
    </nc>
  </rcc>
  <rcc rId="2027" sId="4">
    <nc r="C64">
      <v>20200403</v>
    </nc>
  </rcc>
  <rcc rId="2028" sId="4">
    <nc r="C65">
      <v>20200403</v>
    </nc>
  </rcc>
  <rcc rId="2029" sId="4">
    <nc r="C66">
      <v>20200403</v>
    </nc>
  </rcc>
  <rfmt sheetId="4" sqref="B62:B66">
    <dxf>
      <fill>
        <patternFill patternType="solid">
          <bgColor theme="2" tint="-0.249977111117893"/>
        </patternFill>
      </fill>
    </dxf>
  </rfmt>
  <rfmt sheetId="4" xfDxf="1" sqref="F6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6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030" sId="4" xfDxf="1" dxf="1" quotePrefix="1">
    <nc r="F64" t="inlineStr">
      <is>
        <t>rb/as/saic51/core/app/dcom/RBAPLCust/src/common/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4" xfDxf="1" sqref="F6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6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031" sId="4" quotePrefix="1">
    <oc r="F58" t="inlineStr">
      <is>
        <t>rb\as\nio\core\app\net\RBScl\src\</t>
      </is>
    </oc>
    <nc r="F58" t="inlineStr">
      <is>
        <t>rb/as/nio/core/app/net/RBScl/src/</t>
      </is>
    </nc>
  </rcc>
  <rcc rId="2032" sId="4" quotePrefix="1">
    <oc r="F59" t="inlineStr">
      <is>
        <t>rb\as\sgmw\CN210S\app\net\RBScl\RBScl_SGMW\src\</t>
      </is>
    </oc>
    <nc r="F59" t="inlineStr">
      <is>
        <t>rb/as/sgmw/CN210S/app/net/RBScl/RBScl_SGMW/src/</t>
      </is>
    </nc>
  </rcc>
  <rcc rId="2033" sId="4" quotePrefix="1">
    <oc r="F60" t="inlineStr">
      <is>
        <t>rb\as\ca\CpiwAPB\dsmpr\src\RBHMI\src\</t>
      </is>
    </oc>
    <nc r="F60" t="inlineStr">
      <is>
        <t>rb/as/ca/CpiwAPB/dsmpr/src/RBHMI/src/</t>
      </is>
    </nc>
  </rcc>
  <rcc rId="2034" sId="4" quotePrefix="1">
    <oc r="F61" t="inlineStr">
      <is>
        <t>rb\as\cnms_core\app\net\scl_callout\src\</t>
      </is>
    </oc>
    <nc r="F61" t="inlineStr">
      <is>
        <t>rb/as/cnms_core/app/net/scl_callout/src/</t>
      </is>
    </nc>
  </rcc>
  <rcc rId="2035" sId="4" quotePrefix="1">
    <nc r="F62" t="inlineStr">
      <is>
        <t>rb/as/core/app/asw/psc/src/</t>
      </is>
    </nc>
  </rcc>
  <rcc rId="2036" sId="4" quotePrefix="1">
    <nc r="F63" t="inlineStr">
      <is>
        <t>rb/as/core/app/asw/mli/src/</t>
      </is>
    </nc>
  </rcc>
  <rcc rId="2037" sId="4" quotePrefix="1">
    <nc r="F65" t="inlineStr">
      <is>
        <t>iBoosterGen2/rba/Bldr/config/ApplicationLayer/rba_BldrCmp/src/</t>
      </is>
    </nc>
  </rcc>
  <rcc rId="2038" sId="4" quotePrefix="1">
    <nc r="F66" t="inlineStr">
      <is>
        <t>iBoosterGen2/rba/Bldr/config/ApplicationLayer/rba_BldrCmp/src/</t>
      </is>
    </nc>
  </rcc>
  <rcc rId="2039" sId="4" xfDxf="1" dxf="1">
    <nc r="G62">
      <v>1400247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0" sId="4" xfDxf="1" dxf="1">
    <nc r="G63">
      <v>1400247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1" sId="4" xfDxf="1" dxf="1">
    <nc r="G64">
      <v>1399090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2" sId="4" xfDxf="1" dxf="1">
    <nc r="G65">
      <v>1401728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3" sId="4" xfDxf="1" dxf="1">
    <nc r="G66">
      <v>1401728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4" sId="4" xfDxf="1" dxf="1">
    <nc r="H62" t="inlineStr">
      <is>
        <t>RBPSC_ControlMain.c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5" sId="4" xfDxf="1" dxf="1">
    <nc r="H63" t="inlineStr">
      <is>
        <t>RBMLI_TargetValueSwitch.c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6" sId="4" xfDxf="1" dxf="1">
    <nc r="H64" t="inlineStr">
      <is>
        <t>RBAPLCUST_DTCOnCan.c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7" sId="4" xfDxf="1" dxf="1">
    <nc r="H65" t="inlineStr">
      <is>
        <t>rba_BldrCmp_Cfg_CheckMem.c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8" sId="4" xfDxf="1" dxf="1">
    <nc r="H66" t="inlineStr">
      <is>
        <t>rba_BldrCmp_Cfg_NvmIf.c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9" sId="4">
    <nc r="I63" t="inlineStr">
      <is>
        <t>Auto</t>
      </is>
    </nc>
  </rcc>
  <rcc rId="2050" sId="4">
    <nc r="I65" t="inlineStr">
      <is>
        <t>Auto</t>
      </is>
    </nc>
  </rcc>
  <rcc rId="2051" sId="4">
    <nc r="I62" t="inlineStr">
      <is>
        <t>Auto</t>
      </is>
    </nc>
  </rcc>
  <rcc rId="2052" sId="4">
    <nc r="I64" t="inlineStr">
      <is>
        <t>Auto</t>
      </is>
    </nc>
  </rcc>
  <rcc rId="2053" sId="4">
    <nc r="I66" t="inlineStr">
      <is>
        <t>Auto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57" sId="4" xfDxf="1" dxf="1">
    <nc r="R62">
      <v>471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58" sId="4" xfDxf="1" dxf="1">
    <nc r="R63">
      <v>142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59" sId="4" xfDxf="1" dxf="1">
    <nc r="R64">
      <v>191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60" sId="4" xfDxf="1" dxf="1">
    <nc r="R65">
      <v>145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61" sId="4" xfDxf="1" dxf="1">
    <nc r="R66">
      <v>120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62" sId="4">
    <nc r="N62" t="inlineStr">
      <is>
        <t>T_C-277</t>
      </is>
    </nc>
  </rcc>
  <rcc rId="2063" sId="4">
    <nc r="N63" t="inlineStr">
      <is>
        <t>T_C-278</t>
      </is>
    </nc>
  </rcc>
  <rcc rId="2064" sId="4">
    <nc r="N64" t="inlineStr">
      <is>
        <t>T_C-279</t>
      </is>
    </nc>
  </rcc>
  <rcc rId="2065" sId="4">
    <nc r="N65" t="inlineStr">
      <is>
        <t>T_C-280</t>
      </is>
    </nc>
  </rcc>
  <rcc rId="2066" sId="4">
    <nc r="N66" t="inlineStr">
      <is>
        <t>T_C-281</t>
      </is>
    </nc>
  </rcc>
  <rcc rId="2067" sId="4">
    <nc r="S62">
      <f>R62</f>
    </nc>
  </rcc>
  <rcc rId="2068" sId="4">
    <nc r="S63">
      <f>R63</f>
    </nc>
  </rcc>
  <rcc rId="2069" sId="4">
    <nc r="S64">
      <f>R64</f>
    </nc>
  </rcc>
  <rcc rId="2070" sId="4">
    <nc r="S65">
      <f>R65</f>
    </nc>
  </rcc>
  <rcc rId="2071" sId="4">
    <nc r="S66">
      <f>R66</f>
    </nc>
  </rcc>
  <rcc rId="2072" sId="4">
    <nc r="U62">
      <f>ROUNDDOWN(S62/HLOOKUP(D62,Table!$C$3:$D$4,2,0)*8,2)</f>
    </nc>
  </rcc>
  <rcc rId="2073" sId="4">
    <nc r="U63">
      <f>ROUNDDOWN(S63/HLOOKUP(D63,Table!$C$3:$D$4,2,0)*8,2)</f>
    </nc>
  </rcc>
  <rcc rId="2074" sId="4">
    <nc r="U64">
      <f>ROUNDDOWN(S64/HLOOKUP(D64,Table!$C$3:$D$4,2,0)*8,2)</f>
    </nc>
  </rcc>
  <rcc rId="2075" sId="4">
    <nc r="U65">
      <f>ROUNDDOWN(S65/HLOOKUP(D65,Table!$C$3:$D$4,2,0)*8,2)</f>
    </nc>
  </rcc>
  <rcc rId="2076" sId="4">
    <nc r="U66">
      <f>ROUNDDOWN(S66/HLOOKUP(D66,Table!$C$3:$D$4,2,0)*8,2)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80" sId="4" numFmtId="19">
    <nc r="X62">
      <v>43924</v>
    </nc>
  </rcc>
  <rcc rId="2081" sId="4" numFmtId="19">
    <nc r="X63">
      <v>43924</v>
    </nc>
  </rcc>
  <rcc rId="2082" sId="4" numFmtId="19">
    <nc r="X64">
      <v>43924</v>
    </nc>
  </rcc>
  <rcc rId="2083" sId="4" numFmtId="19">
    <nc r="X65">
      <v>43924</v>
    </nc>
  </rcc>
  <rcc rId="2084" sId="4" numFmtId="19">
    <nc r="X66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88" sId="4" numFmtId="19">
    <nc r="Y64">
      <v>43927</v>
    </nc>
  </rcc>
  <rcc rId="2089" sId="4" numFmtId="19">
    <nc r="Y62">
      <v>43935</v>
    </nc>
  </rcc>
  <rcc rId="2090" sId="4" numFmtId="19">
    <nc r="Y63">
      <v>43935</v>
    </nc>
  </rcc>
  <rcc rId="2091" sId="4" numFmtId="19">
    <nc r="Y65">
      <v>43935</v>
    </nc>
  </rcc>
  <rcc rId="2092" sId="4" numFmtId="19">
    <nc r="Y66">
      <v>43935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96" sId="4" quotePrefix="1">
    <nc r="AG59" t="inlineStr">
      <is>
        <t>-</t>
      </is>
    </nc>
  </rcc>
  <rcc rId="2097" sId="4" quotePrefix="1">
    <nc r="AG60" t="inlineStr">
      <is>
        <t>-</t>
      </is>
    </nc>
  </rcc>
  <rcc rId="2098" sId="4" quotePrefix="1">
    <nc r="AG61" t="inlineStr">
      <is>
        <t>-</t>
      </is>
    </nc>
  </rcc>
  <rcc rId="2099" sId="4" quotePrefix="1">
    <nc r="AG62" t="inlineStr">
      <is>
        <t>-</t>
      </is>
    </nc>
  </rcc>
  <rcc rId="2100" sId="4" quotePrefix="1">
    <nc r="AG63" t="inlineStr">
      <is>
        <t>-</t>
      </is>
    </nc>
  </rcc>
  <rcc rId="2101" sId="4" quotePrefix="1">
    <nc r="AG64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05" sId="4" xfDxf="1" dxf="1">
    <nc r="J62" t="inlineStr">
      <is>
        <t>81185, 99648</t>
      </is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06" sId="4">
    <nc r="J63" t="inlineStr">
      <is>
        <t>81185, 99649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10" sId="4" xfDxf="1" dxf="1">
    <nc r="J64">
      <v>99377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1" sId="4" xfDxf="1" dxf="1">
    <nc r="J65">
      <v>98982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2" sId="4">
    <nc r="J66">
      <v>98982</v>
    </nc>
  </rcc>
  <rcc rId="2113" sId="4" xfDxf="1" dxf="1">
    <nc r="K62" t="inlineStr">
      <is>
        <t>SAIC_EP_CMP_iBooster_Gen2_Int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4" sId="4">
    <nc r="K63" t="inlineStr">
      <is>
        <t>SAIC_EP_CMP_iBooster_Gen2_Int</t>
      </is>
    </nc>
  </rcc>
  <rcc rId="2115" sId="4" xfDxf="1" dxf="1">
    <nc r="K64" t="inlineStr">
      <is>
        <t>SAIC_SV51H_IB2_CNMS_MIG_INT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6" sId="4" xfDxf="1" dxf="1">
    <nc r="K65" t="inlineStr">
      <is>
        <t>Geely_FS11_GE12_BX11_iBooster_Gen2_Int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7" sId="4">
    <nc r="K66" t="inlineStr">
      <is>
        <t>Geely_FS11_GE12_BX11_iBooster_Gen2_Int</t>
      </is>
    </nc>
  </rcc>
  <rcc rId="2118" sId="4" quotePrefix="1">
    <nc r="L62" t="inlineStr">
      <is>
        <t>-</t>
      </is>
    </nc>
  </rcc>
  <rcc rId="2119" sId="4" quotePrefix="1">
    <nc r="L63" t="inlineStr">
      <is>
        <t>-</t>
      </is>
    </nc>
  </rcc>
  <rcc rId="2120" sId="4" quotePrefix="1">
    <nc r="L64" t="inlineStr">
      <is>
        <t>-</t>
      </is>
    </nc>
  </rcc>
  <rcc rId="2121" sId="4" quotePrefix="1">
    <nc r="L65" t="inlineStr">
      <is>
        <t>-</t>
      </is>
    </nc>
  </rcc>
  <rcc rId="2122" sId="4" quotePrefix="1">
    <nc r="L66" t="inlineStr">
      <is>
        <t>-</t>
      </is>
    </nc>
  </rcc>
  <rcc rId="2123" sId="4" xfDxf="1" dxf="1" quotePrefix="1">
    <nc r="M62" t="inlineStr">
      <is>
        <t>XIONG Ice (CC-AS/EVA-SW1-CN)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24" sId="4" quotePrefix="1">
    <nc r="M63" t="inlineStr">
      <is>
        <t>XIONG Ice (CC-AS/EVA-SW1-CN)</t>
      </is>
    </nc>
  </rcc>
  <rcc rId="2125" sId="4" xfDxf="1" dxf="1" quotePrefix="1">
    <nc r="M64" t="inlineStr">
      <is>
        <t>LESLIE PUTHOOR Milda (CC-AS/EVA-SW31-CN)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26" sId="4" xfDxf="1" dxf="1" quotePrefix="1">
    <nc r="M65" t="inlineStr">
      <is>
        <t>Thangamani Shanmugam (RBEI/EBB7)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27" sId="4" quotePrefix="1">
    <nc r="M66" t="inlineStr">
      <is>
        <t>LESLIE PUTHOOR Milda (CC-AS/EVA-SW31-CN)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31" sId="4">
    <nc r="O62" t="inlineStr">
      <is>
        <t>chung.ly</t>
      </is>
    </nc>
  </rcc>
  <rcc rId="2132" sId="4">
    <nc r="O63" t="inlineStr">
      <is>
        <t>chung.ly</t>
      </is>
    </nc>
  </rcc>
  <rcc rId="2133" sId="4">
    <nc r="O64" t="inlineStr">
      <is>
        <t>loc.do-phu</t>
      </is>
    </nc>
  </rcc>
  <rcc rId="2134" sId="4">
    <nc r="O65" t="inlineStr">
      <is>
        <t>thanh.nguyen-kim</t>
      </is>
    </nc>
  </rcc>
  <rcc rId="2135" sId="4">
    <nc r="O66" t="inlineStr">
      <is>
        <t>thanh.nguyen-kim</t>
      </is>
    </nc>
  </rcc>
  <rcmt sheetId="4" cell="R61" guid="{C3F09BAA-0C06-4D01-9BB8-3A11559EDA1C}" author="EXTERNAL Nguyen Tuan Duong (Ban Vien, RBVH/EPS45)" newLength="68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COEM_Package_20200401!$B$2:$AH$70</formula>
    <oldFormula>COEM_Package_20200401!$B$2:$AH$70</oldFormula>
  </rdn>
  <rcv guid="{4E06BDBF-2CED-473B-850B-2A6C7311FF41}" action="add"/>
</revisions>
</file>

<file path=xl/revisions/revisionLog1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2" sId="4" xfDxf="1" dxf="1" quotePrefix="1">
    <oc r="F18" t="inlineStr">
      <is>
        <t>-</t>
      </is>
    </oc>
    <nc r="F18" t="inlineStr">
      <is>
        <t>iBoosterGen2\rb\as\faw\core\app\dcom\RBAPLOBD\src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1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3" sId="4">
    <nc r="V18">
      <v>3.53</v>
    </nc>
  </rcc>
  <rcc rId="2144" sId="4">
    <nc r="W18" t="inlineStr">
      <is>
        <t>Ready for review</t>
      </is>
    </nc>
  </rcc>
  <rcc rId="2145" sId="4" odxf="1" dxf="1">
    <nc r="AC1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146" sId="4" odxf="1" dxf="1">
    <nc r="AD1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147" sId="4" odxf="1" dxf="1">
    <nc r="AE1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COEM_Package_20200401!$B$2:$AH$70</formula>
    <oldFormula>COEM_Package_20200401!$B$2:$AH$70</oldFormula>
  </rdn>
  <rcv guid="{60D2C030-4E31-4E07-8E1C-44D2EE84B177}" action="add"/>
</revisions>
</file>

<file path=xl/revisions/revisionLog1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1" sId="4">
    <oc r="W57" t="inlineStr">
      <is>
        <t>Ready for PLC</t>
      </is>
    </oc>
    <nc r="W57" t="inlineStr">
      <is>
        <t>Complete &amp; Closed</t>
      </is>
    </nc>
  </rcc>
  <rcc rId="2152" sId="4">
    <oc r="W53" t="inlineStr">
      <is>
        <t>Ready for PLC</t>
      </is>
    </oc>
    <nc r="W53" t="inlineStr">
      <is>
        <t>Complete &amp; Closed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54">
    <dxf>
      <fill>
        <patternFill patternType="solid">
          <bgColor theme="2" tint="-0.249977111117893"/>
        </patternFill>
      </fill>
    </dxf>
  </rfmt>
  <rfmt sheetId="4" sqref="F56">
    <dxf>
      <fill>
        <patternFill patternType="solid">
          <bgColor theme="2" tint="-0.249977111117893"/>
        </patternFill>
      </fill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2159" sId="4" ref="A68:XFD70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rc rId="2160" sId="4" ref="A68:XFD73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2161" sId="4">
    <nc r="B68">
      <f>B67+1</f>
    </nc>
  </rcc>
  <rcc rId="2162" sId="4">
    <nc r="B69">
      <f>B68+1</f>
    </nc>
  </rcc>
  <rcc rId="2163" sId="4">
    <nc r="B70">
      <f>B69+1</f>
    </nc>
  </rcc>
  <rcc rId="2164" sId="4">
    <nc r="B71">
      <f>B70+1</f>
    </nc>
  </rcc>
  <rcc rId="2165" sId="4">
    <nc r="B72">
      <f>B71+1</f>
    </nc>
  </rcc>
  <rcc rId="2166" sId="4">
    <nc r="B73">
      <f>B72+1</f>
    </nc>
  </rcc>
  <rcc rId="2167" sId="4">
    <nc r="B74">
      <f>B73+1</f>
    </nc>
  </rcc>
  <rcc rId="2168" sId="4">
    <nc r="B75">
      <f>B74+1</f>
    </nc>
  </rcc>
  <rcc rId="2169" sId="4">
    <nc r="B76">
      <f>B75+1</f>
    </nc>
  </rcc>
  <rcc rId="2170" sId="4">
    <oc r="B77">
      <f>B67+1</f>
    </oc>
    <nc r="B77">
      <f>B76+1</f>
    </nc>
  </rcc>
  <rcc rId="2171" sId="4">
    <oc r="B78">
      <f>B77+1</f>
    </oc>
    <nc r="B78">
      <f>B77+1</f>
    </nc>
  </rcc>
  <rcc rId="2172" sId="4">
    <oc r="B79">
      <f>B78+1</f>
    </oc>
    <nc r="B79">
      <f>B78+1</f>
    </nc>
  </rcc>
  <rcc rId="2173" sId="4">
    <nc r="C67">
      <v>20200403</v>
    </nc>
  </rcc>
  <rcc rId="2174" sId="4">
    <nc r="C68">
      <v>20200403</v>
    </nc>
  </rcc>
  <rcc rId="2175" sId="4">
    <nc r="C69">
      <v>20200403</v>
    </nc>
  </rcc>
  <rcc rId="2176" sId="4">
    <nc r="C70">
      <v>20200403</v>
    </nc>
  </rcc>
  <rcc rId="2177" sId="4">
    <nc r="C71">
      <v>20200403</v>
    </nc>
  </rcc>
  <rcc rId="2178" sId="4">
    <nc r="C72">
      <v>20200403</v>
    </nc>
  </rcc>
  <rcc rId="2179" sId="4">
    <nc r="C73">
      <v>20200403</v>
    </nc>
  </rcc>
  <rcc rId="2180" sId="4">
    <nc r="C74">
      <v>20200403</v>
    </nc>
  </rcc>
  <rcc rId="2181" sId="4">
    <nc r="C75">
      <v>20200403</v>
    </nc>
  </rcc>
  <rcc rId="2182" sId="4">
    <nc r="C76">
      <v>20200403</v>
    </nc>
  </rcc>
  <rcc rId="2183" sId="4">
    <nc r="C77">
      <v>20200403</v>
    </nc>
  </rcc>
  <rcc rId="2184" sId="4">
    <nc r="C78">
      <v>20200403</v>
    </nc>
  </rcc>
  <rcc rId="2185" sId="4">
    <nc r="C79">
      <v>20200403</v>
    </nc>
  </rcc>
  <rcc rId="2186" sId="4">
    <nc r="D68" t="inlineStr">
      <is>
        <t>PSW</t>
      </is>
    </nc>
  </rcc>
  <rcc rId="2187" sId="4">
    <nc r="D70" t="inlineStr">
      <is>
        <t>PSW</t>
      </is>
    </nc>
  </rcc>
  <rcc rId="2188" sId="4">
    <nc r="D72" t="inlineStr">
      <is>
        <t>PSW</t>
      </is>
    </nc>
  </rcc>
  <rcc rId="2189" sId="4">
    <nc r="D74" t="inlineStr">
      <is>
        <t>PSW</t>
      </is>
    </nc>
  </rcc>
  <rcc rId="2190" sId="4">
    <nc r="D76" t="inlineStr">
      <is>
        <t>PSW</t>
      </is>
    </nc>
  </rcc>
  <rcc rId="2191" sId="4">
    <nc r="D78" t="inlineStr">
      <is>
        <t>PSW</t>
      </is>
    </nc>
  </rcc>
  <rcc rId="2192" sId="4">
    <nc r="D67" t="inlineStr">
      <is>
        <t>PSW</t>
      </is>
    </nc>
  </rcc>
  <rcc rId="2193" sId="4">
    <nc r="D69" t="inlineStr">
      <is>
        <t>PSW</t>
      </is>
    </nc>
  </rcc>
  <rcc rId="2194" sId="4">
    <nc r="D71" t="inlineStr">
      <is>
        <t>PSW</t>
      </is>
    </nc>
  </rcc>
  <rcc rId="2195" sId="4">
    <nc r="D73" t="inlineStr">
      <is>
        <t>PSW</t>
      </is>
    </nc>
  </rcc>
  <rcc rId="2196" sId="4">
    <nc r="D75" t="inlineStr">
      <is>
        <t>PSW</t>
      </is>
    </nc>
  </rcc>
  <rcc rId="2197" sId="4">
    <nc r="D77" t="inlineStr">
      <is>
        <t>PSW</t>
      </is>
    </nc>
  </rcc>
  <rcc rId="2198" sId="4">
    <nc r="D79" t="inlineStr">
      <is>
        <t>PSW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02" sId="4" xfDxf="1" dxf="1">
    <nc r="E67" t="inlineStr">
      <is>
        <t>216997_FAW_E115_L3_IB2_BL60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3" sId="4" xfDxf="1" dxf="1">
    <nc r="E68" t="inlineStr">
      <is>
        <t>216997_FAW_E115_L3_IB2_BL60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4" sId="4" xfDxf="1" dxf="1">
    <nc r="E69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5" sId="4" xfDxf="1" dxf="1">
    <nc r="E70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6" sId="4" xfDxf="1" dxf="1">
    <nc r="E71" t="inlineStr">
      <is>
        <t>DFN_ESP_Gen9.3_534_238307_BS03SP02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7" sId="4" xfDxf="1" dxf="1">
    <nc r="E72" t="inlineStr">
      <is>
        <t>DFN_ESP_Gen9.3_534_238307_BS03SP02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8" sId="4" xfDxf="1" dxf="1">
    <nc r="E73" t="inlineStr">
      <is>
        <t>DFN_ESP_Gen9.3_534_238307_BS03SP02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9" sId="4">
    <oc r="C74">
      <v>20200403</v>
    </oc>
    <nc r="C74"/>
  </rcc>
  <rcc rId="2210" sId="4">
    <oc r="D74" t="inlineStr">
      <is>
        <t>PSW</t>
      </is>
    </oc>
    <nc r="D74"/>
  </rcc>
  <rcc rId="2211" sId="4">
    <oc r="C75">
      <v>20200403</v>
    </oc>
    <nc r="C75"/>
  </rcc>
  <rcc rId="2212" sId="4">
    <oc r="D75" t="inlineStr">
      <is>
        <t>PSW</t>
      </is>
    </oc>
    <nc r="D75"/>
  </rcc>
  <rcc rId="2213" sId="4">
    <oc r="C76">
      <v>20200403</v>
    </oc>
    <nc r="C76"/>
  </rcc>
  <rcc rId="2214" sId="4">
    <oc r="D76" t="inlineStr">
      <is>
        <t>PSW</t>
      </is>
    </oc>
    <nc r="D76"/>
  </rcc>
  <rcc rId="2215" sId="4">
    <oc r="C77">
      <v>20200403</v>
    </oc>
    <nc r="C77"/>
  </rcc>
  <rcc rId="2216" sId="4">
    <oc r="D77" t="inlineStr">
      <is>
        <t>PSW</t>
      </is>
    </oc>
    <nc r="D77"/>
  </rcc>
  <rcc rId="2217" sId="4">
    <oc r="C78">
      <v>20200403</v>
    </oc>
    <nc r="C78"/>
  </rcc>
  <rcc rId="2218" sId="4">
    <oc r="D78" t="inlineStr">
      <is>
        <t>PSW</t>
      </is>
    </oc>
    <nc r="D78"/>
  </rcc>
  <rcc rId="2219" sId="4">
    <oc r="C79">
      <v>20200403</v>
    </oc>
    <nc r="C79"/>
  </rcc>
  <rcc rId="2220" sId="4">
    <oc r="D79" t="inlineStr">
      <is>
        <t>PSW</t>
      </is>
    </oc>
    <nc r="D79"/>
  </rcc>
  <rfmt sheetId="4" xfDxf="1" sqref="F6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6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69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70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221" sId="4" xfDxf="1" dxf="1" quotePrefix="1">
    <nc r="F71" t="inlineStr">
      <is>
        <t>rb/as/cnms_core/app/dcom/RBAPLCust/src/common/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2" sId="4" xfDxf="1" dxf="1" quotePrefix="1">
    <nc r="F72" t="inlineStr">
      <is>
        <t>rb/as/venucia/core/app/dcom/RBAPLCust/src/SID22/CANSupportMonitor/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3" sId="4" xfDxf="1" dxf="1" quotePrefix="1">
    <nc r="F73" t="inlineStr">
      <is>
        <t>rb/as/venucia/core/app/dcom/RBAPLCust/src/SID22/DataMonitor/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4" sId="4" quotePrefix="1">
    <nc r="F67" t="inlineStr">
      <is>
        <t>rb/as/faw/prj/dsmpr/src/</t>
      </is>
    </nc>
  </rcc>
  <rcc rId="2225" sId="4" quotePrefix="1">
    <nc r="F68" t="inlineStr">
      <is>
        <t>rb/as/faw/prj/dsmpr/src/RBEMM/src/</t>
      </is>
    </nc>
  </rcc>
  <rcc rId="2226" sId="4" quotePrefix="1">
    <nc r="F69" t="inlineStr">
      <is>
        <t>rb/as/fawesphevx/fawprj/dsmpr/src/RBEMM/</t>
      </is>
    </nc>
  </rcc>
  <rcc rId="2227" sId="4" quotePrefix="1">
    <nc r="F70" t="inlineStr">
      <is>
        <t>rb/as/fawesphevx/fawprj/dsmpr/src/</t>
      </is>
    </nc>
  </rcc>
  <rcc rId="2228" sId="4" xfDxf="1" dxf="1">
    <nc r="G67">
      <v>1402131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9" sId="4" xfDxf="1" dxf="1">
    <nc r="G68">
      <v>1402131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0" sId="4" xfDxf="1" dxf="1">
    <nc r="G69">
      <v>1402078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1" sId="4" xfDxf="1" dxf="1">
    <nc r="G70">
      <v>1402078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2" sId="4" xfDxf="1" dxf="1">
    <nc r="G71">
      <v>1401196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3" sId="4" xfDxf="1" dxf="1">
    <nc r="G72">
      <v>1401196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4" sId="4" xfDxf="1" dxf="1">
    <nc r="G73">
      <v>1401196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5" sId="4" xfDxf="1" dxf="1">
    <nc r="H67" t="inlineStr">
      <is>
        <t>RBPduHandler_Callouts.c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6" sId="4" xfDxf="1" dxf="1">
    <nc r="H68" t="inlineStr">
      <is>
        <t>CCM_Callbacks_Project.c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7" sId="4" xfDxf="1" dxf="1">
    <nc r="H69" t="inlineStr">
      <is>
        <t>CCM_Callbacks_Project.c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8" sId="4" xfDxf="1" dxf="1">
    <nc r="H70" t="inlineStr">
      <is>
        <t>RBPduHandler_Callouts.c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9" sId="4" xfDxf="1" dxf="1">
    <nc r="H71" t="inlineStr">
      <is>
        <t>RBAPLCUST_ClearDiagnosticInformation.c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0" sId="4" xfDxf="1" dxf="1">
    <nc r="H72" t="inlineStr">
      <is>
        <t>RBAPLCUST_RDBI_CANSupportMonitor.c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1" sId="4" xfDxf="1" dxf="1">
    <nc r="H73" t="inlineStr">
      <is>
        <t>RBAPLCUST_DataMonitor_13xx.c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2" sId="4">
    <nc r="I68" t="inlineStr">
      <is>
        <t>Auto</t>
      </is>
    </nc>
  </rcc>
  <rcc rId="2243" sId="4">
    <nc r="I70" t="inlineStr">
      <is>
        <t>Auto</t>
      </is>
    </nc>
  </rcc>
  <rcc rId="2244" sId="4">
    <nc r="I72" t="inlineStr">
      <is>
        <t>Auto</t>
      </is>
    </nc>
  </rcc>
  <rcc rId="2245" sId="4">
    <nc r="I67" t="inlineStr">
      <is>
        <t>Auto</t>
      </is>
    </nc>
  </rcc>
  <rcc rId="2246" sId="4">
    <nc r="I69" t="inlineStr">
      <is>
        <t>Auto</t>
      </is>
    </nc>
  </rcc>
  <rcc rId="2247" sId="4">
    <nc r="I71" t="inlineStr">
      <is>
        <t>Auto</t>
      </is>
    </nc>
  </rcc>
  <rcc rId="2248" sId="4">
    <nc r="I73" t="inlineStr">
      <is>
        <t>Auto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52" sId="4">
    <oc r="I68" t="inlineStr">
      <is>
        <t>Auto</t>
      </is>
    </oc>
    <nc r="I68" t="inlineStr">
      <is>
        <t>Manual</t>
      </is>
    </nc>
  </rcc>
  <rcc rId="2253" sId="4">
    <oc r="I70" t="inlineStr">
      <is>
        <t>Auto</t>
      </is>
    </oc>
    <nc r="I70" t="inlineStr">
      <is>
        <t>Manual</t>
      </is>
    </nc>
  </rcc>
  <rcc rId="2254" sId="4">
    <oc r="I67" t="inlineStr">
      <is>
        <t>Auto</t>
      </is>
    </oc>
    <nc r="I67" t="inlineStr">
      <is>
        <t>Manual</t>
      </is>
    </nc>
  </rcc>
  <rcc rId="2255" sId="4">
    <oc r="I69" t="inlineStr">
      <is>
        <t>Auto</t>
      </is>
    </oc>
    <nc r="I69" t="inlineStr">
      <is>
        <t>Manual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62" sId="4" xfDxf="1" dxf="1">
    <nc r="J67">
      <v>99185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3" sId="4">
    <nc r="J68">
      <v>99185</v>
    </nc>
  </rcc>
  <rcc rId="2264" sId="4" xfDxf="1" dxf="1">
    <nc r="J69">
      <v>99180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5" sId="4">
    <nc r="J70">
      <v>99180</v>
    </nc>
  </rcc>
  <rcc rId="2266" sId="4" xfDxf="1" dxf="1">
    <nc r="J71">
      <v>81615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7" sId="4">
    <nc r="J72">
      <v>81615</v>
    </nc>
  </rcc>
  <rcc rId="2268" sId="4">
    <nc r="J73">
      <v>81615</v>
    </nc>
  </rcc>
</revisions>
</file>

<file path=xl/revisions/revisionLog1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69" sId="4" xfDxf="1" dxf="1">
    <nc r="K67" t="inlineStr">
      <is>
        <t>FAW_E115_iBGen2_Int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0" sId="4">
    <nc r="K68" t="inlineStr">
      <is>
        <t>FAW_E115_iBGen2_Int</t>
      </is>
    </nc>
  </rcc>
  <rcc rId="2271" sId="4" xfDxf="1" dxf="1">
    <nc r="K69" t="inlineStr">
      <is>
        <t>FAW_L3_MainPath_HevX_Int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2" sId="4">
    <nc r="K70" t="inlineStr">
      <is>
        <t>FAW_L3_MainPath_HevX_Int</t>
      </is>
    </nc>
  </rcc>
  <rcc rId="2273" sId="4" xfDxf="1" dxf="1">
    <nc r="K71" t="inlineStr">
      <is>
        <t>DFN_Venucia_ESP93_Carbon_Int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4" sId="4">
    <nc r="K72" t="inlineStr">
      <is>
        <t>DFN_Venucia_ESP93_Carbon_Int</t>
      </is>
    </nc>
  </rcc>
  <rcc rId="2275" sId="4">
    <nc r="K73" t="inlineStr">
      <is>
        <t>DFN_Venucia_ESP93_Carbon_Int</t>
      </is>
    </nc>
  </rcc>
  <rcc rId="2276" sId="4" quotePrefix="1">
    <nc r="L67" t="inlineStr">
      <is>
        <t>-</t>
      </is>
    </nc>
  </rcc>
  <rcc rId="2277" sId="4" quotePrefix="1">
    <nc r="L68" t="inlineStr">
      <is>
        <t>-</t>
      </is>
    </nc>
  </rcc>
  <rcc rId="2278" sId="4" quotePrefix="1">
    <nc r="L69" t="inlineStr">
      <is>
        <t>-</t>
      </is>
    </nc>
  </rcc>
  <rcc rId="2279" sId="4" quotePrefix="1">
    <nc r="L70" t="inlineStr">
      <is>
        <t>-</t>
      </is>
    </nc>
  </rcc>
  <rcc rId="2280" sId="4" quotePrefix="1">
    <nc r="L71" t="inlineStr">
      <is>
        <t>-</t>
      </is>
    </nc>
  </rcc>
  <rcc rId="2281" sId="4" quotePrefix="1">
    <nc r="L72" t="inlineStr">
      <is>
        <t>-</t>
      </is>
    </nc>
  </rcc>
  <rcc rId="2282" sId="4" quotePrefix="1">
    <nc r="L73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86" sId="4" xfDxf="1" dxf="1" quotePrefix="1">
    <nc r="M67" t="inlineStr">
      <is>
        <t>YANG Zhongjian (CC-AS/EVA-SW2-CN)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87" sId="4" quotePrefix="1">
    <nc r="M68" t="inlineStr">
      <is>
        <t>YANG Zhongjian (CC-AS/EVA-SW2-CN)</t>
      </is>
    </nc>
  </rcc>
  <rcc rId="2288" sId="4" quotePrefix="1">
    <nc r="M69" t="inlineStr">
      <is>
        <t>YANG Zhongjian (CC-AS/EVA-SW2-CN)</t>
      </is>
    </nc>
  </rcc>
  <rcc rId="2289" sId="4" quotePrefix="1">
    <nc r="M70" t="inlineStr">
      <is>
        <t>YANG Zhongjian (CC-AS/EVA-SW2-CN)</t>
      </is>
    </nc>
  </rcc>
  <rcc rId="2290" sId="4" xfDxf="1" dxf="1" quotePrefix="1">
    <nc r="M71" t="inlineStr">
      <is>
        <t>VENKATESAN Azhaku Sathya Narayanan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1" sId="4" quotePrefix="1">
    <nc r="M72" t="inlineStr">
      <is>
        <t>VENKATESAN Azhaku Sathya Narayanan (CC-AS/EVA-SW32-CN)</t>
      </is>
    </nc>
  </rcc>
  <rcc rId="2292" sId="4" quotePrefix="1">
    <nc r="M73" t="inlineStr">
      <is>
        <t>VENKATESAN Azhaku Sathya Narayanan (CC-AS/EVA-SW32-CN)</t>
      </is>
    </nc>
  </rcc>
  <rcc rId="2293" sId="4">
    <nc r="N67" t="inlineStr">
      <is>
        <t>T_C-282</t>
      </is>
    </nc>
  </rcc>
  <rcc rId="2294" sId="4">
    <nc r="N68" t="inlineStr">
      <is>
        <t>T_C-283</t>
      </is>
    </nc>
  </rcc>
  <rcc rId="2295" sId="4">
    <nc r="N69" t="inlineStr">
      <is>
        <t>T_C-284</t>
      </is>
    </nc>
  </rcc>
  <rcc rId="2296" sId="4">
    <nc r="N70" t="inlineStr">
      <is>
        <t>T_C-285</t>
      </is>
    </nc>
  </rcc>
  <rcc rId="2297" sId="4">
    <nc r="N71" t="inlineStr">
      <is>
        <t>T_C-286</t>
      </is>
    </nc>
  </rcc>
  <rcc rId="2298" sId="4">
    <nc r="N72" t="inlineStr">
      <is>
        <t>T_C-287</t>
      </is>
    </nc>
  </rcc>
  <rcc rId="2299" sId="4">
    <nc r="N73" t="inlineStr">
      <is>
        <t>T_C-288</t>
      </is>
    </nc>
  </rcc>
  <rcc rId="2300" sId="4" xfDxf="1" dxf="1">
    <nc r="R67">
      <v>220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1" sId="4" xfDxf="1" dxf="1">
    <nc r="R68">
      <v>189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2" sId="4" xfDxf="1" dxf="1">
    <nc r="R69">
      <v>189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3" sId="4" xfDxf="1" dxf="1">
    <nc r="R70">
      <v>220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4" sId="4" xfDxf="1" dxf="1">
    <nc r="R71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5" sId="4" xfDxf="1" dxf="1">
    <nc r="R72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6" sId="4" xfDxf="1" dxf="1">
    <nc r="R73">
      <v>489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7" sId="4">
    <nc r="S67">
      <f>R67</f>
    </nc>
  </rcc>
  <rcc rId="2308" sId="4">
    <nc r="S68">
      <f>R68</f>
    </nc>
  </rcc>
  <rcc rId="2309" sId="4">
    <nc r="S69">
      <f>R69</f>
    </nc>
  </rcc>
  <rcc rId="2310" sId="4">
    <nc r="S70">
      <f>R70</f>
    </nc>
  </rcc>
  <rcc rId="2311" sId="4">
    <nc r="S71">
      <f>R71</f>
    </nc>
  </rcc>
  <rcc rId="2312" sId="4">
    <nc r="S72">
      <f>R72</f>
    </nc>
  </rcc>
  <rcc rId="2313" sId="4">
    <nc r="S73">
      <f>R73</f>
    </nc>
  </rcc>
  <rcc rId="2314" sId="4">
    <nc r="U67">
      <f>ROUNDDOWN(S67/HLOOKUP(D67,Table!$C$3:$D$4,2,0)*8,2)</f>
    </nc>
  </rcc>
  <rcc rId="2315" sId="4">
    <nc r="U68">
      <f>ROUNDDOWN(S68/HLOOKUP(D68,Table!$C$3:$D$4,2,0)*8,2)</f>
    </nc>
  </rcc>
  <rcc rId="2316" sId="4">
    <nc r="U69">
      <f>ROUNDDOWN(S69/HLOOKUP(D69,Table!$C$3:$D$4,2,0)*8,2)</f>
    </nc>
  </rcc>
  <rcc rId="2317" sId="4">
    <nc r="U70">
      <f>ROUNDDOWN(S70/HLOOKUP(D70,Table!$C$3:$D$4,2,0)*8,2)</f>
    </nc>
  </rcc>
  <rcc rId="2318" sId="4">
    <nc r="U71">
      <f>ROUNDDOWN(S71/HLOOKUP(D71,Table!$C$3:$D$4,2,0)*8,2)</f>
    </nc>
  </rcc>
  <rcc rId="2319" sId="4">
    <nc r="U72">
      <f>ROUNDDOWN(S72/HLOOKUP(D72,Table!$C$3:$D$4,2,0)*8,2)</f>
    </nc>
  </rcc>
  <rcc rId="2320" sId="4">
    <nc r="U73">
      <f>ROUNDDOWN(S73/HLOOKUP(D73,Table!$C$3:$D$4,2,0)*8,2)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24" sId="4" numFmtId="19">
    <nc r="X67">
      <v>43924</v>
    </nc>
  </rcc>
  <rcc rId="2325" sId="4" numFmtId="19">
    <nc r="X68">
      <v>43924</v>
    </nc>
  </rcc>
  <rcc rId="2326" sId="4" numFmtId="19">
    <nc r="X69">
      <v>43924</v>
    </nc>
  </rcc>
  <rcc rId="2327" sId="4" numFmtId="19">
    <nc r="X70">
      <v>43924</v>
    </nc>
  </rcc>
  <rcc rId="2328" sId="4" numFmtId="19">
    <nc r="X71">
      <v>43924</v>
    </nc>
  </rcc>
  <rcc rId="2329" sId="4" numFmtId="19">
    <nc r="X72">
      <v>43924</v>
    </nc>
  </rcc>
  <rcc rId="2330" sId="4" numFmtId="19">
    <nc r="X73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34" sId="4" numFmtId="19">
    <nc r="Y67">
      <v>43931</v>
    </nc>
  </rcc>
  <rcc rId="2335" sId="4" numFmtId="19">
    <nc r="Y68">
      <v>43931</v>
    </nc>
  </rcc>
  <rcc rId="2336" sId="4" numFmtId="19">
    <nc r="Y69">
      <v>43931</v>
    </nc>
  </rcc>
  <rcc rId="2337" sId="4" numFmtId="19">
    <nc r="Y70">
      <v>43931</v>
    </nc>
  </rcc>
  <rcc rId="2338" sId="4" numFmtId="19">
    <nc r="Y71">
      <v>43931</v>
    </nc>
  </rcc>
  <rcc rId="2339" sId="4" numFmtId="19">
    <nc r="Y72">
      <v>43931</v>
    </nc>
  </rcc>
  <rcc rId="2340" sId="4" numFmtId="19">
    <nc r="Y73">
      <v>43931</v>
    </nc>
  </rcc>
</revisions>
</file>

<file path=xl/revisions/revisionLog1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67:B73">
    <dxf>
      <fill>
        <patternFill patternType="solid">
          <bgColor theme="7" tint="0.39997558519241921"/>
        </patternFill>
      </fill>
    </dxf>
  </rfmt>
  <rcmt sheetId="4" cell="A67" guid="{C151B7CF-3404-45C5-B6D5-641F4C0ADBE7}" author="EXTERNAL Nguyen Tuan Duong (Ban Vien, RBVH/EPS45)" newLength="81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44" sId="4">
    <nc r="O67" t="inlineStr">
      <is>
        <t>chung.ly</t>
      </is>
    </nc>
  </rcc>
  <rcc rId="2345" sId="4">
    <nc r="O68" t="inlineStr">
      <is>
        <t>chung.ly</t>
      </is>
    </nc>
  </rcc>
  <rcc rId="2346" sId="4">
    <nc r="O69" t="inlineStr">
      <is>
        <t>thanh.nguyen-kim</t>
      </is>
    </nc>
  </rcc>
  <rcc rId="2347" sId="4">
    <nc r="O70" t="inlineStr">
      <is>
        <t>thanh.nguyen-kim</t>
      </is>
    </nc>
  </rcc>
  <rcc rId="2348" sId="4">
    <nc r="O71" t="inlineStr">
      <is>
        <t>loc.do-phu</t>
      </is>
    </nc>
  </rcc>
  <rcc rId="2349" sId="4">
    <nc r="O72" t="inlineStr">
      <is>
        <t>loc.do-phu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53" sId="4">
    <nc r="O73" t="inlineStr">
      <is>
        <t>duong.nguyen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57" sId="5" quotePrefix="1">
    <oc r="E38" t="inlineStr">
      <is>
        <t>-</t>
      </is>
    </oc>
    <nc r="E38" t="inlineStr">
      <is>
        <t>1</t>
      </is>
    </nc>
  </rcc>
  <rcc rId="2358" sId="4">
    <oc r="F105">
      <f>IF(OR(Template_Weekly_Report_Apr!E38="-",Template_Weekly_Report_Apr!E38=""),Template_Weekly_Report_Apr!$B$3,Template_Weekly_Report_Apr!$B$3-Template_Weekly_Report_Apr!E38)-1</f>
    </oc>
    <nc r="F105">
      <f>IF(OR(Template_Weekly_Report_Apr!E38="-",Template_Weekly_Report_Apr!E38=""),Template_Weekly_Report_Apr!$B$3,Template_Weekly_Report_Apr!$B$3-Template_Weekly_Report_Apr!E38)</f>
    </nc>
  </rcc>
  <rcc rId="2359" sId="5" quotePrefix="1">
    <oc r="F38" t="inlineStr">
      <is>
        <t>-</t>
      </is>
    </oc>
    <nc r="F38" t="inlineStr">
      <is>
        <t>- Day-off Fri, 03-Apr</t>
      </is>
    </nc>
  </rcc>
</revisions>
</file>

<file path=xl/revisions/revisionLog1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60" sId="5" quotePrefix="1">
    <oc r="D20" t="inlineStr">
      <is>
        <t>-Waiting license of ASCET Tool =&gt; Lead to delay for all class related with ASW</t>
      </is>
    </oc>
    <nc r="D20" t="inlineStr">
      <is>
        <t>-Waiting license of ASCET Tool and re-install ASCET =&gt; Lead to delay for all class related with ASW, take time for other task</t>
      </is>
    </nc>
  </rcc>
</revisions>
</file>

<file path=xl/revisions/revisionLog1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61" sId="4" quotePrefix="1">
    <oc r="F19" t="inlineStr">
      <is>
        <t>-</t>
      </is>
    </oc>
    <nc r="F19" t="inlineStr">
      <is>
        <t>iBoosterGen2\rb\as\faw\core\app\dcom\RBAPLOBD\src</t>
      </is>
    </nc>
  </rcc>
  <rcc rId="2362" sId="4">
    <nc r="V19">
      <v>0.5</v>
    </nc>
  </rcc>
  <rcc rId="2363" sId="4">
    <nc r="W19" t="inlineStr">
      <is>
        <t>Ready for review</t>
      </is>
    </nc>
  </rcc>
  <rcc rId="2364" sId="4" quotePrefix="1">
    <oc r="AG19" t="inlineStr">
      <is>
        <t>-</t>
      </is>
    </oc>
    <nc r="AG19" t="inlineStr">
      <is>
        <t>- don’t have function for test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COEM_Package_20200401!$B$2:$AH$79</formula>
    <oldFormula>COEM_Package_20200401!$B$2:$AH$79</oldFormula>
  </rdn>
  <rcv guid="{60D2C030-4E31-4E07-8E1C-44D2EE84B177}" action="add"/>
</revisions>
</file>

<file path=xl/revisions/revisionLog1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68" sId="4" quotePrefix="1">
    <oc r="AG20" t="inlineStr">
      <is>
        <t>-</t>
      </is>
    </oc>
    <nc r="AG20" t="inlineStr">
      <is>
        <t>-waiting update component for test</t>
      </is>
    </nc>
  </rcc>
</revisions>
</file>

<file path=xl/revisions/revisionLog1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69" sId="4">
    <oc r="O71" t="inlineStr">
      <is>
        <t>loc.do-phu</t>
      </is>
    </oc>
    <nc r="O71" t="inlineStr">
      <is>
        <t>duong.nguyen</t>
      </is>
    </nc>
  </rcc>
  <rcc rId="2370" sId="4">
    <oc r="O72" t="inlineStr">
      <is>
        <t>loc.do-phu</t>
      </is>
    </oc>
    <nc r="O72" t="inlineStr">
      <is>
        <t>duong.nguyen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2374" sId="4" ref="A75:XFD79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rc rId="2375" sId="4" ref="A75:XFD84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2376" sId="4">
    <nc r="B75">
      <f>B74+1</f>
    </nc>
  </rcc>
  <rcc rId="2377" sId="4">
    <nc r="B76">
      <f>B75+1</f>
    </nc>
  </rcc>
  <rcc rId="2378" sId="4">
    <nc r="B77">
      <f>B76+1</f>
    </nc>
  </rcc>
  <rcc rId="2379" sId="4">
    <nc r="B78">
      <f>B77+1</f>
    </nc>
  </rcc>
  <rcc rId="2380" sId="4">
    <nc r="B79">
      <f>B78+1</f>
    </nc>
  </rcc>
  <rcc rId="2381" sId="4">
    <nc r="B80">
      <f>B79+1</f>
    </nc>
  </rcc>
  <rcc rId="2382" sId="4">
    <nc r="B81">
      <f>B80+1</f>
    </nc>
  </rcc>
  <rcc rId="2383" sId="4">
    <nc r="B82">
      <f>B81+1</f>
    </nc>
  </rcc>
  <rcc rId="2384" sId="4">
    <nc r="B83">
      <f>B82+1</f>
    </nc>
  </rcc>
  <rcc rId="2385" sId="4">
    <nc r="B84">
      <f>B83+1</f>
    </nc>
  </rcc>
  <rcc rId="2386" sId="4">
    <nc r="B85">
      <f>B84+1</f>
    </nc>
  </rcc>
  <rcc rId="2387" sId="4">
    <nc r="B86">
      <f>B85+1</f>
    </nc>
  </rcc>
  <rcc rId="2388" sId="4">
    <nc r="B87">
      <f>B86+1</f>
    </nc>
  </rcc>
  <rcc rId="2389" sId="4">
    <nc r="B88">
      <f>B87+1</f>
    </nc>
  </rcc>
  <rcc rId="2390" sId="4">
    <nc r="B89">
      <f>B88+1</f>
    </nc>
  </rcc>
  <rcc rId="2391" sId="4">
    <oc r="B90">
      <f>B74+1</f>
    </oc>
    <nc r="B90">
      <f>B89+1</f>
    </nc>
  </rcc>
  <rcc rId="2392" sId="4">
    <oc r="B91">
      <f>B90+1</f>
    </oc>
    <nc r="B91">
      <f>B90+1</f>
    </nc>
  </rcc>
  <rcc rId="2393" sId="4">
    <oc r="B92">
      <f>B91+1</f>
    </oc>
    <nc r="B92">
      <f>B91+1</f>
    </nc>
  </rcc>
  <rcc rId="2394" sId="4">
    <oc r="B93">
      <f>B92+1</f>
    </oc>
    <nc r="B93">
      <f>B92+1</f>
    </nc>
  </rcc>
  <rcc rId="2395" sId="4">
    <oc r="B94">
      <f>B93+1</f>
    </oc>
    <nc r="B94">
      <f>B93+1</f>
    </nc>
  </rcc>
  <rcc rId="2396" sId="4">
    <nc r="C74">
      <v>20200406</v>
    </nc>
  </rcc>
  <rcc rId="2397" sId="4">
    <nc r="D74" t="inlineStr">
      <is>
        <t>ASW</t>
      </is>
    </nc>
  </rcc>
  <rcc rId="2398" sId="4" xfDxf="1" dxf="1">
    <nc r="E74" t="inlineStr">
      <is>
        <t>VAR09_VehicleSetting_NISSAN.c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99" sId="4" xfDxf="1" dxf="1">
    <nc r="E75" t="inlineStr">
      <is>
        <t>DNCIF09_ControlSignalsInAbsSys_NIS9.c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0" sId="4" xfDxf="1" dxf="1">
    <nc r="E76" t="inlineStr">
      <is>
        <t>DNCIF09_WssEdgeSum_NIS9.c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1" sId="4" xfDxf="1" dxf="1">
    <nc r="E77" t="inlineStr">
      <is>
        <t>NET09_ComSclAdapter_Measurement_BB92121.c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2" sId="4" xfDxf="1" dxf="1">
    <nc r="E78" t="inlineStr">
      <is>
        <t>NET09_ComSclAdapter_MonitoringTables_BB92121.c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3" sId="4" xfDxf="1" dxf="1">
    <nc r="E79" t="inlineStr">
      <is>
        <t>NET09_ComSclAdapter_RxCbk_BB92121.c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4" sId="4" xfDxf="1" dxf="1">
    <nc r="E80" t="inlineStr">
      <is>
        <t>NET09_ComSclAdapter_RxSignalCopy_BB92121.c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5" sId="4" xfDxf="1" dxf="1">
    <nc r="E81" t="inlineStr">
      <is>
        <t>NET09_ComSclAdapter_RxTimeoutCbk_BB92121.c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6" sId="4" xfDxf="1" dxf="1">
    <nc r="E82" t="inlineStr">
      <is>
        <t>NET09_ComSclAdapter_TxCbk_BB92121.c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7" sId="4" xfDxf="1" dxf="1">
    <nc r="E83" t="inlineStr">
      <is>
        <t>NET09_NDS14_FaultConfiguration_BB92121.c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8" sId="4" xfDxf="1" dxf="1">
    <nc r="E84" t="inlineStr">
      <is>
        <t>NET09_SCL_RawSignals_BB92121.c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9" sId="4" xfDxf="1" dxf="1">
    <nc r="E85" t="inlineStr">
      <is>
        <t>NET09_ChecksumLib_NIS9.c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0" sId="4" xfDxf="1" dxf="1">
    <nc r="E86" t="inlineStr">
      <is>
        <t>NET09_FrameControl_NIS9.c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1" sId="4" xfDxf="1" dxf="1">
    <nc r="E87" t="inlineStr">
      <is>
        <t>NET09_IdleStopTreatment_NIS9.c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2" sId="4" xfDxf="1" dxf="1">
    <nc r="E88" t="inlineStr">
      <is>
        <t>NET09_Rcv6E2_NIS9.c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3" sId="4" xfDxf="1" dxf="1">
    <nc r="E89" t="inlineStr">
      <is>
        <t>NET09_RcvGear_NIS9.c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4" sId="4" xfDxf="1" dxf="1">
    <nc r="E90" t="inlineStr">
      <is>
        <t>NET09_Xmt245_NIS9.C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5" sId="4" xfDxf="1" dxf="1">
    <nc r="E91" t="inlineStr">
      <is>
        <t>NET09_Xmt354_NIS9.C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6" sId="4">
    <nc r="D76" t="inlineStr">
      <is>
        <t>ASW</t>
      </is>
    </nc>
  </rcc>
  <rcc rId="2417" sId="4">
    <nc r="D78" t="inlineStr">
      <is>
        <t>ASW</t>
      </is>
    </nc>
  </rcc>
  <rcc rId="2418" sId="4">
    <nc r="D80" t="inlineStr">
      <is>
        <t>ASW</t>
      </is>
    </nc>
  </rcc>
  <rcc rId="2419" sId="4">
    <nc r="D82" t="inlineStr">
      <is>
        <t>ASW</t>
      </is>
    </nc>
  </rcc>
  <rcc rId="2420" sId="4">
    <nc r="D84" t="inlineStr">
      <is>
        <t>ASW</t>
      </is>
    </nc>
  </rcc>
  <rcc rId="2421" sId="4">
    <nc r="D86" t="inlineStr">
      <is>
        <t>ASW</t>
      </is>
    </nc>
  </rcc>
  <rcc rId="2422" sId="4">
    <nc r="D88" t="inlineStr">
      <is>
        <t>ASW</t>
      </is>
    </nc>
  </rcc>
  <rcc rId="2423" sId="4">
    <nc r="D90" t="inlineStr">
      <is>
        <t>ASW</t>
      </is>
    </nc>
  </rcc>
  <rcc rId="2424" sId="4">
    <nc r="D75" t="inlineStr">
      <is>
        <t>ASW</t>
      </is>
    </nc>
  </rcc>
  <rcc rId="2425" sId="4">
    <nc r="D77" t="inlineStr">
      <is>
        <t>ASW</t>
      </is>
    </nc>
  </rcc>
  <rcc rId="2426" sId="4">
    <nc r="D79" t="inlineStr">
      <is>
        <t>ASW</t>
      </is>
    </nc>
  </rcc>
  <rcc rId="2427" sId="4">
    <nc r="D81" t="inlineStr">
      <is>
        <t>ASW</t>
      </is>
    </nc>
  </rcc>
  <rcc rId="2428" sId="4">
    <nc r="D83" t="inlineStr">
      <is>
        <t>ASW</t>
      </is>
    </nc>
  </rcc>
  <rcc rId="2429" sId="4">
    <nc r="D85" t="inlineStr">
      <is>
        <t>ASW</t>
      </is>
    </nc>
  </rcc>
  <rcc rId="2430" sId="4">
    <nc r="D87" t="inlineStr">
      <is>
        <t>ASW</t>
      </is>
    </nc>
  </rcc>
  <rcc rId="2431" sId="4">
    <nc r="D89" t="inlineStr">
      <is>
        <t>ASW</t>
      </is>
    </nc>
  </rcc>
  <rcc rId="2432" sId="4">
    <nc r="D91" t="inlineStr">
      <is>
        <t>ASW</t>
      </is>
    </nc>
  </rcc>
  <rcc rId="2433" sId="4">
    <nc r="C75">
      <v>20200406</v>
    </nc>
  </rcc>
  <rcc rId="2434" sId="4">
    <nc r="C76">
      <v>20200406</v>
    </nc>
  </rcc>
  <rcc rId="2435" sId="4">
    <nc r="C77">
      <v>20200406</v>
    </nc>
  </rcc>
  <rcc rId="2436" sId="4">
    <nc r="C78">
      <v>20200406</v>
    </nc>
  </rcc>
  <rcc rId="2437" sId="4">
    <nc r="C79">
      <v>20200406</v>
    </nc>
  </rcc>
  <rcc rId="2438" sId="4">
    <nc r="C80">
      <v>20200406</v>
    </nc>
  </rcc>
  <rcc rId="2439" sId="4">
    <nc r="C81">
      <v>20200406</v>
    </nc>
  </rcc>
  <rcc rId="2440" sId="4">
    <nc r="C82">
      <v>20200406</v>
    </nc>
  </rcc>
  <rcc rId="2441" sId="4">
    <nc r="C83">
      <v>20200406</v>
    </nc>
  </rcc>
  <rcc rId="2442" sId="4">
    <nc r="C84">
      <v>20200406</v>
    </nc>
  </rcc>
  <rcc rId="2443" sId="4">
    <nc r="C85">
      <v>20200406</v>
    </nc>
  </rcc>
  <rcc rId="2444" sId="4">
    <nc r="C86">
      <v>20200406</v>
    </nc>
  </rcc>
  <rcc rId="2445" sId="4">
    <nc r="C87">
      <v>20200406</v>
    </nc>
  </rcc>
  <rcc rId="2446" sId="4">
    <nc r="C88">
      <v>20200406</v>
    </nc>
  </rcc>
  <rcc rId="2447" sId="4">
    <nc r="C89">
      <v>20200406</v>
    </nc>
  </rcc>
  <rcc rId="2448" sId="4">
    <nc r="C90">
      <v>20200406</v>
    </nc>
  </rcc>
  <rcc rId="2449" sId="4">
    <nc r="C91">
      <v>20200406</v>
    </nc>
  </rcc>
  <rcc rId="2450" sId="4" quotePrefix="1">
    <nc r="F74" t="inlineStr">
      <is>
        <t>-</t>
      </is>
    </nc>
  </rcc>
  <rcc rId="2451" sId="4" quotePrefix="1">
    <nc r="F75" t="inlineStr">
      <is>
        <t>-</t>
      </is>
    </nc>
  </rcc>
  <rcc rId="2452" sId="4" quotePrefix="1">
    <nc r="F76" t="inlineStr">
      <is>
        <t>-</t>
      </is>
    </nc>
  </rcc>
  <rcc rId="2453" sId="4" quotePrefix="1">
    <nc r="F77" t="inlineStr">
      <is>
        <t>-</t>
      </is>
    </nc>
  </rcc>
  <rcc rId="2454" sId="4" quotePrefix="1">
    <nc r="F78" t="inlineStr">
      <is>
        <t>-</t>
      </is>
    </nc>
  </rcc>
  <rcc rId="2455" sId="4" quotePrefix="1">
    <nc r="F79" t="inlineStr">
      <is>
        <t>-</t>
      </is>
    </nc>
  </rcc>
  <rcc rId="2456" sId="4" quotePrefix="1">
    <nc r="F80" t="inlineStr">
      <is>
        <t>-</t>
      </is>
    </nc>
  </rcc>
  <rcc rId="2457" sId="4" quotePrefix="1">
    <nc r="F81" t="inlineStr">
      <is>
        <t>-</t>
      </is>
    </nc>
  </rcc>
  <rcc rId="2458" sId="4" quotePrefix="1">
    <nc r="F82" t="inlineStr">
      <is>
        <t>-</t>
      </is>
    </nc>
  </rcc>
  <rcc rId="2459" sId="4" quotePrefix="1">
    <nc r="F83" t="inlineStr">
      <is>
        <t>-</t>
      </is>
    </nc>
  </rcc>
  <rcc rId="2460" sId="4" quotePrefix="1">
    <nc r="F84" t="inlineStr">
      <is>
        <t>-</t>
      </is>
    </nc>
  </rcc>
  <rcc rId="2461" sId="4" quotePrefix="1">
    <nc r="F85" t="inlineStr">
      <is>
        <t>-</t>
      </is>
    </nc>
  </rcc>
  <rcc rId="2462" sId="4" quotePrefix="1">
    <nc r="F86" t="inlineStr">
      <is>
        <t>-</t>
      </is>
    </nc>
  </rcc>
  <rcc rId="2463" sId="4" quotePrefix="1">
    <nc r="F87" t="inlineStr">
      <is>
        <t>-</t>
      </is>
    </nc>
  </rcc>
  <rcc rId="2464" sId="4" quotePrefix="1">
    <nc r="F88" t="inlineStr">
      <is>
        <t>-</t>
      </is>
    </nc>
  </rcc>
  <rcc rId="2465" sId="4" quotePrefix="1">
    <nc r="F89" t="inlineStr">
      <is>
        <t>-</t>
      </is>
    </nc>
  </rcc>
  <rcc rId="2466" sId="4" quotePrefix="1">
    <nc r="F90" t="inlineStr">
      <is>
        <t>-</t>
      </is>
    </nc>
  </rcc>
  <rcc rId="2467" sId="4" quotePrefix="1">
    <nc r="F91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474" sId="4" odxf="1" dxf="1" quotePrefix="1">
    <nc r="G74" t="inlineStr">
      <is>
        <t>-</t>
      </is>
    </nc>
    <odxf/>
    <ndxf/>
  </rcc>
  <rcc rId="2475" sId="4" odxf="1" dxf="1" quotePrefix="1">
    <nc r="G75" t="inlineStr">
      <is>
        <t>-</t>
      </is>
    </nc>
    <odxf/>
    <ndxf/>
  </rcc>
  <rcc rId="2476" sId="4" odxf="1" dxf="1" quotePrefix="1">
    <nc r="G76" t="inlineStr">
      <is>
        <t>-</t>
      </is>
    </nc>
    <odxf/>
    <ndxf/>
  </rcc>
  <rcc rId="2477" sId="4" odxf="1" dxf="1" quotePrefix="1">
    <nc r="G77" t="inlineStr">
      <is>
        <t>-</t>
      </is>
    </nc>
    <odxf/>
    <ndxf/>
  </rcc>
  <rcc rId="2478" sId="4" odxf="1" dxf="1" quotePrefix="1">
    <nc r="G78" t="inlineStr">
      <is>
        <t>-</t>
      </is>
    </nc>
    <odxf/>
    <ndxf/>
  </rcc>
  <rcc rId="2479" sId="4" odxf="1" dxf="1" quotePrefix="1">
    <nc r="G79" t="inlineStr">
      <is>
        <t>-</t>
      </is>
    </nc>
    <odxf/>
    <ndxf/>
  </rcc>
  <rcc rId="2480" sId="4" odxf="1" dxf="1" quotePrefix="1">
    <nc r="G80" t="inlineStr">
      <is>
        <t>-</t>
      </is>
    </nc>
    <odxf/>
    <ndxf/>
  </rcc>
  <rcc rId="2481" sId="4" odxf="1" dxf="1" quotePrefix="1">
    <nc r="G81" t="inlineStr">
      <is>
        <t>-</t>
      </is>
    </nc>
    <odxf/>
    <ndxf/>
  </rcc>
  <rcc rId="2482" sId="4" odxf="1" dxf="1" quotePrefix="1">
    <nc r="G82" t="inlineStr">
      <is>
        <t>-</t>
      </is>
    </nc>
    <odxf/>
    <ndxf/>
  </rcc>
  <rcc rId="2483" sId="4" odxf="1" dxf="1" quotePrefix="1">
    <nc r="G83" t="inlineStr">
      <is>
        <t>-</t>
      </is>
    </nc>
    <odxf/>
    <ndxf/>
  </rcc>
  <rcc rId="2484" sId="4" odxf="1" dxf="1" quotePrefix="1">
    <nc r="G84" t="inlineStr">
      <is>
        <t>-</t>
      </is>
    </nc>
    <odxf/>
    <ndxf/>
  </rcc>
  <rcc rId="2485" sId="4" odxf="1" dxf="1" quotePrefix="1">
    <nc r="G85" t="inlineStr">
      <is>
        <t>-</t>
      </is>
    </nc>
    <odxf/>
    <ndxf/>
  </rcc>
  <rcc rId="2486" sId="4" odxf="1" dxf="1" quotePrefix="1">
    <nc r="G86" t="inlineStr">
      <is>
        <t>-</t>
      </is>
    </nc>
    <odxf/>
    <ndxf/>
  </rcc>
  <rcc rId="2487" sId="4" odxf="1" dxf="1" quotePrefix="1">
    <nc r="G87" t="inlineStr">
      <is>
        <t>-</t>
      </is>
    </nc>
    <odxf/>
    <ndxf/>
  </rcc>
  <rcc rId="2488" sId="4" odxf="1" dxf="1" quotePrefix="1">
    <nc r="G88" t="inlineStr">
      <is>
        <t>-</t>
      </is>
    </nc>
    <odxf/>
    <ndxf/>
  </rcc>
  <rcc rId="2489" sId="4" odxf="1" dxf="1" quotePrefix="1">
    <nc r="G89" t="inlineStr">
      <is>
        <t>-</t>
      </is>
    </nc>
    <odxf/>
    <ndxf/>
  </rcc>
  <rcc rId="2490" sId="4" odxf="1" dxf="1" quotePrefix="1">
    <nc r="G90" t="inlineStr">
      <is>
        <t>-</t>
      </is>
    </nc>
    <odxf/>
    <ndxf/>
  </rcc>
  <rcc rId="2491" sId="4" odxf="1" dxf="1" quotePrefix="1">
    <nc r="G91" t="inlineStr">
      <is>
        <t>-</t>
      </is>
    </nc>
    <odxf/>
    <ndxf/>
  </rcc>
  <rm rId="2492" sheetId="4" source="E74:E91" destination="H74:H91" sourceSheetId="4">
    <rfmt sheetId="4" sqref="H7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6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7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6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7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9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9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2493" sId="4" odxf="1" dxf="1" quotePrefix="1">
    <nc r="E7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4" sId="4" odxf="1" dxf="1" quotePrefix="1">
    <nc r="E75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5" sId="4" odxf="1" dxf="1" quotePrefix="1">
    <nc r="E76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6" sId="4" odxf="1" dxf="1" quotePrefix="1">
    <nc r="E77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7" sId="4" odxf="1" dxf="1" quotePrefix="1">
    <nc r="E78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8" sId="4" odxf="1" dxf="1" quotePrefix="1">
    <nc r="E79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9" sId="4" odxf="1" dxf="1" quotePrefix="1">
    <nc r="E80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0" sId="4" odxf="1" dxf="1" quotePrefix="1">
    <nc r="E81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1" sId="4" odxf="1" dxf="1" quotePrefix="1">
    <nc r="E82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2" sId="4" odxf="1" dxf="1" quotePrefix="1">
    <nc r="E83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3" sId="4" odxf="1" dxf="1" quotePrefix="1">
    <nc r="E8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4" sId="4" odxf="1" dxf="1" quotePrefix="1">
    <nc r="E85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5" sId="4" odxf="1" dxf="1" quotePrefix="1">
    <nc r="E86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6" sId="4" odxf="1" dxf="1" quotePrefix="1">
    <nc r="E87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7" sId="4" odxf="1" dxf="1" quotePrefix="1">
    <nc r="E88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8" sId="4" odxf="1" dxf="1" quotePrefix="1">
    <nc r="E89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9" sId="4" odxf="1" dxf="1" quotePrefix="1">
    <nc r="E90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0" sId="4" odxf="1" dxf="1" quotePrefix="1">
    <nc r="E91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14" sId="4" xfDxf="1" dxf="1" quotePrefix="1">
    <nc r="L74" t="inlineStr">
      <is>
        <t>1.7.5.2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5" sId="4" xfDxf="1" dxf="1">
    <nc r="L75">
      <v>0.3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6" sId="4" xfDxf="1" dxf="1">
    <nc r="L76">
      <v>2.2000000000000002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7" sId="4" xfDxf="1" dxf="1" quotePrefix="1">
    <nc r="L77" t="inlineStr">
      <is>
        <t>1.3.4.1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8" sId="4" xfDxf="1" dxf="1" quotePrefix="1">
    <nc r="L78" t="inlineStr">
      <is>
        <t>1.6.4.0.3.1.1.1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9" sId="4" xfDxf="1" dxf="1" quotePrefix="1">
    <nc r="L79" t="inlineStr">
      <is>
        <t>1.5.7.4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0" sId="4" xfDxf="1" dxf="1" quotePrefix="1">
    <nc r="L80" t="inlineStr">
      <is>
        <t>1.3.1.0.5.4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1" sId="4" xfDxf="1" dxf="1" quotePrefix="1">
    <nc r="L81" t="inlineStr">
      <is>
        <t>1.2.4.2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2" sId="4" xfDxf="1" dxf="1" quotePrefix="1">
    <nc r="L82" t="inlineStr">
      <is>
        <t>1.4.1.3.1.1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3" sId="4" xfDxf="1" dxf="1" quotePrefix="1">
    <nc r="L83" t="inlineStr">
      <is>
        <t>1.1.1.0.3.8.2.2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4" sId="4" xfDxf="1" dxf="1" quotePrefix="1">
    <nc r="L84" t="inlineStr">
      <is>
        <t>1.2.1.0.5.3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5" sId="4" xfDxf="1" dxf="1" quotePrefix="1">
    <nc r="L85" t="inlineStr">
      <is>
        <t>2.0.4.2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6" sId="4" xfDxf="1" dxf="1" quotePrefix="1">
    <nc r="L86" t="inlineStr">
      <is>
        <t>4.4.1.1.1.2.1.6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7" sId="4" xfDxf="1" dxf="1" quotePrefix="1">
    <nc r="L87" t="inlineStr">
      <is>
        <t>1.0.1.0.1.5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8" sId="4" xfDxf="1" dxf="1" quotePrefix="1">
    <nc r="L88" t="inlineStr">
      <is>
        <t>1.1.1.1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9" sId="4" xfDxf="1" dxf="1" quotePrefix="1">
    <nc r="L89" t="inlineStr">
      <is>
        <t>1.3.3.0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30" sId="4" xfDxf="1" dxf="1">
    <nc r="L90">
      <v>3.2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31" sId="4" xfDxf="1" dxf="1" quotePrefix="1">
    <nc r="L91" t="inlineStr">
      <is>
        <t>3.0.1.1.3.2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35" sId="4">
    <nc r="N74" t="inlineStr">
      <is>
        <t>T_C-289</t>
      </is>
    </nc>
  </rcc>
  <rcc rId="2536" sId="4">
    <nc r="N75" t="inlineStr">
      <is>
        <t>T_C-290</t>
      </is>
    </nc>
  </rcc>
  <rcc rId="2537" sId="4">
    <nc r="N76" t="inlineStr">
      <is>
        <t>T_C-291</t>
      </is>
    </nc>
  </rcc>
  <rcc rId="2538" sId="4">
    <nc r="N77" t="inlineStr">
      <is>
        <t>T_C-292</t>
      </is>
    </nc>
  </rcc>
  <rcc rId="2539" sId="4">
    <nc r="N78" t="inlineStr">
      <is>
        <t>T_C-293</t>
      </is>
    </nc>
  </rcc>
  <rcc rId="2540" sId="4">
    <nc r="N79" t="inlineStr">
      <is>
        <t>T_C-294</t>
      </is>
    </nc>
  </rcc>
  <rcc rId="2541" sId="4">
    <nc r="N80" t="inlineStr">
      <is>
        <t>T_C-295</t>
      </is>
    </nc>
  </rcc>
  <rcc rId="2542" sId="4">
    <nc r="N81" t="inlineStr">
      <is>
        <t>T_C-296</t>
      </is>
    </nc>
  </rcc>
  <rcc rId="2543" sId="4">
    <nc r="N82" t="inlineStr">
      <is>
        <t>T_C-297</t>
      </is>
    </nc>
  </rcc>
  <rcc rId="2544" sId="4">
    <nc r="N83" t="inlineStr">
      <is>
        <t>T_C-298</t>
      </is>
    </nc>
  </rcc>
  <rcc rId="2545" sId="4">
    <nc r="N84" t="inlineStr">
      <is>
        <t>T_C-299</t>
      </is>
    </nc>
  </rcc>
  <rcc rId="2546" sId="4">
    <nc r="N85" t="inlineStr">
      <is>
        <t>T_C-300</t>
      </is>
    </nc>
  </rcc>
  <rcc rId="2547" sId="4">
    <nc r="N86" t="inlineStr">
      <is>
        <t>T_C-301</t>
      </is>
    </nc>
  </rcc>
  <rcc rId="2548" sId="4">
    <nc r="N87" t="inlineStr">
      <is>
        <t>T_C-302</t>
      </is>
    </nc>
  </rcc>
  <rcc rId="2549" sId="4">
    <nc r="N88" t="inlineStr">
      <is>
        <t>T_C-303</t>
      </is>
    </nc>
  </rcc>
  <rcc rId="2550" sId="4">
    <nc r="N89" t="inlineStr">
      <is>
        <t>T_C-304</t>
      </is>
    </nc>
  </rcc>
  <rcc rId="2551" sId="4">
    <nc r="N90" t="inlineStr">
      <is>
        <t>T_C-305</t>
      </is>
    </nc>
  </rcc>
  <rcc rId="2552" sId="4">
    <nc r="N91" t="inlineStr">
      <is>
        <t>T_C-306</t>
      </is>
    </nc>
  </rcc>
</revisions>
</file>

<file path=xl/revisions/revisionLog1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56" sId="4" numFmtId="19">
    <nc r="X74">
      <v>43927</v>
    </nc>
  </rcc>
  <rcc rId="2557" sId="4" numFmtId="19">
    <nc r="Y74">
      <v>43933</v>
    </nc>
  </rcc>
  <rcc rId="2558" sId="4" numFmtId="19">
    <nc r="X75">
      <v>43927</v>
    </nc>
  </rcc>
  <rcc rId="2559" sId="4" numFmtId="19">
    <nc r="X76">
      <v>43927</v>
    </nc>
  </rcc>
  <rcc rId="2560" sId="4" numFmtId="19">
    <nc r="X77">
      <v>43927</v>
    </nc>
  </rcc>
  <rcc rId="2561" sId="4" numFmtId="19">
    <nc r="X78">
      <v>43927</v>
    </nc>
  </rcc>
  <rcc rId="2562" sId="4" numFmtId="19">
    <nc r="X79">
      <v>43927</v>
    </nc>
  </rcc>
  <rcc rId="2563" sId="4" numFmtId="19">
    <nc r="X80">
      <v>43927</v>
    </nc>
  </rcc>
  <rcc rId="2564" sId="4" numFmtId="19">
    <nc r="X81">
      <v>43927</v>
    </nc>
  </rcc>
  <rcc rId="2565" sId="4" numFmtId="19">
    <nc r="X82">
      <v>43927</v>
    </nc>
  </rcc>
  <rcc rId="2566" sId="4" numFmtId="19">
    <nc r="X83">
      <v>43927</v>
    </nc>
  </rcc>
  <rcc rId="2567" sId="4" numFmtId="19">
    <nc r="X84">
      <v>43927</v>
    </nc>
  </rcc>
  <rcc rId="2568" sId="4" numFmtId="19">
    <nc r="X85">
      <v>43927</v>
    </nc>
  </rcc>
  <rcc rId="2569" sId="4" numFmtId="19">
    <nc r="X86">
      <v>43927</v>
    </nc>
  </rcc>
  <rcc rId="2570" sId="4" numFmtId="19">
    <nc r="X87">
      <v>43927</v>
    </nc>
  </rcc>
  <rcc rId="2571" sId="4" numFmtId="19">
    <nc r="X88">
      <v>43927</v>
    </nc>
  </rcc>
  <rcc rId="2572" sId="4" numFmtId="19">
    <nc r="X89">
      <v>43927</v>
    </nc>
  </rcc>
  <rcc rId="2573" sId="4" numFmtId="19">
    <nc r="X90">
      <v>43927</v>
    </nc>
  </rcc>
  <rcc rId="2574" sId="4" numFmtId="19">
    <nc r="X91">
      <v>43927</v>
    </nc>
  </rcc>
  <rcc rId="2575" sId="4" numFmtId="19">
    <nc r="Y75">
      <v>43933</v>
    </nc>
  </rcc>
  <rcc rId="2576" sId="4" numFmtId="19">
    <nc r="Y76">
      <v>43933</v>
    </nc>
  </rcc>
  <rcc rId="2577" sId="4" numFmtId="19">
    <nc r="Y77">
      <v>43933</v>
    </nc>
  </rcc>
  <rcc rId="2578" sId="4" numFmtId="19">
    <nc r="Y78">
      <v>43933</v>
    </nc>
  </rcc>
  <rcc rId="2579" sId="4" numFmtId="19">
    <nc r="Y79">
      <v>43933</v>
    </nc>
  </rcc>
  <rcc rId="2580" sId="4" numFmtId="19">
    <nc r="Y80">
      <v>43933</v>
    </nc>
  </rcc>
  <rcc rId="2581" sId="4" numFmtId="19">
    <nc r="Y81">
      <v>43933</v>
    </nc>
  </rcc>
  <rcc rId="2582" sId="4" numFmtId="19">
    <nc r="Y82">
      <v>43933</v>
    </nc>
  </rcc>
  <rcc rId="2583" sId="4" numFmtId="19">
    <nc r="Y83">
      <v>43933</v>
    </nc>
  </rcc>
  <rcc rId="2584" sId="4" numFmtId="19">
    <nc r="Y84">
      <v>43933</v>
    </nc>
  </rcc>
  <rcc rId="2585" sId="4" numFmtId="19">
    <nc r="Y85">
      <v>43933</v>
    </nc>
  </rcc>
  <rcc rId="2586" sId="4" numFmtId="19">
    <nc r="Y86">
      <v>43933</v>
    </nc>
  </rcc>
  <rcc rId="2587" sId="4" numFmtId="19">
    <nc r="Y87">
      <v>43933</v>
    </nc>
  </rcc>
  <rcc rId="2588" sId="4" numFmtId="19">
    <nc r="Y88">
      <v>43933</v>
    </nc>
  </rcc>
  <rcc rId="2589" sId="4" numFmtId="19">
    <nc r="Y89">
      <v>43933</v>
    </nc>
  </rcc>
  <rcc rId="2590" sId="4" numFmtId="19">
    <nc r="Y90">
      <v>43933</v>
    </nc>
  </rcc>
  <rcc rId="2591" sId="4" numFmtId="19">
    <nc r="Y91">
      <v>43933</v>
    </nc>
  </rcc>
  <rcc rId="2592" sId="4" xfDxf="1" dxf="1">
    <nc r="U74">
      <v>195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3" sId="4" xfDxf="1" dxf="1">
    <nc r="U75">
      <v>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4" sId="4" xfDxf="1" dxf="1">
    <nc r="U76">
      <v>17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5" sId="4" xfDxf="1" dxf="1">
    <nc r="U77">
      <v>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6" sId="4" xfDxf="1" dxf="1">
    <nc r="U78">
      <v>144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7" sId="4" xfDxf="1" dxf="1">
    <nc r="U79">
      <v>456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8" sId="4" xfDxf="1" dxf="1">
    <nc r="U80">
      <v>428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9" sId="4" xfDxf="1" dxf="1">
    <nc r="U81">
      <v>135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0" sId="4" xfDxf="1" dxf="1">
    <nc r="U82">
      <v>153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1" sId="4" xfDxf="1" dxf="1">
    <nc r="U83">
      <v>384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2" sId="4" xfDxf="1" dxf="1">
    <nc r="U84">
      <v>70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3" sId="4" xfDxf="1" dxf="1">
    <nc r="U85">
      <v>100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4" sId="4" xfDxf="1" dxf="1">
    <nc r="U86">
      <v>290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5" sId="4" xfDxf="1" dxf="1">
    <nc r="U87">
      <v>275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6" sId="4" xfDxf="1" dxf="1">
    <nc r="U88">
      <v>55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7" sId="4" xfDxf="1" dxf="1">
    <nc r="U89">
      <v>131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8" sId="4" xfDxf="1" dxf="1">
    <nc r="U90">
      <v>119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9" sId="4" xfDxf="1" dxf="1">
    <nc r="U91">
      <v>147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m rId="2610" sheetId="4" source="U74:U91" destination="R74:R91" sourceSheetId="4">
    <rfmt sheetId="4" sqref="R7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6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7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6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7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9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9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2611" sId="4">
    <nc r="S74">
      <f>R74</f>
    </nc>
  </rcc>
  <rcc rId="2612" sId="4">
    <nc r="S75">
      <f>R75</f>
    </nc>
  </rcc>
  <rcc rId="2613" sId="4">
    <nc r="S76">
      <f>R76</f>
    </nc>
  </rcc>
  <rcc rId="2614" sId="4">
    <nc r="S77">
      <f>R77</f>
    </nc>
  </rcc>
  <rcc rId="2615" sId="4">
    <nc r="S78">
      <f>R78</f>
    </nc>
  </rcc>
  <rcc rId="2616" sId="4">
    <nc r="S79">
      <f>R79</f>
    </nc>
  </rcc>
  <rcc rId="2617" sId="4">
    <nc r="S80">
      <f>R80</f>
    </nc>
  </rcc>
  <rcc rId="2618" sId="4">
    <nc r="S81">
      <f>R81</f>
    </nc>
  </rcc>
  <rcc rId="2619" sId="4">
    <nc r="S82">
      <f>R82</f>
    </nc>
  </rcc>
  <rcc rId="2620" sId="4">
    <nc r="S83">
      <f>R83</f>
    </nc>
  </rcc>
  <rcc rId="2621" sId="4">
    <nc r="S84">
      <f>R84</f>
    </nc>
  </rcc>
  <rcc rId="2622" sId="4">
    <nc r="S85">
      <f>R85</f>
    </nc>
  </rcc>
  <rcc rId="2623" sId="4">
    <nc r="S86">
      <f>R86</f>
    </nc>
  </rcc>
  <rcc rId="2624" sId="4">
    <nc r="S87">
      <f>R87</f>
    </nc>
  </rcc>
  <rcc rId="2625" sId="4">
    <nc r="S88">
      <f>R88</f>
    </nc>
  </rcc>
  <rcc rId="2626" sId="4">
    <nc r="S89">
      <f>R89</f>
    </nc>
  </rcc>
  <rcc rId="2627" sId="4">
    <nc r="S90">
      <f>R90</f>
    </nc>
  </rcc>
  <rcc rId="2628" sId="4">
    <nc r="S91">
      <f>R91</f>
    </nc>
  </rcc>
  <rcc rId="2629" sId="4" odxf="1" dxf="1">
    <nc r="U74">
      <f>ROUNDDOWN(S74/HLOOKUP(D74,Table!$C$3:$D$4,2,0)*8,2)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0" sId="4" odxf="1" dxf="1">
    <nc r="U75">
      <f>ROUNDDOWN(S75/HLOOKUP(D75,Table!$C$3:$D$4,2,0)*8,2)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1" sId="4" odxf="1" dxf="1">
    <nc r="U76">
      <f>ROUNDDOWN(S76/HLOOKUP(D76,Table!$C$3:$D$4,2,0)*8,2)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2" sId="4" odxf="1" dxf="1">
    <nc r="U77">
      <f>ROUNDDOWN(S77/HLOOKUP(D77,Table!$C$3:$D$4,2,0)*8,2)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3" sId="4" odxf="1" dxf="1">
    <nc r="U78">
      <f>ROUNDDOWN(S78/HLOOKUP(D78,Table!$C$3:$D$4,2,0)*8,2)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4" sId="4" odxf="1" dxf="1">
    <nc r="U79">
      <f>ROUNDDOWN(S79/HLOOKUP(D79,Table!$C$3:$D$4,2,0)*8,2)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5" sId="4" odxf="1" dxf="1">
    <nc r="U80">
      <f>ROUNDDOWN(S80/HLOOKUP(D80,Table!$C$3:$D$4,2,0)*8,2)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6" sId="4" odxf="1" dxf="1">
    <nc r="U81">
      <f>ROUNDDOWN(S81/HLOOKUP(D81,Table!$C$3:$D$4,2,0)*8,2)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7" sId="4" odxf="1" dxf="1">
    <nc r="U82">
      <f>ROUNDDOWN(S82/HLOOKUP(D82,Table!$C$3:$D$4,2,0)*8,2)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8" sId="4" odxf="1" dxf="1">
    <nc r="U83">
      <f>ROUNDDOWN(S83/HLOOKUP(D83,Table!$C$3:$D$4,2,0)*8,2)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9" sId="4" odxf="1" dxf="1">
    <nc r="U84">
      <f>ROUNDDOWN(S84/HLOOKUP(D84,Table!$C$3:$D$4,2,0)*8,2)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0" sId="4" odxf="1" dxf="1">
    <nc r="U85">
      <f>ROUNDDOWN(S85/HLOOKUP(D85,Table!$C$3:$D$4,2,0)*8,2)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1" sId="4" odxf="1" dxf="1">
    <nc r="U86">
      <f>ROUNDDOWN(S86/HLOOKUP(D86,Table!$C$3:$D$4,2,0)*8,2)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2" sId="4" odxf="1" dxf="1">
    <nc r="U87">
      <f>ROUNDDOWN(S87/HLOOKUP(D87,Table!$C$3:$D$4,2,0)*8,2)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3" sId="4" odxf="1" dxf="1">
    <nc r="U88">
      <f>ROUNDDOWN(S88/HLOOKUP(D88,Table!$C$3:$D$4,2,0)*8,2)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4" sId="4" odxf="1" dxf="1">
    <nc r="U89">
      <f>ROUNDDOWN(S89/HLOOKUP(D89,Table!$C$3:$D$4,2,0)*8,2)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5" sId="4" odxf="1" dxf="1">
    <nc r="U90">
      <f>ROUNDDOWN(S90/HLOOKUP(D90,Table!$C$3:$D$4,2,0)*8,2)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6" sId="4" odxf="1" dxf="1">
    <nc r="U91">
      <f>ROUNDDOWN(S91/HLOOKUP(D91,Table!$C$3:$D$4,2,0)*8,2)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650" sId="4" quotePrefix="1">
    <nc r="AG68" t="inlineStr">
      <is>
        <t>-</t>
      </is>
    </nc>
  </rcc>
  <rcc rId="2651" sId="4" quotePrefix="1">
    <nc r="AG69" t="inlineStr">
      <is>
        <t>-</t>
      </is>
    </nc>
  </rcc>
  <rcc rId="2652" sId="4" quotePrefix="1">
    <nc r="AG70" t="inlineStr">
      <is>
        <t>-</t>
      </is>
    </nc>
  </rcc>
  <rcc rId="2653" sId="4" quotePrefix="1">
    <nc r="AG71" t="inlineStr">
      <is>
        <t>-</t>
      </is>
    </nc>
  </rcc>
  <rcc rId="2654" sId="4" quotePrefix="1">
    <nc r="AG72" t="inlineStr">
      <is>
        <t>-</t>
      </is>
    </nc>
  </rcc>
  <rcc rId="2655" sId="4" quotePrefix="1">
    <nc r="AG73" t="inlineStr">
      <is>
        <t>-</t>
      </is>
    </nc>
  </rcc>
  <rcc rId="2656" sId="4" quotePrefix="1">
    <nc r="AG74" t="inlineStr">
      <is>
        <t>-</t>
      </is>
    </nc>
  </rcc>
  <rcc rId="2657" sId="4" quotePrefix="1">
    <nc r="AG75" t="inlineStr">
      <is>
        <t>-</t>
      </is>
    </nc>
  </rcc>
  <rcc rId="2658" sId="4" quotePrefix="1">
    <nc r="AG76" t="inlineStr">
      <is>
        <t>-</t>
      </is>
    </nc>
  </rcc>
  <rcc rId="2659" sId="4" quotePrefix="1">
    <nc r="AG77" t="inlineStr">
      <is>
        <t>-</t>
      </is>
    </nc>
  </rcc>
  <rcc rId="2660" sId="4" quotePrefix="1">
    <nc r="AG78" t="inlineStr">
      <is>
        <t>-</t>
      </is>
    </nc>
  </rcc>
  <rcc rId="2661" sId="4" quotePrefix="1">
    <nc r="AG79" t="inlineStr">
      <is>
        <t>-</t>
      </is>
    </nc>
  </rcc>
  <rcc rId="2662" sId="4" quotePrefix="1">
    <nc r="AG80" t="inlineStr">
      <is>
        <t>-</t>
      </is>
    </nc>
  </rcc>
  <rcc rId="2663" sId="4" quotePrefix="1">
    <nc r="AG81" t="inlineStr">
      <is>
        <t>-</t>
      </is>
    </nc>
  </rcc>
  <rcc rId="2664" sId="4" quotePrefix="1">
    <nc r="AG82" t="inlineStr">
      <is>
        <t>-</t>
      </is>
    </nc>
  </rcc>
  <rcc rId="2665" sId="4" quotePrefix="1">
    <nc r="AG83" t="inlineStr">
      <is>
        <t>-</t>
      </is>
    </nc>
  </rcc>
  <rcc rId="2666" sId="4" quotePrefix="1">
    <nc r="AG84" t="inlineStr">
      <is>
        <t>-</t>
      </is>
    </nc>
  </rcc>
  <rcc rId="2667" sId="4" quotePrefix="1">
    <nc r="AG85" t="inlineStr">
      <is>
        <t>-</t>
      </is>
    </nc>
  </rcc>
  <rcc rId="2668" sId="4" quotePrefix="1">
    <nc r="AG86" t="inlineStr">
      <is>
        <t>-</t>
      </is>
    </nc>
  </rcc>
  <rcc rId="2669" sId="4" quotePrefix="1">
    <nc r="AG87" t="inlineStr">
      <is>
        <t>-</t>
      </is>
    </nc>
  </rcc>
  <rcc rId="2670" sId="4" quotePrefix="1">
    <nc r="AG88" t="inlineStr">
      <is>
        <t>-</t>
      </is>
    </nc>
  </rcc>
  <rcc rId="2671" sId="4" quotePrefix="1">
    <nc r="AG89" t="inlineStr">
      <is>
        <t>-</t>
      </is>
    </nc>
  </rcc>
  <rcc rId="2672" sId="4" quotePrefix="1">
    <nc r="AG90" t="inlineStr">
      <is>
        <t>-</t>
      </is>
    </nc>
  </rcc>
  <rcc rId="2673" sId="4" quotePrefix="1">
    <nc r="AG91" t="inlineStr">
      <is>
        <t>-</t>
      </is>
    </nc>
  </rcc>
  <rcc rId="2674" sId="4" quotePrefix="1">
    <nc r="AH59" t="inlineStr">
      <is>
        <t>-</t>
      </is>
    </nc>
  </rcc>
  <rcc rId="2675" sId="4" quotePrefix="1">
    <nc r="AH60" t="inlineStr">
      <is>
        <t>-</t>
      </is>
    </nc>
  </rcc>
  <rcc rId="2676" sId="4" quotePrefix="1">
    <nc r="AH61" t="inlineStr">
      <is>
        <t>-</t>
      </is>
    </nc>
  </rcc>
  <rcc rId="2677" sId="4" quotePrefix="1">
    <nc r="AH62" t="inlineStr">
      <is>
        <t>-</t>
      </is>
    </nc>
  </rcc>
  <rcc rId="2678" sId="4" quotePrefix="1">
    <nc r="AH63" t="inlineStr">
      <is>
        <t>-</t>
      </is>
    </nc>
  </rcc>
  <rcc rId="2679" sId="4" quotePrefix="1">
    <nc r="AH64" t="inlineStr">
      <is>
        <t>-</t>
      </is>
    </nc>
  </rcc>
  <rcc rId="2680" sId="4" quotePrefix="1">
    <nc r="AH68" t="inlineStr">
      <is>
        <t>-</t>
      </is>
    </nc>
  </rcc>
  <rcc rId="2681" sId="4" quotePrefix="1">
    <nc r="AH69" t="inlineStr">
      <is>
        <t>-</t>
      </is>
    </nc>
  </rcc>
  <rcc rId="2682" sId="4" quotePrefix="1">
    <nc r="AH70" t="inlineStr">
      <is>
        <t>-</t>
      </is>
    </nc>
  </rcc>
  <rcc rId="2683" sId="4" quotePrefix="1">
    <nc r="AH71" t="inlineStr">
      <is>
        <t>-</t>
      </is>
    </nc>
  </rcc>
  <rcc rId="2684" sId="4" quotePrefix="1">
    <nc r="AH72" t="inlineStr">
      <is>
        <t>-</t>
      </is>
    </nc>
  </rcc>
  <rcc rId="2685" sId="4" quotePrefix="1">
    <nc r="AH73" t="inlineStr">
      <is>
        <t>-</t>
      </is>
    </nc>
  </rcc>
  <rcc rId="2686" sId="4" quotePrefix="1">
    <nc r="AH74" t="inlineStr">
      <is>
        <t>-</t>
      </is>
    </nc>
  </rcc>
  <rcc rId="2687" sId="4" quotePrefix="1">
    <nc r="AH75" t="inlineStr">
      <is>
        <t>-</t>
      </is>
    </nc>
  </rcc>
  <rcc rId="2688" sId="4" quotePrefix="1">
    <nc r="AH76" t="inlineStr">
      <is>
        <t>-</t>
      </is>
    </nc>
  </rcc>
  <rcc rId="2689" sId="4" quotePrefix="1">
    <nc r="AH77" t="inlineStr">
      <is>
        <t>-</t>
      </is>
    </nc>
  </rcc>
  <rcc rId="2690" sId="4" quotePrefix="1">
    <nc r="AH78" t="inlineStr">
      <is>
        <t>-</t>
      </is>
    </nc>
  </rcc>
  <rcc rId="2691" sId="4" quotePrefix="1">
    <nc r="AH79" t="inlineStr">
      <is>
        <t>-</t>
      </is>
    </nc>
  </rcc>
  <rcc rId="2692" sId="4" quotePrefix="1">
    <nc r="AH80" t="inlineStr">
      <is>
        <t>-</t>
      </is>
    </nc>
  </rcc>
  <rcc rId="2693" sId="4" quotePrefix="1">
    <nc r="AH81" t="inlineStr">
      <is>
        <t>-</t>
      </is>
    </nc>
  </rcc>
  <rcc rId="2694" sId="4" quotePrefix="1">
    <nc r="AH82" t="inlineStr">
      <is>
        <t>-</t>
      </is>
    </nc>
  </rcc>
  <rcc rId="2695" sId="4" quotePrefix="1">
    <nc r="AH83" t="inlineStr">
      <is>
        <t>-</t>
      </is>
    </nc>
  </rcc>
  <rcc rId="2696" sId="4" quotePrefix="1">
    <nc r="AH84" t="inlineStr">
      <is>
        <t>-</t>
      </is>
    </nc>
  </rcc>
  <rcc rId="2697" sId="4" quotePrefix="1">
    <nc r="AH85" t="inlineStr">
      <is>
        <t>-</t>
      </is>
    </nc>
  </rcc>
  <rcc rId="2698" sId="4" quotePrefix="1">
    <nc r="AH86" t="inlineStr">
      <is>
        <t>-</t>
      </is>
    </nc>
  </rcc>
  <rcc rId="2699" sId="4" quotePrefix="1">
    <nc r="AH87" t="inlineStr">
      <is>
        <t>-</t>
      </is>
    </nc>
  </rcc>
  <rcc rId="2700" sId="4" quotePrefix="1">
    <nc r="AH88" t="inlineStr">
      <is>
        <t>-</t>
      </is>
    </nc>
  </rcc>
  <rcc rId="2701" sId="4" quotePrefix="1">
    <nc r="AH89" t="inlineStr">
      <is>
        <t>-</t>
      </is>
    </nc>
  </rcc>
  <rcc rId="2702" sId="4" quotePrefix="1">
    <nc r="AH90" t="inlineStr">
      <is>
        <t>-</t>
      </is>
    </nc>
  </rcc>
  <rcc rId="2703" sId="4" quotePrefix="1">
    <nc r="AH91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07" sId="4" odxf="1" dxf="1" quotePrefix="1">
    <nc r="I74" t="inlineStr">
      <is>
        <t>-</t>
      </is>
    </nc>
    <odxf/>
    <ndxf/>
  </rcc>
  <rcc rId="2708" sId="4" odxf="1" dxf="1" quotePrefix="1">
    <nc r="I75" t="inlineStr">
      <is>
        <t>-</t>
      </is>
    </nc>
    <odxf/>
    <ndxf/>
  </rcc>
  <rcc rId="2709" sId="4" odxf="1" dxf="1" quotePrefix="1">
    <nc r="I76" t="inlineStr">
      <is>
        <t>-</t>
      </is>
    </nc>
    <odxf/>
    <ndxf/>
  </rcc>
  <rcc rId="2710" sId="4" odxf="1" dxf="1" quotePrefix="1">
    <nc r="I77" t="inlineStr">
      <is>
        <t>-</t>
      </is>
    </nc>
    <odxf/>
    <ndxf/>
  </rcc>
  <rcc rId="2711" sId="4" odxf="1" dxf="1" quotePrefix="1">
    <nc r="I78" t="inlineStr">
      <is>
        <t>-</t>
      </is>
    </nc>
    <odxf/>
    <ndxf/>
  </rcc>
  <rcc rId="2712" sId="4" odxf="1" dxf="1" quotePrefix="1">
    <nc r="I79" t="inlineStr">
      <is>
        <t>-</t>
      </is>
    </nc>
    <odxf/>
    <ndxf/>
  </rcc>
  <rcc rId="2713" sId="4" odxf="1" dxf="1" quotePrefix="1">
    <nc r="I80" t="inlineStr">
      <is>
        <t>-</t>
      </is>
    </nc>
    <odxf/>
    <ndxf/>
  </rcc>
  <rcc rId="2714" sId="4" odxf="1" dxf="1" quotePrefix="1">
    <nc r="I81" t="inlineStr">
      <is>
        <t>-</t>
      </is>
    </nc>
    <odxf/>
    <ndxf/>
  </rcc>
  <rcc rId="2715" sId="4" odxf="1" dxf="1" quotePrefix="1">
    <nc r="I82" t="inlineStr">
      <is>
        <t>-</t>
      </is>
    </nc>
    <odxf/>
    <ndxf/>
  </rcc>
  <rcc rId="2716" sId="4" odxf="1" dxf="1" quotePrefix="1">
    <nc r="I83" t="inlineStr">
      <is>
        <t>-</t>
      </is>
    </nc>
    <odxf/>
    <ndxf/>
  </rcc>
  <rcc rId="2717" sId="4" odxf="1" dxf="1" quotePrefix="1">
    <nc r="I84" t="inlineStr">
      <is>
        <t>-</t>
      </is>
    </nc>
    <odxf/>
    <ndxf/>
  </rcc>
  <rcc rId="2718" sId="4" odxf="1" dxf="1" quotePrefix="1">
    <nc r="I85" t="inlineStr">
      <is>
        <t>-</t>
      </is>
    </nc>
    <odxf/>
    <ndxf/>
  </rcc>
  <rcc rId="2719" sId="4" odxf="1" dxf="1" quotePrefix="1">
    <nc r="I86" t="inlineStr">
      <is>
        <t>-</t>
      </is>
    </nc>
    <odxf/>
    <ndxf/>
  </rcc>
  <rcc rId="2720" sId="4" odxf="1" dxf="1" quotePrefix="1">
    <nc r="I87" t="inlineStr">
      <is>
        <t>-</t>
      </is>
    </nc>
    <odxf/>
    <ndxf/>
  </rcc>
  <rcc rId="2721" sId="4" odxf="1" dxf="1" quotePrefix="1">
    <nc r="I88" t="inlineStr">
      <is>
        <t>-</t>
      </is>
    </nc>
    <odxf/>
    <ndxf/>
  </rcc>
  <rcc rId="2722" sId="4" odxf="1" dxf="1" quotePrefix="1">
    <nc r="I89" t="inlineStr">
      <is>
        <t>-</t>
      </is>
    </nc>
    <odxf/>
    <ndxf/>
  </rcc>
  <rcc rId="2723" sId="4" odxf="1" dxf="1" quotePrefix="1">
    <nc r="I90" t="inlineStr">
      <is>
        <t>-</t>
      </is>
    </nc>
    <odxf/>
    <ndxf/>
  </rcc>
  <rcc rId="2724" sId="4" odxf="1" dxf="1" quotePrefix="1">
    <nc r="I91" t="inlineStr">
      <is>
        <t>-</t>
      </is>
    </nc>
    <odxf/>
    <ndxf/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28" sId="4" odxf="1" dxf="1" quotePrefix="1">
    <nc r="J74" t="inlineStr">
      <is>
        <t>-</t>
      </is>
    </nc>
    <odxf/>
    <ndxf/>
  </rcc>
  <rcc rId="2729" sId="4" odxf="1" dxf="1" quotePrefix="1">
    <nc r="J75" t="inlineStr">
      <is>
        <t>-</t>
      </is>
    </nc>
    <odxf/>
    <ndxf/>
  </rcc>
  <rcc rId="2730" sId="4" odxf="1" dxf="1" quotePrefix="1">
    <nc r="J76" t="inlineStr">
      <is>
        <t>-</t>
      </is>
    </nc>
    <odxf/>
    <ndxf/>
  </rcc>
  <rcc rId="2731" sId="4" odxf="1" dxf="1" quotePrefix="1">
    <nc r="J77" t="inlineStr">
      <is>
        <t>-</t>
      </is>
    </nc>
    <odxf/>
    <ndxf/>
  </rcc>
  <rcc rId="2732" sId="4" odxf="1" dxf="1" quotePrefix="1">
    <nc r="J78" t="inlineStr">
      <is>
        <t>-</t>
      </is>
    </nc>
    <odxf/>
    <ndxf/>
  </rcc>
  <rcc rId="2733" sId="4" odxf="1" dxf="1" quotePrefix="1">
    <nc r="J79" t="inlineStr">
      <is>
        <t>-</t>
      </is>
    </nc>
    <odxf/>
    <ndxf/>
  </rcc>
  <rcc rId="2734" sId="4" odxf="1" dxf="1" quotePrefix="1">
    <nc r="J80" t="inlineStr">
      <is>
        <t>-</t>
      </is>
    </nc>
    <odxf/>
    <ndxf/>
  </rcc>
  <rcc rId="2735" sId="4" odxf="1" dxf="1" quotePrefix="1">
    <nc r="J81" t="inlineStr">
      <is>
        <t>-</t>
      </is>
    </nc>
    <odxf/>
    <ndxf/>
  </rcc>
  <rcc rId="2736" sId="4" odxf="1" dxf="1" quotePrefix="1">
    <nc r="J82" t="inlineStr">
      <is>
        <t>-</t>
      </is>
    </nc>
    <odxf/>
    <ndxf/>
  </rcc>
  <rcc rId="2737" sId="4" odxf="1" dxf="1" quotePrefix="1">
    <nc r="J83" t="inlineStr">
      <is>
        <t>-</t>
      </is>
    </nc>
    <odxf/>
    <ndxf/>
  </rcc>
  <rcc rId="2738" sId="4" odxf="1" dxf="1" quotePrefix="1">
    <nc r="J84" t="inlineStr">
      <is>
        <t>-</t>
      </is>
    </nc>
    <odxf/>
    <ndxf/>
  </rcc>
  <rcc rId="2739" sId="4" odxf="1" dxf="1" quotePrefix="1">
    <nc r="J85" t="inlineStr">
      <is>
        <t>-</t>
      </is>
    </nc>
    <odxf/>
    <ndxf/>
  </rcc>
  <rcc rId="2740" sId="4" odxf="1" dxf="1" quotePrefix="1">
    <nc r="J86" t="inlineStr">
      <is>
        <t>-</t>
      </is>
    </nc>
    <odxf/>
    <ndxf/>
  </rcc>
  <rcc rId="2741" sId="4" odxf="1" dxf="1" quotePrefix="1">
    <nc r="J87" t="inlineStr">
      <is>
        <t>-</t>
      </is>
    </nc>
    <odxf/>
    <ndxf/>
  </rcc>
  <rcc rId="2742" sId="4" odxf="1" dxf="1" quotePrefix="1">
    <nc r="J88" t="inlineStr">
      <is>
        <t>-</t>
      </is>
    </nc>
    <odxf/>
    <ndxf/>
  </rcc>
  <rcc rId="2743" sId="4" odxf="1" dxf="1" quotePrefix="1">
    <nc r="J89" t="inlineStr">
      <is>
        <t>-</t>
      </is>
    </nc>
    <odxf/>
    <ndxf/>
  </rcc>
  <rcc rId="2744" sId="4" odxf="1" dxf="1" quotePrefix="1">
    <nc r="J90" t="inlineStr">
      <is>
        <t>-</t>
      </is>
    </nc>
    <odxf/>
    <ndxf/>
  </rcc>
  <rcc rId="2745" sId="4" odxf="1" dxf="1" quotePrefix="1">
    <nc r="J91" t="inlineStr">
      <is>
        <t>-</t>
      </is>
    </nc>
    <odxf/>
    <ndxf/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52" sId="4">
    <oc r="S64">
      <f>R64</f>
    </oc>
    <nc r="S64">
      <f>R64+220-R64</f>
    </nc>
  </rcc>
  <rfmt sheetId="4" sqref="S64">
    <dxf>
      <fill>
        <patternFill patternType="solid">
          <bgColor rgb="FFFF0000"/>
        </patternFill>
      </fill>
    </dxf>
  </rfmt>
</revisions>
</file>

<file path=xl/revisions/revisionLog1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74:B91">
    <dxf>
      <fill>
        <patternFill patternType="solid">
          <bgColor theme="8"/>
        </patternFill>
      </fill>
    </dxf>
  </rfmt>
  <rcmt sheetId="4" cell="A74" guid="{6A862414-8F1B-4A24-AACE-229B205D4C8D}" author="EXTERNAL Nguyen Tuan Duong (Ban Vien, RBVH/EPS45)" newLength="82"/>
</revisions>
</file>

<file path=xl/revisions/revisionLog1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53" sId="4">
    <nc r="T64">
      <f>S64</f>
    </nc>
  </rcc>
  <rcc rId="2754" sId="4">
    <nc r="V64">
      <v>2</v>
    </nc>
  </rcc>
  <rcc rId="2755" sId="4">
    <nc r="W64" t="inlineStr">
      <is>
        <t>Ready for review</t>
      </is>
    </nc>
  </rcc>
  <rcc rId="2756" sId="4" numFmtId="19">
    <nc r="Z64">
      <v>43927</v>
    </nc>
  </rcc>
  <rcc rId="2757" sId="4" numFmtId="19">
    <nc r="AA64">
      <v>43927</v>
    </nc>
  </rcc>
  <rcc rId="2758" sId="4" odxf="1" dxf="1">
    <nc r="AB6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759" sId="4" odxf="1" dxf="1">
    <nc r="AC6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60" sId="4" odxf="1" dxf="1">
    <nc r="AD6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61" sId="4" odxf="1" dxf="1">
    <nc r="AE6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62" sId="4" odxf="1" dxf="1">
    <nc r="AF64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72" sId="4" xfDxf="1" dxf="1">
    <oc r="F6" t="inlineStr">
      <is>
        <t>/GEEA2/0/rb/as/cevt/Geely/aswpr/EV/src/</t>
      </is>
    </oc>
    <nc r="F6" t="inlineStr">
      <is>
        <t>GEEA2.0\rb\as\cevt\Geely\aswpr\EV\src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3" sId="4">
    <nc r="T6">
      <f>S6</f>
    </nc>
  </rcc>
  <rcc rId="2774" sId="4">
    <nc r="V6">
      <v>2.75</v>
    </nc>
  </rcc>
  <rcc rId="2775" sId="4">
    <nc r="W6" t="inlineStr">
      <is>
        <t>Ready for review</t>
      </is>
    </nc>
  </rcc>
  <rcc rId="2776" sId="4">
    <nc r="AC6">
      <v>100</v>
    </nc>
  </rcc>
  <rcc rId="2777" sId="4">
    <nc r="AD6">
      <v>100</v>
    </nc>
  </rcc>
  <rcc rId="2778" sId="4">
    <nc r="AE6">
      <v>100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82" sId="4" numFmtId="19">
    <nc r="Z6">
      <v>43927</v>
    </nc>
  </rcc>
  <rcc rId="2783" sId="4" numFmtId="19">
    <nc r="AA6">
      <v>43927</v>
    </nc>
  </rcc>
  <rcc rId="2784" sId="4">
    <nc r="AB6" t="inlineStr">
      <is>
        <t>OK</t>
      </is>
    </nc>
  </rcc>
  <rcc rId="2785" sId="4" numFmtId="19">
    <nc r="Z14">
      <v>43927</v>
    </nc>
  </rcc>
  <rcc rId="2786" sId="4" numFmtId="19">
    <nc r="AA14">
      <v>43927</v>
    </nc>
  </rcc>
  <rcc rId="2787" sId="4">
    <nc r="AB14" t="inlineStr">
      <is>
        <t>OK</t>
      </is>
    </nc>
  </rcc>
  <rcc rId="2788" sId="4" numFmtId="19">
    <nc r="Z15">
      <v>43927</v>
    </nc>
  </rcc>
  <rcc rId="2789" sId="4" numFmtId="19">
    <nc r="AA15">
      <v>43927</v>
    </nc>
  </rcc>
  <rcc rId="2790" sId="4">
    <nc r="AB15" t="inlineStr">
      <is>
        <t>OK</t>
      </is>
    </nc>
  </rcc>
  <rcc rId="2791" sId="4" numFmtId="19">
    <nc r="Z19">
      <v>43927</v>
    </nc>
  </rcc>
  <rcc rId="2792" sId="4" numFmtId="19">
    <nc r="AA19">
      <v>43927</v>
    </nc>
  </rcc>
  <rcc rId="2793" sId="4" odxf="1" dxf="1">
    <nc r="AB19" t="inlineStr">
      <is>
        <t>OK</t>
      </is>
    </nc>
    <odxf>
      <font>
        <sz val="11"/>
        <color theme="1"/>
        <name val="Calibri"/>
        <scheme val="minor"/>
      </font>
      <numFmt numFmtId="164" formatCode="[$-409]d\-mmm\-yyyy;@"/>
    </odxf>
    <ndxf>
      <font>
        <sz val="11"/>
        <color auto="1"/>
        <name val="Calibri"/>
        <scheme val="minor"/>
      </font>
      <numFmt numFmtId="0" formatCode="General"/>
    </ndxf>
  </rcc>
  <rcc rId="2794" sId="4" odxf="1" dxf="1">
    <nc r="AC1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95" sId="4" odxf="1" dxf="1">
    <nc r="AD1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96" sId="4" odxf="1" dxf="1">
    <nc r="AE1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AF19" start="0" length="0">
    <dxf>
      <font>
        <sz val="11"/>
        <color auto="1"/>
        <name val="Calibri"/>
        <scheme val="minor"/>
      </font>
    </dxf>
  </rfmt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00" sId="4" numFmtId="19">
    <nc r="Z18">
      <v>43927</v>
    </nc>
  </rcc>
  <rcc rId="2801" sId="4" numFmtId="19">
    <nc r="AA18">
      <v>43927</v>
    </nc>
  </rcc>
  <rcc rId="2802" sId="4">
    <nc r="AB18" t="inlineStr">
      <is>
        <t>OK</t>
      </is>
    </nc>
  </rcc>
</revisions>
</file>

<file path=xl/revisions/revisionLog1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03" sId="4" quotePrefix="1">
    <oc r="F27" t="inlineStr">
      <is>
        <t>-</t>
      </is>
    </oc>
    <nc r="F27" t="inlineStr">
      <is>
        <t xml:space="preserve">rb/as/fawhevx/fawcore/app/dcom/RBAPLCust/src/iBooster </t>
      </is>
    </nc>
  </rcc>
  <rcc rId="2804" sId="4" quotePrefix="1">
    <oc r="AH53" t="inlineStr">
      <is>
        <t>-SGMW_ABS93_MS_Stable\RB_SGMW_ABS93\rba\as\Bldr\HWRef\comps\ApplicationLayer\rba_BldrCmp\src</t>
      </is>
    </oc>
    <nc r="AH53" t="inlineStr">
      <is>
        <t>-SGMW_ABS93_MS_Stable/RB_SGMW_ABS93/rba/as/Bldr/HWRef/comps/ApplicationLayer/rba_BldrCmp/src</t>
      </is>
    </nc>
  </rcc>
  <rcc rId="2805" sId="4" quotePrefix="1">
    <oc r="AH57" t="inlineStr">
      <is>
        <t>-SGMW_ABS93_MS_Stable\RB_SGMW_ABS93\rba\BldrCmp\src</t>
      </is>
    </oc>
    <nc r="AH57" t="inlineStr">
      <is>
        <t>-SGMW_ABS93_MS_Stable/RB_SGMW_ABS93/rba/BldrCmp/src</t>
      </is>
    </nc>
  </rcc>
</revisions>
</file>

<file path=xl/revisions/revisionLog1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06" sId="4" xfDxf="1" dxf="1" quotePrefix="1">
    <oc r="F20" t="inlineStr">
      <is>
        <t>-</t>
      </is>
    </oc>
    <nc r="F20" t="inlineStr">
      <is>
        <t>iBoosterGen2\rb\as\faw\core\app\dcom\Cubas\src\Dcm_CNMS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7" sId="4">
    <nc r="V20">
      <v>1.49</v>
    </nc>
  </rcc>
  <rcc rId="2808" sId="4">
    <nc r="W20" t="inlineStr">
      <is>
        <t>Ready for review</t>
      </is>
    </nc>
  </rcc>
  <rcc rId="2809" sId="4" numFmtId="19">
    <nc r="Z20">
      <v>43927</v>
    </nc>
  </rcc>
  <rcc rId="2810" sId="4" numFmtId="19">
    <nc r="AA20">
      <v>43927</v>
    </nc>
  </rcc>
  <rcc rId="2811" sId="4" odxf="1" dxf="1">
    <nc r="AB20" t="inlineStr">
      <is>
        <t>OK</t>
      </is>
    </nc>
    <odxf>
      <font>
        <sz val="11"/>
        <color theme="1"/>
        <name val="Calibri"/>
        <scheme val="minor"/>
      </font>
      <numFmt numFmtId="164" formatCode="[$-409]d\-mmm\-yyyy;@"/>
    </odxf>
    <ndxf>
      <font>
        <sz val="11"/>
        <color auto="1"/>
        <name val="Calibri"/>
        <scheme val="minor"/>
      </font>
      <numFmt numFmtId="0" formatCode="General"/>
    </ndxf>
  </rcc>
  <rcc rId="2812" sId="4" odxf="1" dxf="1">
    <nc r="AC2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13" sId="4" odxf="1" dxf="1">
    <nc r="AD2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14" sId="4" odxf="1" dxf="1">
    <nc r="AE2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15" sId="4">
    <oc r="AG20" t="inlineStr">
      <is>
        <t>-waiting update component for test</t>
      </is>
    </oc>
    <nc r="AG20"/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m rId="2819" sheetId="4" source="F27" destination="F16" sourceSheetId="4">
    <rcc rId="0" sId="4" dxf="1" quotePrefix="1">
      <nc r="F16" t="inlineStr">
        <is>
          <t>-</t>
        </is>
      </nc>
      <n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m>
  <rcc rId="2820" sId="4" odxf="1" dxf="1" quotePrefix="1">
    <nc r="F27" t="inlineStr">
      <is>
        <t>-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1" sId="4" quotePrefix="1">
    <oc r="F16" t="inlineStr">
      <is>
        <t xml:space="preserve">rb/as/fawhevx/fawcore/app/dcom/RBAPLCust/src/iBooster </t>
      </is>
    </oc>
    <nc r="F16" t="inlineStr">
      <is>
        <t>rb/as/fawhevx/fawcore/app/dcom/RBAPLCust/src/iBooster</t>
      </is>
    </nc>
  </rcc>
  <rcc rId="2822" sId="4">
    <oc r="F6" t="inlineStr">
      <is>
        <t>GEEA2.0\rb\as\cevt\Geely\aswpr\EV\src</t>
      </is>
    </oc>
    <nc r="F6" t="inlineStr">
      <is>
        <t>GEEA2.0/rb/as/cevt/Geely/aswpr/EV/src</t>
      </is>
    </nc>
  </rcc>
  <rcc rId="2823" sId="4" quotePrefix="1">
    <oc r="F14" t="inlineStr">
      <is>
        <t>iBoosterGen2\rb\as\faw\core\app\dcom\RBAPLCust\src\common</t>
      </is>
    </oc>
    <nc r="F14" t="inlineStr">
      <is>
        <t>iBoosterGen2/rb/as/faw/core/app/dcom/RBAPLCust/src/common</t>
      </is>
    </nc>
  </rcc>
  <rcc rId="2824" sId="4" quotePrefix="1">
    <oc r="F15" t="inlineStr">
      <is>
        <t>iBoosterGen2\rb\as\faw\core\app\dcom\RBAPLCust\src\common</t>
      </is>
    </oc>
    <nc r="F15" t="inlineStr">
      <is>
        <t>iBoosterGen2/rb/as/faw/core/app/dcom/RBAPLCust/src/common</t>
      </is>
    </nc>
  </rcc>
  <rcc rId="2825" sId="4" quotePrefix="1">
    <oc r="F18" t="inlineStr">
      <is>
        <t>iBoosterGen2\rb\as\faw\core\app\dcom\RBAPLOBD\src</t>
      </is>
    </oc>
    <nc r="F18" t="inlineStr">
      <is>
        <t>iBoosterGen2/rb/as/faw/core/app/dcom/RBAPLOBD/src</t>
      </is>
    </nc>
  </rcc>
  <rcc rId="2826" sId="4" quotePrefix="1">
    <oc r="F19" t="inlineStr">
      <is>
        <t>iBoosterGen2\rb\as\faw\core\app\dcom\RBAPLOBD\src</t>
      </is>
    </oc>
    <nc r="F19" t="inlineStr">
      <is>
        <t>iBoosterGen2/rb/as/faw/core/app/dcom/RBAPLOBD/src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30" sId="4" quotePrefix="1">
    <oc r="F20" t="inlineStr">
      <is>
        <t>iBoosterGen2\rb\as\faw\core\app\dcom\Cubas\src\Dcm_CNMS</t>
      </is>
    </oc>
    <nc r="F20" t="inlineStr">
      <is>
        <t>iBoosterGen2/rb/as/faw/core/app/dcom/Cubas/src/Dcm_CNMS</t>
      </is>
    </nc>
  </rcc>
</revisions>
</file>

<file path=xl/revisions/revisionLog1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7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34" sId="4" quotePrefix="1">
    <oc r="AG61" t="inlineStr">
      <is>
        <t>-</t>
      </is>
    </oc>
    <nc r="AG61" t="inlineStr">
      <is>
        <t>- Don’t have database for test</t>
      </is>
    </nc>
  </rcc>
</revisions>
</file>

<file path=xl/revisions/revisionLog17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35" sId="4">
    <oc r="W3" t="inlineStr">
      <is>
        <t>Ready for review</t>
      </is>
    </oc>
    <nc r="W3" t="inlineStr">
      <is>
        <t>Complete &amp; Closed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7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39" sId="4">
    <oc r="V64">
      <v>2</v>
    </oc>
    <nc r="V64">
      <v>8</v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8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43" sId="4" quotePrefix="1">
    <oc r="F21" t="inlineStr">
      <is>
        <t>-</t>
      </is>
    </oc>
    <nc r="F21" t="inlineStr">
      <is>
        <t>rb/as/faw/core/app/dcom/RBAPLCust/src/common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8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47" sId="4" xfDxf="1" dxf="1" quotePrefix="1">
    <oc r="F25" t="inlineStr">
      <is>
        <t>-</t>
      </is>
    </oc>
    <nc r="F25" t="inlineStr">
      <is>
        <t>CNMSESPHevX\rb\as\fawesphevx\fawcore\app\dcom\RBAPLCust\src\common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48" sId="4" quotePrefix="1">
    <oc r="F26" t="inlineStr">
      <is>
        <t>-</t>
      </is>
    </oc>
    <nc r="F26" t="inlineStr">
      <is>
        <t>CNMSESPHevX\rb\as\fawesphevx\fawcore\app\dcom\RBAPLCust\src\common</t>
      </is>
    </nc>
  </rcc>
</revisions>
</file>

<file path=xl/revisions/revisionLog18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49" sId="4">
    <nc r="T25">
      <f>S25</f>
    </nc>
  </rcc>
  <rcc rId="2850" sId="4">
    <nc r="V25">
      <v>0.96</v>
    </nc>
  </rcc>
  <rcc rId="2851" sId="4">
    <nc r="W25" t="inlineStr">
      <is>
        <t>Ready for review</t>
      </is>
    </nc>
  </rcc>
  <rcc rId="2852" sId="4" numFmtId="19">
    <nc r="Z25">
      <v>43927</v>
    </nc>
  </rcc>
  <rcc rId="2853" sId="4" numFmtId="19">
    <nc r="AA25">
      <v>43927</v>
    </nc>
  </rcc>
  <rcc rId="2854" sId="4">
    <nc r="AB25" t="inlineStr">
      <is>
        <t>OK</t>
      </is>
    </nc>
  </rcc>
  <rcc rId="2855" sId="4">
    <nc r="AC25">
      <v>100</v>
    </nc>
  </rcc>
  <rcc rId="2856" sId="4">
    <nc r="AD25">
      <v>100</v>
    </nc>
  </rcc>
  <rcc rId="2857" sId="4">
    <nc r="AE25">
      <v>100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8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61" sId="4" numFmtId="19">
    <nc r="Z26">
      <v>43927</v>
    </nc>
  </rcc>
  <rcc rId="2862" sId="4" numFmtId="19">
    <nc r="AA26">
      <v>43927</v>
    </nc>
  </rcc>
  <rcc rId="2863" sId="4">
    <nc r="AB26" t="inlineStr">
      <is>
        <t>OK</t>
      </is>
    </nc>
  </rcc>
  <rcc rId="2864" sId="4">
    <nc r="AC26">
      <v>100</v>
    </nc>
  </rcc>
  <rcc rId="2865" sId="4">
    <nc r="AD26">
      <v>100</v>
    </nc>
  </rcc>
  <rcc rId="2866" sId="4">
    <nc r="AE26">
      <v>100</v>
    </nc>
  </rcc>
  <rcc rId="2867" sId="4">
    <nc r="W26" t="inlineStr">
      <is>
        <t>Ready for review</t>
      </is>
    </nc>
  </rcc>
  <rcc rId="2868" sId="4">
    <nc r="V26">
      <v>2.2999999999999998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8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72" sId="4" xfDxf="1" dxf="1" quotePrefix="1">
    <oc r="F29" t="inlineStr">
      <is>
        <t>-</t>
      </is>
    </oc>
    <nc r="F29" t="inlineStr">
      <is>
        <t>CNMSESPHevX\rb\as\fawesphevx\fawcore\app\dcom\RBAPLOBD\src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73" sId="4" quotePrefix="1">
    <oc r="F30" t="inlineStr">
      <is>
        <t>-</t>
      </is>
    </oc>
    <nc r="F30" t="inlineStr">
      <is>
        <t>CNMSESPHevX\rb\as\fawesphevx\fawcore\app\dcom\RBAPLOBD\src</t>
      </is>
    </nc>
  </rcc>
  <rcc rId="2874" sId="4">
    <nc r="W30" t="inlineStr">
      <is>
        <t>Ready for review</t>
      </is>
    </nc>
  </rcc>
  <rcc rId="2875" sId="4" odxf="1" dxf="1" numFmtId="19">
    <oc r="X30">
      <v>43922</v>
    </oc>
    <nc r="X30">
      <v>43921</v>
    </nc>
    <odxf>
      <font>
        <sz val="11"/>
        <color theme="1"/>
        <name val="Calibri"/>
        <scheme val="minor"/>
      </font>
    </odxf>
    <ndxf>
      <font>
        <sz val="11"/>
        <color theme="1"/>
        <name val="Calibri"/>
        <scheme val="minor"/>
      </font>
    </ndxf>
  </rcc>
  <rcc rId="2876" sId="4" numFmtId="19">
    <oc r="Y30">
      <v>43929</v>
    </oc>
    <nc r="Y30">
      <v>43927</v>
    </nc>
  </rcc>
  <rcc rId="2877" sId="4" numFmtId="19">
    <nc r="Z30">
      <v>43927</v>
    </nc>
  </rcc>
  <rcc rId="2878" sId="4" numFmtId="19">
    <nc r="AA30">
      <v>43927</v>
    </nc>
  </rcc>
  <rcc rId="2879" sId="4" odxf="1" dxf="1">
    <nc r="AB30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880" sId="4">
    <nc r="AC30">
      <v>100</v>
    </nc>
  </rcc>
  <rcc rId="2881" sId="4">
    <nc r="AD30">
      <v>100</v>
    </nc>
  </rcc>
  <rcc rId="2882" sId="4">
    <nc r="AE30">
      <v>100</v>
    </nc>
  </rcc>
  <rcc rId="2883" sId="4" quotePrefix="1">
    <oc r="AG30" t="inlineStr">
      <is>
        <t>-</t>
      </is>
    </oc>
    <nc r="AG30" t="inlineStr">
      <is>
        <t>- don’t have function for test</t>
      </is>
    </nc>
  </rcc>
  <rcc rId="2884" sId="4">
    <nc r="V30">
      <v>0.1</v>
    </nc>
  </rcc>
  <rcc rId="2885" sId="4">
    <nc r="V29">
      <v>3.53</v>
    </nc>
  </rcc>
  <rcc rId="2886" sId="4">
    <nc r="W29" t="inlineStr">
      <is>
        <t>Ready for review</t>
      </is>
    </nc>
  </rcc>
  <rcc rId="2887" sId="4" odxf="1" dxf="1" numFmtId="19">
    <oc r="X29">
      <v>43922</v>
    </oc>
    <nc r="X29">
      <v>43921</v>
    </nc>
    <odxf>
      <font>
        <sz val="11"/>
        <color theme="1"/>
        <name val="Calibri"/>
        <scheme val="minor"/>
      </font>
    </odxf>
    <ndxf>
      <font>
        <sz val="11"/>
        <color theme="1"/>
        <name val="Calibri"/>
        <scheme val="minor"/>
      </font>
    </ndxf>
  </rcc>
  <rcc rId="2888" sId="4" numFmtId="19">
    <oc r="Y29">
      <v>43929</v>
    </oc>
    <nc r="Y29">
      <v>43927</v>
    </nc>
  </rcc>
  <rcc rId="2889" sId="4" numFmtId="19">
    <nc r="Z29">
      <v>43927</v>
    </nc>
  </rcc>
  <rcc rId="2890" sId="4" numFmtId="19">
    <nc r="AA29">
      <v>43927</v>
    </nc>
  </rcc>
  <rcc rId="2891" sId="4" odxf="1" dxf="1">
    <nc r="AB29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892" sId="4" odxf="1" dxf="1">
    <nc r="AC29">
      <v>100</v>
    </nc>
    <odxf>
      <font>
        <color auto="1"/>
      </font>
    </odxf>
    <ndxf>
      <font>
        <color auto="1"/>
      </font>
    </ndxf>
  </rcc>
  <rcc rId="2893" sId="4" odxf="1" dxf="1">
    <nc r="AD29">
      <v>100</v>
    </nc>
    <odxf>
      <font>
        <color auto="1"/>
      </font>
    </odxf>
    <ndxf>
      <font>
        <color auto="1"/>
      </font>
    </ndxf>
  </rcc>
  <rcc rId="2894" sId="4" odxf="1" dxf="1">
    <nc r="AE29">
      <v>100</v>
    </nc>
    <odxf>
      <font>
        <color auto="1"/>
      </font>
    </odxf>
    <ndxf>
      <font>
        <color auto="1"/>
      </font>
    </ndxf>
  </rcc>
  <rfmt sheetId="4" sqref="AF29" start="0" length="0">
    <dxf>
      <font>
        <sz val="11"/>
        <color theme="1"/>
        <name val="Calibri"/>
        <scheme val="minor"/>
      </font>
    </dxf>
  </rfmt>
</revisions>
</file>

<file path=xl/revisions/revisionLog18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95" sId="4">
    <nc r="T29">
      <v>199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8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99" sId="4">
    <nc r="T30">
      <v>6</v>
    </nc>
  </rcc>
</revisions>
</file>

<file path=xl/revisions/revisionLog18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00" sId="4">
    <oc r="S58">
      <f>R58</f>
    </oc>
    <nc r="S58">
      <f>R58+357-R58</f>
    </nc>
  </rcc>
  <rcc rId="2901" sId="4">
    <nc r="T58">
      <f>S58</f>
    </nc>
  </rcc>
  <rfmt sheetId="4" sqref="S58">
    <dxf>
      <fill>
        <patternFill patternType="solid">
          <bgColor rgb="FFFF0000"/>
        </patternFill>
      </fill>
    </dxf>
  </rfmt>
  <rcc rId="2902" sId="4">
    <nc r="V58">
      <v>4</v>
    </nc>
  </rcc>
  <rcc rId="2903" sId="4">
    <nc r="W58" t="inlineStr">
      <is>
        <t>Ready for review</t>
      </is>
    </nc>
  </rcc>
  <rcc rId="2904" sId="4" numFmtId="19">
    <nc r="Z58">
      <v>43927</v>
    </nc>
  </rcc>
  <rcc rId="2905" sId="4" numFmtId="19">
    <nc r="AA58">
      <v>43927</v>
    </nc>
  </rcc>
  <rcc rId="2906" sId="4" odxf="1" dxf="1">
    <nc r="AB5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907" sId="4" odxf="1" dxf="1">
    <nc r="AC5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08" sId="4" odxf="1" dxf="1">
    <nc r="AD5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09" sId="4" odxf="1" dxf="1">
    <nc r="AE5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10" sId="4" odxf="1" dxf="1">
    <nc r="AF58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18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14" sId="4">
    <nc r="V31">
      <v>1.49</v>
    </nc>
  </rcc>
  <rcc rId="2915" sId="4">
    <nc r="W31" t="inlineStr">
      <is>
        <t>Ready for review</t>
      </is>
    </nc>
  </rcc>
  <rcc rId="2916" sId="4" odxf="1" dxf="1" numFmtId="19">
    <oc r="X31">
      <v>43922</v>
    </oc>
    <nc r="X31">
      <v>43921</v>
    </nc>
    <odxf>
      <font>
        <sz val="11"/>
        <color theme="1"/>
        <name val="Calibri"/>
        <scheme val="minor"/>
      </font>
    </odxf>
    <ndxf>
      <font>
        <sz val="11"/>
        <color theme="1"/>
        <name val="Calibri"/>
        <scheme val="minor"/>
      </font>
    </ndxf>
  </rcc>
  <rcc rId="2917" sId="4" numFmtId="19">
    <oc r="Y31">
      <v>43929</v>
    </oc>
    <nc r="Y31">
      <v>43927</v>
    </nc>
  </rcc>
  <rcc rId="2918" sId="4" numFmtId="19">
    <nc r="Z31">
      <v>43927</v>
    </nc>
  </rcc>
  <rcc rId="2919" sId="4" numFmtId="19">
    <nc r="AA31">
      <v>43927</v>
    </nc>
  </rcc>
  <rcc rId="2920" sId="4" odxf="1" dxf="1">
    <nc r="AB31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921" sId="4">
    <nc r="AC31">
      <v>100</v>
    </nc>
  </rcc>
  <rcc rId="2922" sId="4">
    <nc r="AD31">
      <v>100</v>
    </nc>
  </rcc>
  <rcc rId="2923" sId="4">
    <nc r="AE31">
      <v>100</v>
    </nc>
  </rcc>
  <rfmt sheetId="4" sqref="AF31" start="0" length="0">
    <dxf>
      <font>
        <sz val="11"/>
        <color theme="1"/>
        <name val="Calibri"/>
        <scheme val="minor"/>
      </font>
    </dxf>
  </rfmt>
  <rcc rId="2924" sId="4">
    <oc r="AG31" t="inlineStr">
      <is>
        <t>-</t>
      </is>
    </oc>
    <nc r="AG31"/>
  </rcc>
</revisions>
</file>

<file path=xl/revisions/revisionLog18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25" sId="4" odxf="1" dxf="1" numFmtId="19">
    <oc r="X29">
      <v>43921</v>
    </oc>
    <nc r="X29">
      <v>43922</v>
    </nc>
    <odxf>
      <font/>
    </odxf>
    <ndxf>
      <font>
        <sz val="11"/>
        <color theme="1"/>
        <name val="Calibri"/>
        <scheme val="minor"/>
      </font>
    </ndxf>
  </rcc>
  <rcc rId="2926" sId="4" numFmtId="19">
    <oc r="Y29">
      <v>43927</v>
    </oc>
    <nc r="Y29">
      <v>43929</v>
    </nc>
  </rcc>
  <rcc rId="2927" sId="4" odxf="1" dxf="1" numFmtId="19">
    <oc r="X30">
      <v>43921</v>
    </oc>
    <nc r="X30">
      <v>43922</v>
    </nc>
    <odxf>
      <font/>
    </odxf>
    <ndxf>
      <font>
        <sz val="11"/>
        <color theme="1"/>
        <name val="Calibri"/>
        <scheme val="minor"/>
      </font>
    </ndxf>
  </rcc>
  <rcc rId="2928" sId="4" numFmtId="19">
    <oc r="Y30">
      <v>43927</v>
    </oc>
    <nc r="Y30">
      <v>43929</v>
    </nc>
  </rcc>
  <rcc rId="2929" sId="4" odxf="1" dxf="1" numFmtId="19">
    <oc r="X31">
      <v>43921</v>
    </oc>
    <nc r="X31">
      <v>43922</v>
    </nc>
    <odxf>
      <font/>
    </odxf>
    <ndxf>
      <font>
        <sz val="11"/>
        <color theme="1"/>
        <name val="Calibri"/>
        <scheme val="minor"/>
      </font>
    </ndxf>
  </rcc>
  <rcc rId="2930" sId="4" numFmtId="19">
    <oc r="Y31">
      <v>43927</v>
    </oc>
    <nc r="Y31">
      <v>43929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9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34" sId="4" xfDxf="1" dxf="1" quotePrefix="1">
    <oc r="F31" t="inlineStr">
      <is>
        <t>-</t>
      </is>
    </oc>
    <nc r="F31" t="inlineStr">
      <is>
        <t>CNMSESPHevX\rb\as\fawesphevx\fawcore\app\dcom\Cubas\src\Dcm_CNMS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35" sId="4">
    <nc r="T26">
      <f>S26</f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9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39" sId="4">
    <oc r="V58">
      <v>4</v>
    </oc>
    <nc r="V58">
      <v>8</v>
    </nc>
  </rcc>
</revisions>
</file>

<file path=xl/revisions/revisionLog19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40" sId="4" quotePrefix="1">
    <oc r="AG61" t="inlineStr">
      <is>
        <t>- Don’t have database for test</t>
      </is>
    </oc>
    <nc r="AG61" t="inlineStr">
      <is>
        <t>-</t>
      </is>
    </nc>
  </rcc>
  <rcc rId="2941" sId="4" odxf="1" dxf="1">
    <oc r="R61" t="inlineStr">
      <is>
        <t xml:space="preserve"> </t>
      </is>
    </oc>
    <nc r="R61">
      <v>138</v>
    </nc>
    <odxf>
      <font>
        <sz val="11"/>
        <color theme="1"/>
        <name val="Calibri"/>
        <scheme val="minor"/>
      </font>
      <alignment horizontal="left" vertical="top" readingOrder="0"/>
    </odxf>
    <ndxf>
      <font>
        <sz val="11"/>
        <color rgb="FFFF0000"/>
        <name val="Calibri"/>
        <scheme val="minor"/>
      </font>
      <alignment horizontal="general" vertical="bottom" readingOrder="0"/>
    </ndxf>
  </rcc>
  <rcmt sheetId="4" cell="R61" guid="{00000000-0000-0000-0000-000000000000}" action="delete" author="EXTERNAL Nguyen Tuan Duong (Ban Vien, RBVH/EPS45)"/>
  <rcc rId="2942" sId="4">
    <nc r="T61">
      <f>S61</f>
    </nc>
  </rcc>
  <rcc rId="2943" sId="4">
    <nc r="U61">
      <f>ROUNDDOWN(S61/HLOOKUP(D61,Table!$C$3:$D$4,2,0)*8,2)</f>
    </nc>
  </rcc>
  <rcc rId="2944" sId="4">
    <nc r="V61">
      <v>1</v>
    </nc>
  </rcc>
  <rcc rId="2945" sId="4">
    <nc r="W61" t="inlineStr">
      <is>
        <t>Ready for review</t>
      </is>
    </nc>
  </rcc>
  <rcc rId="2946" sId="4" numFmtId="19">
    <nc r="Z61">
      <v>43927</v>
    </nc>
  </rcc>
  <rcc rId="2947" sId="4" numFmtId="19">
    <nc r="AA61">
      <v>43927</v>
    </nc>
  </rcc>
  <rcc rId="2948" sId="4" odxf="1" dxf="1">
    <nc r="AB61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949" sId="4" odxf="1" dxf="1">
    <nc r="AC6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50" sId="4" odxf="1" dxf="1">
    <nc r="AD6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51" sId="4" odxf="1" dxf="1">
    <nc r="AE6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9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9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COEM_Package_20200302!$B$2:$AG$225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9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61" sId="4">
    <oc r="S59">
      <f>R59</f>
    </oc>
    <nc r="S59">
      <f>R59+210-180</f>
    </nc>
  </rcc>
  <rfmt sheetId="4" sqref="S59">
    <dxf>
      <fill>
        <patternFill patternType="solid">
          <bgColor rgb="FFFF0000"/>
        </patternFill>
      </fill>
    </dxf>
  </rfmt>
  <rcc rId="2962" sId="4">
    <nc r="T59">
      <f>S59</f>
    </nc>
  </rcc>
</revisions>
</file>

<file path=xl/revisions/revisionLog19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R61">
    <dxf>
      <alignment horizontal="left" readingOrder="0"/>
    </dxf>
  </rfmt>
</revisions>
</file>

<file path=xl/revisions/revisionLog19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4:H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9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0:H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9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0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0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75" sId="4">
    <nc r="O74" t="inlineStr">
      <is>
        <t>loc.do-phu</t>
      </is>
    </nc>
  </rcc>
  <rcc rId="2976" sId="4">
    <nc r="O75" t="inlineStr">
      <is>
        <t>loc.do-phu</t>
      </is>
    </nc>
  </rcc>
  <rcc rId="2977" sId="4">
    <nc r="O76" t="inlineStr">
      <is>
        <t>loc.do-phu</t>
      </is>
    </nc>
  </rcc>
  <rcc rId="2978" sId="4">
    <nc r="O77" t="inlineStr">
      <is>
        <t>loc.do-phu</t>
      </is>
    </nc>
  </rcc>
  <rcc rId="2979" sId="4">
    <nc r="O78" t="inlineStr">
      <is>
        <t>loc.do-phu</t>
      </is>
    </nc>
  </rcc>
  <rcc rId="2980" sId="4">
    <nc r="O79" t="inlineStr">
      <is>
        <t>chung.ly</t>
      </is>
    </nc>
  </rcc>
  <rcc rId="2981" sId="4">
    <oc r="D74" t="inlineStr">
      <is>
        <t>ASW</t>
      </is>
    </oc>
    <nc r="D74" t="inlineStr">
      <is>
        <t>PSW</t>
      </is>
    </nc>
  </rcc>
  <rcc rId="2982" sId="4">
    <oc r="D76" t="inlineStr">
      <is>
        <t>ASW</t>
      </is>
    </oc>
    <nc r="D76" t="inlineStr">
      <is>
        <t>PSW</t>
      </is>
    </nc>
  </rcc>
  <rcc rId="2983" sId="4">
    <oc r="D77" t="inlineStr">
      <is>
        <t>ASW</t>
      </is>
    </oc>
    <nc r="D77" t="inlineStr">
      <is>
        <t>PSW</t>
      </is>
    </nc>
  </rcc>
  <rcc rId="2984" sId="4">
    <oc r="D78" t="inlineStr">
      <is>
        <t>ASW</t>
      </is>
    </oc>
    <nc r="D78" t="inlineStr">
      <is>
        <t>PSW</t>
      </is>
    </nc>
  </rcc>
  <rcc rId="2985" sId="4">
    <oc r="D79" t="inlineStr">
      <is>
        <t>ASW</t>
      </is>
    </oc>
    <nc r="D79" t="inlineStr">
      <is>
        <t>PSW</t>
      </is>
    </nc>
  </rcc>
  <rcc rId="2986" sId="4">
    <oc r="D80" t="inlineStr">
      <is>
        <t>ASW</t>
      </is>
    </oc>
    <nc r="D80" t="inlineStr">
      <is>
        <t>PSW</t>
      </is>
    </nc>
  </rcc>
  <rcc rId="2987" sId="4">
    <oc r="D81" t="inlineStr">
      <is>
        <t>ASW</t>
      </is>
    </oc>
    <nc r="D81" t="inlineStr">
      <is>
        <t>PSW</t>
      </is>
    </nc>
  </rcc>
  <rcc rId="2988" sId="4">
    <oc r="D82" t="inlineStr">
      <is>
        <t>ASW</t>
      </is>
    </oc>
    <nc r="D82" t="inlineStr">
      <is>
        <t>PSW</t>
      </is>
    </nc>
  </rcc>
  <rcc rId="2989" sId="4">
    <oc r="D83" t="inlineStr">
      <is>
        <t>ASW</t>
      </is>
    </oc>
    <nc r="D83" t="inlineStr">
      <is>
        <t>PSW</t>
      </is>
    </nc>
  </rcc>
  <rcc rId="2990" sId="4">
    <oc r="D84" t="inlineStr">
      <is>
        <t>ASW</t>
      </is>
    </oc>
    <nc r="D84" t="inlineStr">
      <is>
        <t>PSW</t>
      </is>
    </nc>
  </rcc>
  <rcc rId="2991" sId="4">
    <oc r="D85" t="inlineStr">
      <is>
        <t>ASW</t>
      </is>
    </oc>
    <nc r="D85" t="inlineStr">
      <is>
        <t>PSW</t>
      </is>
    </nc>
  </rcc>
  <rcc rId="2992" sId="4">
    <oc r="D86" t="inlineStr">
      <is>
        <t>ASW</t>
      </is>
    </oc>
    <nc r="D86" t="inlineStr">
      <is>
        <t>PSW</t>
      </is>
    </nc>
  </rcc>
  <rcc rId="2993" sId="4">
    <oc r="D87" t="inlineStr">
      <is>
        <t>ASW</t>
      </is>
    </oc>
    <nc r="D87" t="inlineStr">
      <is>
        <t>PSW</t>
      </is>
    </nc>
  </rcc>
  <rcc rId="2994" sId="4">
    <oc r="D88" t="inlineStr">
      <is>
        <t>ASW</t>
      </is>
    </oc>
    <nc r="D88" t="inlineStr">
      <is>
        <t>PSW</t>
      </is>
    </nc>
  </rcc>
  <rcc rId="2995" sId="4">
    <oc r="D89" t="inlineStr">
      <is>
        <t>ASW</t>
      </is>
    </oc>
    <nc r="D89" t="inlineStr">
      <is>
        <t>PSW</t>
      </is>
    </nc>
  </rcc>
  <rcc rId="2996" sId="4">
    <oc r="D90" t="inlineStr">
      <is>
        <t>ASW</t>
      </is>
    </oc>
    <nc r="D90" t="inlineStr">
      <is>
        <t>PSW</t>
      </is>
    </nc>
  </rcc>
  <rcc rId="2997" sId="4">
    <oc r="D91" t="inlineStr">
      <is>
        <t>ASW</t>
      </is>
    </oc>
    <nc r="D91" t="inlineStr">
      <is>
        <t>PSW</t>
      </is>
    </nc>
  </rcc>
  <rcc rId="2998" sId="4">
    <oc r="D75" t="inlineStr">
      <is>
        <t>ASW</t>
      </is>
    </oc>
    <nc r="D75" t="inlineStr">
      <is>
        <t>PSW</t>
      </is>
    </nc>
  </rcc>
  <rcc rId="2999" sId="4">
    <nc r="O80" t="inlineStr">
      <is>
        <t>duong.nguyen</t>
      </is>
    </nc>
  </rcc>
  <rcc rId="3000" sId="4">
    <nc r="O81" t="inlineStr">
      <is>
        <t>loc.do-phu</t>
      </is>
    </nc>
  </rcc>
  <rcc rId="3001" sId="4">
    <nc r="O82" t="inlineStr">
      <is>
        <t>loc.do-phu</t>
      </is>
    </nc>
  </rcc>
  <rcc rId="3002" sId="4">
    <nc r="O83" t="inlineStr">
      <is>
        <t>thanh.nguyen-kim</t>
      </is>
    </nc>
  </rcc>
  <rcc rId="3003" sId="4">
    <nc r="O84" t="inlineStr">
      <is>
        <t>thanh.nguyen-kim</t>
      </is>
    </nc>
  </rcc>
  <rcc rId="3004" sId="4">
    <nc r="O85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COEM_Package_20200302!$B$2:$AG$225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08" sId="4">
    <nc r="O87" t="inlineStr">
      <is>
        <t>chung.ly</t>
      </is>
    </nc>
  </rcc>
  <rcc rId="3009" sId="4">
    <nc r="O90" t="inlineStr">
      <is>
        <t>duong.nguyen</t>
      </is>
    </nc>
  </rcc>
  <rcc rId="3010" sId="4">
    <nc r="O91" t="inlineStr">
      <is>
        <t>duong.nguyen</t>
      </is>
    </nc>
  </rcc>
  <rcc rId="3011" sId="4">
    <oc r="O81" t="inlineStr">
      <is>
        <t>loc.do-phu</t>
      </is>
    </oc>
    <nc r="O81" t="inlineStr">
      <is>
        <t>duong.nguyen</t>
      </is>
    </nc>
  </rcc>
  <rcc rId="3012" sId="4">
    <nc r="O86" t="inlineStr">
      <is>
        <t>chung.ly</t>
      </is>
    </nc>
  </rcc>
  <rcc rId="3013" sId="4">
    <nc r="O88" t="inlineStr">
      <is>
        <t>loc.do-phu</t>
      </is>
    </nc>
  </rcc>
  <rcc rId="3014" sId="4">
    <nc r="O89" t="inlineStr">
      <is>
        <t>loc.do-phu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18" sId="4">
    <oc r="O78" t="inlineStr">
      <is>
        <t>loc.do-phu</t>
      </is>
    </oc>
    <nc r="O78" t="inlineStr">
      <is>
        <t>chung.ly</t>
      </is>
    </nc>
  </rcc>
  <rcc rId="3019" sId="4">
    <oc r="O87" t="inlineStr">
      <is>
        <t>chung.ly</t>
      </is>
    </oc>
    <nc r="O87" t="inlineStr">
      <is>
        <t>loc.do-phu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0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26" sId="4">
    <nc r="K74" t="inlineStr">
      <is>
        <t>\\10.184.143.103\d\vivi\BV\DB\06Mar\Nissan_35.zip</t>
      </is>
    </nc>
  </rcc>
  <rcc rId="3027" sId="4">
    <nc r="K75" t="inlineStr">
      <is>
        <t>\\10.184.143.103\d\vivi\BV\DB\06Mar\Nissan_35.zip</t>
      </is>
    </nc>
  </rcc>
  <rcc rId="3028" sId="4">
    <nc r="K76" t="inlineStr">
      <is>
        <t>\\10.184.143.103\d\vivi\BV\DB\06Mar\Nissan_35.zip</t>
      </is>
    </nc>
  </rcc>
  <rcc rId="3029" sId="4">
    <nc r="K77" t="inlineStr">
      <is>
        <t>\\10.184.143.103\d\vivi\BV\DB\06Mar\Nissan_35.zip</t>
      </is>
    </nc>
  </rcc>
  <rcc rId="3030" sId="4">
    <nc r="K78" t="inlineStr">
      <is>
        <t>\\10.184.143.103\d\vivi\BV\DB\06Mar\Nissan_35.zip</t>
      </is>
    </nc>
  </rcc>
  <rcc rId="3031" sId="4">
    <nc r="K79" t="inlineStr">
      <is>
        <t>\\10.184.143.103\d\vivi\BV\DB\06Mar\Nissan_35.zip</t>
      </is>
    </nc>
  </rcc>
  <rcc rId="3032" sId="4">
    <nc r="K80" t="inlineStr">
      <is>
        <t>\\10.184.143.103\d\vivi\BV\DB\06Mar\Nissan_35.zip</t>
      </is>
    </nc>
  </rcc>
  <rcc rId="3033" sId="4">
    <nc r="K81" t="inlineStr">
      <is>
        <t>\\10.184.143.103\d\vivi\BV\DB\06Mar\Nissan_35.zip</t>
      </is>
    </nc>
  </rcc>
  <rcc rId="3034" sId="4">
    <nc r="K82" t="inlineStr">
      <is>
        <t>\\10.184.143.103\d\vivi\BV\DB\06Mar\Nissan_35.zip</t>
      </is>
    </nc>
  </rcc>
  <rcc rId="3035" sId="4">
    <nc r="K83" t="inlineStr">
      <is>
        <t>\\10.184.143.103\d\vivi\BV\DB\06Mar\Nissan_35.zip</t>
      </is>
    </nc>
  </rcc>
  <rcc rId="3036" sId="4">
    <nc r="K84" t="inlineStr">
      <is>
        <t>\\10.184.143.103\d\vivi\BV\DB\06Mar\Nissan_35.zip</t>
      </is>
    </nc>
  </rcc>
  <rcc rId="3037" sId="4">
    <nc r="K85" t="inlineStr">
      <is>
        <t>\\10.184.143.103\d\vivi\BV\DB\06Mar\Nissan_35.zip</t>
      </is>
    </nc>
  </rcc>
  <rcc rId="3038" sId="4">
    <nc r="K86" t="inlineStr">
      <is>
        <t>\\10.184.143.103\d\vivi\BV\DB\06Mar\Nissan_35.zip</t>
      </is>
    </nc>
  </rcc>
  <rcc rId="3039" sId="4">
    <nc r="K87" t="inlineStr">
      <is>
        <t>\\10.184.143.103\d\vivi\BV\DB\06Mar\Nissan_35.zip</t>
      </is>
    </nc>
  </rcc>
  <rcc rId="3040" sId="4">
    <nc r="K88" t="inlineStr">
      <is>
        <t>\\10.184.143.103\d\vivi\BV\DB\06Mar\Nissan_35.zip</t>
      </is>
    </nc>
  </rcc>
  <rcc rId="3041" sId="4">
    <nc r="K89" t="inlineStr">
      <is>
        <t>\\10.184.143.103\d\vivi\BV\DB\06Mar\Nissan_35.zip</t>
      </is>
    </nc>
  </rcc>
  <rcc rId="3042" sId="4">
    <nc r="K90" t="inlineStr">
      <is>
        <t>\\10.184.143.103\d\vivi\BV\DB\06Mar\Nissan_35.zip</t>
      </is>
    </nc>
  </rcc>
  <rcc rId="3043" sId="4">
    <nc r="K91" t="inlineStr">
      <is>
        <t>\\10.184.143.103\d\vivi\BV\DB\06Mar\Nissan_35.zip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53" sId="4">
    <nc r="T60">
      <v>219</v>
    </nc>
  </rcc>
  <rcc rId="3054" sId="4">
    <nc r="V60">
      <v>5</v>
    </nc>
  </rcc>
  <rcc rId="3055" sId="4">
    <nc r="W60" t="inlineStr">
      <is>
        <t>Ready for review</t>
      </is>
    </nc>
  </rcc>
  <rcc rId="3056" sId="4" numFmtId="19">
    <nc r="Z60">
      <v>43928</v>
    </nc>
  </rcc>
  <rcc rId="3057" sId="4" numFmtId="19">
    <nc r="AA60">
      <v>43928</v>
    </nc>
  </rcc>
  <rcc rId="3058" sId="4" odxf="1" dxf="1">
    <nc r="AB60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059" sId="4" odxf="1" dxf="1">
    <nc r="AC6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0" sId="4" odxf="1" dxf="1">
    <nc r="AD6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1" sId="4" odxf="1" dxf="1">
    <nc r="AE6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2" sId="4" odxf="1" dxf="1">
    <nc r="AF60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3" sId="4" odxf="1" dxf="1">
    <nc r="AF61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0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67" sId="4">
    <nc r="V59">
      <v>2</v>
    </nc>
  </rcc>
  <rcc rId="3068" sId="4">
    <nc r="W59" t="inlineStr">
      <is>
        <t>Ready for review</t>
      </is>
    </nc>
  </rcc>
  <rcc rId="3069" sId="4" numFmtId="19">
    <nc r="Z59">
      <v>43928</v>
    </nc>
  </rcc>
  <rcc rId="3070" sId="4" numFmtId="19">
    <nc r="AA59">
      <v>43928</v>
    </nc>
  </rcc>
  <rcc rId="3071" sId="4" odxf="1" dxf="1">
    <nc r="AB59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072" sId="4" odxf="1" dxf="1">
    <nc r="AC5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73" sId="4" odxf="1" dxf="1">
    <nc r="AD5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74" sId="4" odxf="1" dxf="1">
    <nc r="AE5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75" sId="4" odxf="1" dxf="1">
    <nc r="AF59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79" sId="4" odxf="1" dxf="1">
    <oc r="S33">
      <f>R33</f>
    </oc>
    <nc r="S33">
      <f>R33 +164 -R33</f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3080" sId="4" odxf="1" dxf="1">
    <oc r="S43">
      <f>R43</f>
    </oc>
    <nc r="S43">
      <f>R43 + 295 -R43</f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3081" sId="4">
    <nc r="T33">
      <f>S33</f>
    </nc>
  </rcc>
  <rcc rId="3082" sId="4">
    <nc r="T34">
      <f>S34</f>
    </nc>
  </rcc>
  <rcc rId="3083" sId="4">
    <nc r="T35">
      <f>S35</f>
    </nc>
  </rcc>
  <rcc rId="3084" sId="4">
    <nc r="T43">
      <f>S43</f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2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88" sId="4">
    <oc r="S66">
      <f>R66</f>
    </oc>
    <nc r="S66">
      <f>R66+342-120</f>
    </nc>
  </rcc>
  <rfmt sheetId="4" sqref="S66">
    <dxf>
      <fill>
        <patternFill patternType="solid">
          <bgColor rgb="FFFF0000"/>
        </patternFill>
      </fill>
    </dxf>
  </rfmt>
  <rcc rId="3089" sId="4">
    <nc r="T66">
      <f>S66</f>
    </nc>
  </rcc>
  <rcc rId="3090" sId="4">
    <oc r="S65">
      <f>R65</f>
    </oc>
    <nc r="S65">
      <f>R65+107-145</f>
    </nc>
  </rcc>
  <rfmt sheetId="4" sqref="S65">
    <dxf>
      <fill>
        <patternFill patternType="solid">
          <bgColor rgb="FFFF0000"/>
        </patternFill>
      </fill>
    </dxf>
  </rfmt>
  <rcc rId="3091" sId="4">
    <nc r="T65">
      <f>S65</f>
    </nc>
  </rcc>
  <rcc rId="3092" sId="4">
    <nc r="V65">
      <v>1</v>
    </nc>
  </rcc>
  <rcc rId="3093" sId="4">
    <nc r="W65" t="inlineStr">
      <is>
        <t>Ready for review</t>
      </is>
    </nc>
  </rcc>
  <rcc rId="3094" sId="4" numFmtId="19">
    <nc r="Z65">
      <v>43928</v>
    </nc>
  </rcc>
  <rcc rId="3095" sId="4" numFmtId="19">
    <nc r="AA65">
      <v>43928</v>
    </nc>
  </rcc>
  <rcc rId="3096" sId="4" odxf="1" dxf="1">
    <nc r="AB65" t="inlineStr">
      <is>
        <t>OK</t>
      </is>
    </nc>
    <odxf/>
    <ndxf/>
  </rcc>
  <rcc rId="3097" sId="4">
    <nc r="AC65">
      <v>100</v>
    </nc>
  </rcc>
  <rcc rId="3098" sId="4">
    <nc r="AD65">
      <v>100</v>
    </nc>
  </rcc>
  <rcc rId="3099" sId="4">
    <nc r="AE65">
      <v>100</v>
    </nc>
  </rcc>
  <rcc rId="3100" sId="4" odxf="1" dxf="1">
    <nc r="AF65" t="inlineStr">
      <is>
        <t>N/A</t>
      </is>
    </nc>
    <odxf>
      <font>
        <color auto="1"/>
      </font>
    </odxf>
    <ndxf>
      <font>
        <color auto="1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04" sId="4" quotePrefix="1">
    <oc r="M10" t="inlineStr">
      <is>
        <t>HE Qi (CC-AS/EVA-SW42-CN)</t>
      </is>
    </oc>
    <nc r="M10" t="inlineStr">
      <is>
        <t>TENG Huan (CC-AS/EVA-SW33-CN)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08" sId="4">
    <nc r="V33">
      <v>2</v>
    </nc>
  </rcc>
  <rcc rId="3109" sId="4">
    <nc r="W33" t="inlineStr">
      <is>
        <t>Ready for review</t>
      </is>
    </nc>
  </rcc>
  <rcc rId="3110" sId="4" numFmtId="19">
    <nc r="Z33">
      <v>43928</v>
    </nc>
  </rcc>
  <rcc rId="3111" sId="4" numFmtId="19">
    <nc r="AA33">
      <v>43928</v>
    </nc>
  </rcc>
  <rcc rId="3112" sId="4">
    <nc r="AB33" t="inlineStr">
      <is>
        <t>OK</t>
      </is>
    </nc>
  </rcc>
  <rcc rId="3113" sId="4">
    <nc r="AC33">
      <v>100</v>
    </nc>
  </rcc>
  <rcc rId="3114" sId="4">
    <nc r="AD33">
      <v>100</v>
    </nc>
  </rcc>
  <rcc rId="3115" sId="4">
    <nc r="AE33">
      <v>100</v>
    </nc>
  </rcc>
  <rcc rId="3116" sId="4">
    <nc r="V34">
      <v>0.3</v>
    </nc>
  </rcc>
  <rcc rId="3117" sId="4">
    <nc r="W34" t="inlineStr">
      <is>
        <t>Ready for review</t>
      </is>
    </nc>
  </rcc>
  <rcc rId="3118" sId="4" numFmtId="19">
    <nc r="Z34">
      <v>43928</v>
    </nc>
  </rcc>
  <rcc rId="3119" sId="4" numFmtId="19">
    <nc r="AA34">
      <v>43928</v>
    </nc>
  </rcc>
  <rcc rId="3120" sId="4">
    <nc r="AB34" t="inlineStr">
      <is>
        <t>OK</t>
      </is>
    </nc>
  </rcc>
  <rcc rId="3121" sId="4">
    <nc r="AC34">
      <v>100</v>
    </nc>
  </rcc>
  <rcc rId="3122" sId="4">
    <nc r="AD34">
      <v>100</v>
    </nc>
  </rcc>
  <rcc rId="3123" sId="4">
    <nc r="AE34">
      <v>100</v>
    </nc>
  </rcc>
  <rcc rId="3124" sId="4">
    <nc r="V35">
      <v>0.5</v>
    </nc>
  </rcc>
  <rcc rId="3125" sId="4">
    <nc r="W35" t="inlineStr">
      <is>
        <t>Ready for review</t>
      </is>
    </nc>
  </rcc>
  <rcc rId="3126" sId="4" numFmtId="19">
    <nc r="Z35">
      <v>43928</v>
    </nc>
  </rcc>
  <rcc rId="3127" sId="4" numFmtId="19">
    <nc r="AA35">
      <v>43928</v>
    </nc>
  </rcc>
  <rcc rId="3128" sId="4">
    <nc r="AB35" t="inlineStr">
      <is>
        <t>OK</t>
      </is>
    </nc>
  </rcc>
  <rcc rId="3129" sId="4">
    <nc r="AC35">
      <v>100</v>
    </nc>
  </rcc>
  <rcc rId="3130" sId="4">
    <nc r="AD35">
      <v>100</v>
    </nc>
  </rcc>
  <rcc rId="3131" sId="4">
    <nc r="AE35">
      <v>100</v>
    </nc>
  </rcc>
  <rcc rId="3132" sId="4">
    <nc r="V43">
      <v>2</v>
    </nc>
  </rcc>
  <rcc rId="3133" sId="4">
    <nc r="W43" t="inlineStr">
      <is>
        <t>Ready for review</t>
      </is>
    </nc>
  </rcc>
  <rcc rId="3134" sId="4" numFmtId="19">
    <nc r="Z43">
      <v>43928</v>
    </nc>
  </rcc>
  <rcc rId="3135" sId="4" numFmtId="19">
    <nc r="AA43">
      <v>43928</v>
    </nc>
  </rcc>
  <rcc rId="3136" sId="4">
    <nc r="AB43" t="inlineStr">
      <is>
        <t>NG</t>
      </is>
    </nc>
  </rcc>
  <rcc rId="3137" sId="4">
    <nc r="AC43">
      <v>100</v>
    </nc>
  </rcc>
  <rcc rId="3138" sId="4">
    <nc r="AD43">
      <v>96</v>
    </nc>
  </rcc>
  <rcc rId="3139" sId="4">
    <nc r="AE43">
      <v>94</v>
    </nc>
  </rcc>
  <rcc rId="3140" sId="4">
    <nc r="AF43" t="inlineStr">
      <is>
        <t>OPL</t>
      </is>
    </nc>
  </rcc>
  <rcc rId="3141" sId="4" odxf="1" dxf="1" quotePrefix="1">
    <oc r="AG43" t="inlineStr">
      <is>
        <t>-</t>
      </is>
    </oc>
    <nc r="AG43" t="inlineStr">
      <is>
        <t xml:space="preserve">-Can’t cover case “default” of “switch (Control)” </t>
      </is>
    </nc>
    <odxf>
      <alignment wrapText="0" readingOrder="0"/>
    </odxf>
    <ndxf>
      <alignment wrapText="1" readingOrder="0"/>
    </ndxf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2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45" sId="1" numFmtId="19">
    <oc r="Z102">
      <v>43906</v>
    </oc>
    <nc r="Z102">
      <v>43903</v>
    </nc>
  </rcc>
  <rcc rId="3146" sId="1" numFmtId="19">
    <oc r="AA102">
      <v>43906</v>
    </oc>
    <nc r="AA102">
      <v>43903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50" sId="4">
    <nc r="V66">
      <v>3</v>
    </nc>
  </rcc>
  <rcc rId="3151" sId="4">
    <nc r="W66" t="inlineStr">
      <is>
        <t>Ready for review</t>
      </is>
    </nc>
  </rcc>
  <rcc rId="3152" sId="4" numFmtId="19">
    <nc r="Z66">
      <v>43928</v>
    </nc>
  </rcc>
  <rcc rId="3153" sId="4" numFmtId="19">
    <nc r="AA66">
      <v>43928</v>
    </nc>
  </rcc>
  <rcc rId="3154" sId="4" odxf="1" dxf="1">
    <nc r="AB66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155" sId="4" odxf="1" dxf="1">
    <nc r="AC6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156" sId="4" odxf="1" dxf="1">
    <nc r="AD6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157" sId="4" odxf="1" dxf="1">
    <nc r="AE6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158" sId="4" odxf="1" dxf="1">
    <nc r="AF66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62" sId="4" quotePrefix="1">
    <oc r="F27" t="inlineStr">
      <is>
        <t>-</t>
      </is>
    </oc>
    <nc r="F27" t="inlineStr">
      <is>
        <t>rb/as/fawesphevx/fawcore/app/dcom/RBAPLCust/src/iBooster</t>
      </is>
    </nc>
  </rcc>
  <rcc rId="3163" sId="4">
    <oc r="K80" t="inlineStr">
      <is>
        <t>\\10.184.143.103\d\vivi\BV\DB\06Mar\Nissan_35.zip</t>
      </is>
    </oc>
    <nc r="K80" t="inlineStr">
      <is>
        <t>//10.184.143.103/d/vivi/BV/DB/06Mar/Nissan_35.zip</t>
      </is>
    </nc>
  </rcc>
  <rcc rId="3164" sId="4">
    <oc r="K81" t="inlineStr">
      <is>
        <t>\\10.184.143.103\d\vivi\BV\DB\06Mar\Nissan_35.zip</t>
      </is>
    </oc>
    <nc r="K81" t="inlineStr">
      <is>
        <t>//10.184.143.103/d/vivi/BV/DB/06Mar/Nissan_35.zip</t>
      </is>
    </nc>
  </rcc>
  <rcc rId="3165" sId="4">
    <oc r="K90" t="inlineStr">
      <is>
        <t>\\10.184.143.103\d\vivi\BV\DB\06Mar\Nissan_35.zip</t>
      </is>
    </oc>
    <nc r="K90" t="inlineStr">
      <is>
        <t>//10.184.143.103/d/vivi/BV/DB/06Mar/Nissan_35.zip</t>
      </is>
    </nc>
  </rcc>
  <rcc rId="3166" sId="4">
    <oc r="K91" t="inlineStr">
      <is>
        <t>\\10.184.143.103\d\vivi\BV\DB\06Mar\Nissan_35.zip</t>
      </is>
    </oc>
    <nc r="K91" t="inlineStr">
      <is>
        <t>//10.184.143.103/d/vivi/BV/DB/06Mar/Nissan_35.zip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76" sId="4">
    <nc r="AB74" t="inlineStr">
      <is>
        <t>NG</t>
      </is>
    </nc>
  </rcc>
  <rcc rId="3177" sId="4">
    <nc r="W74" t="inlineStr">
      <is>
        <t>Ready for review</t>
      </is>
    </nc>
  </rcc>
  <rcc rId="3178" sId="4" numFmtId="19">
    <nc r="Z74">
      <v>43928</v>
    </nc>
  </rcc>
  <rcc rId="3179" sId="4" numFmtId="19">
    <nc r="AA74">
      <v>43928</v>
    </nc>
  </rcc>
  <rcc rId="3180" sId="4">
    <nc r="AC74">
      <v>72</v>
    </nc>
  </rcc>
  <rcc rId="3181" sId="4">
    <nc r="AD74">
      <v>30</v>
    </nc>
  </rcc>
  <rcc rId="3182" sId="4">
    <nc r="AE74">
      <v>100</v>
    </nc>
  </rcc>
  <rcc rId="3183" sId="4">
    <nc r="AF74" t="inlineStr">
      <is>
        <t>OPL</t>
      </is>
    </nc>
  </rcc>
  <rcc rId="3184" sId="4" odxf="1" dxf="1" quotePrefix="1">
    <oc r="AG74" t="inlineStr">
      <is>
        <t>-</t>
      </is>
    </oc>
    <nc r="AG74" t="inlineStr">
      <is>
        <t xml:space="preserve">- Cant cover full case of switch( ls_VariantConfig_ST[variantindex].NisEngineType_N ) at line #319
Because NisEngineType_N is a read-only object.
- Cant cover full case of switch( ls_VariantConfig_ST[variantindex].NisGearboxType_N )at line #367
Because NisGearboxType_N is a read-only object.
- Cant cover full case of switch( ls_VariantConfig_ST[variantindex].NisCanGen_N ) at line #401
Because NisCanGen_N is a read-only object.
</t>
      </is>
    </nc>
    <odxf>
      <alignment wrapText="0" readingOrder="0"/>
    </odxf>
    <ndxf>
      <alignment wrapText="1" readingOrder="0"/>
    </ndxf>
  </rcc>
  <rfmt sheetId="4" sqref="H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7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3185" sId="4">
    <nc r="W75" t="inlineStr">
      <is>
        <t>Ready for review</t>
      </is>
    </nc>
  </rcc>
  <rcc rId="3186" sId="4" quotePrefix="1">
    <oc r="AH75" t="inlineStr">
      <is>
        <t>-</t>
      </is>
    </oc>
    <nc r="AH75" t="inlineStr">
      <is>
        <t>-No function for testing.</t>
      </is>
    </nc>
  </rcc>
  <rcc rId="3187" sId="4">
    <nc r="AB75" t="inlineStr">
      <is>
        <t>OK</t>
      </is>
    </nc>
  </rcc>
  <rcc rId="3188" sId="4" numFmtId="19">
    <nc r="Z75">
      <v>43928</v>
    </nc>
  </rcc>
  <rcc rId="3189" sId="4" numFmtId="19">
    <nc r="AA75">
      <v>43928</v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3193" sId="4">
    <nc r="W76" t="inlineStr">
      <is>
        <t>Ready for review</t>
      </is>
    </nc>
  </rcc>
  <rcc rId="3194" sId="4" numFmtId="19">
    <nc r="Z76">
      <v>43928</v>
    </nc>
  </rcc>
  <rcc rId="3195" sId="4" numFmtId="19">
    <nc r="AA76">
      <v>43928</v>
    </nc>
  </rcc>
  <rcc rId="3196" sId="4">
    <nc r="AB76" t="inlineStr">
      <is>
        <t>OK</t>
      </is>
    </nc>
  </rcc>
  <rcc rId="3197" sId="4" quotePrefix="1">
    <oc r="AH76" t="inlineStr">
      <is>
        <t>-</t>
      </is>
    </oc>
    <nc r="AH76" t="inlineStr">
      <is>
        <t>-No function for testing.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3201" sId="4">
    <nc r="W77" t="inlineStr">
      <is>
        <t>Ready for review</t>
      </is>
    </nc>
  </rcc>
  <rcc rId="3202" sId="4" numFmtId="19">
    <nc r="Z77">
      <v>43928</v>
    </nc>
  </rcc>
  <rcc rId="3203" sId="4" numFmtId="19">
    <nc r="AA77">
      <v>43928</v>
    </nc>
  </rcc>
  <rcc rId="3204" sId="4">
    <nc r="AB77" t="inlineStr">
      <is>
        <t>OK</t>
      </is>
    </nc>
  </rcc>
  <rcc rId="3205" sId="4" quotePrefix="1">
    <oc r="AH77" t="inlineStr">
      <is>
        <t>-</t>
      </is>
    </oc>
    <nc r="AH77" t="inlineStr">
      <is>
        <t>-No function for testing.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09" sId="4">
    <oc r="S70">
      <f>R70</f>
    </oc>
    <nc r="S70">
      <f>R70+282-220</f>
    </nc>
  </rcc>
  <rfmt sheetId="4" sqref="S70">
    <dxf>
      <fill>
        <patternFill patternType="solid">
          <bgColor rgb="FFFF0000"/>
        </patternFill>
      </fill>
    </dxf>
  </rfmt>
  <rcc rId="3210" sId="4" odxf="1" dxf="1">
    <oc r="S67">
      <f>R67</f>
    </oc>
    <nc r="S67">
      <f>R67+282-220</f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</revisions>
</file>

<file path=xl/revisions/revisionLog2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11" sId="4">
    <nc r="T67">
      <f>S67</f>
    </nc>
  </rcc>
  <rcc rId="3212" sId="4">
    <nc r="V67">
      <v>1</v>
    </nc>
  </rcc>
  <rcc rId="3213" sId="4">
    <nc r="W67" t="inlineStr">
      <is>
        <t>Ready for review</t>
      </is>
    </nc>
  </rcc>
  <rcc rId="3214" sId="4" numFmtId="19">
    <oc r="X67">
      <v>43924</v>
    </oc>
    <nc r="X67">
      <v>43922</v>
    </nc>
  </rcc>
  <rcc rId="3215" sId="4" numFmtId="19">
    <oc r="Y67">
      <v>43931</v>
    </oc>
    <nc r="Y67">
      <v>43929</v>
    </nc>
  </rcc>
  <rcc rId="3216" sId="4" numFmtId="19">
    <nc r="Z67">
      <v>43928</v>
    </nc>
  </rcc>
  <rcc rId="3217" sId="4" numFmtId="19">
    <nc r="AA67">
      <v>43928</v>
    </nc>
  </rcc>
  <rcc rId="3218" sId="4" odxf="1" dxf="1">
    <nc r="AB67" t="inlineStr">
      <is>
        <t>NG</t>
      </is>
    </nc>
    <odxf>
      <font>
        <color auto="1"/>
      </font>
      <numFmt numFmtId="0" formatCode="General"/>
    </odxf>
    <ndxf>
      <font>
        <sz val="11"/>
        <color theme="1"/>
        <name val="Calibri"/>
        <scheme val="minor"/>
      </font>
      <numFmt numFmtId="19" formatCode="m/d/yyyy"/>
    </ndxf>
  </rcc>
  <rcc rId="3219" sId="4">
    <nc r="AC67">
      <v>100</v>
    </nc>
  </rcc>
  <rcc rId="3220" sId="4">
    <nc r="AD67">
      <v>96</v>
    </nc>
  </rcc>
  <rcc rId="3221" sId="4">
    <nc r="AE67">
      <v>94</v>
    </nc>
  </rcc>
  <rcc rId="3222" sId="4" odxf="1" dxf="1" quotePrefix="1">
    <oc r="AG67" t="inlineStr">
      <is>
        <t>-</t>
      </is>
    </oc>
    <nc r="AG67" t="inlineStr">
      <is>
        <t xml:space="preserve">-Can’t cover case “default” of “switch (Control)” </t>
      </is>
    </nc>
    <odxf>
      <alignment wrapText="0" readingOrder="0"/>
    </odxf>
    <ndxf>
      <alignment wrapText="1" readingOrder="0"/>
    </ndxf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2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26" sId="4" numFmtId="19">
    <oc r="X67">
      <v>43922</v>
    </oc>
    <nc r="X67">
      <v>43924</v>
    </nc>
  </rcc>
  <rcc rId="3227" sId="4" numFmtId="19">
    <oc r="Y67">
      <v>43929</v>
    </oc>
    <nc r="Y67">
      <v>43931</v>
    </nc>
  </rcc>
</revisions>
</file>

<file path=xl/revisions/revisionLog2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8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3228" sId="4">
    <nc r="V74">
      <v>2</v>
    </nc>
  </rcc>
  <rcc rId="3229" sId="4">
    <nc r="V82">
      <v>2</v>
    </nc>
  </rcc>
  <rcc rId="3230" sId="4">
    <nc r="W82" t="inlineStr">
      <is>
        <t>Ready for review</t>
      </is>
    </nc>
  </rcc>
  <rcc rId="3231" sId="4" numFmtId="19">
    <nc r="Z82">
      <v>43928</v>
    </nc>
  </rcc>
  <rcc rId="3232" sId="4" numFmtId="19">
    <nc r="AA82">
      <v>43928</v>
    </nc>
  </rcc>
  <rcc rId="3233" sId="4">
    <nc r="AB82" t="inlineStr">
      <is>
        <t>OK</t>
      </is>
    </nc>
  </rcc>
  <rcc rId="3234" sId="4" odxf="1" dxf="1">
    <nc r="AC82">
      <v>100</v>
    </nc>
    <odxf>
      <font>
        <color auto="1"/>
      </font>
    </odxf>
    <ndxf>
      <font>
        <color auto="1"/>
      </font>
    </ndxf>
  </rcc>
  <rcc rId="3235" sId="4" odxf="1" dxf="1">
    <nc r="AD82">
      <v>100</v>
    </nc>
    <odxf>
      <font>
        <color auto="1"/>
      </font>
    </odxf>
    <ndxf>
      <font>
        <color auto="1"/>
      </font>
    </ndxf>
  </rcc>
  <rcc rId="3236" sId="4" odxf="1" dxf="1">
    <nc r="AE82">
      <v>100</v>
    </nc>
    <odxf>
      <font>
        <color auto="1"/>
      </font>
    </odxf>
    <ndxf>
      <font>
        <color auto="1"/>
      </font>
    </ndxf>
  </rcc>
  <rcc rId="3237" sId="4" odxf="1" dxf="1">
    <nc r="AF82" t="inlineStr">
      <is>
        <t>N/A</t>
      </is>
    </nc>
    <odxf>
      <font>
        <color auto="1"/>
      </font>
    </odxf>
    <ndxf>
      <font>
        <color auto="1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44" sId="4">
    <oc r="S68">
      <f>R68</f>
    </oc>
    <nc r="S68">
      <f>R68+42-R68</f>
    </nc>
  </rcc>
  <rfmt sheetId="4" sqref="S68">
    <dxf>
      <fill>
        <patternFill patternType="solid">
          <bgColor rgb="FFFF0000"/>
        </patternFill>
      </fill>
    </dxf>
  </rfmt>
  <rcc rId="3245" sId="4" odxf="1" dxf="1">
    <oc r="S69">
      <f>R69</f>
    </oc>
    <nc r="S69">
      <f>R69+42-R69</f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49" sId="4">
    <nc r="T78">
      <f>S78</f>
    </nc>
  </rcc>
  <rcc rId="3250" sId="4">
    <nc r="V78">
      <v>0.5</v>
    </nc>
  </rcc>
  <rcc rId="3251" sId="4">
    <nc r="W78" t="inlineStr">
      <is>
        <t>Ready for review</t>
      </is>
    </nc>
  </rcc>
  <rcc rId="3252" sId="4" numFmtId="19">
    <nc r="Z78">
      <v>43928</v>
    </nc>
  </rcc>
  <rcc rId="3253" sId="4" numFmtId="19">
    <nc r="AA78">
      <v>43928</v>
    </nc>
  </rcc>
  <rcc rId="3254" sId="4" quotePrefix="1">
    <oc r="AG78" t="inlineStr">
      <is>
        <t>-</t>
      </is>
    </oc>
    <nc r="AG78" t="inlineStr">
      <is>
        <t>-don't have functions for test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2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58" sId="4">
    <nc r="T69">
      <f>S69</f>
    </nc>
  </rcc>
  <rcc rId="3259" sId="4">
    <nc r="T70">
      <f>S70</f>
    </nc>
  </rcc>
  <rcc rId="3260" sId="4">
    <nc r="V70">
      <v>2.5</v>
    </nc>
  </rcc>
  <rcc rId="3261" sId="4">
    <nc r="V69">
      <v>0.5</v>
    </nc>
  </rcc>
</revisions>
</file>

<file path=xl/revisions/revisionLog2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62" sId="4">
    <nc r="W69" t="inlineStr">
      <is>
        <t>Ready for review</t>
      </is>
    </nc>
  </rcc>
  <rcc rId="3263" sId="4">
    <nc r="W70" t="inlineStr">
      <is>
        <t>Ready for review</t>
      </is>
    </nc>
  </rcc>
  <rcc rId="3264" sId="4" numFmtId="19">
    <nc r="Z70">
      <v>43928</v>
    </nc>
  </rcc>
  <rcc rId="3265" sId="4" numFmtId="19">
    <nc r="AA70">
      <v>43928</v>
    </nc>
  </rcc>
  <rcc rId="3266" sId="4" odxf="1" dxf="1">
    <nc r="AB70" t="inlineStr">
      <is>
        <t>NG</t>
      </is>
    </nc>
    <odxf>
      <font>
        <color auto="1"/>
      </font>
      <numFmt numFmtId="0" formatCode="General"/>
    </odxf>
    <ndxf>
      <font>
        <color auto="1"/>
      </font>
      <numFmt numFmtId="19" formatCode="m/d/yyyy"/>
    </ndxf>
  </rcc>
  <rcc rId="3267" sId="4">
    <nc r="AC70">
      <v>100</v>
    </nc>
  </rcc>
  <rcc rId="3268" sId="4">
    <nc r="AD70">
      <v>96</v>
    </nc>
  </rcc>
  <rcc rId="3269" sId="4">
    <nc r="AE70">
      <v>94</v>
    </nc>
  </rcc>
  <rcc rId="3270" sId="4" odxf="1" dxf="1" quotePrefix="1">
    <oc r="AG70" t="inlineStr">
      <is>
        <t>-</t>
      </is>
    </oc>
    <nc r="AG70" t="inlineStr">
      <is>
        <t xml:space="preserve">-Can’t cover case “default” of “switch (Control)” </t>
      </is>
    </nc>
    <odxf>
      <alignment wrapText="0" readingOrder="0"/>
    </odxf>
    <ndxf>
      <alignment wrapText="1" readingOrder="0"/>
    </ndxf>
  </rcc>
  <rcc rId="3271" sId="4" odxf="1" dxf="1" numFmtId="19">
    <nc r="AB69">
      <v>43928</v>
    </nc>
    <odxf>
      <font>
        <color auto="1"/>
      </font>
      <numFmt numFmtId="0" formatCode="General"/>
    </odxf>
    <ndxf>
      <font>
        <sz val="11"/>
        <color theme="1"/>
        <name val="Calibri"/>
        <scheme val="minor"/>
      </font>
      <numFmt numFmtId="164" formatCode="[$-409]d\-mmm\-yyyy;@"/>
    </ndxf>
  </rcc>
  <rcc rId="3272" sId="4" odxf="1" dxf="1" numFmtId="19">
    <nc r="AC69">
      <v>43928</v>
    </nc>
    <odxf>
      <font>
        <color auto="1"/>
      </font>
      <numFmt numFmtId="0" formatCode="General"/>
    </odxf>
    <ndxf>
      <font>
        <sz val="11"/>
        <color theme="1"/>
        <name val="Calibri"/>
        <scheme val="minor"/>
      </font>
      <numFmt numFmtId="164" formatCode="[$-409]d\-mmm\-yyyy;@"/>
    </ndxf>
  </rcc>
  <rcc rId="3273" sId="4">
    <nc r="AD69" t="inlineStr">
      <is>
        <t>OK</t>
      </is>
    </nc>
  </rcc>
  <rcc rId="3274" sId="4">
    <nc r="AE69">
      <v>100</v>
    </nc>
  </rcc>
  <rcc rId="3275" sId="4">
    <nc r="AF69">
      <v>100</v>
    </nc>
  </rcc>
  <rcc rId="3276" sId="4" odxf="1" dxf="1">
    <oc r="AG69" t="inlineStr">
      <is>
        <t>-</t>
      </is>
    </oc>
    <nc r="AG6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77" sId="4" odxf="1" dxf="1">
    <oc r="AH69" t="inlineStr">
      <is>
        <t>-</t>
      </is>
    </oc>
    <nc r="AH69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78" sId="4" odxf="1" dxf="1" quotePrefix="1">
    <nc r="AI69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79" sId="4" odxf="1" dxf="1" quotePrefix="1">
    <nc r="AJ69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83" sId="4" numFmtId="19">
    <nc r="Z69">
      <v>43928</v>
    </nc>
  </rcc>
  <rcc rId="3284" sId="4" numFmtId="19">
    <nc r="AA69">
      <v>43928</v>
    </nc>
  </rcc>
  <rcc rId="3285" sId="4" odxf="1" dxf="1">
    <oc r="AB69">
      <v>43928</v>
    </oc>
    <nc r="AB69" t="inlineStr">
      <is>
        <t>OK</t>
      </is>
    </nc>
    <odxf>
      <font>
        <sz val="11"/>
        <color theme="1"/>
        <name val="Calibri"/>
        <scheme val="minor"/>
      </font>
      <numFmt numFmtId="164" formatCode="[$-409]d\-mmm\-yyyy;@"/>
    </odxf>
    <ndxf>
      <font>
        <sz val="11"/>
        <color auto="1"/>
        <name val="Calibri"/>
        <scheme val="minor"/>
      </font>
      <numFmt numFmtId="0" formatCode="General"/>
    </ndxf>
  </rcc>
  <rcc rId="3286" sId="4" odxf="1" dxf="1">
    <oc r="AC69">
      <v>43928</v>
    </oc>
    <nc r="AC69">
      <v>100</v>
    </nc>
    <odxf>
      <font>
        <sz val="11"/>
        <color theme="1"/>
        <name val="Calibri"/>
        <scheme val="minor"/>
      </font>
      <numFmt numFmtId="164" formatCode="[$-409]d\-mmm\-yyyy;@"/>
    </odxf>
    <ndxf>
      <font>
        <sz val="11"/>
        <color auto="1"/>
        <name val="Calibri"/>
        <scheme val="minor"/>
      </font>
      <numFmt numFmtId="0" formatCode="General"/>
    </ndxf>
  </rcc>
  <rcc rId="3287" sId="4">
    <oc r="AD69" t="inlineStr">
      <is>
        <t>OK</t>
      </is>
    </oc>
    <nc r="AD69">
      <v>100</v>
    </nc>
  </rcc>
  <rcc rId="3288" sId="4" odxf="1" dxf="1">
    <oc r="AF69">
      <v>100</v>
    </oc>
    <nc r="AF69" t="inlineStr">
      <is>
        <t>N/A</t>
      </is>
    </nc>
    <odxf>
      <font>
        <color auto="1"/>
      </font>
    </odxf>
    <ndxf>
      <font>
        <color auto="1"/>
      </font>
    </ndxf>
  </rcc>
  <rcc rId="3289" sId="4" odxf="1" dxf="1" quotePrefix="1">
    <oc r="AG69">
      <v>100</v>
    </oc>
    <nc r="AG69" t="inlineStr">
      <is>
        <t>-</t>
      </is>
    </nc>
    <odxf>
      <font>
        <color auto="1"/>
      </font>
    </odxf>
    <ndxf>
      <font>
        <sz val="11"/>
        <color theme="1"/>
        <name val="Calibri"/>
        <scheme val="minor"/>
      </font>
    </ndxf>
  </rcc>
  <rcc rId="3290" sId="4" odxf="1" dxf="1" quotePrefix="1">
    <oc r="AH69" t="inlineStr">
      <is>
        <t>N/A</t>
      </is>
    </oc>
    <nc r="AH69" t="inlineStr">
      <is>
        <t>-</t>
      </is>
    </nc>
    <odxf>
      <font>
        <color auto="1"/>
      </font>
    </odxf>
    <ndxf>
      <font>
        <sz val="11"/>
        <color theme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AI69" start="0" length="0">
    <dxf>
      <alignment horizontal="general" vertical="bottom" readingOrder="0"/>
      <border outline="0">
        <left/>
        <right/>
        <top/>
        <bottom/>
      </border>
    </dxf>
  </rfmt>
  <rfmt sheetId="4" sqref="AJ69" start="0" length="0">
    <dxf>
      <alignment horizontal="general" vertical="bottom" readingOrder="0"/>
      <border outline="0">
        <left/>
        <right/>
        <top/>
        <bottom/>
      </border>
    </dxf>
  </rfmt>
  <rcc rId="3294" sId="4">
    <oc r="AI69" t="inlineStr">
      <is>
        <t>-</t>
      </is>
    </oc>
    <nc r="AI69"/>
  </rcc>
  <rcc rId="3295" sId="4">
    <oc r="AJ69" t="inlineStr">
      <is>
        <t>-</t>
      </is>
    </oc>
    <nc r="AJ69"/>
  </rcc>
</revisions>
</file>

<file path=xl/revisions/revisionLog2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96" sId="4">
    <nc r="AF70" t="inlineStr">
      <is>
        <t>OPL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00" sId="4">
    <oc r="V70">
      <v>2.5</v>
    </oc>
    <nc r="V70">
      <v>1.5</v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04" sId="4">
    <nc r="T27">
      <v>77</v>
    </nc>
  </rcc>
  <rcc rId="3305" sId="4">
    <nc r="V27">
      <v>1.5</v>
    </nc>
  </rcc>
  <rcc rId="3306" sId="4">
    <nc r="W27" t="inlineStr">
      <is>
        <t>Ready for review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10" sId="4">
    <nc r="T32">
      <v>259</v>
    </nc>
  </rcc>
  <rcc rId="3311" sId="4">
    <nc r="V32">
      <v>4.5</v>
    </nc>
  </rcc>
  <rcc rId="3312" sId="4">
    <nc r="W32" t="inlineStr">
      <is>
        <t>Ready for review</t>
      </is>
    </nc>
  </rcc>
  <rcc rId="3313" sId="4" numFmtId="19">
    <nc r="Z27">
      <v>43928</v>
    </nc>
  </rcc>
  <rcc rId="3314" sId="4" numFmtId="19">
    <nc r="AA27">
      <v>43928</v>
    </nc>
  </rcc>
  <rcc rId="3315" sId="4" numFmtId="19">
    <nc r="Z32">
      <v>43928</v>
    </nc>
  </rcc>
  <rcc rId="3316" sId="4" numFmtId="19">
    <nc r="AA32">
      <v>43928</v>
    </nc>
  </rcc>
  <rcc rId="3317" sId="4" odxf="1" dxf="1">
    <nc r="AB27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318" sId="4">
    <nc r="AC27">
      <v>100</v>
    </nc>
  </rcc>
  <rcc rId="3319" sId="4">
    <nc r="AD27">
      <v>100</v>
    </nc>
  </rcc>
  <rcc rId="3320" sId="4">
    <nc r="AE27">
      <v>100</v>
    </nc>
  </rcc>
  <rcc rId="3321" sId="4">
    <nc r="AF27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25" sId="4" quotePrefix="1">
    <oc r="F32" t="inlineStr">
      <is>
        <t>-</t>
      </is>
    </oc>
    <nc r="F32" t="inlineStr">
      <is>
        <t>rb/as/fawesphevx/fawcore/app/dcom/RBAPLCust/src/common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29" sId="4">
    <nc r="T85">
      <f>S85</f>
    </nc>
  </rcc>
  <rcc rId="3330" sId="4">
    <nc r="V85">
      <v>1</v>
    </nc>
  </rcc>
  <rcc rId="3331" sId="4">
    <nc r="W85" t="inlineStr">
      <is>
        <t>Ready for review</t>
      </is>
    </nc>
  </rcc>
  <rcc rId="3332" sId="4">
    <nc r="AB85" t="inlineStr">
      <is>
        <t>OK</t>
      </is>
    </nc>
  </rcc>
  <rcc rId="3333" sId="4">
    <nc r="AC85">
      <v>100</v>
    </nc>
  </rcc>
  <rcc rId="3334" sId="4">
    <nc r="AD85">
      <v>100</v>
    </nc>
  </rcc>
  <rcc rId="3335" sId="4">
    <nc r="AE85">
      <v>100</v>
    </nc>
  </rcc>
  <rcc rId="3336" sId="4">
    <nc r="AF85" t="inlineStr">
      <is>
        <t>N/A</t>
      </is>
    </nc>
  </rcc>
  <rcc rId="3337" sId="4" numFmtId="19">
    <nc r="Z85">
      <v>43929</v>
    </nc>
  </rcc>
  <rcc rId="3338" sId="4" numFmtId="19">
    <nc r="AA85">
      <v>43929</v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42" sId="4" quotePrefix="1">
    <oc r="AG84" t="inlineStr">
      <is>
        <t>-</t>
      </is>
    </oc>
    <nc r="AG84" t="inlineStr">
      <is>
        <t>-don't have functions for test</t>
      </is>
    </nc>
  </rcc>
  <rcc rId="3343" sId="4" numFmtId="19">
    <nc r="Z84">
      <v>43929</v>
    </nc>
  </rcc>
  <rcc rId="3344" sId="4" numFmtId="19">
    <nc r="AA84">
      <v>43929</v>
    </nc>
  </rcc>
  <rcc rId="3345" sId="4">
    <nc r="V84">
      <v>0.5</v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49" sId="4">
    <nc r="W84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2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53" sId="4">
    <nc r="AB32" t="inlineStr">
      <is>
        <t>NG</t>
      </is>
    </nc>
  </rcc>
  <rcc rId="3354" sId="4">
    <nc r="AC32">
      <v>100</v>
    </nc>
  </rcc>
  <rcc rId="3355" sId="4">
    <nc r="AD32">
      <v>100</v>
    </nc>
  </rcc>
  <rcc rId="3356" sId="4">
    <nc r="AF32" t="inlineStr">
      <is>
        <t>OPL</t>
      </is>
    </nc>
  </rcc>
  <rcc rId="3357" sId="4">
    <nc r="AE32">
      <v>87</v>
    </nc>
  </rcc>
  <rcc rId="3358" sId="4" odxf="1" dxf="1">
    <oc r="AB21" t="inlineStr">
      <is>
        <t>OK</t>
      </is>
    </oc>
    <nc r="AB21" t="inlineStr">
      <is>
        <t>NG</t>
      </is>
    </nc>
    <odxf>
      <font>
        <color auto="1"/>
      </font>
      <numFmt numFmtId="0" formatCode="General"/>
    </odxf>
    <ndxf>
      <font>
        <sz val="11"/>
        <color theme="1"/>
        <name val="Calibri"/>
        <scheme val="minor"/>
      </font>
      <numFmt numFmtId="19" formatCode="m/d/yyyy"/>
    </ndxf>
  </rcc>
  <rcc rId="3359" sId="4">
    <oc r="AE21">
      <v>100</v>
    </oc>
    <nc r="AE21">
      <v>87</v>
    </nc>
  </rcc>
  <rcc rId="3360" sId="4">
    <oc r="AF21" t="inlineStr">
      <is>
        <t>N/A</t>
      </is>
    </oc>
    <nc r="AF21" t="inlineStr">
      <is>
        <t>OPL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64" sId="4">
    <nc r="T84">
      <f>S84</f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COEM_Package_20200401!$O$2:$O$121</formula>
    <oldFormula>COEM_Package_20200401!$B$2:$AH$94</oldFormula>
  </rdn>
  <rcv guid="{4E06BDBF-2CED-473B-850B-2A6C7311FF41}" action="add"/>
</revisions>
</file>

<file path=xl/revisions/revisionLog2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68" sId="4">
    <nc r="AB84" t="inlineStr">
      <is>
        <t>OK</t>
      </is>
    </nc>
  </rcc>
  <rcc rId="3369" sId="4">
    <nc r="AC84" t="inlineStr">
      <is>
        <t>-</t>
      </is>
    </nc>
  </rcc>
  <rcc rId="3370" sId="4">
    <nc r="AD84" t="inlineStr">
      <is>
        <t>-</t>
      </is>
    </nc>
  </rcc>
  <rcc rId="3371" sId="4">
    <nc r="AE84" t="inlineStr">
      <is>
        <t>-</t>
      </is>
    </nc>
  </rcc>
  <rcc rId="3372" sId="4">
    <nc r="AF84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COEM_Package_20200401!$O$2:$O$121</formula>
    <oldFormula>COEM_Package_20200401!$O$2:$O$121</oldFormula>
  </rdn>
  <rcv guid="{4E06BDBF-2CED-473B-850B-2A6C7311FF41}" action="add"/>
</revisions>
</file>

<file path=xl/revisions/revisionLog2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76" sId="4" quotePrefix="1">
    <oc r="AG83" t="inlineStr">
      <is>
        <t>-</t>
      </is>
    </oc>
    <nc r="AG83" t="inlineStr">
      <is>
        <t>-don't have functions for test</t>
      </is>
    </nc>
  </rcc>
  <rcc rId="3377" sId="4">
    <nc r="AB83" t="inlineStr">
      <is>
        <t>OK</t>
      </is>
    </nc>
  </rcc>
  <rcc rId="3378" sId="4">
    <nc r="AC83" t="inlineStr">
      <is>
        <t>-</t>
      </is>
    </nc>
  </rcc>
  <rcc rId="3379" sId="4">
    <nc r="AD83" t="inlineStr">
      <is>
        <t>-</t>
      </is>
    </nc>
  </rcc>
  <rcc rId="3380" sId="4">
    <nc r="AE83" t="inlineStr">
      <is>
        <t>-</t>
      </is>
    </nc>
  </rcc>
  <rcc rId="3381" sId="4">
    <nc r="AF83" t="inlineStr">
      <is>
        <t>N/A</t>
      </is>
    </nc>
  </rcc>
  <rcc rId="3382" sId="4" numFmtId="19">
    <nc r="Z83">
      <v>43929</v>
    </nc>
  </rcc>
  <rcc rId="3383" sId="4" numFmtId="19">
    <nc r="AA83">
      <v>43929</v>
    </nc>
  </rcc>
  <rcc rId="3384" sId="4">
    <nc r="W83" t="inlineStr">
      <is>
        <t>Ready for review</t>
      </is>
    </nc>
  </rcc>
  <rcc rId="3385" sId="4">
    <nc r="V83">
      <v>0.5</v>
    </nc>
  </rcc>
  <rcc rId="3386" sId="4">
    <nc r="T83">
      <f>S83</f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COEM_Package_20200401!$O$2:$O$121</formula>
    <oldFormula>COEM_Package_20200401!$O$2:$O$121</oldFormula>
  </rdn>
  <rcv guid="{4E06BDBF-2CED-473B-850B-2A6C7311FF41}" action="add"/>
</revisions>
</file>

<file path=xl/revisions/revisionLog2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8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</revisions>
</file>

<file path=xl/revisions/revisionLog2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93" sId="4">
    <nc r="W87" t="inlineStr">
      <is>
        <t>Ready for review</t>
      </is>
    </nc>
  </rcc>
  <rcc rId="3394" sId="4" numFmtId="19">
    <nc r="Z87">
      <v>43928</v>
    </nc>
  </rcc>
  <rcc rId="3395" sId="4" numFmtId="19">
    <nc r="AA87">
      <v>43928</v>
    </nc>
  </rcc>
  <rcc rId="3396" sId="4">
    <nc r="AB87" t="inlineStr">
      <is>
        <t>OK</t>
      </is>
    </nc>
  </rcc>
  <rcc rId="3397" sId="4" odxf="1" dxf="1">
    <nc r="AC87">
      <v>100</v>
    </nc>
    <odxf>
      <font>
        <color auto="1"/>
      </font>
    </odxf>
    <ndxf>
      <font>
        <color auto="1"/>
      </font>
    </ndxf>
  </rcc>
  <rcc rId="3398" sId="4" odxf="1" dxf="1">
    <nc r="AD87">
      <v>100</v>
    </nc>
    <odxf>
      <font>
        <color auto="1"/>
      </font>
    </odxf>
    <ndxf>
      <font>
        <color auto="1"/>
      </font>
    </ndxf>
  </rcc>
  <rcc rId="3399" sId="4" odxf="1" dxf="1">
    <nc r="AE87">
      <v>100</v>
    </nc>
    <odxf>
      <font>
        <color auto="1"/>
      </font>
    </odxf>
    <ndxf>
      <font>
        <color auto="1"/>
      </font>
    </ndxf>
  </rcc>
  <rcc rId="3400" sId="4" odxf="1" dxf="1">
    <nc r="AF87" t="inlineStr">
      <is>
        <t>N/A</t>
      </is>
    </nc>
    <odxf>
      <font>
        <color auto="1"/>
      </font>
    </odxf>
    <ndxf>
      <font>
        <color auto="1"/>
      </font>
    </ndxf>
  </rcc>
  <rcc rId="3401" sId="4" odxf="1" dxf="1">
    <nc r="AF75" t="inlineStr">
      <is>
        <t>N/A</t>
      </is>
    </nc>
    <odxf>
      <font>
        <color auto="1"/>
      </font>
    </odxf>
    <ndxf>
      <font>
        <color auto="1"/>
      </font>
    </ndxf>
  </rcc>
  <rcc rId="3402" sId="4" odxf="1" dxf="1">
    <nc r="AF76" t="inlineStr">
      <is>
        <t>N/A</t>
      </is>
    </nc>
    <odxf>
      <font>
        <color auto="1"/>
      </font>
    </odxf>
    <ndxf>
      <font>
        <color auto="1"/>
      </font>
    </ndxf>
  </rcc>
  <rcc rId="3403" sId="4" odxf="1" dxf="1">
    <nc r="AF77" t="inlineStr">
      <is>
        <t>N/A</t>
      </is>
    </nc>
    <odxf>
      <font>
        <color auto="1"/>
      </font>
    </odxf>
    <ndxf>
      <font>
        <color auto="1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07" sId="4">
    <nc r="T36">
      <v>280</v>
    </nc>
  </rcc>
  <rcc rId="3408" sId="4">
    <nc r="V36">
      <v>5</v>
    </nc>
  </rcc>
  <rcc rId="3409" sId="4">
    <nc r="W36" t="inlineStr">
      <is>
        <t>Ready for review</t>
      </is>
    </nc>
  </rcc>
  <rcc rId="3410" sId="4" numFmtId="19">
    <nc r="Z36">
      <v>43928</v>
    </nc>
  </rcc>
  <rcc rId="3411" sId="4" numFmtId="19">
    <nc r="AA36">
      <v>43928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COEM_Package_20200401!$O$2:$O$121</formula>
    <oldFormula>COEM_Package_20200401!$O$2:$O$121</oldFormula>
  </rdn>
  <rcv guid="{4E06BDBF-2CED-473B-850B-2A6C7311FF41}" action="add"/>
</revisions>
</file>

<file path=xl/revisions/revisionLog2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21" sId="4">
    <nc r="V87">
      <v>2</v>
    </nc>
  </rcc>
  <rcc rId="3422" sId="4">
    <nc r="V88">
      <v>2</v>
    </nc>
  </rcc>
  <rcc rId="3423" sId="4">
    <nc r="W88" t="inlineStr">
      <is>
        <t>Ready for review</t>
      </is>
    </nc>
  </rcc>
  <rcc rId="3424" sId="4" numFmtId="19">
    <nc r="Z88">
      <v>43928</v>
    </nc>
  </rcc>
  <rcc rId="3425" sId="4" numFmtId="19">
    <nc r="AA88">
      <v>43928</v>
    </nc>
  </rcc>
  <rcc rId="3426" sId="4">
    <nc r="AB88" t="inlineStr">
      <is>
        <t>OK</t>
      </is>
    </nc>
  </rcc>
  <rcc rId="3427" sId="4" odxf="1" dxf="1">
    <nc r="AC88">
      <v>100</v>
    </nc>
    <odxf>
      <font>
        <color auto="1"/>
      </font>
    </odxf>
    <ndxf>
      <font>
        <color auto="1"/>
      </font>
    </ndxf>
  </rcc>
  <rcc rId="3428" sId="4" odxf="1" dxf="1">
    <nc r="AD88">
      <v>100</v>
    </nc>
    <odxf>
      <font>
        <color auto="1"/>
      </font>
    </odxf>
    <ndxf>
      <font>
        <color auto="1"/>
      </font>
    </ndxf>
  </rcc>
  <rcc rId="3429" sId="4" odxf="1" dxf="1">
    <nc r="AE88">
      <v>100</v>
    </nc>
    <odxf>
      <font>
        <color auto="1"/>
      </font>
    </odxf>
    <ndxf>
      <font>
        <color auto="1"/>
      </font>
    </ndxf>
  </rcc>
  <rcc rId="3430" sId="4" odxf="1" dxf="1">
    <nc r="AF88" t="inlineStr">
      <is>
        <t>N/A</t>
      </is>
    </nc>
    <odxf>
      <font>
        <color auto="1"/>
      </font>
    </odxf>
    <ndxf>
      <font>
        <color auto="1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34" sId="4" quotePrefix="1">
    <oc r="F36" t="inlineStr">
      <is>
        <t xml:space="preserve">rb/as/gwm/cp/app/dsm/RBHMI/src/                </t>
      </is>
    </oc>
    <nc r="F36" t="inlineStr">
      <is>
        <t>rb/as/gwm/cp/app/dsm/RBHMI/src/</t>
      </is>
    </nc>
  </rcc>
  <rcc rId="3435" sId="4" quotePrefix="1">
    <oc r="F37" t="inlineStr">
      <is>
        <t xml:space="preserve">rb/as/gwm/cp/app/dsm/RBVAR/BB80433/src/        </t>
      </is>
    </oc>
    <nc r="F37" t="inlineStr">
      <is>
        <t>rb/as/gwm/cp/app/dsm/RBVAR/BB80433/src/</t>
      </is>
    </nc>
  </rcc>
  <rcc rId="3436" sId="4" quotePrefix="1">
    <oc r="F38" t="inlineStr">
      <is>
        <t xml:space="preserve">rb/as/gwm/cp/app/dsm/RBVAR/BB80431/src/        </t>
      </is>
    </oc>
    <nc r="F38" t="inlineStr">
      <is>
        <t>rb/as/gwm/cp/app/dsm/RBVAR/BB80431/src/</t>
      </is>
    </nc>
  </rcc>
  <rcc rId="3437" sId="4" quotePrefix="1">
    <oc r="F39" t="inlineStr">
      <is>
        <t xml:space="preserve">rb/as/gwm/cp/app/dsm/RBVAR/BB81003/src/        </t>
      </is>
    </oc>
    <nc r="F39" t="inlineStr">
      <is>
        <t>rb/as/gwm/cp/app/dsm/RBVAR/BB81003/src/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41" sId="4" odxf="1" dxf="1">
    <nc r="AB36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442" sId="4">
    <nc r="AC36">
      <v>100</v>
    </nc>
  </rcc>
  <rcc rId="3443" sId="4">
    <nc r="AD36">
      <v>100</v>
    </nc>
  </rcc>
  <rcc rId="3444" sId="4">
    <nc r="AE36">
      <v>100</v>
    </nc>
  </rcc>
  <rcc rId="3445" sId="4">
    <nc r="AF36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8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3449" sId="4">
    <nc r="V89">
      <v>2</v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53" sId="4">
    <nc r="W89" t="inlineStr">
      <is>
        <t>Ready for review</t>
      </is>
    </nc>
  </rcc>
  <rcc rId="3454" sId="4" numFmtId="19">
    <nc r="Z89">
      <v>43928</v>
    </nc>
  </rcc>
  <rcc rId="3455" sId="4" numFmtId="19">
    <nc r="AA89">
      <v>43928</v>
    </nc>
  </rcc>
  <rcc rId="3456" sId="4">
    <nc r="AB89" t="inlineStr">
      <is>
        <t>OK</t>
      </is>
    </nc>
  </rcc>
  <rcc rId="3457" sId="4" odxf="1" dxf="1">
    <nc r="AC89">
      <v>100</v>
    </nc>
    <odxf>
      <font>
        <color auto="1"/>
      </font>
    </odxf>
    <ndxf>
      <font>
        <color auto="1"/>
      </font>
    </ndxf>
  </rcc>
  <rcc rId="3458" sId="4" odxf="1" dxf="1">
    <nc r="AD89">
      <v>100</v>
    </nc>
    <odxf>
      <font>
        <color auto="1"/>
      </font>
    </odxf>
    <ndxf>
      <font>
        <color auto="1"/>
      </font>
    </ndxf>
  </rcc>
  <rcc rId="3459" sId="4" odxf="1" dxf="1">
    <nc r="AE89">
      <v>100</v>
    </nc>
    <odxf>
      <font>
        <color auto="1"/>
      </font>
    </odxf>
    <ndxf>
      <font>
        <color auto="1"/>
      </font>
    </ndxf>
  </rcc>
  <rcc rId="3460" sId="4" odxf="1" dxf="1">
    <nc r="AF89" t="inlineStr">
      <is>
        <t>N/A</t>
      </is>
    </nc>
    <odxf>
      <font>
        <color auto="1"/>
      </font>
    </odxf>
    <ndxf>
      <font>
        <color auto="1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S97" start="0" length="0">
    <dxf>
      <font>
        <sz val="11"/>
        <color theme="1"/>
        <name val="Calibri"/>
        <scheme val="minor"/>
      </font>
    </dxf>
  </rfmt>
  <rcc rId="3467" sId="4">
    <nc r="T74">
      <f>S74</f>
    </nc>
  </rcc>
  <rcc rId="3468" sId="4">
    <nc r="T82">
      <f>S82</f>
    </nc>
  </rcc>
  <rcc rId="3469" sId="4">
    <nc r="T87">
      <f>S87</f>
    </nc>
  </rcc>
  <rcc rId="3470" sId="4">
    <nc r="T88">
      <f>S88</f>
    </nc>
  </rcc>
  <rcc rId="3471" sId="4">
    <nc r="T89">
      <f>S89</f>
    </nc>
  </rcc>
  <rcc rId="3472" sId="4">
    <nc r="T75">
      <f>S75</f>
    </nc>
  </rcc>
  <rcc rId="3473" sId="4">
    <nc r="T76">
      <f>S76</f>
    </nc>
  </rcc>
  <rcc rId="3474" sId="4">
    <nc r="T77">
      <f>S77</f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78" sId="4">
    <nc r="V75">
      <v>0</v>
    </nc>
  </rcc>
  <rcc rId="3479" sId="4">
    <nc r="V76">
      <v>0</v>
    </nc>
  </rcc>
  <rcc rId="3480" sId="4">
    <nc r="V77">
      <v>0</v>
    </nc>
  </rcc>
</revisions>
</file>

<file path=xl/revisions/revisionLog2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84" sId="4">
    <nc r="T37">
      <v>65</v>
    </nc>
  </rcc>
  <rcc rId="3485" sId="4">
    <nc r="T38">
      <v>65</v>
    </nc>
  </rcc>
  <rcc rId="3486" sId="4">
    <nc r="V37">
      <v>1</v>
    </nc>
  </rcc>
  <rcc rId="3487" sId="4">
    <nc r="V38">
      <v>1</v>
    </nc>
  </rcc>
  <rcc rId="3488" sId="4">
    <nc r="W37" t="inlineStr">
      <is>
        <t>Ready for review</t>
      </is>
    </nc>
  </rcc>
  <rcc rId="3489" sId="4">
    <nc r="W38" t="inlineStr">
      <is>
        <t>Ready for review</t>
      </is>
    </nc>
  </rcc>
  <rcc rId="3490" sId="4" numFmtId="19">
    <nc r="Z37">
      <v>43928</v>
    </nc>
  </rcc>
  <rcc rId="3491" sId="4" numFmtId="19">
    <nc r="AA37">
      <v>43928</v>
    </nc>
  </rcc>
  <rcc rId="3492" sId="4" odxf="1" dxf="1">
    <nc r="AB37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493" sId="4">
    <nc r="AC37">
      <v>100</v>
    </nc>
  </rcc>
  <rcc rId="3494" sId="4">
    <nc r="AD37">
      <v>100</v>
    </nc>
  </rcc>
  <rcc rId="3495" sId="4">
    <nc r="AE37">
      <v>100</v>
    </nc>
  </rcc>
  <rcc rId="3496" sId="4">
    <nc r="AF37" t="inlineStr">
      <is>
        <t>N/A</t>
      </is>
    </nc>
  </rcc>
  <rcc rId="3497" sId="4" numFmtId="19">
    <nc r="Z38">
      <v>43928</v>
    </nc>
  </rcc>
  <rcc rId="3498" sId="4" numFmtId="19">
    <nc r="AA38">
      <v>43928</v>
    </nc>
  </rcc>
  <rcc rId="3499" sId="4" odxf="1" dxf="1">
    <nc r="AB3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500" sId="4">
    <nc r="AC38">
      <v>100</v>
    </nc>
  </rcc>
  <rcc rId="3501" sId="4">
    <nc r="AD38">
      <v>100</v>
    </nc>
  </rcc>
  <rcc rId="3502" sId="4">
    <nc r="AE38">
      <v>100</v>
    </nc>
  </rcc>
  <rcc rId="3503" sId="4">
    <nc r="AF38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2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07" sId="4" quotePrefix="1">
    <oc r="AH74" t="inlineStr">
      <is>
        <t>-</t>
      </is>
    </oc>
    <nc r="AH74" t="inlineStr">
      <is>
        <t>Owner said its OK like usual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2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xfDxf="1" sqref="L111" start="0" length="0"/>
  <ris rId="3514" sheetId="12" name="[Summary_COEM.xlsx]Sheet1" sheetPosition="4"/>
  <rfmt sheetId="12" xfDxf="1" sqref="A1" start="0" length="0"/>
  <rfmt sheetId="12" xfDxf="1" sqref="A2" start="0" length="0"/>
  <rfmt sheetId="12" xfDxf="1" sqref="A3" start="0" length="0"/>
  <rfmt sheetId="12" xfDxf="1" sqref="A4" start="0" length="0"/>
  <rfmt sheetId="12" xfDxf="1" sqref="A5" start="0" length="0"/>
  <rfmt sheetId="12" xfDxf="1" sqref="A6" start="0" length="0"/>
  <rfmt sheetId="12" xfDxf="1" sqref="A7" start="0" length="0"/>
  <rfmt sheetId="12" xfDxf="1" sqref="A8" start="0" length="0"/>
  <rfmt sheetId="12" xfDxf="1" sqref="A9" start="0" length="0"/>
  <rfmt sheetId="12" xfDxf="1" sqref="A10" start="0" length="0"/>
  <rfmt sheetId="12" xfDxf="1" sqref="A11" start="0" length="0"/>
  <rfmt sheetId="12" xfDxf="1" sqref="A12" start="0" length="0"/>
  <rfmt sheetId="12" xfDxf="1" sqref="A13" start="0" length="0"/>
  <rfmt sheetId="12" xfDxf="1" sqref="A14" start="0" length="0"/>
  <rfmt sheetId="12" xfDxf="1" sqref="A15" start="0" length="0"/>
  <rfmt sheetId="12" xfDxf="1" sqref="A16" start="0" length="0"/>
  <rfmt sheetId="12" xfDxf="1" sqref="A17" start="0" length="0"/>
  <rfmt sheetId="12" xfDxf="1" sqref="A18" start="0" length="0"/>
  <rfmt sheetId="12" xfDxf="1" sqref="A19" start="0" length="0"/>
  <rfmt sheetId="12" xfDxf="1" sqref="A20" start="0" length="0"/>
  <rfmt sheetId="12" xfDxf="1" sqref="A21" start="0" length="0"/>
  <rfmt sheetId="12" xfDxf="1" sqref="A22" start="0" length="0"/>
  <rfmt sheetId="12" xfDxf="1" sqref="A23" start="0" length="0"/>
  <rfmt sheetId="12" xfDxf="1" sqref="A24" start="0" length="0"/>
  <rfmt sheetId="12" xfDxf="1" sqref="A25" start="0" length="0"/>
  <rfmt sheetId="12" xfDxf="1" sqref="A26" start="0" length="0"/>
  <rfmt sheetId="12" xfDxf="1" sqref="A27" start="0" length="0"/>
  <rfmt sheetId="12" xfDxf="1" sqref="A28" start="0" length="0"/>
  <rfmt sheetId="12" xfDxf="1" sqref="A29" start="0" length="0"/>
  <rfmt sheetId="12" xfDxf="1" sqref="A30" start="0" length="0"/>
  <rfmt sheetId="12" xfDxf="1" sqref="A31" start="0" length="0"/>
  <rfmt sheetId="12" xfDxf="1" sqref="A32" start="0" length="0"/>
  <rfmt sheetId="12" xfDxf="1" sqref="A33" start="0" length="0"/>
  <rfmt sheetId="12" xfDxf="1" sqref="A34" start="0" length="0"/>
  <rfmt sheetId="12" xfDxf="1" sqref="A35" start="0" length="0"/>
  <rfmt sheetId="12" xfDxf="1" sqref="A36" start="0" length="0"/>
  <rfmt sheetId="12" xfDxf="1" sqref="A37" start="0" length="0"/>
  <rfmt sheetId="12" xfDxf="1" sqref="A38" start="0" length="0"/>
  <rfmt sheetId="12" xfDxf="1" sqref="A39" start="0" length="0"/>
  <rfmt sheetId="12" xfDxf="1" sqref="A40" start="0" length="0"/>
  <rfmt sheetId="12" xfDxf="1" sqref="A41" start="0" length="0"/>
  <rfmt sheetId="12" xfDxf="1" sqref="A42" start="0" length="0"/>
  <rfmt sheetId="12" xfDxf="1" sqref="A43" start="0" length="0"/>
  <rfmt sheetId="12" xfDxf="1" sqref="A44" start="0" length="0"/>
  <rfmt sheetId="12" xfDxf="1" sqref="A45" start="0" length="0"/>
  <rfmt sheetId="12" xfDxf="1" sqref="A46" start="0" length="0"/>
  <rfmt sheetId="12" xfDxf="1" sqref="A47" start="0" length="0"/>
  <rfmt sheetId="12" xfDxf="1" sqref="A48" start="0" length="0"/>
  <rfmt sheetId="12" xfDxf="1" sqref="A49" start="0" length="0"/>
  <rfmt sheetId="12" xfDxf="1" sqref="A50" start="0" length="0"/>
  <rfmt sheetId="12" xfDxf="1" sqref="A51" start="0" length="0"/>
  <rfmt sheetId="12" xfDxf="1" sqref="A52" start="0" length="0"/>
  <rfmt sheetId="12" xfDxf="1" sqref="A53" start="0" length="0"/>
  <rfmt sheetId="12" xfDxf="1" sqref="A54" start="0" length="0"/>
  <rfmt sheetId="12" xfDxf="1" sqref="A55" start="0" length="0"/>
  <rfmt sheetId="12" xfDxf="1" sqref="A56" start="0" length="0"/>
  <rfmt sheetId="12" xfDxf="1" sqref="A57" start="0" length="0"/>
  <rfmt sheetId="12" xfDxf="1" sqref="A58" start="0" length="0"/>
  <rfmt sheetId="12" xfDxf="1" sqref="A59" start="0" length="0"/>
  <rfmt sheetId="12" xfDxf="1" sqref="A60" start="0" length="0"/>
  <rfmt sheetId="12" xfDxf="1" sqref="A61" start="0" length="0"/>
  <rfmt sheetId="12" xfDxf="1" sqref="A62" start="0" length="0"/>
  <rfmt sheetId="12" xfDxf="1" sqref="A63" start="0" length="0"/>
  <rfmt sheetId="12" xfDxf="1" sqref="A64" start="0" length="0"/>
  <rfmt sheetId="12" xfDxf="1" sqref="A65" start="0" length="0"/>
  <rfmt sheetId="12" xfDxf="1" sqref="A66" start="0" length="0"/>
  <rfmt sheetId="12" xfDxf="1" sqref="A67" start="0" length="0"/>
  <rfmt sheetId="12" xfDxf="1" sqref="A68" start="0" length="0"/>
  <rfmt sheetId="12" xfDxf="1" sqref="A69" start="0" length="0"/>
  <rfmt sheetId="12" xfDxf="1" sqref="A70" start="0" length="0"/>
  <rfmt sheetId="12" xfDxf="1" sqref="A71" start="0" length="0"/>
  <rfmt sheetId="12" xfDxf="1" sqref="A72" start="0" length="0"/>
  <rfmt sheetId="12" xfDxf="1" sqref="A73" start="0" length="0"/>
  <rfmt sheetId="12" xfDxf="1" sqref="A74" start="0" length="0"/>
  <rfmt sheetId="12" xfDxf="1" sqref="A75" start="0" length="0"/>
  <rfmt sheetId="12" xfDxf="1" sqref="A76" start="0" length="0"/>
  <rfmt sheetId="12" xfDxf="1" sqref="A77" start="0" length="0"/>
  <rfmt sheetId="12" xfDxf="1" sqref="A78" start="0" length="0"/>
  <rfmt sheetId="12" xfDxf="1" sqref="A79" start="0" length="0"/>
  <rfmt sheetId="12" xfDxf="1" sqref="A80" start="0" length="0"/>
  <rfmt sheetId="12" xfDxf="1" sqref="A81" start="0" length="0"/>
  <rfmt sheetId="12" xfDxf="1" sqref="A82" start="0" length="0"/>
  <rfmt sheetId="12" xfDxf="1" sqref="A83" start="0" length="0"/>
  <rfmt sheetId="12" xfDxf="1" sqref="A84" start="0" length="0"/>
  <rfmt sheetId="12" xfDxf="1" sqref="A85" start="0" length="0"/>
  <rfmt sheetId="12" xfDxf="1" sqref="A86" start="0" length="0"/>
  <rfmt sheetId="12" xfDxf="1" sqref="A87" start="0" length="0"/>
  <rfmt sheetId="12" xfDxf="1" sqref="A88" start="0" length="0"/>
  <rfmt sheetId="12" xfDxf="1" sqref="A89" start="0" length="0"/>
  <rfmt sheetId="12" xfDxf="1" sqref="A90" start="0" length="0"/>
  <rfmt sheetId="12" xfDxf="1" sqref="A91" start="0" length="0"/>
  <rfmt sheetId="12" xfDxf="1" sqref="A92" start="0" length="0"/>
  <rfmt sheetId="12" xfDxf="1" sqref="A93" start="0" length="0"/>
  <rfmt sheetId="12" xfDxf="1" sqref="A94" start="0" length="0"/>
  <rfmt sheetId="12" xfDxf="1" sqref="A95" start="0" length="0"/>
  <rfmt sheetId="12" xfDxf="1" sqref="A96" start="0" length="0"/>
  <rfmt sheetId="12" xfDxf="1" sqref="A97" start="0" length="0"/>
  <rfmt sheetId="12" xfDxf="1" sqref="A98" start="0" length="0"/>
  <rfmt sheetId="12" xfDxf="1" sqref="A99" start="0" length="0"/>
  <rfmt sheetId="12" xfDxf="1" sqref="A100" start="0" length="0"/>
  <rfmt sheetId="12" xfDxf="1" sqref="A101" start="0" length="0"/>
  <rfmt sheetId="12" xfDxf="1" sqref="A102" start="0" length="0"/>
  <rfmt sheetId="12" xfDxf="1" sqref="A103" start="0" length="0"/>
  <rfmt sheetId="12" xfDxf="1" sqref="A104" start="0" length="0"/>
  <rfmt sheetId="12" xfDxf="1" sqref="A105" start="0" length="0"/>
  <rfmt sheetId="12" xfDxf="1" sqref="A106" start="0" length="0"/>
  <rfmt sheetId="12" xfDxf="1" sqref="A107" start="0" length="0"/>
  <rfmt sheetId="12" xfDxf="1" sqref="A108" start="0" length="0"/>
  <rfmt sheetId="12" xfDxf="1" sqref="A109" start="0" length="0"/>
  <rfmt sheetId="12" xfDxf="1" sqref="A110" start="0" length="0"/>
  <rfmt sheetId="12" xfDxf="1" sqref="A111" start="0" length="0"/>
  <rfmt sheetId="12" xfDxf="1" sqref="A112" start="0" length="0"/>
  <rfmt sheetId="12" xfDxf="1" sqref="A113" start="0" length="0"/>
  <rfmt sheetId="12" xfDxf="1" sqref="A114" start="0" length="0"/>
  <rfmt sheetId="12" xfDxf="1" sqref="A115" start="0" length="0"/>
  <rfmt sheetId="12" xfDxf="1" sqref="A116" start="0" length="0"/>
  <rfmt sheetId="12" xfDxf="1" sqref="A117" start="0" length="0"/>
  <rfmt sheetId="12" xfDxf="1" sqref="A118" start="0" length="0"/>
  <rfmt sheetId="12" xfDxf="1" sqref="A119" start="0" length="0"/>
  <rfmt sheetId="12" xfDxf="1" sqref="A120" start="0" length="0"/>
  <rfmt sheetId="12" xfDxf="1" sqref="A121" start="0" length="0"/>
  <rfmt sheetId="12" xfDxf="1" sqref="A122" start="0" length="0"/>
  <rfmt sheetId="12" xfDxf="1" sqref="A123" start="0" length="0"/>
  <rfmt sheetId="12" xfDxf="1" sqref="A124" start="0" length="0"/>
  <rfmt sheetId="12" xfDxf="1" sqref="A125" start="0" length="0"/>
  <rfmt sheetId="12" xfDxf="1" sqref="A126" start="0" length="0"/>
  <rfmt sheetId="12" xfDxf="1" sqref="A127" start="0" length="0"/>
  <rfmt sheetId="12" xfDxf="1" sqref="A128" start="0" length="0"/>
  <rfmt sheetId="12" xfDxf="1" sqref="A129" start="0" length="0"/>
  <rfmt sheetId="12" xfDxf="1" sqref="A130" start="0" length="0"/>
  <rrc rId="3515" sId="12" ref="A12:XFD12" action="deleteRow">
    <rfmt sheetId="12" xfDxf="1" sqref="A12:XFD12" start="0" length="0"/>
  </rrc>
  <rrc rId="3516" sId="12" ref="A12:XFD12" action="deleteRow">
    <rfmt sheetId="12" xfDxf="1" sqref="A12:XFD12" start="0" length="0"/>
  </rrc>
  <rrc rId="3517" sId="12" ref="A18:XFD18" action="deleteRow">
    <rfmt sheetId="12" xfDxf="1" sqref="A18:XFD18" start="0" length="0"/>
  </rrc>
  <rrc rId="3518" sId="12" ref="A24:XFD24" action="deleteRow">
    <rfmt sheetId="12" xfDxf="1" sqref="A24:XFD24" start="0" length="0"/>
  </rrc>
  <rrc rId="3519" sId="12" ref="A30:XFD30" action="deleteRow">
    <rfmt sheetId="12" xfDxf="1" sqref="A30:XFD30" start="0" length="0"/>
  </rrc>
  <rrc rId="3520" sId="12" ref="A44:XFD44" action="deleteRow">
    <rfmt sheetId="12" xfDxf="1" sqref="A44:XFD44" start="0" length="0"/>
  </rrc>
  <rrc rId="3521" sId="12" ref="A50:XFD50" action="deleteRow">
    <rfmt sheetId="12" xfDxf="1" sqref="A50:XFD50" start="0" length="0"/>
  </rrc>
  <rrc rId="3522" sId="12" ref="A62:XFD62" action="deleteRow">
    <rfmt sheetId="12" xfDxf="1" sqref="A62:XFD62" start="0" length="0"/>
  </rrc>
  <rrc rId="3523" sId="12" ref="A62:XFD62" action="deleteRow">
    <rfmt sheetId="12" xfDxf="1" sqref="A62:XFD62" start="0" length="0"/>
  </rrc>
  <rrc rId="3524" sId="12" ref="A68:XFD68" action="deleteRow">
    <rfmt sheetId="12" xfDxf="1" sqref="A68:XFD68" start="0" length="0"/>
  </rrc>
  <rrc rId="3525" sId="12" ref="A84:XFD84" action="deleteRow">
    <rfmt sheetId="12" xfDxf="1" sqref="A84:XFD84" start="0" length="0"/>
  </rr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dn rId="0" localSheetId="12" customView="1" name="Z_60D2C030_4E31_4E07_8E1C_44D2EE84B177_.wvu.FilterData" hidden="1" oldHidden="1">
    <formula>Sheet1!$A$2:$A$119</formula>
  </rdn>
  <rcv guid="{60D2C030-4E31-4E07-8E1C-44D2EE84B177}" action="add"/>
</revisions>
</file>

<file path=xl/revisions/revisionLog2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30" sId="4">
    <nc r="T68">
      <f>S68</f>
    </nc>
  </rcc>
  <rcc rId="3531" sId="4">
    <nc r="V68">
      <v>0.7</v>
    </nc>
  </rcc>
  <rcc rId="3532" sId="4">
    <nc r="W68" t="inlineStr">
      <is>
        <t>Ready for review</t>
      </is>
    </nc>
  </rcc>
  <rcc rId="3533" sId="4" numFmtId="19">
    <nc r="Z68">
      <v>43929</v>
    </nc>
  </rcc>
  <rcc rId="3534" sId="4" numFmtId="19">
    <nc r="AA68">
      <v>43929</v>
    </nc>
  </rcc>
  <rcc rId="3535" sId="4">
    <nc r="AB68" t="inlineStr">
      <is>
        <t>OK</t>
      </is>
    </nc>
  </rcc>
  <rcc rId="3536" sId="4">
    <nc r="AC68">
      <v>100</v>
    </nc>
  </rcc>
  <rcc rId="3537" sId="4">
    <nc r="AD68">
      <v>100</v>
    </nc>
  </rcc>
  <rcc rId="3538" sId="4">
    <nc r="AE68">
      <v>100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dn rId="0" localSheetId="12" customView="1" name="Z_60D2C030_4E31_4E07_8E1C_44D2EE84B177_.wvu.FilterData" hidden="1" oldHidden="1">
    <formula>Sheet1!$A$2:$A$119</formula>
    <oldFormula>Sheet1!$A$2:$A$119</oldFormula>
  </rdn>
  <rcv guid="{60D2C030-4E31-4E07-8E1C-44D2EE84B177}" action="add"/>
</revisions>
</file>

<file path=xl/revisions/revisionLog2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COEM_Package_20200401!$O$2:$O$121</formula>
    <oldFormula>COEM_Package_20200401!$O$2:$O$121</oldFormula>
  </rdn>
  <rdn rId="0" localSheetId="12" customView="1" name="Z_4E06BDBF_2CED_473B_850B_2A6C7311FF41_.wvu.FilterData" hidden="1" oldHidden="1">
    <formula>Sheet1!$A$2:$A$119</formula>
  </rdn>
  <rcv guid="{4E06BDBF-2CED-473B-850B-2A6C7311FF41}" action="add"/>
</revisions>
</file>

<file path=xl/revisions/revisionLog2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47" sId="4">
    <nc r="AF68" t="inlineStr">
      <is>
        <t>N/A</t>
      </is>
    </nc>
  </rcc>
  <rcc rId="3548" sId="4">
    <nc r="AF67" t="inlineStr">
      <is>
        <t>OPL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dn rId="0" localSheetId="12" customView="1" name="Z_60D2C030_4E31_4E07_8E1C_44D2EE84B177_.wvu.FilterData" hidden="1" oldHidden="1">
    <formula>Sheet1!$A$2:$A$119</formula>
    <oldFormula>Sheet1!$A$2:$A$119</oldFormula>
  </rdn>
  <rcv guid="{60D2C030-4E31-4E07-8E1C-44D2EE84B177}" action="add"/>
</revisions>
</file>

<file path=xl/revisions/revisionLog2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3553" sId="4" ref="A93:XFD94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3554" sId="4">
    <nc r="B93">
      <f>B92+1</f>
    </nc>
  </rcc>
  <rcc rId="3555" sId="4">
    <nc r="B94">
      <f>B93+1</f>
    </nc>
  </rcc>
  <rcc rId="3556" sId="4">
    <oc r="B95">
      <f>B92+1</f>
    </oc>
    <nc r="B95">
      <f>B94+1</f>
    </nc>
  </rcc>
  <rcc rId="3557" sId="4">
    <oc r="B96">
      <f>B95+1</f>
    </oc>
    <nc r="B96">
      <f>B95+1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COEM_Package_20200401!$B$2:$AH$96</formula>
    <oldFormula>COEM_Package_20200401!$B$2:$AH$96</oldFormula>
  </rdn>
  <rcv guid="{7E0EA425-A420-4443-B9E0-CDF0AA9E5D09}" action="add"/>
</revisions>
</file>

<file path=xl/revisions/revisionLog2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COEM_Package_20200401!$B$2:$AH$96</formula>
    <oldFormula>COEM_Package_20200401!$B$2:$AH$96</oldFormula>
  </rdn>
  <rcv guid="{7E0EA425-A420-4443-B9E0-CDF0AA9E5D09}" action="add"/>
</revisions>
</file>

<file path=xl/revisions/revisionLog2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64" sId="4" xfDxf="1" dxf="1" quotePrefix="1">
    <oc r="F86" t="inlineStr">
      <is>
        <t>-</t>
      </is>
    </oc>
    <nc r="F86" t="inlineStr">
      <is>
        <t>\Psw\DNC\DNC09_BB99524\NET09_BB99524\NET09_NIS9_ABS\SRC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65" sId="4" xfDxf="1" dxf="1" quotePrefix="1">
    <oc r="F79" t="inlineStr">
      <is>
        <t>-</t>
      </is>
    </oc>
    <nc r="F79" t="inlineStr">
      <is>
        <t>\Psw\DNC\DNC09_BB99524\NET09_BB99524\NET09_GEN_BB92121\SRC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COEM_Package_20200401!$B$2:$AH$96</formula>
    <oldFormula>COEM_Package_20200401!$B$2:$AH$96</oldFormula>
  </rdn>
  <rdn rId="0" localSheetId="12" customView="1" name="Z_60D2C030_4E31_4E07_8E1C_44D2EE84B177_.wvu.FilterData" hidden="1" oldHidden="1">
    <formula>Sheet1!$A$2:$A$119</formula>
    <oldFormula>Sheet1!$A$2:$A$119</oldFormula>
  </rdn>
  <rcv guid="{60D2C030-4E31-4E07-8E1C-44D2EE84B177}" action="add"/>
</revisions>
</file>

<file path=xl/revisions/revisionLog2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70" sId="4">
    <oc r="E114">
      <f>SUMIFS($T$3:$T$96,$D$3:$D$96,Table!$D$3)-SUM(SUMIFS($T$3:$T$96,$D$3:$D$96,Table!$D$3,$W$3:$W$96,{"Ongoing","N/A",""}))</f>
    </oc>
    <nc r="E114">
      <f>SUMIFS($T$3:$T$96,$D$3:$D$96,Table!$D$3)-SUM(SUMIFS($T$3:$T$96,$D$3:$D$96,Table!$D$3,$W$3:$W$96,{"Ongoing","N/A",""}))</f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COEM_Package_20200401!$B$2:$AH$96</formula>
    <oldFormula>COEM_Package_20200401!$B$2:$AH$96</oldFormula>
  </rdn>
  <rcv guid="{72A6EB0A-84D5-4B8A-AC51-54CCD061630B}" action="add"/>
</revisions>
</file>

<file path=xl/revisions/revisionLog2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COEM_Package_20200401!$B$2:$AH$96</formula>
    <oldFormula>COEM_Package_20200401!$B$2:$AH$96</oldFormula>
  </rdn>
  <rcv guid="{72A6EB0A-84D5-4B8A-AC51-54CCD061630B}" action="add"/>
</revisions>
</file>

<file path=xl/revisions/revisionLog2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3577" sId="4" ref="A93:XFD96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3578" sId="4">
    <nc r="B95">
      <f>B94+1</f>
    </nc>
  </rcc>
  <rcc rId="3579" sId="4">
    <nc r="B96">
      <f>B95+1</f>
    </nc>
  </rcc>
  <rcc rId="3580" sId="4">
    <oc r="B97">
      <f>B92+1</f>
    </oc>
    <nc r="B97">
      <f>B96+1</f>
    </nc>
  </rcc>
  <rcc rId="3581" sId="4">
    <oc r="B98">
      <f>B97+1</f>
    </oc>
    <nc r="B98">
      <f>B97+1</f>
    </nc>
  </rcc>
  <rcc rId="3582" sId="4">
    <oc r="B99">
      <f>B98+1</f>
    </oc>
    <nc r="B99">
      <f>B98+1</f>
    </nc>
  </rcc>
  <rcc rId="3583" sId="4">
    <oc r="B100">
      <f>B99+1</f>
    </oc>
    <nc r="B100">
      <f>B99+1</f>
    </nc>
  </rcc>
  <rrc rId="3584" sId="4" ref="A93:XFD100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3585" sId="4">
    <nc r="B93">
      <f>B92+1</f>
    </nc>
  </rcc>
  <rcc rId="3586" sId="4">
    <nc r="B94">
      <f>B93+1</f>
    </nc>
  </rcc>
  <rcc rId="3587" sId="4">
    <nc r="B95">
      <f>B94+1</f>
    </nc>
  </rcc>
  <rcc rId="3588" sId="4">
    <nc r="B96">
      <f>B95+1</f>
    </nc>
  </rcc>
  <rcc rId="3589" sId="4">
    <nc r="B97">
      <f>B96+1</f>
    </nc>
  </rcc>
  <rcc rId="3590" sId="4">
    <nc r="B98">
      <f>B97+1</f>
    </nc>
  </rcc>
  <rcc rId="3591" sId="4">
    <nc r="B99">
      <f>B98+1</f>
    </nc>
  </rcc>
  <rcc rId="3592" sId="4">
    <nc r="B100">
      <f>B99+1</f>
    </nc>
  </rcc>
  <rcc rId="3593" sId="4">
    <nc r="B101">
      <f>B100+1</f>
    </nc>
  </rcc>
  <rcc rId="3594" sId="4">
    <nc r="B102">
      <f>B101+1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98" sId="4" odxf="1" dxf="1">
    <oc r="I74" t="inlineStr">
      <is>
        <t>-</t>
      </is>
    </oc>
    <nc r="I74" t="inlineStr">
      <is>
        <t>Auto</t>
      </is>
    </nc>
    <odxf/>
    <ndxf/>
  </rcc>
  <rcc rId="3599" sId="4" odxf="1" dxf="1">
    <oc r="I75" t="inlineStr">
      <is>
        <t>-</t>
      </is>
    </oc>
    <nc r="I75" t="inlineStr">
      <is>
        <t>Auto</t>
      </is>
    </nc>
    <odxf/>
    <ndxf/>
  </rcc>
  <rcc rId="3600" sId="4" odxf="1" dxf="1">
    <oc r="I76" t="inlineStr">
      <is>
        <t>-</t>
      </is>
    </oc>
    <nc r="I76" t="inlineStr">
      <is>
        <t>Auto</t>
      </is>
    </nc>
    <odxf/>
    <ndxf/>
  </rcc>
  <rcc rId="3601" sId="4" odxf="1" dxf="1">
    <oc r="I77" t="inlineStr">
      <is>
        <t>-</t>
      </is>
    </oc>
    <nc r="I77" t="inlineStr">
      <is>
        <t>Auto</t>
      </is>
    </nc>
    <odxf/>
    <ndxf/>
  </rcc>
  <rcc rId="3602" sId="4" odxf="1" dxf="1">
    <oc r="I78" t="inlineStr">
      <is>
        <t>-</t>
      </is>
    </oc>
    <nc r="I78" t="inlineStr">
      <is>
        <t>Auto</t>
      </is>
    </nc>
    <odxf/>
    <ndxf/>
  </rcc>
  <rcc rId="3603" sId="4" odxf="1" dxf="1">
    <oc r="I79" t="inlineStr">
      <is>
        <t>-</t>
      </is>
    </oc>
    <nc r="I79" t="inlineStr">
      <is>
        <t>Auto</t>
      </is>
    </nc>
    <odxf/>
    <ndxf/>
  </rcc>
  <rcc rId="3604" sId="4" odxf="1" dxf="1">
    <oc r="I80" t="inlineStr">
      <is>
        <t>-</t>
      </is>
    </oc>
    <nc r="I80" t="inlineStr">
      <is>
        <t>Auto</t>
      </is>
    </nc>
    <odxf/>
    <ndxf/>
  </rcc>
  <rcc rId="3605" sId="4" odxf="1" dxf="1">
    <oc r="I81" t="inlineStr">
      <is>
        <t>-</t>
      </is>
    </oc>
    <nc r="I81" t="inlineStr">
      <is>
        <t>Auto</t>
      </is>
    </nc>
    <odxf/>
    <ndxf/>
  </rcc>
  <rcc rId="3606" sId="4" odxf="1" dxf="1">
    <oc r="I82" t="inlineStr">
      <is>
        <t>-</t>
      </is>
    </oc>
    <nc r="I82" t="inlineStr">
      <is>
        <t>Auto</t>
      </is>
    </nc>
    <odxf/>
    <ndxf/>
  </rcc>
  <rcc rId="3607" sId="4" odxf="1" dxf="1">
    <oc r="I83" t="inlineStr">
      <is>
        <t>-</t>
      </is>
    </oc>
    <nc r="I83" t="inlineStr">
      <is>
        <t>Auto</t>
      </is>
    </nc>
    <odxf/>
    <ndxf/>
  </rcc>
  <rcc rId="3608" sId="4" odxf="1" dxf="1">
    <oc r="I84" t="inlineStr">
      <is>
        <t>-</t>
      </is>
    </oc>
    <nc r="I84" t="inlineStr">
      <is>
        <t>Auto</t>
      </is>
    </nc>
    <odxf/>
    <ndxf/>
  </rcc>
  <rcc rId="3609" sId="4" odxf="1" dxf="1">
    <oc r="I85" t="inlineStr">
      <is>
        <t>-</t>
      </is>
    </oc>
    <nc r="I85" t="inlineStr">
      <is>
        <t>Auto</t>
      </is>
    </nc>
    <odxf/>
    <ndxf/>
  </rcc>
  <rcc rId="3610" sId="4" odxf="1" dxf="1">
    <oc r="I86" t="inlineStr">
      <is>
        <t>-</t>
      </is>
    </oc>
    <nc r="I86" t="inlineStr">
      <is>
        <t>Auto</t>
      </is>
    </nc>
    <odxf/>
    <ndxf/>
  </rcc>
  <rcc rId="3611" sId="4" odxf="1" dxf="1">
    <oc r="I87" t="inlineStr">
      <is>
        <t>-</t>
      </is>
    </oc>
    <nc r="I87" t="inlineStr">
      <is>
        <t>Auto</t>
      </is>
    </nc>
    <odxf/>
    <ndxf/>
  </rcc>
  <rcc rId="3612" sId="4" odxf="1" dxf="1">
    <oc r="I88" t="inlineStr">
      <is>
        <t>-</t>
      </is>
    </oc>
    <nc r="I88" t="inlineStr">
      <is>
        <t>Auto</t>
      </is>
    </nc>
    <odxf/>
    <ndxf/>
  </rcc>
  <rcc rId="3613" sId="4" odxf="1" dxf="1">
    <oc r="I89" t="inlineStr">
      <is>
        <t>-</t>
      </is>
    </oc>
    <nc r="I89" t="inlineStr">
      <is>
        <t>Auto</t>
      </is>
    </nc>
    <odxf/>
    <ndxf/>
  </rcc>
  <rcc rId="3614" sId="4" odxf="1" dxf="1">
    <oc r="I90" t="inlineStr">
      <is>
        <t>-</t>
      </is>
    </oc>
    <nc r="I90" t="inlineStr">
      <is>
        <t>Auto</t>
      </is>
    </nc>
    <odxf/>
    <ndxf/>
  </rcc>
  <rcc rId="3615" sId="4" odxf="1" dxf="1">
    <oc r="I91" t="inlineStr">
      <is>
        <t>-</t>
      </is>
    </oc>
    <nc r="I91" t="inlineStr">
      <is>
        <t>Auto</t>
      </is>
    </nc>
    <odxf/>
    <ndxf/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22" sId="4" xfDxf="1" dxf="1">
    <nc r="E92" t="inlineStr">
      <is>
        <t>241595_GAC_A27_ESP9.3CP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23" sId="4" xfDxf="1" dxf="1">
    <nc r="E93" t="inlineStr">
      <is>
        <t>235149_FAW_HS7_RC_BL02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24" sId="4" xfDxf="1" dxf="1">
    <nc r="E94" t="inlineStr">
      <is>
        <t>235149_FAW_HS7_RC_BL02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25" sId="4" xfDxf="1" dxf="1">
    <nc r="E95" t="inlineStr">
      <is>
        <t>MC_232534_SGMW_CN202C_ESP9.3CPi_ACC_BSS04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26" sId="4">
    <nc r="D93" t="inlineStr">
      <is>
        <t>PSW</t>
      </is>
    </nc>
  </rcc>
  <rcc rId="3627" sId="4">
    <nc r="D95" t="inlineStr">
      <is>
        <t>PSW</t>
      </is>
    </nc>
  </rcc>
  <rcc rId="3628" sId="4">
    <nc r="D92" t="inlineStr">
      <is>
        <t>PSW</t>
      </is>
    </nc>
  </rcc>
  <rcc rId="3629" sId="4">
    <nc r="D94" t="inlineStr">
      <is>
        <t>PSW</t>
      </is>
    </nc>
  </rcc>
  <rcc rId="3630" sId="4">
    <nc r="C92">
      <v>20200407</v>
    </nc>
  </rcc>
  <rcc rId="3631" sId="4">
    <nc r="C93">
      <v>20200407</v>
    </nc>
  </rcc>
  <rcc rId="3632" sId="4">
    <nc r="C94">
      <v>20200407</v>
    </nc>
  </rcc>
  <rcc rId="3633" sId="4">
    <nc r="C95">
      <v>20200407</v>
    </nc>
  </rcc>
  <rcc rId="3634" sId="4" xfDxf="1" dxf="1" quotePrefix="1">
    <nc r="F92" t="inlineStr">
      <is>
        <t>rb/as/cnms_core/app/net/scl/Controllers/RBC/src/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5" sId="4" xfDxf="1" dxf="1" quotePrefix="1">
    <nc r="F93" t="inlineStr">
      <is>
        <t>rb/as/faw/fawcore/app/dcom/RBAPLCust/src/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6" sId="4" xfDxf="1" dxf="1" quotePrefix="1">
    <nc r="F94" t="inlineStr">
      <is>
        <t>rb/as/faw/fawcore/app/dcom/RBAPLCust/src/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7" sId="4" xfDxf="1" dxf="1" quotePrefix="1">
    <nc r="F95" t="inlineStr">
      <is>
        <t>rb/as/sgmw/core/dcom/RBAPLCust/src/ESP/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8" sId="4" xfDxf="1" dxf="1">
    <nc r="G92">
      <v>1405783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9" sId="4" xfDxf="1" dxf="1">
    <nc r="G93">
      <v>1405633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0" sId="4" xfDxf="1" dxf="1">
    <nc r="G94">
      <v>1405633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1" sId="4" xfDxf="1" dxf="1">
    <nc r="G95">
      <v>1407639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45" sId="4" xfDxf="1" dxf="1">
    <nc r="H92" t="inlineStr">
      <is>
        <t>NET_SCL_Rx_RBC.c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6" sId="4" xfDxf="1" dxf="1">
    <nc r="H93" t="inlineStr">
      <is>
        <t>RBAPLCUST_SecurityAccess.c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7" sId="4" xfDxf="1" dxf="1">
    <nc r="H94" t="inlineStr">
      <is>
        <t>RBAPLCUST_WDBI_NVMData.c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8" sId="4" xfDxf="1" dxf="1">
    <nc r="H95" t="inlineStr">
      <is>
        <t>RBAPLCUST_RoutineControl_TPMSReset.c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9" sId="4">
    <nc r="I93" t="inlineStr">
      <is>
        <t>Auto</t>
      </is>
    </nc>
  </rcc>
  <rcc rId="3650" sId="4">
    <nc r="I95" t="inlineStr">
      <is>
        <t>Auto</t>
      </is>
    </nc>
  </rcc>
  <rcc rId="3651" sId="4">
    <nc r="I92" t="inlineStr">
      <is>
        <t>Auto</t>
      </is>
    </nc>
  </rcc>
  <rcc rId="3652" sId="4">
    <nc r="I94" t="inlineStr">
      <is>
        <t>Auto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56" sId="4" odxf="1" dxf="1" quotePrefix="1">
    <nc r="J92" t="inlineStr">
      <is>
        <t>-</t>
      </is>
    </nc>
    <odxf/>
    <ndxf/>
  </rcc>
  <rcc rId="3657" sId="4" odxf="1" dxf="1" quotePrefix="1">
    <nc r="J93" t="inlineStr">
      <is>
        <t>-</t>
      </is>
    </nc>
    <odxf/>
    <ndxf/>
  </rcc>
  <rcc rId="3658" sId="4" odxf="1" dxf="1" quotePrefix="1">
    <nc r="J94" t="inlineStr">
      <is>
        <t>-</t>
      </is>
    </nc>
    <odxf/>
    <ndxf/>
  </rcc>
  <rcc rId="3659" sId="4" odxf="1" dxf="1" quotePrefix="1">
    <nc r="J95" t="inlineStr">
      <is>
        <t>-</t>
      </is>
    </nc>
    <odxf/>
    <ndxf/>
  </rcc>
  <rcc rId="3660" sId="4">
    <oc r="K74" t="inlineStr">
      <is>
        <t>\\10.184.143.103\d\vivi\BV\DB\06Mar\Nissan_35.zip</t>
      </is>
    </oc>
    <nc r="K74" t="inlineStr">
      <is>
        <t>//10.184.143.103/d/vivi/BV/DB/06Mar/Nissan_35.zip</t>
      </is>
    </nc>
  </rcc>
  <rcc rId="3661" sId="4">
    <oc r="K75" t="inlineStr">
      <is>
        <t>\\10.184.143.103\d\vivi\BV\DB\06Mar\Nissan_35.zip</t>
      </is>
    </oc>
    <nc r="K75" t="inlineStr">
      <is>
        <t>//10.184.143.103/d/vivi/BV/DB/06Mar/Nissan_35.zip</t>
      </is>
    </nc>
  </rcc>
  <rcc rId="3662" sId="4">
    <oc r="K76" t="inlineStr">
      <is>
        <t>\\10.184.143.103\d\vivi\BV\DB\06Mar\Nissan_35.zip</t>
      </is>
    </oc>
    <nc r="K76" t="inlineStr">
      <is>
        <t>//10.184.143.103/d/vivi/BV/DB/06Mar/Nissan_35.zip</t>
      </is>
    </nc>
  </rcc>
  <rcc rId="3663" sId="4">
    <oc r="K77" t="inlineStr">
      <is>
        <t>\\10.184.143.103\d\vivi\BV\DB\06Mar\Nissan_35.zip</t>
      </is>
    </oc>
    <nc r="K77" t="inlineStr">
      <is>
        <t>//10.184.143.103/d/vivi/BV/DB/06Mar/Nissan_35.zip</t>
      </is>
    </nc>
  </rcc>
  <rcc rId="3664" sId="4">
    <oc r="K78" t="inlineStr">
      <is>
        <t>\\10.184.143.103\d\vivi\BV\DB\06Mar\Nissan_35.zip</t>
      </is>
    </oc>
    <nc r="K78" t="inlineStr">
      <is>
        <t>//10.184.143.103/d/vivi/BV/DB/06Mar/Nissan_35.zip</t>
      </is>
    </nc>
  </rcc>
  <rcc rId="3665" sId="4">
    <oc r="K79" t="inlineStr">
      <is>
        <t>\\10.184.143.103\d\vivi\BV\DB\06Mar\Nissan_35.zip</t>
      </is>
    </oc>
    <nc r="K79" t="inlineStr">
      <is>
        <t>//10.184.143.103/d/vivi/BV/DB/06Mar/Nissan_35.zip</t>
      </is>
    </nc>
  </rcc>
  <rcc rId="3666" sId="4">
    <oc r="K82" t="inlineStr">
      <is>
        <t>\\10.184.143.103\d\vivi\BV\DB\06Mar\Nissan_35.zip</t>
      </is>
    </oc>
    <nc r="K82" t="inlineStr">
      <is>
        <t>//10.184.143.103/d/vivi/BV/DB/06Mar/Nissan_35.zip</t>
      </is>
    </nc>
  </rcc>
  <rcc rId="3667" sId="4">
    <oc r="K83" t="inlineStr">
      <is>
        <t>\\10.184.143.103\d\vivi\BV\DB\06Mar\Nissan_35.zip</t>
      </is>
    </oc>
    <nc r="K83" t="inlineStr">
      <is>
        <t>//10.184.143.103/d/vivi/BV/DB/06Mar/Nissan_35.zip</t>
      </is>
    </nc>
  </rcc>
  <rcc rId="3668" sId="4">
    <oc r="K84" t="inlineStr">
      <is>
        <t>\\10.184.143.103\d\vivi\BV\DB\06Mar\Nissan_35.zip</t>
      </is>
    </oc>
    <nc r="K84" t="inlineStr">
      <is>
        <t>//10.184.143.103/d/vivi/BV/DB/06Mar/Nissan_35.zip</t>
      </is>
    </nc>
  </rcc>
  <rcc rId="3669" sId="4">
    <oc r="K85" t="inlineStr">
      <is>
        <t>\\10.184.143.103\d\vivi\BV\DB\06Mar\Nissan_35.zip</t>
      </is>
    </oc>
    <nc r="K85" t="inlineStr">
      <is>
        <t>//10.184.143.103/d/vivi/BV/DB/06Mar/Nissan_35.zip</t>
      </is>
    </nc>
  </rcc>
  <rcc rId="3670" sId="4">
    <oc r="K86" t="inlineStr">
      <is>
        <t>\\10.184.143.103\d\vivi\BV\DB\06Mar\Nissan_35.zip</t>
      </is>
    </oc>
    <nc r="K86" t="inlineStr">
      <is>
        <t>//10.184.143.103/d/vivi/BV/DB/06Mar/Nissan_35.zip</t>
      </is>
    </nc>
  </rcc>
  <rcc rId="3671" sId="4">
    <oc r="K87" t="inlineStr">
      <is>
        <t>\\10.184.143.103\d\vivi\BV\DB\06Mar\Nissan_35.zip</t>
      </is>
    </oc>
    <nc r="K87" t="inlineStr">
      <is>
        <t>//10.184.143.103/d/vivi/BV/DB/06Mar/Nissan_35.zip</t>
      </is>
    </nc>
  </rcc>
  <rcc rId="3672" sId="4">
    <oc r="K88" t="inlineStr">
      <is>
        <t>\\10.184.143.103\d\vivi\BV\DB\06Mar\Nissan_35.zip</t>
      </is>
    </oc>
    <nc r="K88" t="inlineStr">
      <is>
        <t>//10.184.143.103/d/vivi/BV/DB/06Mar/Nissan_35.zip</t>
      </is>
    </nc>
  </rcc>
  <rcc rId="3673" sId="4">
    <oc r="K89" t="inlineStr">
      <is>
        <t>\\10.184.143.103\d\vivi\BV\DB\06Mar\Nissan_35.zip</t>
      </is>
    </oc>
    <nc r="K89" t="inlineStr">
      <is>
        <t>//10.184.143.103/d/vivi/BV/DB/06Mar/Nissan_35.zip</t>
      </is>
    </nc>
  </rcc>
  <rcc rId="3674" sId="4" xfDxf="1" dxf="1">
    <nc r="K92" t="inlineStr">
      <is>
        <t>GAC_ESP93CP_A26HD_Int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75" sId="4" xfDxf="1" dxf="1">
    <nc r="K93" t="inlineStr">
      <is>
        <t>FAW_Beryllium_TypeA_For_RBVH_Int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76" sId="4">
    <nc r="K94" t="inlineStr">
      <is>
        <t>FAW_Beryllium_TypeA_For_RBVH_Int</t>
      </is>
    </nc>
  </rcc>
  <rcc rId="3677" sId="4" xfDxf="1" dxf="1">
    <nc r="K95" t="inlineStr">
      <is>
        <t>SGWM_ESP93_Carbon_Int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78" sId="4" quotePrefix="1">
    <nc r="L92" t="inlineStr">
      <is>
        <t>-</t>
      </is>
    </nc>
  </rcc>
  <rcc rId="3679" sId="4" quotePrefix="1">
    <nc r="L93" t="inlineStr">
      <is>
        <t>-</t>
      </is>
    </nc>
  </rcc>
  <rcc rId="3680" sId="4" quotePrefix="1">
    <nc r="L94" t="inlineStr">
      <is>
        <t>-</t>
      </is>
    </nc>
  </rcc>
  <rcc rId="3681" sId="4" quotePrefix="1">
    <nc r="L95" t="inlineStr">
      <is>
        <t>-</t>
      </is>
    </nc>
  </rcc>
  <rcc rId="3682" sId="4" quotePrefix="1">
    <nc r="M74" t="inlineStr">
      <is>
        <t>-</t>
      </is>
    </nc>
  </rcc>
  <rcc rId="3683" sId="4" quotePrefix="1">
    <nc r="M75" t="inlineStr">
      <is>
        <t>-</t>
      </is>
    </nc>
  </rcc>
  <rcc rId="3684" sId="4" quotePrefix="1">
    <nc r="M76" t="inlineStr">
      <is>
        <t>-</t>
      </is>
    </nc>
  </rcc>
  <rcc rId="3685" sId="4" quotePrefix="1">
    <nc r="M77" t="inlineStr">
      <is>
        <t>-</t>
      </is>
    </nc>
  </rcc>
  <rcc rId="3686" sId="4" quotePrefix="1">
    <nc r="M78" t="inlineStr">
      <is>
        <t>-</t>
      </is>
    </nc>
  </rcc>
  <rcc rId="3687" sId="4" quotePrefix="1">
    <nc r="M79" t="inlineStr">
      <is>
        <t>-</t>
      </is>
    </nc>
  </rcc>
  <rcc rId="3688" sId="4" quotePrefix="1">
    <nc r="M80" t="inlineStr">
      <is>
        <t>-</t>
      </is>
    </nc>
  </rcc>
  <rcc rId="3689" sId="4" quotePrefix="1">
    <nc r="M81" t="inlineStr">
      <is>
        <t>-</t>
      </is>
    </nc>
  </rcc>
  <rcc rId="3690" sId="4" quotePrefix="1">
    <nc r="M82" t="inlineStr">
      <is>
        <t>-</t>
      </is>
    </nc>
  </rcc>
  <rcc rId="3691" sId="4" quotePrefix="1">
    <nc r="M83" t="inlineStr">
      <is>
        <t>-</t>
      </is>
    </nc>
  </rcc>
  <rcc rId="3692" sId="4" quotePrefix="1">
    <nc r="M84" t="inlineStr">
      <is>
        <t>-</t>
      </is>
    </nc>
  </rcc>
  <rcc rId="3693" sId="4" quotePrefix="1">
    <nc r="M85" t="inlineStr">
      <is>
        <t>-</t>
      </is>
    </nc>
  </rcc>
  <rcc rId="3694" sId="4" quotePrefix="1">
    <nc r="M86" t="inlineStr">
      <is>
        <t>-</t>
      </is>
    </nc>
  </rcc>
  <rcc rId="3695" sId="4" quotePrefix="1">
    <nc r="M87" t="inlineStr">
      <is>
        <t>-</t>
      </is>
    </nc>
  </rcc>
  <rcc rId="3696" sId="4" quotePrefix="1">
    <nc r="M88" t="inlineStr">
      <is>
        <t>-</t>
      </is>
    </nc>
  </rcc>
  <rcc rId="3697" sId="4" quotePrefix="1">
    <nc r="M89" t="inlineStr">
      <is>
        <t>-</t>
      </is>
    </nc>
  </rcc>
  <rcc rId="3698" sId="4" quotePrefix="1">
    <nc r="M90" t="inlineStr">
      <is>
        <t>-</t>
      </is>
    </nc>
  </rcc>
  <rcc rId="3699" sId="4" quotePrefix="1">
    <nc r="M91" t="inlineStr">
      <is>
        <t>-</t>
      </is>
    </nc>
  </rcc>
  <rcc rId="3700" sId="4" quotePrefix="1">
    <nc r="M92" t="inlineStr">
      <is>
        <t>-</t>
      </is>
    </nc>
  </rcc>
  <rcc rId="3701" sId="4" quotePrefix="1">
    <nc r="M93" t="inlineStr">
      <is>
        <t>-</t>
      </is>
    </nc>
  </rcc>
  <rcc rId="3702" sId="4" quotePrefix="1">
    <nc r="M94" t="inlineStr">
      <is>
        <t>-</t>
      </is>
    </nc>
  </rcc>
  <rcc rId="3703" sId="4" quotePrefix="1">
    <nc r="M95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07" sId="4">
    <nc r="N92" t="inlineStr">
      <is>
        <t>T_C-307</t>
      </is>
    </nc>
  </rcc>
  <rcc rId="3708" sId="4">
    <nc r="N93" t="inlineStr">
      <is>
        <t>T_C-308</t>
      </is>
    </nc>
  </rcc>
  <rcc rId="3709" sId="4">
    <nc r="N94" t="inlineStr">
      <is>
        <t>T_C-309</t>
      </is>
    </nc>
  </rcc>
  <rcc rId="3710" sId="4">
    <nc r="N95" t="inlineStr">
      <is>
        <t>T_C-310</t>
      </is>
    </nc>
  </rcc>
  <rcc rId="3711" sId="4" xfDxf="1" dxf="1">
    <nc r="R92">
      <v>242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12" sId="4" xfDxf="1" dxf="1">
    <nc r="R93">
      <v>300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13" sId="4" xfDxf="1" dxf="1">
    <nc r="R94">
      <v>115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14" sId="4" xfDxf="1" dxf="1">
    <nc r="R95">
      <v>110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15" sId="4">
    <nc r="S92">
      <f>R92</f>
    </nc>
  </rcc>
  <rcc rId="3716" sId="4">
    <nc r="S93">
      <f>R93</f>
    </nc>
  </rcc>
  <rcc rId="3717" sId="4">
    <nc r="S94">
      <f>R94</f>
    </nc>
  </rcc>
  <rcc rId="3718" sId="4">
    <nc r="S95">
      <f>R95</f>
    </nc>
  </rcc>
  <rcc rId="3719" sId="4" odxf="1" dxf="1">
    <nc r="U92">
      <f>ROUNDDOWN(S92/HLOOKUP(D92,Table!$C$3:$D$4,2,0)*8,2)</f>
    </nc>
    <odxf/>
    <ndxf/>
  </rcc>
  <rcc rId="3720" sId="4" odxf="1" dxf="1">
    <nc r="U93">
      <f>ROUNDDOWN(S93/HLOOKUP(D93,Table!$C$3:$D$4,2,0)*8,2)</f>
    </nc>
    <odxf/>
    <ndxf/>
  </rcc>
  <rcc rId="3721" sId="4" odxf="1" dxf="1">
    <nc r="U94">
      <f>ROUNDDOWN(S94/HLOOKUP(D94,Table!$C$3:$D$4,2,0)*8,2)</f>
    </nc>
    <odxf/>
    <ndxf/>
  </rcc>
  <rcc rId="3722" sId="4" odxf="1" dxf="1">
    <nc r="U95">
      <f>ROUNDDOWN(S95/HLOOKUP(D95,Table!$C$3:$D$4,2,0)*8,2)</f>
    </nc>
    <odxf/>
    <ndxf/>
  </rcc>
  <rcc rId="3723" sId="4" numFmtId="19">
    <nc r="X92">
      <v>43928</v>
    </nc>
  </rcc>
  <rcc rId="3724" sId="4" numFmtId="19">
    <nc r="X93">
      <v>43928</v>
    </nc>
  </rcc>
  <rcc rId="3725" sId="4" numFmtId="19">
    <nc r="X94">
      <v>43928</v>
    </nc>
  </rcc>
  <rcc rId="3726" sId="4" numFmtId="19">
    <nc r="X95">
      <v>43928</v>
    </nc>
  </rcc>
  <rcc rId="3727" sId="4" numFmtId="19">
    <nc r="Y92">
      <v>43938</v>
    </nc>
  </rcc>
  <rcc rId="3728" sId="4" numFmtId="19">
    <nc r="Y93">
      <v>43938</v>
    </nc>
  </rcc>
  <rcc rId="3729" sId="4" numFmtId="19">
    <nc r="Y94">
      <v>43938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7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33" sId="4" numFmtId="19">
    <nc r="Y95">
      <v>43934</v>
    </nc>
  </rcc>
  <rcc rId="3734" sId="4" quotePrefix="1">
    <nc r="AG93" t="inlineStr">
      <is>
        <t>-</t>
      </is>
    </nc>
  </rcc>
  <rcc rId="3735" sId="4" quotePrefix="1">
    <nc r="AG94" t="inlineStr">
      <is>
        <t>-</t>
      </is>
    </nc>
  </rcc>
  <rcc rId="3736" sId="4" quotePrefix="1">
    <nc r="AG95" t="inlineStr">
      <is>
        <t>-</t>
      </is>
    </nc>
  </rcc>
  <rcc rId="3737" sId="4" quotePrefix="1">
    <nc r="AG96" t="inlineStr">
      <is>
        <t>-</t>
      </is>
    </nc>
  </rcc>
  <rcc rId="3738" sId="4" quotePrefix="1">
    <nc r="AG97" t="inlineStr">
      <is>
        <t>-</t>
      </is>
    </nc>
  </rcc>
  <rcc rId="3739" sId="4" quotePrefix="1">
    <nc r="AG98" t="inlineStr">
      <is>
        <t>-</t>
      </is>
    </nc>
  </rcc>
  <rcc rId="3740" sId="4" quotePrefix="1">
    <nc r="AG99" t="inlineStr">
      <is>
        <t>-</t>
      </is>
    </nc>
  </rcc>
  <rcc rId="3741" sId="4" quotePrefix="1">
    <nc r="AG100" t="inlineStr">
      <is>
        <t>-</t>
      </is>
    </nc>
  </rcc>
  <rcc rId="3742" sId="4" quotePrefix="1">
    <nc r="AG101" t="inlineStr">
      <is>
        <t>-</t>
      </is>
    </nc>
  </rcc>
  <rcc rId="3743" sId="4" quotePrefix="1">
    <nc r="AG102" t="inlineStr">
      <is>
        <t>-</t>
      </is>
    </nc>
  </rcc>
  <rcc rId="3744" sId="4" quotePrefix="1">
    <nc r="AG103" t="inlineStr">
      <is>
        <t>-</t>
      </is>
    </nc>
  </rcc>
  <rcc rId="3745" sId="4" quotePrefix="1">
    <nc r="AG104" t="inlineStr">
      <is>
        <t>-</t>
      </is>
    </nc>
  </rcc>
  <rcc rId="3746" sId="4" quotePrefix="1">
    <nc r="AG105" t="inlineStr">
      <is>
        <t>-</t>
      </is>
    </nc>
  </rcc>
  <rcc rId="3747" sId="4" quotePrefix="1">
    <nc r="AG106" t="inlineStr">
      <is>
        <t>-</t>
      </is>
    </nc>
  </rcc>
  <rcc rId="3748" sId="4" quotePrefix="1">
    <nc r="AH93" t="inlineStr">
      <is>
        <t>-</t>
      </is>
    </nc>
  </rcc>
  <rcc rId="3749" sId="4" quotePrefix="1">
    <nc r="AH94" t="inlineStr">
      <is>
        <t>-</t>
      </is>
    </nc>
  </rcc>
  <rcc rId="3750" sId="4" quotePrefix="1">
    <nc r="AH95" t="inlineStr">
      <is>
        <t>-</t>
      </is>
    </nc>
  </rcc>
  <rcc rId="3751" sId="4" quotePrefix="1">
    <nc r="AH96" t="inlineStr">
      <is>
        <t>-</t>
      </is>
    </nc>
  </rcc>
  <rcc rId="3752" sId="4" quotePrefix="1">
    <nc r="AH97" t="inlineStr">
      <is>
        <t>-</t>
      </is>
    </nc>
  </rcc>
  <rcc rId="3753" sId="4" quotePrefix="1">
    <nc r="AH98" t="inlineStr">
      <is>
        <t>-</t>
      </is>
    </nc>
  </rcc>
  <rcc rId="3754" sId="4" quotePrefix="1">
    <nc r="AH99" t="inlineStr">
      <is>
        <t>-</t>
      </is>
    </nc>
  </rcc>
  <rcc rId="3755" sId="4" quotePrefix="1">
    <nc r="AH100" t="inlineStr">
      <is>
        <t>-</t>
      </is>
    </nc>
  </rcc>
  <rcc rId="3756" sId="4" quotePrefix="1">
    <nc r="AH101" t="inlineStr">
      <is>
        <t>-</t>
      </is>
    </nc>
  </rcc>
  <rcc rId="3757" sId="4" quotePrefix="1">
    <nc r="AH102" t="inlineStr">
      <is>
        <t>-</t>
      </is>
    </nc>
  </rcc>
  <rcc rId="3758" sId="4" quotePrefix="1">
    <nc r="AH103" t="inlineStr">
      <is>
        <t>-</t>
      </is>
    </nc>
  </rcc>
  <rcc rId="3759" sId="4" quotePrefix="1">
    <nc r="AH104" t="inlineStr">
      <is>
        <t>-</t>
      </is>
    </nc>
  </rcc>
  <rcc rId="3760" sId="4" quotePrefix="1">
    <nc r="AH105" t="inlineStr">
      <is>
        <t>-</t>
      </is>
    </nc>
  </rcc>
  <rcc rId="3761" sId="4" quotePrefix="1">
    <nc r="AH106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65" sId="4">
    <nc r="O92" t="inlineStr">
      <is>
        <t>chung.ly</t>
      </is>
    </nc>
  </rcc>
  <rcc rId="3766" sId="4">
    <nc r="O93" t="inlineStr">
      <is>
        <t>loc.do-phu</t>
      </is>
    </nc>
  </rcc>
  <rcc rId="3767" sId="4">
    <nc r="O94" t="inlineStr">
      <is>
        <t>duong.nguyen</t>
      </is>
    </nc>
  </rcc>
  <rcc rId="3768" sId="4">
    <nc r="O95" t="inlineStr">
      <is>
        <t>thanh.nguyen-kim</t>
      </is>
    </nc>
  </rcc>
  <rcc rId="3769" sId="4">
    <oc r="I93" t="inlineStr">
      <is>
        <t>Auto</t>
      </is>
    </oc>
    <nc r="I93" t="inlineStr">
      <is>
        <t>Manual</t>
      </is>
    </nc>
  </rcc>
  <rcc rId="3770" sId="4">
    <oc r="I94" t="inlineStr">
      <is>
        <t>Auto</t>
      </is>
    </oc>
    <nc r="I94" t="inlineStr">
      <is>
        <t>Manual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92:B95">
    <dxf>
      <fill>
        <patternFill patternType="solid">
          <bgColor theme="2" tint="-0.249977111117893"/>
        </patternFill>
      </fill>
    </dxf>
  </rfmt>
  <rcmt sheetId="4" cell="A92" guid="{64C57C03-B10C-43BB-8180-578F4152124A}" author="EXTERNAL Nguyen Tuan Duong (Ban Vien, RBVH/EPS45)" newLength="84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COEM_Package_20200401!$O$2:$O$135</formula>
    <oldFormula>COEM_Package_20200401!$O$2:$O$135</oldFormula>
  </rdn>
  <rdn rId="0" localSheetId="12" customView="1" name="Z_4E06BDBF_2CED_473B_850B_2A6C7311FF41_.wvu.FilterData" hidden="1" oldHidden="1">
    <formula>Sheet1!$A$2:$A$119</formula>
    <oldFormula>Sheet1!$A$2:$A$119</oldFormula>
  </rdn>
  <rcv guid="{4E06BDBF-2CED-473B-850B-2A6C7311FF41}" action="add"/>
</revisions>
</file>

<file path=xl/revisions/revisionLog28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COEM_Package_20200401!$O$2:$O$135</formula>
    <oldFormula>COEM_Package_20200401!$O$2:$O$135</oldFormula>
  </rdn>
  <rdn rId="0" localSheetId="12" customView="1" name="Z_4E06BDBF_2CED_473B_850B_2A6C7311FF41_.wvu.FilterData" hidden="1" oldHidden="1">
    <formula>Sheet1!$A$2:$A$119</formula>
    <oldFormula>Sheet1!$A$2:$A$119</oldFormula>
  </rdn>
  <rcv guid="{4E06BDBF-2CED-473B-850B-2A6C7311FF41}" action="add"/>
</revisions>
</file>

<file path=xl/revisions/revisionLog28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S10">
    <dxf>
      <alignment vertical="top" readingOrder="0"/>
    </dxf>
  </rfmt>
  <rcc rId="3788" sId="4">
    <oc r="K10" t="inlineStr">
      <is>
        <t>FAW_E115_iBGen2_Int</t>
      </is>
    </oc>
    <nc r="K10" t="inlineStr">
      <is>
        <t>FAW_MainPath_V2.0_Int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92" sId="4" quotePrefix="1">
    <oc r="F16" t="inlineStr">
      <is>
        <t>rb/as/fawhevx/fawcore/app/dcom/RBAPLCust/src/iBooster</t>
      </is>
    </oc>
    <nc r="F16" t="inlineStr">
      <is>
        <t>rb/as/faw/core/app/dcom/RBAPLCust/src/iBooster</t>
      </is>
    </nc>
  </rcc>
  <rcc rId="3793" sId="4" quotePrefix="1">
    <oc r="F17" t="inlineStr">
      <is>
        <t>-</t>
      </is>
    </oc>
    <nc r="F17" t="inlineStr">
      <is>
        <t>rb/as/faw/core/app/dcom/RBAPLCust/src/iBooster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97" sId="4" quotePrefix="1">
    <oc r="F10" t="inlineStr">
      <is>
        <t>rb/as/cnms_core/app/netscl/src/Callout_Functions/
C:/02_CANTATA/COEM_April/_DataBase/FAW_E115_iBGen2_Int/iBoosterGen2/rb/as/faw/core/app/net/net_OBD_Off/RBScl/src/scl_callout</t>
      </is>
    </oc>
    <nc r="F10" t="inlineStr">
      <is>
        <t>rb/as/cnms_core/app/netscl/src/Callout_Functions/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01" sId="4">
    <nc r="T39">
      <v>65</v>
    </nc>
  </rcc>
  <rcc rId="3802" sId="4">
    <nc r="V39">
      <v>1</v>
    </nc>
  </rcc>
  <rcc rId="3803" sId="4">
    <nc r="W39" t="inlineStr">
      <is>
        <t>Ready for review</t>
      </is>
    </nc>
  </rcc>
  <rcc rId="3804" sId="4" numFmtId="19">
    <nc r="Z39">
      <v>43929</v>
    </nc>
  </rcc>
  <rcc rId="3805" sId="4" numFmtId="19">
    <nc r="AA39">
      <v>43929</v>
    </nc>
  </rcc>
  <rcc rId="3806" sId="4" odxf="1" dxf="1">
    <nc r="AB39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807" sId="4">
    <nc r="AC39">
      <v>100</v>
    </nc>
  </rcc>
  <rcc rId="3808" sId="4">
    <nc r="AD39">
      <v>100</v>
    </nc>
  </rcc>
  <rcc rId="3809" sId="4">
    <nc r="AE39">
      <v>100</v>
    </nc>
  </rcc>
  <rcc rId="3810" sId="4">
    <nc r="AF39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8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9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9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20" sId="4">
    <oc r="S73">
      <f>R73</f>
    </oc>
    <nc r="S73">
      <v>572</v>
    </nc>
  </rcc>
  <rfmt sheetId="4" sqref="S73" start="0" length="2147483647">
    <dxf>
      <font>
        <b/>
      </font>
    </dxf>
  </rfmt>
  <rfmt sheetId="4" sqref="S73">
    <dxf>
      <fill>
        <patternFill patternType="solid">
          <bgColor rgb="FFFF0000"/>
        </patternFill>
      </fill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29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24" sId="4">
    <nc r="T93">
      <f>S93</f>
    </nc>
  </rcc>
  <rcc rId="3825" sId="4">
    <nc r="V93">
      <v>8</v>
    </nc>
  </rcc>
  <rcc rId="3826" sId="4" numFmtId="19">
    <nc r="Z93">
      <v>43929</v>
    </nc>
  </rcc>
  <rcc rId="3827" sId="4" numFmtId="19">
    <nc r="AA93">
      <v>43929</v>
    </nc>
  </rcc>
  <rcc rId="3828" sId="4">
    <nc r="AB93" t="inlineStr">
      <is>
        <t>NG</t>
      </is>
    </nc>
  </rcc>
  <rcc rId="3829" sId="4">
    <nc r="AC93">
      <v>98</v>
    </nc>
  </rcc>
  <rcc rId="3830" sId="4">
    <nc r="AD93">
      <v>96</v>
    </nc>
  </rcc>
  <rcc rId="3831" sId="4">
    <nc r="AE93">
      <v>100</v>
    </nc>
  </rcc>
  <rcc rId="3832" sId="4">
    <nc r="AF93" t="inlineStr">
      <is>
        <t>OPL</t>
      </is>
    </nc>
  </rcc>
  <rcc rId="3833" sId="4">
    <nc r="W93" t="inlineStr">
      <is>
        <t>Ready for review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29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AG93" start="0" length="0">
    <dxf>
      <alignment horizontal="general" vertical="bottom" readingOrder="0"/>
      <border outline="0">
        <left/>
        <right/>
        <top/>
        <bottom/>
      </border>
    </dxf>
  </rfmt>
  <rfmt sheetId="4" sqref="AG94" start="0" length="0">
    <dxf>
      <alignment horizontal="general" vertical="bottom" readingOrder="0"/>
      <border outline="0">
        <left/>
        <right/>
        <top/>
        <bottom/>
      </border>
    </dxf>
  </rfmt>
  <rfmt sheetId="4" sqref="AG93" start="0" length="0">
    <dxf>
      <font>
        <sz val="11"/>
        <color theme="1"/>
        <name val="Bosch Office Sans"/>
        <scheme val="none"/>
      </font>
    </dxf>
  </rfmt>
  <rfmt sheetId="4" sqref="AG94" start="0" length="0">
    <dxf>
      <font>
        <sz val="11"/>
        <color theme="1"/>
        <name val="Bosch Office Sans"/>
        <scheme val="none"/>
      </font>
    </dxf>
  </rfmt>
  <rcc rId="3837" sId="4" xfDxf="1" dxf="1">
    <oc r="AG93" t="inlineStr">
      <is>
        <t>-</t>
      </is>
    </oc>
    <nc r="AG93" t="inlineStr">
      <is>
        <r>
          <t xml:space="preserve">Can’t cover false case of </t>
        </r>
        <r>
          <rPr>
            <sz val="10"/>
            <color rgb="FFFFBB00"/>
            <rFont val="Consolas"/>
            <family val="3"/>
          </rPr>
          <t>if</t>
        </r>
        <r>
          <rPr>
            <sz val="10"/>
            <color rgb="FF009A00"/>
            <rFont val="Consolas"/>
            <family val="3"/>
          </rPr>
          <t xml:space="preserve">(1 == DCM_CFG_DSP_NUMSECURITY).  </t>
        </r>
      </is>
    </nc>
    <ndxf>
      <font>
        <name val="Bosch Office Sans"/>
        <scheme val="none"/>
      </font>
      <alignment horizontal="center" vertical="center" readingOrder="0"/>
    </ndxf>
  </rcc>
  <rcc rId="3838" sId="4" xfDxf="1" dxf="1">
    <oc r="AG94" t="inlineStr">
      <is>
        <t>-</t>
      </is>
    </oc>
    <nc r="AG94" t="inlineStr">
      <is>
        <r>
          <t>Because </t>
        </r>
        <r>
          <rPr>
            <sz val="10"/>
            <color rgb="FF009A00"/>
            <rFont val="Consolas"/>
            <family val="3"/>
          </rPr>
          <t>DCM_CFG_DSP_NUMSECURITY</t>
        </r>
        <r>
          <rPr>
            <sz val="10"/>
            <color theme="1"/>
            <rFont val="Bosch Office Sans"/>
          </rPr>
          <t xml:space="preserve"> is defined by 1.</t>
        </r>
      </is>
    </nc>
    <ndxf>
      <font>
        <name val="Bosch Office Sans"/>
        <scheme val="none"/>
      </font>
    </ndxf>
  </rcc>
</revisions>
</file>

<file path=xl/revisions/revisionLog29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39" sId="4">
    <nc r="T73">
      <f>S73</f>
    </nc>
  </rcc>
  <rcc rId="3840" sId="4">
    <nc r="V73">
      <v>8</v>
    </nc>
  </rcc>
  <rcc rId="3841" sId="4">
    <nc r="W73" t="inlineStr">
      <is>
        <t>Ready for review</t>
      </is>
    </nc>
  </rcc>
  <rcc rId="3842" sId="4" xfDxf="1" dxf="1" quotePrefix="1">
    <oc r="M92" t="inlineStr">
      <is>
        <t>-</t>
      </is>
    </oc>
    <nc r="M92" t="inlineStr">
      <is>
        <t>ZHANG Yu (CC-AS/EVA-SW31-CN)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43" sId="4" xfDxf="1" dxf="1" quotePrefix="1">
    <oc r="M93" t="inlineStr">
      <is>
        <t>-</t>
      </is>
    </oc>
    <nc r="M93" t="inlineStr">
      <is>
        <t>Nguyen Duc Huong Quynh (RBVH/EAS12)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44" sId="4" quotePrefix="1">
    <oc r="M94" t="inlineStr">
      <is>
        <t>-</t>
      </is>
    </oc>
    <nc r="M94" t="inlineStr">
      <is>
        <t>Nguyen Duc Huong Quynh (RBVH/EAS12)</t>
      </is>
    </nc>
  </rcc>
  <rcc rId="3845" sId="4" quotePrefix="1">
    <oc r="M95" t="inlineStr">
      <is>
        <t>-</t>
      </is>
    </oc>
    <nc r="M95" t="inlineStr">
      <is>
        <t>SUN Yun (CC-AS/EVA-SW31-CN)</t>
      </is>
    </nc>
  </rcc>
</revisions>
</file>

<file path=xl/revisions/revisionLog29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46" sId="4">
    <nc r="V79">
      <v>5</v>
    </nc>
  </rcc>
  <rcc rId="3847" sId="4">
    <nc r="W79" t="inlineStr">
      <is>
        <t>Ready for review</t>
      </is>
    </nc>
  </rcc>
  <rcc rId="3848" sId="4" numFmtId="19">
    <nc r="Z79">
      <v>43929</v>
    </nc>
  </rcc>
  <rcc rId="3849" sId="4" numFmtId="19">
    <nc r="AA79">
      <v>43929</v>
    </nc>
  </rcc>
  <rcc rId="3850" sId="4">
    <nc r="AB79" t="inlineStr">
      <is>
        <t>NG</t>
      </is>
    </nc>
  </rcc>
  <rcc rId="3851" sId="4">
    <nc r="AC79">
      <v>100</v>
    </nc>
  </rcc>
  <rcc rId="3852" sId="4">
    <nc r="AD79">
      <v>100</v>
    </nc>
  </rcc>
  <rcc rId="3853" sId="4">
    <nc r="AE79">
      <v>91</v>
    </nc>
  </rcc>
  <rcc rId="3854" sId="4">
    <nc r="AF79" t="inlineStr">
      <is>
        <t>OPL</t>
      </is>
    </nc>
  </rcc>
  <rcc rId="3855" sId="4" quotePrefix="1">
    <oc r="AG79" t="inlineStr">
      <is>
        <t>-</t>
      </is>
    </oc>
    <nc r="AG79" t="inlineStr">
      <is>
        <t>-Can't check faulse condition bc this always is true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COEM_Package_20200401!$B$2:$AH$108</formula>
    <oldFormula>COEM_Package_20200401!$B$2:$AH$108</oldFormula>
  </rdn>
  <rdn rId="0" localSheetId="12" customView="1" name="Z_60D2C030_4E31_4E07_8E1C_44D2EE84B177_.wvu.FilterData" hidden="1" oldHidden="1">
    <formula>Sheet1!$A$2:$A$119</formula>
    <oldFormula>Sheet1!$A$2:$A$119</oldFormula>
  </rdn>
  <rcv guid="{60D2C030-4E31-4E07-8E1C-44D2EE84B177}" action="add"/>
</revisions>
</file>

<file path=xl/revisions/revisionLog29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29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63" sId="4">
    <oc r="AG94" t="inlineStr">
      <is>
        <r>
          <t>Because </t>
        </r>
        <r>
          <rPr>
            <sz val="10"/>
            <color rgb="FF009A00"/>
            <rFont val="Consolas"/>
            <family val="3"/>
          </rPr>
          <t>DCM_CFG_DSP_NUMSECURITY</t>
        </r>
        <r>
          <rPr>
            <sz val="10"/>
            <color theme="1"/>
            <rFont val="Bosch Office Sans"/>
          </rPr>
          <t xml:space="preserve"> is defined by 1.</t>
        </r>
      </is>
    </oc>
    <nc r="AG94"/>
  </rcc>
  <rcc rId="3864" sId="4">
    <oc r="AG93" t="inlineStr">
      <is>
        <r>
          <t xml:space="preserve">Can’t cover false case of </t>
        </r>
        <r>
          <rPr>
            <sz val="10"/>
            <color rgb="FFFFBB00"/>
            <rFont val="Consolas"/>
            <family val="3"/>
          </rPr>
          <t>if</t>
        </r>
        <r>
          <rPr>
            <sz val="10"/>
            <color rgb="FF009A00"/>
            <rFont val="Consolas"/>
            <family val="3"/>
          </rPr>
          <t xml:space="preserve">(1 == DCM_CFG_DSP_NUMSECURITY).  </t>
        </r>
      </is>
    </oc>
    <nc r="AG93" t="inlineStr">
      <is>
        <r>
          <t xml:space="preserve">Can’t cover false case of </t>
        </r>
        <r>
          <rPr>
            <sz val="10"/>
            <color rgb="FFFFBB00"/>
            <rFont val="Consolas"/>
            <family val="3"/>
          </rPr>
          <t>if</t>
        </r>
        <r>
          <rPr>
            <sz val="10"/>
            <color rgb="FF009A00"/>
            <rFont val="Consolas"/>
            <family val="3"/>
          </rPr>
          <t>(1 == DCM_CFG_DSP_NUMSECURITY) because DCM_CFG_DSP_NUMSECURITY is defined by 1.</t>
        </r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29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COEM_Package_20200401!$B$2:$AH$108</formula>
    <oldFormula>COEM_Package_20200401!$B$2:$AH$108</oldFormula>
  </rdn>
  <rdn rId="0" localSheetId="12" customView="1" name="Z_60D2C030_4E31_4E07_8E1C_44D2EE84B177_.wvu.FilterData" hidden="1" oldHidden="1">
    <formula>Sheet1!$A$2:$A$119</formula>
    <oldFormula>Sheet1!$A$2:$A$119</oldFormula>
  </rdn>
  <rcv guid="{60D2C030-4E31-4E07-8E1C-44D2EE84B177}" action="add"/>
</revisions>
</file>

<file path=xl/revisions/revisionLog29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72" sId="4">
    <oc r="T60">
      <v>219</v>
    </oc>
    <nc r="T60">
      <f>S60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30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30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79" sId="4">
    <oc r="D135">
      <f>SUM(D131:D134)</f>
    </oc>
    <nc r="D135">
      <f>SUM(D131:D134)</f>
    </nc>
  </rcc>
  <rcc rId="3880" sId="4">
    <oc r="F135">
      <f>Template_Weekly_Report_Apr!B3*COUNTA(C131:C134)</f>
    </oc>
    <nc r="F135">
      <f>Template_Weekly_Report_Apr!B3*COUNTA(C131:C134)-1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30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84" sId="4" quotePrefix="1">
    <oc r="AH74" t="inlineStr">
      <is>
        <t>Owner said its OK like usual</t>
      </is>
    </oc>
    <nc r="AH74" t="inlineStr">
      <is>
        <t>- Owner said its OK like usual</t>
      </is>
    </nc>
  </rcc>
  <rcc rId="3885" sId="4" quotePrefix="1">
    <oc r="AH93" t="inlineStr">
      <is>
        <t>-</t>
      </is>
    </oc>
    <nc r="AH93" t="inlineStr">
      <is>
        <t>- Owner said its OK like usual</t>
      </is>
    </nc>
  </rcc>
</revisions>
</file>

<file path=xl/revisions/revisionLog30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86" sId="4">
    <oc r="V10">
      <v>0.5</v>
    </oc>
    <nc r="V10"/>
  </rcc>
  <rcc rId="3887" sId="4">
    <oc r="S10">
      <f>R10</f>
    </oc>
    <nc r="S10"/>
  </rcc>
  <rcc rId="3888" sId="4">
    <oc r="T10">
      <f>S10</f>
    </oc>
    <nc r="T10"/>
  </rcc>
  <rcc rId="3889" sId="4">
    <oc r="AB10" t="inlineStr">
      <is>
        <t>NG</t>
      </is>
    </oc>
    <nc r="AB10"/>
  </rcc>
  <rcc rId="3890" sId="4">
    <oc r="AC10">
      <v>80</v>
    </oc>
    <nc r="AC10"/>
  </rcc>
  <rcc rId="3891" sId="4">
    <oc r="AD10">
      <v>100</v>
    </oc>
    <nc r="AD10"/>
  </rcc>
  <rcc rId="3892" sId="4">
    <oc r="AE10">
      <v>100</v>
    </oc>
    <nc r="AE10"/>
  </rcc>
  <rcc rId="3893" sId="4">
    <oc r="AF10" t="inlineStr">
      <is>
        <t>OPL</t>
      </is>
    </oc>
    <nc r="AF10"/>
  </rcc>
  <rcc rId="3894" sId="4">
    <oc r="AG10" t="inlineStr">
      <is>
        <t>Can’t cover statement at line 39.</t>
      </is>
    </oc>
    <nc r="AG10"/>
  </rcc>
  <rcc rId="3895" sId="4" numFmtId="19">
    <oc r="AA10">
      <v>43921</v>
    </oc>
    <nc r="AA10"/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30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99" sId="4">
    <nc r="S10">
      <f>R10+243-R10</f>
    </nc>
  </rcc>
  <rcc rId="3900" sId="4">
    <nc r="T10">
      <f>S10</f>
    </nc>
  </rcc>
  <rfmt sheetId="4" sqref="S10">
    <dxf>
      <fill>
        <patternFill patternType="solid">
          <bgColor rgb="FFFF0000"/>
        </patternFill>
      </fill>
    </dxf>
  </rfmt>
  <rcc rId="3901" sId="4">
    <oc r="V93">
      <v>8</v>
    </oc>
    <nc r="V93">
      <v>6</v>
    </nc>
  </rcc>
  <rcc rId="3902" sId="4">
    <nc r="V10">
      <v>2</v>
    </nc>
  </rcc>
  <rcc rId="3903" sId="4" numFmtId="19">
    <nc r="AA10">
      <v>43929</v>
    </nc>
  </rcc>
  <rcc rId="3904" sId="4">
    <nc r="AB10" t="inlineStr">
      <is>
        <t>OK</t>
      </is>
    </nc>
  </rcc>
  <rcc rId="3905" sId="4">
    <nc r="AC10">
      <v>100</v>
    </nc>
  </rcc>
  <rcc rId="3906" sId="4">
    <nc r="AD10">
      <v>100</v>
    </nc>
  </rcc>
  <rcc rId="3907" sId="4">
    <nc r="AE10">
      <v>100</v>
    </nc>
  </rcc>
  <rcc rId="3908" sId="4">
    <nc r="AF10" t="inlineStr">
      <is>
        <t>N/A</t>
      </is>
    </nc>
  </rcc>
  <rcc rId="3909" sId="4" quotePrefix="1">
    <oc r="AH10" t="inlineStr">
      <is>
        <t>-Wrong path of component name</t>
      </is>
    </oc>
    <nc r="AH10" t="inlineStr">
      <is>
        <t>-Rework due to wrong BD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30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13" sId="4" quotePrefix="1">
    <nc r="AG10" t="inlineStr">
      <is>
        <t>-</t>
      </is>
    </nc>
  </rcc>
  <rcc rId="3914" sId="4">
    <oc r="V93">
      <v>6</v>
    </oc>
    <nc r="V93">
      <v>5</v>
    </nc>
  </rcc>
</revisions>
</file>

<file path=xl/revisions/revisionLog30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15" sId="4">
    <oc r="V93">
      <v>5</v>
    </oc>
    <nc r="V93">
      <v>4</v>
    </nc>
  </rcc>
</revisions>
</file>

<file path=xl/revisions/revisionLog30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16" sId="4">
    <oc r="V4">
      <v>2</v>
    </oc>
    <nc r="V4">
      <v>1</v>
    </nc>
  </rcc>
  <rcc rId="3917" sId="4">
    <oc r="V5">
      <v>2</v>
    </oc>
    <nc r="V5">
      <v>0.5</v>
    </nc>
  </rcc>
  <rcc rId="3918" sId="4">
    <oc r="V93">
      <v>4</v>
    </oc>
    <nc r="V93">
      <f>4.5+1.5</f>
    </nc>
  </rcc>
</revisions>
</file>

<file path=xl/revisions/revisionLog30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19" sId="4">
    <oc r="V4">
      <v>1</v>
    </oc>
    <nc r="V4">
      <v>2</v>
    </nc>
  </rcc>
  <rcc rId="3920" sId="4">
    <oc r="V5">
      <v>0.5</v>
    </oc>
    <nc r="V5">
      <v>2</v>
    </nc>
  </rcc>
  <rcc rId="3921" sId="4">
    <oc r="V93">
      <f>4.5+1.5</f>
    </oc>
    <nc r="V93">
      <v>4.5</v>
    </nc>
  </rcc>
</revisions>
</file>

<file path=xl/revisions/revisionLog30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3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25" sId="4">
    <nc r="AF86" t="inlineStr">
      <is>
        <t>OPL</t>
      </is>
    </nc>
  </rcc>
  <rdn rId="0" localSheetId="12" customView="1" name="Z_60D2C030_4E31_4E07_8E1C_44D2EE84B177_.wvu.FilterData" hidden="1" oldHidden="1">
    <oldFormula>Sheet1!$A$2:$A$119</oldFormula>
  </rdn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COEM_Package_20200401!$B$2:$AH$108</formula>
    <oldFormula>COEM_Package_20200401!$B$2:$AH$108</oldFormula>
  </rdn>
  <rcv guid="{60D2C030-4E31-4E07-8E1C-44D2EE84B177}" action="add"/>
</revisions>
</file>

<file path=xl/revisions/revisionLog3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30" sId="4">
    <nc r="T79">
      <f>S79</f>
    </nc>
  </rcc>
  <rcc rId="3931" sId="4">
    <nc r="T86">
      <f>S86</f>
    </nc>
  </rcc>
</revisions>
</file>

<file path=xl/revisions/revisionLog3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3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35" sId="4" quotePrefix="1">
    <oc r="F95" t="inlineStr">
      <is>
        <t>rb/as/sgmw/core/dcom/RBAPLCust/src/ESP/</t>
      </is>
    </oc>
    <nc r="F95" t="inlineStr">
      <is>
        <t>rb\as\sgmw\core\app\dcom\RBAPLCust\src\ESP</t>
      </is>
    </nc>
  </rcc>
  <rcc rId="3936" sId="4">
    <nc r="T95">
      <f>S95</f>
    </nc>
  </rcc>
  <rcc rId="3937" sId="4">
    <nc r="V95">
      <v>4</v>
    </nc>
  </rcc>
  <rcc rId="3938" sId="4">
    <oc r="V85">
      <v>1</v>
    </oc>
    <nc r="V85">
      <v>3</v>
    </nc>
  </rcc>
  <rcc rId="3939" sId="4">
    <nc r="W95" t="inlineStr">
      <is>
        <t>Ready for review</t>
      </is>
    </nc>
  </rcc>
  <rcc rId="3940" sId="4" numFmtId="19">
    <nc r="Z95">
      <v>43929</v>
    </nc>
  </rcc>
  <rcc rId="3941" sId="4" numFmtId="19">
    <nc r="AA95">
      <v>43929</v>
    </nc>
  </rcc>
  <rcc rId="3942" sId="4" odxf="1" dxf="1">
    <nc r="AB95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943" sId="4" odxf="1" dxf="1">
    <nc r="AC9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44" sId="4" odxf="1" dxf="1">
    <nc r="AD9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45" sId="4" odxf="1" dxf="1">
    <nc r="AE9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46" sId="4" odxf="1" dxf="1">
    <nc r="AF95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COEM_Package_20200401!$O$2:$O$135</formula>
    <oldFormula>COEM_Package_20200401!$O$2:$O$135</oldFormula>
  </rdn>
  <rdn rId="0" localSheetId="12" customView="1" name="Z_4E06BDBF_2CED_473B_850B_2A6C7311FF41_.wvu.FilterData" hidden="1" oldHidden="1">
    <formula>Sheet1!$A$2:$A$119</formula>
    <oldFormula>Sheet1!$A$2:$A$119</oldFormula>
  </rdn>
  <rcv guid="{4E06BDBF-2CED-473B-850B-2A6C7311FF41}" action="add"/>
</revisions>
</file>

<file path=xl/revisions/revisionLog3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COEM_Package_20200401!$B$2:$AH$108</formula>
    <oldFormula>COEM_Package_20200401!$B$2:$AH$108</oldFormula>
  </rdn>
  <rcv guid="{72A6EB0A-84D5-4B8A-AC51-54CCD061630B}" action="add"/>
</revisions>
</file>

<file path=xl/revisions/revisionLog3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dn rId="0" localSheetId="1" customView="1" name="Z_D1F7047B_CC2E_48BC_8022_C8013AE2B1E1_.wvu.FilterData" hidden="1" oldHidden="1">
    <formula>COEM_Package_20200302!$A$2:$AG$225</formula>
  </rdn>
  <rdn rId="0" localSheetId="4" customView="1" name="Z_D1F7047B_CC2E_48BC_8022_C8013AE2B1E1_.wvu.Cols" hidden="1" oldHidden="1">
    <formula>COEM_Package_20200401!$P:$Q</formula>
  </rdn>
  <rdn rId="0" localSheetId="4" customView="1" name="Z_D1F7047B_CC2E_48BC_8022_C8013AE2B1E1_.wvu.FilterData" hidden="1" oldHidden="1">
    <formula>COEM_Package_20200401!$B$2:$AH$108</formula>
  </rdn>
  <rcv guid="{D1F7047B-CC2E-48BC-8022-C8013AE2B1E1}" action="add"/>
</revisions>
</file>

<file path=xl/revisions/revisionLog3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57" sId="4">
    <nc r="V86">
      <v>3.5</v>
    </nc>
  </rcc>
  <rcc rId="3958" sId="4">
    <nc r="W86" t="inlineStr">
      <is>
        <t>Ready for review</t>
      </is>
    </nc>
  </rcc>
  <rcc rId="3959" sId="4" numFmtId="19">
    <nc r="Z86">
      <v>43929</v>
    </nc>
  </rcc>
  <rcc rId="3960" sId="4" numFmtId="19">
    <nc r="AA86">
      <v>43929</v>
    </nc>
  </rcc>
  <rcc rId="3961" sId="4">
    <nc r="AB86" t="inlineStr">
      <is>
        <t>NG</t>
      </is>
    </nc>
  </rcc>
  <rcc rId="3962" sId="4" quotePrefix="1">
    <oc r="AG86" t="inlineStr">
      <is>
        <t>-</t>
      </is>
    </oc>
    <nc r="AG86" t="inlineStr">
      <is>
        <t>-Can't check faulse condition bc this always is true</t>
      </is>
    </nc>
  </rcc>
  <rcc rId="3963" sId="4">
    <nc r="AC86">
      <v>46</v>
    </nc>
  </rcc>
  <rcc rId="3964" sId="4">
    <nc r="AD86">
      <v>41</v>
    </nc>
  </rcc>
  <rcc rId="3965" sId="4">
    <nc r="AE86">
      <v>56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COEM_Package_20200401!$B$2:$AH$108</formula>
    <oldFormula>COEM_Package_20200401!$B$2:$AH$108</oldFormula>
  </rdn>
  <rcv guid="{60D2C030-4E31-4E07-8E1C-44D2EE84B177}" action="add"/>
</revisions>
</file>

<file path=xl/revisions/revisionLog3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69" sId="4" quotePrefix="1">
    <nc r="AG31" t="inlineStr">
      <is>
        <t>-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COEM_Package_20200401!$B$2:$AH$108</formula>
    <oldFormula>COEM_Package_20200401!$B$2:$AH$108</oldFormula>
  </rdn>
  <rcv guid="{60D2C030-4E31-4E07-8E1C-44D2EE84B177}" action="add"/>
</revisions>
</file>

<file path=xl/revisions/revisionLog3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73" sId="4" quotePrefix="1">
    <oc r="F18" t="inlineStr">
      <is>
        <t>iBoosterGen2/rb/as/faw/core/app/dcom/RBAPLOBD/src</t>
      </is>
    </oc>
    <nc r="F18" t="inlineStr">
      <is>
        <t>rb/as/faw/core/app/dcom/RBAPLOBD/src</t>
      </is>
    </nc>
  </rcc>
  <rcc rId="3974" sId="4" quotePrefix="1">
    <oc r="F19" t="inlineStr">
      <is>
        <t>iBoosterGen2/rb/as/faw/core/app/dcom/RBAPLOBD/src</t>
      </is>
    </oc>
    <nc r="F19" t="inlineStr">
      <is>
        <t>rb/as/faw/core/app/dcom/RBAPLOBD/src</t>
      </is>
    </nc>
  </rcc>
  <rcc rId="3975" sId="4" quotePrefix="1">
    <oc r="F20" t="inlineStr">
      <is>
        <t>iBoosterGen2/rb/as/faw/core/app/dcom/Cubas/src/Dcm_CNMS</t>
      </is>
    </oc>
    <nc r="F20" t="inlineStr">
      <is>
        <t>rb/as/faw/core/app/dcom/Cubas/src/Dcm_CNMS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revisionLog3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79" sId="4">
    <oc r="B5">
      <f>B4+1</f>
    </oc>
    <nc r="B5">
      <f>B4+1</f>
    </nc>
  </rcc>
  <rcc rId="3980" sId="4">
    <oc r="B6">
      <f>B5+1</f>
    </oc>
    <nc r="B6">
      <f>B5+1</f>
    </nc>
  </rcc>
  <rcc rId="3981" sId="4">
    <oc r="B7">
      <f>B6+1</f>
    </oc>
    <nc r="B7">
      <f>B6+1</f>
    </nc>
  </rcc>
  <rcc rId="3982" sId="4">
    <oc r="B8">
      <f>B7+1</f>
    </oc>
    <nc r="B8">
      <f>B7+1</f>
    </nc>
  </rcc>
  <rcc rId="3983" sId="4">
    <oc r="B9">
      <f>B8+1</f>
    </oc>
    <nc r="B9">
      <f>B8+1</f>
    </nc>
  </rcc>
  <rcc rId="3984" sId="4">
    <oc r="B10">
      <f>B9+1</f>
    </oc>
    <nc r="B10">
      <f>B9+1</f>
    </nc>
  </rcc>
  <rcc rId="3985" sId="4">
    <oc r="B11">
      <f>B10+1</f>
    </oc>
    <nc r="B11">
      <f>B10+1</f>
    </nc>
  </rcc>
  <rcc rId="3986" sId="4">
    <oc r="B12">
      <f>B11+1</f>
    </oc>
    <nc r="B12">
      <f>B11+1</f>
    </nc>
  </rcc>
  <rcc rId="3987" sId="4">
    <oc r="B13">
      <f>B12+1</f>
    </oc>
    <nc r="B13">
      <f>B12+1</f>
    </nc>
  </rcc>
  <rcc rId="3988" sId="4">
    <oc r="B14">
      <f>B13+1</f>
    </oc>
    <nc r="B14">
      <f>B13+1</f>
    </nc>
  </rcc>
  <rcc rId="3989" sId="4">
    <oc r="B15">
      <f>B14+1</f>
    </oc>
    <nc r="B15">
      <f>B14+1</f>
    </nc>
  </rcc>
  <rcc rId="3990" sId="4">
    <oc r="B16">
      <f>B15+1</f>
    </oc>
    <nc r="B16">
      <f>B15+1</f>
    </nc>
  </rcc>
  <rcc rId="3991" sId="4">
    <oc r="B17">
      <f>B16+1</f>
    </oc>
    <nc r="B17">
      <f>B16+1</f>
    </nc>
  </rcc>
  <rcc rId="3992" sId="4">
    <oc r="B18">
      <f>B17+1</f>
    </oc>
    <nc r="B18">
      <f>B17+1</f>
    </nc>
  </rcc>
  <rcc rId="3993" sId="4">
    <oc r="B19">
      <f>B18+1</f>
    </oc>
    <nc r="B19">
      <f>B18+1</f>
    </nc>
  </rcc>
  <rcc rId="3994" sId="4">
    <oc r="B20">
      <f>B19+1</f>
    </oc>
    <nc r="B20">
      <f>B19+1</f>
    </nc>
  </rcc>
  <rcc rId="3995" sId="4">
    <oc r="B21">
      <f>B20+1</f>
    </oc>
    <nc r="B21">
      <f>B20+1</f>
    </nc>
  </rcc>
  <rcc rId="3996" sId="4">
    <oc r="B22">
      <f>B21+1</f>
    </oc>
    <nc r="B22">
      <f>B21+1</f>
    </nc>
  </rcc>
  <rcc rId="3997" sId="4">
    <oc r="B23">
      <f>B22+1</f>
    </oc>
    <nc r="B23">
      <f>B22+1</f>
    </nc>
  </rcc>
  <rcc rId="3998" sId="4">
    <oc r="B24">
      <f>B23+1</f>
    </oc>
    <nc r="B24">
      <f>B23+1</f>
    </nc>
  </rcc>
  <rcc rId="3999" sId="4">
    <oc r="B25">
      <f>B24+1</f>
    </oc>
    <nc r="B25">
      <f>B24+1</f>
    </nc>
  </rcc>
  <rcc rId="4000" sId="4">
    <oc r="B26">
      <f>B25+1</f>
    </oc>
    <nc r="B26">
      <f>B25+1</f>
    </nc>
  </rcc>
  <rcc rId="4001" sId="4">
    <oc r="B27">
      <f>B26+1</f>
    </oc>
    <nc r="B27">
      <f>B26+1</f>
    </nc>
  </rcc>
  <rcc rId="4002" sId="4">
    <oc r="B28">
      <f>B27+1</f>
    </oc>
    <nc r="B28">
      <f>B27+1</f>
    </nc>
  </rcc>
  <rcc rId="4003" sId="4">
    <oc r="B29">
      <f>B28+1</f>
    </oc>
    <nc r="B29">
      <f>B28+1</f>
    </nc>
  </rcc>
  <rcc rId="4004" sId="4">
    <oc r="B30">
      <f>B29+1</f>
    </oc>
    <nc r="B30">
      <f>B29+1</f>
    </nc>
  </rcc>
  <rcc rId="4005" sId="4">
    <oc r="B31">
      <f>B30+1</f>
    </oc>
    <nc r="B31">
      <f>B30+1</f>
    </nc>
  </rcc>
  <rcc rId="4006" sId="4">
    <oc r="B32">
      <f>B31+1</f>
    </oc>
    <nc r="B32">
      <f>B31+1</f>
    </nc>
  </rcc>
  <rcc rId="4007" sId="4">
    <oc r="B33">
      <f>B32+1</f>
    </oc>
    <nc r="B33">
      <f>B32+1</f>
    </nc>
  </rcc>
  <rcc rId="4008" sId="4">
    <oc r="B34">
      <f>B33+1</f>
    </oc>
    <nc r="B34">
      <f>B33+1</f>
    </nc>
  </rcc>
  <rcc rId="4009" sId="4">
    <oc r="B35">
      <f>B34+1</f>
    </oc>
    <nc r="B35">
      <f>B34+1</f>
    </nc>
  </rcc>
  <rcc rId="4010" sId="4">
    <oc r="B36">
      <f>B35+1</f>
    </oc>
    <nc r="B36">
      <f>B35+1</f>
    </nc>
  </rcc>
  <rcc rId="4011" sId="4">
    <oc r="B37">
      <f>B36+1</f>
    </oc>
    <nc r="B37">
      <f>B36+1</f>
    </nc>
  </rcc>
  <rcc rId="4012" sId="4">
    <oc r="B38">
      <f>B37+1</f>
    </oc>
    <nc r="B38">
      <f>B37+1</f>
    </nc>
  </rcc>
  <rcc rId="4013" sId="4">
    <oc r="B39">
      <f>B38+1</f>
    </oc>
    <nc r="B39">
      <f>B38+1</f>
    </nc>
  </rcc>
  <rcc rId="4014" sId="4">
    <oc r="B40">
      <f>B39+1</f>
    </oc>
    <nc r="B40">
      <f>B39+1</f>
    </nc>
  </rcc>
  <rcc rId="4015" sId="4">
    <oc r="B41">
      <f>B40+1</f>
    </oc>
    <nc r="B41">
      <f>B40+1</f>
    </nc>
  </rcc>
  <rcc rId="4016" sId="4">
    <oc r="B42">
      <f>B41+1</f>
    </oc>
    <nc r="B42">
      <f>B41+1</f>
    </nc>
  </rcc>
  <rcc rId="4017" sId="4">
    <oc r="B43">
      <f>B42+1</f>
    </oc>
    <nc r="B43">
      <f>B42+1</f>
    </nc>
  </rcc>
  <rcc rId="4018" sId="4">
    <oc r="B44">
      <f>B43+1</f>
    </oc>
    <nc r="B44">
      <f>B43+1</f>
    </nc>
  </rcc>
  <rcc rId="4019" sId="4">
    <oc r="B45">
      <f>B44+1</f>
    </oc>
    <nc r="B45">
      <f>B44+1</f>
    </nc>
  </rcc>
  <rcc rId="4020" sId="4">
    <oc r="B46">
      <f>B45+1</f>
    </oc>
    <nc r="B46">
      <f>B45+1</f>
    </nc>
  </rcc>
  <rcc rId="4021" sId="4">
    <oc r="B47">
      <f>B46+1</f>
    </oc>
    <nc r="B47">
      <f>B46+1</f>
    </nc>
  </rcc>
  <rcc rId="4022" sId="4">
    <oc r="B48">
      <f>B47+1</f>
    </oc>
    <nc r="B48">
      <f>B47+1</f>
    </nc>
  </rcc>
  <rcc rId="4023" sId="4">
    <oc r="B49">
      <f>B34+1</f>
    </oc>
    <nc r="B49">
      <f>B48+1</f>
    </nc>
  </rcc>
  <rcc rId="4024" sId="4">
    <oc r="B50">
      <f>B49+1</f>
    </oc>
    <nc r="B50">
      <f>B49+1</f>
    </nc>
  </rcc>
  <rcc rId="4025" sId="4">
    <oc r="B51">
      <f>B36+1</f>
    </oc>
    <nc r="B51">
      <f>B50+1</f>
    </nc>
  </rcc>
  <rcc rId="4026" sId="4">
    <oc r="B52">
      <f>B51+1</f>
    </oc>
    <nc r="B52">
      <f>B51+1</f>
    </nc>
  </rcc>
  <rcc rId="4027" sId="4">
    <oc r="B53">
      <f>B38+1</f>
    </oc>
    <nc r="B53">
      <f>B52+1</f>
    </nc>
  </rcc>
  <rcc rId="4028" sId="4">
    <oc r="B54">
      <f>B53+1</f>
    </oc>
    <nc r="B54">
      <f>B53+1</f>
    </nc>
  </rcc>
  <rcc rId="4029" sId="4">
    <oc r="B55">
      <f>B40+1</f>
    </oc>
    <nc r="B55">
      <f>B54+1</f>
    </nc>
  </rcc>
  <rcc rId="4030" sId="4">
    <oc r="B56">
      <f>B55+1</f>
    </oc>
    <nc r="B56">
      <f>B55+1</f>
    </nc>
  </rcc>
  <rcc rId="4031" sId="4">
    <oc r="B57">
      <f>B42+1</f>
    </oc>
    <nc r="B57">
      <f>B56+1</f>
    </nc>
  </rcc>
  <rcc rId="4032" sId="4">
    <oc r="B58">
      <f>B57+1</f>
    </oc>
    <nc r="B58">
      <f>B57+1</f>
    </nc>
  </rcc>
  <rcc rId="4033" sId="4">
    <oc r="B59">
      <f>B58+1</f>
    </oc>
    <nc r="B59">
      <f>B58+1</f>
    </nc>
  </rcc>
  <rcc rId="4034" sId="4">
    <oc r="B60">
      <f>B59+1</f>
    </oc>
    <nc r="B60">
      <f>B59+1</f>
    </nc>
  </rcc>
  <rcc rId="4035" sId="4">
    <oc r="B61">
      <f>B60+1</f>
    </oc>
    <nc r="B61">
      <f>B60+1</f>
    </nc>
  </rcc>
  <rcc rId="4036" sId="4">
    <oc r="B62">
      <f>B61+1</f>
    </oc>
    <nc r="B62">
      <f>B61+1</f>
    </nc>
  </rcc>
  <rcc rId="4037" sId="4">
    <oc r="B63">
      <f>B62+1</f>
    </oc>
    <nc r="B63">
      <f>B62+1</f>
    </nc>
  </rcc>
  <rcc rId="4038" sId="4">
    <oc r="B64">
      <f>B63+1</f>
    </oc>
    <nc r="B64">
      <f>B63+1</f>
    </nc>
  </rcc>
  <rcc rId="4039" sId="4">
    <oc r="B65">
      <f>B64+1</f>
    </oc>
    <nc r="B65">
      <f>B64+1</f>
    </nc>
  </rcc>
  <rcc rId="4040" sId="4">
    <oc r="B66">
      <f>B65+1</f>
    </oc>
    <nc r="B66">
      <f>B65+1</f>
    </nc>
  </rcc>
  <rcc rId="4041" sId="4">
    <oc r="B67">
      <f>B66+1</f>
    </oc>
    <nc r="B67">
      <f>B66+1</f>
    </nc>
  </rcc>
  <rcc rId="4042" sId="4">
    <oc r="B68">
      <f>B67+1</f>
    </oc>
    <nc r="B68">
      <f>B67+1</f>
    </nc>
  </rcc>
  <rcc rId="4043" sId="4">
    <oc r="B69">
      <f>B68+1</f>
    </oc>
    <nc r="B69">
      <f>B68+1</f>
    </nc>
  </rcc>
  <rcc rId="4044" sId="4">
    <oc r="B70">
      <f>B69+1</f>
    </oc>
    <nc r="B70">
      <f>B69+1</f>
    </nc>
  </rcc>
  <rcc rId="4045" sId="4">
    <oc r="B71">
      <f>B70+1</f>
    </oc>
    <nc r="B71">
      <f>B70+1</f>
    </nc>
  </rcc>
  <rcc rId="4046" sId="4">
    <oc r="B72">
      <f>B71+1</f>
    </oc>
    <nc r="B72">
      <f>B71+1</f>
    </nc>
  </rcc>
  <rcc rId="4047" sId="4">
    <oc r="B73">
      <f>B72+1</f>
    </oc>
    <nc r="B73">
      <f>B72+1</f>
    </nc>
  </rcc>
  <rcc rId="4048" sId="4">
    <oc r="B74">
      <f>B73+1</f>
    </oc>
    <nc r="B74">
      <f>B73+1</f>
    </nc>
  </rcc>
  <rcc rId="4049" sId="4">
    <oc r="B75">
      <f>B74+1</f>
    </oc>
    <nc r="B75">
      <f>B74+1</f>
    </nc>
  </rcc>
  <rcc rId="4050" sId="4">
    <oc r="B76">
      <f>B75+1</f>
    </oc>
    <nc r="B76">
      <f>B75+1</f>
    </nc>
  </rcc>
  <rcc rId="4051" sId="4">
    <oc r="B77">
      <f>B76+1</f>
    </oc>
    <nc r="B77">
      <f>B76+1</f>
    </nc>
  </rcc>
  <rcc rId="4052" sId="4">
    <oc r="B78">
      <f>B77+1</f>
    </oc>
    <nc r="B78">
      <f>B77+1</f>
    </nc>
  </rcc>
  <rcc rId="4053" sId="4">
    <oc r="B79">
      <f>B78+1</f>
    </oc>
    <nc r="B79">
      <f>B78+1</f>
    </nc>
  </rcc>
  <rcc rId="4054" sId="4">
    <oc r="B80">
      <f>B79+1</f>
    </oc>
    <nc r="B80">
      <f>B79+1</f>
    </nc>
  </rcc>
  <rcc rId="4055" sId="4">
    <oc r="B81">
      <f>B80+1</f>
    </oc>
    <nc r="B81">
      <f>B80+1</f>
    </nc>
  </rcc>
  <rcc rId="4056" sId="4">
    <oc r="B82">
      <f>B81+1</f>
    </oc>
    <nc r="B82">
      <f>B81+1</f>
    </nc>
  </rcc>
  <rcc rId="4057" sId="4">
    <oc r="B83">
      <f>B82+1</f>
    </oc>
    <nc r="B83">
      <f>B82+1</f>
    </nc>
  </rcc>
  <rcc rId="4058" sId="4">
    <oc r="B84">
      <f>B83+1</f>
    </oc>
    <nc r="B84">
      <f>B83+1</f>
    </nc>
  </rcc>
  <rcc rId="4059" sId="4">
    <oc r="B85">
      <f>B84+1</f>
    </oc>
    <nc r="B85">
      <f>B84+1</f>
    </nc>
  </rcc>
  <rcc rId="4060" sId="4">
    <oc r="B86">
      <f>B85+1</f>
    </oc>
    <nc r="B86">
      <f>B85+1</f>
    </nc>
  </rcc>
  <rcc rId="4061" sId="4">
    <oc r="B87">
      <f>B86+1</f>
    </oc>
    <nc r="B87">
      <f>B86+1</f>
    </nc>
  </rcc>
  <rcc rId="4062" sId="4">
    <oc r="B88">
      <f>B87+1</f>
    </oc>
    <nc r="B88">
      <f>B87+1</f>
    </nc>
  </rcc>
  <rcc rId="4063" sId="4">
    <oc r="B89">
      <f>B88+1</f>
    </oc>
    <nc r="B89">
      <f>B88+1</f>
    </nc>
  </rcc>
  <rcc rId="4064" sId="4">
    <oc r="B90">
      <f>B89+1</f>
    </oc>
    <nc r="B90">
      <f>B89+1</f>
    </nc>
  </rcc>
  <rcc rId="4065" sId="4">
    <oc r="B91">
      <f>B90+1</f>
    </oc>
    <nc r="B91">
      <f>B90+1</f>
    </nc>
  </rcc>
  <rcc rId="4066" sId="4">
    <oc r="B92">
      <f>B91+1</f>
    </oc>
    <nc r="B92">
      <f>B91+1</f>
    </nc>
  </rcc>
  <rcc rId="4067" sId="4">
    <oc r="B93">
      <f>B92+1</f>
    </oc>
    <nc r="B93">
      <f>B92+1</f>
    </nc>
  </rcc>
  <rcc rId="4068" sId="4">
    <oc r="B94">
      <f>B93+1</f>
    </oc>
    <nc r="B94">
      <f>B93+1</f>
    </nc>
  </rcc>
  <rcc rId="4069" sId="4">
    <oc r="B95">
      <f>B94+1</f>
    </oc>
    <nc r="B95">
      <f>B94+1</f>
    </nc>
  </rcc>
  <rcc rId="4070" sId="4">
    <oc r="B96">
      <f>B95+1</f>
    </oc>
    <nc r="B96">
      <f>B95+1</f>
    </nc>
  </rcc>
  <rcc rId="4071" sId="4">
    <oc r="B97">
      <f>B96+1</f>
    </oc>
    <nc r="B97">
      <f>B96+1</f>
    </nc>
  </rcc>
  <rcc rId="4072" sId="4">
    <oc r="B98">
      <f>B97+1</f>
    </oc>
    <nc r="B98">
      <f>B97+1</f>
    </nc>
  </rcc>
  <rcc rId="4073" sId="4">
    <oc r="B99">
      <f>B98+1</f>
    </oc>
    <nc r="B99">
      <f>B98+1</f>
    </nc>
  </rcc>
  <rcc rId="4074" sId="4">
    <oc r="B100">
      <f>B99+1</f>
    </oc>
    <nc r="B100">
      <f>B99+1</f>
    </nc>
  </rcc>
  <rcc rId="4075" sId="4">
    <oc r="B101">
      <f>B100+1</f>
    </oc>
    <nc r="B101">
      <f>B100+1</f>
    </nc>
  </rcc>
  <rcc rId="4076" sId="4">
    <oc r="B102">
      <f>B101+1</f>
    </oc>
    <nc r="B102">
      <f>B101+1</f>
    </nc>
  </rcc>
  <rcc rId="4077" sId="4">
    <oc r="B103">
      <f>B102+1</f>
    </oc>
    <nc r="B103">
      <f>B102+1</f>
    </nc>
  </rcc>
  <rcc rId="4078" sId="4">
    <oc r="B104">
      <f>B103+1</f>
    </oc>
    <nc r="B104">
      <f>B103+1</f>
    </nc>
  </rcc>
  <rcc rId="4079" sId="4">
    <oc r="B105">
      <f>B104+1</f>
    </oc>
    <nc r="B105">
      <f>B104+1</f>
    </nc>
  </rcc>
  <rcc rId="4080" sId="4">
    <oc r="B106">
      <f>B105+1</f>
    </oc>
    <nc r="B106">
      <f>B105+1</f>
    </nc>
  </rcc>
  <rcc rId="4081" sId="4">
    <oc r="B107">
      <f>B106+1</f>
    </oc>
    <nc r="B107">
      <f>B106+1</f>
    </nc>
  </rcc>
  <rcc rId="4082" sId="4">
    <oc r="B108">
      <f>B107+1</f>
    </oc>
    <nc r="B108">
      <f>B107+1</f>
    </nc>
  </rcc>
  <rcv guid="{D1F7047B-CC2E-48BC-8022-C8013AE2B1E1}" action="delete"/>
  <rdn rId="0" localSheetId="1" customView="1" name="Z_D1F7047B_CC2E_48BC_8022_C8013AE2B1E1_.wvu.FilterData" hidden="1" oldHidden="1">
    <formula>COEM_Package_20200302!$A$2:$AG$225</formula>
    <oldFormula>COEM_Package_20200302!$A$2:$AG$225</oldFormula>
  </rdn>
  <rdn rId="0" localSheetId="4" customView="1" name="Z_D1F7047B_CC2E_48BC_8022_C8013AE2B1E1_.wvu.Cols" hidden="1" oldHidden="1">
    <formula>COEM_Package_20200401!$P:$Q</formula>
    <oldFormula>COEM_Package_20200401!$P:$Q</oldFormula>
  </rdn>
  <rdn rId="0" localSheetId="4" customView="1" name="Z_D1F7047B_CC2E_48BC_8022_C8013AE2B1E1_.wvu.FilterData" hidden="1" oldHidden="1">
    <formula>COEM_Package_20200401!$B$2:$AH$108</formula>
    <oldFormula>COEM_Package_20200401!$B$2:$AH$108</oldFormula>
  </rdn>
  <rcv guid="{D1F7047B-CC2E-48BC-8022-C8013AE2B1E1}" action="add"/>
</revisions>
</file>

<file path=xl/revisions/revisionLog3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COEM_Package_20200401!$B$2:$AH$108</formula>
    <oldFormula>COEM_Package_20200401!$B$2:$AH$108</oldFormula>
  </rdn>
  <rcv guid="{7E0EA425-A420-4443-B9E0-CDF0AA9E5D09}" action="add"/>
</revisions>
</file>

<file path=xl/revisions/userNames1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20">
  <userInfo guid="{87392201-50DA-402F-B437-777780EA297A}" name="EXTERNAL Nguyen Kim Thanh (Ban Vien, RBVH/EPS45)" id="-41267566" dateTime="2020-03-31T11:44:01"/>
  <userInfo guid="{8A03BE93-D78D-48BD-91A7-F6B92F394DA9}" name="EXTERNAL Do Phu Loc (Ban Vien, RBVH/EPS45)" id="-1167921752" dateTime="2020-04-01T09:12:28"/>
  <userInfo guid="{F4A00557-CB3F-4933-AB63-E4E7D13CDFF8}" name="EXTERNAL Do Phu Loc (Ban Vien, RBVH/EPS45)" id="-1167939779" dateTime="2020-04-01T10:06:20"/>
  <userInfo guid="{26A60BB2-6EEA-4B16-93BC-D74CB560FF9A}" name="EXTERNAL Ly Chung (Ban Vien, RBVH/EPS45)" id="-274444688" dateTime="2020-04-01T13:46:03"/>
  <userInfo guid="{AD979094-D2BF-41E6-A15D-5DF12F7C749F}" name="EXTERNAL Nguyen Tuan Duong (Ban Vien, RBVH/EPS45)" id="-567353994" dateTime="2020-04-03T10:58:03"/>
  <userInfo guid="{A65FD303-A43F-4F9B-9334-8251A7744B7B}" name="EXTERNAL Do Phu Loc (Ban Vien, RBVH/EPS45)" id="-1167973914" dateTime="2020-04-03T13:22:45"/>
  <userInfo guid="{FA9C8C4A-428E-45BF-9548-35FF4A7C2E7F}" name="EXTERNAL Do Phu Loc (Ban Vien, RBVH/EPS45)" id="-1167973942" dateTime="2020-04-03T17:19:29"/>
  <userInfo guid="{92AA9045-82D3-4C37-B277-1594FA80FEAF}" name="EXTERNAL Nguyen Tuan Duong (Ban Vien, RBVH/EPS45)" id="-567395523" dateTime="2020-04-06T09:31:15"/>
  <userInfo guid="{82AE9F89-7D15-4BD4-9215-8D9A188908C3}" name="EXTERNAL Do Phu Loc (Ban Vien, RBVH/EPS45)" id="-1167923257" dateTime="2020-04-06T09:37:16"/>
  <userInfo guid="{9A6959F1-1451-4912-B208-C0B804106850}" name="EXTERNAL Nguyen Kim Thanh (Ban Vien, RBVH/EPS45)" id="-41283223" dateTime="2020-04-06T10:39:48"/>
  <userInfo guid="{91CB9067-8911-4522-AB92-CF36E81F299F}" name="EXTERNAL Do Phu Loc (Ban Vien, RBVH/EPS45)" id="-1167974143" dateTime="2020-04-06T14:34:30"/>
  <userInfo guid="{86BF626B-A441-4F74-8865-007D86487C8F}" name="EXTERNAL Nguyen Kim Thanh (Ban Vien, RBVH/EPS45)" id="-41236083" dateTime="2020-04-08T09:17:46"/>
  <userInfo guid="{EED4C29D-594B-49CA-B0BE-EF4B5DCCAD73}" name="EXTERNAL Nguyen Kim Thanh (Ban Vien, RBVH/EPS45)" id="-41269277" dateTime="2020-04-08T09:43:52"/>
  <userInfo guid="{D16246FF-BC0B-4534-98FE-2689D9457FEC}" name="EXTERNAL Do Phu Loc (Ban Vien, RBVH/EPS45)" id="-1167970890" dateTime="2020-04-08T12:00:29"/>
  <userInfo guid="{746008B2-67AC-4797-8D0C-7574812E5972}" name="GUP7HC" id="-676865988" dateTime="2020-04-08T13:37:31"/>
  <userInfo guid="{D16246FF-BC0B-4534-98FE-2689D9457FEC}" name="EXTERNAL Do Anh Huy (Ban Vien Company, RBVH/EPS45)" id="-1624204923" dateTime="2020-04-08T14:25:31"/>
  <userInfo guid="{0A9466F2-C7FD-4DD1-936F-3D9D5AEBF661}" name="EXTERNAL Do Phu Loc (Ban Vien, RBVH/EPS45)" id="-1167934515" dateTime="2020-04-08T16:45:03"/>
  <userInfo guid="{0A9466F2-C7FD-4DD1-936F-3D9D5AEBF661}" name="EXTERNAL Nguyen Kim Thanh (Ban Vien, RBVH/EPS45)" id="-41247945" dateTime="2020-04-08T17:06:29"/>
  <userInfo guid="{0C0A572F-C00D-4214-BBE6-C573FD4D9273}" name="EXTERNAL Nguyen Tuan Duong (Ban Vien, RBVH/EPS45)" id="-567404327" dateTime="2020-04-08T17:06:52"/>
  <userInfo guid="{FA3025DB-0954-4C27-8B1C-D04AEE8462C0}" name="EXTERNAL Ly Chung (Ban Vien, RBVH/EPS45)" id="-274420446" dateTime="2020-04-08T17:11:02"/>
</us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10" Type="http://schemas.openxmlformats.org/officeDocument/2006/relationships/comments" Target="../comments1.xml"/><Relationship Id="rId4" Type="http://schemas.openxmlformats.org/officeDocument/2006/relationships/printerSettings" Target="../printerSettings/printerSettings4.bin"/><Relationship Id="rId9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printerSettings" Target="../printerSettings/printerSettings12.bin"/><Relationship Id="rId7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6" Type="http://schemas.openxmlformats.org/officeDocument/2006/relationships/printerSettings" Target="../printerSettings/printerSettings15.bin"/><Relationship Id="rId5" Type="http://schemas.openxmlformats.org/officeDocument/2006/relationships/printerSettings" Target="../printerSettings/printerSettings14.bin"/><Relationship Id="rId4" Type="http://schemas.openxmlformats.org/officeDocument/2006/relationships/printerSettings" Target="../printerSettings/printerSettings1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G252"/>
  <sheetViews>
    <sheetView topLeftCell="A185" zoomScale="85" zoomScaleNormal="85" workbookViewId="0">
      <selection activeCell="I206" sqref="I206"/>
    </sheetView>
  </sheetViews>
  <sheetFormatPr defaultRowHeight="15" x14ac:dyDescent="0.25"/>
  <cols>
    <col min="3" max="3" width="17.85546875" bestFit="1" customWidth="1"/>
    <col min="4" max="4" width="17.42578125" customWidth="1"/>
    <col min="5" max="5" width="21" customWidth="1"/>
    <col min="6" max="6" width="17.85546875" customWidth="1"/>
    <col min="7" max="7" width="12" customWidth="1"/>
    <col min="8" max="8" width="59.140625" customWidth="1"/>
    <col min="9" max="9" width="16.85546875" customWidth="1"/>
    <col min="10" max="10" width="18.140625" style="153" customWidth="1"/>
    <col min="11" max="11" width="35.85546875" customWidth="1"/>
    <col min="12" max="12" width="13.140625" customWidth="1"/>
    <col min="13" max="13" width="42.42578125" customWidth="1"/>
    <col min="14" max="14" width="8.28515625" style="46" customWidth="1"/>
    <col min="15" max="15" width="17.5703125" customWidth="1"/>
    <col min="16" max="16" width="17.85546875" customWidth="1"/>
    <col min="17" max="17" width="13.5703125" customWidth="1"/>
    <col min="18" max="18" width="14" customWidth="1"/>
    <col min="19" max="19" width="14.85546875" customWidth="1"/>
    <col min="20" max="20" width="12.85546875" customWidth="1"/>
    <col min="21" max="21" width="14" customWidth="1"/>
    <col min="22" max="22" width="11.140625" customWidth="1"/>
    <col min="23" max="23" width="17.85546875" customWidth="1"/>
    <col min="24" max="24" width="12.85546875" bestFit="1" customWidth="1"/>
    <col min="25" max="26" width="12" bestFit="1" customWidth="1"/>
    <col min="27" max="27" width="20.42578125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5.7109375" bestFit="1" customWidth="1"/>
    <col min="33" max="33" width="44.42578125" bestFit="1" customWidth="1"/>
    <col min="34" max="34" width="39.85546875" customWidth="1"/>
  </cols>
  <sheetData>
    <row r="2" spans="2:33" x14ac:dyDescent="0.25">
      <c r="B2" s="2" t="s">
        <v>0</v>
      </c>
      <c r="C2" s="2" t="s">
        <v>81</v>
      </c>
      <c r="D2" s="2" t="s">
        <v>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195</v>
      </c>
      <c r="J2" s="151" t="s">
        <v>767</v>
      </c>
      <c r="K2" s="2" t="s">
        <v>91</v>
      </c>
      <c r="L2" s="2" t="s">
        <v>750</v>
      </c>
      <c r="M2" s="2" t="s">
        <v>167</v>
      </c>
      <c r="N2" s="4" t="s">
        <v>60</v>
      </c>
      <c r="O2" s="4" t="s">
        <v>7</v>
      </c>
      <c r="P2" s="4" t="s">
        <v>165</v>
      </c>
      <c r="Q2" s="4" t="s">
        <v>179</v>
      </c>
      <c r="R2" s="4" t="s">
        <v>155</v>
      </c>
      <c r="S2" s="4" t="s">
        <v>156</v>
      </c>
      <c r="T2" s="4" t="s">
        <v>58</v>
      </c>
      <c r="U2" s="4" t="s">
        <v>166</v>
      </c>
      <c r="V2" s="4" t="s">
        <v>59</v>
      </c>
      <c r="W2" s="4" t="s">
        <v>17</v>
      </c>
      <c r="X2" s="4" t="s">
        <v>74</v>
      </c>
      <c r="Y2" s="4" t="s">
        <v>75</v>
      </c>
      <c r="Z2" s="2" t="s">
        <v>11</v>
      </c>
      <c r="AA2" s="2" t="s">
        <v>12</v>
      </c>
      <c r="AB2" s="2" t="s">
        <v>159</v>
      </c>
      <c r="AC2" s="2" t="s">
        <v>13</v>
      </c>
      <c r="AD2" s="2" t="s">
        <v>14</v>
      </c>
      <c r="AE2" s="4" t="s">
        <v>15</v>
      </c>
      <c r="AF2" s="4" t="s">
        <v>16</v>
      </c>
      <c r="AG2" s="4" t="s">
        <v>168</v>
      </c>
    </row>
    <row r="3" spans="2:33" x14ac:dyDescent="0.25">
      <c r="B3" s="24">
        <v>1</v>
      </c>
      <c r="C3" s="26">
        <v>20200302</v>
      </c>
      <c r="D3" s="24" t="s">
        <v>3</v>
      </c>
      <c r="E3" s="24" t="s">
        <v>360</v>
      </c>
      <c r="F3" s="24" t="s">
        <v>150</v>
      </c>
      <c r="G3" s="24">
        <v>1348323</v>
      </c>
      <c r="H3" s="24" t="s">
        <v>69</v>
      </c>
      <c r="I3" s="24" t="s">
        <v>196</v>
      </c>
      <c r="J3" s="27" t="s">
        <v>76</v>
      </c>
      <c r="K3" s="24" t="s">
        <v>92</v>
      </c>
      <c r="L3" s="27" t="str">
        <f>IF(D3="ASW","PUT_VERSION","-")</f>
        <v>-</v>
      </c>
      <c r="M3" s="27" t="s">
        <v>361</v>
      </c>
      <c r="N3" s="26" t="s">
        <v>476</v>
      </c>
      <c r="O3" s="24" t="s">
        <v>85</v>
      </c>
      <c r="P3" s="24" t="s">
        <v>6</v>
      </c>
      <c r="Q3" s="24" t="s">
        <v>164</v>
      </c>
      <c r="R3" s="24">
        <v>113</v>
      </c>
      <c r="S3" s="24">
        <v>113</v>
      </c>
      <c r="T3" s="24">
        <f>S3</f>
        <v>113</v>
      </c>
      <c r="U3" s="24">
        <v>3</v>
      </c>
      <c r="V3" s="24">
        <v>3</v>
      </c>
      <c r="W3" s="24" t="s">
        <v>108</v>
      </c>
      <c r="X3" s="28">
        <v>43892</v>
      </c>
      <c r="Y3" s="28">
        <v>43894</v>
      </c>
      <c r="Z3" s="28">
        <v>43892</v>
      </c>
      <c r="AA3" s="28">
        <v>43893</v>
      </c>
      <c r="AB3" s="32" t="s">
        <v>161</v>
      </c>
      <c r="AC3" s="32">
        <v>100</v>
      </c>
      <c r="AD3" s="32">
        <v>100</v>
      </c>
      <c r="AE3" s="32">
        <v>100</v>
      </c>
      <c r="AF3" s="27" t="s">
        <v>76</v>
      </c>
      <c r="AG3" s="27" t="s">
        <v>76</v>
      </c>
    </row>
    <row r="4" spans="2:33" s="19" customFormat="1" x14ac:dyDescent="0.2">
      <c r="B4" s="32">
        <f t="shared" ref="B4:B35" si="0">B3+1</f>
        <v>2</v>
      </c>
      <c r="C4" s="21">
        <v>20200302</v>
      </c>
      <c r="D4" s="32" t="s">
        <v>3</v>
      </c>
      <c r="E4" s="32" t="s">
        <v>66</v>
      </c>
      <c r="F4" s="32" t="s">
        <v>151</v>
      </c>
      <c r="G4" s="24">
        <v>1345876</v>
      </c>
      <c r="H4" s="32" t="s">
        <v>70</v>
      </c>
      <c r="I4" s="24" t="s">
        <v>196</v>
      </c>
      <c r="J4" s="24">
        <v>99885</v>
      </c>
      <c r="K4" s="24" t="s">
        <v>93</v>
      </c>
      <c r="L4" s="27" t="str">
        <f>IF(D4="ASW","PUT_VERSION","-")</f>
        <v>-</v>
      </c>
      <c r="M4" s="27" t="s">
        <v>362</v>
      </c>
      <c r="N4" s="26" t="s">
        <v>477</v>
      </c>
      <c r="O4" s="32" t="s">
        <v>86</v>
      </c>
      <c r="P4" s="32" t="s">
        <v>6</v>
      </c>
      <c r="Q4" s="24" t="s">
        <v>164</v>
      </c>
      <c r="R4" s="24">
        <v>148</v>
      </c>
      <c r="S4" s="29">
        <v>357</v>
      </c>
      <c r="T4" s="32">
        <f t="shared" ref="T4:T67" si="1">S4</f>
        <v>357</v>
      </c>
      <c r="U4" s="24">
        <v>10</v>
      </c>
      <c r="V4" s="32">
        <v>6</v>
      </c>
      <c r="W4" s="24" t="s">
        <v>108</v>
      </c>
      <c r="X4" s="91">
        <v>43893</v>
      </c>
      <c r="Y4" s="91">
        <v>43894</v>
      </c>
      <c r="Z4" s="22">
        <v>43892</v>
      </c>
      <c r="AA4" s="92">
        <v>43892</v>
      </c>
      <c r="AB4" s="32" t="s">
        <v>161</v>
      </c>
      <c r="AC4" s="32">
        <v>100</v>
      </c>
      <c r="AD4" s="32">
        <v>100</v>
      </c>
      <c r="AE4" s="32">
        <v>100</v>
      </c>
      <c r="AF4" s="24" t="s">
        <v>180</v>
      </c>
      <c r="AG4" s="27" t="s">
        <v>76</v>
      </c>
    </row>
    <row r="5" spans="2:33" x14ac:dyDescent="0.25">
      <c r="B5" s="32">
        <f t="shared" si="0"/>
        <v>3</v>
      </c>
      <c r="C5" s="26">
        <v>20200302</v>
      </c>
      <c r="D5" s="24" t="s">
        <v>3</v>
      </c>
      <c r="E5" s="24" t="s">
        <v>67</v>
      </c>
      <c r="F5" s="24" t="s">
        <v>152</v>
      </c>
      <c r="G5" s="24">
        <v>1350941</v>
      </c>
      <c r="H5" s="24" t="s">
        <v>71</v>
      </c>
      <c r="I5" s="24" t="s">
        <v>196</v>
      </c>
      <c r="J5" s="24" t="s">
        <v>746</v>
      </c>
      <c r="K5" s="24" t="s">
        <v>94</v>
      </c>
      <c r="L5" s="27" t="str">
        <f>IF(D5="ASW","PUT_VERSION","-")</f>
        <v>-</v>
      </c>
      <c r="M5" s="27" t="s">
        <v>363</v>
      </c>
      <c r="N5" s="26" t="s">
        <v>478</v>
      </c>
      <c r="O5" s="24" t="s">
        <v>85</v>
      </c>
      <c r="P5" s="24" t="s">
        <v>6</v>
      </c>
      <c r="Q5" s="24" t="s">
        <v>164</v>
      </c>
      <c r="R5" s="24">
        <v>291</v>
      </c>
      <c r="S5" s="24">
        <v>291</v>
      </c>
      <c r="T5" s="24">
        <f t="shared" si="1"/>
        <v>291</v>
      </c>
      <c r="U5" s="24">
        <v>8</v>
      </c>
      <c r="V5" s="24">
        <v>10</v>
      </c>
      <c r="W5" s="24" t="s">
        <v>108</v>
      </c>
      <c r="X5" s="28">
        <v>43892</v>
      </c>
      <c r="Y5" s="28">
        <v>43894</v>
      </c>
      <c r="Z5" s="28">
        <v>43892</v>
      </c>
      <c r="AA5" s="28">
        <v>43893</v>
      </c>
      <c r="AB5" s="28" t="s">
        <v>161</v>
      </c>
      <c r="AC5" s="32">
        <v>100</v>
      </c>
      <c r="AD5" s="32">
        <v>100</v>
      </c>
      <c r="AE5" s="32">
        <v>100</v>
      </c>
      <c r="AF5" s="24" t="s">
        <v>157</v>
      </c>
      <c r="AG5" s="24" t="s">
        <v>181</v>
      </c>
    </row>
    <row r="6" spans="2:33" x14ac:dyDescent="0.25">
      <c r="B6" s="32">
        <f t="shared" si="0"/>
        <v>4</v>
      </c>
      <c r="C6" s="26">
        <v>20200302</v>
      </c>
      <c r="D6" s="24" t="s">
        <v>3</v>
      </c>
      <c r="E6" s="24" t="s">
        <v>68</v>
      </c>
      <c r="F6" s="24" t="s">
        <v>153</v>
      </c>
      <c r="G6" s="24">
        <v>1351929</v>
      </c>
      <c r="H6" s="24" t="s">
        <v>72</v>
      </c>
      <c r="I6" s="24" t="s">
        <v>196</v>
      </c>
      <c r="J6" s="24">
        <v>99735</v>
      </c>
      <c r="K6" s="24" t="s">
        <v>95</v>
      </c>
      <c r="L6" s="27" t="str">
        <f>IF(D6="ASW","PUT_VERSION","-")</f>
        <v>-</v>
      </c>
      <c r="M6" s="27" t="s">
        <v>361</v>
      </c>
      <c r="N6" s="26" t="s">
        <v>479</v>
      </c>
      <c r="O6" s="24" t="s">
        <v>88</v>
      </c>
      <c r="P6" s="24" t="s">
        <v>6</v>
      </c>
      <c r="Q6" s="24" t="s">
        <v>164</v>
      </c>
      <c r="R6" s="24">
        <v>254</v>
      </c>
      <c r="S6" s="24">
        <v>254</v>
      </c>
      <c r="T6" s="24">
        <f t="shared" si="1"/>
        <v>254</v>
      </c>
      <c r="U6" s="24">
        <f>ROUNDDOWN(S6/HLOOKUP(D6,Table!$C$3:$D$4,2,0)*8,2)</f>
        <v>4.51</v>
      </c>
      <c r="V6" s="24">
        <v>10</v>
      </c>
      <c r="W6" s="24" t="s">
        <v>108</v>
      </c>
      <c r="X6" s="28">
        <v>43892</v>
      </c>
      <c r="Y6" s="28">
        <v>43893</v>
      </c>
      <c r="Z6" s="28">
        <v>43892</v>
      </c>
      <c r="AA6" s="28">
        <v>43893</v>
      </c>
      <c r="AB6" s="28" t="s">
        <v>160</v>
      </c>
      <c r="AC6" s="32">
        <v>100</v>
      </c>
      <c r="AD6" s="32">
        <v>100</v>
      </c>
      <c r="AE6" s="32">
        <v>95</v>
      </c>
      <c r="AF6" s="35" t="s">
        <v>162</v>
      </c>
      <c r="AG6" s="24" t="s">
        <v>434</v>
      </c>
    </row>
    <row r="7" spans="2:33" x14ac:dyDescent="0.25">
      <c r="B7" s="32">
        <f t="shared" si="0"/>
        <v>5</v>
      </c>
      <c r="C7" s="26">
        <v>20200302</v>
      </c>
      <c r="D7" s="24" t="s">
        <v>2</v>
      </c>
      <c r="E7" s="24" t="s">
        <v>73</v>
      </c>
      <c r="F7" s="27" t="s">
        <v>76</v>
      </c>
      <c r="G7" s="24">
        <v>1352219</v>
      </c>
      <c r="H7" s="24" t="s">
        <v>61</v>
      </c>
      <c r="I7" s="24" t="s">
        <v>196</v>
      </c>
      <c r="J7" s="27" t="s">
        <v>76</v>
      </c>
      <c r="K7" s="24">
        <v>1352219</v>
      </c>
      <c r="L7" s="27" t="s">
        <v>109</v>
      </c>
      <c r="M7" s="27" t="s">
        <v>364</v>
      </c>
      <c r="N7" s="26" t="s">
        <v>480</v>
      </c>
      <c r="O7" s="24" t="s">
        <v>87</v>
      </c>
      <c r="P7" s="24" t="s">
        <v>6</v>
      </c>
      <c r="Q7" s="24" t="s">
        <v>164</v>
      </c>
      <c r="R7" s="24">
        <v>19</v>
      </c>
      <c r="S7" s="24">
        <v>19</v>
      </c>
      <c r="T7" s="24">
        <f t="shared" si="1"/>
        <v>19</v>
      </c>
      <c r="U7" s="24">
        <f>ROUNDDOWN(S7/HLOOKUP(D7,Table!$C$3:$D$4,2,0)*8,2)</f>
        <v>1.1599999999999999</v>
      </c>
      <c r="V7" s="24">
        <v>4</v>
      </c>
      <c r="W7" s="24" t="s">
        <v>108</v>
      </c>
      <c r="X7" s="28">
        <v>43892</v>
      </c>
      <c r="Y7" s="28">
        <v>43893</v>
      </c>
      <c r="Z7" s="28">
        <v>43893</v>
      </c>
      <c r="AA7" s="28">
        <v>43893</v>
      </c>
      <c r="AB7" s="28" t="s">
        <v>160</v>
      </c>
      <c r="AC7" s="32">
        <v>95.6</v>
      </c>
      <c r="AD7" s="32">
        <v>96</v>
      </c>
      <c r="AE7" s="36" t="s">
        <v>76</v>
      </c>
      <c r="AF7" s="24" t="s">
        <v>158</v>
      </c>
      <c r="AG7" s="24" t="s">
        <v>181</v>
      </c>
    </row>
    <row r="8" spans="2:33" x14ac:dyDescent="0.25">
      <c r="B8" s="32">
        <f t="shared" si="0"/>
        <v>6</v>
      </c>
      <c r="C8" s="26">
        <v>20200302</v>
      </c>
      <c r="D8" s="24" t="s">
        <v>3</v>
      </c>
      <c r="E8" s="24" t="s">
        <v>77</v>
      </c>
      <c r="F8" s="27" t="s">
        <v>194</v>
      </c>
      <c r="G8" s="24">
        <v>1351848</v>
      </c>
      <c r="H8" s="24" t="s">
        <v>78</v>
      </c>
      <c r="I8" s="24" t="s">
        <v>196</v>
      </c>
      <c r="J8" s="24">
        <v>80504</v>
      </c>
      <c r="K8" s="24" t="s">
        <v>93</v>
      </c>
      <c r="L8" s="27" t="str">
        <f t="shared" ref="L8:L25" si="2">IF(D8="ASW","PUT_VERSION","-")</f>
        <v>-</v>
      </c>
      <c r="M8" s="27" t="s">
        <v>365</v>
      </c>
      <c r="N8" s="26" t="s">
        <v>481</v>
      </c>
      <c r="O8" s="24" t="s">
        <v>87</v>
      </c>
      <c r="P8" s="24" t="s">
        <v>6</v>
      </c>
      <c r="Q8" s="24" t="s">
        <v>164</v>
      </c>
      <c r="R8" s="24">
        <v>478</v>
      </c>
      <c r="S8" s="24">
        <v>478</v>
      </c>
      <c r="T8" s="24">
        <f t="shared" si="1"/>
        <v>478</v>
      </c>
      <c r="U8" s="24">
        <f>ROUNDDOWN(S8/HLOOKUP(D8,Table!$C$3:$D$4,2,0)*8,2)</f>
        <v>8.49</v>
      </c>
      <c r="V8" s="24">
        <v>14</v>
      </c>
      <c r="W8" s="24" t="s">
        <v>108</v>
      </c>
      <c r="X8" s="28">
        <v>43892</v>
      </c>
      <c r="Y8" s="28">
        <v>43894</v>
      </c>
      <c r="Z8" s="28">
        <v>43892</v>
      </c>
      <c r="AA8" s="28">
        <v>43894</v>
      </c>
      <c r="AB8" s="28" t="s">
        <v>160</v>
      </c>
      <c r="AC8" s="32">
        <v>99</v>
      </c>
      <c r="AD8" s="32">
        <v>99</v>
      </c>
      <c r="AE8" s="32">
        <v>100</v>
      </c>
      <c r="AF8" s="24" t="s">
        <v>191</v>
      </c>
      <c r="AG8" s="24" t="s">
        <v>181</v>
      </c>
    </row>
    <row r="9" spans="2:33" s="19" customFormat="1" x14ac:dyDescent="0.2">
      <c r="B9" s="32">
        <f t="shared" si="0"/>
        <v>7</v>
      </c>
      <c r="C9" s="26">
        <v>20200302</v>
      </c>
      <c r="D9" s="33" t="s">
        <v>3</v>
      </c>
      <c r="E9" s="33" t="s">
        <v>77</v>
      </c>
      <c r="F9" s="27" t="s">
        <v>188</v>
      </c>
      <c r="G9" s="24">
        <v>1351848</v>
      </c>
      <c r="H9" s="56" t="s">
        <v>79</v>
      </c>
      <c r="I9" s="24" t="s">
        <v>196</v>
      </c>
      <c r="J9" s="24">
        <v>80504</v>
      </c>
      <c r="K9" s="24" t="s">
        <v>93</v>
      </c>
      <c r="L9" s="27" t="str">
        <f t="shared" si="2"/>
        <v>-</v>
      </c>
      <c r="M9" s="27" t="s">
        <v>365</v>
      </c>
      <c r="N9" s="26" t="s">
        <v>482</v>
      </c>
      <c r="O9" s="21" t="s">
        <v>86</v>
      </c>
      <c r="P9" s="26" t="s">
        <v>6</v>
      </c>
      <c r="Q9" s="24" t="s">
        <v>164</v>
      </c>
      <c r="R9" s="24">
        <v>286</v>
      </c>
      <c r="S9" s="26">
        <v>286</v>
      </c>
      <c r="T9" s="26">
        <f t="shared" si="1"/>
        <v>286</v>
      </c>
      <c r="U9" s="24">
        <f>ROUNDDOWN(S9/HLOOKUP(D9,Table!$C$3:$D$4,2,0)*8,2)</f>
        <v>5.08</v>
      </c>
      <c r="V9" s="21">
        <v>1</v>
      </c>
      <c r="W9" s="24" t="s">
        <v>108</v>
      </c>
      <c r="X9" s="28">
        <v>43892</v>
      </c>
      <c r="Y9" s="28">
        <v>43894</v>
      </c>
      <c r="Z9" s="28">
        <v>43893</v>
      </c>
      <c r="AA9" s="28">
        <v>43892</v>
      </c>
      <c r="AB9" s="28" t="s">
        <v>161</v>
      </c>
      <c r="AC9" s="32">
        <v>100</v>
      </c>
      <c r="AD9" s="32">
        <v>100</v>
      </c>
      <c r="AE9" s="32">
        <v>100</v>
      </c>
      <c r="AF9" s="27" t="s">
        <v>76</v>
      </c>
      <c r="AG9" s="27" t="s">
        <v>76</v>
      </c>
    </row>
    <row r="10" spans="2:33" x14ac:dyDescent="0.25">
      <c r="B10" s="32">
        <f t="shared" si="0"/>
        <v>8</v>
      </c>
      <c r="C10" s="26">
        <v>20200302</v>
      </c>
      <c r="D10" s="23" t="s">
        <v>3</v>
      </c>
      <c r="E10" s="23" t="s">
        <v>77</v>
      </c>
      <c r="F10" s="27">
        <f>SUMIFS(COEM_Package_20200302!$T$3:$T$219,COEM_Package_20200302!$D$3:$D$219,Table!$C$3)-SUM(SUMIFS($T$3:$T$219,$D$3:$D$219,Table!$C$3,$W$3:$W$219,{"Ongoing","N/A",""}))</f>
        <v>659</v>
      </c>
      <c r="G10" s="24">
        <v>1351848</v>
      </c>
      <c r="H10" s="57" t="s">
        <v>80</v>
      </c>
      <c r="I10" s="24" t="s">
        <v>196</v>
      </c>
      <c r="J10" s="24">
        <v>80504</v>
      </c>
      <c r="K10" s="24" t="s">
        <v>93</v>
      </c>
      <c r="L10" s="27" t="str">
        <f t="shared" si="2"/>
        <v>-</v>
      </c>
      <c r="M10" s="27" t="s">
        <v>365</v>
      </c>
      <c r="N10" s="26" t="s">
        <v>483</v>
      </c>
      <c r="O10" s="23" t="s">
        <v>88</v>
      </c>
      <c r="P10" s="24" t="s">
        <v>6</v>
      </c>
      <c r="Q10" s="24" t="s">
        <v>164</v>
      </c>
      <c r="R10" s="24">
        <v>110</v>
      </c>
      <c r="S10" s="57">
        <f>R10</f>
        <v>110</v>
      </c>
      <c r="T10" s="57">
        <f t="shared" si="1"/>
        <v>110</v>
      </c>
      <c r="U10" s="24">
        <f>ROUNDDOWN(S10/HLOOKUP(D10,Table!$C$3:$D$4,2,0)*8,2)</f>
        <v>1.95</v>
      </c>
      <c r="V10" s="44">
        <v>4</v>
      </c>
      <c r="W10" s="24" t="s">
        <v>108</v>
      </c>
      <c r="X10" s="28">
        <v>43892</v>
      </c>
      <c r="Y10" s="28">
        <v>43894</v>
      </c>
      <c r="Z10" s="28">
        <v>43894</v>
      </c>
      <c r="AA10" s="28">
        <v>43894</v>
      </c>
      <c r="AB10" s="28" t="s">
        <v>161</v>
      </c>
      <c r="AC10" s="32">
        <v>100</v>
      </c>
      <c r="AD10" s="32">
        <v>100</v>
      </c>
      <c r="AE10" s="32">
        <v>100</v>
      </c>
      <c r="AF10" s="27" t="s">
        <v>76</v>
      </c>
      <c r="AG10" s="27" t="s">
        <v>76</v>
      </c>
    </row>
    <row r="11" spans="2:33" s="20" customFormat="1" x14ac:dyDescent="0.2">
      <c r="B11" s="32">
        <f t="shared" si="0"/>
        <v>9</v>
      </c>
      <c r="C11" s="26">
        <v>20200302</v>
      </c>
      <c r="D11" s="21" t="s">
        <v>3</v>
      </c>
      <c r="E11" s="21" t="s">
        <v>89</v>
      </c>
      <c r="F11" s="34" t="s">
        <v>189</v>
      </c>
      <c r="G11" s="24">
        <v>1278532</v>
      </c>
      <c r="H11" s="24" t="s">
        <v>185</v>
      </c>
      <c r="I11" s="24" t="s">
        <v>196</v>
      </c>
      <c r="J11" s="24">
        <v>81261</v>
      </c>
      <c r="K11" s="24" t="s">
        <v>96</v>
      </c>
      <c r="L11" s="27" t="str">
        <f t="shared" si="2"/>
        <v>-</v>
      </c>
      <c r="M11" s="27" t="s">
        <v>366</v>
      </c>
      <c r="N11" s="26" t="s">
        <v>484</v>
      </c>
      <c r="O11" s="21" t="s">
        <v>86</v>
      </c>
      <c r="P11" s="21" t="s">
        <v>6</v>
      </c>
      <c r="Q11" s="24" t="s">
        <v>164</v>
      </c>
      <c r="R11" s="24">
        <v>251</v>
      </c>
      <c r="S11" s="30">
        <v>294</v>
      </c>
      <c r="T11" s="21">
        <f t="shared" si="1"/>
        <v>294</v>
      </c>
      <c r="U11" s="24">
        <f>ROUNDDOWN(S11/HLOOKUP(D11,Table!$C$3:$D$4,2,0)*8,2)</f>
        <v>5.22</v>
      </c>
      <c r="V11" s="21">
        <v>6.5</v>
      </c>
      <c r="W11" s="24" t="s">
        <v>108</v>
      </c>
      <c r="X11" s="28">
        <v>43892</v>
      </c>
      <c r="Y11" s="28">
        <v>43894</v>
      </c>
      <c r="Z11" s="28">
        <v>43893</v>
      </c>
      <c r="AA11" s="28">
        <v>43893</v>
      </c>
      <c r="AB11" s="28" t="s">
        <v>161</v>
      </c>
      <c r="AC11" s="32">
        <v>100</v>
      </c>
      <c r="AD11" s="32">
        <v>100</v>
      </c>
      <c r="AE11" s="32">
        <v>100</v>
      </c>
      <c r="AF11" s="24" t="s">
        <v>110</v>
      </c>
      <c r="AG11" s="27" t="s">
        <v>76</v>
      </c>
    </row>
    <row r="12" spans="2:33" x14ac:dyDescent="0.25">
      <c r="B12" s="32">
        <f t="shared" si="0"/>
        <v>10</v>
      </c>
      <c r="C12" s="26">
        <v>20200302</v>
      </c>
      <c r="D12" s="24" t="s">
        <v>3</v>
      </c>
      <c r="E12" s="24" t="s">
        <v>89</v>
      </c>
      <c r="F12" s="27" t="s">
        <v>189</v>
      </c>
      <c r="G12" s="24">
        <v>1278532</v>
      </c>
      <c r="H12" s="24" t="s">
        <v>186</v>
      </c>
      <c r="I12" s="24" t="s">
        <v>196</v>
      </c>
      <c r="J12" s="24">
        <v>81261</v>
      </c>
      <c r="K12" s="24" t="s">
        <v>96</v>
      </c>
      <c r="L12" s="27" t="str">
        <f t="shared" si="2"/>
        <v>-</v>
      </c>
      <c r="M12" s="27" t="s">
        <v>366</v>
      </c>
      <c r="N12" s="26" t="s">
        <v>485</v>
      </c>
      <c r="O12" s="23" t="s">
        <v>86</v>
      </c>
      <c r="P12" s="23" t="s">
        <v>6</v>
      </c>
      <c r="Q12" s="24" t="s">
        <v>164</v>
      </c>
      <c r="R12" s="24">
        <v>101</v>
      </c>
      <c r="S12" s="24">
        <v>101</v>
      </c>
      <c r="T12" s="24">
        <f t="shared" si="1"/>
        <v>101</v>
      </c>
      <c r="U12" s="24">
        <f>ROUNDDOWN(S12/HLOOKUP(D12,Table!$C$3:$D$4,2,0)*8,2)</f>
        <v>1.79</v>
      </c>
      <c r="V12" s="24">
        <v>1.5</v>
      </c>
      <c r="W12" s="24" t="s">
        <v>108</v>
      </c>
      <c r="X12" s="28">
        <v>43892</v>
      </c>
      <c r="Y12" s="28">
        <v>43894</v>
      </c>
      <c r="Z12" s="28">
        <v>43894</v>
      </c>
      <c r="AA12" s="28">
        <v>43894</v>
      </c>
      <c r="AB12" s="37" t="s">
        <v>161</v>
      </c>
      <c r="AC12" s="32">
        <v>100</v>
      </c>
      <c r="AD12" s="32">
        <v>100</v>
      </c>
      <c r="AE12" s="32">
        <v>100</v>
      </c>
      <c r="AF12" s="27" t="s">
        <v>76</v>
      </c>
      <c r="AG12" s="27" t="s">
        <v>76</v>
      </c>
    </row>
    <row r="13" spans="2:33" x14ac:dyDescent="0.25">
      <c r="B13" s="32">
        <f t="shared" si="0"/>
        <v>11</v>
      </c>
      <c r="C13" s="26">
        <v>20200302</v>
      </c>
      <c r="D13" s="24" t="s">
        <v>3</v>
      </c>
      <c r="E13" s="24" t="s">
        <v>89</v>
      </c>
      <c r="F13" s="27" t="s">
        <v>190</v>
      </c>
      <c r="G13" s="24">
        <v>1278532</v>
      </c>
      <c r="H13" s="57" t="s">
        <v>187</v>
      </c>
      <c r="I13" s="24" t="s">
        <v>196</v>
      </c>
      <c r="J13" s="24">
        <v>81261</v>
      </c>
      <c r="K13" s="24" t="s">
        <v>96</v>
      </c>
      <c r="L13" s="27" t="str">
        <f t="shared" si="2"/>
        <v>-</v>
      </c>
      <c r="M13" s="27" t="s">
        <v>366</v>
      </c>
      <c r="N13" s="26" t="s">
        <v>486</v>
      </c>
      <c r="O13" s="23" t="s">
        <v>85</v>
      </c>
      <c r="P13" s="23"/>
      <c r="Q13" s="24"/>
      <c r="R13" s="24">
        <v>90</v>
      </c>
      <c r="S13" s="24">
        <v>90</v>
      </c>
      <c r="T13" s="24">
        <f t="shared" si="1"/>
        <v>90</v>
      </c>
      <c r="U13" s="24">
        <f>ROUNDDOWN(S13/HLOOKUP(D13,Table!$C$3:$D$4,2,0)*8,2)</f>
        <v>1.6</v>
      </c>
      <c r="V13" s="24">
        <v>3</v>
      </c>
      <c r="W13" s="24" t="s">
        <v>108</v>
      </c>
      <c r="X13" s="28">
        <v>43892</v>
      </c>
      <c r="Y13" s="28">
        <v>43894</v>
      </c>
      <c r="Z13" s="28">
        <v>43894</v>
      </c>
      <c r="AA13" s="28">
        <v>43894</v>
      </c>
      <c r="AB13" s="28" t="s">
        <v>160</v>
      </c>
      <c r="AC13" s="32">
        <v>86</v>
      </c>
      <c r="AD13" s="32">
        <v>83</v>
      </c>
      <c r="AE13" s="32">
        <v>100</v>
      </c>
      <c r="AF13" s="24" t="s">
        <v>343</v>
      </c>
      <c r="AG13" s="27" t="s">
        <v>76</v>
      </c>
    </row>
    <row r="14" spans="2:33" x14ac:dyDescent="0.25">
      <c r="B14" s="32">
        <f t="shared" si="0"/>
        <v>12</v>
      </c>
      <c r="C14" s="26">
        <v>20200302</v>
      </c>
      <c r="D14" s="24" t="s">
        <v>3</v>
      </c>
      <c r="E14" s="24" t="s">
        <v>89</v>
      </c>
      <c r="F14" s="27" t="s">
        <v>154</v>
      </c>
      <c r="G14" s="24">
        <v>1278532</v>
      </c>
      <c r="H14" s="24" t="s">
        <v>90</v>
      </c>
      <c r="I14" s="24" t="s">
        <v>196</v>
      </c>
      <c r="J14" s="24">
        <v>81261</v>
      </c>
      <c r="K14" s="24" t="s">
        <v>96</v>
      </c>
      <c r="L14" s="27" t="str">
        <f t="shared" si="2"/>
        <v>-</v>
      </c>
      <c r="M14" s="27" t="s">
        <v>366</v>
      </c>
      <c r="N14" s="26" t="s">
        <v>487</v>
      </c>
      <c r="O14" s="23" t="s">
        <v>86</v>
      </c>
      <c r="P14" s="23" t="s">
        <v>6</v>
      </c>
      <c r="Q14" s="24" t="s">
        <v>164</v>
      </c>
      <c r="R14" s="24">
        <v>101</v>
      </c>
      <c r="S14" s="25">
        <v>183</v>
      </c>
      <c r="T14" s="24">
        <f t="shared" si="1"/>
        <v>183</v>
      </c>
      <c r="U14" s="24">
        <f>ROUNDDOWN(S14/HLOOKUP(D14,Table!$C$3:$D$4,2,0)*8,2)</f>
        <v>3.25</v>
      </c>
      <c r="V14" s="24">
        <v>3</v>
      </c>
      <c r="W14" s="24" t="s">
        <v>108</v>
      </c>
      <c r="X14" s="28">
        <v>43892</v>
      </c>
      <c r="Y14" s="28">
        <v>43894</v>
      </c>
      <c r="Z14" s="28">
        <v>43894</v>
      </c>
      <c r="AA14" s="28">
        <v>43894</v>
      </c>
      <c r="AB14" s="28" t="s">
        <v>161</v>
      </c>
      <c r="AC14" s="32">
        <v>100</v>
      </c>
      <c r="AD14" s="32">
        <v>100</v>
      </c>
      <c r="AE14" s="32">
        <v>100</v>
      </c>
      <c r="AF14" s="24" t="s">
        <v>111</v>
      </c>
      <c r="AG14" s="27" t="s">
        <v>76</v>
      </c>
    </row>
    <row r="15" spans="2:33" x14ac:dyDescent="0.25">
      <c r="B15" s="32">
        <f t="shared" si="0"/>
        <v>13</v>
      </c>
      <c r="C15" s="26">
        <v>20200303</v>
      </c>
      <c r="D15" s="24" t="s">
        <v>3</v>
      </c>
      <c r="E15" s="24" t="s">
        <v>97</v>
      </c>
      <c r="F15" s="43" t="s">
        <v>212</v>
      </c>
      <c r="G15" s="24">
        <v>1352115</v>
      </c>
      <c r="H15" s="24" t="s">
        <v>98</v>
      </c>
      <c r="I15" s="24" t="s">
        <v>196</v>
      </c>
      <c r="J15" s="24" t="s">
        <v>76</v>
      </c>
      <c r="K15" s="24" t="s">
        <v>105</v>
      </c>
      <c r="L15" s="27" t="str">
        <f t="shared" si="2"/>
        <v>-</v>
      </c>
      <c r="M15" s="27" t="s">
        <v>367</v>
      </c>
      <c r="N15" s="26" t="s">
        <v>488</v>
      </c>
      <c r="O15" s="24" t="s">
        <v>88</v>
      </c>
      <c r="P15" s="24"/>
      <c r="Q15" s="24"/>
      <c r="R15" s="24">
        <v>828</v>
      </c>
      <c r="S15" s="24">
        <f>R15</f>
        <v>828</v>
      </c>
      <c r="T15" s="24">
        <f t="shared" si="1"/>
        <v>828</v>
      </c>
      <c r="U15" s="24">
        <f>ROUNDDOWN(S15/HLOOKUP(D15,Table!$C$3:$D$4,2,0)*8,2)</f>
        <v>14.72</v>
      </c>
      <c r="V15" s="24">
        <v>16</v>
      </c>
      <c r="W15" s="24" t="s">
        <v>108</v>
      </c>
      <c r="X15" s="28">
        <v>43892</v>
      </c>
      <c r="Y15" s="28">
        <v>43899</v>
      </c>
      <c r="Z15" s="28">
        <v>43894</v>
      </c>
      <c r="AA15" s="28">
        <v>43896</v>
      </c>
      <c r="AB15" s="28" t="s">
        <v>160</v>
      </c>
      <c r="AC15" s="32">
        <v>100</v>
      </c>
      <c r="AD15" s="32">
        <v>100</v>
      </c>
      <c r="AE15" s="32">
        <v>98</v>
      </c>
      <c r="AF15" s="42" t="s">
        <v>158</v>
      </c>
      <c r="AG15" s="27" t="s">
        <v>76</v>
      </c>
    </row>
    <row r="16" spans="2:33" x14ac:dyDescent="0.25">
      <c r="B16" s="32">
        <f t="shared" si="0"/>
        <v>14</v>
      </c>
      <c r="C16" s="26">
        <v>20200303</v>
      </c>
      <c r="D16" s="24" t="s">
        <v>3</v>
      </c>
      <c r="E16" s="24" t="s">
        <v>99</v>
      </c>
      <c r="F16" s="27" t="s">
        <v>182</v>
      </c>
      <c r="G16" s="24">
        <v>1353313</v>
      </c>
      <c r="H16" s="24" t="s">
        <v>100</v>
      </c>
      <c r="I16" s="24" t="s">
        <v>196</v>
      </c>
      <c r="J16" s="24" t="s">
        <v>76</v>
      </c>
      <c r="K16" s="24" t="s">
        <v>106</v>
      </c>
      <c r="L16" s="27" t="str">
        <f t="shared" si="2"/>
        <v>-</v>
      </c>
      <c r="M16" s="27" t="s">
        <v>368</v>
      </c>
      <c r="N16" s="26" t="s">
        <v>489</v>
      </c>
      <c r="O16" s="24" t="s">
        <v>86</v>
      </c>
      <c r="P16" s="24"/>
      <c r="Q16" s="24"/>
      <c r="R16" s="24">
        <v>371</v>
      </c>
      <c r="S16" s="24">
        <v>371</v>
      </c>
      <c r="T16" s="24">
        <f t="shared" si="1"/>
        <v>371</v>
      </c>
      <c r="U16" s="24">
        <f>ROUNDDOWN(S16/HLOOKUP(D16,Table!$C$3:$D$4,2,0)*8,2)</f>
        <v>6.59</v>
      </c>
      <c r="V16" s="24">
        <v>3</v>
      </c>
      <c r="W16" s="24" t="s">
        <v>108</v>
      </c>
      <c r="X16" s="28">
        <v>43892</v>
      </c>
      <c r="Y16" s="28">
        <v>43899</v>
      </c>
      <c r="Z16" s="28">
        <v>43895</v>
      </c>
      <c r="AA16" s="28">
        <v>43895</v>
      </c>
      <c r="AB16" s="28" t="s">
        <v>161</v>
      </c>
      <c r="AC16" s="32">
        <v>100</v>
      </c>
      <c r="AD16" s="32">
        <v>100</v>
      </c>
      <c r="AE16" s="32">
        <v>100</v>
      </c>
      <c r="AF16" s="24" t="s">
        <v>211</v>
      </c>
      <c r="AG16" s="27" t="s">
        <v>76</v>
      </c>
    </row>
    <row r="17" spans="1:33" x14ac:dyDescent="0.25">
      <c r="B17" s="32">
        <f t="shared" si="0"/>
        <v>15</v>
      </c>
      <c r="C17" s="26">
        <v>20200303</v>
      </c>
      <c r="D17" s="24" t="s">
        <v>3</v>
      </c>
      <c r="E17" s="24" t="s">
        <v>99</v>
      </c>
      <c r="F17" s="27" t="s">
        <v>182</v>
      </c>
      <c r="G17" s="24">
        <v>1353313</v>
      </c>
      <c r="H17" s="24" t="s">
        <v>101</v>
      </c>
      <c r="I17" s="24" t="s">
        <v>196</v>
      </c>
      <c r="J17" s="24" t="s">
        <v>76</v>
      </c>
      <c r="K17" s="24" t="s">
        <v>106</v>
      </c>
      <c r="L17" s="27" t="str">
        <f t="shared" si="2"/>
        <v>-</v>
      </c>
      <c r="M17" s="27" t="s">
        <v>368</v>
      </c>
      <c r="N17" s="26" t="s">
        <v>490</v>
      </c>
      <c r="O17" s="24" t="s">
        <v>86</v>
      </c>
      <c r="P17" s="24"/>
      <c r="Q17" s="24"/>
      <c r="R17" s="24">
        <v>254</v>
      </c>
      <c r="S17" s="24">
        <v>254</v>
      </c>
      <c r="T17" s="24">
        <f t="shared" si="1"/>
        <v>254</v>
      </c>
      <c r="U17" s="24">
        <f>ROUNDDOWN(S17/HLOOKUP(D17,Table!$C$3:$D$4,2,0)*8,2)</f>
        <v>4.51</v>
      </c>
      <c r="V17" s="24">
        <v>2</v>
      </c>
      <c r="W17" s="24" t="s">
        <v>108</v>
      </c>
      <c r="X17" s="28">
        <v>43892</v>
      </c>
      <c r="Y17" s="28">
        <v>43899</v>
      </c>
      <c r="Z17" s="28">
        <v>43895</v>
      </c>
      <c r="AA17" s="28">
        <v>43895</v>
      </c>
      <c r="AB17" s="28" t="s">
        <v>161</v>
      </c>
      <c r="AC17" s="32">
        <v>100</v>
      </c>
      <c r="AD17" s="32">
        <v>100</v>
      </c>
      <c r="AE17" s="32">
        <v>100</v>
      </c>
      <c r="AF17" s="27" t="s">
        <v>76</v>
      </c>
      <c r="AG17" s="27" t="s">
        <v>76</v>
      </c>
    </row>
    <row r="18" spans="1:33" x14ac:dyDescent="0.25">
      <c r="B18" s="32">
        <f t="shared" si="0"/>
        <v>16</v>
      </c>
      <c r="C18" s="26">
        <v>20200303</v>
      </c>
      <c r="D18" s="24" t="s">
        <v>3</v>
      </c>
      <c r="E18" s="24" t="s">
        <v>99</v>
      </c>
      <c r="F18" s="27" t="s">
        <v>183</v>
      </c>
      <c r="G18" s="24">
        <v>1353313</v>
      </c>
      <c r="H18" s="24" t="s">
        <v>102</v>
      </c>
      <c r="I18" s="24" t="s">
        <v>196</v>
      </c>
      <c r="J18" s="24" t="s">
        <v>76</v>
      </c>
      <c r="K18" s="24" t="s">
        <v>106</v>
      </c>
      <c r="L18" s="27" t="str">
        <f t="shared" si="2"/>
        <v>-</v>
      </c>
      <c r="M18" s="27" t="s">
        <v>368</v>
      </c>
      <c r="N18" s="26" t="s">
        <v>491</v>
      </c>
      <c r="O18" s="24" t="s">
        <v>87</v>
      </c>
      <c r="P18" s="24"/>
      <c r="Q18" s="24"/>
      <c r="R18" s="24">
        <v>395</v>
      </c>
      <c r="S18" s="24">
        <v>395</v>
      </c>
      <c r="T18" s="24">
        <f t="shared" si="1"/>
        <v>395</v>
      </c>
      <c r="U18" s="24">
        <f>ROUNDDOWN(S18/HLOOKUP(D18,Table!$C$3:$D$4,2,0)*8,2)</f>
        <v>7.02</v>
      </c>
      <c r="V18" s="24">
        <v>5</v>
      </c>
      <c r="W18" s="24" t="s">
        <v>108</v>
      </c>
      <c r="X18" s="28">
        <v>43892</v>
      </c>
      <c r="Y18" s="28">
        <v>43899</v>
      </c>
      <c r="Z18" s="28">
        <v>43895</v>
      </c>
      <c r="AA18" s="28">
        <v>43895</v>
      </c>
      <c r="AB18" s="28" t="s">
        <v>161</v>
      </c>
      <c r="AC18" s="24">
        <v>100</v>
      </c>
      <c r="AD18" s="24">
        <v>100</v>
      </c>
      <c r="AE18" s="24">
        <v>100</v>
      </c>
      <c r="AF18" s="27" t="s">
        <v>76</v>
      </c>
      <c r="AG18" s="27" t="s">
        <v>76</v>
      </c>
    </row>
    <row r="19" spans="1:33" x14ac:dyDescent="0.25">
      <c r="B19" s="32">
        <f t="shared" si="0"/>
        <v>17</v>
      </c>
      <c r="C19" s="26">
        <v>20200303</v>
      </c>
      <c r="D19" s="24" t="s">
        <v>3</v>
      </c>
      <c r="E19" s="24" t="s">
        <v>99</v>
      </c>
      <c r="F19" s="27" t="s">
        <v>184</v>
      </c>
      <c r="G19" s="24">
        <v>1353313</v>
      </c>
      <c r="H19" s="24" t="s">
        <v>102</v>
      </c>
      <c r="I19" s="24" t="s">
        <v>196</v>
      </c>
      <c r="J19" s="24" t="s">
        <v>76</v>
      </c>
      <c r="K19" s="24" t="s">
        <v>106</v>
      </c>
      <c r="L19" s="27" t="str">
        <f t="shared" si="2"/>
        <v>-</v>
      </c>
      <c r="M19" s="27" t="s">
        <v>368</v>
      </c>
      <c r="N19" s="26" t="s">
        <v>492</v>
      </c>
      <c r="O19" s="24" t="s">
        <v>87</v>
      </c>
      <c r="P19" s="24"/>
      <c r="Q19" s="24"/>
      <c r="R19" s="24">
        <v>395</v>
      </c>
      <c r="S19" s="24">
        <v>395</v>
      </c>
      <c r="T19" s="24">
        <f t="shared" si="1"/>
        <v>395</v>
      </c>
      <c r="U19" s="24">
        <f>ROUNDDOWN(S19/HLOOKUP(D19,Table!$C$3:$D$4,2,0)*8,2)</f>
        <v>7.02</v>
      </c>
      <c r="V19" s="24">
        <v>5</v>
      </c>
      <c r="W19" s="24" t="s">
        <v>108</v>
      </c>
      <c r="X19" s="28">
        <v>43892</v>
      </c>
      <c r="Y19" s="28">
        <v>43899</v>
      </c>
      <c r="Z19" s="28">
        <v>43895</v>
      </c>
      <c r="AA19" s="28">
        <v>43895</v>
      </c>
      <c r="AB19" s="28" t="s">
        <v>161</v>
      </c>
      <c r="AC19" s="24">
        <v>100</v>
      </c>
      <c r="AD19" s="24">
        <v>100</v>
      </c>
      <c r="AE19" s="24">
        <v>100</v>
      </c>
      <c r="AF19" s="27" t="s">
        <v>76</v>
      </c>
      <c r="AG19" s="27" t="s">
        <v>76</v>
      </c>
    </row>
    <row r="20" spans="1:33" x14ac:dyDescent="0.25">
      <c r="B20" s="32">
        <f t="shared" si="0"/>
        <v>18</v>
      </c>
      <c r="C20" s="26">
        <v>20200306</v>
      </c>
      <c r="D20" s="26" t="s">
        <v>3</v>
      </c>
      <c r="E20" s="26" t="s">
        <v>202</v>
      </c>
      <c r="F20" s="47" t="s">
        <v>203</v>
      </c>
      <c r="G20" s="26">
        <v>1360296</v>
      </c>
      <c r="H20" s="26" t="s">
        <v>204</v>
      </c>
      <c r="I20" s="25" t="s">
        <v>197</v>
      </c>
      <c r="J20" s="54">
        <v>99478</v>
      </c>
      <c r="K20" s="24" t="s">
        <v>210</v>
      </c>
      <c r="L20" s="27" t="str">
        <f t="shared" si="2"/>
        <v>-</v>
      </c>
      <c r="M20" s="27" t="s">
        <v>369</v>
      </c>
      <c r="N20" s="26" t="s">
        <v>493</v>
      </c>
      <c r="O20" s="24" t="s">
        <v>85</v>
      </c>
      <c r="P20" s="24" t="s">
        <v>85</v>
      </c>
      <c r="Q20" s="24" t="s">
        <v>164</v>
      </c>
      <c r="R20" s="24">
        <v>96</v>
      </c>
      <c r="S20" s="24">
        <v>96</v>
      </c>
      <c r="T20" s="24">
        <f t="shared" si="1"/>
        <v>96</v>
      </c>
      <c r="U20" s="24">
        <f>ROUNDDOWN(S20/HLOOKUP(D20,Table!$C$3:$D$4,2,0)*8,2)</f>
        <v>1.7</v>
      </c>
      <c r="V20" s="24">
        <v>3</v>
      </c>
      <c r="W20" s="24" t="s">
        <v>108</v>
      </c>
      <c r="X20" s="28">
        <v>43896</v>
      </c>
      <c r="Y20" s="28">
        <v>43899</v>
      </c>
      <c r="Z20" s="28">
        <v>43896</v>
      </c>
      <c r="AA20" s="28">
        <v>43896</v>
      </c>
      <c r="AB20" s="28" t="s">
        <v>160</v>
      </c>
      <c r="AC20" s="24">
        <v>97</v>
      </c>
      <c r="AD20" s="24">
        <v>95</v>
      </c>
      <c r="AE20" s="24">
        <v>92</v>
      </c>
      <c r="AF20" s="24" t="s">
        <v>214</v>
      </c>
      <c r="AG20" s="27" t="s">
        <v>76</v>
      </c>
    </row>
    <row r="21" spans="1:33" x14ac:dyDescent="0.25">
      <c r="B21" s="32">
        <f t="shared" si="0"/>
        <v>19</v>
      </c>
      <c r="C21" s="26">
        <v>20200306</v>
      </c>
      <c r="D21" s="26" t="s">
        <v>3</v>
      </c>
      <c r="E21" s="26" t="s">
        <v>202</v>
      </c>
      <c r="F21" s="47" t="s">
        <v>203</v>
      </c>
      <c r="G21" s="26">
        <v>1360296</v>
      </c>
      <c r="H21" s="26" t="s">
        <v>205</v>
      </c>
      <c r="I21" s="25" t="s">
        <v>197</v>
      </c>
      <c r="J21" s="54">
        <v>99478</v>
      </c>
      <c r="K21" s="24" t="s">
        <v>210</v>
      </c>
      <c r="L21" s="27" t="str">
        <f t="shared" si="2"/>
        <v>-</v>
      </c>
      <c r="M21" s="27" t="s">
        <v>369</v>
      </c>
      <c r="N21" s="26" t="s">
        <v>494</v>
      </c>
      <c r="O21" s="24" t="s">
        <v>86</v>
      </c>
      <c r="P21" s="24" t="s">
        <v>85</v>
      </c>
      <c r="Q21" s="24" t="s">
        <v>164</v>
      </c>
      <c r="R21" s="24">
        <v>28</v>
      </c>
      <c r="S21" s="24">
        <v>28</v>
      </c>
      <c r="T21" s="24">
        <f t="shared" si="1"/>
        <v>28</v>
      </c>
      <c r="U21" s="24">
        <f>ROUNDDOWN(S21/HLOOKUP(D21,Table!$C$3:$D$4,2,0)*8,2)</f>
        <v>0.49</v>
      </c>
      <c r="V21" s="24">
        <v>1</v>
      </c>
      <c r="W21" s="24" t="s">
        <v>108</v>
      </c>
      <c r="X21" s="28">
        <v>43896</v>
      </c>
      <c r="Y21" s="28">
        <v>43896</v>
      </c>
      <c r="Z21" s="28">
        <v>43896</v>
      </c>
      <c r="AA21" s="28">
        <v>43896</v>
      </c>
      <c r="AB21" s="28" t="s">
        <v>161</v>
      </c>
      <c r="AC21" s="32">
        <v>100</v>
      </c>
      <c r="AD21" s="32">
        <v>100</v>
      </c>
      <c r="AE21" s="32">
        <v>100</v>
      </c>
      <c r="AF21" s="27" t="s">
        <v>76</v>
      </c>
      <c r="AG21" s="27" t="s">
        <v>76</v>
      </c>
    </row>
    <row r="22" spans="1:33" x14ac:dyDescent="0.25">
      <c r="B22" s="32">
        <f t="shared" si="0"/>
        <v>20</v>
      </c>
      <c r="C22" s="26">
        <v>20200306</v>
      </c>
      <c r="D22" s="26" t="s">
        <v>3</v>
      </c>
      <c r="E22" s="26" t="s">
        <v>202</v>
      </c>
      <c r="F22" s="47" t="s">
        <v>203</v>
      </c>
      <c r="G22" s="26">
        <v>1360296</v>
      </c>
      <c r="H22" s="26" t="s">
        <v>206</v>
      </c>
      <c r="I22" s="25" t="s">
        <v>197</v>
      </c>
      <c r="J22" s="54">
        <v>99478</v>
      </c>
      <c r="K22" s="24" t="s">
        <v>210</v>
      </c>
      <c r="L22" s="27" t="str">
        <f t="shared" si="2"/>
        <v>-</v>
      </c>
      <c r="M22" s="27" t="s">
        <v>369</v>
      </c>
      <c r="N22" s="26" t="s">
        <v>495</v>
      </c>
      <c r="O22" s="24" t="s">
        <v>86</v>
      </c>
      <c r="P22" s="24" t="s">
        <v>85</v>
      </c>
      <c r="Q22" s="24" t="s">
        <v>164</v>
      </c>
      <c r="R22" s="24">
        <v>36</v>
      </c>
      <c r="S22" s="24">
        <v>36</v>
      </c>
      <c r="T22" s="24">
        <f t="shared" si="1"/>
        <v>36</v>
      </c>
      <c r="U22" s="24">
        <f>ROUNDDOWN(S22/HLOOKUP(D22,Table!$C$3:$D$4,2,0)*8,2)</f>
        <v>0.64</v>
      </c>
      <c r="V22" s="24">
        <v>1</v>
      </c>
      <c r="W22" s="24" t="s">
        <v>108</v>
      </c>
      <c r="X22" s="28">
        <v>43896</v>
      </c>
      <c r="Y22" s="28">
        <v>43896</v>
      </c>
      <c r="Z22" s="28">
        <v>43896</v>
      </c>
      <c r="AA22" s="28">
        <v>43896</v>
      </c>
      <c r="AB22" s="31" t="s">
        <v>161</v>
      </c>
      <c r="AC22" s="32">
        <v>100</v>
      </c>
      <c r="AD22" s="32">
        <v>100</v>
      </c>
      <c r="AE22" s="32">
        <v>100</v>
      </c>
      <c r="AF22" s="27" t="s">
        <v>76</v>
      </c>
      <c r="AG22" s="27" t="s">
        <v>76</v>
      </c>
    </row>
    <row r="23" spans="1:33" x14ac:dyDescent="0.25">
      <c r="B23" s="32">
        <f t="shared" si="0"/>
        <v>21</v>
      </c>
      <c r="C23" s="26">
        <v>20200306</v>
      </c>
      <c r="D23" s="26" t="s">
        <v>3</v>
      </c>
      <c r="E23" s="26" t="s">
        <v>202</v>
      </c>
      <c r="F23" s="47" t="s">
        <v>203</v>
      </c>
      <c r="G23" s="26">
        <v>1360296</v>
      </c>
      <c r="H23" s="26" t="s">
        <v>207</v>
      </c>
      <c r="I23" s="25" t="s">
        <v>197</v>
      </c>
      <c r="J23" s="54">
        <v>99478</v>
      </c>
      <c r="K23" s="24" t="s">
        <v>210</v>
      </c>
      <c r="L23" s="27" t="str">
        <f t="shared" si="2"/>
        <v>-</v>
      </c>
      <c r="M23" s="27" t="s">
        <v>369</v>
      </c>
      <c r="N23" s="26" t="s">
        <v>496</v>
      </c>
      <c r="O23" s="24" t="s">
        <v>88</v>
      </c>
      <c r="P23" s="24" t="s">
        <v>85</v>
      </c>
      <c r="Q23" s="24" t="s">
        <v>164</v>
      </c>
      <c r="R23" s="24">
        <v>80</v>
      </c>
      <c r="S23" s="24">
        <f>R23</f>
        <v>80</v>
      </c>
      <c r="T23" s="24">
        <f t="shared" si="1"/>
        <v>80</v>
      </c>
      <c r="U23" s="24">
        <f>ROUNDDOWN(S23/HLOOKUP(D23,Table!$C$3:$D$4,2,0)*8,2)</f>
        <v>1.42</v>
      </c>
      <c r="V23" s="24">
        <v>2</v>
      </c>
      <c r="W23" s="24" t="s">
        <v>108</v>
      </c>
      <c r="X23" s="28">
        <v>43896</v>
      </c>
      <c r="Y23" s="28">
        <v>43896</v>
      </c>
      <c r="Z23" s="28">
        <v>43896</v>
      </c>
      <c r="AA23" s="28">
        <v>43896</v>
      </c>
      <c r="AB23" s="31" t="s">
        <v>160</v>
      </c>
      <c r="AC23" s="24">
        <v>100</v>
      </c>
      <c r="AD23" s="24">
        <v>100</v>
      </c>
      <c r="AE23" s="24">
        <v>75</v>
      </c>
      <c r="AF23" s="24" t="s">
        <v>215</v>
      </c>
      <c r="AG23" s="27" t="s">
        <v>76</v>
      </c>
    </row>
    <row r="24" spans="1:33" x14ac:dyDescent="0.25">
      <c r="B24" s="32">
        <f t="shared" si="0"/>
        <v>22</v>
      </c>
      <c r="C24" s="26">
        <v>20200306</v>
      </c>
      <c r="D24" s="26" t="s">
        <v>3</v>
      </c>
      <c r="E24" s="26" t="s">
        <v>202</v>
      </c>
      <c r="F24" s="47" t="s">
        <v>203</v>
      </c>
      <c r="G24" s="26">
        <v>1360296</v>
      </c>
      <c r="H24" s="26" t="s">
        <v>208</v>
      </c>
      <c r="I24" s="25" t="s">
        <v>197</v>
      </c>
      <c r="J24" s="54">
        <v>99478</v>
      </c>
      <c r="K24" s="24" t="s">
        <v>210</v>
      </c>
      <c r="L24" s="27" t="str">
        <f t="shared" si="2"/>
        <v>-</v>
      </c>
      <c r="M24" s="27" t="s">
        <v>369</v>
      </c>
      <c r="N24" s="26" t="s">
        <v>497</v>
      </c>
      <c r="O24" s="24" t="s">
        <v>86</v>
      </c>
      <c r="P24" s="24" t="s">
        <v>85</v>
      </c>
      <c r="Q24" s="24" t="s">
        <v>164</v>
      </c>
      <c r="R24" s="24">
        <v>33</v>
      </c>
      <c r="S24" s="24">
        <v>33</v>
      </c>
      <c r="T24" s="24">
        <f t="shared" si="1"/>
        <v>33</v>
      </c>
      <c r="U24" s="24">
        <f>ROUNDDOWN(S24/HLOOKUP(D24,Table!$C$3:$D$4,2,0)*8,2)</f>
        <v>0.57999999999999996</v>
      </c>
      <c r="V24" s="24">
        <v>1</v>
      </c>
      <c r="W24" s="24" t="s">
        <v>108</v>
      </c>
      <c r="X24" s="28">
        <v>43896</v>
      </c>
      <c r="Y24" s="28">
        <v>43896</v>
      </c>
      <c r="Z24" s="28">
        <v>43896</v>
      </c>
      <c r="AA24" s="28">
        <v>43896</v>
      </c>
      <c r="AB24" s="31" t="s">
        <v>161</v>
      </c>
      <c r="AC24" s="32">
        <v>100</v>
      </c>
      <c r="AD24" s="32">
        <v>100</v>
      </c>
      <c r="AE24" s="32">
        <v>100</v>
      </c>
      <c r="AF24" s="27" t="s">
        <v>76</v>
      </c>
      <c r="AG24" s="27" t="s">
        <v>76</v>
      </c>
    </row>
    <row r="25" spans="1:33" x14ac:dyDescent="0.25">
      <c r="B25" s="32">
        <f t="shared" si="0"/>
        <v>23</v>
      </c>
      <c r="C25" s="26">
        <v>20200306</v>
      </c>
      <c r="D25" s="26" t="s">
        <v>3</v>
      </c>
      <c r="E25" s="26" t="s">
        <v>202</v>
      </c>
      <c r="F25" s="47" t="s">
        <v>203</v>
      </c>
      <c r="G25" s="26">
        <v>1360296</v>
      </c>
      <c r="H25" s="26" t="s">
        <v>209</v>
      </c>
      <c r="I25" s="25" t="s">
        <v>197</v>
      </c>
      <c r="J25" s="54">
        <v>99478</v>
      </c>
      <c r="K25" s="24" t="s">
        <v>210</v>
      </c>
      <c r="L25" s="27" t="str">
        <f t="shared" si="2"/>
        <v>-</v>
      </c>
      <c r="M25" s="27" t="s">
        <v>369</v>
      </c>
      <c r="N25" s="26" t="s">
        <v>498</v>
      </c>
      <c r="O25" s="24" t="s">
        <v>87</v>
      </c>
      <c r="P25" s="24" t="s">
        <v>85</v>
      </c>
      <c r="Q25" s="24" t="s">
        <v>164</v>
      </c>
      <c r="R25" s="24">
        <v>212</v>
      </c>
      <c r="S25" s="24">
        <v>212</v>
      </c>
      <c r="T25" s="24">
        <f t="shared" si="1"/>
        <v>212</v>
      </c>
      <c r="U25" s="24">
        <f>ROUNDDOWN(S25/HLOOKUP(D25,Table!$C$3:$D$4,2,0)*8,2)</f>
        <v>3.76</v>
      </c>
      <c r="V25" s="24">
        <v>2</v>
      </c>
      <c r="W25" s="24" t="s">
        <v>108</v>
      </c>
      <c r="X25" s="28">
        <v>43896</v>
      </c>
      <c r="Y25" s="28">
        <v>43896</v>
      </c>
      <c r="Z25" s="28">
        <v>43896</v>
      </c>
      <c r="AA25" s="28">
        <v>43896</v>
      </c>
      <c r="AB25" s="31" t="s">
        <v>161</v>
      </c>
      <c r="AC25" s="24">
        <v>100</v>
      </c>
      <c r="AD25" s="24">
        <v>100</v>
      </c>
      <c r="AE25" s="24">
        <v>100</v>
      </c>
      <c r="AF25" s="27" t="s">
        <v>76</v>
      </c>
      <c r="AG25" s="27" t="s">
        <v>76</v>
      </c>
    </row>
    <row r="26" spans="1:33" x14ac:dyDescent="0.25">
      <c r="B26" s="32">
        <f t="shared" si="0"/>
        <v>24</v>
      </c>
      <c r="C26" s="26">
        <v>20200303</v>
      </c>
      <c r="D26" s="24" t="s">
        <v>2</v>
      </c>
      <c r="E26" s="27" t="s">
        <v>76</v>
      </c>
      <c r="F26" s="27" t="s">
        <v>76</v>
      </c>
      <c r="G26" s="24">
        <v>1353762</v>
      </c>
      <c r="H26" s="24" t="s">
        <v>199</v>
      </c>
      <c r="I26" s="24" t="s">
        <v>196</v>
      </c>
      <c r="J26" s="24" t="s">
        <v>76</v>
      </c>
      <c r="K26" s="24">
        <v>1353762</v>
      </c>
      <c r="L26" s="27" t="s">
        <v>103</v>
      </c>
      <c r="M26" s="27" t="s">
        <v>370</v>
      </c>
      <c r="N26" s="26" t="s">
        <v>499</v>
      </c>
      <c r="O26" s="24" t="s">
        <v>85</v>
      </c>
      <c r="P26" s="24"/>
      <c r="Q26" s="24"/>
      <c r="R26" s="24">
        <v>50</v>
      </c>
      <c r="S26" s="24">
        <v>50</v>
      </c>
      <c r="T26" s="24">
        <f t="shared" si="1"/>
        <v>50</v>
      </c>
      <c r="U26" s="24">
        <f>ROUNDDOWN(S26/HLOOKUP(D26,Table!$C$3:$D$4,2,0)*8,2)</f>
        <v>3.07</v>
      </c>
      <c r="V26" s="24">
        <v>6</v>
      </c>
      <c r="W26" s="24" t="s">
        <v>108</v>
      </c>
      <c r="X26" s="28">
        <v>43893</v>
      </c>
      <c r="Y26" s="28">
        <v>43896</v>
      </c>
      <c r="Z26" s="28">
        <v>43895</v>
      </c>
      <c r="AA26" s="28">
        <v>43896</v>
      </c>
      <c r="AB26" s="28" t="s">
        <v>161</v>
      </c>
      <c r="AC26" s="24">
        <v>100</v>
      </c>
      <c r="AD26" s="24">
        <v>100</v>
      </c>
      <c r="AE26" s="24">
        <v>100</v>
      </c>
      <c r="AF26" s="24" t="s">
        <v>213</v>
      </c>
      <c r="AG26" s="27" t="s">
        <v>76</v>
      </c>
    </row>
    <row r="27" spans="1:33" x14ac:dyDescent="0.25">
      <c r="B27" s="48">
        <f t="shared" si="0"/>
        <v>25</v>
      </c>
      <c r="C27" s="26">
        <v>20200303</v>
      </c>
      <c r="D27" s="24" t="s">
        <v>3</v>
      </c>
      <c r="E27" s="24" t="s">
        <v>112</v>
      </c>
      <c r="F27" s="27" t="s">
        <v>200</v>
      </c>
      <c r="G27" s="24">
        <v>1341660</v>
      </c>
      <c r="H27" s="26" t="s">
        <v>113</v>
      </c>
      <c r="I27" s="25" t="s">
        <v>197</v>
      </c>
      <c r="J27" s="24" t="s">
        <v>76</v>
      </c>
      <c r="K27" s="24" t="s">
        <v>163</v>
      </c>
      <c r="L27" s="27" t="str">
        <f t="shared" ref="L27:L58" si="3">IF(D27="ASW","PUT_VERSION","-")</f>
        <v>-</v>
      </c>
      <c r="M27" s="27" t="s">
        <v>371</v>
      </c>
      <c r="N27" s="26" t="s">
        <v>500</v>
      </c>
      <c r="O27" s="24" t="s">
        <v>85</v>
      </c>
      <c r="P27" s="24"/>
      <c r="Q27" s="24"/>
      <c r="R27" s="24">
        <v>77</v>
      </c>
      <c r="S27" s="24">
        <v>77</v>
      </c>
      <c r="T27" s="24">
        <f t="shared" si="1"/>
        <v>77</v>
      </c>
      <c r="U27" s="24">
        <f>ROUNDDOWN(S27/HLOOKUP(D27,Table!$C$3:$D$4,2,0)*8,2)</f>
        <v>1.36</v>
      </c>
      <c r="V27" s="24">
        <v>2.5</v>
      </c>
      <c r="W27" s="24" t="s">
        <v>108</v>
      </c>
      <c r="X27" s="28">
        <v>43893</v>
      </c>
      <c r="Y27" s="87">
        <v>43901</v>
      </c>
      <c r="Z27" s="28">
        <v>43900</v>
      </c>
      <c r="AA27" s="28">
        <v>43900</v>
      </c>
      <c r="AB27" s="28" t="s">
        <v>161</v>
      </c>
      <c r="AC27" s="24">
        <v>100</v>
      </c>
      <c r="AD27" s="24">
        <v>100</v>
      </c>
      <c r="AE27" s="24">
        <v>100</v>
      </c>
      <c r="AF27" s="27" t="s">
        <v>76</v>
      </c>
      <c r="AG27" s="27" t="s">
        <v>76</v>
      </c>
    </row>
    <row r="28" spans="1:33" x14ac:dyDescent="0.25">
      <c r="B28" s="48">
        <f t="shared" si="0"/>
        <v>26</v>
      </c>
      <c r="C28" s="26">
        <v>20200303</v>
      </c>
      <c r="D28" s="24" t="s">
        <v>3</v>
      </c>
      <c r="E28" s="24" t="s">
        <v>112</v>
      </c>
      <c r="F28" s="27" t="s">
        <v>200</v>
      </c>
      <c r="G28" s="24">
        <v>1341660</v>
      </c>
      <c r="H28" s="26" t="s">
        <v>114</v>
      </c>
      <c r="I28" s="25" t="s">
        <v>197</v>
      </c>
      <c r="J28" s="24" t="s">
        <v>76</v>
      </c>
      <c r="K28" s="24" t="s">
        <v>163</v>
      </c>
      <c r="L28" s="27" t="str">
        <f t="shared" si="3"/>
        <v>-</v>
      </c>
      <c r="M28" s="27" t="s">
        <v>371</v>
      </c>
      <c r="N28" s="26" t="s">
        <v>501</v>
      </c>
      <c r="O28" s="24" t="s">
        <v>85</v>
      </c>
      <c r="P28" s="24"/>
      <c r="Q28" s="24"/>
      <c r="R28" s="24">
        <v>44</v>
      </c>
      <c r="S28" s="24">
        <v>44</v>
      </c>
      <c r="T28" s="24">
        <f t="shared" si="1"/>
        <v>44</v>
      </c>
      <c r="U28" s="24">
        <f>ROUNDDOWN(S28/HLOOKUP(D28,Table!$C$3:$D$4,2,0)*8,2)</f>
        <v>0.78</v>
      </c>
      <c r="V28" s="24">
        <v>1</v>
      </c>
      <c r="W28" s="24" t="s">
        <v>108</v>
      </c>
      <c r="X28" s="28">
        <v>43893</v>
      </c>
      <c r="Y28" s="87">
        <v>43901</v>
      </c>
      <c r="Z28" s="28">
        <v>43901</v>
      </c>
      <c r="AA28" s="28">
        <v>43901</v>
      </c>
      <c r="AB28" s="28" t="s">
        <v>161</v>
      </c>
      <c r="AC28" s="24">
        <v>100</v>
      </c>
      <c r="AD28" s="24">
        <v>100</v>
      </c>
      <c r="AE28" s="24">
        <v>100</v>
      </c>
      <c r="AF28" s="27" t="s">
        <v>76</v>
      </c>
      <c r="AG28" s="27" t="s">
        <v>76</v>
      </c>
    </row>
    <row r="29" spans="1:33" x14ac:dyDescent="0.25">
      <c r="B29" s="48">
        <f t="shared" si="0"/>
        <v>27</v>
      </c>
      <c r="C29" s="26">
        <v>20200303</v>
      </c>
      <c r="D29" s="24" t="s">
        <v>3</v>
      </c>
      <c r="E29" s="24" t="s">
        <v>112</v>
      </c>
      <c r="F29" s="27" t="s">
        <v>200</v>
      </c>
      <c r="G29" s="24">
        <v>1341660</v>
      </c>
      <c r="H29" s="26" t="s">
        <v>115</v>
      </c>
      <c r="I29" s="25" t="s">
        <v>197</v>
      </c>
      <c r="J29" s="24" t="s">
        <v>76</v>
      </c>
      <c r="K29" s="24" t="s">
        <v>163</v>
      </c>
      <c r="L29" s="27" t="str">
        <f t="shared" si="3"/>
        <v>-</v>
      </c>
      <c r="M29" s="27" t="s">
        <v>371</v>
      </c>
      <c r="N29" s="26" t="s">
        <v>502</v>
      </c>
      <c r="O29" s="24" t="s">
        <v>85</v>
      </c>
      <c r="P29" s="24"/>
      <c r="Q29" s="24"/>
      <c r="R29" s="24">
        <v>210</v>
      </c>
      <c r="S29" s="24">
        <v>210</v>
      </c>
      <c r="T29" s="24">
        <f t="shared" si="1"/>
        <v>210</v>
      </c>
      <c r="U29" s="24">
        <f>ROUNDDOWN(S29/HLOOKUP(D29,Table!$C$3:$D$4,2,0)*8,2)</f>
        <v>3.73</v>
      </c>
      <c r="V29" s="24">
        <v>5</v>
      </c>
      <c r="W29" s="24" t="s">
        <v>108</v>
      </c>
      <c r="X29" s="28">
        <v>43893</v>
      </c>
      <c r="Y29" s="87">
        <v>43901</v>
      </c>
      <c r="Z29" s="28">
        <v>43899</v>
      </c>
      <c r="AA29" s="28">
        <v>43899</v>
      </c>
      <c r="AB29" s="28" t="s">
        <v>161</v>
      </c>
      <c r="AC29" s="24">
        <v>100</v>
      </c>
      <c r="AD29" s="24">
        <v>100</v>
      </c>
      <c r="AE29" s="24">
        <v>100</v>
      </c>
      <c r="AF29" s="24" t="s">
        <v>216</v>
      </c>
      <c r="AG29" s="27" t="s">
        <v>76</v>
      </c>
    </row>
    <row r="30" spans="1:33" x14ac:dyDescent="0.25">
      <c r="B30" s="48">
        <f t="shared" si="0"/>
        <v>28</v>
      </c>
      <c r="C30" s="26">
        <v>20200303</v>
      </c>
      <c r="D30" s="24" t="s">
        <v>3</v>
      </c>
      <c r="E30" s="24" t="s">
        <v>112</v>
      </c>
      <c r="F30" s="27" t="s">
        <v>198</v>
      </c>
      <c r="G30" s="24">
        <v>1341660</v>
      </c>
      <c r="H30" s="26" t="s">
        <v>116</v>
      </c>
      <c r="I30" s="25" t="s">
        <v>197</v>
      </c>
      <c r="J30" s="24" t="s">
        <v>76</v>
      </c>
      <c r="K30" s="24" t="s">
        <v>163</v>
      </c>
      <c r="L30" s="27" t="str">
        <f t="shared" si="3"/>
        <v>-</v>
      </c>
      <c r="M30" s="27" t="s">
        <v>371</v>
      </c>
      <c r="N30" s="26" t="s">
        <v>503</v>
      </c>
      <c r="O30" s="24" t="s">
        <v>85</v>
      </c>
      <c r="P30" s="24"/>
      <c r="Q30" s="24"/>
      <c r="R30" s="24">
        <v>622</v>
      </c>
      <c r="S30" s="24">
        <v>622</v>
      </c>
      <c r="T30" s="24">
        <f t="shared" si="1"/>
        <v>622</v>
      </c>
      <c r="U30" s="24">
        <f>ROUNDDOWN(S30/HLOOKUP(D30,Table!$C$3:$D$4,2,0)*8,2)</f>
        <v>11.05</v>
      </c>
      <c r="V30" s="24">
        <v>11</v>
      </c>
      <c r="W30" s="24" t="s">
        <v>108</v>
      </c>
      <c r="X30" s="28">
        <v>43893</v>
      </c>
      <c r="Y30" s="87">
        <v>43901</v>
      </c>
      <c r="Z30" s="28">
        <v>43899</v>
      </c>
      <c r="AA30" s="28">
        <v>43899</v>
      </c>
      <c r="AB30" s="28" t="s">
        <v>161</v>
      </c>
      <c r="AC30" s="24">
        <v>100</v>
      </c>
      <c r="AD30" s="24">
        <v>100</v>
      </c>
      <c r="AE30" s="24">
        <v>100</v>
      </c>
      <c r="AF30" s="27" t="s">
        <v>76</v>
      </c>
      <c r="AG30" s="27" t="s">
        <v>76</v>
      </c>
    </row>
    <row r="31" spans="1:33" x14ac:dyDescent="0.25">
      <c r="B31" s="48">
        <f t="shared" si="0"/>
        <v>29</v>
      </c>
      <c r="C31" s="26">
        <v>20200303</v>
      </c>
      <c r="D31" s="24" t="s">
        <v>3</v>
      </c>
      <c r="E31" s="24" t="s">
        <v>112</v>
      </c>
      <c r="F31" s="27" t="s">
        <v>198</v>
      </c>
      <c r="G31" s="24">
        <v>1341660</v>
      </c>
      <c r="H31" s="26" t="s">
        <v>795</v>
      </c>
      <c r="I31" s="25" t="s">
        <v>197</v>
      </c>
      <c r="J31" s="24" t="s">
        <v>76</v>
      </c>
      <c r="K31" s="24" t="s">
        <v>163</v>
      </c>
      <c r="L31" s="27" t="str">
        <f t="shared" si="3"/>
        <v>-</v>
      </c>
      <c r="M31" s="27" t="s">
        <v>371</v>
      </c>
      <c r="N31" s="26" t="s">
        <v>504</v>
      </c>
      <c r="O31" s="24" t="s">
        <v>88</v>
      </c>
      <c r="P31" s="24"/>
      <c r="Q31" s="24"/>
      <c r="R31" s="24">
        <v>97</v>
      </c>
      <c r="S31" s="24">
        <f t="shared" ref="S31:S34" si="4">R31</f>
        <v>97</v>
      </c>
      <c r="T31" s="24">
        <f t="shared" si="1"/>
        <v>97</v>
      </c>
      <c r="U31" s="24">
        <f>ROUNDDOWN(S31/HLOOKUP(D31,Table!$C$3:$D$4,2,0)*8,2)</f>
        <v>1.72</v>
      </c>
      <c r="V31" s="24">
        <v>1</v>
      </c>
      <c r="W31" s="24" t="s">
        <v>108</v>
      </c>
      <c r="X31" s="28">
        <v>43893</v>
      </c>
      <c r="Y31" s="87">
        <v>43901</v>
      </c>
      <c r="Z31" s="28">
        <v>43899</v>
      </c>
      <c r="AA31" s="28">
        <v>43899</v>
      </c>
      <c r="AB31" s="28" t="s">
        <v>161</v>
      </c>
      <c r="AC31" s="24">
        <v>100</v>
      </c>
      <c r="AD31" s="24">
        <v>100</v>
      </c>
      <c r="AE31" s="24">
        <v>100</v>
      </c>
      <c r="AF31" s="27" t="s">
        <v>76</v>
      </c>
      <c r="AG31" s="27" t="s">
        <v>76</v>
      </c>
    </row>
    <row r="32" spans="1:33" x14ac:dyDescent="0.25">
      <c r="B32" s="48">
        <f t="shared" si="0"/>
        <v>30</v>
      </c>
      <c r="C32" s="26">
        <v>20200303</v>
      </c>
      <c r="D32" s="24" t="s">
        <v>3</v>
      </c>
      <c r="E32" s="24" t="s">
        <v>112</v>
      </c>
      <c r="F32" s="27" t="s">
        <v>198</v>
      </c>
      <c r="G32" s="24">
        <v>1341660</v>
      </c>
      <c r="H32" s="26" t="s">
        <v>118</v>
      </c>
      <c r="I32" s="25" t="s">
        <v>197</v>
      </c>
      <c r="J32" s="24" t="s">
        <v>76</v>
      </c>
      <c r="K32" s="24" t="s">
        <v>163</v>
      </c>
      <c r="L32" s="27" t="str">
        <f t="shared" si="3"/>
        <v>-</v>
      </c>
      <c r="M32" s="27" t="s">
        <v>371</v>
      </c>
      <c r="N32" s="26" t="s">
        <v>505</v>
      </c>
      <c r="O32" s="24" t="s">
        <v>88</v>
      </c>
      <c r="P32" s="24"/>
      <c r="Q32" s="24"/>
      <c r="R32" s="24">
        <v>100</v>
      </c>
      <c r="S32" s="24">
        <f t="shared" si="4"/>
        <v>100</v>
      </c>
      <c r="T32" s="24">
        <f t="shared" si="1"/>
        <v>100</v>
      </c>
      <c r="U32" s="24">
        <f>ROUNDDOWN(S32/HLOOKUP(D32,Table!$C$3:$D$4,2,0)*8,2)</f>
        <v>1.77</v>
      </c>
      <c r="V32" s="24">
        <v>0.75</v>
      </c>
      <c r="W32" s="24" t="s">
        <v>108</v>
      </c>
      <c r="X32" s="28">
        <v>43893</v>
      </c>
      <c r="Y32" s="87">
        <v>43901</v>
      </c>
      <c r="Z32" s="28">
        <v>43899</v>
      </c>
      <c r="AA32" s="28">
        <v>43899</v>
      </c>
      <c r="AB32" s="28" t="s">
        <v>161</v>
      </c>
      <c r="AC32" s="24">
        <v>100</v>
      </c>
      <c r="AD32" s="24">
        <v>100</v>
      </c>
      <c r="AE32" s="24">
        <v>100</v>
      </c>
      <c r="AF32" s="27" t="s">
        <v>76</v>
      </c>
      <c r="AG32" s="27" t="s">
        <v>76</v>
      </c>
    </row>
    <row r="33" spans="2:33" x14ac:dyDescent="0.25">
      <c r="B33" s="48">
        <f t="shared" si="0"/>
        <v>31</v>
      </c>
      <c r="C33" s="26">
        <v>20200303</v>
      </c>
      <c r="D33" s="24" t="s">
        <v>3</v>
      </c>
      <c r="E33" s="24" t="s">
        <v>112</v>
      </c>
      <c r="F33" s="27" t="s">
        <v>198</v>
      </c>
      <c r="G33" s="24">
        <v>1341660</v>
      </c>
      <c r="H33" s="26" t="s">
        <v>119</v>
      </c>
      <c r="I33" s="25" t="s">
        <v>197</v>
      </c>
      <c r="J33" s="24" t="s">
        <v>76</v>
      </c>
      <c r="K33" s="24" t="s">
        <v>163</v>
      </c>
      <c r="L33" s="27" t="str">
        <f t="shared" si="3"/>
        <v>-</v>
      </c>
      <c r="M33" s="27" t="s">
        <v>371</v>
      </c>
      <c r="N33" s="26" t="s">
        <v>506</v>
      </c>
      <c r="O33" s="24" t="s">
        <v>88</v>
      </c>
      <c r="P33" s="24"/>
      <c r="Q33" s="24"/>
      <c r="R33" s="24">
        <v>8</v>
      </c>
      <c r="S33" s="24">
        <f t="shared" si="4"/>
        <v>8</v>
      </c>
      <c r="T33" s="24">
        <f t="shared" si="1"/>
        <v>8</v>
      </c>
      <c r="U33" s="24">
        <f>ROUNDDOWN(S33/HLOOKUP(D33,Table!$C$3:$D$4,2,0)*8,2)</f>
        <v>0.14000000000000001</v>
      </c>
      <c r="V33" s="24">
        <v>0.2</v>
      </c>
      <c r="W33" s="24" t="s">
        <v>108</v>
      </c>
      <c r="X33" s="28">
        <v>43893</v>
      </c>
      <c r="Y33" s="87">
        <v>43901</v>
      </c>
      <c r="Z33" s="28">
        <v>43899</v>
      </c>
      <c r="AA33" s="28">
        <v>43899</v>
      </c>
      <c r="AB33" s="28"/>
      <c r="AC33" s="27" t="s">
        <v>76</v>
      </c>
      <c r="AD33" s="27" t="s">
        <v>76</v>
      </c>
      <c r="AE33" s="27" t="s">
        <v>76</v>
      </c>
      <c r="AF33" s="24" t="s">
        <v>286</v>
      </c>
      <c r="AG33" s="27" t="s">
        <v>76</v>
      </c>
    </row>
    <row r="34" spans="2:33" x14ac:dyDescent="0.25">
      <c r="B34" s="48">
        <f t="shared" si="0"/>
        <v>32</v>
      </c>
      <c r="C34" s="26">
        <v>20200303</v>
      </c>
      <c r="D34" s="24" t="s">
        <v>3</v>
      </c>
      <c r="E34" s="24" t="s">
        <v>112</v>
      </c>
      <c r="F34" s="27" t="s">
        <v>198</v>
      </c>
      <c r="G34" s="24">
        <v>1341660</v>
      </c>
      <c r="H34" s="26" t="s">
        <v>120</v>
      </c>
      <c r="I34" s="25" t="s">
        <v>197</v>
      </c>
      <c r="J34" s="24" t="s">
        <v>76</v>
      </c>
      <c r="K34" s="24" t="s">
        <v>163</v>
      </c>
      <c r="L34" s="27" t="str">
        <f t="shared" si="3"/>
        <v>-</v>
      </c>
      <c r="M34" s="27" t="s">
        <v>371</v>
      </c>
      <c r="N34" s="26" t="s">
        <v>507</v>
      </c>
      <c r="O34" s="24" t="s">
        <v>88</v>
      </c>
      <c r="P34" s="24"/>
      <c r="Q34" s="24"/>
      <c r="R34" s="24">
        <v>148</v>
      </c>
      <c r="S34" s="24">
        <f t="shared" si="4"/>
        <v>148</v>
      </c>
      <c r="T34" s="24">
        <f t="shared" si="1"/>
        <v>148</v>
      </c>
      <c r="U34" s="24">
        <f>ROUNDDOWN(S34/HLOOKUP(D34,Table!$C$3:$D$4,2,0)*8,2)</f>
        <v>2.63</v>
      </c>
      <c r="V34" s="24">
        <v>1</v>
      </c>
      <c r="W34" s="24" t="s">
        <v>108</v>
      </c>
      <c r="X34" s="28">
        <v>43893</v>
      </c>
      <c r="Y34" s="87">
        <v>43901</v>
      </c>
      <c r="Z34" s="28">
        <v>43899</v>
      </c>
      <c r="AA34" s="28">
        <v>43899</v>
      </c>
      <c r="AB34" s="28" t="s">
        <v>161</v>
      </c>
      <c r="AC34" s="24">
        <v>100</v>
      </c>
      <c r="AD34" s="24">
        <v>100</v>
      </c>
      <c r="AE34" s="24">
        <v>100</v>
      </c>
      <c r="AF34" s="27" t="s">
        <v>76</v>
      </c>
      <c r="AG34" s="27" t="s">
        <v>76</v>
      </c>
    </row>
    <row r="35" spans="2:33" x14ac:dyDescent="0.25">
      <c r="B35" s="48">
        <f t="shared" si="0"/>
        <v>33</v>
      </c>
      <c r="C35" s="26">
        <v>20200303</v>
      </c>
      <c r="D35" s="24" t="s">
        <v>3</v>
      </c>
      <c r="E35" s="24" t="s">
        <v>112</v>
      </c>
      <c r="F35" s="27" t="s">
        <v>198</v>
      </c>
      <c r="G35" s="24">
        <v>1341660</v>
      </c>
      <c r="H35" s="26" t="s">
        <v>121</v>
      </c>
      <c r="I35" s="25" t="s">
        <v>197</v>
      </c>
      <c r="J35" s="24" t="s">
        <v>76</v>
      </c>
      <c r="K35" s="24" t="s">
        <v>163</v>
      </c>
      <c r="L35" s="27" t="str">
        <f t="shared" si="3"/>
        <v>-</v>
      </c>
      <c r="M35" s="27" t="s">
        <v>371</v>
      </c>
      <c r="N35" s="26" t="s">
        <v>508</v>
      </c>
      <c r="O35" s="24" t="s">
        <v>87</v>
      </c>
      <c r="P35" s="24"/>
      <c r="Q35" s="24"/>
      <c r="R35" s="24">
        <v>17</v>
      </c>
      <c r="S35" s="24">
        <v>17</v>
      </c>
      <c r="T35" s="24">
        <f t="shared" si="1"/>
        <v>17</v>
      </c>
      <c r="U35" s="24">
        <f>ROUNDDOWN(S35/HLOOKUP(D35,Table!$C$3:$D$4,2,0)*8,2)</f>
        <v>0.3</v>
      </c>
      <c r="V35" s="24">
        <v>0.5</v>
      </c>
      <c r="W35" s="24" t="s">
        <v>108</v>
      </c>
      <c r="X35" s="28">
        <v>43893</v>
      </c>
      <c r="Y35" s="87">
        <v>43901</v>
      </c>
      <c r="Z35" s="28">
        <v>43900</v>
      </c>
      <c r="AA35" s="28">
        <v>43900</v>
      </c>
      <c r="AB35" s="28" t="s">
        <v>161</v>
      </c>
      <c r="AC35" s="24">
        <v>100</v>
      </c>
      <c r="AD35" s="24">
        <v>100</v>
      </c>
      <c r="AE35" s="24">
        <v>100</v>
      </c>
      <c r="AF35" s="27" t="s">
        <v>76</v>
      </c>
      <c r="AG35" s="27" t="s">
        <v>76</v>
      </c>
    </row>
    <row r="36" spans="2:33" x14ac:dyDescent="0.25">
      <c r="B36" s="48">
        <f t="shared" ref="B36:B68" si="5">B35+1</f>
        <v>34</v>
      </c>
      <c r="C36" s="26">
        <v>20200303</v>
      </c>
      <c r="D36" s="24" t="s">
        <v>3</v>
      </c>
      <c r="E36" s="24" t="s">
        <v>112</v>
      </c>
      <c r="F36" s="27" t="s">
        <v>198</v>
      </c>
      <c r="G36" s="24">
        <v>1341660</v>
      </c>
      <c r="H36" s="26" t="s">
        <v>122</v>
      </c>
      <c r="I36" s="25" t="s">
        <v>197</v>
      </c>
      <c r="J36" s="24" t="s">
        <v>76</v>
      </c>
      <c r="K36" s="24" t="s">
        <v>163</v>
      </c>
      <c r="L36" s="27" t="str">
        <f t="shared" si="3"/>
        <v>-</v>
      </c>
      <c r="M36" s="27" t="s">
        <v>371</v>
      </c>
      <c r="N36" s="26" t="s">
        <v>509</v>
      </c>
      <c r="O36" s="24" t="s">
        <v>87</v>
      </c>
      <c r="P36" s="24"/>
      <c r="Q36" s="24"/>
      <c r="R36" s="24">
        <v>18</v>
      </c>
      <c r="S36" s="24">
        <v>18</v>
      </c>
      <c r="T36" s="24">
        <f t="shared" si="1"/>
        <v>18</v>
      </c>
      <c r="U36" s="24">
        <f>ROUNDDOWN(S36/HLOOKUP(D36,Table!$C$3:$D$4,2,0)*8,2)</f>
        <v>0.32</v>
      </c>
      <c r="V36" s="24">
        <v>0.5</v>
      </c>
      <c r="W36" s="24" t="s">
        <v>108</v>
      </c>
      <c r="X36" s="28">
        <v>43893</v>
      </c>
      <c r="Y36" s="87">
        <v>43901</v>
      </c>
      <c r="Z36" s="28">
        <v>43900</v>
      </c>
      <c r="AA36" s="28">
        <v>43900</v>
      </c>
      <c r="AB36" s="28" t="s">
        <v>161</v>
      </c>
      <c r="AC36" s="24">
        <v>100</v>
      </c>
      <c r="AD36" s="24">
        <v>100</v>
      </c>
      <c r="AE36" s="24">
        <v>100</v>
      </c>
      <c r="AF36" s="27" t="s">
        <v>76</v>
      </c>
      <c r="AG36" s="27" t="s">
        <v>76</v>
      </c>
    </row>
    <row r="37" spans="2:33" s="120" customFormat="1" x14ac:dyDescent="0.25">
      <c r="B37" s="48">
        <f t="shared" si="5"/>
        <v>35</v>
      </c>
      <c r="C37" s="26">
        <v>20200303</v>
      </c>
      <c r="D37" s="24" t="s">
        <v>3</v>
      </c>
      <c r="E37" s="24" t="s">
        <v>112</v>
      </c>
      <c r="F37" s="27" t="s">
        <v>198</v>
      </c>
      <c r="G37" s="24">
        <v>1341660</v>
      </c>
      <c r="H37" s="26" t="s">
        <v>123</v>
      </c>
      <c r="I37" s="25" t="s">
        <v>197</v>
      </c>
      <c r="J37" s="24" t="s">
        <v>76</v>
      </c>
      <c r="K37" s="24" t="s">
        <v>163</v>
      </c>
      <c r="L37" s="27" t="str">
        <f t="shared" si="3"/>
        <v>-</v>
      </c>
      <c r="M37" s="27" t="s">
        <v>371</v>
      </c>
      <c r="N37" s="26" t="s">
        <v>510</v>
      </c>
      <c r="O37" s="24" t="s">
        <v>86</v>
      </c>
      <c r="P37" s="24"/>
      <c r="Q37" s="24"/>
      <c r="R37" s="24">
        <v>129</v>
      </c>
      <c r="S37" s="24">
        <v>129</v>
      </c>
      <c r="T37" s="24">
        <f t="shared" si="1"/>
        <v>129</v>
      </c>
      <c r="U37" s="24">
        <f>ROUNDDOWN(S37/HLOOKUP(D37,Table!$C$3:$D$4,2,0)*8,2)</f>
        <v>2.29</v>
      </c>
      <c r="V37" s="24">
        <v>3</v>
      </c>
      <c r="W37" s="24" t="s">
        <v>108</v>
      </c>
      <c r="X37" s="28">
        <v>43893</v>
      </c>
      <c r="Y37" s="87">
        <v>43901</v>
      </c>
      <c r="Z37" s="28">
        <v>43895</v>
      </c>
      <c r="AA37" s="28">
        <v>43895</v>
      </c>
      <c r="AB37" s="28" t="s">
        <v>161</v>
      </c>
      <c r="AC37" s="24">
        <v>100</v>
      </c>
      <c r="AD37" s="24">
        <v>100</v>
      </c>
      <c r="AE37" s="24">
        <v>100</v>
      </c>
      <c r="AF37" s="27" t="s">
        <v>76</v>
      </c>
      <c r="AG37" s="27" t="s">
        <v>475</v>
      </c>
    </row>
    <row r="38" spans="2:33" s="120" customFormat="1" x14ac:dyDescent="0.25">
      <c r="B38" s="48">
        <f t="shared" si="5"/>
        <v>36</v>
      </c>
      <c r="C38" s="26">
        <v>20200303</v>
      </c>
      <c r="D38" s="24" t="s">
        <v>3</v>
      </c>
      <c r="E38" s="24" t="s">
        <v>112</v>
      </c>
      <c r="F38" s="27" t="s">
        <v>198</v>
      </c>
      <c r="G38" s="24">
        <v>1341660</v>
      </c>
      <c r="H38" s="26" t="s">
        <v>124</v>
      </c>
      <c r="I38" s="25" t="s">
        <v>197</v>
      </c>
      <c r="J38" s="24" t="s">
        <v>76</v>
      </c>
      <c r="K38" s="24" t="s">
        <v>163</v>
      </c>
      <c r="L38" s="27" t="str">
        <f t="shared" si="3"/>
        <v>-</v>
      </c>
      <c r="M38" s="27" t="s">
        <v>371</v>
      </c>
      <c r="N38" s="26" t="s">
        <v>511</v>
      </c>
      <c r="O38" s="24" t="s">
        <v>86</v>
      </c>
      <c r="P38" s="24"/>
      <c r="Q38" s="24"/>
      <c r="R38" s="24">
        <v>164</v>
      </c>
      <c r="S38" s="24">
        <v>196</v>
      </c>
      <c r="T38" s="24">
        <f t="shared" si="1"/>
        <v>196</v>
      </c>
      <c r="U38" s="24">
        <f>ROUNDDOWN(S38/HLOOKUP(D38,Table!$C$3:$D$4,2,0)*8,2)</f>
        <v>3.48</v>
      </c>
      <c r="V38" s="24">
        <v>4</v>
      </c>
      <c r="W38" s="24" t="s">
        <v>108</v>
      </c>
      <c r="X38" s="28">
        <v>43893</v>
      </c>
      <c r="Y38" s="87">
        <v>43901</v>
      </c>
      <c r="Z38" s="28">
        <v>43896</v>
      </c>
      <c r="AA38" s="28">
        <v>43896</v>
      </c>
      <c r="AB38" s="28" t="s">
        <v>161</v>
      </c>
      <c r="AC38" s="24">
        <v>100</v>
      </c>
      <c r="AD38" s="24">
        <v>100</v>
      </c>
      <c r="AE38" s="24">
        <v>100</v>
      </c>
      <c r="AF38" s="27" t="s">
        <v>76</v>
      </c>
      <c r="AG38" s="27" t="s">
        <v>475</v>
      </c>
    </row>
    <row r="39" spans="2:33" s="120" customFormat="1" x14ac:dyDescent="0.25">
      <c r="B39" s="48">
        <f t="shared" si="5"/>
        <v>37</v>
      </c>
      <c r="C39" s="26">
        <v>20200303</v>
      </c>
      <c r="D39" s="24" t="s">
        <v>3</v>
      </c>
      <c r="E39" s="24" t="s">
        <v>112</v>
      </c>
      <c r="F39" s="27" t="s">
        <v>198</v>
      </c>
      <c r="G39" s="24">
        <v>1341660</v>
      </c>
      <c r="H39" s="26" t="s">
        <v>125</v>
      </c>
      <c r="I39" s="25" t="s">
        <v>197</v>
      </c>
      <c r="J39" s="24" t="s">
        <v>76</v>
      </c>
      <c r="K39" s="24" t="s">
        <v>163</v>
      </c>
      <c r="L39" s="27" t="str">
        <f t="shared" si="3"/>
        <v>-</v>
      </c>
      <c r="M39" s="27" t="s">
        <v>371</v>
      </c>
      <c r="N39" s="26" t="s">
        <v>512</v>
      </c>
      <c r="O39" s="24" t="s">
        <v>86</v>
      </c>
      <c r="P39" s="24"/>
      <c r="Q39" s="24"/>
      <c r="R39" s="24">
        <v>104</v>
      </c>
      <c r="S39" s="24">
        <v>104</v>
      </c>
      <c r="T39" s="24">
        <f t="shared" si="1"/>
        <v>104</v>
      </c>
      <c r="U39" s="24">
        <f>ROUNDDOWN(S39/HLOOKUP(D39,Table!$C$3:$D$4,2,0)*8,2)</f>
        <v>1.84</v>
      </c>
      <c r="V39" s="24">
        <v>1</v>
      </c>
      <c r="W39" s="24" t="s">
        <v>108</v>
      </c>
      <c r="X39" s="28">
        <v>43893</v>
      </c>
      <c r="Y39" s="87">
        <v>43901</v>
      </c>
      <c r="Z39" s="28">
        <v>43896</v>
      </c>
      <c r="AA39" s="28">
        <v>43900</v>
      </c>
      <c r="AB39" s="28" t="s">
        <v>160</v>
      </c>
      <c r="AC39" s="24">
        <v>97</v>
      </c>
      <c r="AD39" s="24">
        <v>95</v>
      </c>
      <c r="AE39" s="24">
        <v>100</v>
      </c>
      <c r="AF39" s="24" t="s">
        <v>285</v>
      </c>
      <c r="AG39" s="27" t="s">
        <v>475</v>
      </c>
    </row>
    <row r="40" spans="2:33" s="120" customFormat="1" x14ac:dyDescent="0.25">
      <c r="B40" s="48">
        <f t="shared" si="5"/>
        <v>38</v>
      </c>
      <c r="C40" s="26">
        <v>20200303</v>
      </c>
      <c r="D40" s="24" t="s">
        <v>3</v>
      </c>
      <c r="E40" s="24" t="s">
        <v>112</v>
      </c>
      <c r="F40" s="27" t="s">
        <v>198</v>
      </c>
      <c r="G40" s="24">
        <v>1341660</v>
      </c>
      <c r="H40" s="26" t="s">
        <v>126</v>
      </c>
      <c r="I40" s="25" t="s">
        <v>197</v>
      </c>
      <c r="J40" s="24" t="s">
        <v>76</v>
      </c>
      <c r="K40" s="24" t="s">
        <v>163</v>
      </c>
      <c r="L40" s="27" t="str">
        <f t="shared" si="3"/>
        <v>-</v>
      </c>
      <c r="M40" s="27" t="s">
        <v>371</v>
      </c>
      <c r="N40" s="26" t="s">
        <v>513</v>
      </c>
      <c r="O40" s="24" t="s">
        <v>86</v>
      </c>
      <c r="P40" s="24"/>
      <c r="Q40" s="24"/>
      <c r="R40" s="24">
        <v>154</v>
      </c>
      <c r="S40" s="24">
        <v>154</v>
      </c>
      <c r="T40" s="24">
        <f t="shared" si="1"/>
        <v>154</v>
      </c>
      <c r="U40" s="24">
        <f>ROUNDDOWN(S40/HLOOKUP(D40,Table!$C$3:$D$4,2,0)*8,2)</f>
        <v>2.73</v>
      </c>
      <c r="V40" s="24">
        <v>2</v>
      </c>
      <c r="W40" s="24" t="s">
        <v>108</v>
      </c>
      <c r="X40" s="28">
        <v>43893</v>
      </c>
      <c r="Y40" s="87">
        <v>43901</v>
      </c>
      <c r="Z40" s="28">
        <v>43900</v>
      </c>
      <c r="AA40" s="28">
        <v>43900</v>
      </c>
      <c r="AB40" s="28" t="s">
        <v>160</v>
      </c>
      <c r="AC40" s="24">
        <v>98</v>
      </c>
      <c r="AD40" s="24">
        <v>96</v>
      </c>
      <c r="AE40" s="24">
        <v>100</v>
      </c>
      <c r="AF40" s="24" t="s">
        <v>285</v>
      </c>
      <c r="AG40" s="27" t="s">
        <v>475</v>
      </c>
    </row>
    <row r="41" spans="2:33" s="120" customFormat="1" x14ac:dyDescent="0.25">
      <c r="B41" s="48">
        <f t="shared" si="5"/>
        <v>39</v>
      </c>
      <c r="C41" s="26">
        <v>20200303</v>
      </c>
      <c r="D41" s="24" t="s">
        <v>3</v>
      </c>
      <c r="E41" s="24" t="s">
        <v>112</v>
      </c>
      <c r="F41" s="27" t="s">
        <v>198</v>
      </c>
      <c r="G41" s="24">
        <v>1341660</v>
      </c>
      <c r="H41" s="26" t="s">
        <v>127</v>
      </c>
      <c r="I41" s="25" t="s">
        <v>197</v>
      </c>
      <c r="J41" s="24" t="s">
        <v>76</v>
      </c>
      <c r="K41" s="24" t="s">
        <v>163</v>
      </c>
      <c r="L41" s="27" t="str">
        <f t="shared" si="3"/>
        <v>-</v>
      </c>
      <c r="M41" s="27" t="s">
        <v>371</v>
      </c>
      <c r="N41" s="26" t="s">
        <v>514</v>
      </c>
      <c r="O41" s="24" t="s">
        <v>86</v>
      </c>
      <c r="P41" s="24"/>
      <c r="Q41" s="24"/>
      <c r="R41" s="24">
        <v>167</v>
      </c>
      <c r="S41" s="24">
        <v>167</v>
      </c>
      <c r="T41" s="24">
        <f t="shared" si="1"/>
        <v>167</v>
      </c>
      <c r="U41" s="24">
        <f>ROUNDDOWN(S41/HLOOKUP(D41,Table!$C$3:$D$4,2,0)*8,2)</f>
        <v>2.96</v>
      </c>
      <c r="V41" s="24">
        <v>2</v>
      </c>
      <c r="W41" s="24" t="s">
        <v>108</v>
      </c>
      <c r="X41" s="28">
        <v>43893</v>
      </c>
      <c r="Y41" s="87">
        <v>43901</v>
      </c>
      <c r="Z41" s="28">
        <v>43900</v>
      </c>
      <c r="AA41" s="28">
        <v>43900</v>
      </c>
      <c r="AB41" s="28" t="s">
        <v>161</v>
      </c>
      <c r="AC41" s="24">
        <v>100</v>
      </c>
      <c r="AD41" s="24">
        <v>100</v>
      </c>
      <c r="AE41" s="24">
        <v>100</v>
      </c>
      <c r="AF41" s="24" t="s">
        <v>288</v>
      </c>
      <c r="AG41" s="27" t="s">
        <v>475</v>
      </c>
    </row>
    <row r="42" spans="2:33" x14ac:dyDescent="0.25">
      <c r="B42" s="48">
        <f t="shared" si="5"/>
        <v>40</v>
      </c>
      <c r="C42" s="26">
        <v>20200303</v>
      </c>
      <c r="D42" s="24" t="s">
        <v>3</v>
      </c>
      <c r="E42" s="24" t="s">
        <v>112</v>
      </c>
      <c r="F42" s="27" t="s">
        <v>198</v>
      </c>
      <c r="G42" s="24">
        <v>1341660</v>
      </c>
      <c r="H42" s="26" t="s">
        <v>128</v>
      </c>
      <c r="I42" s="25" t="s">
        <v>197</v>
      </c>
      <c r="J42" s="24" t="s">
        <v>76</v>
      </c>
      <c r="K42" s="24" t="s">
        <v>163</v>
      </c>
      <c r="L42" s="27" t="str">
        <f t="shared" si="3"/>
        <v>-</v>
      </c>
      <c r="M42" s="27" t="s">
        <v>371</v>
      </c>
      <c r="N42" s="26" t="s">
        <v>515</v>
      </c>
      <c r="O42" s="24" t="s">
        <v>86</v>
      </c>
      <c r="P42" s="24"/>
      <c r="Q42" s="24"/>
      <c r="R42" s="24">
        <v>147</v>
      </c>
      <c r="S42" s="54">
        <v>147</v>
      </c>
      <c r="T42" s="24">
        <f t="shared" si="1"/>
        <v>147</v>
      </c>
      <c r="U42" s="24">
        <f>ROUNDDOWN(S42/HLOOKUP(D42,Table!$C$3:$D$4,2,0)*8,2)</f>
        <v>2.61</v>
      </c>
      <c r="V42" s="24">
        <v>1</v>
      </c>
      <c r="W42" s="24" t="s">
        <v>108</v>
      </c>
      <c r="X42" s="28">
        <v>43893</v>
      </c>
      <c r="Y42" s="87">
        <v>43901</v>
      </c>
      <c r="Z42" s="28">
        <v>43900</v>
      </c>
      <c r="AA42" s="28">
        <v>43900</v>
      </c>
      <c r="AB42" s="28" t="s">
        <v>161</v>
      </c>
      <c r="AC42" s="52">
        <v>100</v>
      </c>
      <c r="AD42" s="52">
        <v>100</v>
      </c>
      <c r="AE42" s="52">
        <v>100</v>
      </c>
      <c r="AF42" s="24" t="s">
        <v>289</v>
      </c>
      <c r="AG42" s="27" t="s">
        <v>475</v>
      </c>
    </row>
    <row r="43" spans="2:33" x14ac:dyDescent="0.25">
      <c r="B43" s="48">
        <f t="shared" si="5"/>
        <v>41</v>
      </c>
      <c r="C43" s="26">
        <v>20200303</v>
      </c>
      <c r="D43" s="24" t="s">
        <v>3</v>
      </c>
      <c r="E43" s="24" t="s">
        <v>112</v>
      </c>
      <c r="F43" s="27" t="s">
        <v>198</v>
      </c>
      <c r="G43" s="24">
        <v>1341660</v>
      </c>
      <c r="H43" s="26" t="s">
        <v>129</v>
      </c>
      <c r="I43" s="25" t="s">
        <v>197</v>
      </c>
      <c r="J43" s="24" t="s">
        <v>76</v>
      </c>
      <c r="K43" s="24" t="s">
        <v>163</v>
      </c>
      <c r="L43" s="27" t="str">
        <f t="shared" si="3"/>
        <v>-</v>
      </c>
      <c r="M43" s="27" t="s">
        <v>371</v>
      </c>
      <c r="N43" s="26" t="s">
        <v>516</v>
      </c>
      <c r="O43" s="24" t="s">
        <v>86</v>
      </c>
      <c r="P43" s="24"/>
      <c r="Q43" s="24"/>
      <c r="R43" s="24">
        <v>254</v>
      </c>
      <c r="S43" s="54">
        <v>254</v>
      </c>
      <c r="T43" s="24">
        <f t="shared" si="1"/>
        <v>254</v>
      </c>
      <c r="U43" s="24">
        <f>ROUNDDOWN(S43/HLOOKUP(D43,Table!$C$3:$D$4,2,0)*8,2)</f>
        <v>4.51</v>
      </c>
      <c r="V43" s="24">
        <v>3</v>
      </c>
      <c r="W43" s="24" t="s">
        <v>108</v>
      </c>
      <c r="X43" s="28">
        <v>43893</v>
      </c>
      <c r="Y43" s="87">
        <v>43901</v>
      </c>
      <c r="Z43" s="28">
        <v>43900</v>
      </c>
      <c r="AA43" s="28">
        <v>43900</v>
      </c>
      <c r="AB43" s="28" t="s">
        <v>161</v>
      </c>
      <c r="AC43" s="52">
        <v>100</v>
      </c>
      <c r="AD43" s="52">
        <v>100</v>
      </c>
      <c r="AE43" s="52">
        <v>100</v>
      </c>
      <c r="AF43" s="24" t="s">
        <v>290</v>
      </c>
      <c r="AG43" s="27" t="s">
        <v>475</v>
      </c>
    </row>
    <row r="44" spans="2:33" x14ac:dyDescent="0.25">
      <c r="B44" s="48">
        <f t="shared" si="5"/>
        <v>42</v>
      </c>
      <c r="C44" s="26">
        <v>20200303</v>
      </c>
      <c r="D44" s="24" t="s">
        <v>3</v>
      </c>
      <c r="E44" s="24" t="s">
        <v>112</v>
      </c>
      <c r="F44" s="27" t="s">
        <v>198</v>
      </c>
      <c r="G44" s="24">
        <v>1341660</v>
      </c>
      <c r="H44" s="26" t="s">
        <v>130</v>
      </c>
      <c r="I44" s="25" t="s">
        <v>197</v>
      </c>
      <c r="J44" s="24" t="s">
        <v>76</v>
      </c>
      <c r="K44" s="24" t="s">
        <v>163</v>
      </c>
      <c r="L44" s="27" t="str">
        <f t="shared" si="3"/>
        <v>-</v>
      </c>
      <c r="M44" s="27" t="s">
        <v>371</v>
      </c>
      <c r="N44" s="26" t="s">
        <v>517</v>
      </c>
      <c r="O44" s="24" t="s">
        <v>88</v>
      </c>
      <c r="P44" s="24"/>
      <c r="Q44" s="24"/>
      <c r="R44" s="24">
        <v>193</v>
      </c>
      <c r="S44" s="54">
        <f t="shared" ref="S44:S47" si="6">R44</f>
        <v>193</v>
      </c>
      <c r="T44" s="24">
        <f t="shared" si="1"/>
        <v>193</v>
      </c>
      <c r="U44" s="24">
        <f>ROUNDDOWN(S44/HLOOKUP(D44,Table!$C$3:$D$4,2,0)*8,2)</f>
        <v>3.43</v>
      </c>
      <c r="V44" s="24">
        <v>3</v>
      </c>
      <c r="W44" s="24" t="s">
        <v>108</v>
      </c>
      <c r="X44" s="28">
        <v>43893</v>
      </c>
      <c r="Y44" s="87">
        <v>43901</v>
      </c>
      <c r="Z44" s="28">
        <v>43899</v>
      </c>
      <c r="AA44" s="28">
        <v>43899</v>
      </c>
      <c r="AB44" s="28" t="s">
        <v>160</v>
      </c>
      <c r="AC44" s="24">
        <v>100</v>
      </c>
      <c r="AD44" s="24">
        <v>100</v>
      </c>
      <c r="AE44" s="24">
        <v>91</v>
      </c>
      <c r="AF44" s="24" t="s">
        <v>215</v>
      </c>
      <c r="AG44" s="27" t="s">
        <v>76</v>
      </c>
    </row>
    <row r="45" spans="2:33" x14ac:dyDescent="0.25">
      <c r="B45" s="48">
        <f t="shared" si="5"/>
        <v>43</v>
      </c>
      <c r="C45" s="26">
        <v>20200303</v>
      </c>
      <c r="D45" s="24" t="s">
        <v>3</v>
      </c>
      <c r="E45" s="24" t="s">
        <v>112</v>
      </c>
      <c r="F45" s="27" t="s">
        <v>198</v>
      </c>
      <c r="G45" s="24">
        <v>1341660</v>
      </c>
      <c r="H45" s="24" t="s">
        <v>131</v>
      </c>
      <c r="I45" s="25" t="s">
        <v>197</v>
      </c>
      <c r="J45" s="24" t="s">
        <v>76</v>
      </c>
      <c r="K45" s="24" t="s">
        <v>163</v>
      </c>
      <c r="L45" s="27" t="str">
        <f t="shared" si="3"/>
        <v>-</v>
      </c>
      <c r="M45" s="27" t="s">
        <v>371</v>
      </c>
      <c r="N45" s="26" t="s">
        <v>518</v>
      </c>
      <c r="O45" s="24" t="s">
        <v>88</v>
      </c>
      <c r="P45" s="24"/>
      <c r="Q45" s="24"/>
      <c r="R45" s="24">
        <v>204</v>
      </c>
      <c r="S45" s="54">
        <f t="shared" si="6"/>
        <v>204</v>
      </c>
      <c r="T45" s="24">
        <f t="shared" si="1"/>
        <v>204</v>
      </c>
      <c r="U45" s="24">
        <f>ROUNDDOWN(S45/HLOOKUP(D45,Table!$C$3:$D$4,2,0)*8,2)</f>
        <v>3.62</v>
      </c>
      <c r="V45" s="24">
        <v>3.5</v>
      </c>
      <c r="W45" s="24" t="s">
        <v>108</v>
      </c>
      <c r="X45" s="28">
        <v>43893</v>
      </c>
      <c r="Y45" s="87">
        <v>43901</v>
      </c>
      <c r="Z45" s="28">
        <v>43900</v>
      </c>
      <c r="AA45" s="28">
        <v>43900</v>
      </c>
      <c r="AB45" s="28" t="s">
        <v>161</v>
      </c>
      <c r="AC45" s="24">
        <v>100</v>
      </c>
      <c r="AD45" s="24">
        <v>100</v>
      </c>
      <c r="AE45" s="24">
        <v>100</v>
      </c>
      <c r="AF45" s="27" t="s">
        <v>76</v>
      </c>
      <c r="AG45" s="27" t="s">
        <v>76</v>
      </c>
    </row>
    <row r="46" spans="2:33" x14ac:dyDescent="0.25">
      <c r="B46" s="48">
        <f t="shared" si="5"/>
        <v>44</v>
      </c>
      <c r="C46" s="26">
        <v>20200303</v>
      </c>
      <c r="D46" s="24" t="s">
        <v>3</v>
      </c>
      <c r="E46" s="24" t="s">
        <v>112</v>
      </c>
      <c r="F46" s="27" t="s">
        <v>198</v>
      </c>
      <c r="G46" s="24">
        <v>1341660</v>
      </c>
      <c r="H46" s="24" t="s">
        <v>132</v>
      </c>
      <c r="I46" s="25" t="s">
        <v>197</v>
      </c>
      <c r="J46" s="24" t="s">
        <v>76</v>
      </c>
      <c r="K46" s="24" t="s">
        <v>163</v>
      </c>
      <c r="L46" s="27" t="str">
        <f t="shared" si="3"/>
        <v>-</v>
      </c>
      <c r="M46" s="27" t="s">
        <v>371</v>
      </c>
      <c r="N46" s="26" t="s">
        <v>519</v>
      </c>
      <c r="O46" s="24" t="s">
        <v>88</v>
      </c>
      <c r="P46" s="24"/>
      <c r="Q46" s="24"/>
      <c r="R46" s="24">
        <v>194</v>
      </c>
      <c r="S46" s="54">
        <f t="shared" si="6"/>
        <v>194</v>
      </c>
      <c r="T46" s="24">
        <f t="shared" si="1"/>
        <v>194</v>
      </c>
      <c r="U46" s="24">
        <f>ROUNDDOWN(S46/HLOOKUP(D46,Table!$C$3:$D$4,2,0)*8,2)</f>
        <v>3.44</v>
      </c>
      <c r="V46" s="24">
        <v>1</v>
      </c>
      <c r="W46" s="24" t="s">
        <v>108</v>
      </c>
      <c r="X46" s="28">
        <v>43893</v>
      </c>
      <c r="Y46" s="87">
        <v>43901</v>
      </c>
      <c r="Z46" s="28">
        <v>43900</v>
      </c>
      <c r="AA46" s="28">
        <v>43900</v>
      </c>
      <c r="AB46" s="28" t="s">
        <v>161</v>
      </c>
      <c r="AC46" s="24">
        <v>100</v>
      </c>
      <c r="AD46" s="24">
        <v>100</v>
      </c>
      <c r="AE46" s="24">
        <v>100</v>
      </c>
      <c r="AF46" s="27" t="s">
        <v>76</v>
      </c>
      <c r="AG46" s="27" t="s">
        <v>76</v>
      </c>
    </row>
    <row r="47" spans="2:33" x14ac:dyDescent="0.25">
      <c r="B47" s="48">
        <f t="shared" si="5"/>
        <v>45</v>
      </c>
      <c r="C47" s="26">
        <v>20200303</v>
      </c>
      <c r="D47" s="24" t="s">
        <v>3</v>
      </c>
      <c r="E47" s="24" t="s">
        <v>112</v>
      </c>
      <c r="F47" s="27" t="s">
        <v>198</v>
      </c>
      <c r="G47" s="24">
        <v>1341660</v>
      </c>
      <c r="H47" s="24" t="s">
        <v>133</v>
      </c>
      <c r="I47" s="25" t="s">
        <v>197</v>
      </c>
      <c r="J47" s="24" t="s">
        <v>76</v>
      </c>
      <c r="K47" s="24" t="s">
        <v>163</v>
      </c>
      <c r="L47" s="27" t="str">
        <f t="shared" si="3"/>
        <v>-</v>
      </c>
      <c r="M47" s="27" t="s">
        <v>371</v>
      </c>
      <c r="N47" s="26" t="s">
        <v>520</v>
      </c>
      <c r="O47" s="24" t="s">
        <v>88</v>
      </c>
      <c r="P47" s="24"/>
      <c r="Q47" s="24"/>
      <c r="R47" s="24">
        <v>141</v>
      </c>
      <c r="S47" s="54">
        <f t="shared" si="6"/>
        <v>141</v>
      </c>
      <c r="T47" s="24">
        <f t="shared" si="1"/>
        <v>141</v>
      </c>
      <c r="U47" s="24">
        <f>ROUNDDOWN(S47/HLOOKUP(D47,Table!$C$3:$D$4,2,0)*8,2)</f>
        <v>2.5</v>
      </c>
      <c r="V47" s="24">
        <v>1</v>
      </c>
      <c r="W47" s="24" t="s">
        <v>108</v>
      </c>
      <c r="X47" s="28">
        <v>43893</v>
      </c>
      <c r="Y47" s="87">
        <v>43901</v>
      </c>
      <c r="Z47" s="28">
        <v>43900</v>
      </c>
      <c r="AA47" s="28">
        <v>43900</v>
      </c>
      <c r="AB47" s="28" t="s">
        <v>160</v>
      </c>
      <c r="AC47" s="24">
        <v>98</v>
      </c>
      <c r="AD47" s="24">
        <v>95</v>
      </c>
      <c r="AE47" s="24">
        <v>100</v>
      </c>
      <c r="AF47" s="42" t="s">
        <v>158</v>
      </c>
      <c r="AG47" s="27" t="s">
        <v>76</v>
      </c>
    </row>
    <row r="48" spans="2:33" x14ac:dyDescent="0.25">
      <c r="B48" s="48">
        <f t="shared" si="5"/>
        <v>46</v>
      </c>
      <c r="C48" s="26">
        <v>20200303</v>
      </c>
      <c r="D48" s="24" t="s">
        <v>3</v>
      </c>
      <c r="E48" s="24" t="s">
        <v>112</v>
      </c>
      <c r="F48" s="27" t="s">
        <v>198</v>
      </c>
      <c r="G48" s="24">
        <v>1341660</v>
      </c>
      <c r="H48" s="26" t="s">
        <v>134</v>
      </c>
      <c r="I48" s="25" t="s">
        <v>197</v>
      </c>
      <c r="J48" s="24" t="s">
        <v>76</v>
      </c>
      <c r="K48" s="24" t="s">
        <v>163</v>
      </c>
      <c r="L48" s="27" t="str">
        <f t="shared" si="3"/>
        <v>-</v>
      </c>
      <c r="M48" s="27" t="s">
        <v>371</v>
      </c>
      <c r="N48" s="26" t="s">
        <v>521</v>
      </c>
      <c r="O48" s="24" t="s">
        <v>87</v>
      </c>
      <c r="P48" s="24"/>
      <c r="Q48" s="24"/>
      <c r="R48" s="24">
        <v>190</v>
      </c>
      <c r="S48" s="54">
        <v>190</v>
      </c>
      <c r="T48" s="24">
        <f t="shared" si="1"/>
        <v>190</v>
      </c>
      <c r="U48" s="24">
        <f>ROUNDDOWN(S48/HLOOKUP(D48,Table!$C$3:$D$4,2,0)*8,2)</f>
        <v>3.37</v>
      </c>
      <c r="V48" s="24">
        <v>4</v>
      </c>
      <c r="W48" s="24" t="s">
        <v>108</v>
      </c>
      <c r="X48" s="28">
        <v>43893</v>
      </c>
      <c r="Y48" s="87">
        <v>43901</v>
      </c>
      <c r="Z48" s="28">
        <v>43899</v>
      </c>
      <c r="AA48" s="28">
        <v>43899</v>
      </c>
      <c r="AB48" s="28" t="s">
        <v>160</v>
      </c>
      <c r="AC48" s="24">
        <v>66</v>
      </c>
      <c r="AD48" s="24">
        <v>100</v>
      </c>
      <c r="AE48" s="24">
        <v>100</v>
      </c>
      <c r="AF48" s="24" t="s">
        <v>211</v>
      </c>
      <c r="AG48" s="27" t="s">
        <v>76</v>
      </c>
    </row>
    <row r="49" spans="2:33" x14ac:dyDescent="0.25">
      <c r="B49" s="48">
        <f t="shared" si="5"/>
        <v>47</v>
      </c>
      <c r="C49" s="26">
        <v>20200303</v>
      </c>
      <c r="D49" s="24" t="s">
        <v>3</v>
      </c>
      <c r="E49" s="24" t="s">
        <v>112</v>
      </c>
      <c r="F49" s="27" t="s">
        <v>198</v>
      </c>
      <c r="G49" s="24">
        <v>1341660</v>
      </c>
      <c r="H49" s="26" t="s">
        <v>135</v>
      </c>
      <c r="I49" s="25" t="s">
        <v>197</v>
      </c>
      <c r="J49" s="24" t="s">
        <v>76</v>
      </c>
      <c r="K49" s="24" t="s">
        <v>163</v>
      </c>
      <c r="L49" s="27" t="str">
        <f t="shared" si="3"/>
        <v>-</v>
      </c>
      <c r="M49" s="27" t="s">
        <v>371</v>
      </c>
      <c r="N49" s="26" t="s">
        <v>522</v>
      </c>
      <c r="O49" s="24" t="s">
        <v>87</v>
      </c>
      <c r="P49" s="24"/>
      <c r="Q49" s="24"/>
      <c r="R49" s="24">
        <v>107</v>
      </c>
      <c r="S49" s="54">
        <v>107</v>
      </c>
      <c r="T49" s="24">
        <f t="shared" si="1"/>
        <v>107</v>
      </c>
      <c r="U49" s="24">
        <f>ROUNDDOWN(S49/HLOOKUP(D49,Table!$C$3:$D$4,2,0)*8,2)</f>
        <v>1.9</v>
      </c>
      <c r="V49" s="24">
        <v>1</v>
      </c>
      <c r="W49" s="24" t="s">
        <v>108</v>
      </c>
      <c r="X49" s="28">
        <v>43893</v>
      </c>
      <c r="Y49" s="87">
        <v>43901</v>
      </c>
      <c r="Z49" s="28">
        <v>43899</v>
      </c>
      <c r="AA49" s="28">
        <v>43899</v>
      </c>
      <c r="AB49" s="28" t="s">
        <v>160</v>
      </c>
      <c r="AC49" s="24">
        <v>99</v>
      </c>
      <c r="AD49" s="24">
        <v>96</v>
      </c>
      <c r="AE49" s="24">
        <v>100</v>
      </c>
      <c r="AF49" s="24" t="s">
        <v>211</v>
      </c>
      <c r="AG49" s="27" t="s">
        <v>76</v>
      </c>
    </row>
    <row r="50" spans="2:33" x14ac:dyDescent="0.25">
      <c r="B50" s="48">
        <f t="shared" si="5"/>
        <v>48</v>
      </c>
      <c r="C50" s="26">
        <v>20200303</v>
      </c>
      <c r="D50" s="24" t="s">
        <v>3</v>
      </c>
      <c r="E50" s="24" t="s">
        <v>112</v>
      </c>
      <c r="F50" s="27" t="s">
        <v>198</v>
      </c>
      <c r="G50" s="24">
        <v>1341660</v>
      </c>
      <c r="H50" s="26" t="s">
        <v>136</v>
      </c>
      <c r="I50" s="25" t="s">
        <v>197</v>
      </c>
      <c r="J50" s="24" t="s">
        <v>76</v>
      </c>
      <c r="K50" s="24" t="s">
        <v>163</v>
      </c>
      <c r="L50" s="27" t="str">
        <f t="shared" si="3"/>
        <v>-</v>
      </c>
      <c r="M50" s="27" t="s">
        <v>371</v>
      </c>
      <c r="N50" s="26" t="s">
        <v>523</v>
      </c>
      <c r="O50" s="24" t="s">
        <v>87</v>
      </c>
      <c r="P50" s="24"/>
      <c r="Q50" s="24"/>
      <c r="R50" s="24">
        <v>269</v>
      </c>
      <c r="S50" s="54">
        <v>269</v>
      </c>
      <c r="T50" s="24">
        <f t="shared" si="1"/>
        <v>269</v>
      </c>
      <c r="U50" s="24">
        <f>ROUNDDOWN(S50/HLOOKUP(D50,Table!$C$3:$D$4,2,0)*8,2)</f>
        <v>4.78</v>
      </c>
      <c r="V50" s="24">
        <v>3</v>
      </c>
      <c r="W50" s="24" t="s">
        <v>108</v>
      </c>
      <c r="X50" s="28">
        <v>43893</v>
      </c>
      <c r="Y50" s="87">
        <v>43901</v>
      </c>
      <c r="Z50" s="28">
        <v>43899</v>
      </c>
      <c r="AA50" s="28">
        <v>43899</v>
      </c>
      <c r="AB50" s="28" t="s">
        <v>160</v>
      </c>
      <c r="AC50" s="24">
        <v>99</v>
      </c>
      <c r="AD50" s="24">
        <v>97</v>
      </c>
      <c r="AE50" s="24">
        <v>100</v>
      </c>
      <c r="AF50" s="24" t="s">
        <v>211</v>
      </c>
      <c r="AG50" s="27" t="s">
        <v>76</v>
      </c>
    </row>
    <row r="51" spans="2:33" x14ac:dyDescent="0.25">
      <c r="B51" s="48">
        <f t="shared" si="5"/>
        <v>49</v>
      </c>
      <c r="C51" s="26">
        <v>20200303</v>
      </c>
      <c r="D51" s="24" t="s">
        <v>3</v>
      </c>
      <c r="E51" s="24" t="s">
        <v>112</v>
      </c>
      <c r="F51" s="27" t="s">
        <v>198</v>
      </c>
      <c r="G51" s="24">
        <v>1341660</v>
      </c>
      <c r="H51" s="24" t="s">
        <v>137</v>
      </c>
      <c r="I51" s="25" t="s">
        <v>197</v>
      </c>
      <c r="J51" s="24" t="s">
        <v>76</v>
      </c>
      <c r="K51" s="24" t="s">
        <v>163</v>
      </c>
      <c r="L51" s="27" t="str">
        <f t="shared" si="3"/>
        <v>-</v>
      </c>
      <c r="M51" s="27" t="s">
        <v>371</v>
      </c>
      <c r="N51" s="26" t="s">
        <v>524</v>
      </c>
      <c r="O51" s="24" t="s">
        <v>88</v>
      </c>
      <c r="P51" s="24"/>
      <c r="Q51" s="24"/>
      <c r="R51" s="24">
        <v>70</v>
      </c>
      <c r="S51" s="54">
        <f>R51</f>
        <v>70</v>
      </c>
      <c r="T51" s="24">
        <f t="shared" si="1"/>
        <v>70</v>
      </c>
      <c r="U51" s="24">
        <f>ROUNDDOWN(S51/HLOOKUP(D51,Table!$C$3:$D$4,2,0)*8,2)</f>
        <v>1.24</v>
      </c>
      <c r="V51" s="24">
        <v>0.2</v>
      </c>
      <c r="W51" s="24" t="s">
        <v>108</v>
      </c>
      <c r="X51" s="28">
        <v>43893</v>
      </c>
      <c r="Y51" s="87">
        <v>43901</v>
      </c>
      <c r="Z51" s="28">
        <v>43900</v>
      </c>
      <c r="AA51" s="28">
        <v>43900</v>
      </c>
      <c r="AB51" s="28" t="s">
        <v>161</v>
      </c>
      <c r="AC51" s="24">
        <v>100</v>
      </c>
      <c r="AD51" s="24">
        <v>100</v>
      </c>
      <c r="AE51" s="24">
        <v>100</v>
      </c>
      <c r="AF51" s="27" t="s">
        <v>76</v>
      </c>
      <c r="AG51" s="27" t="s">
        <v>76</v>
      </c>
    </row>
    <row r="52" spans="2:33" x14ac:dyDescent="0.25">
      <c r="B52" s="48">
        <f t="shared" si="5"/>
        <v>50</v>
      </c>
      <c r="C52" s="26">
        <v>20200303</v>
      </c>
      <c r="D52" s="24" t="s">
        <v>3</v>
      </c>
      <c r="E52" s="24" t="s">
        <v>112</v>
      </c>
      <c r="F52" s="27" t="s">
        <v>201</v>
      </c>
      <c r="G52" s="24">
        <v>1341660</v>
      </c>
      <c r="H52" s="24" t="s">
        <v>138</v>
      </c>
      <c r="I52" s="25" t="s">
        <v>197</v>
      </c>
      <c r="J52" s="24" t="s">
        <v>76</v>
      </c>
      <c r="K52" s="24" t="s">
        <v>163</v>
      </c>
      <c r="L52" s="27" t="str">
        <f t="shared" si="3"/>
        <v>-</v>
      </c>
      <c r="M52" s="27" t="s">
        <v>371</v>
      </c>
      <c r="N52" s="26" t="s">
        <v>525</v>
      </c>
      <c r="O52" s="24" t="s">
        <v>87</v>
      </c>
      <c r="P52" s="24"/>
      <c r="Q52" s="24"/>
      <c r="R52" s="24">
        <v>204</v>
      </c>
      <c r="S52" s="24">
        <v>204</v>
      </c>
      <c r="T52" s="24">
        <f t="shared" si="1"/>
        <v>204</v>
      </c>
      <c r="U52" s="24">
        <f>ROUNDDOWN(S52/HLOOKUP(D52,Table!$C$3:$D$4,2,0)*8,2)</f>
        <v>3.62</v>
      </c>
      <c r="V52" s="24">
        <v>3</v>
      </c>
      <c r="W52" s="24" t="s">
        <v>108</v>
      </c>
      <c r="X52" s="28">
        <v>43893</v>
      </c>
      <c r="Y52" s="87">
        <v>43901</v>
      </c>
      <c r="Z52" s="28">
        <v>43895</v>
      </c>
      <c r="AA52" s="28">
        <v>43896</v>
      </c>
      <c r="AB52" s="28" t="s">
        <v>161</v>
      </c>
      <c r="AC52" s="24">
        <v>100</v>
      </c>
      <c r="AD52" s="24">
        <v>100</v>
      </c>
      <c r="AE52" s="24">
        <v>100</v>
      </c>
      <c r="AF52" s="27" t="s">
        <v>76</v>
      </c>
      <c r="AG52" s="27" t="s">
        <v>76</v>
      </c>
    </row>
    <row r="53" spans="2:33" x14ac:dyDescent="0.25">
      <c r="B53" s="48">
        <f t="shared" si="5"/>
        <v>51</v>
      </c>
      <c r="C53" s="26">
        <v>20200303</v>
      </c>
      <c r="D53" s="24" t="s">
        <v>3</v>
      </c>
      <c r="E53" s="24" t="s">
        <v>112</v>
      </c>
      <c r="F53" s="27" t="s">
        <v>201</v>
      </c>
      <c r="G53" s="24">
        <v>1341660</v>
      </c>
      <c r="H53" s="24" t="s">
        <v>139</v>
      </c>
      <c r="I53" s="25" t="s">
        <v>197</v>
      </c>
      <c r="J53" s="24" t="s">
        <v>76</v>
      </c>
      <c r="K53" s="24" t="s">
        <v>163</v>
      </c>
      <c r="L53" s="27" t="str">
        <f t="shared" si="3"/>
        <v>-</v>
      </c>
      <c r="M53" s="27" t="s">
        <v>371</v>
      </c>
      <c r="N53" s="26" t="s">
        <v>526</v>
      </c>
      <c r="O53" s="24" t="s">
        <v>87</v>
      </c>
      <c r="P53" s="24"/>
      <c r="Q53" s="24"/>
      <c r="R53" s="24">
        <v>185</v>
      </c>
      <c r="S53" s="24">
        <v>185</v>
      </c>
      <c r="T53" s="24">
        <f t="shared" si="1"/>
        <v>185</v>
      </c>
      <c r="U53" s="24">
        <f>ROUNDDOWN(S53/HLOOKUP(D53,Table!$C$3:$D$4,2,0)*8,2)</f>
        <v>3.28</v>
      </c>
      <c r="V53" s="24">
        <v>3</v>
      </c>
      <c r="W53" s="24" t="s">
        <v>108</v>
      </c>
      <c r="X53" s="28">
        <v>43893</v>
      </c>
      <c r="Y53" s="87">
        <v>43901</v>
      </c>
      <c r="Z53" s="28">
        <v>43895</v>
      </c>
      <c r="AA53" s="28">
        <v>43896</v>
      </c>
      <c r="AB53" s="28" t="s">
        <v>161</v>
      </c>
      <c r="AC53" s="24">
        <v>100</v>
      </c>
      <c r="AD53" s="24">
        <v>100</v>
      </c>
      <c r="AE53" s="24">
        <v>100</v>
      </c>
      <c r="AF53" s="27" t="s">
        <v>76</v>
      </c>
      <c r="AG53" s="27" t="s">
        <v>76</v>
      </c>
    </row>
    <row r="54" spans="2:33" x14ac:dyDescent="0.25">
      <c r="B54" s="48">
        <f t="shared" si="5"/>
        <v>52</v>
      </c>
      <c r="C54" s="26">
        <v>20200303</v>
      </c>
      <c r="D54" s="24" t="s">
        <v>3</v>
      </c>
      <c r="E54" s="24" t="s">
        <v>112</v>
      </c>
      <c r="F54" s="27" t="s">
        <v>201</v>
      </c>
      <c r="G54" s="24">
        <v>1341660</v>
      </c>
      <c r="H54" s="24" t="s">
        <v>140</v>
      </c>
      <c r="I54" s="25" t="s">
        <v>197</v>
      </c>
      <c r="J54" s="24" t="s">
        <v>76</v>
      </c>
      <c r="K54" s="24" t="s">
        <v>163</v>
      </c>
      <c r="L54" s="27" t="str">
        <f t="shared" si="3"/>
        <v>-</v>
      </c>
      <c r="M54" s="27" t="s">
        <v>371</v>
      </c>
      <c r="N54" s="26" t="s">
        <v>527</v>
      </c>
      <c r="O54" s="24" t="s">
        <v>85</v>
      </c>
      <c r="P54" s="24"/>
      <c r="Q54" s="24"/>
      <c r="R54" s="24">
        <v>68</v>
      </c>
      <c r="S54" s="24">
        <v>68</v>
      </c>
      <c r="T54" s="24">
        <f t="shared" si="1"/>
        <v>68</v>
      </c>
      <c r="U54" s="24">
        <f>ROUNDDOWN(S54/HLOOKUP(D54,Table!$C$3:$D$4,2,0)*8,2)</f>
        <v>1.2</v>
      </c>
      <c r="V54" s="24">
        <v>2</v>
      </c>
      <c r="W54" s="24" t="s">
        <v>108</v>
      </c>
      <c r="X54" s="28">
        <v>43893</v>
      </c>
      <c r="Y54" s="87">
        <v>43901</v>
      </c>
      <c r="Z54" s="28">
        <v>43901</v>
      </c>
      <c r="AA54" s="28">
        <v>43901</v>
      </c>
      <c r="AB54" s="28" t="s">
        <v>161</v>
      </c>
      <c r="AC54" s="24">
        <v>100</v>
      </c>
      <c r="AD54" s="24">
        <v>100</v>
      </c>
      <c r="AE54" s="24">
        <v>100</v>
      </c>
      <c r="AF54" s="27" t="s">
        <v>76</v>
      </c>
      <c r="AG54" s="27" t="s">
        <v>76</v>
      </c>
    </row>
    <row r="55" spans="2:33" x14ac:dyDescent="0.25">
      <c r="B55" s="48">
        <f t="shared" si="5"/>
        <v>53</v>
      </c>
      <c r="C55" s="26">
        <v>20200303</v>
      </c>
      <c r="D55" s="24" t="s">
        <v>3</v>
      </c>
      <c r="E55" s="24" t="s">
        <v>112</v>
      </c>
      <c r="F55" s="27" t="s">
        <v>201</v>
      </c>
      <c r="G55" s="24">
        <v>1341660</v>
      </c>
      <c r="H55" s="24" t="s">
        <v>141</v>
      </c>
      <c r="I55" s="25" t="s">
        <v>197</v>
      </c>
      <c r="J55" s="24" t="s">
        <v>76</v>
      </c>
      <c r="K55" s="24" t="s">
        <v>163</v>
      </c>
      <c r="L55" s="27" t="str">
        <f t="shared" si="3"/>
        <v>-</v>
      </c>
      <c r="M55" s="27" t="s">
        <v>371</v>
      </c>
      <c r="N55" s="26" t="s">
        <v>528</v>
      </c>
      <c r="O55" s="24" t="s">
        <v>85</v>
      </c>
      <c r="P55" s="24"/>
      <c r="Q55" s="24"/>
      <c r="R55" s="24">
        <v>150</v>
      </c>
      <c r="S55" s="24">
        <v>150</v>
      </c>
      <c r="T55" s="24">
        <f t="shared" si="1"/>
        <v>150</v>
      </c>
      <c r="U55" s="24">
        <f>ROUNDDOWN(S55/HLOOKUP(D55,Table!$C$3:$D$4,2,0)*8,2)</f>
        <v>2.66</v>
      </c>
      <c r="V55" s="24">
        <v>4</v>
      </c>
      <c r="W55" s="24" t="s">
        <v>108</v>
      </c>
      <c r="X55" s="28">
        <v>43893</v>
      </c>
      <c r="Y55" s="87">
        <v>43901</v>
      </c>
      <c r="Z55" s="28">
        <v>43901</v>
      </c>
      <c r="AA55" s="28">
        <v>43901</v>
      </c>
      <c r="AB55" s="28" t="s">
        <v>161</v>
      </c>
      <c r="AC55" s="24">
        <v>100</v>
      </c>
      <c r="AD55" s="24">
        <v>100</v>
      </c>
      <c r="AE55" s="24">
        <v>100</v>
      </c>
      <c r="AF55" s="27" t="s">
        <v>76</v>
      </c>
      <c r="AG55" s="27" t="s">
        <v>76</v>
      </c>
    </row>
    <row r="56" spans="2:33" x14ac:dyDescent="0.25">
      <c r="B56" s="48">
        <f t="shared" si="5"/>
        <v>54</v>
      </c>
      <c r="C56" s="26">
        <v>20200303</v>
      </c>
      <c r="D56" s="24" t="s">
        <v>3</v>
      </c>
      <c r="E56" s="24" t="s">
        <v>112</v>
      </c>
      <c r="F56" s="27" t="s">
        <v>201</v>
      </c>
      <c r="G56" s="24">
        <v>1341660</v>
      </c>
      <c r="H56" s="24" t="s">
        <v>142</v>
      </c>
      <c r="I56" s="25" t="s">
        <v>197</v>
      </c>
      <c r="J56" s="24" t="s">
        <v>76</v>
      </c>
      <c r="K56" s="24" t="s">
        <v>163</v>
      </c>
      <c r="L56" s="27" t="str">
        <f t="shared" si="3"/>
        <v>-</v>
      </c>
      <c r="M56" s="27" t="s">
        <v>371</v>
      </c>
      <c r="N56" s="26" t="s">
        <v>529</v>
      </c>
      <c r="O56" s="24" t="s">
        <v>87</v>
      </c>
      <c r="P56" s="24"/>
      <c r="Q56" s="24"/>
      <c r="R56" s="24">
        <v>25</v>
      </c>
      <c r="S56" s="24">
        <v>25</v>
      </c>
      <c r="T56" s="24">
        <f t="shared" si="1"/>
        <v>25</v>
      </c>
      <c r="U56" s="24">
        <f>ROUNDDOWN(S56/HLOOKUP(D56,Table!$C$3:$D$4,2,0)*8,2)</f>
        <v>0.44</v>
      </c>
      <c r="V56" s="24">
        <v>0.2</v>
      </c>
      <c r="W56" s="24" t="s">
        <v>108</v>
      </c>
      <c r="X56" s="28">
        <v>43893</v>
      </c>
      <c r="Y56" s="87">
        <v>43901</v>
      </c>
      <c r="Z56" s="28">
        <v>43901</v>
      </c>
      <c r="AA56" s="28">
        <v>43901</v>
      </c>
      <c r="AB56" s="28" t="s">
        <v>161</v>
      </c>
      <c r="AC56" s="24">
        <v>100</v>
      </c>
      <c r="AD56" s="24">
        <v>100</v>
      </c>
      <c r="AE56" s="24">
        <v>100</v>
      </c>
      <c r="AF56" s="27" t="s">
        <v>76</v>
      </c>
      <c r="AG56" s="27" t="s">
        <v>76</v>
      </c>
    </row>
    <row r="57" spans="2:33" x14ac:dyDescent="0.25">
      <c r="B57" s="48">
        <f t="shared" si="5"/>
        <v>55</v>
      </c>
      <c r="C57" s="26">
        <v>20200303</v>
      </c>
      <c r="D57" s="24" t="s">
        <v>3</v>
      </c>
      <c r="E57" s="24" t="s">
        <v>112</v>
      </c>
      <c r="F57" s="27" t="s">
        <v>194</v>
      </c>
      <c r="G57" s="24">
        <v>1341660</v>
      </c>
      <c r="H57" s="24" t="s">
        <v>78</v>
      </c>
      <c r="I57" s="25" t="s">
        <v>197</v>
      </c>
      <c r="J57" s="24" t="s">
        <v>76</v>
      </c>
      <c r="K57" s="24" t="s">
        <v>163</v>
      </c>
      <c r="L57" s="27" t="str">
        <f t="shared" si="3"/>
        <v>-</v>
      </c>
      <c r="M57" s="27" t="s">
        <v>371</v>
      </c>
      <c r="N57" s="26" t="s">
        <v>530</v>
      </c>
      <c r="O57" s="24" t="s">
        <v>88</v>
      </c>
      <c r="P57" s="24"/>
      <c r="Q57" s="24"/>
      <c r="R57" s="24">
        <v>487</v>
      </c>
      <c r="S57" s="24">
        <f>R57</f>
        <v>487</v>
      </c>
      <c r="T57" s="24">
        <f t="shared" si="1"/>
        <v>487</v>
      </c>
      <c r="U57" s="24">
        <f>ROUNDDOWN(S57/HLOOKUP(D57,Table!$C$3:$D$4,2,0)*8,2)</f>
        <v>8.65</v>
      </c>
      <c r="V57" s="24">
        <v>2.4</v>
      </c>
      <c r="W57" s="24" t="s">
        <v>108</v>
      </c>
      <c r="X57" s="28">
        <v>43893</v>
      </c>
      <c r="Y57" s="87">
        <v>43901</v>
      </c>
      <c r="Z57" s="28">
        <v>43899</v>
      </c>
      <c r="AA57" s="28">
        <v>43899</v>
      </c>
      <c r="AB57" s="28" t="s">
        <v>161</v>
      </c>
      <c r="AC57" s="24">
        <v>100</v>
      </c>
      <c r="AD57" s="24">
        <v>100</v>
      </c>
      <c r="AE57" s="24">
        <v>100</v>
      </c>
      <c r="AF57" s="27" t="s">
        <v>76</v>
      </c>
      <c r="AG57" s="27" t="s">
        <v>76</v>
      </c>
    </row>
    <row r="58" spans="2:33" x14ac:dyDescent="0.25">
      <c r="B58" s="48">
        <f t="shared" si="5"/>
        <v>56</v>
      </c>
      <c r="C58" s="26">
        <v>20200303</v>
      </c>
      <c r="D58" s="24" t="s">
        <v>3</v>
      </c>
      <c r="E58" s="24" t="s">
        <v>112</v>
      </c>
      <c r="F58" s="27" t="s">
        <v>194</v>
      </c>
      <c r="G58" s="24">
        <v>1341660</v>
      </c>
      <c r="H58" s="24" t="s">
        <v>143</v>
      </c>
      <c r="I58" s="25" t="s">
        <v>197</v>
      </c>
      <c r="J58" s="24" t="s">
        <v>76</v>
      </c>
      <c r="K58" s="24" t="s">
        <v>163</v>
      </c>
      <c r="L58" s="27" t="str">
        <f t="shared" si="3"/>
        <v>-</v>
      </c>
      <c r="M58" s="27" t="s">
        <v>371</v>
      </c>
      <c r="N58" s="26" t="s">
        <v>531</v>
      </c>
      <c r="O58" s="24" t="s">
        <v>87</v>
      </c>
      <c r="P58" s="24"/>
      <c r="Q58" s="24"/>
      <c r="R58" s="24">
        <v>110</v>
      </c>
      <c r="S58" s="24">
        <v>110</v>
      </c>
      <c r="T58" s="24">
        <f t="shared" si="1"/>
        <v>110</v>
      </c>
      <c r="U58" s="24">
        <f>ROUNDDOWN(S58/HLOOKUP(D58,Table!$C$3:$D$4,2,0)*8,2)</f>
        <v>1.95</v>
      </c>
      <c r="V58" s="24">
        <v>2</v>
      </c>
      <c r="W58" s="24" t="s">
        <v>108</v>
      </c>
      <c r="X58" s="28">
        <v>43893</v>
      </c>
      <c r="Y58" s="87">
        <v>43901</v>
      </c>
      <c r="Z58" s="28">
        <v>43895</v>
      </c>
      <c r="AA58" s="28">
        <v>43895</v>
      </c>
      <c r="AB58" s="28" t="s">
        <v>161</v>
      </c>
      <c r="AC58" s="24">
        <v>100</v>
      </c>
      <c r="AD58" s="24">
        <v>100</v>
      </c>
      <c r="AE58" s="24">
        <v>100</v>
      </c>
      <c r="AF58" s="27" t="s">
        <v>76</v>
      </c>
      <c r="AG58" s="27" t="s">
        <v>76</v>
      </c>
    </row>
    <row r="59" spans="2:33" x14ac:dyDescent="0.25">
      <c r="B59" s="48">
        <f t="shared" si="5"/>
        <v>57</v>
      </c>
      <c r="C59" s="26">
        <v>20200303</v>
      </c>
      <c r="D59" s="24" t="s">
        <v>3</v>
      </c>
      <c r="E59" s="24" t="s">
        <v>112</v>
      </c>
      <c r="F59" s="27" t="s">
        <v>194</v>
      </c>
      <c r="G59" s="24">
        <v>1341660</v>
      </c>
      <c r="H59" s="24" t="s">
        <v>144</v>
      </c>
      <c r="I59" s="25" t="s">
        <v>197</v>
      </c>
      <c r="J59" s="24" t="s">
        <v>76</v>
      </c>
      <c r="K59" s="24" t="s">
        <v>163</v>
      </c>
      <c r="L59" s="27" t="str">
        <f t="shared" ref="L59:L90" si="7">IF(D59="ASW","PUT_VERSION","-")</f>
        <v>-</v>
      </c>
      <c r="M59" s="27" t="s">
        <v>371</v>
      </c>
      <c r="N59" s="26" t="s">
        <v>532</v>
      </c>
      <c r="O59" s="24" t="s">
        <v>88</v>
      </c>
      <c r="P59" s="24"/>
      <c r="Q59" s="24"/>
      <c r="R59" s="24">
        <v>167</v>
      </c>
      <c r="S59" s="24">
        <f>R59</f>
        <v>167</v>
      </c>
      <c r="T59" s="24">
        <f t="shared" si="1"/>
        <v>167</v>
      </c>
      <c r="U59" s="24">
        <f>ROUNDDOWN(S59/HLOOKUP(D59,Table!$C$3:$D$4,2,0)*8,2)</f>
        <v>2.96</v>
      </c>
      <c r="V59" s="24">
        <v>2</v>
      </c>
      <c r="W59" s="24" t="s">
        <v>108</v>
      </c>
      <c r="X59" s="28">
        <v>43893</v>
      </c>
      <c r="Y59" s="87">
        <v>43901</v>
      </c>
      <c r="Z59" s="28">
        <v>43899</v>
      </c>
      <c r="AA59" s="28">
        <v>43899</v>
      </c>
      <c r="AB59" s="28" t="s">
        <v>161</v>
      </c>
      <c r="AC59" s="24">
        <v>100</v>
      </c>
      <c r="AD59" s="24">
        <v>100</v>
      </c>
      <c r="AE59" s="24">
        <v>100</v>
      </c>
      <c r="AF59" s="27" t="s">
        <v>76</v>
      </c>
      <c r="AG59" s="27" t="s">
        <v>76</v>
      </c>
    </row>
    <row r="60" spans="2:33" x14ac:dyDescent="0.25">
      <c r="B60" s="48">
        <f t="shared" si="5"/>
        <v>58</v>
      </c>
      <c r="C60" s="26">
        <v>20200303</v>
      </c>
      <c r="D60" s="24" t="s">
        <v>3</v>
      </c>
      <c r="E60" s="24" t="s">
        <v>112</v>
      </c>
      <c r="F60" s="27" t="s">
        <v>194</v>
      </c>
      <c r="G60" s="24">
        <v>1341660</v>
      </c>
      <c r="H60" s="24" t="s">
        <v>145</v>
      </c>
      <c r="I60" s="25" t="s">
        <v>197</v>
      </c>
      <c r="J60" s="24" t="s">
        <v>76</v>
      </c>
      <c r="K60" s="24" t="s">
        <v>163</v>
      </c>
      <c r="L60" s="27" t="str">
        <f t="shared" si="7"/>
        <v>-</v>
      </c>
      <c r="M60" s="27" t="s">
        <v>371</v>
      </c>
      <c r="N60" s="26" t="s">
        <v>533</v>
      </c>
      <c r="O60" s="24" t="s">
        <v>87</v>
      </c>
      <c r="P60" s="24"/>
      <c r="Q60" s="24"/>
      <c r="R60" s="24">
        <v>42</v>
      </c>
      <c r="S60" s="24">
        <v>42</v>
      </c>
      <c r="T60" s="24">
        <f t="shared" si="1"/>
        <v>42</v>
      </c>
      <c r="U60" s="24">
        <f>ROUNDDOWN(S60/HLOOKUP(D60,Table!$C$3:$D$4,2,0)*8,2)</f>
        <v>0.74</v>
      </c>
      <c r="V60" s="24">
        <v>0.5</v>
      </c>
      <c r="W60" s="24" t="s">
        <v>108</v>
      </c>
      <c r="X60" s="28">
        <v>43893</v>
      </c>
      <c r="Y60" s="87">
        <v>43901</v>
      </c>
      <c r="Z60" s="28">
        <v>43901</v>
      </c>
      <c r="AA60" s="28">
        <v>43901</v>
      </c>
      <c r="AB60" s="28" t="s">
        <v>161</v>
      </c>
      <c r="AC60" s="24">
        <v>100</v>
      </c>
      <c r="AD60" s="24">
        <v>100</v>
      </c>
      <c r="AE60" s="24">
        <v>100</v>
      </c>
      <c r="AF60" s="27" t="s">
        <v>76</v>
      </c>
      <c r="AG60" s="27" t="s">
        <v>76</v>
      </c>
    </row>
    <row r="61" spans="2:33" x14ac:dyDescent="0.25">
      <c r="B61" s="48">
        <f t="shared" si="5"/>
        <v>59</v>
      </c>
      <c r="C61" s="24">
        <v>20200303</v>
      </c>
      <c r="D61" s="24" t="s">
        <v>3</v>
      </c>
      <c r="E61" s="24" t="s">
        <v>112</v>
      </c>
      <c r="F61" s="27" t="s">
        <v>194</v>
      </c>
      <c r="G61" s="24">
        <v>1341660</v>
      </c>
      <c r="H61" s="24" t="s">
        <v>146</v>
      </c>
      <c r="I61" s="25" t="s">
        <v>197</v>
      </c>
      <c r="J61" s="24" t="s">
        <v>76</v>
      </c>
      <c r="K61" s="24" t="s">
        <v>163</v>
      </c>
      <c r="L61" s="27" t="str">
        <f t="shared" si="7"/>
        <v>-</v>
      </c>
      <c r="M61" s="27" t="s">
        <v>371</v>
      </c>
      <c r="N61" s="26" t="s">
        <v>534</v>
      </c>
      <c r="O61" s="24" t="s">
        <v>87</v>
      </c>
      <c r="P61" s="24"/>
      <c r="Q61" s="24"/>
      <c r="R61" s="24">
        <v>40</v>
      </c>
      <c r="S61" s="24">
        <v>40</v>
      </c>
      <c r="T61" s="24">
        <f t="shared" si="1"/>
        <v>40</v>
      </c>
      <c r="U61" s="24">
        <f>ROUNDDOWN(S61/HLOOKUP(D61,Table!$C$3:$D$4,2,0)*8,2)</f>
        <v>0.71</v>
      </c>
      <c r="V61" s="24">
        <v>0.5</v>
      </c>
      <c r="W61" s="24" t="s">
        <v>108</v>
      </c>
      <c r="X61" s="28">
        <v>43893</v>
      </c>
      <c r="Y61" s="87">
        <v>43901</v>
      </c>
      <c r="Z61" s="28">
        <v>43901</v>
      </c>
      <c r="AA61" s="28">
        <v>43901</v>
      </c>
      <c r="AB61" s="28" t="s">
        <v>161</v>
      </c>
      <c r="AC61" s="24">
        <v>100</v>
      </c>
      <c r="AD61" s="24">
        <v>100</v>
      </c>
      <c r="AE61" s="24">
        <v>100</v>
      </c>
      <c r="AF61" s="27" t="s">
        <v>76</v>
      </c>
      <c r="AG61" s="27" t="s">
        <v>76</v>
      </c>
    </row>
    <row r="62" spans="2:33" s="46" customFormat="1" x14ac:dyDescent="0.25">
      <c r="B62" s="62">
        <f t="shared" si="5"/>
        <v>60</v>
      </c>
      <c r="C62" s="63">
        <v>20200303</v>
      </c>
      <c r="D62" s="63" t="s">
        <v>3</v>
      </c>
      <c r="E62" s="63" t="s">
        <v>112</v>
      </c>
      <c r="F62" s="64" t="s">
        <v>149</v>
      </c>
      <c r="G62" s="64">
        <v>1341660</v>
      </c>
      <c r="H62" s="64" t="s">
        <v>147</v>
      </c>
      <c r="I62" s="64" t="s">
        <v>197</v>
      </c>
      <c r="J62" s="64" t="s">
        <v>76</v>
      </c>
      <c r="K62" s="63" t="s">
        <v>163</v>
      </c>
      <c r="L62" s="64" t="str">
        <f t="shared" si="7"/>
        <v>-</v>
      </c>
      <c r="M62" s="64" t="s">
        <v>371</v>
      </c>
      <c r="N62" s="26" t="s">
        <v>535</v>
      </c>
      <c r="O62" s="63" t="s">
        <v>87</v>
      </c>
      <c r="P62" s="63"/>
      <c r="Q62" s="63"/>
      <c r="R62" s="63">
        <v>44</v>
      </c>
      <c r="S62" s="63">
        <v>44</v>
      </c>
      <c r="T62" s="63">
        <f t="shared" si="1"/>
        <v>44</v>
      </c>
      <c r="U62" s="63"/>
      <c r="V62" s="63"/>
      <c r="W62" s="63"/>
      <c r="X62" s="65"/>
      <c r="Y62" s="65"/>
      <c r="Z62" s="71"/>
      <c r="AA62" s="71"/>
      <c r="AB62" s="65"/>
      <c r="AC62" s="65" t="s">
        <v>76</v>
      </c>
      <c r="AD62" s="65" t="s">
        <v>76</v>
      </c>
      <c r="AE62" s="65" t="s">
        <v>76</v>
      </c>
      <c r="AF62" s="63" t="s">
        <v>287</v>
      </c>
      <c r="AG62" s="64" t="s">
        <v>76</v>
      </c>
    </row>
    <row r="63" spans="2:33" x14ac:dyDescent="0.25">
      <c r="B63" s="48">
        <f t="shared" si="5"/>
        <v>61</v>
      </c>
      <c r="C63" s="24">
        <v>20200303</v>
      </c>
      <c r="D63" s="24" t="s">
        <v>3</v>
      </c>
      <c r="E63" s="24" t="s">
        <v>112</v>
      </c>
      <c r="F63" s="27" t="s">
        <v>149</v>
      </c>
      <c r="G63" s="24">
        <v>1341660</v>
      </c>
      <c r="H63" s="26" t="s">
        <v>148</v>
      </c>
      <c r="I63" s="25" t="s">
        <v>197</v>
      </c>
      <c r="J63" s="24" t="s">
        <v>76</v>
      </c>
      <c r="K63" s="24" t="s">
        <v>163</v>
      </c>
      <c r="L63" s="27" t="str">
        <f t="shared" si="7"/>
        <v>-</v>
      </c>
      <c r="M63" s="27" t="s">
        <v>371</v>
      </c>
      <c r="N63" s="26" t="s">
        <v>536</v>
      </c>
      <c r="O63" s="24" t="s">
        <v>87</v>
      </c>
      <c r="P63" s="24"/>
      <c r="Q63" s="24"/>
      <c r="R63" s="24">
        <v>29</v>
      </c>
      <c r="S63" s="24">
        <v>29</v>
      </c>
      <c r="T63" s="24">
        <f t="shared" si="1"/>
        <v>29</v>
      </c>
      <c r="U63" s="24">
        <f>ROUNDDOWN(S63/HLOOKUP(D63,Table!$C$3:$D$4,2,0)*8,2)</f>
        <v>0.51</v>
      </c>
      <c r="V63" s="24">
        <v>0.5</v>
      </c>
      <c r="W63" s="24" t="s">
        <v>108</v>
      </c>
      <c r="X63" s="28">
        <v>43893</v>
      </c>
      <c r="Y63" s="87">
        <v>43901</v>
      </c>
      <c r="Z63" s="28">
        <v>43900</v>
      </c>
      <c r="AA63" s="28">
        <v>43900</v>
      </c>
      <c r="AB63" s="28" t="s">
        <v>161</v>
      </c>
      <c r="AC63" s="24">
        <v>100</v>
      </c>
      <c r="AD63" s="24">
        <v>100</v>
      </c>
      <c r="AE63" s="24">
        <v>100</v>
      </c>
      <c r="AF63" s="27" t="s">
        <v>76</v>
      </c>
      <c r="AG63" s="27" t="s">
        <v>76</v>
      </c>
    </row>
    <row r="64" spans="2:33" x14ac:dyDescent="0.25">
      <c r="B64" s="48">
        <f t="shared" si="5"/>
        <v>62</v>
      </c>
      <c r="C64" s="24">
        <v>20200303</v>
      </c>
      <c r="D64" s="24" t="s">
        <v>3</v>
      </c>
      <c r="E64" s="24" t="s">
        <v>112</v>
      </c>
      <c r="F64" s="27" t="s">
        <v>149</v>
      </c>
      <c r="G64" s="24">
        <v>1341660</v>
      </c>
      <c r="H64" s="26" t="s">
        <v>143</v>
      </c>
      <c r="I64" s="25" t="s">
        <v>197</v>
      </c>
      <c r="J64" s="24" t="s">
        <v>76</v>
      </c>
      <c r="K64" s="24" t="s">
        <v>163</v>
      </c>
      <c r="L64" s="27" t="str">
        <f t="shared" si="7"/>
        <v>-</v>
      </c>
      <c r="M64" s="27" t="s">
        <v>371</v>
      </c>
      <c r="N64" s="26" t="s">
        <v>537</v>
      </c>
      <c r="O64" s="24" t="s">
        <v>87</v>
      </c>
      <c r="P64" s="24"/>
      <c r="Q64" s="24"/>
      <c r="R64" s="24">
        <v>110</v>
      </c>
      <c r="S64" s="24">
        <v>110</v>
      </c>
      <c r="T64" s="24">
        <f t="shared" si="1"/>
        <v>110</v>
      </c>
      <c r="U64" s="24">
        <f>ROUNDDOWN(S64/HLOOKUP(D64,Table!$C$3:$D$4,2,0)*8,2)</f>
        <v>1.95</v>
      </c>
      <c r="V64" s="24">
        <v>1.5</v>
      </c>
      <c r="W64" s="24" t="s">
        <v>108</v>
      </c>
      <c r="X64" s="28">
        <v>43893</v>
      </c>
      <c r="Y64" s="87">
        <v>43901</v>
      </c>
      <c r="Z64" s="28">
        <v>43900</v>
      </c>
      <c r="AA64" s="28">
        <v>43900</v>
      </c>
      <c r="AB64" s="28" t="s">
        <v>161</v>
      </c>
      <c r="AC64" s="24">
        <v>100</v>
      </c>
      <c r="AD64" s="24">
        <v>100</v>
      </c>
      <c r="AE64" s="24">
        <v>100</v>
      </c>
      <c r="AF64" s="27" t="s">
        <v>76</v>
      </c>
      <c r="AG64" s="27" t="s">
        <v>76</v>
      </c>
    </row>
    <row r="65" spans="1:33" x14ac:dyDescent="0.25">
      <c r="B65" s="48">
        <f t="shared" si="5"/>
        <v>63</v>
      </c>
      <c r="C65" s="24">
        <v>20200303</v>
      </c>
      <c r="D65" s="24" t="s">
        <v>3</v>
      </c>
      <c r="E65" s="24" t="s">
        <v>112</v>
      </c>
      <c r="F65" s="27" t="s">
        <v>149</v>
      </c>
      <c r="G65" s="24">
        <v>1341660</v>
      </c>
      <c r="H65" s="26" t="s">
        <v>145</v>
      </c>
      <c r="I65" s="25" t="s">
        <v>197</v>
      </c>
      <c r="J65" s="24" t="s">
        <v>76</v>
      </c>
      <c r="K65" s="24" t="s">
        <v>163</v>
      </c>
      <c r="L65" s="27" t="str">
        <f t="shared" si="7"/>
        <v>-</v>
      </c>
      <c r="M65" s="27" t="s">
        <v>371</v>
      </c>
      <c r="N65" s="26" t="s">
        <v>538</v>
      </c>
      <c r="O65" s="24" t="s">
        <v>87</v>
      </c>
      <c r="P65" s="24"/>
      <c r="Q65" s="24"/>
      <c r="R65" s="24">
        <v>42</v>
      </c>
      <c r="S65" s="24">
        <v>42</v>
      </c>
      <c r="T65" s="24">
        <f t="shared" si="1"/>
        <v>42</v>
      </c>
      <c r="U65" s="24">
        <f>ROUNDDOWN(S65/HLOOKUP(D65,Table!$C$3:$D$4,2,0)*8,2)</f>
        <v>0.74</v>
      </c>
      <c r="V65" s="24">
        <v>0.5</v>
      </c>
      <c r="W65" s="24" t="s">
        <v>108</v>
      </c>
      <c r="X65" s="28">
        <v>43893</v>
      </c>
      <c r="Y65" s="87">
        <v>43901</v>
      </c>
      <c r="Z65" s="28">
        <v>43900</v>
      </c>
      <c r="AA65" s="28">
        <v>43900</v>
      </c>
      <c r="AB65" s="28" t="s">
        <v>161</v>
      </c>
      <c r="AC65" s="24">
        <v>100</v>
      </c>
      <c r="AD65" s="24">
        <v>100</v>
      </c>
      <c r="AE65" s="24">
        <v>100</v>
      </c>
      <c r="AF65" s="27" t="s">
        <v>76</v>
      </c>
      <c r="AG65" s="27" t="s">
        <v>76</v>
      </c>
    </row>
    <row r="66" spans="1:33" x14ac:dyDescent="0.25">
      <c r="B66" s="48">
        <f t="shared" si="5"/>
        <v>64</v>
      </c>
      <c r="C66" s="24">
        <v>20200303</v>
      </c>
      <c r="D66" s="24" t="s">
        <v>3</v>
      </c>
      <c r="E66" s="24" t="s">
        <v>112</v>
      </c>
      <c r="F66" s="27" t="s">
        <v>149</v>
      </c>
      <c r="G66" s="24">
        <v>1341660</v>
      </c>
      <c r="H66" s="26" t="s">
        <v>147</v>
      </c>
      <c r="I66" s="25" t="s">
        <v>197</v>
      </c>
      <c r="J66" s="24" t="s">
        <v>76</v>
      </c>
      <c r="K66" s="24" t="s">
        <v>163</v>
      </c>
      <c r="L66" s="27" t="str">
        <f t="shared" si="7"/>
        <v>-</v>
      </c>
      <c r="M66" s="27" t="s">
        <v>371</v>
      </c>
      <c r="N66" s="26" t="s">
        <v>539</v>
      </c>
      <c r="O66" s="24" t="s">
        <v>87</v>
      </c>
      <c r="P66" s="24"/>
      <c r="Q66" s="24"/>
      <c r="R66" s="24">
        <v>44</v>
      </c>
      <c r="S66" s="24">
        <v>44</v>
      </c>
      <c r="T66" s="24">
        <f t="shared" si="1"/>
        <v>44</v>
      </c>
      <c r="U66" s="24">
        <f>ROUNDDOWN(S66/HLOOKUP(D66,Table!$C$3:$D$4,2,0)*8,2)</f>
        <v>0.78</v>
      </c>
      <c r="V66" s="24">
        <v>0.7</v>
      </c>
      <c r="W66" s="24" t="s">
        <v>108</v>
      </c>
      <c r="X66" s="28">
        <v>43893</v>
      </c>
      <c r="Y66" s="87">
        <v>43901</v>
      </c>
      <c r="Z66" s="28">
        <v>43900</v>
      </c>
      <c r="AA66" s="28">
        <v>43900</v>
      </c>
      <c r="AB66" s="28" t="s">
        <v>161</v>
      </c>
      <c r="AC66" s="24">
        <v>100</v>
      </c>
      <c r="AD66" s="24">
        <v>100</v>
      </c>
      <c r="AE66" s="24">
        <v>100</v>
      </c>
      <c r="AF66" s="27" t="s">
        <v>76</v>
      </c>
      <c r="AG66" s="27" t="s">
        <v>76</v>
      </c>
    </row>
    <row r="67" spans="1:33" x14ac:dyDescent="0.25">
      <c r="B67" s="48">
        <f t="shared" si="5"/>
        <v>65</v>
      </c>
      <c r="C67" s="26">
        <v>20200305</v>
      </c>
      <c r="D67" s="24" t="s">
        <v>3</v>
      </c>
      <c r="E67" s="24" t="s">
        <v>221</v>
      </c>
      <c r="F67" s="27" t="s">
        <v>217</v>
      </c>
      <c r="G67" s="24">
        <v>1359400</v>
      </c>
      <c r="H67" s="24" t="s">
        <v>222</v>
      </c>
      <c r="I67" s="24" t="s">
        <v>196</v>
      </c>
      <c r="J67" s="24" t="s">
        <v>76</v>
      </c>
      <c r="K67" s="24" t="s">
        <v>93</v>
      </c>
      <c r="L67" s="27" t="str">
        <f t="shared" si="7"/>
        <v>-</v>
      </c>
      <c r="M67" s="27" t="s">
        <v>372</v>
      </c>
      <c r="N67" s="26" t="s">
        <v>540</v>
      </c>
      <c r="O67" s="24" t="s">
        <v>87</v>
      </c>
      <c r="P67" s="24"/>
      <c r="Q67" s="24"/>
      <c r="R67" s="24">
        <v>117</v>
      </c>
      <c r="S67" s="24">
        <v>117</v>
      </c>
      <c r="T67" s="24">
        <f t="shared" si="1"/>
        <v>117</v>
      </c>
      <c r="U67" s="24">
        <f>ROUNDDOWN(S67/HLOOKUP(D67,Table!$C$3:$D$4,2,0)*8,2)</f>
        <v>2.08</v>
      </c>
      <c r="V67" s="24">
        <v>3</v>
      </c>
      <c r="W67" s="24" t="s">
        <v>108</v>
      </c>
      <c r="X67" s="28">
        <v>43895</v>
      </c>
      <c r="Y67" s="87">
        <v>43901</v>
      </c>
      <c r="Z67" s="28">
        <v>43900</v>
      </c>
      <c r="AA67" s="28">
        <v>43900</v>
      </c>
      <c r="AB67" s="31" t="s">
        <v>161</v>
      </c>
      <c r="AC67" s="24">
        <v>100</v>
      </c>
      <c r="AD67" s="24">
        <v>100</v>
      </c>
      <c r="AE67" s="24">
        <v>100</v>
      </c>
      <c r="AF67" s="27" t="s">
        <v>76</v>
      </c>
      <c r="AG67" s="27" t="s">
        <v>76</v>
      </c>
    </row>
    <row r="68" spans="1:33" x14ac:dyDescent="0.25">
      <c r="B68" s="48">
        <f t="shared" si="5"/>
        <v>66</v>
      </c>
      <c r="C68" s="26">
        <v>20200305</v>
      </c>
      <c r="D68" s="24" t="s">
        <v>3</v>
      </c>
      <c r="E68" s="24" t="s">
        <v>77</v>
      </c>
      <c r="F68" s="27" t="s">
        <v>218</v>
      </c>
      <c r="G68" s="24">
        <v>1357606</v>
      </c>
      <c r="H68" s="24" t="s">
        <v>223</v>
      </c>
      <c r="I68" s="24" t="s">
        <v>196</v>
      </c>
      <c r="J68" s="24" t="s">
        <v>76</v>
      </c>
      <c r="K68" s="24" t="s">
        <v>93</v>
      </c>
      <c r="L68" s="27" t="str">
        <f t="shared" si="7"/>
        <v>-</v>
      </c>
      <c r="M68" s="27" t="s">
        <v>373</v>
      </c>
      <c r="N68" s="26" t="s">
        <v>541</v>
      </c>
      <c r="O68" s="24" t="s">
        <v>87</v>
      </c>
      <c r="P68" s="24"/>
      <c r="Q68" s="24"/>
      <c r="R68" s="24">
        <v>55</v>
      </c>
      <c r="S68" s="25">
        <v>122</v>
      </c>
      <c r="T68" s="24">
        <f t="shared" ref="T68:T132" si="8">S68</f>
        <v>122</v>
      </c>
      <c r="U68" s="24">
        <f>ROUNDDOWN(S68/HLOOKUP(D68,Table!$C$3:$D$4,2,0)*8,2)</f>
        <v>2.16</v>
      </c>
      <c r="V68" s="24">
        <v>2</v>
      </c>
      <c r="W68" s="24" t="s">
        <v>108</v>
      </c>
      <c r="X68" s="28">
        <v>43895</v>
      </c>
      <c r="Y68" s="87">
        <v>43901</v>
      </c>
      <c r="Z68" s="28">
        <v>43901</v>
      </c>
      <c r="AA68" s="28">
        <v>43901</v>
      </c>
      <c r="AB68" s="31" t="s">
        <v>161</v>
      </c>
      <c r="AC68" s="24">
        <v>100</v>
      </c>
      <c r="AD68" s="24">
        <v>100</v>
      </c>
      <c r="AE68" s="24">
        <v>100</v>
      </c>
      <c r="AF68" s="24" t="s">
        <v>291</v>
      </c>
      <c r="AG68" s="27" t="s">
        <v>76</v>
      </c>
    </row>
    <row r="69" spans="1:33" x14ac:dyDescent="0.25">
      <c r="B69" s="48">
        <f t="shared" ref="B69:B154" si="9">B68+1</f>
        <v>67</v>
      </c>
      <c r="C69" s="26">
        <v>20200305</v>
      </c>
      <c r="D69" s="24" t="s">
        <v>3</v>
      </c>
      <c r="E69" s="24" t="s">
        <v>77</v>
      </c>
      <c r="F69" s="27" t="s">
        <v>219</v>
      </c>
      <c r="G69" s="24">
        <v>1357606</v>
      </c>
      <c r="H69" s="24" t="s">
        <v>224</v>
      </c>
      <c r="I69" s="24" t="s">
        <v>196</v>
      </c>
      <c r="J69" s="24" t="s">
        <v>76</v>
      </c>
      <c r="K69" s="24" t="s">
        <v>93</v>
      </c>
      <c r="L69" s="27" t="str">
        <f t="shared" si="7"/>
        <v>-</v>
      </c>
      <c r="M69" s="27" t="s">
        <v>373</v>
      </c>
      <c r="N69" s="26" t="s">
        <v>542</v>
      </c>
      <c r="O69" s="24" t="s">
        <v>87</v>
      </c>
      <c r="P69" s="24"/>
      <c r="Q69" s="24"/>
      <c r="R69" s="24">
        <v>60</v>
      </c>
      <c r="S69" s="24">
        <v>60</v>
      </c>
      <c r="T69" s="24">
        <f t="shared" si="8"/>
        <v>60</v>
      </c>
      <c r="U69" s="24">
        <f>ROUNDDOWN(S69/HLOOKUP(D69,Table!$C$3:$D$4,2,0)*8,2)</f>
        <v>1.06</v>
      </c>
      <c r="V69" s="24">
        <v>1</v>
      </c>
      <c r="W69" s="24" t="s">
        <v>108</v>
      </c>
      <c r="X69" s="28">
        <v>43895</v>
      </c>
      <c r="Y69" s="87">
        <v>43901</v>
      </c>
      <c r="Z69" s="28">
        <v>43901</v>
      </c>
      <c r="AA69" s="28">
        <v>43901</v>
      </c>
      <c r="AB69" s="31" t="s">
        <v>161</v>
      </c>
      <c r="AC69" s="24">
        <v>100</v>
      </c>
      <c r="AD69" s="24">
        <v>100</v>
      </c>
      <c r="AE69" s="24">
        <v>100</v>
      </c>
      <c r="AF69" s="27" t="s">
        <v>76</v>
      </c>
      <c r="AG69" s="27" t="s">
        <v>76</v>
      </c>
    </row>
    <row r="70" spans="1:33" x14ac:dyDescent="0.25">
      <c r="B70" s="48">
        <f t="shared" si="9"/>
        <v>68</v>
      </c>
      <c r="C70" s="26">
        <v>20200305</v>
      </c>
      <c r="D70" s="24" t="s">
        <v>3</v>
      </c>
      <c r="E70" s="24" t="s">
        <v>77</v>
      </c>
      <c r="F70" s="27" t="s">
        <v>219</v>
      </c>
      <c r="G70" s="24">
        <v>1357606</v>
      </c>
      <c r="H70" s="24" t="s">
        <v>225</v>
      </c>
      <c r="I70" s="24" t="s">
        <v>196</v>
      </c>
      <c r="J70" s="24" t="s">
        <v>76</v>
      </c>
      <c r="K70" s="24" t="s">
        <v>93</v>
      </c>
      <c r="L70" s="27" t="str">
        <f t="shared" si="7"/>
        <v>-</v>
      </c>
      <c r="M70" s="27" t="s">
        <v>373</v>
      </c>
      <c r="N70" s="26" t="s">
        <v>543</v>
      </c>
      <c r="O70" s="24" t="s">
        <v>87</v>
      </c>
      <c r="P70" s="24"/>
      <c r="Q70" s="24"/>
      <c r="R70" s="24">
        <v>30</v>
      </c>
      <c r="S70" s="24">
        <v>30</v>
      </c>
      <c r="T70" s="24">
        <f t="shared" si="8"/>
        <v>30</v>
      </c>
      <c r="U70" s="24">
        <f>ROUNDDOWN(S70/HLOOKUP(D70,Table!$C$3:$D$4,2,0)*8,2)</f>
        <v>0.53</v>
      </c>
      <c r="V70" s="24">
        <v>0.2</v>
      </c>
      <c r="W70" s="24" t="s">
        <v>108</v>
      </c>
      <c r="X70" s="28">
        <v>43895</v>
      </c>
      <c r="Y70" s="87">
        <v>43901</v>
      </c>
      <c r="Z70" s="28">
        <v>43901</v>
      </c>
      <c r="AA70" s="28">
        <v>43901</v>
      </c>
      <c r="AB70" s="31" t="s">
        <v>161</v>
      </c>
      <c r="AC70" s="24">
        <v>100</v>
      </c>
      <c r="AD70" s="24">
        <v>100</v>
      </c>
      <c r="AE70" s="24">
        <v>100</v>
      </c>
      <c r="AF70" s="27" t="s">
        <v>76</v>
      </c>
      <c r="AG70" s="27" t="s">
        <v>76</v>
      </c>
    </row>
    <row r="71" spans="1:33" x14ac:dyDescent="0.25">
      <c r="B71" s="48">
        <f t="shared" si="9"/>
        <v>69</v>
      </c>
      <c r="C71" s="26">
        <v>20200305</v>
      </c>
      <c r="D71" s="24" t="s">
        <v>3</v>
      </c>
      <c r="E71" s="24" t="s">
        <v>77</v>
      </c>
      <c r="F71" s="27" t="s">
        <v>219</v>
      </c>
      <c r="G71" s="24">
        <v>1357606</v>
      </c>
      <c r="H71" s="24" t="s">
        <v>226</v>
      </c>
      <c r="I71" s="24" t="s">
        <v>196</v>
      </c>
      <c r="J71" s="24" t="s">
        <v>76</v>
      </c>
      <c r="K71" s="24" t="s">
        <v>93</v>
      </c>
      <c r="L71" s="27" t="str">
        <f t="shared" si="7"/>
        <v>-</v>
      </c>
      <c r="M71" s="27" t="s">
        <v>373</v>
      </c>
      <c r="N71" s="26" t="s">
        <v>544</v>
      </c>
      <c r="O71" s="24" t="s">
        <v>87</v>
      </c>
      <c r="P71" s="24"/>
      <c r="Q71" s="24"/>
      <c r="R71" s="24">
        <v>34</v>
      </c>
      <c r="S71" s="24">
        <v>34</v>
      </c>
      <c r="T71" s="24">
        <f t="shared" si="8"/>
        <v>34</v>
      </c>
      <c r="U71" s="24">
        <f>ROUNDDOWN(S71/HLOOKUP(D71,Table!$C$3:$D$4,2,0)*8,2)</f>
        <v>0.6</v>
      </c>
      <c r="V71" s="24">
        <v>0.3</v>
      </c>
      <c r="W71" s="24" t="s">
        <v>108</v>
      </c>
      <c r="X71" s="28">
        <v>43895</v>
      </c>
      <c r="Y71" s="87">
        <v>43901</v>
      </c>
      <c r="Z71" s="28">
        <v>43901</v>
      </c>
      <c r="AA71" s="28">
        <v>43901</v>
      </c>
      <c r="AB71" s="31" t="s">
        <v>161</v>
      </c>
      <c r="AC71" s="24">
        <v>100</v>
      </c>
      <c r="AD71" s="24">
        <v>100</v>
      </c>
      <c r="AE71" s="24">
        <v>100</v>
      </c>
      <c r="AF71" s="27" t="s">
        <v>76</v>
      </c>
      <c r="AG71" s="27" t="s">
        <v>76</v>
      </c>
    </row>
    <row r="72" spans="1:33" x14ac:dyDescent="0.25">
      <c r="B72" s="48">
        <f t="shared" si="9"/>
        <v>70</v>
      </c>
      <c r="C72" s="26">
        <v>20200305</v>
      </c>
      <c r="D72" s="24" t="s">
        <v>3</v>
      </c>
      <c r="E72" s="24" t="s">
        <v>77</v>
      </c>
      <c r="F72" s="27" t="s">
        <v>219</v>
      </c>
      <c r="G72" s="24">
        <v>1357606</v>
      </c>
      <c r="H72" s="24" t="s">
        <v>70</v>
      </c>
      <c r="I72" s="24" t="s">
        <v>196</v>
      </c>
      <c r="J72" s="24" t="s">
        <v>76</v>
      </c>
      <c r="K72" s="24" t="s">
        <v>93</v>
      </c>
      <c r="L72" s="27" t="str">
        <f t="shared" si="7"/>
        <v>-</v>
      </c>
      <c r="M72" s="27" t="s">
        <v>373</v>
      </c>
      <c r="N72" s="26" t="s">
        <v>545</v>
      </c>
      <c r="O72" s="24" t="s">
        <v>88</v>
      </c>
      <c r="P72" s="24"/>
      <c r="Q72" s="24"/>
      <c r="R72" s="24">
        <v>357</v>
      </c>
      <c r="S72" s="24">
        <f t="shared" ref="S72:S75" si="10">R72</f>
        <v>357</v>
      </c>
      <c r="T72" s="24">
        <f t="shared" si="8"/>
        <v>357</v>
      </c>
      <c r="U72" s="42">
        <f>ROUNDDOWN(S72/HLOOKUP(D72,Table!$C$3:$D$4,2,0)*8,2)</f>
        <v>6.34</v>
      </c>
      <c r="V72" s="24">
        <v>6</v>
      </c>
      <c r="W72" s="24" t="s">
        <v>108</v>
      </c>
      <c r="X72" s="28">
        <v>43895</v>
      </c>
      <c r="Y72" s="87">
        <v>43901</v>
      </c>
      <c r="Z72" s="28">
        <v>43900</v>
      </c>
      <c r="AA72" s="28">
        <v>43900</v>
      </c>
      <c r="AB72" s="28" t="s">
        <v>161</v>
      </c>
      <c r="AC72" s="24">
        <v>100</v>
      </c>
      <c r="AD72" s="24">
        <v>100</v>
      </c>
      <c r="AE72" s="24">
        <v>100</v>
      </c>
      <c r="AF72" s="27" t="s">
        <v>76</v>
      </c>
      <c r="AG72" s="27" t="s">
        <v>76</v>
      </c>
    </row>
    <row r="73" spans="1:33" x14ac:dyDescent="0.25">
      <c r="B73" s="48">
        <f t="shared" si="9"/>
        <v>71</v>
      </c>
      <c r="C73" s="26">
        <v>20200305</v>
      </c>
      <c r="D73" s="24" t="s">
        <v>3</v>
      </c>
      <c r="E73" s="24" t="s">
        <v>77</v>
      </c>
      <c r="F73" s="27" t="s">
        <v>220</v>
      </c>
      <c r="G73" s="24">
        <v>1357606</v>
      </c>
      <c r="H73" s="24" t="s">
        <v>227</v>
      </c>
      <c r="I73" s="24" t="s">
        <v>196</v>
      </c>
      <c r="J73" s="24" t="s">
        <v>76</v>
      </c>
      <c r="K73" s="24" t="s">
        <v>93</v>
      </c>
      <c r="L73" s="27" t="str">
        <f t="shared" si="7"/>
        <v>-</v>
      </c>
      <c r="M73" s="27" t="s">
        <v>373</v>
      </c>
      <c r="N73" s="26" t="s">
        <v>546</v>
      </c>
      <c r="O73" s="24" t="s">
        <v>88</v>
      </c>
      <c r="P73" s="24"/>
      <c r="Q73" s="24"/>
      <c r="R73" s="24">
        <v>431</v>
      </c>
      <c r="S73" s="24">
        <f t="shared" si="10"/>
        <v>431</v>
      </c>
      <c r="T73" s="24">
        <f t="shared" si="8"/>
        <v>431</v>
      </c>
      <c r="U73" s="24">
        <f>ROUNDDOWN(S73/HLOOKUP(D73,Table!$C$3:$D$4,2,0)*8,2)</f>
        <v>7.66</v>
      </c>
      <c r="V73" s="24">
        <v>7</v>
      </c>
      <c r="W73" s="24" t="s">
        <v>108</v>
      </c>
      <c r="X73" s="28">
        <v>43895</v>
      </c>
      <c r="Y73" s="87">
        <v>43901</v>
      </c>
      <c r="Z73" s="28">
        <v>43900</v>
      </c>
      <c r="AA73" s="28">
        <v>43900</v>
      </c>
      <c r="AB73" s="28" t="s">
        <v>161</v>
      </c>
      <c r="AC73" s="24">
        <v>100</v>
      </c>
      <c r="AD73" s="24">
        <v>100</v>
      </c>
      <c r="AE73" s="24">
        <v>100</v>
      </c>
      <c r="AF73" s="27" t="s">
        <v>76</v>
      </c>
      <c r="AG73" s="27" t="s">
        <v>76</v>
      </c>
    </row>
    <row r="74" spans="1:33" x14ac:dyDescent="0.25">
      <c r="B74" s="50">
        <f t="shared" si="9"/>
        <v>72</v>
      </c>
      <c r="C74" s="24">
        <v>20200304</v>
      </c>
      <c r="D74" s="24" t="s">
        <v>3</v>
      </c>
      <c r="E74" s="24" t="s">
        <v>228</v>
      </c>
      <c r="F74" s="27" t="s">
        <v>244</v>
      </c>
      <c r="G74" s="56">
        <v>1357257</v>
      </c>
      <c r="H74" s="56" t="s">
        <v>229</v>
      </c>
      <c r="I74" s="25" t="s">
        <v>197</v>
      </c>
      <c r="J74" s="24" t="s">
        <v>76</v>
      </c>
      <c r="K74" s="24" t="s">
        <v>243</v>
      </c>
      <c r="L74" s="27" t="str">
        <f t="shared" si="7"/>
        <v>-</v>
      </c>
      <c r="M74" s="27" t="s">
        <v>374</v>
      </c>
      <c r="N74" s="26" t="s">
        <v>547</v>
      </c>
      <c r="O74" s="24" t="s">
        <v>88</v>
      </c>
      <c r="P74" s="24"/>
      <c r="Q74" s="24"/>
      <c r="R74" s="24">
        <v>1993</v>
      </c>
      <c r="S74" s="24">
        <f t="shared" si="10"/>
        <v>1993</v>
      </c>
      <c r="T74" s="24">
        <f t="shared" si="8"/>
        <v>1993</v>
      </c>
      <c r="U74" s="24">
        <f>ROUNDDOWN(S74/HLOOKUP(D74,Table!$C$3:$D$4,2,0)*8,2)</f>
        <v>35.43</v>
      </c>
      <c r="V74" s="24">
        <v>3</v>
      </c>
      <c r="W74" s="24" t="s">
        <v>108</v>
      </c>
      <c r="X74" s="28">
        <v>43894</v>
      </c>
      <c r="Y74" s="28">
        <v>43902</v>
      </c>
      <c r="Z74" s="28">
        <v>43901</v>
      </c>
      <c r="AA74" s="28">
        <v>43901</v>
      </c>
      <c r="AB74" s="31" t="s">
        <v>160</v>
      </c>
      <c r="AC74" s="24">
        <v>100</v>
      </c>
      <c r="AD74" s="24">
        <v>100</v>
      </c>
      <c r="AE74" s="24">
        <v>100</v>
      </c>
      <c r="AF74" s="24" t="s">
        <v>292</v>
      </c>
      <c r="AG74" s="27" t="s">
        <v>76</v>
      </c>
    </row>
    <row r="75" spans="1:33" x14ac:dyDescent="0.25">
      <c r="B75" s="50">
        <f t="shared" si="9"/>
        <v>73</v>
      </c>
      <c r="C75" s="24">
        <v>20200304</v>
      </c>
      <c r="D75" s="24" t="s">
        <v>3</v>
      </c>
      <c r="E75" s="24" t="s">
        <v>228</v>
      </c>
      <c r="F75" s="27" t="s">
        <v>244</v>
      </c>
      <c r="G75" s="56">
        <v>1357257</v>
      </c>
      <c r="H75" s="56" t="s">
        <v>230</v>
      </c>
      <c r="I75" s="25" t="s">
        <v>197</v>
      </c>
      <c r="J75" s="24" t="s">
        <v>76</v>
      </c>
      <c r="K75" s="24" t="s">
        <v>243</v>
      </c>
      <c r="L75" s="27" t="str">
        <f t="shared" si="7"/>
        <v>-</v>
      </c>
      <c r="M75" s="27" t="s">
        <v>374</v>
      </c>
      <c r="N75" s="26" t="s">
        <v>548</v>
      </c>
      <c r="O75" s="24" t="s">
        <v>88</v>
      </c>
      <c r="P75" s="24"/>
      <c r="Q75" s="24"/>
      <c r="R75" s="24">
        <v>489</v>
      </c>
      <c r="S75" s="24">
        <f t="shared" si="10"/>
        <v>489</v>
      </c>
      <c r="T75" s="24">
        <f t="shared" si="8"/>
        <v>489</v>
      </c>
      <c r="U75" s="24">
        <f>ROUNDDOWN(S75/HLOOKUP(D75,Table!$C$3:$D$4,2,0)*8,2)</f>
        <v>8.69</v>
      </c>
      <c r="V75" s="24">
        <v>8</v>
      </c>
      <c r="W75" s="24" t="s">
        <v>108</v>
      </c>
      <c r="X75" s="28">
        <v>43894</v>
      </c>
      <c r="Y75" s="28">
        <v>43902</v>
      </c>
      <c r="Z75" s="28">
        <v>43901</v>
      </c>
      <c r="AA75" s="28">
        <v>43901</v>
      </c>
      <c r="AB75" s="31" t="s">
        <v>161</v>
      </c>
      <c r="AC75" s="24">
        <v>100</v>
      </c>
      <c r="AD75" s="24">
        <v>100</v>
      </c>
      <c r="AE75" s="24">
        <v>100</v>
      </c>
      <c r="AF75" s="27" t="s">
        <v>76</v>
      </c>
      <c r="AG75" s="27" t="s">
        <v>76</v>
      </c>
    </row>
    <row r="76" spans="1:33" x14ac:dyDescent="0.25">
      <c r="B76" s="50">
        <f t="shared" si="9"/>
        <v>74</v>
      </c>
      <c r="C76" s="24">
        <v>20200304</v>
      </c>
      <c r="D76" s="24" t="s">
        <v>3</v>
      </c>
      <c r="E76" s="24" t="s">
        <v>228</v>
      </c>
      <c r="F76" s="27" t="s">
        <v>244</v>
      </c>
      <c r="G76" s="56">
        <v>1357257</v>
      </c>
      <c r="H76" s="56" t="s">
        <v>231</v>
      </c>
      <c r="I76" s="25" t="s">
        <v>197</v>
      </c>
      <c r="J76" s="24" t="s">
        <v>76</v>
      </c>
      <c r="K76" s="24" t="s">
        <v>243</v>
      </c>
      <c r="L76" s="27" t="str">
        <f t="shared" si="7"/>
        <v>-</v>
      </c>
      <c r="M76" s="27" t="s">
        <v>374</v>
      </c>
      <c r="N76" s="26" t="s">
        <v>549</v>
      </c>
      <c r="O76" s="24" t="s">
        <v>87</v>
      </c>
      <c r="P76" s="24"/>
      <c r="Q76" s="24"/>
      <c r="R76" s="24">
        <v>593</v>
      </c>
      <c r="S76" s="25">
        <v>587</v>
      </c>
      <c r="T76" s="24">
        <f t="shared" si="8"/>
        <v>587</v>
      </c>
      <c r="U76" s="24">
        <f>ROUNDDOWN(S76/HLOOKUP(D76,Table!$C$3:$D$4,2,0)*8,2)</f>
        <v>10.43</v>
      </c>
      <c r="V76" s="24">
        <v>10</v>
      </c>
      <c r="W76" s="24" t="s">
        <v>108</v>
      </c>
      <c r="X76" s="28">
        <v>43894</v>
      </c>
      <c r="Y76" s="28">
        <v>43902</v>
      </c>
      <c r="Z76" s="28">
        <v>43901</v>
      </c>
      <c r="AA76" s="28">
        <v>43902</v>
      </c>
      <c r="AB76" s="31" t="s">
        <v>161</v>
      </c>
      <c r="AC76" s="24">
        <v>100</v>
      </c>
      <c r="AD76" s="24">
        <v>100</v>
      </c>
      <c r="AE76" s="24">
        <v>100</v>
      </c>
      <c r="AF76" s="27" t="s">
        <v>76</v>
      </c>
      <c r="AG76" s="27" t="s">
        <v>76</v>
      </c>
    </row>
    <row r="77" spans="1:33" x14ac:dyDescent="0.25">
      <c r="B77" s="50">
        <f t="shared" si="9"/>
        <v>75</v>
      </c>
      <c r="C77" s="24">
        <v>20200304</v>
      </c>
      <c r="D77" s="24" t="s">
        <v>3</v>
      </c>
      <c r="E77" s="24" t="s">
        <v>228</v>
      </c>
      <c r="F77" s="27" t="s">
        <v>245</v>
      </c>
      <c r="G77" s="24">
        <v>1357355</v>
      </c>
      <c r="H77" s="56" t="s">
        <v>232</v>
      </c>
      <c r="I77" s="25" t="s">
        <v>197</v>
      </c>
      <c r="J77" s="24" t="s">
        <v>76</v>
      </c>
      <c r="K77" s="24" t="s">
        <v>243</v>
      </c>
      <c r="L77" s="27" t="str">
        <f t="shared" si="7"/>
        <v>-</v>
      </c>
      <c r="M77" s="27" t="s">
        <v>375</v>
      </c>
      <c r="N77" s="26" t="s">
        <v>550</v>
      </c>
      <c r="O77" s="24" t="s">
        <v>85</v>
      </c>
      <c r="P77" s="24"/>
      <c r="Q77" s="24"/>
      <c r="R77" s="24">
        <v>165</v>
      </c>
      <c r="S77" s="24">
        <v>165</v>
      </c>
      <c r="T77" s="24">
        <f t="shared" si="8"/>
        <v>165</v>
      </c>
      <c r="U77" s="24">
        <f>ROUNDDOWN(S77/HLOOKUP(D77,Table!$C$3:$D$4,2,0)*8,2)</f>
        <v>2.93</v>
      </c>
      <c r="V77" s="24">
        <v>3</v>
      </c>
      <c r="W77" s="24" t="s">
        <v>108</v>
      </c>
      <c r="X77" s="28">
        <v>43894</v>
      </c>
      <c r="Y77" s="28">
        <v>43902</v>
      </c>
      <c r="Z77" s="28">
        <v>43901</v>
      </c>
      <c r="AA77" s="28">
        <v>43902</v>
      </c>
      <c r="AB77" s="31" t="s">
        <v>161</v>
      </c>
      <c r="AC77" s="24">
        <v>100</v>
      </c>
      <c r="AD77" s="24">
        <v>100</v>
      </c>
      <c r="AE77" s="24">
        <v>100</v>
      </c>
      <c r="AF77" s="27" t="s">
        <v>76</v>
      </c>
      <c r="AG77" s="27" t="s">
        <v>76</v>
      </c>
    </row>
    <row r="78" spans="1:33" x14ac:dyDescent="0.25">
      <c r="B78" s="50">
        <f t="shared" si="9"/>
        <v>76</v>
      </c>
      <c r="C78" s="24">
        <v>20200304</v>
      </c>
      <c r="D78" s="24" t="s">
        <v>3</v>
      </c>
      <c r="E78" s="24" t="s">
        <v>228</v>
      </c>
      <c r="F78" s="27" t="s">
        <v>246</v>
      </c>
      <c r="G78" s="24">
        <v>1357355</v>
      </c>
      <c r="H78" s="56" t="s">
        <v>233</v>
      </c>
      <c r="I78" s="25" t="s">
        <v>197</v>
      </c>
      <c r="J78" s="24" t="s">
        <v>76</v>
      </c>
      <c r="K78" s="24" t="s">
        <v>243</v>
      </c>
      <c r="L78" s="27" t="str">
        <f t="shared" si="7"/>
        <v>-</v>
      </c>
      <c r="M78" s="27" t="s">
        <v>375</v>
      </c>
      <c r="N78" s="26" t="s">
        <v>551</v>
      </c>
      <c r="O78" s="42" t="s">
        <v>88</v>
      </c>
      <c r="P78" s="24"/>
      <c r="Q78" s="24"/>
      <c r="R78" s="24">
        <v>8</v>
      </c>
      <c r="S78" s="24">
        <f t="shared" ref="S78:S84" si="11">R78</f>
        <v>8</v>
      </c>
      <c r="T78" s="24">
        <f t="shared" si="8"/>
        <v>8</v>
      </c>
      <c r="U78" s="24">
        <f>ROUNDDOWN(S78/HLOOKUP(D78,Table!$C$3:$D$4,2,0)*8,2)</f>
        <v>0.14000000000000001</v>
      </c>
      <c r="V78" s="24">
        <v>0.2</v>
      </c>
      <c r="W78" s="24" t="s">
        <v>108</v>
      </c>
      <c r="X78" s="28">
        <v>43894</v>
      </c>
      <c r="Y78" s="28">
        <v>43902</v>
      </c>
      <c r="Z78" s="28">
        <v>43901</v>
      </c>
      <c r="AA78" s="28">
        <v>43901</v>
      </c>
      <c r="AB78" s="31" t="s">
        <v>161</v>
      </c>
      <c r="AC78" s="24">
        <v>100</v>
      </c>
      <c r="AD78" s="24">
        <v>100</v>
      </c>
      <c r="AE78" s="24">
        <v>100</v>
      </c>
      <c r="AF78" s="27" t="s">
        <v>76</v>
      </c>
      <c r="AG78" s="27" t="s">
        <v>76</v>
      </c>
    </row>
    <row r="79" spans="1:33" x14ac:dyDescent="0.25">
      <c r="B79" s="50">
        <f t="shared" si="9"/>
        <v>77</v>
      </c>
      <c r="C79" s="24">
        <v>20200304</v>
      </c>
      <c r="D79" s="24" t="s">
        <v>3</v>
      </c>
      <c r="E79" s="24" t="s">
        <v>228</v>
      </c>
      <c r="F79" s="27" t="s">
        <v>247</v>
      </c>
      <c r="G79" s="24">
        <v>1357355</v>
      </c>
      <c r="H79" s="56" t="s">
        <v>234</v>
      </c>
      <c r="I79" s="25" t="s">
        <v>197</v>
      </c>
      <c r="J79" s="24" t="s">
        <v>76</v>
      </c>
      <c r="K79" s="24" t="s">
        <v>243</v>
      </c>
      <c r="L79" s="27" t="str">
        <f t="shared" si="7"/>
        <v>-</v>
      </c>
      <c r="M79" s="27" t="s">
        <v>375</v>
      </c>
      <c r="N79" s="26" t="s">
        <v>552</v>
      </c>
      <c r="O79" s="24" t="s">
        <v>88</v>
      </c>
      <c r="P79" s="24"/>
      <c r="Q79" s="24"/>
      <c r="R79" s="24">
        <v>71</v>
      </c>
      <c r="S79" s="24">
        <f t="shared" si="11"/>
        <v>71</v>
      </c>
      <c r="T79" s="24">
        <f t="shared" si="8"/>
        <v>71</v>
      </c>
      <c r="U79" s="24">
        <f>ROUNDDOWN(S79/HLOOKUP(D79,Table!$C$3:$D$4,2,0)*8,2)</f>
        <v>1.26</v>
      </c>
      <c r="V79" s="24">
        <v>1</v>
      </c>
      <c r="W79" s="24" t="s">
        <v>108</v>
      </c>
      <c r="X79" s="28">
        <v>43894</v>
      </c>
      <c r="Y79" s="28">
        <v>43902</v>
      </c>
      <c r="Z79" s="28">
        <v>43901</v>
      </c>
      <c r="AA79" s="28">
        <v>43901</v>
      </c>
      <c r="AB79" s="31" t="s">
        <v>161</v>
      </c>
      <c r="AC79" s="24">
        <v>100</v>
      </c>
      <c r="AD79" s="24">
        <v>100</v>
      </c>
      <c r="AE79" s="24">
        <v>100</v>
      </c>
      <c r="AF79" s="27" t="s">
        <v>76</v>
      </c>
      <c r="AG79" s="27" t="s">
        <v>76</v>
      </c>
    </row>
    <row r="80" spans="1:33" x14ac:dyDescent="0.25">
      <c r="B80" s="50">
        <f t="shared" si="9"/>
        <v>78</v>
      </c>
      <c r="C80" s="24">
        <v>20200304</v>
      </c>
      <c r="D80" s="24" t="s">
        <v>3</v>
      </c>
      <c r="E80" s="24" t="s">
        <v>228</v>
      </c>
      <c r="F80" s="27" t="s">
        <v>247</v>
      </c>
      <c r="G80" s="24">
        <v>1357355</v>
      </c>
      <c r="H80" s="56" t="s">
        <v>223</v>
      </c>
      <c r="I80" s="25" t="s">
        <v>197</v>
      </c>
      <c r="J80" s="24" t="s">
        <v>76</v>
      </c>
      <c r="K80" s="24" t="s">
        <v>243</v>
      </c>
      <c r="L80" s="27" t="str">
        <f t="shared" si="7"/>
        <v>-</v>
      </c>
      <c r="M80" s="27" t="s">
        <v>375</v>
      </c>
      <c r="N80" s="26" t="s">
        <v>553</v>
      </c>
      <c r="O80" s="42" t="s">
        <v>88</v>
      </c>
      <c r="P80" s="24"/>
      <c r="Q80" s="24"/>
      <c r="R80" s="24">
        <v>55</v>
      </c>
      <c r="S80" s="24">
        <f t="shared" si="11"/>
        <v>55</v>
      </c>
      <c r="T80" s="24">
        <f t="shared" si="8"/>
        <v>55</v>
      </c>
      <c r="U80" s="24">
        <f>ROUNDDOWN(S80/HLOOKUP(D80,Table!$C$3:$D$4,2,0)*8,2)</f>
        <v>0.97</v>
      </c>
      <c r="V80" s="24">
        <v>0.5</v>
      </c>
      <c r="W80" s="24" t="s">
        <v>108</v>
      </c>
      <c r="X80" s="28">
        <v>43894</v>
      </c>
      <c r="Y80" s="28">
        <v>43902</v>
      </c>
      <c r="Z80" s="28">
        <v>43901</v>
      </c>
      <c r="AA80" s="28">
        <v>43901</v>
      </c>
      <c r="AB80" s="31" t="s">
        <v>161</v>
      </c>
      <c r="AC80" s="24">
        <v>100</v>
      </c>
      <c r="AD80" s="24">
        <v>100</v>
      </c>
      <c r="AE80" s="24">
        <v>100</v>
      </c>
      <c r="AF80" s="27" t="s">
        <v>76</v>
      </c>
      <c r="AG80" s="27" t="s">
        <v>76</v>
      </c>
    </row>
    <row r="81" spans="1:33" x14ac:dyDescent="0.25">
      <c r="B81" s="50">
        <f t="shared" si="9"/>
        <v>79</v>
      </c>
      <c r="C81" s="24">
        <v>20200304</v>
      </c>
      <c r="D81" s="24" t="s">
        <v>3</v>
      </c>
      <c r="E81" s="24" t="s">
        <v>228</v>
      </c>
      <c r="F81" s="27" t="s">
        <v>247</v>
      </c>
      <c r="G81" s="24">
        <v>1357355</v>
      </c>
      <c r="H81" s="56" t="s">
        <v>235</v>
      </c>
      <c r="I81" s="25" t="s">
        <v>197</v>
      </c>
      <c r="J81" s="24" t="s">
        <v>76</v>
      </c>
      <c r="K81" s="24" t="s">
        <v>243</v>
      </c>
      <c r="L81" s="27" t="str">
        <f t="shared" si="7"/>
        <v>-</v>
      </c>
      <c r="M81" s="27" t="s">
        <v>375</v>
      </c>
      <c r="N81" s="26" t="s">
        <v>554</v>
      </c>
      <c r="O81" s="42" t="s">
        <v>88</v>
      </c>
      <c r="P81" s="24"/>
      <c r="Q81" s="24"/>
      <c r="R81" s="24">
        <v>64</v>
      </c>
      <c r="S81" s="24">
        <f t="shared" si="11"/>
        <v>64</v>
      </c>
      <c r="T81" s="24">
        <f t="shared" si="8"/>
        <v>64</v>
      </c>
      <c r="U81" s="24">
        <f>ROUNDDOWN(S81/HLOOKUP(D81,Table!$C$3:$D$4,2,0)*8,2)</f>
        <v>1.1299999999999999</v>
      </c>
      <c r="V81" s="24">
        <v>0.5</v>
      </c>
      <c r="W81" s="24" t="s">
        <v>108</v>
      </c>
      <c r="X81" s="28">
        <v>43894</v>
      </c>
      <c r="Y81" s="28">
        <v>43902</v>
      </c>
      <c r="Z81" s="28">
        <v>43901</v>
      </c>
      <c r="AA81" s="28">
        <v>43901</v>
      </c>
      <c r="AB81" s="31" t="s">
        <v>161</v>
      </c>
      <c r="AC81" s="24">
        <v>100</v>
      </c>
      <c r="AD81" s="24">
        <v>100</v>
      </c>
      <c r="AE81" s="24">
        <v>100</v>
      </c>
      <c r="AF81" s="27" t="s">
        <v>76</v>
      </c>
      <c r="AG81" s="27" t="s">
        <v>76</v>
      </c>
    </row>
    <row r="82" spans="1:33" x14ac:dyDescent="0.25">
      <c r="B82" s="50">
        <f t="shared" si="9"/>
        <v>80</v>
      </c>
      <c r="C82" s="24">
        <v>20200304</v>
      </c>
      <c r="D82" s="24" t="s">
        <v>3</v>
      </c>
      <c r="E82" s="24" t="s">
        <v>228</v>
      </c>
      <c r="F82" s="27" t="s">
        <v>247</v>
      </c>
      <c r="G82" s="24">
        <v>1357355</v>
      </c>
      <c r="H82" s="56" t="s">
        <v>236</v>
      </c>
      <c r="I82" s="25" t="s">
        <v>197</v>
      </c>
      <c r="J82" s="24" t="s">
        <v>76</v>
      </c>
      <c r="K82" s="24" t="s">
        <v>243</v>
      </c>
      <c r="L82" s="27" t="str">
        <f t="shared" si="7"/>
        <v>-</v>
      </c>
      <c r="M82" s="27" t="s">
        <v>375</v>
      </c>
      <c r="N82" s="26" t="s">
        <v>555</v>
      </c>
      <c r="O82" s="24" t="s">
        <v>88</v>
      </c>
      <c r="P82" s="24"/>
      <c r="Q82" s="24"/>
      <c r="R82" s="24">
        <v>69</v>
      </c>
      <c r="S82" s="24">
        <f t="shared" si="11"/>
        <v>69</v>
      </c>
      <c r="T82" s="24">
        <f t="shared" si="8"/>
        <v>69</v>
      </c>
      <c r="U82" s="24">
        <f>ROUNDDOWN(S82/HLOOKUP(D82,Table!$C$3:$D$4,2,0)*8,2)</f>
        <v>1.22</v>
      </c>
      <c r="V82" s="24">
        <v>1.2</v>
      </c>
      <c r="W82" s="24" t="s">
        <v>108</v>
      </c>
      <c r="X82" s="28">
        <v>43894</v>
      </c>
      <c r="Y82" s="28">
        <v>43902</v>
      </c>
      <c r="Z82" s="28">
        <v>43901</v>
      </c>
      <c r="AA82" s="28">
        <v>43901</v>
      </c>
      <c r="AB82" s="31" t="s">
        <v>161</v>
      </c>
      <c r="AC82" s="24">
        <v>100</v>
      </c>
      <c r="AD82" s="24">
        <v>100</v>
      </c>
      <c r="AE82" s="24">
        <v>100</v>
      </c>
      <c r="AF82" s="27" t="s">
        <v>76</v>
      </c>
      <c r="AG82" s="27" t="s">
        <v>76</v>
      </c>
    </row>
    <row r="83" spans="1:33" x14ac:dyDescent="0.25">
      <c r="B83" s="50">
        <f t="shared" si="9"/>
        <v>81</v>
      </c>
      <c r="C83" s="24">
        <v>20200304</v>
      </c>
      <c r="D83" s="24" t="s">
        <v>3</v>
      </c>
      <c r="E83" s="24" t="s">
        <v>228</v>
      </c>
      <c r="F83" s="27" t="s">
        <v>248</v>
      </c>
      <c r="G83" s="24">
        <v>1357355</v>
      </c>
      <c r="H83" s="57" t="s">
        <v>237</v>
      </c>
      <c r="I83" s="25" t="s">
        <v>197</v>
      </c>
      <c r="J83" s="24" t="s">
        <v>76</v>
      </c>
      <c r="K83" s="24" t="s">
        <v>243</v>
      </c>
      <c r="L83" s="27" t="str">
        <f t="shared" si="7"/>
        <v>-</v>
      </c>
      <c r="M83" s="27" t="s">
        <v>375</v>
      </c>
      <c r="N83" s="26" t="s">
        <v>556</v>
      </c>
      <c r="O83" s="24" t="s">
        <v>88</v>
      </c>
      <c r="P83" s="24"/>
      <c r="Q83" s="24"/>
      <c r="R83" s="24">
        <v>5</v>
      </c>
      <c r="S83" s="24">
        <f t="shared" si="11"/>
        <v>5</v>
      </c>
      <c r="T83" s="24">
        <f t="shared" si="8"/>
        <v>5</v>
      </c>
      <c r="U83" s="24">
        <f>ROUNDDOWN(S83/HLOOKUP(D83,Table!$C$3:$D$4,2,0)*8,2)</f>
        <v>0.08</v>
      </c>
      <c r="V83" s="24">
        <v>0.1</v>
      </c>
      <c r="W83" s="24" t="s">
        <v>108</v>
      </c>
      <c r="X83" s="28">
        <v>43894</v>
      </c>
      <c r="Y83" s="28">
        <v>43902</v>
      </c>
      <c r="Z83" s="28">
        <v>43901</v>
      </c>
      <c r="AA83" s="28">
        <v>43901</v>
      </c>
      <c r="AB83" s="31"/>
      <c r="AC83" s="24" t="s">
        <v>76</v>
      </c>
      <c r="AD83" s="24" t="s">
        <v>76</v>
      </c>
      <c r="AE83" s="24" t="s">
        <v>76</v>
      </c>
      <c r="AF83" s="24" t="s">
        <v>293</v>
      </c>
      <c r="AG83" s="27" t="s">
        <v>76</v>
      </c>
    </row>
    <row r="84" spans="1:33" x14ac:dyDescent="0.25">
      <c r="B84" s="50">
        <f t="shared" si="9"/>
        <v>82</v>
      </c>
      <c r="C84" s="24">
        <v>20200304</v>
      </c>
      <c r="D84" s="24" t="s">
        <v>3</v>
      </c>
      <c r="E84" s="24" t="s">
        <v>228</v>
      </c>
      <c r="F84" s="27" t="s">
        <v>249</v>
      </c>
      <c r="G84" s="24">
        <v>1357355</v>
      </c>
      <c r="H84" s="56" t="s">
        <v>238</v>
      </c>
      <c r="I84" s="25" t="s">
        <v>197</v>
      </c>
      <c r="J84" s="24" t="s">
        <v>76</v>
      </c>
      <c r="K84" s="24" t="s">
        <v>243</v>
      </c>
      <c r="L84" s="27" t="str">
        <f t="shared" si="7"/>
        <v>-</v>
      </c>
      <c r="M84" s="27" t="s">
        <v>375</v>
      </c>
      <c r="N84" s="26" t="s">
        <v>557</v>
      </c>
      <c r="O84" s="24" t="s">
        <v>88</v>
      </c>
      <c r="P84" s="24"/>
      <c r="Q84" s="24"/>
      <c r="R84" s="24">
        <v>3</v>
      </c>
      <c r="S84" s="24">
        <f t="shared" si="11"/>
        <v>3</v>
      </c>
      <c r="T84" s="24">
        <f t="shared" si="8"/>
        <v>3</v>
      </c>
      <c r="U84" s="24">
        <f>ROUNDDOWN(S84/HLOOKUP(D84,Table!$C$3:$D$4,2,0)*8,2)</f>
        <v>0.05</v>
      </c>
      <c r="V84" s="24">
        <v>0.2</v>
      </c>
      <c r="W84" s="24" t="s">
        <v>108</v>
      </c>
      <c r="X84" s="28">
        <v>43894</v>
      </c>
      <c r="Y84" s="28">
        <v>43902</v>
      </c>
      <c r="Z84" s="28">
        <v>43901</v>
      </c>
      <c r="AA84" s="28">
        <v>43901</v>
      </c>
      <c r="AB84" s="31" t="s">
        <v>161</v>
      </c>
      <c r="AC84" s="24">
        <v>100</v>
      </c>
      <c r="AD84" s="24">
        <v>100</v>
      </c>
      <c r="AE84" s="24">
        <v>100</v>
      </c>
      <c r="AF84" s="27" t="s">
        <v>76</v>
      </c>
      <c r="AG84" s="27" t="s">
        <v>76</v>
      </c>
    </row>
    <row r="85" spans="1:33" x14ac:dyDescent="0.25">
      <c r="B85" s="50">
        <f t="shared" si="9"/>
        <v>83</v>
      </c>
      <c r="C85" s="24">
        <v>20200304</v>
      </c>
      <c r="D85" s="24" t="s">
        <v>3</v>
      </c>
      <c r="E85" s="24" t="s">
        <v>228</v>
      </c>
      <c r="F85" s="47" t="s">
        <v>250</v>
      </c>
      <c r="G85" s="24">
        <v>1357355</v>
      </c>
      <c r="H85" s="26" t="s">
        <v>239</v>
      </c>
      <c r="I85" s="25" t="s">
        <v>197</v>
      </c>
      <c r="J85" s="24" t="s">
        <v>76</v>
      </c>
      <c r="K85" s="24" t="s">
        <v>243</v>
      </c>
      <c r="L85" s="27" t="str">
        <f t="shared" si="7"/>
        <v>-</v>
      </c>
      <c r="M85" s="27" t="s">
        <v>375</v>
      </c>
      <c r="N85" s="26" t="s">
        <v>558</v>
      </c>
      <c r="O85" s="24" t="s">
        <v>85</v>
      </c>
      <c r="P85" s="24"/>
      <c r="Q85" s="24"/>
      <c r="R85" s="24">
        <v>220</v>
      </c>
      <c r="S85" s="24">
        <v>220</v>
      </c>
      <c r="T85" s="24">
        <f t="shared" si="8"/>
        <v>220</v>
      </c>
      <c r="U85" s="24">
        <f>ROUNDDOWN(S85/HLOOKUP(D85,Table!$C$3:$D$4,2,0)*8,2)</f>
        <v>3.91</v>
      </c>
      <c r="V85" s="24">
        <v>4</v>
      </c>
      <c r="W85" s="24" t="s">
        <v>108</v>
      </c>
      <c r="X85" s="28">
        <v>43894</v>
      </c>
      <c r="Y85" s="28">
        <v>43902</v>
      </c>
      <c r="Z85" s="28">
        <v>43902</v>
      </c>
      <c r="AA85" s="28">
        <v>43902</v>
      </c>
      <c r="AB85" s="31" t="s">
        <v>161</v>
      </c>
      <c r="AC85" s="24">
        <v>100</v>
      </c>
      <c r="AD85" s="24">
        <v>100</v>
      </c>
      <c r="AE85" s="24">
        <v>100</v>
      </c>
      <c r="AF85" s="27" t="s">
        <v>76</v>
      </c>
      <c r="AG85" s="27" t="s">
        <v>76</v>
      </c>
    </row>
    <row r="86" spans="1:33" x14ac:dyDescent="0.25">
      <c r="B86" s="50">
        <f t="shared" si="9"/>
        <v>84</v>
      </c>
      <c r="C86" s="24">
        <v>20200304</v>
      </c>
      <c r="D86" s="24" t="s">
        <v>3</v>
      </c>
      <c r="E86" s="24" t="s">
        <v>228</v>
      </c>
      <c r="F86" s="47" t="s">
        <v>251</v>
      </c>
      <c r="G86" s="24">
        <v>1357355</v>
      </c>
      <c r="H86" s="26" t="s">
        <v>240</v>
      </c>
      <c r="I86" s="25" t="s">
        <v>197</v>
      </c>
      <c r="J86" s="24" t="s">
        <v>76</v>
      </c>
      <c r="K86" s="24" t="s">
        <v>243</v>
      </c>
      <c r="L86" s="27" t="str">
        <f t="shared" si="7"/>
        <v>-</v>
      </c>
      <c r="M86" s="27" t="s">
        <v>375</v>
      </c>
      <c r="N86" s="26" t="s">
        <v>559</v>
      </c>
      <c r="O86" s="24" t="s">
        <v>85</v>
      </c>
      <c r="P86" s="24"/>
      <c r="Q86" s="24"/>
      <c r="R86" s="24">
        <v>4</v>
      </c>
      <c r="S86" s="24">
        <v>4</v>
      </c>
      <c r="T86" s="24">
        <f t="shared" si="8"/>
        <v>4</v>
      </c>
      <c r="U86" s="24">
        <f>ROUNDDOWN(S86/HLOOKUP(D86,Table!$C$3:$D$4,2,0)*8,2)</f>
        <v>7.0000000000000007E-2</v>
      </c>
      <c r="V86" s="24">
        <v>0.5</v>
      </c>
      <c r="W86" s="24" t="s">
        <v>108</v>
      </c>
      <c r="X86" s="28">
        <v>43894</v>
      </c>
      <c r="Y86" s="28">
        <v>43902</v>
      </c>
      <c r="Z86" s="28">
        <v>43902</v>
      </c>
      <c r="AA86" s="28">
        <v>43902</v>
      </c>
      <c r="AB86" s="31" t="s">
        <v>161</v>
      </c>
      <c r="AC86" s="24">
        <v>100</v>
      </c>
      <c r="AD86" s="24">
        <v>100</v>
      </c>
      <c r="AE86" s="24">
        <v>100</v>
      </c>
      <c r="AF86" s="27" t="s">
        <v>76</v>
      </c>
      <c r="AG86" s="27" t="s">
        <v>76</v>
      </c>
    </row>
    <row r="87" spans="1:33" x14ac:dyDescent="0.25">
      <c r="B87" s="50">
        <f t="shared" si="9"/>
        <v>85</v>
      </c>
      <c r="C87" s="24">
        <v>20200304</v>
      </c>
      <c r="D87" s="24" t="s">
        <v>3</v>
      </c>
      <c r="E87" s="24" t="s">
        <v>228</v>
      </c>
      <c r="F87" s="27" t="s">
        <v>252</v>
      </c>
      <c r="G87" s="24">
        <v>1357355</v>
      </c>
      <c r="H87" s="24" t="s">
        <v>241</v>
      </c>
      <c r="I87" s="25" t="s">
        <v>197</v>
      </c>
      <c r="J87" s="24" t="s">
        <v>76</v>
      </c>
      <c r="K87" s="24" t="s">
        <v>243</v>
      </c>
      <c r="L87" s="27" t="str">
        <f t="shared" si="7"/>
        <v>-</v>
      </c>
      <c r="M87" s="27" t="s">
        <v>375</v>
      </c>
      <c r="N87" s="26" t="s">
        <v>560</v>
      </c>
      <c r="O87" s="24" t="s">
        <v>85</v>
      </c>
      <c r="P87" s="24"/>
      <c r="Q87" s="24"/>
      <c r="R87" s="24">
        <v>12</v>
      </c>
      <c r="S87" s="24">
        <v>12</v>
      </c>
      <c r="T87" s="24">
        <f t="shared" si="8"/>
        <v>12</v>
      </c>
      <c r="U87" s="24">
        <f>ROUNDDOWN(S87/HLOOKUP(D87,Table!$C$3:$D$4,2,0)*8,2)</f>
        <v>0.21</v>
      </c>
      <c r="V87" s="24">
        <v>0</v>
      </c>
      <c r="W87" s="24" t="s">
        <v>108</v>
      </c>
      <c r="X87" s="28">
        <v>43894</v>
      </c>
      <c r="Y87" s="28">
        <v>43902</v>
      </c>
      <c r="Z87" s="28">
        <v>43902</v>
      </c>
      <c r="AA87" s="28">
        <v>43902</v>
      </c>
      <c r="AB87" s="31"/>
      <c r="AC87" s="24" t="s">
        <v>76</v>
      </c>
      <c r="AD87" s="24" t="s">
        <v>76</v>
      </c>
      <c r="AE87" s="24" t="s">
        <v>76</v>
      </c>
      <c r="AF87" s="24" t="s">
        <v>294</v>
      </c>
      <c r="AG87" s="27" t="s">
        <v>76</v>
      </c>
    </row>
    <row r="88" spans="1:33" x14ac:dyDescent="0.25">
      <c r="B88" s="50">
        <f t="shared" si="9"/>
        <v>86</v>
      </c>
      <c r="C88" s="24">
        <v>20200304</v>
      </c>
      <c r="D88" s="24" t="s">
        <v>3</v>
      </c>
      <c r="E88" s="24" t="s">
        <v>228</v>
      </c>
      <c r="F88" s="27" t="s">
        <v>252</v>
      </c>
      <c r="G88" s="24">
        <v>1357355</v>
      </c>
      <c r="H88" s="26" t="s">
        <v>242</v>
      </c>
      <c r="I88" s="25" t="s">
        <v>197</v>
      </c>
      <c r="J88" s="24" t="s">
        <v>76</v>
      </c>
      <c r="K88" s="24" t="s">
        <v>243</v>
      </c>
      <c r="L88" s="27" t="str">
        <f t="shared" si="7"/>
        <v>-</v>
      </c>
      <c r="M88" s="27" t="s">
        <v>375</v>
      </c>
      <c r="N88" s="26" t="s">
        <v>561</v>
      </c>
      <c r="O88" s="24" t="s">
        <v>85</v>
      </c>
      <c r="P88" s="24"/>
      <c r="Q88" s="24"/>
      <c r="R88" s="24">
        <v>37</v>
      </c>
      <c r="S88" s="24">
        <v>37</v>
      </c>
      <c r="T88" s="24">
        <f t="shared" si="8"/>
        <v>37</v>
      </c>
      <c r="U88" s="24">
        <f>ROUNDDOWN(S88/HLOOKUP(D88,Table!$C$3:$D$4,2,0)*8,2)</f>
        <v>0.65</v>
      </c>
      <c r="V88" s="24">
        <v>1</v>
      </c>
      <c r="W88" s="24" t="s">
        <v>108</v>
      </c>
      <c r="X88" s="28">
        <v>43894</v>
      </c>
      <c r="Y88" s="28">
        <v>43902</v>
      </c>
      <c r="Z88" s="28">
        <v>43902</v>
      </c>
      <c r="AA88" s="28">
        <v>43902</v>
      </c>
      <c r="AB88" s="31" t="s">
        <v>161</v>
      </c>
      <c r="AC88" s="24">
        <v>100</v>
      </c>
      <c r="AD88" s="24">
        <v>100</v>
      </c>
      <c r="AE88" s="24">
        <v>100</v>
      </c>
      <c r="AF88" s="27" t="s">
        <v>76</v>
      </c>
      <c r="AG88" s="27" t="s">
        <v>76</v>
      </c>
    </row>
    <row r="89" spans="1:33" x14ac:dyDescent="0.25">
      <c r="B89" s="51">
        <f t="shared" si="9"/>
        <v>87</v>
      </c>
      <c r="C89" s="24">
        <v>20200309</v>
      </c>
      <c r="D89" s="24" t="s">
        <v>3</v>
      </c>
      <c r="E89" s="24" t="s">
        <v>253</v>
      </c>
      <c r="F89" s="27" t="s">
        <v>258</v>
      </c>
      <c r="G89" s="57">
        <v>1364387</v>
      </c>
      <c r="H89" s="24" t="s">
        <v>269</v>
      </c>
      <c r="I89" s="49" t="s">
        <v>196</v>
      </c>
      <c r="J89" s="24">
        <v>99478</v>
      </c>
      <c r="K89" s="24" t="s">
        <v>282</v>
      </c>
      <c r="L89" s="27" t="str">
        <f t="shared" si="7"/>
        <v>-</v>
      </c>
      <c r="M89" s="27" t="s">
        <v>369</v>
      </c>
      <c r="N89" s="26" t="s">
        <v>562</v>
      </c>
      <c r="O89" s="42" t="s">
        <v>88</v>
      </c>
      <c r="P89" s="24"/>
      <c r="Q89" s="24"/>
      <c r="R89" s="53">
        <v>67</v>
      </c>
      <c r="S89" s="57">
        <v>67</v>
      </c>
      <c r="T89" s="56">
        <f t="shared" si="8"/>
        <v>67</v>
      </c>
      <c r="U89" s="24">
        <f>ROUNDDOWN(S89/HLOOKUP(D89,Table!$C$3:$D$4,2,0)*8,2)</f>
        <v>1.19</v>
      </c>
      <c r="V89" s="24">
        <v>1.1499999999999999</v>
      </c>
      <c r="W89" s="24" t="s">
        <v>108</v>
      </c>
      <c r="X89" s="28">
        <v>43899</v>
      </c>
      <c r="Y89" s="28">
        <v>43903</v>
      </c>
      <c r="Z89" s="28">
        <v>43906</v>
      </c>
      <c r="AA89" s="28">
        <v>43906</v>
      </c>
      <c r="AB89" s="31" t="s">
        <v>161</v>
      </c>
      <c r="AC89" s="24">
        <v>100</v>
      </c>
      <c r="AD89" s="24">
        <v>100</v>
      </c>
      <c r="AE89" s="24">
        <v>100</v>
      </c>
      <c r="AF89" s="27" t="s">
        <v>76</v>
      </c>
      <c r="AG89" s="27" t="s">
        <v>76</v>
      </c>
    </row>
    <row r="90" spans="1:33" x14ac:dyDescent="0.25">
      <c r="B90" s="51">
        <f t="shared" si="9"/>
        <v>88</v>
      </c>
      <c r="C90" s="24">
        <v>20200309</v>
      </c>
      <c r="D90" s="24" t="s">
        <v>3</v>
      </c>
      <c r="E90" s="24" t="s">
        <v>254</v>
      </c>
      <c r="F90" s="27" t="s">
        <v>259</v>
      </c>
      <c r="G90" s="57">
        <v>1362438</v>
      </c>
      <c r="H90" s="24" t="s">
        <v>270</v>
      </c>
      <c r="I90" s="49" t="s">
        <v>196</v>
      </c>
      <c r="J90" s="24">
        <v>97499</v>
      </c>
      <c r="K90" s="24" t="s">
        <v>254</v>
      </c>
      <c r="L90" s="27" t="str">
        <f t="shared" si="7"/>
        <v>-</v>
      </c>
      <c r="M90" s="27" t="s">
        <v>369</v>
      </c>
      <c r="N90" s="26" t="s">
        <v>563</v>
      </c>
      <c r="O90" s="42" t="s">
        <v>87</v>
      </c>
      <c r="P90" s="24"/>
      <c r="Q90" s="24"/>
      <c r="R90" s="53">
        <v>130</v>
      </c>
      <c r="S90" s="25">
        <v>288</v>
      </c>
      <c r="T90" s="24">
        <f t="shared" si="8"/>
        <v>288</v>
      </c>
      <c r="U90" s="24">
        <f>ROUNDDOWN(S90/HLOOKUP(D90,Table!$C$3:$D$4,2,0)*8,2)</f>
        <v>5.12</v>
      </c>
      <c r="V90" s="24">
        <v>9</v>
      </c>
      <c r="W90" s="24" t="s">
        <v>108</v>
      </c>
      <c r="X90" s="28">
        <v>43899</v>
      </c>
      <c r="Y90" s="28">
        <v>43903</v>
      </c>
      <c r="Z90" s="28">
        <v>43902</v>
      </c>
      <c r="AA90" s="28">
        <v>43902</v>
      </c>
      <c r="AB90" s="31" t="s">
        <v>161</v>
      </c>
      <c r="AC90" s="24">
        <v>100</v>
      </c>
      <c r="AD90" s="24">
        <v>100</v>
      </c>
      <c r="AE90" s="24">
        <v>100</v>
      </c>
      <c r="AF90" s="27" t="s">
        <v>76</v>
      </c>
      <c r="AG90" s="27" t="s">
        <v>76</v>
      </c>
    </row>
    <row r="91" spans="1:33" x14ac:dyDescent="0.25">
      <c r="B91" s="51">
        <f t="shared" si="9"/>
        <v>89</v>
      </c>
      <c r="C91" s="24">
        <v>20200309</v>
      </c>
      <c r="D91" s="24" t="s">
        <v>3</v>
      </c>
      <c r="E91" s="24" t="s">
        <v>255</v>
      </c>
      <c r="F91" s="27" t="s">
        <v>265</v>
      </c>
      <c r="G91" s="56">
        <v>1362431</v>
      </c>
      <c r="H91" s="24" t="s">
        <v>271</v>
      </c>
      <c r="I91" s="49" t="s">
        <v>196</v>
      </c>
      <c r="J91" s="26">
        <v>81433</v>
      </c>
      <c r="K91" s="24" t="s">
        <v>283</v>
      </c>
      <c r="L91" s="27" t="str">
        <f t="shared" ref="L91:L122" si="12">IF(D91="ASW","PUT_VERSION","-")</f>
        <v>-</v>
      </c>
      <c r="M91" s="27" t="s">
        <v>376</v>
      </c>
      <c r="N91" s="26" t="s">
        <v>564</v>
      </c>
      <c r="O91" s="42" t="s">
        <v>86</v>
      </c>
      <c r="P91" s="24"/>
      <c r="Q91" s="24"/>
      <c r="R91" s="53">
        <v>1703</v>
      </c>
      <c r="S91" s="24">
        <v>1703</v>
      </c>
      <c r="T91" s="24">
        <f t="shared" si="8"/>
        <v>1703</v>
      </c>
      <c r="U91" s="24">
        <f>ROUNDDOWN(S91/HLOOKUP(D91,Table!$C$3:$D$4,2,0)*8,2)</f>
        <v>30.27</v>
      </c>
      <c r="V91" s="24">
        <v>8</v>
      </c>
      <c r="W91" s="24" t="s">
        <v>108</v>
      </c>
      <c r="X91" s="28">
        <v>43899</v>
      </c>
      <c r="Y91" s="28">
        <v>43903</v>
      </c>
      <c r="Z91" s="28">
        <v>43901</v>
      </c>
      <c r="AA91" s="28">
        <v>43901</v>
      </c>
      <c r="AB91" s="31" t="s">
        <v>161</v>
      </c>
      <c r="AC91" s="24">
        <v>100</v>
      </c>
      <c r="AD91" s="24">
        <v>100</v>
      </c>
      <c r="AE91" s="24">
        <v>100</v>
      </c>
      <c r="AF91" s="27" t="s">
        <v>76</v>
      </c>
      <c r="AG91" s="27" t="s">
        <v>76</v>
      </c>
    </row>
    <row r="92" spans="1:33" x14ac:dyDescent="0.25">
      <c r="B92" s="51">
        <f t="shared" si="9"/>
        <v>90</v>
      </c>
      <c r="C92" s="24">
        <v>20200309</v>
      </c>
      <c r="D92" s="24" t="s">
        <v>3</v>
      </c>
      <c r="E92" s="24" t="s">
        <v>255</v>
      </c>
      <c r="F92" s="27" t="s">
        <v>266</v>
      </c>
      <c r="G92" s="56">
        <v>1362431</v>
      </c>
      <c r="H92" s="24" t="s">
        <v>120</v>
      </c>
      <c r="I92" s="49" t="s">
        <v>196</v>
      </c>
      <c r="J92" s="24">
        <v>81434</v>
      </c>
      <c r="K92" s="24" t="s">
        <v>283</v>
      </c>
      <c r="L92" s="27" t="str">
        <f t="shared" si="12"/>
        <v>-</v>
      </c>
      <c r="M92" s="27" t="s">
        <v>376</v>
      </c>
      <c r="N92" s="26" t="s">
        <v>565</v>
      </c>
      <c r="O92" s="42" t="s">
        <v>87</v>
      </c>
      <c r="P92" s="24"/>
      <c r="Q92" s="24"/>
      <c r="R92" s="53">
        <v>144</v>
      </c>
      <c r="S92" s="25">
        <v>165</v>
      </c>
      <c r="T92" s="24">
        <f t="shared" si="8"/>
        <v>165</v>
      </c>
      <c r="U92" s="24">
        <f>ROUNDDOWN(S92/HLOOKUP(D92,Table!$C$3:$D$4,2,0)*8,2)</f>
        <v>2.93</v>
      </c>
      <c r="V92" s="24">
        <v>2.5</v>
      </c>
      <c r="W92" s="24" t="s">
        <v>108</v>
      </c>
      <c r="X92" s="28">
        <v>43899</v>
      </c>
      <c r="Y92" s="28">
        <v>43903</v>
      </c>
      <c r="Z92" s="28">
        <v>43902</v>
      </c>
      <c r="AA92" s="28">
        <v>43902</v>
      </c>
      <c r="AB92" s="31" t="s">
        <v>161</v>
      </c>
      <c r="AC92" s="24">
        <v>100</v>
      </c>
      <c r="AD92" s="24">
        <v>100</v>
      </c>
      <c r="AE92" s="24">
        <v>100</v>
      </c>
      <c r="AF92" s="27" t="s">
        <v>76</v>
      </c>
      <c r="AG92" s="27" t="s">
        <v>76</v>
      </c>
    </row>
    <row r="93" spans="1:33" x14ac:dyDescent="0.25">
      <c r="B93" s="51">
        <f t="shared" si="9"/>
        <v>91</v>
      </c>
      <c r="C93" s="24">
        <v>20200309</v>
      </c>
      <c r="D93" s="24" t="s">
        <v>3</v>
      </c>
      <c r="E93" s="24" t="s">
        <v>255</v>
      </c>
      <c r="F93" s="27" t="s">
        <v>267</v>
      </c>
      <c r="G93" s="56">
        <v>1362431</v>
      </c>
      <c r="H93" s="24" t="s">
        <v>272</v>
      </c>
      <c r="I93" s="49" t="s">
        <v>196</v>
      </c>
      <c r="J93" s="26">
        <v>81435</v>
      </c>
      <c r="K93" s="24" t="s">
        <v>283</v>
      </c>
      <c r="L93" s="27" t="str">
        <f t="shared" si="12"/>
        <v>-</v>
      </c>
      <c r="M93" s="27" t="s">
        <v>376</v>
      </c>
      <c r="N93" s="26" t="s">
        <v>566</v>
      </c>
      <c r="O93" s="42" t="s">
        <v>86</v>
      </c>
      <c r="P93" s="24"/>
      <c r="Q93" s="24"/>
      <c r="R93" s="53">
        <v>111</v>
      </c>
      <c r="S93" s="24">
        <v>111</v>
      </c>
      <c r="T93" s="24">
        <f t="shared" si="8"/>
        <v>111</v>
      </c>
      <c r="U93" s="24">
        <f>ROUNDDOWN(S93/HLOOKUP(D93,Table!$C$3:$D$4,2,0)*8,2)</f>
        <v>1.97</v>
      </c>
      <c r="V93" s="24">
        <v>1</v>
      </c>
      <c r="W93" s="24" t="s">
        <v>108</v>
      </c>
      <c r="X93" s="28">
        <v>43899</v>
      </c>
      <c r="Y93" s="28">
        <v>43903</v>
      </c>
      <c r="Z93" s="28">
        <v>43902</v>
      </c>
      <c r="AA93" s="28">
        <v>43902</v>
      </c>
      <c r="AB93" s="31" t="s">
        <v>161</v>
      </c>
      <c r="AC93" s="24">
        <v>100</v>
      </c>
      <c r="AD93" s="24">
        <v>100</v>
      </c>
      <c r="AE93" s="24">
        <v>100</v>
      </c>
      <c r="AF93" s="27" t="s">
        <v>76</v>
      </c>
      <c r="AG93" s="27" t="s">
        <v>76</v>
      </c>
    </row>
    <row r="94" spans="1:33" x14ac:dyDescent="0.25">
      <c r="B94" s="51">
        <f t="shared" si="9"/>
        <v>92</v>
      </c>
      <c r="C94" s="24">
        <v>20200309</v>
      </c>
      <c r="D94" s="24" t="s">
        <v>3</v>
      </c>
      <c r="E94" s="24" t="s">
        <v>255</v>
      </c>
      <c r="F94" s="27" t="s">
        <v>268</v>
      </c>
      <c r="G94" s="56">
        <v>1362431</v>
      </c>
      <c r="H94" s="24" t="s">
        <v>273</v>
      </c>
      <c r="I94" s="49" t="s">
        <v>196</v>
      </c>
      <c r="J94" s="24">
        <v>81436</v>
      </c>
      <c r="K94" s="24" t="s">
        <v>283</v>
      </c>
      <c r="L94" s="27" t="str">
        <f t="shared" si="12"/>
        <v>-</v>
      </c>
      <c r="M94" s="27" t="s">
        <v>376</v>
      </c>
      <c r="N94" s="26" t="s">
        <v>567</v>
      </c>
      <c r="O94" s="42" t="s">
        <v>86</v>
      </c>
      <c r="P94" s="24"/>
      <c r="Q94" s="24"/>
      <c r="R94" s="53">
        <v>12</v>
      </c>
      <c r="S94" s="24">
        <v>12</v>
      </c>
      <c r="T94" s="24">
        <f t="shared" si="8"/>
        <v>12</v>
      </c>
      <c r="U94" s="24">
        <f>ROUNDDOWN(S94/HLOOKUP(D94,Table!$C$3:$D$4,2,0)*8,2)</f>
        <v>0.21</v>
      </c>
      <c r="V94" s="24">
        <v>0.1</v>
      </c>
      <c r="W94" s="24" t="s">
        <v>108</v>
      </c>
      <c r="X94" s="28">
        <v>43899</v>
      </c>
      <c r="Y94" s="28">
        <v>43903</v>
      </c>
      <c r="Z94" s="28">
        <v>43902</v>
      </c>
      <c r="AA94" s="28">
        <v>43902</v>
      </c>
      <c r="AB94" s="31"/>
      <c r="AC94" s="24" t="s">
        <v>76</v>
      </c>
      <c r="AD94" s="24" t="s">
        <v>76</v>
      </c>
      <c r="AE94" s="24" t="s">
        <v>76</v>
      </c>
      <c r="AF94" s="24" t="s">
        <v>313</v>
      </c>
      <c r="AG94" s="27" t="s">
        <v>76</v>
      </c>
    </row>
    <row r="95" spans="1:33" x14ac:dyDescent="0.25">
      <c r="B95" s="51">
        <f t="shared" si="9"/>
        <v>93</v>
      </c>
      <c r="C95" s="24">
        <v>20200309</v>
      </c>
      <c r="D95" s="24" t="s">
        <v>3</v>
      </c>
      <c r="E95" s="24" t="s">
        <v>255</v>
      </c>
      <c r="F95" s="27" t="s">
        <v>267</v>
      </c>
      <c r="G95" s="56">
        <v>1362431</v>
      </c>
      <c r="H95" s="24" t="s">
        <v>274</v>
      </c>
      <c r="I95" s="49" t="s">
        <v>196</v>
      </c>
      <c r="J95" s="24">
        <v>81437</v>
      </c>
      <c r="K95" s="24" t="s">
        <v>283</v>
      </c>
      <c r="L95" s="27" t="str">
        <f t="shared" si="12"/>
        <v>-</v>
      </c>
      <c r="M95" s="27" t="s">
        <v>376</v>
      </c>
      <c r="N95" s="26" t="s">
        <v>568</v>
      </c>
      <c r="O95" s="42" t="s">
        <v>87</v>
      </c>
      <c r="P95" s="24"/>
      <c r="Q95" s="24"/>
      <c r="R95" s="53">
        <v>191</v>
      </c>
      <c r="S95" s="24">
        <v>191</v>
      </c>
      <c r="T95" s="24">
        <f t="shared" si="8"/>
        <v>191</v>
      </c>
      <c r="U95" s="24">
        <f>ROUNDDOWN(S95/HLOOKUP(D95,Table!$C$3:$D$4,2,0)*8,2)</f>
        <v>3.39</v>
      </c>
      <c r="V95" s="24">
        <v>3</v>
      </c>
      <c r="W95" s="24" t="s">
        <v>108</v>
      </c>
      <c r="X95" s="28">
        <v>43899</v>
      </c>
      <c r="Y95" s="28">
        <v>43903</v>
      </c>
      <c r="Z95" s="28">
        <v>43902</v>
      </c>
      <c r="AA95" s="28">
        <v>43902</v>
      </c>
      <c r="AB95" s="31"/>
      <c r="AC95" s="24" t="s">
        <v>76</v>
      </c>
      <c r="AD95" s="24" t="s">
        <v>76</v>
      </c>
      <c r="AE95" s="24" t="s">
        <v>76</v>
      </c>
      <c r="AF95" s="24" t="s">
        <v>313</v>
      </c>
      <c r="AG95" s="27" t="s">
        <v>76</v>
      </c>
    </row>
    <row r="96" spans="1:33" x14ac:dyDescent="0.25">
      <c r="B96" s="51">
        <f t="shared" si="9"/>
        <v>94</v>
      </c>
      <c r="C96" s="24">
        <v>20200309</v>
      </c>
      <c r="D96" s="24" t="s">
        <v>3</v>
      </c>
      <c r="E96" s="24" t="s">
        <v>255</v>
      </c>
      <c r="F96" s="27" t="s">
        <v>260</v>
      </c>
      <c r="G96" s="57">
        <v>1362409</v>
      </c>
      <c r="H96" s="24" t="s">
        <v>275</v>
      </c>
      <c r="I96" s="49" t="s">
        <v>196</v>
      </c>
      <c r="J96" s="26">
        <v>81033</v>
      </c>
      <c r="K96" s="24" t="s">
        <v>283</v>
      </c>
      <c r="L96" s="27" t="str">
        <f t="shared" si="12"/>
        <v>-</v>
      </c>
      <c r="M96" s="27" t="s">
        <v>376</v>
      </c>
      <c r="N96" s="26" t="s">
        <v>569</v>
      </c>
      <c r="O96" s="42" t="s">
        <v>86</v>
      </c>
      <c r="P96" s="24"/>
      <c r="Q96" s="24"/>
      <c r="R96" s="53">
        <v>21</v>
      </c>
      <c r="S96" s="25">
        <v>131</v>
      </c>
      <c r="T96" s="24">
        <f t="shared" si="8"/>
        <v>131</v>
      </c>
      <c r="U96" s="24">
        <f>ROUNDDOWN(S96/HLOOKUP(D96,Table!$C$3:$D$4,2,0)*8,2)</f>
        <v>2.3199999999999998</v>
      </c>
      <c r="V96" s="24">
        <v>6.9</v>
      </c>
      <c r="W96" s="24" t="s">
        <v>108</v>
      </c>
      <c r="X96" s="28">
        <v>43899</v>
      </c>
      <c r="Y96" s="28">
        <v>43903</v>
      </c>
      <c r="Z96" s="28">
        <v>43902</v>
      </c>
      <c r="AA96" s="28">
        <v>43902</v>
      </c>
      <c r="AB96" s="31" t="s">
        <v>161</v>
      </c>
      <c r="AC96" s="24">
        <v>100</v>
      </c>
      <c r="AD96" s="24">
        <v>100</v>
      </c>
      <c r="AE96" s="24">
        <v>100</v>
      </c>
      <c r="AF96" s="27" t="s">
        <v>76</v>
      </c>
      <c r="AG96" s="27" t="s">
        <v>76</v>
      </c>
    </row>
    <row r="97" spans="1:33" x14ac:dyDescent="0.25">
      <c r="B97" s="51">
        <f t="shared" si="9"/>
        <v>95</v>
      </c>
      <c r="C97" s="24">
        <v>20200309</v>
      </c>
      <c r="D97" s="24" t="s">
        <v>3</v>
      </c>
      <c r="E97" s="24" t="s">
        <v>256</v>
      </c>
      <c r="F97" s="27" t="s">
        <v>261</v>
      </c>
      <c r="G97" s="56">
        <v>1362280</v>
      </c>
      <c r="H97" s="24" t="s">
        <v>276</v>
      </c>
      <c r="I97" s="49" t="s">
        <v>196</v>
      </c>
      <c r="J97" s="24">
        <v>80507</v>
      </c>
      <c r="K97" s="24" t="s">
        <v>284</v>
      </c>
      <c r="L97" s="27" t="str">
        <f t="shared" si="12"/>
        <v>-</v>
      </c>
      <c r="M97" s="27" t="s">
        <v>377</v>
      </c>
      <c r="N97" s="26" t="s">
        <v>570</v>
      </c>
      <c r="O97" s="42" t="s">
        <v>87</v>
      </c>
      <c r="P97" s="24"/>
      <c r="Q97" s="24"/>
      <c r="R97" s="53">
        <v>25</v>
      </c>
      <c r="S97" s="24">
        <v>25</v>
      </c>
      <c r="T97" s="24">
        <f t="shared" si="8"/>
        <v>25</v>
      </c>
      <c r="U97" s="24">
        <f>ROUNDDOWN(S97/HLOOKUP(D97,Table!$C$3:$D$4,2,0)*8,2)</f>
        <v>0.44</v>
      </c>
      <c r="V97" s="24">
        <v>0.2</v>
      </c>
      <c r="W97" s="24" t="s">
        <v>108</v>
      </c>
      <c r="X97" s="28">
        <v>43899</v>
      </c>
      <c r="Y97" s="28">
        <v>43903</v>
      </c>
      <c r="Z97" s="28">
        <v>43902</v>
      </c>
      <c r="AA97" s="28">
        <v>43902</v>
      </c>
      <c r="AB97" s="31" t="s">
        <v>161</v>
      </c>
      <c r="AC97" s="24">
        <v>100</v>
      </c>
      <c r="AD97" s="24">
        <v>100</v>
      </c>
      <c r="AE97" s="24">
        <v>100</v>
      </c>
      <c r="AF97" s="27" t="s">
        <v>76</v>
      </c>
      <c r="AG97" s="27" t="s">
        <v>76</v>
      </c>
    </row>
    <row r="98" spans="1:33" x14ac:dyDescent="0.25">
      <c r="B98" s="51">
        <f t="shared" si="9"/>
        <v>96</v>
      </c>
      <c r="C98" s="24">
        <v>20200309</v>
      </c>
      <c r="D98" s="24" t="s">
        <v>3</v>
      </c>
      <c r="E98" s="24" t="s">
        <v>256</v>
      </c>
      <c r="F98" s="27" t="s">
        <v>262</v>
      </c>
      <c r="G98" s="56">
        <v>1362280</v>
      </c>
      <c r="H98" s="24" t="s">
        <v>277</v>
      </c>
      <c r="I98" s="49" t="s">
        <v>196</v>
      </c>
      <c r="J98" s="24">
        <v>80507</v>
      </c>
      <c r="K98" s="24" t="s">
        <v>284</v>
      </c>
      <c r="L98" s="27" t="str">
        <f t="shared" si="12"/>
        <v>-</v>
      </c>
      <c r="M98" s="27" t="s">
        <v>377</v>
      </c>
      <c r="N98" s="26" t="s">
        <v>571</v>
      </c>
      <c r="O98" s="42" t="s">
        <v>87</v>
      </c>
      <c r="P98" s="24"/>
      <c r="Q98" s="24"/>
      <c r="R98" s="53">
        <v>151</v>
      </c>
      <c r="S98" s="24">
        <v>151</v>
      </c>
      <c r="T98" s="24">
        <f t="shared" si="8"/>
        <v>151</v>
      </c>
      <c r="U98" s="24">
        <f>ROUNDDOWN(S98/HLOOKUP(D98,Table!$C$3:$D$4,2,0)*8,2)</f>
        <v>2.68</v>
      </c>
      <c r="V98" s="24">
        <v>2.5</v>
      </c>
      <c r="W98" s="24" t="s">
        <v>108</v>
      </c>
      <c r="X98" s="28">
        <v>43899</v>
      </c>
      <c r="Y98" s="28">
        <v>43903</v>
      </c>
      <c r="Z98" s="28">
        <v>43902</v>
      </c>
      <c r="AA98" s="28">
        <v>43902</v>
      </c>
      <c r="AB98" s="31" t="s">
        <v>161</v>
      </c>
      <c r="AC98" s="24">
        <v>100</v>
      </c>
      <c r="AD98" s="24">
        <v>100</v>
      </c>
      <c r="AE98" s="24">
        <v>100</v>
      </c>
      <c r="AF98" s="27" t="s">
        <v>76</v>
      </c>
      <c r="AG98" s="27" t="s">
        <v>76</v>
      </c>
    </row>
    <row r="99" spans="1:33" x14ac:dyDescent="0.25">
      <c r="B99" s="51">
        <f t="shared" si="9"/>
        <v>97</v>
      </c>
      <c r="C99" s="24">
        <v>20200309</v>
      </c>
      <c r="D99" s="24" t="s">
        <v>3</v>
      </c>
      <c r="E99" s="24" t="s">
        <v>256</v>
      </c>
      <c r="F99" s="27" t="s">
        <v>326</v>
      </c>
      <c r="G99" s="56">
        <v>1362280</v>
      </c>
      <c r="H99" s="24" t="s">
        <v>278</v>
      </c>
      <c r="I99" s="49" t="s">
        <v>196</v>
      </c>
      <c r="J99" s="24">
        <v>80507</v>
      </c>
      <c r="K99" s="24" t="s">
        <v>284</v>
      </c>
      <c r="L99" s="27" t="str">
        <f t="shared" si="12"/>
        <v>-</v>
      </c>
      <c r="M99" s="27" t="s">
        <v>377</v>
      </c>
      <c r="N99" s="26" t="s">
        <v>572</v>
      </c>
      <c r="O99" s="23" t="s">
        <v>85</v>
      </c>
      <c r="P99" s="24"/>
      <c r="Q99" s="24"/>
      <c r="R99" s="53">
        <v>178</v>
      </c>
      <c r="S99" s="24">
        <v>178</v>
      </c>
      <c r="T99" s="24">
        <f t="shared" si="8"/>
        <v>178</v>
      </c>
      <c r="U99" s="24">
        <f>ROUNDDOWN(S99/HLOOKUP(D99,Table!$C$3:$D$4,2,0)*8,2)</f>
        <v>3.16</v>
      </c>
      <c r="V99" s="24">
        <v>4</v>
      </c>
      <c r="W99" s="24" t="s">
        <v>108</v>
      </c>
      <c r="X99" s="28">
        <v>43899</v>
      </c>
      <c r="Y99" s="28">
        <v>43903</v>
      </c>
      <c r="Z99" s="28">
        <v>43903</v>
      </c>
      <c r="AA99" s="28">
        <v>43903</v>
      </c>
      <c r="AB99" s="31" t="s">
        <v>161</v>
      </c>
      <c r="AC99" s="24">
        <v>100</v>
      </c>
      <c r="AD99" s="24">
        <v>100</v>
      </c>
      <c r="AE99" s="24">
        <v>100</v>
      </c>
      <c r="AF99" s="27" t="s">
        <v>76</v>
      </c>
      <c r="AG99" s="27" t="s">
        <v>76</v>
      </c>
    </row>
    <row r="100" spans="1:33" x14ac:dyDescent="0.25">
      <c r="B100" s="51">
        <f t="shared" si="9"/>
        <v>98</v>
      </c>
      <c r="C100" s="24">
        <v>20200309</v>
      </c>
      <c r="D100" s="24" t="s">
        <v>3</v>
      </c>
      <c r="E100" s="24" t="s">
        <v>255</v>
      </c>
      <c r="F100" s="27" t="s">
        <v>263</v>
      </c>
      <c r="G100" s="57">
        <v>1362197</v>
      </c>
      <c r="H100" s="24" t="s">
        <v>279</v>
      </c>
      <c r="I100" s="49" t="s">
        <v>196</v>
      </c>
      <c r="J100" s="24">
        <v>81033</v>
      </c>
      <c r="K100" s="24" t="s">
        <v>283</v>
      </c>
      <c r="L100" s="27" t="str">
        <f t="shared" si="12"/>
        <v>-</v>
      </c>
      <c r="M100" s="27" t="s">
        <v>378</v>
      </c>
      <c r="N100" s="26" t="s">
        <v>573</v>
      </c>
      <c r="O100" s="42" t="s">
        <v>87</v>
      </c>
      <c r="P100" s="24"/>
      <c r="Q100" s="24"/>
      <c r="R100" s="53">
        <v>280</v>
      </c>
      <c r="S100" s="25">
        <v>277</v>
      </c>
      <c r="T100" s="24">
        <f t="shared" si="8"/>
        <v>277</v>
      </c>
      <c r="U100" s="24">
        <f>ROUNDDOWN(S100/HLOOKUP(D100,Table!$C$3:$D$4,2,0)*8,2)</f>
        <v>4.92</v>
      </c>
      <c r="V100" s="24">
        <v>2</v>
      </c>
      <c r="W100" s="24" t="s">
        <v>108</v>
      </c>
      <c r="X100" s="28">
        <v>43899</v>
      </c>
      <c r="Y100" s="28">
        <v>43903</v>
      </c>
      <c r="Z100" s="28">
        <v>43903</v>
      </c>
      <c r="AA100" s="28">
        <v>43903</v>
      </c>
      <c r="AB100" s="31" t="s">
        <v>161</v>
      </c>
      <c r="AC100" s="24">
        <v>100</v>
      </c>
      <c r="AD100" s="24">
        <v>100</v>
      </c>
      <c r="AE100" s="24">
        <v>100</v>
      </c>
      <c r="AF100" s="27" t="s">
        <v>76</v>
      </c>
      <c r="AG100" s="27" t="s">
        <v>76</v>
      </c>
    </row>
    <row r="101" spans="1:33" x14ac:dyDescent="0.25">
      <c r="B101" s="51">
        <f t="shared" si="9"/>
        <v>99</v>
      </c>
      <c r="C101" s="24">
        <v>20200309</v>
      </c>
      <c r="D101" s="24" t="s">
        <v>3</v>
      </c>
      <c r="E101" s="24" t="s">
        <v>255</v>
      </c>
      <c r="F101" s="27" t="s">
        <v>267</v>
      </c>
      <c r="G101" s="57">
        <v>1362163</v>
      </c>
      <c r="H101" s="24" t="s">
        <v>280</v>
      </c>
      <c r="I101" s="49" t="s">
        <v>196</v>
      </c>
      <c r="J101" s="24">
        <v>81033</v>
      </c>
      <c r="K101" s="24" t="s">
        <v>283</v>
      </c>
      <c r="L101" s="27" t="str">
        <f t="shared" si="12"/>
        <v>-</v>
      </c>
      <c r="M101" s="27" t="s">
        <v>379</v>
      </c>
      <c r="N101" s="26" t="s">
        <v>574</v>
      </c>
      <c r="O101" s="23" t="s">
        <v>85</v>
      </c>
      <c r="P101" s="24"/>
      <c r="Q101" s="24"/>
      <c r="R101" s="53">
        <v>259</v>
      </c>
      <c r="S101" s="24">
        <v>259</v>
      </c>
      <c r="T101" s="24">
        <f t="shared" si="8"/>
        <v>259</v>
      </c>
      <c r="U101" s="24">
        <f>ROUNDDOWN(S101/HLOOKUP(D101,Table!$C$3:$D$4,2,0)*8,2)</f>
        <v>4.5999999999999996</v>
      </c>
      <c r="V101" s="24">
        <v>6</v>
      </c>
      <c r="W101" s="24" t="s">
        <v>108</v>
      </c>
      <c r="X101" s="28">
        <v>43899</v>
      </c>
      <c r="Y101" s="28">
        <v>43903</v>
      </c>
      <c r="Z101" s="28">
        <v>43903</v>
      </c>
      <c r="AA101" s="28">
        <v>43903</v>
      </c>
      <c r="AB101" s="31" t="s">
        <v>160</v>
      </c>
      <c r="AC101" s="24">
        <v>100</v>
      </c>
      <c r="AD101" s="24">
        <v>100</v>
      </c>
      <c r="AE101" s="24">
        <v>94</v>
      </c>
      <c r="AF101" s="24" t="s">
        <v>343</v>
      </c>
      <c r="AG101" s="27" t="s">
        <v>76</v>
      </c>
    </row>
    <row r="102" spans="1:33" x14ac:dyDescent="0.25">
      <c r="B102" s="51">
        <f t="shared" si="9"/>
        <v>100</v>
      </c>
      <c r="C102" s="24">
        <v>20200309</v>
      </c>
      <c r="D102" s="24" t="s">
        <v>3</v>
      </c>
      <c r="E102" s="24" t="s">
        <v>257</v>
      </c>
      <c r="F102" s="27" t="s">
        <v>264</v>
      </c>
      <c r="G102" s="57">
        <v>1360524</v>
      </c>
      <c r="H102" s="24" t="s">
        <v>281</v>
      </c>
      <c r="I102" s="49" t="s">
        <v>196</v>
      </c>
      <c r="J102" s="24" t="s">
        <v>104</v>
      </c>
      <c r="K102" s="24" t="s">
        <v>93</v>
      </c>
      <c r="L102" s="27" t="str">
        <f t="shared" si="12"/>
        <v>-</v>
      </c>
      <c r="M102" s="27" t="s">
        <v>380</v>
      </c>
      <c r="N102" s="26" t="s">
        <v>575</v>
      </c>
      <c r="O102" s="42" t="s">
        <v>87</v>
      </c>
      <c r="P102" s="24"/>
      <c r="Q102" s="24"/>
      <c r="R102" s="53">
        <v>35</v>
      </c>
      <c r="S102" s="24">
        <v>35</v>
      </c>
      <c r="T102" s="26">
        <f t="shared" si="8"/>
        <v>35</v>
      </c>
      <c r="U102" s="24">
        <f>ROUNDDOWN(S102/HLOOKUP(D102,Table!$C$3:$D$4,2,0)*8,2)</f>
        <v>0.62</v>
      </c>
      <c r="V102" s="24">
        <v>0.5</v>
      </c>
      <c r="W102" s="24" t="s">
        <v>108</v>
      </c>
      <c r="X102" s="28">
        <v>43899</v>
      </c>
      <c r="Y102" s="28">
        <v>43903</v>
      </c>
      <c r="Z102" s="28">
        <v>43903</v>
      </c>
      <c r="AA102" s="28">
        <v>43903</v>
      </c>
      <c r="AB102" s="31" t="s">
        <v>161</v>
      </c>
      <c r="AC102" s="24">
        <v>100</v>
      </c>
      <c r="AD102" s="24">
        <v>100</v>
      </c>
      <c r="AE102" s="24">
        <v>100</v>
      </c>
      <c r="AF102" s="27" t="s">
        <v>76</v>
      </c>
      <c r="AG102" s="27" t="s">
        <v>76</v>
      </c>
    </row>
    <row r="103" spans="1:33" x14ac:dyDescent="0.25">
      <c r="B103" s="55">
        <f>B102+1</f>
        <v>101</v>
      </c>
      <c r="C103" s="24">
        <v>20200312</v>
      </c>
      <c r="D103" s="24" t="s">
        <v>3</v>
      </c>
      <c r="E103" s="24" t="s">
        <v>253</v>
      </c>
      <c r="F103" s="27" t="s">
        <v>297</v>
      </c>
      <c r="G103" s="74">
        <v>1368920</v>
      </c>
      <c r="H103" s="24" t="s">
        <v>301</v>
      </c>
      <c r="I103" s="49" t="s">
        <v>196</v>
      </c>
      <c r="J103" s="24">
        <v>99478</v>
      </c>
      <c r="K103" s="24" t="s">
        <v>210</v>
      </c>
      <c r="L103" s="27" t="str">
        <f t="shared" si="12"/>
        <v>-</v>
      </c>
      <c r="M103" s="27" t="s">
        <v>369</v>
      </c>
      <c r="N103" s="26" t="s">
        <v>576</v>
      </c>
      <c r="O103" s="24" t="s">
        <v>85</v>
      </c>
      <c r="P103" s="24"/>
      <c r="Q103" s="24"/>
      <c r="R103" s="53">
        <v>191</v>
      </c>
      <c r="S103" s="24">
        <v>191</v>
      </c>
      <c r="T103" s="26">
        <f t="shared" si="8"/>
        <v>191</v>
      </c>
      <c r="U103" s="24">
        <f>ROUNDDOWN(S103/HLOOKUP(D103,Table!$C$3:$D$4,2,0)*8,2)</f>
        <v>3.39</v>
      </c>
      <c r="V103" s="24">
        <v>5</v>
      </c>
      <c r="W103" s="24" t="s">
        <v>108</v>
      </c>
      <c r="X103" s="28">
        <v>43902</v>
      </c>
      <c r="Y103" s="28">
        <v>43907</v>
      </c>
      <c r="Z103" s="28">
        <v>43906</v>
      </c>
      <c r="AA103" s="28">
        <v>43906</v>
      </c>
      <c r="AB103" s="31" t="s">
        <v>161</v>
      </c>
      <c r="AC103" s="24">
        <v>100</v>
      </c>
      <c r="AD103" s="24">
        <v>100</v>
      </c>
      <c r="AE103" s="24">
        <v>100</v>
      </c>
      <c r="AF103" s="27" t="s">
        <v>76</v>
      </c>
      <c r="AG103" s="27" t="s">
        <v>76</v>
      </c>
    </row>
    <row r="104" spans="1:33" x14ac:dyDescent="0.25">
      <c r="B104" s="55">
        <f t="shared" si="9"/>
        <v>102</v>
      </c>
      <c r="C104" s="24">
        <v>20200312</v>
      </c>
      <c r="D104" s="24" t="s">
        <v>3</v>
      </c>
      <c r="E104" s="24" t="s">
        <v>253</v>
      </c>
      <c r="F104" s="27" t="s">
        <v>258</v>
      </c>
      <c r="G104" s="74">
        <v>1368920</v>
      </c>
      <c r="H104" s="24" t="s">
        <v>269</v>
      </c>
      <c r="I104" s="49" t="s">
        <v>196</v>
      </c>
      <c r="J104" s="24">
        <v>99478</v>
      </c>
      <c r="K104" s="24" t="s">
        <v>210</v>
      </c>
      <c r="L104" s="27" t="str">
        <f t="shared" si="12"/>
        <v>-</v>
      </c>
      <c r="M104" s="27" t="s">
        <v>369</v>
      </c>
      <c r="N104" s="26" t="s">
        <v>577</v>
      </c>
      <c r="O104" s="24" t="s">
        <v>88</v>
      </c>
      <c r="P104" s="24"/>
      <c r="Q104" s="24"/>
      <c r="R104" s="53">
        <v>67</v>
      </c>
      <c r="S104" s="57">
        <v>67</v>
      </c>
      <c r="T104" s="57">
        <f t="shared" si="8"/>
        <v>67</v>
      </c>
      <c r="U104" s="24">
        <f>ROUNDDOWN(S104/HLOOKUP(D104,Table!$C$3:$D$4,2,0)*8,2)</f>
        <v>1.19</v>
      </c>
      <c r="V104" s="24">
        <v>0.5</v>
      </c>
      <c r="W104" s="24" t="s">
        <v>108</v>
      </c>
      <c r="X104" s="28">
        <v>43902</v>
      </c>
      <c r="Y104" s="28">
        <v>43907</v>
      </c>
      <c r="Z104" s="28">
        <v>43906</v>
      </c>
      <c r="AA104" s="28">
        <v>43906</v>
      </c>
      <c r="AB104" s="31" t="s">
        <v>161</v>
      </c>
      <c r="AC104" s="24">
        <v>100</v>
      </c>
      <c r="AD104" s="24">
        <v>100</v>
      </c>
      <c r="AE104" s="24">
        <v>100</v>
      </c>
      <c r="AF104" s="24" t="s">
        <v>334</v>
      </c>
      <c r="AG104" s="27" t="s">
        <v>76</v>
      </c>
    </row>
    <row r="105" spans="1:33" x14ac:dyDescent="0.25">
      <c r="B105" s="55">
        <f t="shared" si="9"/>
        <v>103</v>
      </c>
      <c r="C105" s="24">
        <v>20200312</v>
      </c>
      <c r="D105" s="24" t="s">
        <v>3</v>
      </c>
      <c r="E105" s="24" t="s">
        <v>77</v>
      </c>
      <c r="F105" s="27" t="s">
        <v>220</v>
      </c>
      <c r="G105" s="74">
        <v>1368889</v>
      </c>
      <c r="H105" s="24" t="s">
        <v>227</v>
      </c>
      <c r="I105" s="49" t="s">
        <v>196</v>
      </c>
      <c r="J105" s="24">
        <v>80504</v>
      </c>
      <c r="K105" s="24" t="s">
        <v>93</v>
      </c>
      <c r="L105" s="27" t="str">
        <f t="shared" si="12"/>
        <v>-</v>
      </c>
      <c r="M105" s="27" t="s">
        <v>373</v>
      </c>
      <c r="N105" s="26" t="s">
        <v>578</v>
      </c>
      <c r="O105" s="24" t="s">
        <v>85</v>
      </c>
      <c r="P105" s="24"/>
      <c r="Q105" s="24"/>
      <c r="R105" s="53">
        <v>431</v>
      </c>
      <c r="S105" s="24">
        <v>431</v>
      </c>
      <c r="T105" s="24">
        <f t="shared" si="8"/>
        <v>431</v>
      </c>
      <c r="U105" s="24">
        <f>ROUNDDOWN(S105/HLOOKUP(D105,Table!$C$3:$D$4,2,0)*8,2)</f>
        <v>7.66</v>
      </c>
      <c r="V105" s="24">
        <v>8</v>
      </c>
      <c r="W105" s="24" t="s">
        <v>108</v>
      </c>
      <c r="X105" s="28">
        <v>43902</v>
      </c>
      <c r="Y105" s="28">
        <v>43907</v>
      </c>
      <c r="Z105" s="28">
        <v>43907</v>
      </c>
      <c r="AA105" s="28">
        <v>43907</v>
      </c>
      <c r="AB105" s="31" t="s">
        <v>161</v>
      </c>
      <c r="AC105" s="24">
        <v>100</v>
      </c>
      <c r="AD105" s="24">
        <v>100</v>
      </c>
      <c r="AE105" s="24">
        <v>100</v>
      </c>
      <c r="AF105" s="27" t="s">
        <v>76</v>
      </c>
      <c r="AG105" s="27" t="s">
        <v>76</v>
      </c>
    </row>
    <row r="106" spans="1:33" x14ac:dyDescent="0.25">
      <c r="B106" s="55">
        <f t="shared" si="9"/>
        <v>104</v>
      </c>
      <c r="C106" s="24">
        <v>20200312</v>
      </c>
      <c r="D106" s="24" t="s">
        <v>3</v>
      </c>
      <c r="E106" s="24" t="s">
        <v>77</v>
      </c>
      <c r="F106" s="27" t="s">
        <v>220</v>
      </c>
      <c r="G106" s="74">
        <v>1368889</v>
      </c>
      <c r="H106" s="24" t="s">
        <v>302</v>
      </c>
      <c r="I106" s="49" t="s">
        <v>196</v>
      </c>
      <c r="J106" s="24">
        <v>80504</v>
      </c>
      <c r="K106" s="24" t="s">
        <v>93</v>
      </c>
      <c r="L106" s="27" t="str">
        <f t="shared" si="12"/>
        <v>-</v>
      </c>
      <c r="M106" s="27" t="s">
        <v>373</v>
      </c>
      <c r="N106" s="26" t="s">
        <v>579</v>
      </c>
      <c r="O106" s="24" t="s">
        <v>88</v>
      </c>
      <c r="P106" s="24"/>
      <c r="Q106" s="24"/>
      <c r="R106" s="53">
        <v>184</v>
      </c>
      <c r="S106" s="57">
        <v>184</v>
      </c>
      <c r="T106" s="57">
        <f t="shared" si="8"/>
        <v>184</v>
      </c>
      <c r="U106" s="24">
        <f>ROUNDDOWN(S106/HLOOKUP(D106,Table!$C$3:$D$4,2,0)*8,2)</f>
        <v>3.27</v>
      </c>
      <c r="V106" s="24">
        <v>2</v>
      </c>
      <c r="W106" s="24" t="s">
        <v>108</v>
      </c>
      <c r="X106" s="28">
        <v>43902</v>
      </c>
      <c r="Y106" s="28">
        <v>43907</v>
      </c>
      <c r="Z106" s="28">
        <v>43906</v>
      </c>
      <c r="AA106" s="28">
        <v>43906</v>
      </c>
      <c r="AB106" s="31" t="s">
        <v>161</v>
      </c>
      <c r="AC106" s="24">
        <v>100</v>
      </c>
      <c r="AD106" s="24">
        <v>100</v>
      </c>
      <c r="AE106" s="24">
        <v>100</v>
      </c>
      <c r="AF106" s="27" t="s">
        <v>76</v>
      </c>
      <c r="AG106" s="27" t="s">
        <v>76</v>
      </c>
    </row>
    <row r="107" spans="1:33" x14ac:dyDescent="0.25">
      <c r="B107" s="55">
        <f t="shared" ref="B107:B117" si="13">B106+1</f>
        <v>105</v>
      </c>
      <c r="C107" s="24">
        <v>20200312</v>
      </c>
      <c r="D107" s="24" t="s">
        <v>3</v>
      </c>
      <c r="E107" s="24" t="s">
        <v>295</v>
      </c>
      <c r="F107" s="27"/>
      <c r="G107" s="44">
        <v>1359407</v>
      </c>
      <c r="H107" s="24" t="s">
        <v>303</v>
      </c>
      <c r="I107" s="49" t="s">
        <v>196</v>
      </c>
      <c r="J107" s="24"/>
      <c r="K107" s="24" t="s">
        <v>105</v>
      </c>
      <c r="L107" s="27" t="str">
        <f t="shared" si="12"/>
        <v>-</v>
      </c>
      <c r="M107" s="27" t="s">
        <v>367</v>
      </c>
      <c r="N107" s="26" t="s">
        <v>580</v>
      </c>
      <c r="O107" s="42" t="s">
        <v>87</v>
      </c>
      <c r="P107" s="24"/>
      <c r="Q107" s="24"/>
      <c r="R107" s="53">
        <v>1023</v>
      </c>
      <c r="S107" s="24">
        <v>1023</v>
      </c>
      <c r="T107" s="24">
        <f t="shared" si="8"/>
        <v>1023</v>
      </c>
      <c r="U107" s="24">
        <f>ROUNDDOWN(S107/HLOOKUP(D107,Table!$C$3:$D$4,2,0)*8,2)</f>
        <v>18.18</v>
      </c>
      <c r="V107" s="24">
        <v>12</v>
      </c>
      <c r="W107" s="24" t="s">
        <v>108</v>
      </c>
      <c r="X107" s="28">
        <v>43902</v>
      </c>
      <c r="Y107" s="28">
        <v>43907</v>
      </c>
      <c r="Z107" s="28">
        <v>43906</v>
      </c>
      <c r="AA107" s="28">
        <v>43906</v>
      </c>
      <c r="AB107" s="31" t="s">
        <v>161</v>
      </c>
      <c r="AC107" s="24">
        <v>100</v>
      </c>
      <c r="AD107" s="24">
        <v>100</v>
      </c>
      <c r="AE107" s="24">
        <v>100</v>
      </c>
      <c r="AF107" s="27" t="s">
        <v>76</v>
      </c>
      <c r="AG107" s="27" t="s">
        <v>76</v>
      </c>
    </row>
    <row r="108" spans="1:33" s="78" customFormat="1" x14ac:dyDescent="0.25">
      <c r="A108" s="77"/>
      <c r="B108" s="84">
        <f t="shared" si="13"/>
        <v>106</v>
      </c>
      <c r="C108" s="79">
        <v>20200312</v>
      </c>
      <c r="D108" s="79" t="s">
        <v>3</v>
      </c>
      <c r="E108" s="79" t="s">
        <v>296</v>
      </c>
      <c r="F108" s="80" t="s">
        <v>298</v>
      </c>
      <c r="G108" s="79">
        <v>1264979</v>
      </c>
      <c r="H108" s="24" t="s">
        <v>304</v>
      </c>
      <c r="I108" s="83" t="s">
        <v>196</v>
      </c>
      <c r="J108" s="79">
        <v>81728</v>
      </c>
      <c r="K108" s="79" t="s">
        <v>312</v>
      </c>
      <c r="L108" s="80" t="str">
        <f t="shared" si="12"/>
        <v>-</v>
      </c>
      <c r="M108" s="34" t="s">
        <v>381</v>
      </c>
      <c r="N108" s="126" t="s">
        <v>581</v>
      </c>
      <c r="O108" s="79" t="s">
        <v>86</v>
      </c>
      <c r="P108" s="79"/>
      <c r="Q108" s="79"/>
      <c r="R108" s="79">
        <v>43</v>
      </c>
      <c r="S108" s="79">
        <v>43</v>
      </c>
      <c r="T108" s="79">
        <f t="shared" si="8"/>
        <v>43</v>
      </c>
      <c r="U108" s="24">
        <f>ROUNDDOWN(S108/HLOOKUP(D108,Table!$C$3:$D$4,2,0)*8,2)</f>
        <v>0.76</v>
      </c>
      <c r="V108" s="79">
        <v>1</v>
      </c>
      <c r="W108" s="24" t="s">
        <v>108</v>
      </c>
      <c r="X108" s="28">
        <v>43902</v>
      </c>
      <c r="Y108" s="28">
        <v>43907</v>
      </c>
      <c r="Z108" s="91">
        <v>43906</v>
      </c>
      <c r="AA108" s="87">
        <v>43906</v>
      </c>
      <c r="AB108" s="81" t="s">
        <v>161</v>
      </c>
      <c r="AC108" s="79">
        <v>100</v>
      </c>
      <c r="AD108" s="79">
        <v>100</v>
      </c>
      <c r="AE108" s="79">
        <v>100</v>
      </c>
      <c r="AF108" s="27" t="s">
        <v>76</v>
      </c>
      <c r="AG108" s="27" t="s">
        <v>76</v>
      </c>
    </row>
    <row r="109" spans="1:33" x14ac:dyDescent="0.25">
      <c r="B109" s="55">
        <f t="shared" si="13"/>
        <v>107</v>
      </c>
      <c r="C109" s="24">
        <v>20200312</v>
      </c>
      <c r="D109" s="24" t="s">
        <v>3</v>
      </c>
      <c r="E109" s="24" t="s">
        <v>296</v>
      </c>
      <c r="F109" s="27" t="s">
        <v>298</v>
      </c>
      <c r="G109" s="74">
        <v>1264979</v>
      </c>
      <c r="H109" s="24" t="s">
        <v>305</v>
      </c>
      <c r="I109" s="49" t="s">
        <v>196</v>
      </c>
      <c r="J109" s="24">
        <v>81728</v>
      </c>
      <c r="K109" s="24" t="s">
        <v>312</v>
      </c>
      <c r="L109" s="27" t="str">
        <f t="shared" si="12"/>
        <v>-</v>
      </c>
      <c r="M109" s="27" t="s">
        <v>381</v>
      </c>
      <c r="N109" s="26" t="s">
        <v>582</v>
      </c>
      <c r="O109" s="24" t="s">
        <v>87</v>
      </c>
      <c r="P109" s="24"/>
      <c r="Q109" s="24"/>
      <c r="R109" s="53">
        <v>231</v>
      </c>
      <c r="S109" s="24">
        <v>231</v>
      </c>
      <c r="T109" s="24">
        <f t="shared" si="8"/>
        <v>231</v>
      </c>
      <c r="U109" s="24">
        <f>ROUNDDOWN(S109/HLOOKUP(D109,Table!$C$3:$D$4,2,0)*8,2)</f>
        <v>4.0999999999999996</v>
      </c>
      <c r="V109" s="24">
        <v>3</v>
      </c>
      <c r="W109" s="24" t="s">
        <v>108</v>
      </c>
      <c r="X109" s="28">
        <v>43902</v>
      </c>
      <c r="Y109" s="28">
        <v>43907</v>
      </c>
      <c r="Z109" s="28">
        <v>43906</v>
      </c>
      <c r="AA109" s="28">
        <v>43906</v>
      </c>
      <c r="AB109" s="31" t="s">
        <v>161</v>
      </c>
      <c r="AC109" s="24">
        <v>100</v>
      </c>
      <c r="AD109" s="24">
        <v>100</v>
      </c>
      <c r="AE109" s="24">
        <v>100</v>
      </c>
      <c r="AF109" s="27" t="s">
        <v>76</v>
      </c>
      <c r="AG109" s="27" t="s">
        <v>76</v>
      </c>
    </row>
    <row r="110" spans="1:33" x14ac:dyDescent="0.25">
      <c r="B110" s="55">
        <f t="shared" si="13"/>
        <v>108</v>
      </c>
      <c r="C110" s="24">
        <v>20200312</v>
      </c>
      <c r="D110" s="24" t="s">
        <v>3</v>
      </c>
      <c r="E110" s="24" t="s">
        <v>296</v>
      </c>
      <c r="F110" s="27" t="s">
        <v>298</v>
      </c>
      <c r="G110" s="74">
        <v>1264979</v>
      </c>
      <c r="H110" s="24" t="s">
        <v>306</v>
      </c>
      <c r="I110" s="49" t="s">
        <v>196</v>
      </c>
      <c r="J110" s="24">
        <v>81728</v>
      </c>
      <c r="K110" s="24" t="s">
        <v>312</v>
      </c>
      <c r="L110" s="27" t="str">
        <f t="shared" si="12"/>
        <v>-</v>
      </c>
      <c r="M110" s="27" t="s">
        <v>381</v>
      </c>
      <c r="N110" s="26" t="s">
        <v>583</v>
      </c>
      <c r="O110" s="24" t="s">
        <v>88</v>
      </c>
      <c r="P110" s="24"/>
      <c r="Q110" s="24"/>
      <c r="R110" s="53">
        <v>360</v>
      </c>
      <c r="S110" s="24">
        <f>R110</f>
        <v>360</v>
      </c>
      <c r="T110" s="24">
        <f t="shared" si="8"/>
        <v>360</v>
      </c>
      <c r="U110" s="24">
        <f>ROUNDDOWN(S110/HLOOKUP(D110,Table!$C$3:$D$4,2,0)*8,2)</f>
        <v>6.4</v>
      </c>
      <c r="V110" s="24">
        <v>3</v>
      </c>
      <c r="W110" s="24" t="s">
        <v>108</v>
      </c>
      <c r="X110" s="28">
        <v>43902</v>
      </c>
      <c r="Y110" s="28">
        <v>43907</v>
      </c>
      <c r="Z110" s="28">
        <v>43906</v>
      </c>
      <c r="AA110" s="28">
        <v>43906</v>
      </c>
      <c r="AB110" s="31" t="s">
        <v>161</v>
      </c>
      <c r="AC110" s="24">
        <v>100</v>
      </c>
      <c r="AD110" s="24">
        <v>100</v>
      </c>
      <c r="AE110" s="24">
        <v>100</v>
      </c>
      <c r="AF110" s="27" t="s">
        <v>76</v>
      </c>
      <c r="AG110" s="27" t="s">
        <v>76</v>
      </c>
    </row>
    <row r="111" spans="1:33" s="78" customFormat="1" x14ac:dyDescent="0.25">
      <c r="A111" s="77"/>
      <c r="B111" s="84">
        <f t="shared" si="13"/>
        <v>109</v>
      </c>
      <c r="C111" s="79">
        <v>20200312</v>
      </c>
      <c r="D111" s="79" t="s">
        <v>3</v>
      </c>
      <c r="E111" s="79" t="s">
        <v>296</v>
      </c>
      <c r="F111" s="80" t="s">
        <v>298</v>
      </c>
      <c r="G111" s="79">
        <v>1264979</v>
      </c>
      <c r="H111" s="24" t="s">
        <v>303</v>
      </c>
      <c r="I111" s="83" t="s">
        <v>196</v>
      </c>
      <c r="J111" s="79">
        <v>81728</v>
      </c>
      <c r="K111" s="79" t="s">
        <v>312</v>
      </c>
      <c r="L111" s="80" t="str">
        <f t="shared" si="12"/>
        <v>-</v>
      </c>
      <c r="M111" s="34" t="s">
        <v>381</v>
      </c>
      <c r="N111" s="126" t="s">
        <v>584</v>
      </c>
      <c r="O111" s="79" t="s">
        <v>86</v>
      </c>
      <c r="P111" s="79"/>
      <c r="Q111" s="79"/>
      <c r="R111" s="79">
        <v>1023</v>
      </c>
      <c r="S111" s="79">
        <v>1023</v>
      </c>
      <c r="T111" s="79">
        <f t="shared" si="8"/>
        <v>1023</v>
      </c>
      <c r="U111" s="24">
        <f>ROUNDDOWN(S111/HLOOKUP(D111,Table!$C$3:$D$4,2,0)*8,2)</f>
        <v>18.18</v>
      </c>
      <c r="V111" s="79">
        <v>8</v>
      </c>
      <c r="W111" s="24" t="s">
        <v>108</v>
      </c>
      <c r="X111" s="28">
        <v>43902</v>
      </c>
      <c r="Y111" s="28">
        <v>43907</v>
      </c>
      <c r="Z111" s="91">
        <v>43906</v>
      </c>
      <c r="AA111" s="87">
        <v>43906</v>
      </c>
      <c r="AB111" s="81" t="s">
        <v>161</v>
      </c>
      <c r="AC111" s="79">
        <v>100</v>
      </c>
      <c r="AD111" s="79">
        <v>100</v>
      </c>
      <c r="AE111" s="79">
        <v>100</v>
      </c>
      <c r="AF111" s="27" t="s">
        <v>76</v>
      </c>
      <c r="AG111" s="27" t="s">
        <v>76</v>
      </c>
    </row>
    <row r="112" spans="1:33" s="78" customFormat="1" x14ac:dyDescent="0.25">
      <c r="A112" s="77"/>
      <c r="B112" s="84">
        <f t="shared" si="13"/>
        <v>110</v>
      </c>
      <c r="C112" s="79">
        <v>20200312</v>
      </c>
      <c r="D112" s="79" t="s">
        <v>3</v>
      </c>
      <c r="E112" s="79" t="s">
        <v>296</v>
      </c>
      <c r="F112" s="80" t="s">
        <v>298</v>
      </c>
      <c r="G112" s="79">
        <v>1264979</v>
      </c>
      <c r="H112" s="24" t="s">
        <v>307</v>
      </c>
      <c r="I112" s="83" t="s">
        <v>196</v>
      </c>
      <c r="J112" s="79">
        <v>81728</v>
      </c>
      <c r="K112" s="79" t="s">
        <v>312</v>
      </c>
      <c r="L112" s="80" t="str">
        <f t="shared" si="12"/>
        <v>-</v>
      </c>
      <c r="M112" s="34" t="s">
        <v>381</v>
      </c>
      <c r="N112" s="126" t="s">
        <v>585</v>
      </c>
      <c r="O112" s="79" t="s">
        <v>86</v>
      </c>
      <c r="P112" s="79"/>
      <c r="Q112" s="79"/>
      <c r="R112" s="79">
        <v>303</v>
      </c>
      <c r="S112" s="79">
        <v>303</v>
      </c>
      <c r="T112" s="79">
        <f t="shared" si="8"/>
        <v>303</v>
      </c>
      <c r="U112" s="24">
        <f>ROUNDDOWN(S112/HLOOKUP(D112,Table!$C$3:$D$4,2,0)*8,2)</f>
        <v>5.38</v>
      </c>
      <c r="V112" s="79">
        <v>2</v>
      </c>
      <c r="W112" s="24" t="s">
        <v>108</v>
      </c>
      <c r="X112" s="28">
        <v>43902</v>
      </c>
      <c r="Y112" s="28">
        <v>43907</v>
      </c>
      <c r="Z112" s="91">
        <v>43906</v>
      </c>
      <c r="AA112" s="87">
        <v>43906</v>
      </c>
      <c r="AB112" s="81" t="s">
        <v>161</v>
      </c>
      <c r="AC112" s="79">
        <v>100</v>
      </c>
      <c r="AD112" s="79">
        <v>100</v>
      </c>
      <c r="AE112" s="79">
        <v>100</v>
      </c>
      <c r="AF112" s="27" t="s">
        <v>76</v>
      </c>
      <c r="AG112" s="27" t="s">
        <v>76</v>
      </c>
    </row>
    <row r="113" spans="1:33" s="78" customFormat="1" x14ac:dyDescent="0.25">
      <c r="A113" s="77"/>
      <c r="B113" s="84">
        <f t="shared" si="13"/>
        <v>111</v>
      </c>
      <c r="C113" s="79">
        <v>20200312</v>
      </c>
      <c r="D113" s="79" t="s">
        <v>3</v>
      </c>
      <c r="E113" s="79" t="s">
        <v>296</v>
      </c>
      <c r="F113" s="80" t="s">
        <v>298</v>
      </c>
      <c r="G113" s="79">
        <v>1264979</v>
      </c>
      <c r="H113" s="24" t="s">
        <v>308</v>
      </c>
      <c r="I113" s="83" t="s">
        <v>196</v>
      </c>
      <c r="J113" s="79">
        <v>81728</v>
      </c>
      <c r="K113" s="79" t="s">
        <v>312</v>
      </c>
      <c r="L113" s="80" t="str">
        <f t="shared" si="12"/>
        <v>-</v>
      </c>
      <c r="M113" s="34" t="s">
        <v>381</v>
      </c>
      <c r="N113" s="126" t="s">
        <v>586</v>
      </c>
      <c r="O113" s="79" t="s">
        <v>86</v>
      </c>
      <c r="P113" s="79"/>
      <c r="Q113" s="79"/>
      <c r="R113" s="79">
        <v>87</v>
      </c>
      <c r="S113" s="79">
        <v>87</v>
      </c>
      <c r="T113" s="79">
        <f t="shared" si="8"/>
        <v>87</v>
      </c>
      <c r="U113" s="24">
        <f>ROUNDDOWN(S113/HLOOKUP(D113,Table!$C$3:$D$4,2,0)*8,2)</f>
        <v>1.54</v>
      </c>
      <c r="V113" s="79">
        <v>2</v>
      </c>
      <c r="W113" s="24" t="s">
        <v>108</v>
      </c>
      <c r="X113" s="28">
        <v>43902</v>
      </c>
      <c r="Y113" s="28">
        <v>43907</v>
      </c>
      <c r="Z113" s="91">
        <v>43906</v>
      </c>
      <c r="AA113" s="87">
        <v>43906</v>
      </c>
      <c r="AB113" s="81" t="s">
        <v>161</v>
      </c>
      <c r="AC113" s="79">
        <v>100</v>
      </c>
      <c r="AD113" s="79">
        <v>100</v>
      </c>
      <c r="AE113" s="79">
        <v>100</v>
      </c>
      <c r="AF113" s="27" t="s">
        <v>76</v>
      </c>
      <c r="AG113" s="27" t="s">
        <v>76</v>
      </c>
    </row>
    <row r="114" spans="1:33" x14ac:dyDescent="0.25">
      <c r="B114" s="55">
        <f t="shared" si="13"/>
        <v>112</v>
      </c>
      <c r="C114" s="24">
        <v>20200312</v>
      </c>
      <c r="D114" s="24" t="s">
        <v>3</v>
      </c>
      <c r="E114" s="24" t="s">
        <v>296</v>
      </c>
      <c r="F114" s="27" t="s">
        <v>298</v>
      </c>
      <c r="G114" s="74">
        <v>1264979</v>
      </c>
      <c r="H114" s="24" t="s">
        <v>98</v>
      </c>
      <c r="I114" s="49" t="s">
        <v>196</v>
      </c>
      <c r="J114" s="24">
        <v>81728</v>
      </c>
      <c r="K114" s="24" t="s">
        <v>312</v>
      </c>
      <c r="L114" s="27" t="str">
        <f t="shared" si="12"/>
        <v>-</v>
      </c>
      <c r="M114" s="27" t="s">
        <v>381</v>
      </c>
      <c r="N114" s="26" t="s">
        <v>587</v>
      </c>
      <c r="O114" s="24" t="s">
        <v>85</v>
      </c>
      <c r="P114" s="24"/>
      <c r="Q114" s="24"/>
      <c r="R114" s="53">
        <v>828</v>
      </c>
      <c r="S114" s="24">
        <v>828</v>
      </c>
      <c r="T114" s="24">
        <f t="shared" si="8"/>
        <v>828</v>
      </c>
      <c r="U114" s="24">
        <f>ROUNDDOWN(S114/HLOOKUP(D114,Table!$C$3:$D$4,2,0)*8,2)</f>
        <v>14.72</v>
      </c>
      <c r="V114" s="24">
        <v>8</v>
      </c>
      <c r="W114" s="24" t="s">
        <v>108</v>
      </c>
      <c r="X114" s="28">
        <v>43902</v>
      </c>
      <c r="Y114" s="28">
        <v>43907</v>
      </c>
      <c r="Z114" s="28">
        <v>43906</v>
      </c>
      <c r="AA114" s="28">
        <v>43906</v>
      </c>
      <c r="AB114" s="31" t="s">
        <v>160</v>
      </c>
      <c r="AC114" s="24">
        <v>100</v>
      </c>
      <c r="AD114" s="24">
        <v>100</v>
      </c>
      <c r="AE114" s="24">
        <v>95</v>
      </c>
      <c r="AF114" s="24" t="s">
        <v>343</v>
      </c>
      <c r="AG114" s="27" t="s">
        <v>76</v>
      </c>
    </row>
    <row r="115" spans="1:33" s="78" customFormat="1" x14ac:dyDescent="0.25">
      <c r="A115" s="77"/>
      <c r="B115" s="84">
        <f t="shared" si="13"/>
        <v>113</v>
      </c>
      <c r="C115" s="79">
        <v>20200312</v>
      </c>
      <c r="D115" s="79" t="s">
        <v>3</v>
      </c>
      <c r="E115" s="79" t="s">
        <v>296</v>
      </c>
      <c r="F115" s="80" t="s">
        <v>298</v>
      </c>
      <c r="G115" s="79">
        <v>1264979</v>
      </c>
      <c r="H115" s="24" t="s">
        <v>309</v>
      </c>
      <c r="I115" s="83" t="s">
        <v>196</v>
      </c>
      <c r="J115" s="79">
        <v>81728</v>
      </c>
      <c r="K115" s="79" t="s">
        <v>312</v>
      </c>
      <c r="L115" s="80" t="str">
        <f t="shared" si="12"/>
        <v>-</v>
      </c>
      <c r="M115" s="34" t="s">
        <v>381</v>
      </c>
      <c r="N115" s="126" t="s">
        <v>588</v>
      </c>
      <c r="O115" s="79" t="s">
        <v>86</v>
      </c>
      <c r="P115" s="79"/>
      <c r="Q115" s="79"/>
      <c r="R115" s="79">
        <v>107</v>
      </c>
      <c r="S115" s="79">
        <v>107</v>
      </c>
      <c r="T115" s="79">
        <f t="shared" si="8"/>
        <v>107</v>
      </c>
      <c r="U115" s="24">
        <f>ROUNDDOWN(S115/HLOOKUP(D115,Table!$C$3:$D$4,2,0)*8,2)</f>
        <v>1.9</v>
      </c>
      <c r="V115" s="79">
        <v>2</v>
      </c>
      <c r="W115" s="24" t="s">
        <v>108</v>
      </c>
      <c r="X115" s="28">
        <v>43902</v>
      </c>
      <c r="Y115" s="28">
        <v>43907</v>
      </c>
      <c r="Z115" s="91">
        <v>43906</v>
      </c>
      <c r="AA115" s="87">
        <v>43906</v>
      </c>
      <c r="AB115" s="81" t="s">
        <v>161</v>
      </c>
      <c r="AC115" s="79">
        <v>100</v>
      </c>
      <c r="AD115" s="79">
        <v>100</v>
      </c>
      <c r="AE115" s="79">
        <v>100</v>
      </c>
      <c r="AF115" s="27" t="s">
        <v>76</v>
      </c>
      <c r="AG115" s="27" t="s">
        <v>76</v>
      </c>
    </row>
    <row r="116" spans="1:33" x14ac:dyDescent="0.25">
      <c r="B116" s="55">
        <f t="shared" si="13"/>
        <v>114</v>
      </c>
      <c r="C116" s="24">
        <v>20200312</v>
      </c>
      <c r="D116" s="24" t="s">
        <v>3</v>
      </c>
      <c r="E116" s="24" t="s">
        <v>296</v>
      </c>
      <c r="F116" s="27" t="s">
        <v>299</v>
      </c>
      <c r="G116" s="74">
        <v>1264979</v>
      </c>
      <c r="H116" s="24" t="s">
        <v>310</v>
      </c>
      <c r="I116" s="49" t="s">
        <v>196</v>
      </c>
      <c r="J116" s="24">
        <v>81728</v>
      </c>
      <c r="K116" s="24" t="s">
        <v>312</v>
      </c>
      <c r="L116" s="27" t="str">
        <f t="shared" si="12"/>
        <v>-</v>
      </c>
      <c r="M116" s="27" t="s">
        <v>381</v>
      </c>
      <c r="N116" s="26" t="s">
        <v>589</v>
      </c>
      <c r="O116" s="24" t="s">
        <v>88</v>
      </c>
      <c r="P116" s="24"/>
      <c r="Q116" s="24"/>
      <c r="R116" s="53">
        <v>1193</v>
      </c>
      <c r="S116" s="24">
        <f>R116</f>
        <v>1193</v>
      </c>
      <c r="T116" s="24">
        <f t="shared" si="8"/>
        <v>1193</v>
      </c>
      <c r="U116" s="24">
        <f>ROUNDDOWN(S116/HLOOKUP(D116,Table!$C$3:$D$4,2,0)*8,2)</f>
        <v>21.2</v>
      </c>
      <c r="V116" s="24">
        <v>1</v>
      </c>
      <c r="W116" s="24" t="s">
        <v>108</v>
      </c>
      <c r="X116" s="28">
        <v>43902</v>
      </c>
      <c r="Y116" s="28">
        <v>43907</v>
      </c>
      <c r="Z116" s="28">
        <v>43902</v>
      </c>
      <c r="AA116" s="28">
        <v>43906</v>
      </c>
      <c r="AB116" s="31" t="s">
        <v>161</v>
      </c>
      <c r="AC116" s="24">
        <v>100</v>
      </c>
      <c r="AD116" s="24">
        <v>100</v>
      </c>
      <c r="AE116" s="24">
        <v>100</v>
      </c>
      <c r="AF116" s="27" t="s">
        <v>76</v>
      </c>
      <c r="AG116" s="27" t="s">
        <v>76</v>
      </c>
    </row>
    <row r="117" spans="1:33" s="78" customFormat="1" x14ac:dyDescent="0.25">
      <c r="A117" s="77"/>
      <c r="B117" s="84">
        <f t="shared" si="13"/>
        <v>115</v>
      </c>
      <c r="C117" s="79">
        <v>20200312</v>
      </c>
      <c r="D117" s="79" t="s">
        <v>3</v>
      </c>
      <c r="E117" s="79" t="s">
        <v>296</v>
      </c>
      <c r="F117" s="80" t="s">
        <v>300</v>
      </c>
      <c r="G117" s="79">
        <v>1264979</v>
      </c>
      <c r="H117" s="24" t="s">
        <v>311</v>
      </c>
      <c r="I117" s="83" t="s">
        <v>196</v>
      </c>
      <c r="J117" s="79">
        <v>81728</v>
      </c>
      <c r="K117" s="79" t="s">
        <v>312</v>
      </c>
      <c r="L117" s="80" t="str">
        <f t="shared" si="12"/>
        <v>-</v>
      </c>
      <c r="M117" s="34" t="s">
        <v>381</v>
      </c>
      <c r="N117" s="126" t="s">
        <v>590</v>
      </c>
      <c r="O117" s="79" t="s">
        <v>86</v>
      </c>
      <c r="P117" s="79"/>
      <c r="Q117" s="79"/>
      <c r="R117" s="79">
        <v>23</v>
      </c>
      <c r="S117" s="79">
        <v>23</v>
      </c>
      <c r="T117" s="79">
        <f t="shared" si="8"/>
        <v>23</v>
      </c>
      <c r="U117" s="24">
        <f>ROUNDDOWN(S117/HLOOKUP(D117,Table!$C$3:$D$4,2,0)*8,2)</f>
        <v>0.4</v>
      </c>
      <c r="V117" s="79">
        <v>1</v>
      </c>
      <c r="W117" s="24" t="s">
        <v>108</v>
      </c>
      <c r="X117" s="28">
        <v>43902</v>
      </c>
      <c r="Y117" s="28">
        <v>43907</v>
      </c>
      <c r="Z117" s="91">
        <v>43906</v>
      </c>
      <c r="AA117" s="87">
        <v>43906</v>
      </c>
      <c r="AB117" s="81" t="s">
        <v>160</v>
      </c>
      <c r="AC117" s="79">
        <v>87</v>
      </c>
      <c r="AD117" s="79">
        <v>50</v>
      </c>
      <c r="AE117" s="79">
        <v>0</v>
      </c>
      <c r="AF117" s="26" t="s">
        <v>410</v>
      </c>
      <c r="AG117" s="27" t="s">
        <v>76</v>
      </c>
    </row>
    <row r="118" spans="1:33" x14ac:dyDescent="0.25">
      <c r="B118" s="70">
        <f t="shared" si="9"/>
        <v>116</v>
      </c>
      <c r="C118" s="24">
        <v>20200313</v>
      </c>
      <c r="D118" s="24" t="s">
        <v>3</v>
      </c>
      <c r="E118" s="24" t="s">
        <v>330</v>
      </c>
      <c r="F118" s="27" t="s">
        <v>327</v>
      </c>
      <c r="G118" s="56">
        <v>1371489</v>
      </c>
      <c r="H118" s="24" t="s">
        <v>335</v>
      </c>
      <c r="I118" s="49" t="s">
        <v>196</v>
      </c>
      <c r="J118" s="24">
        <v>81923</v>
      </c>
      <c r="K118" s="24" t="s">
        <v>332</v>
      </c>
      <c r="L118" s="27" t="str">
        <f t="shared" si="12"/>
        <v>-</v>
      </c>
      <c r="M118" s="27" t="s">
        <v>382</v>
      </c>
      <c r="N118" s="26" t="s">
        <v>591</v>
      </c>
      <c r="O118" s="24" t="s">
        <v>85</v>
      </c>
      <c r="P118" s="24"/>
      <c r="Q118" s="24"/>
      <c r="R118" s="53">
        <v>194</v>
      </c>
      <c r="S118" s="24">
        <v>194</v>
      </c>
      <c r="T118" s="26">
        <f t="shared" si="8"/>
        <v>194</v>
      </c>
      <c r="U118" s="79">
        <f>ROUNDDOWN(S118/HLOOKUP(D118,Table!$C$3:$D$4,2,0)*8,2)</f>
        <v>3.44</v>
      </c>
      <c r="V118" s="24">
        <v>3</v>
      </c>
      <c r="W118" s="24" t="s">
        <v>108</v>
      </c>
      <c r="X118" s="28">
        <v>43903</v>
      </c>
      <c r="Y118" s="28">
        <v>43908</v>
      </c>
      <c r="Z118" s="28">
        <v>43908</v>
      </c>
      <c r="AA118" s="28">
        <v>43908</v>
      </c>
      <c r="AB118" s="31" t="s">
        <v>161</v>
      </c>
      <c r="AC118" s="24">
        <v>100</v>
      </c>
      <c r="AD118" s="24">
        <v>100</v>
      </c>
      <c r="AE118" s="24">
        <v>100</v>
      </c>
      <c r="AF118" s="27" t="s">
        <v>76</v>
      </c>
      <c r="AG118" s="27" t="s">
        <v>76</v>
      </c>
    </row>
    <row r="119" spans="1:33" x14ac:dyDescent="0.25">
      <c r="B119" s="70">
        <f t="shared" si="9"/>
        <v>117</v>
      </c>
      <c r="C119" s="24">
        <v>20200313</v>
      </c>
      <c r="D119" s="24" t="s">
        <v>3</v>
      </c>
      <c r="E119" s="24" t="s">
        <v>330</v>
      </c>
      <c r="F119" s="27" t="s">
        <v>327</v>
      </c>
      <c r="G119" s="56">
        <v>1371489</v>
      </c>
      <c r="H119" s="24" t="s">
        <v>336</v>
      </c>
      <c r="I119" s="49" t="s">
        <v>196</v>
      </c>
      <c r="J119" s="24">
        <v>81923</v>
      </c>
      <c r="K119" s="24" t="s">
        <v>332</v>
      </c>
      <c r="L119" s="27" t="str">
        <f t="shared" si="12"/>
        <v>-</v>
      </c>
      <c r="M119" s="27" t="s">
        <v>382</v>
      </c>
      <c r="N119" s="26" t="s">
        <v>592</v>
      </c>
      <c r="O119" s="24" t="s">
        <v>85</v>
      </c>
      <c r="P119" s="24"/>
      <c r="Q119" s="24"/>
      <c r="R119" s="53">
        <v>2</v>
      </c>
      <c r="S119" s="24">
        <v>2</v>
      </c>
      <c r="T119" s="24">
        <f t="shared" si="8"/>
        <v>2</v>
      </c>
      <c r="U119" s="79">
        <f>ROUNDDOWN(S119/HLOOKUP(D119,Table!$C$3:$D$4,2,0)*8,2)</f>
        <v>0.03</v>
      </c>
      <c r="V119" s="24">
        <v>0.03</v>
      </c>
      <c r="W119" s="24" t="s">
        <v>108</v>
      </c>
      <c r="X119" s="28">
        <v>43903</v>
      </c>
      <c r="Y119" s="28">
        <v>43908</v>
      </c>
      <c r="Z119" s="28">
        <v>43908</v>
      </c>
      <c r="AA119" s="28">
        <v>43908</v>
      </c>
      <c r="AB119" s="31" t="s">
        <v>161</v>
      </c>
      <c r="AC119" s="24">
        <v>100</v>
      </c>
      <c r="AD119" s="24">
        <v>100</v>
      </c>
      <c r="AE119" s="24">
        <v>100</v>
      </c>
      <c r="AF119" s="27" t="s">
        <v>76</v>
      </c>
      <c r="AG119" s="27" t="s">
        <v>76</v>
      </c>
    </row>
    <row r="120" spans="1:33" ht="30" x14ac:dyDescent="0.25">
      <c r="B120" s="70">
        <f t="shared" si="9"/>
        <v>118</v>
      </c>
      <c r="C120" s="24">
        <v>20200313</v>
      </c>
      <c r="D120" s="24" t="s">
        <v>3</v>
      </c>
      <c r="E120" s="21" t="s">
        <v>331</v>
      </c>
      <c r="F120" s="27" t="s">
        <v>328</v>
      </c>
      <c r="G120" s="107">
        <v>1355916</v>
      </c>
      <c r="H120" s="24" t="s">
        <v>337</v>
      </c>
      <c r="I120" s="25" t="s">
        <v>197</v>
      </c>
      <c r="J120" s="27" t="s">
        <v>76</v>
      </c>
      <c r="K120" s="24" t="s">
        <v>333</v>
      </c>
      <c r="L120" s="27" t="str">
        <f t="shared" si="12"/>
        <v>-</v>
      </c>
      <c r="M120" s="27" t="s">
        <v>374</v>
      </c>
      <c r="N120" s="26" t="s">
        <v>593</v>
      </c>
      <c r="O120" s="24" t="s">
        <v>88</v>
      </c>
      <c r="P120" s="24"/>
      <c r="Q120" s="24"/>
      <c r="R120" s="53">
        <v>28</v>
      </c>
      <c r="S120" s="53">
        <v>28</v>
      </c>
      <c r="T120" s="53">
        <f t="shared" si="8"/>
        <v>28</v>
      </c>
      <c r="U120" s="24">
        <f>ROUNDDOWN(S120/HLOOKUP(D120,Table!$C$3:$D$4,2,0)*8,2)</f>
        <v>0.49</v>
      </c>
      <c r="V120" s="24">
        <v>1</v>
      </c>
      <c r="W120" s="24" t="s">
        <v>108</v>
      </c>
      <c r="X120" s="28">
        <v>43903</v>
      </c>
      <c r="Y120" s="28">
        <v>43908</v>
      </c>
      <c r="Z120" s="28">
        <v>43909</v>
      </c>
      <c r="AA120" s="28">
        <v>43909</v>
      </c>
      <c r="AB120" s="31" t="s">
        <v>161</v>
      </c>
      <c r="AC120" s="24">
        <v>100</v>
      </c>
      <c r="AD120" s="24">
        <v>100</v>
      </c>
      <c r="AE120" s="24">
        <v>100</v>
      </c>
      <c r="AF120" s="129" t="s">
        <v>635</v>
      </c>
      <c r="AG120" s="27" t="s">
        <v>76</v>
      </c>
    </row>
    <row r="121" spans="1:33" x14ac:dyDescent="0.25">
      <c r="B121" s="70">
        <f t="shared" si="9"/>
        <v>119</v>
      </c>
      <c r="C121" s="24">
        <v>20200313</v>
      </c>
      <c r="D121" s="24" t="s">
        <v>3</v>
      </c>
      <c r="E121" s="24" t="s">
        <v>331</v>
      </c>
      <c r="F121" s="27" t="s">
        <v>329</v>
      </c>
      <c r="G121" s="107">
        <v>1355916</v>
      </c>
      <c r="H121" s="24" t="s">
        <v>338</v>
      </c>
      <c r="I121" s="25" t="s">
        <v>197</v>
      </c>
      <c r="J121" s="27" t="s">
        <v>76</v>
      </c>
      <c r="K121" s="24" t="s">
        <v>333</v>
      </c>
      <c r="L121" s="27" t="str">
        <f t="shared" si="12"/>
        <v>-</v>
      </c>
      <c r="M121" s="27" t="s">
        <v>374</v>
      </c>
      <c r="N121" s="26" t="s">
        <v>594</v>
      </c>
      <c r="O121" s="24" t="s">
        <v>88</v>
      </c>
      <c r="P121" s="24"/>
      <c r="Q121" s="24"/>
      <c r="R121" s="53">
        <v>226</v>
      </c>
      <c r="S121" s="57">
        <v>226</v>
      </c>
      <c r="T121" s="57">
        <f t="shared" si="8"/>
        <v>226</v>
      </c>
      <c r="U121" s="24">
        <f>ROUNDDOWN(S121/HLOOKUP(D121,Table!$C$3:$D$4,2,0)*8,2)</f>
        <v>4.01</v>
      </c>
      <c r="V121" s="24">
        <v>1</v>
      </c>
      <c r="W121" s="24" t="s">
        <v>108</v>
      </c>
      <c r="X121" s="28">
        <v>43903</v>
      </c>
      <c r="Y121" s="28">
        <v>43908</v>
      </c>
      <c r="Z121" s="28">
        <v>43908</v>
      </c>
      <c r="AA121" s="28">
        <v>43908</v>
      </c>
      <c r="AB121" s="31" t="s">
        <v>160</v>
      </c>
      <c r="AC121" s="24">
        <v>100</v>
      </c>
      <c r="AD121" s="24">
        <v>100</v>
      </c>
      <c r="AE121" s="24">
        <v>97</v>
      </c>
      <c r="AF121" s="24" t="s">
        <v>433</v>
      </c>
      <c r="AG121" s="27" t="s">
        <v>76</v>
      </c>
    </row>
    <row r="122" spans="1:33" x14ac:dyDescent="0.25">
      <c r="B122" s="70">
        <f t="shared" si="9"/>
        <v>120</v>
      </c>
      <c r="C122" s="24">
        <v>20200313</v>
      </c>
      <c r="D122" s="24" t="s">
        <v>3</v>
      </c>
      <c r="E122" s="24" t="s">
        <v>331</v>
      </c>
      <c r="F122" s="27" t="s">
        <v>329</v>
      </c>
      <c r="G122" s="107">
        <v>1355916</v>
      </c>
      <c r="H122" s="24" t="s">
        <v>339</v>
      </c>
      <c r="I122" s="25" t="s">
        <v>197</v>
      </c>
      <c r="J122" s="27" t="s">
        <v>76</v>
      </c>
      <c r="K122" s="24" t="s">
        <v>333</v>
      </c>
      <c r="L122" s="27" t="str">
        <f t="shared" si="12"/>
        <v>-</v>
      </c>
      <c r="M122" s="27" t="s">
        <v>374</v>
      </c>
      <c r="N122" s="26" t="s">
        <v>595</v>
      </c>
      <c r="O122" s="24" t="s">
        <v>86</v>
      </c>
      <c r="P122" s="24"/>
      <c r="Q122" s="24"/>
      <c r="R122" s="53">
        <v>77</v>
      </c>
      <c r="S122" s="24">
        <v>77</v>
      </c>
      <c r="T122" s="26">
        <f t="shared" si="8"/>
        <v>77</v>
      </c>
      <c r="U122" s="24">
        <f>ROUNDDOWN(S122/HLOOKUP(D122,Table!$C$3:$D$4,2,0)*8,2)</f>
        <v>1.36</v>
      </c>
      <c r="V122" s="24">
        <v>2</v>
      </c>
      <c r="W122" s="24" t="s">
        <v>108</v>
      </c>
      <c r="X122" s="28">
        <v>43903</v>
      </c>
      <c r="Y122" s="28">
        <v>43908</v>
      </c>
      <c r="Z122" s="28">
        <v>43908</v>
      </c>
      <c r="AA122" s="28">
        <v>43908</v>
      </c>
      <c r="AB122" s="31" t="s">
        <v>161</v>
      </c>
      <c r="AC122" s="88">
        <v>100</v>
      </c>
      <c r="AD122" s="88">
        <v>100</v>
      </c>
      <c r="AE122" s="88">
        <v>100</v>
      </c>
      <c r="AF122" s="27" t="s">
        <v>76</v>
      </c>
      <c r="AG122" s="27" t="s">
        <v>76</v>
      </c>
    </row>
    <row r="123" spans="1:33" x14ac:dyDescent="0.25">
      <c r="A123" t="s">
        <v>474</v>
      </c>
      <c r="B123" s="32">
        <f t="shared" si="9"/>
        <v>121</v>
      </c>
      <c r="C123" s="24">
        <v>20200313</v>
      </c>
      <c r="D123" s="25" t="s">
        <v>2</v>
      </c>
      <c r="E123" s="24" t="s">
        <v>428</v>
      </c>
      <c r="F123" s="27" t="s">
        <v>76</v>
      </c>
      <c r="G123" s="24">
        <v>1366593</v>
      </c>
      <c r="H123" s="24" t="s">
        <v>429</v>
      </c>
      <c r="I123" s="27" t="s">
        <v>76</v>
      </c>
      <c r="J123" s="27" t="s">
        <v>76</v>
      </c>
      <c r="K123" s="24" t="s">
        <v>430</v>
      </c>
      <c r="L123" s="89" t="s">
        <v>431</v>
      </c>
      <c r="M123" s="27" t="s">
        <v>432</v>
      </c>
      <c r="N123" s="26" t="s">
        <v>596</v>
      </c>
      <c r="O123" s="24" t="s">
        <v>85</v>
      </c>
      <c r="P123" s="24"/>
      <c r="Q123" s="24"/>
      <c r="R123" s="24">
        <v>104</v>
      </c>
      <c r="S123" s="24">
        <v>104</v>
      </c>
      <c r="T123" s="24">
        <f t="shared" si="8"/>
        <v>104</v>
      </c>
      <c r="U123" s="24">
        <f>ROUNDDOWN(S123/HLOOKUP(D123,Table!$C$3:$D$4,2,0)*8,2)</f>
        <v>6.4</v>
      </c>
      <c r="V123" s="24">
        <v>6</v>
      </c>
      <c r="W123" s="24" t="s">
        <v>108</v>
      </c>
      <c r="X123" s="28">
        <v>43903</v>
      </c>
      <c r="Y123" s="28">
        <v>43909</v>
      </c>
      <c r="Z123" s="28">
        <v>43910</v>
      </c>
      <c r="AA123" s="28">
        <v>43909</v>
      </c>
      <c r="AB123" s="31" t="s">
        <v>161</v>
      </c>
      <c r="AC123" s="24">
        <v>100</v>
      </c>
      <c r="AD123" s="24">
        <v>100</v>
      </c>
      <c r="AE123" s="24">
        <v>100</v>
      </c>
      <c r="AF123" s="27" t="s">
        <v>76</v>
      </c>
      <c r="AG123" s="27" t="s">
        <v>76</v>
      </c>
    </row>
    <row r="124" spans="1:33" x14ac:dyDescent="0.25">
      <c r="B124" s="69">
        <f t="shared" si="9"/>
        <v>122</v>
      </c>
      <c r="C124" s="24">
        <v>20200312</v>
      </c>
      <c r="D124" s="25" t="s">
        <v>2</v>
      </c>
      <c r="E124" s="26" t="s">
        <v>314</v>
      </c>
      <c r="F124" s="27" t="s">
        <v>76</v>
      </c>
      <c r="G124" s="56">
        <v>1367009</v>
      </c>
      <c r="H124" s="56" t="s">
        <v>324</v>
      </c>
      <c r="I124" s="27" t="s">
        <v>76</v>
      </c>
      <c r="J124" s="27" t="s">
        <v>76</v>
      </c>
      <c r="K124" s="57" t="s">
        <v>319</v>
      </c>
      <c r="L124" s="56">
        <v>1.2</v>
      </c>
      <c r="M124" s="60" t="s">
        <v>383</v>
      </c>
      <c r="N124" s="26" t="s">
        <v>597</v>
      </c>
      <c r="O124" s="24" t="s">
        <v>85</v>
      </c>
      <c r="P124" s="24"/>
      <c r="Q124" s="24"/>
      <c r="R124" s="58">
        <v>18</v>
      </c>
      <c r="S124" s="24">
        <v>18</v>
      </c>
      <c r="T124" s="26">
        <f t="shared" si="8"/>
        <v>18</v>
      </c>
      <c r="U124" s="58">
        <f>ROUNDDOWN(S124/HLOOKUP(D124,Table!$C$3:$D$4,2,0)*8,2)</f>
        <v>1.1000000000000001</v>
      </c>
      <c r="V124" s="24">
        <v>2</v>
      </c>
      <c r="W124" s="24" t="s">
        <v>108</v>
      </c>
      <c r="X124" s="28">
        <v>43902</v>
      </c>
      <c r="Y124" s="87">
        <v>43910</v>
      </c>
      <c r="Z124" s="28">
        <v>43909</v>
      </c>
      <c r="AA124" s="28">
        <v>43910</v>
      </c>
      <c r="AB124" s="31" t="s">
        <v>161</v>
      </c>
      <c r="AC124" s="90">
        <v>100</v>
      </c>
      <c r="AD124" s="90">
        <v>100</v>
      </c>
      <c r="AE124" s="90">
        <v>100</v>
      </c>
      <c r="AF124" s="27" t="s">
        <v>76</v>
      </c>
      <c r="AG124" s="27" t="s">
        <v>76</v>
      </c>
    </row>
    <row r="125" spans="1:33" s="78" customFormat="1" x14ac:dyDescent="0.2">
      <c r="B125" s="85">
        <f t="shared" si="9"/>
        <v>123</v>
      </c>
      <c r="C125" s="79">
        <v>20200312</v>
      </c>
      <c r="D125" s="86" t="s">
        <v>2</v>
      </c>
      <c r="E125" s="79" t="s">
        <v>314</v>
      </c>
      <c r="F125" s="80" t="s">
        <v>76</v>
      </c>
      <c r="G125" s="79">
        <v>1367009</v>
      </c>
      <c r="H125" s="121" t="s">
        <v>325</v>
      </c>
      <c r="I125" s="80" t="s">
        <v>76</v>
      </c>
      <c r="J125" s="80" t="s">
        <v>76</v>
      </c>
      <c r="K125" s="79" t="s">
        <v>319</v>
      </c>
      <c r="L125" s="79" t="s">
        <v>318</v>
      </c>
      <c r="M125" s="80" t="s">
        <v>383</v>
      </c>
      <c r="N125" s="126" t="s">
        <v>598</v>
      </c>
      <c r="O125" s="79" t="s">
        <v>86</v>
      </c>
      <c r="P125" s="79"/>
      <c r="Q125" s="79"/>
      <c r="R125" s="79">
        <v>15</v>
      </c>
      <c r="S125" s="79">
        <v>15</v>
      </c>
      <c r="T125" s="79">
        <f t="shared" si="8"/>
        <v>15</v>
      </c>
      <c r="U125" s="79">
        <f>ROUNDDOWN(S125/HLOOKUP(D125,Table!$C$3:$D$4,2,0)*8,2)</f>
        <v>0.92</v>
      </c>
      <c r="V125" s="79">
        <v>8</v>
      </c>
      <c r="W125" s="24" t="s">
        <v>108</v>
      </c>
      <c r="X125" s="28">
        <v>43902</v>
      </c>
      <c r="Y125" s="87">
        <v>43910</v>
      </c>
      <c r="Z125" s="87">
        <v>43910</v>
      </c>
      <c r="AA125" s="87">
        <v>43910</v>
      </c>
      <c r="AB125" s="81" t="s">
        <v>161</v>
      </c>
      <c r="AC125" s="82">
        <v>100</v>
      </c>
      <c r="AD125" s="82">
        <v>100</v>
      </c>
      <c r="AE125" s="82">
        <v>100</v>
      </c>
      <c r="AF125" s="27" t="s">
        <v>76</v>
      </c>
      <c r="AG125" s="27" t="s">
        <v>76</v>
      </c>
    </row>
    <row r="126" spans="1:33" x14ac:dyDescent="0.25">
      <c r="B126" s="69">
        <f t="shared" si="9"/>
        <v>124</v>
      </c>
      <c r="C126" s="24">
        <v>20200312</v>
      </c>
      <c r="D126" s="25" t="s">
        <v>2</v>
      </c>
      <c r="E126" s="56" t="s">
        <v>314</v>
      </c>
      <c r="F126" s="27" t="s">
        <v>76</v>
      </c>
      <c r="G126" s="56">
        <v>1366969</v>
      </c>
      <c r="H126" s="121" t="s">
        <v>315</v>
      </c>
      <c r="I126" s="27" t="s">
        <v>76</v>
      </c>
      <c r="J126" s="27" t="s">
        <v>76</v>
      </c>
      <c r="K126" s="57" t="s">
        <v>320</v>
      </c>
      <c r="L126" s="56">
        <v>1.1000000000000001</v>
      </c>
      <c r="M126" s="27" t="s">
        <v>383</v>
      </c>
      <c r="N126" s="26" t="s">
        <v>599</v>
      </c>
      <c r="O126" s="24" t="s">
        <v>86</v>
      </c>
      <c r="P126" s="24"/>
      <c r="Q126" s="24"/>
      <c r="R126" s="58">
        <v>8</v>
      </c>
      <c r="S126" s="24">
        <v>8</v>
      </c>
      <c r="T126" s="24">
        <f t="shared" si="8"/>
        <v>8</v>
      </c>
      <c r="U126" s="58">
        <f>ROUNDDOWN(S126/HLOOKUP(D126,Table!$C$3:$D$4,2,0)*8,2)</f>
        <v>0.49</v>
      </c>
      <c r="V126" s="24">
        <v>1</v>
      </c>
      <c r="W126" s="24" t="s">
        <v>108</v>
      </c>
      <c r="X126" s="28">
        <v>43902</v>
      </c>
      <c r="Y126" s="87">
        <v>43910</v>
      </c>
      <c r="Z126" s="28">
        <v>43913</v>
      </c>
      <c r="AA126" s="28">
        <v>43913</v>
      </c>
      <c r="AB126" s="31" t="s">
        <v>161</v>
      </c>
      <c r="AC126" s="76">
        <v>100</v>
      </c>
      <c r="AD126" s="76">
        <v>100</v>
      </c>
      <c r="AE126" s="76">
        <v>100</v>
      </c>
      <c r="AF126" s="27" t="s">
        <v>76</v>
      </c>
      <c r="AG126" s="27" t="s">
        <v>76</v>
      </c>
    </row>
    <row r="127" spans="1:33" x14ac:dyDescent="0.25">
      <c r="B127" s="69">
        <f t="shared" si="9"/>
        <v>125</v>
      </c>
      <c r="C127" s="24">
        <v>20200312</v>
      </c>
      <c r="D127" s="25" t="s">
        <v>2</v>
      </c>
      <c r="E127" s="57" t="s">
        <v>314</v>
      </c>
      <c r="F127" s="27" t="s">
        <v>76</v>
      </c>
      <c r="G127" s="57">
        <v>1366969</v>
      </c>
      <c r="H127" s="57" t="s">
        <v>316</v>
      </c>
      <c r="I127" s="27" t="s">
        <v>76</v>
      </c>
      <c r="J127" s="27" t="s">
        <v>76</v>
      </c>
      <c r="K127" s="57" t="s">
        <v>320</v>
      </c>
      <c r="L127" s="57">
        <v>1</v>
      </c>
      <c r="M127" s="27" t="s">
        <v>383</v>
      </c>
      <c r="N127" s="26" t="s">
        <v>600</v>
      </c>
      <c r="O127" s="42" t="s">
        <v>87</v>
      </c>
      <c r="P127" s="24"/>
      <c r="Q127" s="24"/>
      <c r="R127" s="59">
        <v>8</v>
      </c>
      <c r="S127" s="24">
        <v>8</v>
      </c>
      <c r="T127" s="24">
        <f t="shared" si="8"/>
        <v>8</v>
      </c>
      <c r="U127" s="59">
        <f>ROUNDDOWN(S127/HLOOKUP(D127,Table!$C$3:$D$4,2,0)*8,2)</f>
        <v>0.49</v>
      </c>
      <c r="V127" s="24">
        <v>2.2999999999999998</v>
      </c>
      <c r="W127" s="24" t="s">
        <v>108</v>
      </c>
      <c r="X127" s="28">
        <v>43902</v>
      </c>
      <c r="Y127" s="87">
        <v>43910</v>
      </c>
      <c r="Z127" s="28">
        <v>43913</v>
      </c>
      <c r="AA127" s="28">
        <v>43913</v>
      </c>
      <c r="AB127" s="31" t="s">
        <v>161</v>
      </c>
      <c r="AC127" s="24">
        <v>100</v>
      </c>
      <c r="AD127" s="24">
        <v>100</v>
      </c>
      <c r="AE127" s="24">
        <v>100</v>
      </c>
      <c r="AF127" s="27" t="s">
        <v>76</v>
      </c>
      <c r="AG127" s="27" t="s">
        <v>76</v>
      </c>
    </row>
    <row r="128" spans="1:33" x14ac:dyDescent="0.25">
      <c r="B128" s="69">
        <f t="shared" si="9"/>
        <v>126</v>
      </c>
      <c r="C128" s="24">
        <v>20200312</v>
      </c>
      <c r="D128" s="25" t="s">
        <v>2</v>
      </c>
      <c r="E128" s="26" t="s">
        <v>314</v>
      </c>
      <c r="F128" s="27" t="s">
        <v>76</v>
      </c>
      <c r="G128" s="56">
        <v>1371465</v>
      </c>
      <c r="H128" s="26" t="s">
        <v>317</v>
      </c>
      <c r="I128" s="27" t="s">
        <v>76</v>
      </c>
      <c r="J128" s="27" t="s">
        <v>76</v>
      </c>
      <c r="K128" s="57" t="s">
        <v>319</v>
      </c>
      <c r="L128" s="56">
        <v>1.1000000000000001</v>
      </c>
      <c r="M128" s="27" t="s">
        <v>383</v>
      </c>
      <c r="N128" s="26" t="s">
        <v>601</v>
      </c>
      <c r="O128" s="24" t="s">
        <v>85</v>
      </c>
      <c r="P128" s="24"/>
      <c r="Q128" s="24"/>
      <c r="R128" s="58">
        <v>62</v>
      </c>
      <c r="S128" s="24">
        <v>62</v>
      </c>
      <c r="T128" s="24">
        <f t="shared" si="8"/>
        <v>62</v>
      </c>
      <c r="U128" s="58">
        <f>ROUNDDOWN(S128/HLOOKUP(D128,Table!$C$3:$D$4,2,0)*8,2)</f>
        <v>3.81</v>
      </c>
      <c r="V128" s="24">
        <v>5</v>
      </c>
      <c r="W128" s="24" t="s">
        <v>108</v>
      </c>
      <c r="X128" s="28">
        <v>43902</v>
      </c>
      <c r="Y128" s="87">
        <v>43910</v>
      </c>
      <c r="Z128" s="28">
        <v>43913</v>
      </c>
      <c r="AA128" s="28">
        <v>43910</v>
      </c>
      <c r="AB128" s="31" t="s">
        <v>161</v>
      </c>
      <c r="AC128" s="76">
        <v>100</v>
      </c>
      <c r="AD128" s="76">
        <v>100</v>
      </c>
      <c r="AE128" s="76">
        <v>100</v>
      </c>
      <c r="AF128" s="27" t="s">
        <v>76</v>
      </c>
      <c r="AG128" s="27" t="s">
        <v>76</v>
      </c>
    </row>
    <row r="129" spans="1:33" x14ac:dyDescent="0.25">
      <c r="B129" s="69">
        <f t="shared" si="9"/>
        <v>127</v>
      </c>
      <c r="C129" s="26">
        <v>20200317</v>
      </c>
      <c r="D129" s="25" t="s">
        <v>2</v>
      </c>
      <c r="E129" s="24" t="s">
        <v>344</v>
      </c>
      <c r="F129" s="27" t="s">
        <v>76</v>
      </c>
      <c r="G129" s="109">
        <v>1345833</v>
      </c>
      <c r="H129" s="26" t="s">
        <v>348</v>
      </c>
      <c r="I129" s="27" t="s">
        <v>76</v>
      </c>
      <c r="J129" s="27" t="s">
        <v>76</v>
      </c>
      <c r="K129" s="3" t="s">
        <v>347</v>
      </c>
      <c r="L129" s="3" t="s">
        <v>349</v>
      </c>
      <c r="M129" s="27" t="s">
        <v>384</v>
      </c>
      <c r="N129" s="26" t="s">
        <v>602</v>
      </c>
      <c r="O129" s="24" t="s">
        <v>85</v>
      </c>
      <c r="P129" s="3"/>
      <c r="Q129" s="24"/>
      <c r="R129" s="58">
        <v>15</v>
      </c>
      <c r="S129" s="54">
        <f>R129</f>
        <v>15</v>
      </c>
      <c r="T129" s="54">
        <f t="shared" si="8"/>
        <v>15</v>
      </c>
      <c r="U129" s="24">
        <f>ROUNDDOWN(S129/HLOOKUP(D129,Table!$C$3:$D$4,2,0)*8,2)</f>
        <v>0.92</v>
      </c>
      <c r="V129" s="54">
        <v>2</v>
      </c>
      <c r="W129" s="24" t="s">
        <v>108</v>
      </c>
      <c r="X129" s="28">
        <v>43907</v>
      </c>
      <c r="Y129" s="87">
        <v>43910</v>
      </c>
      <c r="Z129" s="28">
        <v>43913</v>
      </c>
      <c r="AA129" s="28">
        <v>43910</v>
      </c>
      <c r="AB129" s="31" t="s">
        <v>161</v>
      </c>
      <c r="AC129" s="76">
        <v>100</v>
      </c>
      <c r="AD129" s="76">
        <v>100</v>
      </c>
      <c r="AE129" s="76">
        <v>100</v>
      </c>
      <c r="AF129" s="27" t="s">
        <v>76</v>
      </c>
      <c r="AG129" s="27" t="s">
        <v>76</v>
      </c>
    </row>
    <row r="130" spans="1:33" ht="45" x14ac:dyDescent="0.25">
      <c r="B130" s="69">
        <f t="shared" si="9"/>
        <v>128</v>
      </c>
      <c r="C130" s="26">
        <v>20200317</v>
      </c>
      <c r="D130" s="24" t="s">
        <v>3</v>
      </c>
      <c r="E130" s="24" t="s">
        <v>345</v>
      </c>
      <c r="F130" s="27" t="s">
        <v>389</v>
      </c>
      <c r="G130" s="109">
        <v>1376431</v>
      </c>
      <c r="H130" s="121" t="s">
        <v>342</v>
      </c>
      <c r="I130" s="25" t="s">
        <v>197</v>
      </c>
      <c r="J130" s="27">
        <v>80773</v>
      </c>
      <c r="K130" s="3" t="s">
        <v>350</v>
      </c>
      <c r="L130" s="27" t="str">
        <f t="shared" ref="L130:L152" si="14">IF(D130="ASW","PUT_VERSION","-")</f>
        <v>-</v>
      </c>
      <c r="M130" s="27" t="s">
        <v>385</v>
      </c>
      <c r="N130" s="26" t="s">
        <v>603</v>
      </c>
      <c r="O130" s="24" t="s">
        <v>86</v>
      </c>
      <c r="P130" s="3"/>
      <c r="Q130" s="24"/>
      <c r="R130" s="93">
        <v>154</v>
      </c>
      <c r="S130" s="101">
        <v>154</v>
      </c>
      <c r="T130" s="42">
        <f t="shared" si="8"/>
        <v>154</v>
      </c>
      <c r="U130" s="42">
        <f>ROUNDDOWN(S130/HLOOKUP(D130,Table!$C$3:$D$4,2,0)*8,2)</f>
        <v>2.73</v>
      </c>
      <c r="V130" s="42">
        <v>1</v>
      </c>
      <c r="W130" s="24" t="s">
        <v>108</v>
      </c>
      <c r="X130" s="28">
        <v>43907</v>
      </c>
      <c r="Y130" s="87">
        <v>43910</v>
      </c>
      <c r="Z130" s="28">
        <v>43910</v>
      </c>
      <c r="AA130" s="28">
        <v>43910</v>
      </c>
      <c r="AB130" s="73" t="s">
        <v>160</v>
      </c>
      <c r="AC130" s="76">
        <v>95</v>
      </c>
      <c r="AD130" s="76">
        <v>85</v>
      </c>
      <c r="AE130" s="76">
        <v>100</v>
      </c>
      <c r="AF130" s="75" t="s">
        <v>411</v>
      </c>
      <c r="AG130" s="27" t="s">
        <v>76</v>
      </c>
    </row>
    <row r="131" spans="1:33" x14ac:dyDescent="0.25">
      <c r="B131" s="69">
        <f t="shared" si="9"/>
        <v>129</v>
      </c>
      <c r="C131" s="26">
        <v>20200317</v>
      </c>
      <c r="D131" s="24" t="s">
        <v>3</v>
      </c>
      <c r="E131" s="24" t="s">
        <v>345</v>
      </c>
      <c r="F131" s="27" t="s">
        <v>389</v>
      </c>
      <c r="G131" s="109">
        <v>1376431</v>
      </c>
      <c r="H131" s="121" t="s">
        <v>340</v>
      </c>
      <c r="I131" s="25" t="s">
        <v>197</v>
      </c>
      <c r="J131" s="27">
        <v>80773</v>
      </c>
      <c r="K131" s="3" t="s">
        <v>350</v>
      </c>
      <c r="L131" s="27" t="str">
        <f t="shared" si="14"/>
        <v>-</v>
      </c>
      <c r="M131" s="27" t="s">
        <v>385</v>
      </c>
      <c r="N131" s="26" t="s">
        <v>604</v>
      </c>
      <c r="O131" s="24" t="s">
        <v>86</v>
      </c>
      <c r="P131" s="3"/>
      <c r="Q131" s="24"/>
      <c r="R131" s="93">
        <v>120</v>
      </c>
      <c r="S131" s="101">
        <v>120</v>
      </c>
      <c r="T131" s="24">
        <f t="shared" si="8"/>
        <v>120</v>
      </c>
      <c r="U131" s="24">
        <f>ROUNDDOWN(S131/HLOOKUP(D131,Table!$C$3:$D$4,2,0)*8,2)</f>
        <v>2.13</v>
      </c>
      <c r="V131" s="24">
        <v>2</v>
      </c>
      <c r="W131" s="24" t="s">
        <v>108</v>
      </c>
      <c r="X131" s="28">
        <v>43907</v>
      </c>
      <c r="Y131" s="87">
        <v>43910</v>
      </c>
      <c r="Z131" s="28">
        <v>43910</v>
      </c>
      <c r="AA131" s="28">
        <v>43910</v>
      </c>
      <c r="AB131" s="3" t="s">
        <v>161</v>
      </c>
      <c r="AC131" s="24">
        <v>100</v>
      </c>
      <c r="AD131" s="24">
        <v>100</v>
      </c>
      <c r="AE131" s="24">
        <v>100</v>
      </c>
      <c r="AF131" s="27" t="s">
        <v>76</v>
      </c>
      <c r="AG131" s="27" t="s">
        <v>76</v>
      </c>
    </row>
    <row r="132" spans="1:33" x14ac:dyDescent="0.25">
      <c r="B132" s="69">
        <f t="shared" si="9"/>
        <v>130</v>
      </c>
      <c r="C132" s="26">
        <v>20200317</v>
      </c>
      <c r="D132" s="24" t="s">
        <v>3</v>
      </c>
      <c r="E132" s="24" t="s">
        <v>345</v>
      </c>
      <c r="F132" s="27" t="s">
        <v>389</v>
      </c>
      <c r="G132" s="109">
        <v>1376431</v>
      </c>
      <c r="H132" s="56" t="s">
        <v>341</v>
      </c>
      <c r="I132" s="25" t="s">
        <v>197</v>
      </c>
      <c r="J132" s="27">
        <v>80773</v>
      </c>
      <c r="K132" s="3" t="s">
        <v>350</v>
      </c>
      <c r="L132" s="27" t="str">
        <f t="shared" si="14"/>
        <v>-</v>
      </c>
      <c r="M132" s="27" t="s">
        <v>385</v>
      </c>
      <c r="N132" s="26" t="s">
        <v>605</v>
      </c>
      <c r="O132" s="42" t="s">
        <v>87</v>
      </c>
      <c r="P132" s="3"/>
      <c r="Q132" s="24"/>
      <c r="R132" s="93">
        <v>145</v>
      </c>
      <c r="S132" s="101">
        <v>145</v>
      </c>
      <c r="T132" s="24">
        <f t="shared" si="8"/>
        <v>145</v>
      </c>
      <c r="U132" s="24">
        <f>ROUNDDOWN(S132/HLOOKUP(D132,Table!$C$3:$D$4,2,0)*8,2)</f>
        <v>2.57</v>
      </c>
      <c r="V132" s="24">
        <v>3</v>
      </c>
      <c r="W132" s="24" t="s">
        <v>108</v>
      </c>
      <c r="X132" s="28">
        <v>43907</v>
      </c>
      <c r="Y132" s="87">
        <v>43910</v>
      </c>
      <c r="Z132" s="28">
        <v>43910</v>
      </c>
      <c r="AA132" s="28">
        <v>43910</v>
      </c>
      <c r="AB132" s="3" t="s">
        <v>161</v>
      </c>
      <c r="AC132" s="24">
        <v>100</v>
      </c>
      <c r="AD132" s="24">
        <v>100</v>
      </c>
      <c r="AE132" s="24">
        <v>100</v>
      </c>
      <c r="AF132" s="27" t="s">
        <v>76</v>
      </c>
      <c r="AG132" s="27" t="s">
        <v>76</v>
      </c>
    </row>
    <row r="133" spans="1:33" x14ac:dyDescent="0.25">
      <c r="B133" s="69">
        <f t="shared" si="9"/>
        <v>131</v>
      </c>
      <c r="C133" s="26">
        <v>20200317</v>
      </c>
      <c r="D133" s="24" t="s">
        <v>3</v>
      </c>
      <c r="E133" s="24" t="s">
        <v>346</v>
      </c>
      <c r="F133" s="27" t="s">
        <v>386</v>
      </c>
      <c r="G133" s="109">
        <v>1375562</v>
      </c>
      <c r="H133" s="121" t="s">
        <v>100</v>
      </c>
      <c r="I133" s="49" t="s">
        <v>196</v>
      </c>
      <c r="J133" s="27" t="s">
        <v>76</v>
      </c>
      <c r="K133" s="24" t="s">
        <v>351</v>
      </c>
      <c r="L133" s="27" t="str">
        <f t="shared" si="14"/>
        <v>-</v>
      </c>
      <c r="M133" s="27" t="s">
        <v>387</v>
      </c>
      <c r="N133" s="26" t="s">
        <v>606</v>
      </c>
      <c r="O133" s="24" t="s">
        <v>86</v>
      </c>
      <c r="P133" s="3"/>
      <c r="Q133" s="24"/>
      <c r="R133" s="93">
        <v>371</v>
      </c>
      <c r="S133" s="24">
        <v>371</v>
      </c>
      <c r="T133" s="26">
        <f t="shared" ref="T133:T149" si="15">S133</f>
        <v>371</v>
      </c>
      <c r="U133" s="24">
        <f>ROUNDDOWN(S133/HLOOKUP(D133,Table!$C$3:$D$4,2,0)*8,2)</f>
        <v>6.59</v>
      </c>
      <c r="V133" s="24">
        <v>2</v>
      </c>
      <c r="W133" s="24" t="s">
        <v>108</v>
      </c>
      <c r="X133" s="28">
        <v>43907</v>
      </c>
      <c r="Y133" s="87">
        <v>43910</v>
      </c>
      <c r="Z133" s="28">
        <v>43910</v>
      </c>
      <c r="AA133" s="28">
        <v>43910</v>
      </c>
      <c r="AB133" s="31" t="s">
        <v>161</v>
      </c>
      <c r="AC133" s="24">
        <v>100</v>
      </c>
      <c r="AD133" s="24">
        <v>100</v>
      </c>
      <c r="AE133" s="24">
        <v>100</v>
      </c>
      <c r="AF133" s="27" t="s">
        <v>76</v>
      </c>
      <c r="AG133" s="27" t="s">
        <v>76</v>
      </c>
    </row>
    <row r="134" spans="1:33" s="94" customFormat="1" x14ac:dyDescent="0.25">
      <c r="B134" s="95">
        <f t="shared" si="9"/>
        <v>132</v>
      </c>
      <c r="C134" s="96">
        <v>20200317</v>
      </c>
      <c r="D134" s="96" t="s">
        <v>3</v>
      </c>
      <c r="E134" s="96" t="s">
        <v>352</v>
      </c>
      <c r="F134" s="97" t="s">
        <v>353</v>
      </c>
      <c r="G134" s="96">
        <v>1324814</v>
      </c>
      <c r="H134" s="155" t="s">
        <v>390</v>
      </c>
      <c r="I134" s="98" t="s">
        <v>196</v>
      </c>
      <c r="J134" s="96" t="s">
        <v>400</v>
      </c>
      <c r="K134" s="96" t="s">
        <v>95</v>
      </c>
      <c r="L134" s="97" t="str">
        <f t="shared" si="14"/>
        <v>-</v>
      </c>
      <c r="M134" s="97" t="s">
        <v>408</v>
      </c>
      <c r="N134" s="127" t="s">
        <v>607</v>
      </c>
      <c r="O134" s="96" t="s">
        <v>86</v>
      </c>
      <c r="P134" s="96"/>
      <c r="Q134" s="96"/>
      <c r="R134" s="96">
        <v>32</v>
      </c>
      <c r="S134" s="102">
        <v>209</v>
      </c>
      <c r="T134" s="96">
        <f t="shared" si="15"/>
        <v>209</v>
      </c>
      <c r="U134" s="96">
        <f>ROUNDDOWN(S134/HLOOKUP(D134,Table!$C$3:$D$4,2,0)*8,2)</f>
        <v>3.71</v>
      </c>
      <c r="V134" s="96">
        <v>2</v>
      </c>
      <c r="W134" s="24" t="s">
        <v>21</v>
      </c>
      <c r="X134" s="28">
        <v>43907</v>
      </c>
      <c r="Y134" s="100">
        <v>43915</v>
      </c>
      <c r="Z134" s="100">
        <v>43909</v>
      </c>
      <c r="AA134" s="28">
        <v>43915</v>
      </c>
      <c r="AB134" s="96" t="s">
        <v>161</v>
      </c>
      <c r="AC134" s="96">
        <v>100</v>
      </c>
      <c r="AD134" s="96">
        <v>100</v>
      </c>
      <c r="AE134" s="96">
        <v>100</v>
      </c>
      <c r="AF134" s="27" t="s">
        <v>76</v>
      </c>
      <c r="AG134" s="27" t="s">
        <v>76</v>
      </c>
    </row>
    <row r="135" spans="1:33" s="94" customFormat="1" x14ac:dyDescent="0.25">
      <c r="B135" s="95">
        <f t="shared" si="9"/>
        <v>133</v>
      </c>
      <c r="C135" s="96">
        <v>20200317</v>
      </c>
      <c r="D135" s="96" t="s">
        <v>3</v>
      </c>
      <c r="E135" s="96" t="s">
        <v>352</v>
      </c>
      <c r="F135" s="97" t="s">
        <v>354</v>
      </c>
      <c r="G135" s="96">
        <v>1324814</v>
      </c>
      <c r="H135" s="155" t="s">
        <v>391</v>
      </c>
      <c r="I135" s="98" t="s">
        <v>196</v>
      </c>
      <c r="J135" s="96" t="s">
        <v>401</v>
      </c>
      <c r="K135" s="96" t="s">
        <v>95</v>
      </c>
      <c r="L135" s="97" t="str">
        <f t="shared" si="14"/>
        <v>-</v>
      </c>
      <c r="M135" s="97" t="s">
        <v>408</v>
      </c>
      <c r="N135" s="127" t="s">
        <v>608</v>
      </c>
      <c r="O135" s="96" t="s">
        <v>86</v>
      </c>
      <c r="P135" s="96"/>
      <c r="Q135" s="96"/>
      <c r="R135" s="96">
        <v>80</v>
      </c>
      <c r="S135" s="96">
        <v>80</v>
      </c>
      <c r="T135" s="96">
        <f t="shared" si="15"/>
        <v>80</v>
      </c>
      <c r="U135" s="96">
        <f>ROUNDDOWN(S135/HLOOKUP(D135,Table!$C$3:$D$4,2,0)*8,2)</f>
        <v>1.42</v>
      </c>
      <c r="V135" s="96">
        <v>2</v>
      </c>
      <c r="W135" s="24" t="s">
        <v>21</v>
      </c>
      <c r="X135" s="28">
        <v>43907</v>
      </c>
      <c r="Y135" s="100">
        <v>43915</v>
      </c>
      <c r="Z135" s="100">
        <v>43909</v>
      </c>
      <c r="AA135" s="28">
        <v>43915</v>
      </c>
      <c r="AB135" s="96" t="s">
        <v>161</v>
      </c>
      <c r="AC135" s="96">
        <v>100</v>
      </c>
      <c r="AD135" s="96">
        <v>100</v>
      </c>
      <c r="AE135" s="96">
        <v>100</v>
      </c>
      <c r="AF135" s="27" t="s">
        <v>76</v>
      </c>
      <c r="AG135" s="27" t="s">
        <v>76</v>
      </c>
    </row>
    <row r="136" spans="1:33" s="94" customFormat="1" x14ac:dyDescent="0.25">
      <c r="B136" s="95">
        <f t="shared" si="9"/>
        <v>134</v>
      </c>
      <c r="C136" s="96">
        <v>20200317</v>
      </c>
      <c r="D136" s="96" t="s">
        <v>3</v>
      </c>
      <c r="E136" s="96" t="s">
        <v>352</v>
      </c>
      <c r="F136" s="97" t="s">
        <v>354</v>
      </c>
      <c r="G136" s="96">
        <v>1324814</v>
      </c>
      <c r="H136" s="155" t="s">
        <v>392</v>
      </c>
      <c r="I136" s="98" t="s">
        <v>196</v>
      </c>
      <c r="J136" s="96" t="s">
        <v>402</v>
      </c>
      <c r="K136" s="96" t="s">
        <v>95</v>
      </c>
      <c r="L136" s="97" t="str">
        <f t="shared" si="14"/>
        <v>-</v>
      </c>
      <c r="M136" s="97" t="s">
        <v>408</v>
      </c>
      <c r="N136" s="127" t="s">
        <v>609</v>
      </c>
      <c r="O136" s="96" t="s">
        <v>86</v>
      </c>
      <c r="P136" s="96"/>
      <c r="Q136" s="96"/>
      <c r="R136" s="96">
        <v>38</v>
      </c>
      <c r="S136" s="96">
        <v>38</v>
      </c>
      <c r="T136" s="96">
        <f t="shared" si="15"/>
        <v>38</v>
      </c>
      <c r="U136" s="96">
        <f>ROUNDDOWN(S136/HLOOKUP(D136,Table!$C$3:$D$4,2,0)*8,2)</f>
        <v>0.67</v>
      </c>
      <c r="V136" s="96">
        <v>2</v>
      </c>
      <c r="W136" s="24" t="s">
        <v>21</v>
      </c>
      <c r="X136" s="28">
        <v>43907</v>
      </c>
      <c r="Y136" s="100">
        <v>43915</v>
      </c>
      <c r="Z136" s="100">
        <v>43909</v>
      </c>
      <c r="AA136" s="28">
        <v>43915</v>
      </c>
      <c r="AB136" s="96" t="s">
        <v>161</v>
      </c>
      <c r="AC136" s="96">
        <v>100</v>
      </c>
      <c r="AD136" s="96">
        <v>100</v>
      </c>
      <c r="AE136" s="96">
        <v>100</v>
      </c>
      <c r="AF136" s="27" t="s">
        <v>76</v>
      </c>
      <c r="AG136" s="27" t="s">
        <v>76</v>
      </c>
    </row>
    <row r="137" spans="1:33" s="94" customFormat="1" x14ac:dyDescent="0.25">
      <c r="B137" s="95">
        <f t="shared" si="9"/>
        <v>135</v>
      </c>
      <c r="C137" s="96">
        <v>20200317</v>
      </c>
      <c r="D137" s="96" t="s">
        <v>3</v>
      </c>
      <c r="E137" s="96" t="s">
        <v>352</v>
      </c>
      <c r="F137" s="97" t="s">
        <v>354</v>
      </c>
      <c r="G137" s="96">
        <v>1324814</v>
      </c>
      <c r="H137" s="155" t="s">
        <v>80</v>
      </c>
      <c r="I137" s="98" t="s">
        <v>196</v>
      </c>
      <c r="J137" s="96" t="s">
        <v>403</v>
      </c>
      <c r="K137" s="96" t="s">
        <v>95</v>
      </c>
      <c r="L137" s="97" t="str">
        <f t="shared" si="14"/>
        <v>-</v>
      </c>
      <c r="M137" s="97" t="s">
        <v>408</v>
      </c>
      <c r="N137" s="127" t="s">
        <v>610</v>
      </c>
      <c r="O137" s="96" t="s">
        <v>86</v>
      </c>
      <c r="P137" s="96"/>
      <c r="Q137" s="96"/>
      <c r="R137" s="96">
        <v>110</v>
      </c>
      <c r="S137" s="96">
        <v>110</v>
      </c>
      <c r="T137" s="96">
        <f t="shared" si="15"/>
        <v>110</v>
      </c>
      <c r="U137" s="96">
        <f>ROUNDDOWN(S137/HLOOKUP(D137,Table!$C$3:$D$4,2,0)*8,2)</f>
        <v>1.95</v>
      </c>
      <c r="V137" s="96">
        <v>1</v>
      </c>
      <c r="W137" s="24" t="s">
        <v>21</v>
      </c>
      <c r="X137" s="28">
        <v>43907</v>
      </c>
      <c r="Y137" s="100">
        <v>43915</v>
      </c>
      <c r="Z137" s="100">
        <v>43909</v>
      </c>
      <c r="AA137" s="28">
        <v>43915</v>
      </c>
      <c r="AB137" s="96" t="s">
        <v>161</v>
      </c>
      <c r="AC137" s="96">
        <v>100</v>
      </c>
      <c r="AD137" s="96">
        <v>100</v>
      </c>
      <c r="AE137" s="96">
        <v>100</v>
      </c>
      <c r="AF137" s="27" t="s">
        <v>76</v>
      </c>
      <c r="AG137" s="27" t="s">
        <v>76</v>
      </c>
    </row>
    <row r="138" spans="1:33" x14ac:dyDescent="0.25">
      <c r="B138" s="72">
        <f t="shared" si="9"/>
        <v>136</v>
      </c>
      <c r="C138" s="26">
        <v>20200317</v>
      </c>
      <c r="D138" s="24" t="s">
        <v>3</v>
      </c>
      <c r="E138" s="24" t="s">
        <v>352</v>
      </c>
      <c r="F138" s="27" t="s">
        <v>355</v>
      </c>
      <c r="G138" s="24">
        <v>1324814</v>
      </c>
      <c r="H138" s="109" t="s">
        <v>78</v>
      </c>
      <c r="I138" s="49" t="s">
        <v>196</v>
      </c>
      <c r="J138" s="24" t="s">
        <v>404</v>
      </c>
      <c r="K138" s="24" t="s">
        <v>95</v>
      </c>
      <c r="L138" s="27" t="str">
        <f t="shared" si="14"/>
        <v>-</v>
      </c>
      <c r="M138" s="27" t="s">
        <v>408</v>
      </c>
      <c r="N138" s="26" t="s">
        <v>611</v>
      </c>
      <c r="O138" s="24" t="s">
        <v>85</v>
      </c>
      <c r="P138" s="24"/>
      <c r="Q138" s="24"/>
      <c r="R138" s="24">
        <v>478</v>
      </c>
      <c r="S138" s="24">
        <f>R138</f>
        <v>478</v>
      </c>
      <c r="T138" s="24">
        <v>478</v>
      </c>
      <c r="U138" s="24">
        <f>ROUNDDOWN(S138/HLOOKUP(D138,Table!$C$3:$D$4,2,0)*8,2)</f>
        <v>8.49</v>
      </c>
      <c r="V138" s="24">
        <v>5</v>
      </c>
      <c r="W138" s="24" t="s">
        <v>21</v>
      </c>
      <c r="X138" s="28">
        <v>43907</v>
      </c>
      <c r="Y138" s="28">
        <v>43915</v>
      </c>
      <c r="Z138" s="124">
        <v>43914</v>
      </c>
      <c r="AA138" s="28">
        <v>43915</v>
      </c>
      <c r="AB138" s="99" t="s">
        <v>161</v>
      </c>
      <c r="AC138" s="76">
        <v>100</v>
      </c>
      <c r="AD138" s="76">
        <v>100</v>
      </c>
      <c r="AE138" s="76">
        <v>100</v>
      </c>
      <c r="AF138" s="27" t="s">
        <v>76</v>
      </c>
      <c r="AG138" s="27" t="s">
        <v>76</v>
      </c>
    </row>
    <row r="139" spans="1:33" s="94" customFormat="1" x14ac:dyDescent="0.25">
      <c r="B139" s="95">
        <f t="shared" si="9"/>
        <v>137</v>
      </c>
      <c r="C139" s="96">
        <v>20200317</v>
      </c>
      <c r="D139" s="96" t="s">
        <v>3</v>
      </c>
      <c r="E139" s="96" t="s">
        <v>352</v>
      </c>
      <c r="F139" s="97" t="s">
        <v>356</v>
      </c>
      <c r="G139" s="96">
        <v>1324814</v>
      </c>
      <c r="H139" s="155" t="s">
        <v>393</v>
      </c>
      <c r="I139" s="98" t="s">
        <v>196</v>
      </c>
      <c r="J139" s="96" t="s">
        <v>405</v>
      </c>
      <c r="K139" s="96" t="s">
        <v>95</v>
      </c>
      <c r="L139" s="97" t="str">
        <f t="shared" si="14"/>
        <v>-</v>
      </c>
      <c r="M139" s="97" t="s">
        <v>408</v>
      </c>
      <c r="N139" s="127" t="s">
        <v>612</v>
      </c>
      <c r="O139" s="96" t="s">
        <v>86</v>
      </c>
      <c r="P139" s="96"/>
      <c r="Q139" s="96"/>
      <c r="R139" s="96">
        <v>84</v>
      </c>
      <c r="S139" s="96">
        <v>84</v>
      </c>
      <c r="T139" s="96">
        <f t="shared" si="15"/>
        <v>84</v>
      </c>
      <c r="U139" s="96">
        <f>ROUNDDOWN(S139/HLOOKUP(D139,Table!$C$3:$D$4,2,0)*8,2)</f>
        <v>1.49</v>
      </c>
      <c r="V139" s="96">
        <v>1</v>
      </c>
      <c r="W139" s="24" t="s">
        <v>21</v>
      </c>
      <c r="X139" s="28">
        <v>43907</v>
      </c>
      <c r="Y139" s="123">
        <v>43915</v>
      </c>
      <c r="Z139" s="100">
        <v>43909</v>
      </c>
      <c r="AA139" s="28">
        <v>43915</v>
      </c>
      <c r="AB139" s="96" t="s">
        <v>161</v>
      </c>
      <c r="AC139" s="96">
        <v>100</v>
      </c>
      <c r="AD139" s="96">
        <v>100</v>
      </c>
      <c r="AE139" s="96">
        <v>100</v>
      </c>
      <c r="AF139" s="27" t="s">
        <v>76</v>
      </c>
      <c r="AG139" s="27" t="s">
        <v>76</v>
      </c>
    </row>
    <row r="140" spans="1:33" x14ac:dyDescent="0.25">
      <c r="B140" s="72">
        <f t="shared" si="9"/>
        <v>138</v>
      </c>
      <c r="C140" s="26">
        <v>20200317</v>
      </c>
      <c r="D140" s="24" t="s">
        <v>3</v>
      </c>
      <c r="E140" s="24" t="s">
        <v>352</v>
      </c>
      <c r="F140" s="27" t="s">
        <v>353</v>
      </c>
      <c r="G140" s="24">
        <v>1324814</v>
      </c>
      <c r="H140" s="109" t="s">
        <v>280</v>
      </c>
      <c r="I140" s="49" t="s">
        <v>196</v>
      </c>
      <c r="J140" s="24" t="s">
        <v>406</v>
      </c>
      <c r="K140" s="24" t="s">
        <v>95</v>
      </c>
      <c r="L140" s="27" t="str">
        <f t="shared" si="14"/>
        <v>-</v>
      </c>
      <c r="M140" s="27" t="s">
        <v>408</v>
      </c>
      <c r="N140" s="26" t="s">
        <v>613</v>
      </c>
      <c r="O140" s="24" t="s">
        <v>85</v>
      </c>
      <c r="P140" s="24"/>
      <c r="Q140" s="24"/>
      <c r="R140" s="24">
        <v>259</v>
      </c>
      <c r="S140" s="24">
        <f t="shared" ref="S140:S158" si="16">R140</f>
        <v>259</v>
      </c>
      <c r="T140" s="24">
        <v>259</v>
      </c>
      <c r="U140" s="24">
        <f>ROUNDDOWN(S140/HLOOKUP(D140,Table!$C$3:$D$4,2,0)*8,2)</f>
        <v>4.5999999999999996</v>
      </c>
      <c r="V140" s="24">
        <v>3</v>
      </c>
      <c r="W140" s="24" t="s">
        <v>21</v>
      </c>
      <c r="X140" s="28">
        <v>43907</v>
      </c>
      <c r="Y140" s="28">
        <v>43915</v>
      </c>
      <c r="Z140" s="124">
        <v>43909</v>
      </c>
      <c r="AA140" s="28">
        <v>43915</v>
      </c>
      <c r="AB140" s="31" t="s">
        <v>160</v>
      </c>
      <c r="AC140" s="125">
        <v>100</v>
      </c>
      <c r="AD140" s="125">
        <v>100</v>
      </c>
      <c r="AE140" s="24">
        <v>93</v>
      </c>
      <c r="AF140" s="24" t="s">
        <v>670</v>
      </c>
      <c r="AG140" s="27" t="s">
        <v>76</v>
      </c>
    </row>
    <row r="141" spans="1:33" x14ac:dyDescent="0.25">
      <c r="B141" s="72">
        <f t="shared" si="9"/>
        <v>139</v>
      </c>
      <c r="C141" s="26">
        <v>20200317</v>
      </c>
      <c r="D141" s="24" t="s">
        <v>3</v>
      </c>
      <c r="E141" s="24" t="s">
        <v>388</v>
      </c>
      <c r="F141" s="27" t="s">
        <v>357</v>
      </c>
      <c r="G141" s="109">
        <v>1297584</v>
      </c>
      <c r="H141" s="24" t="s">
        <v>394</v>
      </c>
      <c r="I141" s="49" t="s">
        <v>196</v>
      </c>
      <c r="J141" s="27" t="s">
        <v>76</v>
      </c>
      <c r="K141" s="24" t="s">
        <v>407</v>
      </c>
      <c r="L141" s="27" t="str">
        <f t="shared" si="14"/>
        <v>-</v>
      </c>
      <c r="M141" s="27" t="s">
        <v>409</v>
      </c>
      <c r="N141" s="26" t="s">
        <v>614</v>
      </c>
      <c r="O141" s="42" t="s">
        <v>87</v>
      </c>
      <c r="P141" s="24"/>
      <c r="Q141" s="24"/>
      <c r="R141" s="24">
        <v>34</v>
      </c>
      <c r="S141" s="25">
        <v>439</v>
      </c>
      <c r="T141" s="24">
        <f t="shared" si="15"/>
        <v>439</v>
      </c>
      <c r="U141" s="24">
        <f>ROUNDDOWN(S141/HLOOKUP(D141,Table!$C$3:$D$4,2,0)*8,2)</f>
        <v>7.8</v>
      </c>
      <c r="V141" s="24">
        <v>6</v>
      </c>
      <c r="W141" s="24" t="s">
        <v>21</v>
      </c>
      <c r="X141" s="28">
        <v>43907</v>
      </c>
      <c r="Y141" s="28">
        <v>43915</v>
      </c>
      <c r="Z141" s="28">
        <v>43909</v>
      </c>
      <c r="AA141" s="28">
        <v>43915</v>
      </c>
      <c r="AB141" s="31" t="s">
        <v>160</v>
      </c>
      <c r="AC141" s="24">
        <v>100</v>
      </c>
      <c r="AD141" s="24">
        <v>100</v>
      </c>
      <c r="AE141" s="24">
        <v>36</v>
      </c>
      <c r="AF141" s="27" t="s">
        <v>669</v>
      </c>
      <c r="AG141" s="27" t="s">
        <v>76</v>
      </c>
    </row>
    <row r="142" spans="1:33" x14ac:dyDescent="0.25">
      <c r="B142" s="72">
        <f t="shared" si="9"/>
        <v>140</v>
      </c>
      <c r="C142" s="26">
        <v>20200317</v>
      </c>
      <c r="D142" s="24" t="s">
        <v>3</v>
      </c>
      <c r="E142" s="24" t="s">
        <v>388</v>
      </c>
      <c r="F142" s="27" t="s">
        <v>358</v>
      </c>
      <c r="G142" s="109">
        <v>1297584</v>
      </c>
      <c r="H142" s="24" t="s">
        <v>270</v>
      </c>
      <c r="I142" s="49" t="s">
        <v>196</v>
      </c>
      <c r="J142" s="27" t="s">
        <v>76</v>
      </c>
      <c r="K142" s="24" t="s">
        <v>407</v>
      </c>
      <c r="L142" s="27" t="str">
        <f t="shared" si="14"/>
        <v>-</v>
      </c>
      <c r="M142" s="27" t="s">
        <v>409</v>
      </c>
      <c r="N142" s="26" t="s">
        <v>615</v>
      </c>
      <c r="O142" s="42" t="s">
        <v>87</v>
      </c>
      <c r="P142" s="24"/>
      <c r="Q142" s="24"/>
      <c r="R142" s="24">
        <v>130</v>
      </c>
      <c r="S142" s="25">
        <v>119</v>
      </c>
      <c r="T142" s="24">
        <f t="shared" si="15"/>
        <v>119</v>
      </c>
      <c r="U142" s="24">
        <f>ROUNDDOWN(S142/HLOOKUP(D142,Table!$C$3:$D$4,2,0)*8,2)</f>
        <v>2.11</v>
      </c>
      <c r="V142" s="24">
        <v>2</v>
      </c>
      <c r="W142" s="24" t="s">
        <v>21</v>
      </c>
      <c r="X142" s="28">
        <v>43907</v>
      </c>
      <c r="Y142" s="28">
        <v>43915</v>
      </c>
      <c r="Z142" s="28">
        <v>43909</v>
      </c>
      <c r="AA142" s="28">
        <v>43915</v>
      </c>
      <c r="AB142" s="31" t="s">
        <v>161</v>
      </c>
      <c r="AC142" s="24">
        <v>100</v>
      </c>
      <c r="AD142" s="24">
        <v>100</v>
      </c>
      <c r="AE142" s="24">
        <v>100</v>
      </c>
      <c r="AF142" s="27" t="s">
        <v>76</v>
      </c>
      <c r="AG142" s="27" t="s">
        <v>76</v>
      </c>
    </row>
    <row r="143" spans="1:33" x14ac:dyDescent="0.25">
      <c r="B143" s="72">
        <f t="shared" si="9"/>
        <v>141</v>
      </c>
      <c r="C143" s="26">
        <v>20200317</v>
      </c>
      <c r="D143" s="24" t="s">
        <v>3</v>
      </c>
      <c r="E143" s="24" t="s">
        <v>388</v>
      </c>
      <c r="F143" s="27" t="s">
        <v>358</v>
      </c>
      <c r="G143" s="109">
        <v>1297584</v>
      </c>
      <c r="H143" s="24" t="s">
        <v>395</v>
      </c>
      <c r="I143" s="49" t="s">
        <v>196</v>
      </c>
      <c r="J143" s="27" t="s">
        <v>76</v>
      </c>
      <c r="K143" s="24" t="s">
        <v>407</v>
      </c>
      <c r="L143" s="27" t="str">
        <f t="shared" si="14"/>
        <v>-</v>
      </c>
      <c r="M143" s="27" t="s">
        <v>409</v>
      </c>
      <c r="N143" s="26" t="s">
        <v>616</v>
      </c>
      <c r="O143" s="42" t="s">
        <v>87</v>
      </c>
      <c r="P143" s="24"/>
      <c r="Q143" s="24"/>
      <c r="R143" s="24">
        <v>29</v>
      </c>
      <c r="S143" s="24">
        <f t="shared" si="16"/>
        <v>29</v>
      </c>
      <c r="T143" s="24">
        <f t="shared" si="15"/>
        <v>29</v>
      </c>
      <c r="U143" s="24">
        <f>ROUNDDOWN(S143/HLOOKUP(D143,Table!$C$3:$D$4,2,0)*8,2)</f>
        <v>0.51</v>
      </c>
      <c r="V143" s="24">
        <v>0.5</v>
      </c>
      <c r="W143" s="24" t="s">
        <v>21</v>
      </c>
      <c r="X143" s="28">
        <v>43907</v>
      </c>
      <c r="Y143" s="28">
        <v>43915</v>
      </c>
      <c r="Z143" s="28">
        <v>43913</v>
      </c>
      <c r="AA143" s="28">
        <v>43915</v>
      </c>
      <c r="AB143" s="31" t="s">
        <v>161</v>
      </c>
      <c r="AC143" s="24">
        <v>100</v>
      </c>
      <c r="AD143" s="24">
        <v>100</v>
      </c>
      <c r="AE143" s="24">
        <v>100</v>
      </c>
      <c r="AF143" s="27" t="s">
        <v>76</v>
      </c>
      <c r="AG143" s="27" t="s">
        <v>76</v>
      </c>
    </row>
    <row r="144" spans="1:33" x14ac:dyDescent="0.25">
      <c r="B144" s="72">
        <f t="shared" si="9"/>
        <v>142</v>
      </c>
      <c r="C144" s="26">
        <v>20200317</v>
      </c>
      <c r="D144" s="24" t="s">
        <v>3</v>
      </c>
      <c r="E144" s="24" t="s">
        <v>388</v>
      </c>
      <c r="F144" s="27" t="s">
        <v>358</v>
      </c>
      <c r="G144" s="109">
        <v>1297584</v>
      </c>
      <c r="H144" s="109" t="s">
        <v>396</v>
      </c>
      <c r="I144" s="49" t="s">
        <v>196</v>
      </c>
      <c r="J144" s="27" t="s">
        <v>76</v>
      </c>
      <c r="K144" s="24" t="s">
        <v>407</v>
      </c>
      <c r="L144" s="27" t="str">
        <f t="shared" si="14"/>
        <v>-</v>
      </c>
      <c r="M144" s="27" t="s">
        <v>409</v>
      </c>
      <c r="N144" s="26" t="s">
        <v>617</v>
      </c>
      <c r="O144" s="24" t="s">
        <v>85</v>
      </c>
      <c r="P144" s="24"/>
      <c r="Q144" s="24"/>
      <c r="R144" s="24">
        <v>162</v>
      </c>
      <c r="S144" s="24">
        <f t="shared" si="16"/>
        <v>162</v>
      </c>
      <c r="T144" s="24">
        <f>S144</f>
        <v>162</v>
      </c>
      <c r="U144" s="24">
        <f>ROUNDDOWN(S144/HLOOKUP(D144,Table!$C$3:$D$4,2,0)*8,2)</f>
        <v>2.88</v>
      </c>
      <c r="V144" s="24">
        <v>1.5</v>
      </c>
      <c r="W144" s="24" t="s">
        <v>21</v>
      </c>
      <c r="X144" s="28">
        <v>43907</v>
      </c>
      <c r="Y144" s="28">
        <v>43915</v>
      </c>
      <c r="Z144" s="28">
        <v>43913</v>
      </c>
      <c r="AA144" s="28">
        <v>43915</v>
      </c>
      <c r="AB144" s="31" t="s">
        <v>161</v>
      </c>
      <c r="AC144" s="24">
        <v>100</v>
      </c>
      <c r="AD144" s="24">
        <v>100</v>
      </c>
      <c r="AE144" s="24">
        <v>100</v>
      </c>
      <c r="AF144" s="27" t="s">
        <v>76</v>
      </c>
      <c r="AG144" s="27" t="s">
        <v>76</v>
      </c>
    </row>
    <row r="145" spans="1:33" x14ac:dyDescent="0.25">
      <c r="B145" s="72">
        <f t="shared" si="9"/>
        <v>143</v>
      </c>
      <c r="C145" s="26">
        <v>20200317</v>
      </c>
      <c r="D145" s="24" t="s">
        <v>3</v>
      </c>
      <c r="E145" s="24" t="s">
        <v>388</v>
      </c>
      <c r="F145" s="27" t="s">
        <v>358</v>
      </c>
      <c r="G145" s="109">
        <v>1297584</v>
      </c>
      <c r="H145" s="24" t="s">
        <v>397</v>
      </c>
      <c r="I145" s="49" t="s">
        <v>196</v>
      </c>
      <c r="J145" s="27" t="s">
        <v>76</v>
      </c>
      <c r="K145" s="24" t="s">
        <v>407</v>
      </c>
      <c r="L145" s="27" t="str">
        <f t="shared" si="14"/>
        <v>-</v>
      </c>
      <c r="M145" s="27" t="s">
        <v>409</v>
      </c>
      <c r="N145" s="26" t="s">
        <v>618</v>
      </c>
      <c r="O145" s="42" t="s">
        <v>87</v>
      </c>
      <c r="P145" s="24"/>
      <c r="Q145" s="24"/>
      <c r="R145" s="24">
        <v>95</v>
      </c>
      <c r="S145" s="24">
        <f t="shared" si="16"/>
        <v>95</v>
      </c>
      <c r="T145" s="24">
        <f t="shared" si="15"/>
        <v>95</v>
      </c>
      <c r="U145" s="24">
        <f>ROUNDDOWN(S145/HLOOKUP(D145,Table!$C$3:$D$4,2,0)*8,2)</f>
        <v>1.68</v>
      </c>
      <c r="V145" s="24">
        <v>1</v>
      </c>
      <c r="W145" s="24" t="s">
        <v>21</v>
      </c>
      <c r="X145" s="28">
        <v>43907</v>
      </c>
      <c r="Y145" s="28">
        <v>43915</v>
      </c>
      <c r="Z145" s="28">
        <v>43913</v>
      </c>
      <c r="AA145" s="28">
        <v>43915</v>
      </c>
      <c r="AB145" s="31" t="s">
        <v>161</v>
      </c>
      <c r="AC145" s="24">
        <v>100</v>
      </c>
      <c r="AD145" s="24">
        <v>100</v>
      </c>
      <c r="AE145" s="24">
        <v>100</v>
      </c>
      <c r="AF145" s="27" t="s">
        <v>76</v>
      </c>
      <c r="AG145" s="27" t="s">
        <v>76</v>
      </c>
    </row>
    <row r="146" spans="1:33" x14ac:dyDescent="0.25">
      <c r="B146" s="72">
        <f t="shared" si="9"/>
        <v>144</v>
      </c>
      <c r="C146" s="26">
        <v>20200317</v>
      </c>
      <c r="D146" s="24" t="s">
        <v>3</v>
      </c>
      <c r="E146" s="24" t="s">
        <v>388</v>
      </c>
      <c r="F146" s="27" t="s">
        <v>358</v>
      </c>
      <c r="G146" s="109">
        <v>1297584</v>
      </c>
      <c r="H146" s="109" t="s">
        <v>398</v>
      </c>
      <c r="I146" s="49" t="s">
        <v>196</v>
      </c>
      <c r="J146" s="27" t="s">
        <v>76</v>
      </c>
      <c r="K146" s="24" t="s">
        <v>407</v>
      </c>
      <c r="L146" s="27" t="str">
        <f t="shared" si="14"/>
        <v>-</v>
      </c>
      <c r="M146" s="27" t="s">
        <v>409</v>
      </c>
      <c r="N146" s="26" t="s">
        <v>619</v>
      </c>
      <c r="O146" s="24" t="s">
        <v>85</v>
      </c>
      <c r="P146" s="24"/>
      <c r="Q146" s="24"/>
      <c r="R146" s="24">
        <v>170</v>
      </c>
      <c r="S146" s="24">
        <f t="shared" si="16"/>
        <v>170</v>
      </c>
      <c r="T146" s="24">
        <v>170</v>
      </c>
      <c r="U146" s="24">
        <f>ROUNDDOWN(S146/HLOOKUP(D146,Table!$C$3:$D$4,2,0)*8,2)</f>
        <v>3.02</v>
      </c>
      <c r="V146" s="24">
        <v>1.5</v>
      </c>
      <c r="W146" s="24" t="s">
        <v>21</v>
      </c>
      <c r="X146" s="28">
        <v>43907</v>
      </c>
      <c r="Y146" s="28">
        <v>43915</v>
      </c>
      <c r="Z146" s="28">
        <v>43913</v>
      </c>
      <c r="AA146" s="28">
        <v>43915</v>
      </c>
      <c r="AB146" s="31" t="s">
        <v>161</v>
      </c>
      <c r="AC146" s="24">
        <v>100</v>
      </c>
      <c r="AD146" s="24">
        <v>100</v>
      </c>
      <c r="AE146" s="24">
        <v>100</v>
      </c>
      <c r="AF146" s="27" t="s">
        <v>76</v>
      </c>
      <c r="AG146" s="27" t="s">
        <v>76</v>
      </c>
    </row>
    <row r="147" spans="1:33" x14ac:dyDescent="0.25">
      <c r="B147" s="72">
        <f t="shared" si="9"/>
        <v>145</v>
      </c>
      <c r="C147" s="26">
        <v>20200317</v>
      </c>
      <c r="D147" s="24" t="s">
        <v>3</v>
      </c>
      <c r="E147" s="24" t="s">
        <v>388</v>
      </c>
      <c r="F147" s="27" t="s">
        <v>359</v>
      </c>
      <c r="G147" s="109">
        <v>1297584</v>
      </c>
      <c r="H147" s="24" t="s">
        <v>399</v>
      </c>
      <c r="I147" s="49" t="s">
        <v>196</v>
      </c>
      <c r="J147" s="27" t="s">
        <v>76</v>
      </c>
      <c r="K147" s="24" t="s">
        <v>407</v>
      </c>
      <c r="L147" s="27" t="str">
        <f t="shared" si="14"/>
        <v>-</v>
      </c>
      <c r="M147" s="27" t="s">
        <v>409</v>
      </c>
      <c r="N147" s="26" t="s">
        <v>620</v>
      </c>
      <c r="O147" s="42" t="s">
        <v>87</v>
      </c>
      <c r="P147" s="24"/>
      <c r="Q147" s="24"/>
      <c r="R147" s="24">
        <v>10</v>
      </c>
      <c r="S147" s="24">
        <f t="shared" si="16"/>
        <v>10</v>
      </c>
      <c r="T147" s="24">
        <f t="shared" si="15"/>
        <v>10</v>
      </c>
      <c r="U147" s="24">
        <f>ROUNDDOWN(S147/HLOOKUP(D147,Table!$C$3:$D$4,2,0)*8,2)</f>
        <v>0.17</v>
      </c>
      <c r="V147" s="24">
        <v>0.5</v>
      </c>
      <c r="W147" s="24" t="s">
        <v>21</v>
      </c>
      <c r="X147" s="28">
        <v>43907</v>
      </c>
      <c r="Y147" s="28">
        <v>43915</v>
      </c>
      <c r="Z147" s="28">
        <v>43913</v>
      </c>
      <c r="AA147" s="28">
        <v>43915</v>
      </c>
      <c r="AB147" s="31" t="s">
        <v>161</v>
      </c>
      <c r="AC147" s="24">
        <v>100</v>
      </c>
      <c r="AD147" s="24">
        <v>100</v>
      </c>
      <c r="AE147" s="24">
        <v>100</v>
      </c>
      <c r="AF147" s="27" t="s">
        <v>76</v>
      </c>
      <c r="AG147" s="27" t="s">
        <v>76</v>
      </c>
    </row>
    <row r="148" spans="1:33" x14ac:dyDescent="0.25">
      <c r="B148" s="106">
        <f t="shared" si="9"/>
        <v>146</v>
      </c>
      <c r="C148" s="26">
        <v>20200318</v>
      </c>
      <c r="D148" s="24" t="s">
        <v>3</v>
      </c>
      <c r="E148" s="24" t="s">
        <v>412</v>
      </c>
      <c r="F148" s="27" t="s">
        <v>414</v>
      </c>
      <c r="G148" s="24">
        <v>1375788</v>
      </c>
      <c r="H148" s="24" t="s">
        <v>415</v>
      </c>
      <c r="I148" s="49" t="s">
        <v>196</v>
      </c>
      <c r="J148" s="27" t="s">
        <v>76</v>
      </c>
      <c r="K148" s="24" t="s">
        <v>419</v>
      </c>
      <c r="L148" s="27" t="str">
        <f t="shared" si="14"/>
        <v>-</v>
      </c>
      <c r="M148" s="27" t="s">
        <v>421</v>
      </c>
      <c r="N148" s="26" t="s">
        <v>621</v>
      </c>
      <c r="O148" s="42" t="s">
        <v>87</v>
      </c>
      <c r="P148" s="24"/>
      <c r="Q148" s="24"/>
      <c r="R148" s="24">
        <v>125</v>
      </c>
      <c r="S148" s="26">
        <f t="shared" si="16"/>
        <v>125</v>
      </c>
      <c r="T148" s="24">
        <f t="shared" si="15"/>
        <v>125</v>
      </c>
      <c r="U148" s="24">
        <f>ROUNDDOWN(S148/HLOOKUP(D148,Table!$C$3:$D$4,2,0)*8,2)</f>
        <v>2.2200000000000002</v>
      </c>
      <c r="V148" s="24">
        <v>2</v>
      </c>
      <c r="W148" s="24" t="s">
        <v>21</v>
      </c>
      <c r="X148" s="28">
        <v>43915</v>
      </c>
      <c r="Y148" s="28">
        <v>43916</v>
      </c>
      <c r="Z148" s="28">
        <v>43913</v>
      </c>
      <c r="AA148" s="28">
        <v>43916</v>
      </c>
      <c r="AB148" s="31" t="s">
        <v>161</v>
      </c>
      <c r="AC148" s="24">
        <v>100</v>
      </c>
      <c r="AD148" s="24">
        <v>100</v>
      </c>
      <c r="AE148" s="24">
        <v>100</v>
      </c>
      <c r="AF148" s="27" t="s">
        <v>76</v>
      </c>
      <c r="AG148" s="27" t="s">
        <v>76</v>
      </c>
    </row>
    <row r="149" spans="1:33" x14ac:dyDescent="0.25">
      <c r="B149" s="106">
        <f t="shared" si="9"/>
        <v>147</v>
      </c>
      <c r="C149" s="26">
        <v>20200318</v>
      </c>
      <c r="D149" s="24" t="s">
        <v>3</v>
      </c>
      <c r="E149" s="24" t="s">
        <v>412</v>
      </c>
      <c r="F149" s="27" t="s">
        <v>414</v>
      </c>
      <c r="G149" s="24">
        <v>1375788</v>
      </c>
      <c r="H149" s="24" t="s">
        <v>416</v>
      </c>
      <c r="I149" s="49" t="s">
        <v>196</v>
      </c>
      <c r="J149" s="27" t="s">
        <v>76</v>
      </c>
      <c r="K149" s="24" t="s">
        <v>419</v>
      </c>
      <c r="L149" s="27" t="str">
        <f t="shared" si="14"/>
        <v>-</v>
      </c>
      <c r="M149" s="27" t="s">
        <v>421</v>
      </c>
      <c r="N149" s="26" t="s">
        <v>622</v>
      </c>
      <c r="O149" s="42" t="s">
        <v>87</v>
      </c>
      <c r="P149" s="24"/>
      <c r="Q149" s="24"/>
      <c r="R149" s="24">
        <v>33</v>
      </c>
      <c r="S149" s="26">
        <f t="shared" si="16"/>
        <v>33</v>
      </c>
      <c r="T149" s="24">
        <f t="shared" si="15"/>
        <v>33</v>
      </c>
      <c r="U149" s="24">
        <f>ROUNDDOWN(S149/HLOOKUP(D149,Table!$C$3:$D$4,2,0)*8,2)</f>
        <v>0.57999999999999996</v>
      </c>
      <c r="V149" s="24">
        <v>0.5</v>
      </c>
      <c r="W149" s="24" t="s">
        <v>21</v>
      </c>
      <c r="X149" s="28">
        <v>43915</v>
      </c>
      <c r="Y149" s="28">
        <v>43916</v>
      </c>
      <c r="Z149" s="28">
        <v>43913</v>
      </c>
      <c r="AA149" s="28">
        <v>43916</v>
      </c>
      <c r="AB149" s="31"/>
      <c r="AC149" s="24" t="s">
        <v>76</v>
      </c>
      <c r="AD149" s="24" t="s">
        <v>76</v>
      </c>
      <c r="AE149" s="24" t="s">
        <v>76</v>
      </c>
      <c r="AF149" s="24" t="s">
        <v>294</v>
      </c>
      <c r="AG149" s="27" t="s">
        <v>76</v>
      </c>
    </row>
    <row r="150" spans="1:33" x14ac:dyDescent="0.25">
      <c r="B150" s="106">
        <f t="shared" si="9"/>
        <v>148</v>
      </c>
      <c r="C150" s="26">
        <v>20200318</v>
      </c>
      <c r="D150" s="24" t="s">
        <v>3</v>
      </c>
      <c r="E150" s="24" t="s">
        <v>413</v>
      </c>
      <c r="F150" s="43" t="s">
        <v>427</v>
      </c>
      <c r="G150" s="24">
        <v>1373324</v>
      </c>
      <c r="H150" s="24" t="s">
        <v>417</v>
      </c>
      <c r="I150" s="49" t="s">
        <v>196</v>
      </c>
      <c r="J150" s="27" t="s">
        <v>76</v>
      </c>
      <c r="K150" s="24" t="s">
        <v>420</v>
      </c>
      <c r="L150" s="27" t="str">
        <f t="shared" si="14"/>
        <v>-</v>
      </c>
      <c r="M150" s="27" t="s">
        <v>422</v>
      </c>
      <c r="N150" s="26" t="s">
        <v>623</v>
      </c>
      <c r="O150" s="42" t="s">
        <v>87</v>
      </c>
      <c r="P150" s="24"/>
      <c r="Q150" s="24"/>
      <c r="R150" s="24">
        <v>178</v>
      </c>
      <c r="S150" s="24">
        <f t="shared" si="16"/>
        <v>178</v>
      </c>
      <c r="T150" s="24">
        <v>178</v>
      </c>
      <c r="U150" s="24">
        <f>ROUNDDOWN(S150/HLOOKUP(D150,Table!$C$3:$D$4,2,0)*8,2)</f>
        <v>3.16</v>
      </c>
      <c r="V150" s="24">
        <v>3</v>
      </c>
      <c r="W150" s="24" t="s">
        <v>21</v>
      </c>
      <c r="X150" s="28">
        <v>43915</v>
      </c>
      <c r="Y150" s="28">
        <v>43916</v>
      </c>
      <c r="Z150" s="28">
        <v>43914</v>
      </c>
      <c r="AA150" s="28">
        <v>43914</v>
      </c>
      <c r="AB150" s="31" t="s">
        <v>161</v>
      </c>
      <c r="AC150" s="24">
        <v>100</v>
      </c>
      <c r="AD150" s="24">
        <v>100</v>
      </c>
      <c r="AE150" s="24">
        <v>100</v>
      </c>
      <c r="AF150" s="27" t="s">
        <v>76</v>
      </c>
      <c r="AG150" s="27" t="s">
        <v>76</v>
      </c>
    </row>
    <row r="151" spans="1:33" x14ac:dyDescent="0.25">
      <c r="B151" s="106">
        <f t="shared" si="9"/>
        <v>149</v>
      </c>
      <c r="C151" s="26">
        <v>20200318</v>
      </c>
      <c r="D151" s="24" t="s">
        <v>3</v>
      </c>
      <c r="E151" s="24" t="s">
        <v>413</v>
      </c>
      <c r="F151" s="27" t="s">
        <v>427</v>
      </c>
      <c r="G151" s="24">
        <v>1373324</v>
      </c>
      <c r="H151" s="109" t="s">
        <v>418</v>
      </c>
      <c r="I151" s="49" t="s">
        <v>196</v>
      </c>
      <c r="J151" s="27" t="s">
        <v>76</v>
      </c>
      <c r="K151" s="24" t="s">
        <v>420</v>
      </c>
      <c r="L151" s="27" t="str">
        <f t="shared" si="14"/>
        <v>-</v>
      </c>
      <c r="M151" s="27" t="s">
        <v>422</v>
      </c>
      <c r="N151" s="26" t="s">
        <v>624</v>
      </c>
      <c r="O151" s="24" t="s">
        <v>85</v>
      </c>
      <c r="P151" s="24"/>
      <c r="Q151" s="24"/>
      <c r="R151" s="24">
        <v>196</v>
      </c>
      <c r="S151" s="24">
        <f t="shared" si="16"/>
        <v>196</v>
      </c>
      <c r="T151" s="24">
        <v>196</v>
      </c>
      <c r="U151" s="24">
        <f>ROUNDDOWN(S151/HLOOKUP(D151,Table!$C$3:$D$4,2,0)*8,2)</f>
        <v>3.48</v>
      </c>
      <c r="V151" s="24">
        <v>3</v>
      </c>
      <c r="W151" s="24" t="s">
        <v>21</v>
      </c>
      <c r="X151" s="28">
        <v>43915</v>
      </c>
      <c r="Y151" s="28">
        <v>43916</v>
      </c>
      <c r="Z151" s="28">
        <v>43913</v>
      </c>
      <c r="AA151" s="28">
        <v>43916</v>
      </c>
      <c r="AB151" s="31" t="s">
        <v>161</v>
      </c>
      <c r="AC151" s="24">
        <v>100</v>
      </c>
      <c r="AD151" s="24">
        <v>100</v>
      </c>
      <c r="AE151" s="24">
        <v>100</v>
      </c>
      <c r="AF151" s="27" t="s">
        <v>76</v>
      </c>
      <c r="AG151" s="27" t="s">
        <v>76</v>
      </c>
    </row>
    <row r="152" spans="1:33" x14ac:dyDescent="0.25">
      <c r="B152" s="106">
        <f t="shared" si="9"/>
        <v>150</v>
      </c>
      <c r="C152" s="24">
        <v>20200319</v>
      </c>
      <c r="D152" s="24" t="s">
        <v>3</v>
      </c>
      <c r="E152" s="42" t="s">
        <v>423</v>
      </c>
      <c r="F152" s="43" t="s">
        <v>424</v>
      </c>
      <c r="G152" s="42">
        <v>1380105</v>
      </c>
      <c r="H152" s="109" t="s">
        <v>425</v>
      </c>
      <c r="I152" s="49" t="s">
        <v>196</v>
      </c>
      <c r="J152" s="27" t="s">
        <v>76</v>
      </c>
      <c r="K152" s="24" t="s">
        <v>420</v>
      </c>
      <c r="L152" s="27" t="str">
        <f t="shared" si="14"/>
        <v>-</v>
      </c>
      <c r="M152" s="43" t="s">
        <v>426</v>
      </c>
      <c r="N152" s="26" t="s">
        <v>625</v>
      </c>
      <c r="O152" s="24" t="s">
        <v>85</v>
      </c>
      <c r="P152" s="24"/>
      <c r="Q152" s="24"/>
      <c r="R152" s="24">
        <v>417</v>
      </c>
      <c r="S152" s="24">
        <f t="shared" si="16"/>
        <v>417</v>
      </c>
      <c r="T152" s="24">
        <v>417</v>
      </c>
      <c r="U152" s="24">
        <f>ROUNDDOWN(S152/HLOOKUP(D152,Table!$C$3:$D$4,2,0)*8,2)</f>
        <v>7.41</v>
      </c>
      <c r="V152" s="24">
        <v>5</v>
      </c>
      <c r="W152" s="24" t="s">
        <v>21</v>
      </c>
      <c r="X152" s="28">
        <v>43915</v>
      </c>
      <c r="Y152" s="28">
        <v>43916</v>
      </c>
      <c r="Z152" s="28">
        <v>43913</v>
      </c>
      <c r="AA152" s="28">
        <v>43916</v>
      </c>
      <c r="AB152" s="31" t="s">
        <v>160</v>
      </c>
      <c r="AC152" s="24">
        <v>93</v>
      </c>
      <c r="AD152" s="24">
        <v>94</v>
      </c>
      <c r="AE152" s="24">
        <v>66</v>
      </c>
      <c r="AF152" s="24" t="s">
        <v>670</v>
      </c>
      <c r="AG152" s="27" t="s">
        <v>76</v>
      </c>
    </row>
    <row r="153" spans="1:33" x14ac:dyDescent="0.25">
      <c r="B153" s="122">
        <f t="shared" si="9"/>
        <v>151</v>
      </c>
      <c r="C153" s="24">
        <v>20200319</v>
      </c>
      <c r="D153" s="25" t="s">
        <v>2</v>
      </c>
      <c r="E153" s="24" t="s">
        <v>435</v>
      </c>
      <c r="F153" s="27" t="s">
        <v>76</v>
      </c>
      <c r="G153" s="24">
        <v>1380028</v>
      </c>
      <c r="H153" s="24" t="s">
        <v>438</v>
      </c>
      <c r="I153" s="27" t="s">
        <v>76</v>
      </c>
      <c r="J153" s="27" t="s">
        <v>76</v>
      </c>
      <c r="K153" s="24" t="s">
        <v>444</v>
      </c>
      <c r="L153" s="27" t="s">
        <v>751</v>
      </c>
      <c r="M153" s="27" t="s">
        <v>448</v>
      </c>
      <c r="N153" s="26" t="s">
        <v>626</v>
      </c>
      <c r="O153" s="24" t="s">
        <v>87</v>
      </c>
      <c r="P153" s="24"/>
      <c r="Q153" s="24"/>
      <c r="R153" s="24">
        <v>14</v>
      </c>
      <c r="S153" s="24">
        <f t="shared" si="16"/>
        <v>14</v>
      </c>
      <c r="T153" s="24">
        <v>14</v>
      </c>
      <c r="U153" s="24">
        <f>ROUNDDOWN(S153/HLOOKUP(D153,Table!$C$3:$D$4,2,0)*8,2)</f>
        <v>0.86</v>
      </c>
      <c r="V153" s="24">
        <v>2</v>
      </c>
      <c r="W153" s="24" t="s">
        <v>21</v>
      </c>
      <c r="X153" s="28">
        <v>43913</v>
      </c>
      <c r="Y153" s="28">
        <v>43917</v>
      </c>
      <c r="Z153" s="28">
        <v>43914</v>
      </c>
      <c r="AA153" s="28">
        <v>43914</v>
      </c>
      <c r="AB153" s="31" t="s">
        <v>161</v>
      </c>
      <c r="AC153" s="24">
        <v>100</v>
      </c>
      <c r="AD153" s="24">
        <v>100</v>
      </c>
      <c r="AE153" s="24">
        <v>100</v>
      </c>
      <c r="AF153" s="27" t="s">
        <v>76</v>
      </c>
      <c r="AG153" s="27" t="s">
        <v>76</v>
      </c>
    </row>
    <row r="154" spans="1:33" x14ac:dyDescent="0.25">
      <c r="B154" s="122">
        <f t="shared" si="9"/>
        <v>152</v>
      </c>
      <c r="C154" s="24">
        <v>20200319</v>
      </c>
      <c r="D154" s="25" t="s">
        <v>2</v>
      </c>
      <c r="E154" s="24" t="s">
        <v>352</v>
      </c>
      <c r="F154" s="27" t="s">
        <v>76</v>
      </c>
      <c r="G154" s="24">
        <v>1379963</v>
      </c>
      <c r="H154" s="24" t="s">
        <v>473</v>
      </c>
      <c r="I154" s="27" t="s">
        <v>76</v>
      </c>
      <c r="J154" s="27" t="s">
        <v>76</v>
      </c>
      <c r="K154" s="24" t="s">
        <v>445</v>
      </c>
      <c r="L154" s="27" t="s">
        <v>747</v>
      </c>
      <c r="M154" s="27" t="s">
        <v>449</v>
      </c>
      <c r="N154" s="26" t="s">
        <v>627</v>
      </c>
      <c r="O154" s="24" t="s">
        <v>86</v>
      </c>
      <c r="P154" s="24"/>
      <c r="Q154" s="24"/>
      <c r="R154" s="24">
        <v>62</v>
      </c>
      <c r="S154" s="24">
        <f>R154+18</f>
        <v>80</v>
      </c>
      <c r="T154" s="24">
        <f>S154</f>
        <v>80</v>
      </c>
      <c r="U154" s="24">
        <f>ROUNDDOWN(S154/HLOOKUP(D154,Table!$C$3:$D$4,2,0)*8,2)</f>
        <v>4.92</v>
      </c>
      <c r="V154" s="24">
        <v>6</v>
      </c>
      <c r="W154" s="24" t="s">
        <v>21</v>
      </c>
      <c r="X154" s="28">
        <v>43913</v>
      </c>
      <c r="Y154" s="28">
        <v>43917</v>
      </c>
      <c r="Z154" s="28">
        <v>43914</v>
      </c>
      <c r="AA154" s="28">
        <v>43914</v>
      </c>
      <c r="AB154" s="31" t="s">
        <v>161</v>
      </c>
      <c r="AC154" s="96">
        <v>100</v>
      </c>
      <c r="AD154" s="96">
        <v>100</v>
      </c>
      <c r="AE154" s="96">
        <v>100</v>
      </c>
      <c r="AF154" s="27" t="s">
        <v>76</v>
      </c>
      <c r="AG154" s="27" t="s">
        <v>76</v>
      </c>
    </row>
    <row r="155" spans="1:33" x14ac:dyDescent="0.25">
      <c r="B155" s="122">
        <f t="shared" ref="B155:B218" si="17">B154+1</f>
        <v>153</v>
      </c>
      <c r="C155" s="24">
        <v>20200319</v>
      </c>
      <c r="D155" s="25" t="s">
        <v>2</v>
      </c>
      <c r="E155" s="24" t="s">
        <v>352</v>
      </c>
      <c r="F155" s="27" t="s">
        <v>76</v>
      </c>
      <c r="G155" s="24">
        <v>1379963</v>
      </c>
      <c r="H155" s="24" t="s">
        <v>439</v>
      </c>
      <c r="I155" s="27" t="s">
        <v>76</v>
      </c>
      <c r="J155" s="27" t="s">
        <v>76</v>
      </c>
      <c r="K155" s="24" t="s">
        <v>445</v>
      </c>
      <c r="L155" s="27" t="s">
        <v>748</v>
      </c>
      <c r="M155" s="27" t="s">
        <v>449</v>
      </c>
      <c r="N155" s="26" t="s">
        <v>628</v>
      </c>
      <c r="O155" s="24" t="s">
        <v>88</v>
      </c>
      <c r="P155" s="24"/>
      <c r="Q155" s="24"/>
      <c r="R155" s="24">
        <v>32</v>
      </c>
      <c r="S155" s="24">
        <f t="shared" si="16"/>
        <v>32</v>
      </c>
      <c r="T155" s="24">
        <f>S155</f>
        <v>32</v>
      </c>
      <c r="U155" s="24">
        <f>ROUNDDOWN(S155/HLOOKUP(D155,Table!$C$3:$D$4,2,0)*8,2)</f>
        <v>1.96</v>
      </c>
      <c r="V155" s="24">
        <v>1.5</v>
      </c>
      <c r="W155" s="24" t="s">
        <v>21</v>
      </c>
      <c r="X155" s="28">
        <v>43913</v>
      </c>
      <c r="Y155" s="28">
        <v>43917</v>
      </c>
      <c r="Z155" s="128">
        <v>43914</v>
      </c>
      <c r="AA155" s="128">
        <v>43914</v>
      </c>
      <c r="AB155" s="31" t="s">
        <v>161</v>
      </c>
      <c r="AC155" s="24">
        <v>100</v>
      </c>
      <c r="AD155" s="24">
        <v>100</v>
      </c>
      <c r="AE155" s="24">
        <v>100</v>
      </c>
      <c r="AF155" s="27" t="s">
        <v>76</v>
      </c>
      <c r="AG155" s="27" t="s">
        <v>76</v>
      </c>
    </row>
    <row r="156" spans="1:33" x14ac:dyDescent="0.25">
      <c r="B156" s="122">
        <f t="shared" si="17"/>
        <v>154</v>
      </c>
      <c r="C156" s="24">
        <v>20200319</v>
      </c>
      <c r="D156" s="25" t="s">
        <v>2</v>
      </c>
      <c r="E156" s="24" t="s">
        <v>352</v>
      </c>
      <c r="F156" s="27" t="s">
        <v>76</v>
      </c>
      <c r="G156" s="24">
        <v>1379963</v>
      </c>
      <c r="H156" s="24" t="s">
        <v>440</v>
      </c>
      <c r="I156" s="27" t="s">
        <v>76</v>
      </c>
      <c r="J156" s="27" t="s">
        <v>76</v>
      </c>
      <c r="K156" s="24" t="s">
        <v>445</v>
      </c>
      <c r="L156" s="24" t="s">
        <v>752</v>
      </c>
      <c r="M156" s="27" t="s">
        <v>449</v>
      </c>
      <c r="N156" s="26" t="s">
        <v>629</v>
      </c>
      <c r="O156" s="24" t="s">
        <v>88</v>
      </c>
      <c r="P156" s="24"/>
      <c r="Q156" s="24"/>
      <c r="R156" s="24">
        <v>11</v>
      </c>
      <c r="S156" s="24">
        <f t="shared" si="16"/>
        <v>11</v>
      </c>
      <c r="T156" s="24">
        <f>S156</f>
        <v>11</v>
      </c>
      <c r="U156" s="24">
        <f>ROUNDDOWN(S156/HLOOKUP(D156,Table!$C$3:$D$4,2,0)*8,2)</f>
        <v>0.67</v>
      </c>
      <c r="V156" s="24">
        <v>1</v>
      </c>
      <c r="W156" s="24" t="s">
        <v>21</v>
      </c>
      <c r="X156" s="28">
        <v>43913</v>
      </c>
      <c r="Y156" s="28">
        <v>43917</v>
      </c>
      <c r="Z156" s="128">
        <v>43914</v>
      </c>
      <c r="AA156" s="128">
        <v>43914</v>
      </c>
      <c r="AB156" s="31" t="s">
        <v>160</v>
      </c>
      <c r="AC156" s="24">
        <v>100</v>
      </c>
      <c r="AD156" s="24">
        <v>100</v>
      </c>
      <c r="AE156" s="24">
        <v>66.7</v>
      </c>
      <c r="AF156" s="24" t="s">
        <v>634</v>
      </c>
      <c r="AG156" s="27" t="s">
        <v>76</v>
      </c>
    </row>
    <row r="157" spans="1:33" x14ac:dyDescent="0.25">
      <c r="B157" s="122">
        <f t="shared" si="17"/>
        <v>155</v>
      </c>
      <c r="C157" s="24">
        <v>20200319</v>
      </c>
      <c r="D157" s="25" t="s">
        <v>2</v>
      </c>
      <c r="E157" s="24" t="s">
        <v>352</v>
      </c>
      <c r="F157" s="27" t="s">
        <v>76</v>
      </c>
      <c r="G157" s="24">
        <v>1379963</v>
      </c>
      <c r="H157" s="24" t="s">
        <v>441</v>
      </c>
      <c r="I157" s="27" t="s">
        <v>76</v>
      </c>
      <c r="J157" s="27" t="s">
        <v>76</v>
      </c>
      <c r="K157" s="24" t="s">
        <v>445</v>
      </c>
      <c r="L157" s="24" t="s">
        <v>752</v>
      </c>
      <c r="M157" s="27" t="s">
        <v>449</v>
      </c>
      <c r="N157" s="26" t="s">
        <v>630</v>
      </c>
      <c r="O157" s="24" t="s">
        <v>86</v>
      </c>
      <c r="P157" s="24"/>
      <c r="Q157" s="24"/>
      <c r="R157" s="24">
        <v>19</v>
      </c>
      <c r="S157" s="24">
        <f t="shared" si="16"/>
        <v>19</v>
      </c>
      <c r="T157" s="24">
        <f>S157</f>
        <v>19</v>
      </c>
      <c r="U157" s="24">
        <f>ROUNDDOWN(S157/HLOOKUP(D157,Table!$C$3:$D$4,2,0)*8,2)</f>
        <v>1.1599999999999999</v>
      </c>
      <c r="V157" s="24">
        <v>1</v>
      </c>
      <c r="W157" s="24" t="s">
        <v>21</v>
      </c>
      <c r="X157" s="28">
        <v>43913</v>
      </c>
      <c r="Y157" s="28">
        <v>43917</v>
      </c>
      <c r="Z157" s="128">
        <v>43915</v>
      </c>
      <c r="AA157" s="128">
        <v>43915</v>
      </c>
      <c r="AB157" s="31" t="s">
        <v>160</v>
      </c>
      <c r="AC157" s="24">
        <v>100</v>
      </c>
      <c r="AD157" s="24">
        <v>100</v>
      </c>
      <c r="AE157" s="24">
        <v>50</v>
      </c>
      <c r="AF157" s="24" t="s">
        <v>679</v>
      </c>
      <c r="AG157" s="27" t="s">
        <v>76</v>
      </c>
    </row>
    <row r="158" spans="1:33" x14ac:dyDescent="0.25">
      <c r="B158" s="122">
        <f t="shared" si="17"/>
        <v>156</v>
      </c>
      <c r="C158" s="24">
        <v>20200319</v>
      </c>
      <c r="D158" s="25" t="s">
        <v>2</v>
      </c>
      <c r="E158" s="24" t="s">
        <v>352</v>
      </c>
      <c r="F158" s="27" t="s">
        <v>76</v>
      </c>
      <c r="G158" s="24">
        <v>1379963</v>
      </c>
      <c r="H158" s="24" t="s">
        <v>676</v>
      </c>
      <c r="I158" s="27" t="s">
        <v>76</v>
      </c>
      <c r="J158" s="27" t="s">
        <v>76</v>
      </c>
      <c r="K158" s="24" t="s">
        <v>445</v>
      </c>
      <c r="L158" s="24" t="s">
        <v>677</v>
      </c>
      <c r="M158" s="27" t="s">
        <v>449</v>
      </c>
      <c r="N158" s="26" t="s">
        <v>631</v>
      </c>
      <c r="O158" s="24" t="s">
        <v>85</v>
      </c>
      <c r="P158" s="24"/>
      <c r="Q158" s="24"/>
      <c r="R158" s="24">
        <v>98</v>
      </c>
      <c r="S158" s="24">
        <f t="shared" si="16"/>
        <v>98</v>
      </c>
      <c r="T158" s="24">
        <v>98</v>
      </c>
      <c r="U158" s="24">
        <f>ROUNDDOWN(S158/HLOOKUP(D158,Table!$C$3:$D$4,2,0)*8,2)</f>
        <v>6.03</v>
      </c>
      <c r="V158" s="24">
        <v>6</v>
      </c>
      <c r="W158" s="24" t="s">
        <v>21</v>
      </c>
      <c r="X158" s="28">
        <v>43913</v>
      </c>
      <c r="Y158" s="28">
        <v>43917</v>
      </c>
      <c r="Z158" s="128">
        <v>43916</v>
      </c>
      <c r="AA158" s="128">
        <v>43916</v>
      </c>
      <c r="AB158" s="31" t="s">
        <v>161</v>
      </c>
      <c r="AC158" s="24">
        <v>100</v>
      </c>
      <c r="AD158" s="24">
        <v>100</v>
      </c>
      <c r="AE158" s="24">
        <v>100</v>
      </c>
      <c r="AF158" s="27" t="s">
        <v>76</v>
      </c>
      <c r="AG158" s="27" t="s">
        <v>76</v>
      </c>
    </row>
    <row r="159" spans="1:33" x14ac:dyDescent="0.25">
      <c r="B159" s="122">
        <f t="shared" si="17"/>
        <v>157</v>
      </c>
      <c r="C159" s="24">
        <v>20200319</v>
      </c>
      <c r="D159" s="25" t="s">
        <v>2</v>
      </c>
      <c r="E159" s="24" t="s">
        <v>436</v>
      </c>
      <c r="F159" s="27" t="s">
        <v>76</v>
      </c>
      <c r="G159" s="24">
        <v>1381575</v>
      </c>
      <c r="H159" s="24" t="s">
        <v>442</v>
      </c>
      <c r="I159" s="27" t="s">
        <v>76</v>
      </c>
      <c r="J159" s="27" t="s">
        <v>76</v>
      </c>
      <c r="K159" s="24" t="s">
        <v>446</v>
      </c>
      <c r="L159" s="24" t="s">
        <v>753</v>
      </c>
      <c r="M159" s="24" t="s">
        <v>450</v>
      </c>
      <c r="N159" s="26" t="s">
        <v>632</v>
      </c>
      <c r="O159" s="24" t="s">
        <v>87</v>
      </c>
      <c r="P159" s="24"/>
      <c r="Q159" s="24"/>
      <c r="R159" s="24">
        <v>46</v>
      </c>
      <c r="S159" s="24">
        <f>R159</f>
        <v>46</v>
      </c>
      <c r="T159" s="24">
        <v>46</v>
      </c>
      <c r="U159" s="24">
        <f>ROUNDDOWN(S159/HLOOKUP(D159,Table!$C$3:$D$4,2,0)*8,2)</f>
        <v>2.83</v>
      </c>
      <c r="V159" s="24">
        <v>3</v>
      </c>
      <c r="W159" s="24" t="s">
        <v>21</v>
      </c>
      <c r="X159" s="28">
        <v>43913</v>
      </c>
      <c r="Y159" s="28">
        <v>43917</v>
      </c>
      <c r="Z159" s="28">
        <v>43914</v>
      </c>
      <c r="AA159" s="28">
        <v>43914</v>
      </c>
      <c r="AB159" s="31" t="s">
        <v>161</v>
      </c>
      <c r="AC159" s="24">
        <v>100</v>
      </c>
      <c r="AD159" s="24">
        <v>100</v>
      </c>
      <c r="AE159" s="24">
        <v>100</v>
      </c>
      <c r="AF159" s="27" t="s">
        <v>76</v>
      </c>
      <c r="AG159" s="27" t="s">
        <v>76</v>
      </c>
    </row>
    <row r="160" spans="1:33" x14ac:dyDescent="0.25">
      <c r="B160" s="122">
        <f t="shared" si="17"/>
        <v>158</v>
      </c>
      <c r="C160" s="24">
        <v>20200319</v>
      </c>
      <c r="D160" s="25" t="s">
        <v>2</v>
      </c>
      <c r="E160" s="24" t="s">
        <v>437</v>
      </c>
      <c r="F160" s="27" t="s">
        <v>76</v>
      </c>
      <c r="G160" s="24">
        <v>1382215</v>
      </c>
      <c r="H160" s="24" t="s">
        <v>443</v>
      </c>
      <c r="I160" s="27" t="s">
        <v>76</v>
      </c>
      <c r="J160" s="27" t="s">
        <v>76</v>
      </c>
      <c r="K160" s="24" t="s">
        <v>447</v>
      </c>
      <c r="L160" s="24" t="s">
        <v>749</v>
      </c>
      <c r="M160" s="24" t="s">
        <v>451</v>
      </c>
      <c r="N160" s="26" t="s">
        <v>633</v>
      </c>
      <c r="O160" s="24" t="s">
        <v>86</v>
      </c>
      <c r="P160" s="24"/>
      <c r="Q160" s="24"/>
      <c r="R160" s="24">
        <v>60</v>
      </c>
      <c r="S160" s="24">
        <f>R160</f>
        <v>60</v>
      </c>
      <c r="T160" s="24">
        <f>S160</f>
        <v>60</v>
      </c>
      <c r="U160" s="24">
        <f>ROUNDDOWN(S160/HLOOKUP(D160,Table!$C$3:$D$4,2,0)*8,2)</f>
        <v>3.69</v>
      </c>
      <c r="V160" s="24">
        <v>8</v>
      </c>
      <c r="W160" s="24" t="s">
        <v>21</v>
      </c>
      <c r="X160" s="28">
        <v>43913</v>
      </c>
      <c r="Y160" s="28">
        <v>43917</v>
      </c>
      <c r="Z160" s="128">
        <v>43915</v>
      </c>
      <c r="AA160" s="128">
        <v>43915</v>
      </c>
      <c r="AB160" s="31" t="s">
        <v>161</v>
      </c>
      <c r="AC160" s="140">
        <v>100</v>
      </c>
      <c r="AD160" s="140">
        <v>100</v>
      </c>
      <c r="AE160" s="140">
        <v>100</v>
      </c>
      <c r="AF160" s="27" t="s">
        <v>76</v>
      </c>
      <c r="AG160" s="27" t="s">
        <v>76</v>
      </c>
    </row>
    <row r="161" spans="1:33" x14ac:dyDescent="0.25">
      <c r="B161" s="122">
        <f>B160+1</f>
        <v>159</v>
      </c>
      <c r="C161" s="24">
        <v>20200320</v>
      </c>
      <c r="D161" s="24" t="s">
        <v>3</v>
      </c>
      <c r="E161" s="24" t="s">
        <v>636</v>
      </c>
      <c r="F161" s="139" t="s">
        <v>668</v>
      </c>
      <c r="G161" s="24">
        <v>1383781</v>
      </c>
      <c r="H161" s="24" t="s">
        <v>638</v>
      </c>
      <c r="I161" s="49" t="s">
        <v>196</v>
      </c>
      <c r="J161" s="24">
        <v>99663</v>
      </c>
      <c r="K161" s="24" t="s">
        <v>639</v>
      </c>
      <c r="L161" s="27" t="str">
        <f t="shared" ref="L161:L192" si="18">IF(D161="ASW","PUT_VERSION","-")</f>
        <v>-</v>
      </c>
      <c r="M161" s="24" t="s">
        <v>640</v>
      </c>
      <c r="N161" s="26" t="s">
        <v>683</v>
      </c>
      <c r="O161" s="24" t="s">
        <v>88</v>
      </c>
      <c r="P161" s="24"/>
      <c r="Q161" s="24"/>
      <c r="R161" s="24">
        <v>148</v>
      </c>
      <c r="S161" s="24">
        <f>R161</f>
        <v>148</v>
      </c>
      <c r="T161" s="24">
        <f>S161</f>
        <v>148</v>
      </c>
      <c r="U161" s="24">
        <f>ROUNDDOWN(S161/HLOOKUP(D161,Table!$C$3:$D$4,2,0)*8,2)</f>
        <v>2.63</v>
      </c>
      <c r="V161" s="24">
        <v>2</v>
      </c>
      <c r="W161" s="24" t="s">
        <v>21</v>
      </c>
      <c r="X161" s="28">
        <v>43910</v>
      </c>
      <c r="Y161" s="28">
        <v>43917</v>
      </c>
      <c r="Z161" s="28">
        <v>43915</v>
      </c>
      <c r="AA161" s="28">
        <v>43915</v>
      </c>
      <c r="AB161" s="31" t="s">
        <v>160</v>
      </c>
      <c r="AC161" s="24">
        <v>100</v>
      </c>
      <c r="AD161" s="24">
        <v>100</v>
      </c>
      <c r="AE161" s="24">
        <v>83</v>
      </c>
      <c r="AF161" s="27" t="s">
        <v>862</v>
      </c>
      <c r="AG161" s="27" t="s">
        <v>76</v>
      </c>
    </row>
    <row r="162" spans="1:33" x14ac:dyDescent="0.25">
      <c r="B162" s="122">
        <f t="shared" si="17"/>
        <v>160</v>
      </c>
      <c r="C162" s="24">
        <v>20200320</v>
      </c>
      <c r="D162" s="24" t="s">
        <v>3</v>
      </c>
      <c r="E162" s="24" t="s">
        <v>345</v>
      </c>
      <c r="F162" s="27" t="s">
        <v>637</v>
      </c>
      <c r="G162" s="24">
        <v>1369645</v>
      </c>
      <c r="H162" s="24" t="s">
        <v>120</v>
      </c>
      <c r="I162" s="25" t="s">
        <v>197</v>
      </c>
      <c r="J162" s="24">
        <v>80773</v>
      </c>
      <c r="K162" s="24" t="s">
        <v>350</v>
      </c>
      <c r="L162" s="27" t="str">
        <f t="shared" si="18"/>
        <v>-</v>
      </c>
      <c r="M162" s="24" t="s">
        <v>641</v>
      </c>
      <c r="N162" s="26" t="s">
        <v>684</v>
      </c>
      <c r="O162" s="24" t="s">
        <v>88</v>
      </c>
      <c r="P162" s="24"/>
      <c r="Q162" s="24"/>
      <c r="R162" s="24">
        <v>144</v>
      </c>
      <c r="S162" s="24">
        <f>R162</f>
        <v>144</v>
      </c>
      <c r="T162" s="24">
        <f>S162</f>
        <v>144</v>
      </c>
      <c r="U162" s="24">
        <f>ROUNDDOWN(S162/HLOOKUP(D162,Table!$C$3:$D$4,2,0)*8,2)</f>
        <v>2.56</v>
      </c>
      <c r="V162" s="24">
        <v>1.5</v>
      </c>
      <c r="W162" s="24" t="s">
        <v>21</v>
      </c>
      <c r="X162" s="28">
        <v>43910</v>
      </c>
      <c r="Y162" s="28">
        <v>43917</v>
      </c>
      <c r="Z162" s="28">
        <v>43915</v>
      </c>
      <c r="AA162" s="28">
        <v>43915</v>
      </c>
      <c r="AB162" s="31" t="s">
        <v>161</v>
      </c>
      <c r="AC162" s="24">
        <v>100</v>
      </c>
      <c r="AD162" s="24">
        <v>100</v>
      </c>
      <c r="AE162" s="24">
        <v>100</v>
      </c>
      <c r="AF162" s="27" t="s">
        <v>76</v>
      </c>
      <c r="AG162" s="27" t="s">
        <v>76</v>
      </c>
    </row>
    <row r="163" spans="1:33" x14ac:dyDescent="0.25">
      <c r="B163" s="137">
        <f t="shared" si="17"/>
        <v>161</v>
      </c>
      <c r="C163" s="24">
        <v>20200324</v>
      </c>
      <c r="D163" s="24" t="s">
        <v>3</v>
      </c>
      <c r="E163" s="24" t="s">
        <v>642</v>
      </c>
      <c r="F163" s="27" t="s">
        <v>644</v>
      </c>
      <c r="G163" s="24">
        <v>1387954</v>
      </c>
      <c r="H163" s="24" t="s">
        <v>649</v>
      </c>
      <c r="I163" s="49" t="s">
        <v>196</v>
      </c>
      <c r="J163" s="27" t="s">
        <v>76</v>
      </c>
      <c r="K163" s="24" t="s">
        <v>654</v>
      </c>
      <c r="L163" s="27" t="str">
        <f t="shared" si="18"/>
        <v>-</v>
      </c>
      <c r="M163" s="24" t="s">
        <v>421</v>
      </c>
      <c r="N163" s="26" t="s">
        <v>685</v>
      </c>
      <c r="O163" s="24" t="s">
        <v>85</v>
      </c>
      <c r="P163" s="24"/>
      <c r="Q163" s="24"/>
      <c r="R163" s="24">
        <v>341</v>
      </c>
      <c r="S163" s="24">
        <f>R163</f>
        <v>341</v>
      </c>
      <c r="T163" s="24">
        <v>341</v>
      </c>
      <c r="U163" s="24">
        <f>ROUNDDOWN(S163/HLOOKUP(D163,Table!$C$3:$D$4,2,0)*8,2)</f>
        <v>6.06</v>
      </c>
      <c r="V163" s="24">
        <v>6</v>
      </c>
      <c r="W163" s="24" t="s">
        <v>21</v>
      </c>
      <c r="X163" s="128">
        <v>43914</v>
      </c>
      <c r="Y163" s="28">
        <v>43920</v>
      </c>
      <c r="Z163" s="28">
        <v>43917</v>
      </c>
      <c r="AA163" s="28">
        <v>43917</v>
      </c>
      <c r="AB163" s="31" t="s">
        <v>160</v>
      </c>
      <c r="AC163" s="24">
        <v>100</v>
      </c>
      <c r="AD163" s="24">
        <v>100</v>
      </c>
      <c r="AE163" s="24">
        <v>98</v>
      </c>
      <c r="AF163" s="24" t="s">
        <v>754</v>
      </c>
      <c r="AG163" s="27" t="s">
        <v>76</v>
      </c>
    </row>
    <row r="164" spans="1:33" x14ac:dyDescent="0.25">
      <c r="B164" s="137">
        <f t="shared" si="17"/>
        <v>162</v>
      </c>
      <c r="C164" s="24">
        <v>20200324</v>
      </c>
      <c r="D164" s="24" t="s">
        <v>3</v>
      </c>
      <c r="E164" s="24" t="s">
        <v>228</v>
      </c>
      <c r="F164" s="27" t="s">
        <v>645</v>
      </c>
      <c r="G164" s="24">
        <v>1386581</v>
      </c>
      <c r="H164" s="24" t="s">
        <v>650</v>
      </c>
      <c r="I164" s="25" t="s">
        <v>197</v>
      </c>
      <c r="J164" s="135">
        <v>99856</v>
      </c>
      <c r="K164" s="134" t="s">
        <v>243</v>
      </c>
      <c r="L164" s="27" t="str">
        <f t="shared" si="18"/>
        <v>-</v>
      </c>
      <c r="M164" s="24" t="s">
        <v>655</v>
      </c>
      <c r="N164" s="26" t="s">
        <v>686</v>
      </c>
      <c r="O164" s="24" t="s">
        <v>86</v>
      </c>
      <c r="P164" s="24"/>
      <c r="Q164" s="24"/>
      <c r="R164" s="24">
        <v>189</v>
      </c>
      <c r="S164" s="24">
        <f t="shared" ref="S164:S168" si="19">R164</f>
        <v>189</v>
      </c>
      <c r="T164" s="24">
        <f t="shared" ref="T164:T207" si="20">S164</f>
        <v>189</v>
      </c>
      <c r="U164" s="24">
        <f>ROUNDDOWN(S164/HLOOKUP(D164,Table!$C$3:$D$4,2,0)*8,2)</f>
        <v>3.36</v>
      </c>
      <c r="V164" s="24">
        <f t="shared" ref="V164:V207" si="21">U164</f>
        <v>3.36</v>
      </c>
      <c r="W164" s="24" t="s">
        <v>21</v>
      </c>
      <c r="X164" s="128">
        <v>43914</v>
      </c>
      <c r="Y164" s="28">
        <v>43920</v>
      </c>
      <c r="Z164" s="28">
        <v>43915</v>
      </c>
      <c r="AA164" s="28">
        <v>43915</v>
      </c>
      <c r="AB164" s="31" t="s">
        <v>161</v>
      </c>
      <c r="AC164" s="140">
        <v>100</v>
      </c>
      <c r="AD164" s="140">
        <v>100</v>
      </c>
      <c r="AE164" s="140">
        <v>100</v>
      </c>
      <c r="AF164" s="27" t="s">
        <v>76</v>
      </c>
      <c r="AG164" s="27" t="s">
        <v>76</v>
      </c>
    </row>
    <row r="165" spans="1:33" x14ac:dyDescent="0.25">
      <c r="B165" s="137">
        <f t="shared" si="17"/>
        <v>163</v>
      </c>
      <c r="C165" s="24">
        <v>20200324</v>
      </c>
      <c r="D165" s="24" t="s">
        <v>3</v>
      </c>
      <c r="E165" s="24" t="s">
        <v>643</v>
      </c>
      <c r="F165" s="27" t="s">
        <v>646</v>
      </c>
      <c r="G165" s="24">
        <v>1386393</v>
      </c>
      <c r="H165" s="24" t="s">
        <v>394</v>
      </c>
      <c r="I165" s="49" t="s">
        <v>196</v>
      </c>
      <c r="J165" s="136">
        <v>82142</v>
      </c>
      <c r="K165" s="24" t="s">
        <v>95</v>
      </c>
      <c r="L165" s="27" t="str">
        <f t="shared" si="18"/>
        <v>-</v>
      </c>
      <c r="M165" s="24" t="s">
        <v>656</v>
      </c>
      <c r="N165" s="26" t="s">
        <v>687</v>
      </c>
      <c r="O165" s="24" t="s">
        <v>87</v>
      </c>
      <c r="P165" s="24"/>
      <c r="Q165" s="24"/>
      <c r="R165" s="24">
        <v>34</v>
      </c>
      <c r="S165" s="25">
        <v>125</v>
      </c>
      <c r="T165" s="26">
        <f t="shared" si="20"/>
        <v>125</v>
      </c>
      <c r="U165" s="24">
        <f>ROUNDDOWN(S165/HLOOKUP(D165,Table!$C$3:$D$4,2,0)*8,2)</f>
        <v>2.2200000000000002</v>
      </c>
      <c r="V165" s="24">
        <f t="shared" si="21"/>
        <v>2.2200000000000002</v>
      </c>
      <c r="W165" s="24" t="s">
        <v>21</v>
      </c>
      <c r="X165" s="128">
        <v>43914</v>
      </c>
      <c r="Y165" s="28">
        <v>43920</v>
      </c>
      <c r="Z165" s="28">
        <v>43915</v>
      </c>
      <c r="AA165" s="28">
        <v>43915</v>
      </c>
      <c r="AB165" s="31" t="s">
        <v>161</v>
      </c>
      <c r="AC165" s="24">
        <v>100</v>
      </c>
      <c r="AD165" s="24">
        <v>100</v>
      </c>
      <c r="AE165" s="24">
        <v>100</v>
      </c>
      <c r="AF165" s="27" t="s">
        <v>76</v>
      </c>
      <c r="AG165" s="27" t="s">
        <v>76</v>
      </c>
    </row>
    <row r="166" spans="1:33" x14ac:dyDescent="0.25">
      <c r="B166" s="137">
        <f t="shared" si="17"/>
        <v>164</v>
      </c>
      <c r="C166" s="24">
        <v>20200324</v>
      </c>
      <c r="D166" s="24" t="s">
        <v>3</v>
      </c>
      <c r="E166" s="24" t="s">
        <v>643</v>
      </c>
      <c r="F166" s="27" t="s">
        <v>647</v>
      </c>
      <c r="G166" s="24">
        <v>1386393</v>
      </c>
      <c r="H166" s="24" t="s">
        <v>651</v>
      </c>
      <c r="I166" s="49" t="s">
        <v>196</v>
      </c>
      <c r="J166" s="136">
        <v>82142</v>
      </c>
      <c r="K166" s="24" t="s">
        <v>95</v>
      </c>
      <c r="L166" s="27" t="str">
        <f t="shared" si="18"/>
        <v>-</v>
      </c>
      <c r="M166" s="24" t="s">
        <v>656</v>
      </c>
      <c r="N166" s="26" t="s">
        <v>688</v>
      </c>
      <c r="O166" s="24" t="s">
        <v>87</v>
      </c>
      <c r="P166" s="24"/>
      <c r="Q166" s="24"/>
      <c r="R166" s="24">
        <v>155</v>
      </c>
      <c r="S166" s="25">
        <v>158</v>
      </c>
      <c r="T166" s="24">
        <f t="shared" si="20"/>
        <v>158</v>
      </c>
      <c r="U166" s="24">
        <f>ROUNDDOWN(S166/HLOOKUP(D166,Table!$C$3:$D$4,2,0)*8,2)</f>
        <v>2.8</v>
      </c>
      <c r="V166" s="24">
        <f t="shared" si="21"/>
        <v>2.8</v>
      </c>
      <c r="W166" s="24" t="s">
        <v>21</v>
      </c>
      <c r="X166" s="128">
        <v>43914</v>
      </c>
      <c r="Y166" s="28">
        <v>43920</v>
      </c>
      <c r="Z166" s="28">
        <v>43915</v>
      </c>
      <c r="AA166" s="28">
        <v>43915</v>
      </c>
      <c r="AB166" s="31" t="s">
        <v>161</v>
      </c>
      <c r="AC166" s="24">
        <v>100</v>
      </c>
      <c r="AD166" s="24">
        <v>100</v>
      </c>
      <c r="AE166" s="24">
        <v>100</v>
      </c>
      <c r="AF166" s="27" t="s">
        <v>76</v>
      </c>
      <c r="AG166" s="27" t="s">
        <v>76</v>
      </c>
    </row>
    <row r="167" spans="1:33" x14ac:dyDescent="0.25">
      <c r="B167" s="137">
        <f t="shared" si="17"/>
        <v>165</v>
      </c>
      <c r="C167" s="24">
        <v>20200324</v>
      </c>
      <c r="D167" s="24" t="s">
        <v>3</v>
      </c>
      <c r="E167" s="24" t="s">
        <v>643</v>
      </c>
      <c r="F167" s="27" t="s">
        <v>648</v>
      </c>
      <c r="G167" s="24">
        <v>1386393</v>
      </c>
      <c r="H167" s="24" t="s">
        <v>652</v>
      </c>
      <c r="I167" s="49" t="s">
        <v>196</v>
      </c>
      <c r="J167" s="136">
        <v>82142</v>
      </c>
      <c r="K167" s="24" t="s">
        <v>95</v>
      </c>
      <c r="L167" s="27" t="str">
        <f t="shared" si="18"/>
        <v>-</v>
      </c>
      <c r="M167" s="24" t="s">
        <v>656</v>
      </c>
      <c r="N167" s="26" t="s">
        <v>689</v>
      </c>
      <c r="O167" s="24" t="s">
        <v>87</v>
      </c>
      <c r="P167" s="24"/>
      <c r="Q167" s="24"/>
      <c r="R167" s="24">
        <v>22</v>
      </c>
      <c r="S167" s="26">
        <v>22</v>
      </c>
      <c r="T167" s="24">
        <f t="shared" si="20"/>
        <v>22</v>
      </c>
      <c r="U167" s="24">
        <f>ROUNDDOWN(S167/HLOOKUP(D167,Table!$C$3:$D$4,2,0)*8,2)</f>
        <v>0.39</v>
      </c>
      <c r="V167" s="24">
        <f t="shared" si="21"/>
        <v>0.39</v>
      </c>
      <c r="W167" s="24" t="s">
        <v>21</v>
      </c>
      <c r="X167" s="128">
        <v>43914</v>
      </c>
      <c r="Y167" s="28">
        <v>43920</v>
      </c>
      <c r="Z167" s="28">
        <v>43915</v>
      </c>
      <c r="AA167" s="28">
        <v>43915</v>
      </c>
      <c r="AB167" s="31" t="s">
        <v>161</v>
      </c>
      <c r="AC167" s="24">
        <v>100</v>
      </c>
      <c r="AD167" s="24">
        <v>100</v>
      </c>
      <c r="AE167" s="24">
        <v>100</v>
      </c>
      <c r="AF167" s="27" t="s">
        <v>76</v>
      </c>
      <c r="AG167" s="27" t="s">
        <v>76</v>
      </c>
    </row>
    <row r="168" spans="1:33" x14ac:dyDescent="0.25">
      <c r="B168" s="137">
        <f t="shared" si="17"/>
        <v>166</v>
      </c>
      <c r="C168" s="24">
        <v>20200324</v>
      </c>
      <c r="D168" s="24" t="s">
        <v>3</v>
      </c>
      <c r="E168" s="24" t="s">
        <v>643</v>
      </c>
      <c r="F168" s="27" t="s">
        <v>648</v>
      </c>
      <c r="G168" s="24">
        <v>1386393</v>
      </c>
      <c r="H168" s="24" t="s">
        <v>653</v>
      </c>
      <c r="I168" s="49" t="s">
        <v>196</v>
      </c>
      <c r="J168" s="136">
        <v>82142</v>
      </c>
      <c r="K168" s="24" t="s">
        <v>95</v>
      </c>
      <c r="L168" s="27" t="str">
        <f t="shared" si="18"/>
        <v>-</v>
      </c>
      <c r="M168" s="24" t="s">
        <v>656</v>
      </c>
      <c r="N168" s="26" t="s">
        <v>690</v>
      </c>
      <c r="O168" s="24" t="s">
        <v>87</v>
      </c>
      <c r="P168" s="24"/>
      <c r="Q168" s="24"/>
      <c r="R168" s="24">
        <v>29</v>
      </c>
      <c r="S168" s="24">
        <f t="shared" si="19"/>
        <v>29</v>
      </c>
      <c r="T168" s="24">
        <f t="shared" si="20"/>
        <v>29</v>
      </c>
      <c r="U168" s="24">
        <f>ROUNDDOWN(S168/HLOOKUP(D168,Table!$C$3:$D$4,2,0)*8,2)</f>
        <v>0.51</v>
      </c>
      <c r="V168" s="24">
        <f t="shared" si="21"/>
        <v>0.51</v>
      </c>
      <c r="W168" s="24" t="s">
        <v>21</v>
      </c>
      <c r="X168" s="128">
        <v>43914</v>
      </c>
      <c r="Y168" s="28">
        <v>43920</v>
      </c>
      <c r="Z168" s="28">
        <v>43915</v>
      </c>
      <c r="AA168" s="28">
        <v>43915</v>
      </c>
      <c r="AB168" s="31" t="s">
        <v>161</v>
      </c>
      <c r="AC168" s="24">
        <v>100</v>
      </c>
      <c r="AD168" s="24">
        <v>100</v>
      </c>
      <c r="AE168" s="24">
        <v>100</v>
      </c>
      <c r="AF168" s="27" t="s">
        <v>76</v>
      </c>
      <c r="AG168" s="27" t="s">
        <v>76</v>
      </c>
    </row>
    <row r="169" spans="1:33" x14ac:dyDescent="0.25">
      <c r="B169" s="138">
        <f t="shared" si="17"/>
        <v>167</v>
      </c>
      <c r="C169" s="24">
        <v>20200324</v>
      </c>
      <c r="D169" s="24" t="s">
        <v>3</v>
      </c>
      <c r="E169" s="24" t="s">
        <v>352</v>
      </c>
      <c r="F169" s="27" t="s">
        <v>658</v>
      </c>
      <c r="G169" s="24">
        <v>1388354</v>
      </c>
      <c r="H169" s="24" t="s">
        <v>663</v>
      </c>
      <c r="I169" s="49" t="s">
        <v>196</v>
      </c>
      <c r="J169" s="150">
        <v>8111681175</v>
      </c>
      <c r="K169" s="24" t="s">
        <v>95</v>
      </c>
      <c r="L169" s="27" t="str">
        <f t="shared" si="18"/>
        <v>-</v>
      </c>
      <c r="M169" s="24" t="s">
        <v>666</v>
      </c>
      <c r="N169" s="26" t="s">
        <v>691</v>
      </c>
      <c r="O169" s="24" t="s">
        <v>88</v>
      </c>
      <c r="P169" s="24"/>
      <c r="Q169" s="24"/>
      <c r="R169" s="24">
        <v>65</v>
      </c>
      <c r="S169" s="24">
        <f>R169</f>
        <v>65</v>
      </c>
      <c r="T169" s="24">
        <f t="shared" si="20"/>
        <v>65</v>
      </c>
      <c r="U169" s="24">
        <f>ROUNDDOWN(S169/HLOOKUP(D169,Table!$C$3:$D$4,2,0)*8,2)</f>
        <v>1.1499999999999999</v>
      </c>
      <c r="V169" s="24">
        <f t="shared" si="21"/>
        <v>1.1499999999999999</v>
      </c>
      <c r="W169" s="24" t="s">
        <v>21</v>
      </c>
      <c r="X169" s="128">
        <v>43914</v>
      </c>
      <c r="Y169" s="28">
        <v>43921</v>
      </c>
      <c r="Z169" s="28">
        <v>43915</v>
      </c>
      <c r="AA169" s="28">
        <v>43915</v>
      </c>
      <c r="AB169" s="31" t="s">
        <v>161</v>
      </c>
      <c r="AC169" s="24">
        <v>100</v>
      </c>
      <c r="AD169" s="24">
        <v>100</v>
      </c>
      <c r="AE169" s="24">
        <v>100</v>
      </c>
      <c r="AF169" s="27" t="s">
        <v>76</v>
      </c>
      <c r="AG169" s="27" t="s">
        <v>76</v>
      </c>
    </row>
    <row r="170" spans="1:33" x14ac:dyDescent="0.25">
      <c r="B170" s="138">
        <f t="shared" si="17"/>
        <v>168</v>
      </c>
      <c r="C170" s="24">
        <v>20200324</v>
      </c>
      <c r="D170" s="24" t="s">
        <v>3</v>
      </c>
      <c r="E170" s="24" t="s">
        <v>352</v>
      </c>
      <c r="F170" s="27" t="s">
        <v>658</v>
      </c>
      <c r="G170" s="24">
        <v>1388354</v>
      </c>
      <c r="H170" s="24" t="s">
        <v>394</v>
      </c>
      <c r="I170" s="49" t="s">
        <v>196</v>
      </c>
      <c r="J170" s="150">
        <v>8111681175</v>
      </c>
      <c r="K170" s="24" t="s">
        <v>95</v>
      </c>
      <c r="L170" s="27" t="str">
        <f t="shared" si="18"/>
        <v>-</v>
      </c>
      <c r="M170" s="24" t="s">
        <v>666</v>
      </c>
      <c r="N170" s="26" t="s">
        <v>692</v>
      </c>
      <c r="O170" s="24" t="s">
        <v>86</v>
      </c>
      <c r="P170" s="24"/>
      <c r="Q170" s="24"/>
      <c r="R170" s="24">
        <v>34</v>
      </c>
      <c r="S170" s="24">
        <f t="shared" ref="S170:S177" si="22">R170</f>
        <v>34</v>
      </c>
      <c r="T170" s="24">
        <f t="shared" si="20"/>
        <v>34</v>
      </c>
      <c r="U170" s="24">
        <f>ROUNDDOWN(S170/HLOOKUP(D170,Table!$C$3:$D$4,2,0)*8,2)</f>
        <v>0.6</v>
      </c>
      <c r="V170" s="24">
        <f t="shared" si="21"/>
        <v>0.6</v>
      </c>
      <c r="W170" s="24" t="s">
        <v>18</v>
      </c>
      <c r="X170" s="128">
        <v>43914</v>
      </c>
      <c r="Y170" s="28">
        <v>43921</v>
      </c>
      <c r="Z170" s="28">
        <v>43915</v>
      </c>
      <c r="AA170" s="28">
        <v>43915</v>
      </c>
      <c r="AB170" s="31" t="s">
        <v>161</v>
      </c>
      <c r="AC170" s="140">
        <v>100</v>
      </c>
      <c r="AD170" s="140">
        <v>100</v>
      </c>
      <c r="AE170" s="140">
        <v>100</v>
      </c>
      <c r="AF170" s="27" t="s">
        <v>76</v>
      </c>
      <c r="AG170" s="27" t="s">
        <v>76</v>
      </c>
    </row>
    <row r="171" spans="1:33" x14ac:dyDescent="0.25">
      <c r="B171" s="138">
        <f t="shared" si="17"/>
        <v>169</v>
      </c>
      <c r="C171" s="24">
        <v>20200324</v>
      </c>
      <c r="D171" s="24" t="s">
        <v>3</v>
      </c>
      <c r="E171" s="24" t="s">
        <v>352</v>
      </c>
      <c r="F171" s="27" t="s">
        <v>659</v>
      </c>
      <c r="G171" s="24">
        <v>1388354</v>
      </c>
      <c r="H171" s="24" t="s">
        <v>663</v>
      </c>
      <c r="I171" s="49" t="s">
        <v>196</v>
      </c>
      <c r="J171" s="150">
        <v>8111681175</v>
      </c>
      <c r="K171" s="24" t="s">
        <v>95</v>
      </c>
      <c r="L171" s="27" t="str">
        <f t="shared" si="18"/>
        <v>-</v>
      </c>
      <c r="M171" s="24" t="s">
        <v>666</v>
      </c>
      <c r="N171" s="26" t="s">
        <v>693</v>
      </c>
      <c r="O171" s="24" t="s">
        <v>88</v>
      </c>
      <c r="P171" s="24"/>
      <c r="Q171" s="24"/>
      <c r="R171" s="24">
        <v>65</v>
      </c>
      <c r="S171" s="24">
        <f t="shared" si="22"/>
        <v>65</v>
      </c>
      <c r="T171" s="24">
        <f t="shared" si="20"/>
        <v>65</v>
      </c>
      <c r="U171" s="24">
        <f>ROUNDDOWN(S171/HLOOKUP(D171,Table!$C$3:$D$4,2,0)*8,2)</f>
        <v>1.1499999999999999</v>
      </c>
      <c r="V171" s="24">
        <f t="shared" si="21"/>
        <v>1.1499999999999999</v>
      </c>
      <c r="W171" s="24" t="s">
        <v>21</v>
      </c>
      <c r="X171" s="128">
        <v>43914</v>
      </c>
      <c r="Y171" s="28">
        <v>43921</v>
      </c>
      <c r="Z171" s="28">
        <v>43915</v>
      </c>
      <c r="AA171" s="28">
        <v>43915</v>
      </c>
      <c r="AB171" s="31" t="s">
        <v>161</v>
      </c>
      <c r="AC171" s="140">
        <v>100</v>
      </c>
      <c r="AD171" s="140">
        <v>100</v>
      </c>
      <c r="AE171" s="140">
        <v>100</v>
      </c>
      <c r="AF171" s="27" t="s">
        <v>76</v>
      </c>
      <c r="AG171" s="27" t="s">
        <v>76</v>
      </c>
    </row>
    <row r="172" spans="1:33" x14ac:dyDescent="0.25">
      <c r="B172" s="138">
        <f t="shared" si="17"/>
        <v>170</v>
      </c>
      <c r="C172" s="24">
        <v>20200324</v>
      </c>
      <c r="D172" s="24" t="s">
        <v>3</v>
      </c>
      <c r="E172" s="24" t="s">
        <v>352</v>
      </c>
      <c r="F172" s="27" t="s">
        <v>659</v>
      </c>
      <c r="G172" s="24">
        <v>1388354</v>
      </c>
      <c r="H172" s="24" t="s">
        <v>394</v>
      </c>
      <c r="I172" s="49" t="s">
        <v>196</v>
      </c>
      <c r="J172" s="150">
        <v>8111681175</v>
      </c>
      <c r="K172" s="24" t="s">
        <v>95</v>
      </c>
      <c r="L172" s="27" t="str">
        <f t="shared" si="18"/>
        <v>-</v>
      </c>
      <c r="M172" s="24" t="s">
        <v>666</v>
      </c>
      <c r="N172" s="26" t="s">
        <v>694</v>
      </c>
      <c r="O172" s="24" t="s">
        <v>86</v>
      </c>
      <c r="P172" s="24"/>
      <c r="Q172" s="24"/>
      <c r="R172" s="24">
        <v>34</v>
      </c>
      <c r="S172" s="24">
        <f t="shared" si="22"/>
        <v>34</v>
      </c>
      <c r="T172" s="24">
        <f t="shared" si="20"/>
        <v>34</v>
      </c>
      <c r="U172" s="24">
        <f>ROUNDDOWN(S172/HLOOKUP(D172,Table!$C$3:$D$4,2,0)*8,2)</f>
        <v>0.6</v>
      </c>
      <c r="V172" s="24">
        <f t="shared" si="21"/>
        <v>0.6</v>
      </c>
      <c r="W172" s="24" t="s">
        <v>18</v>
      </c>
      <c r="X172" s="128">
        <v>43914</v>
      </c>
      <c r="Y172" s="28">
        <v>43921</v>
      </c>
      <c r="Z172" s="28">
        <v>43915</v>
      </c>
      <c r="AA172" s="28">
        <v>43915</v>
      </c>
      <c r="AB172" s="31" t="s">
        <v>161</v>
      </c>
      <c r="AC172" s="140">
        <v>100</v>
      </c>
      <c r="AD172" s="140">
        <v>100</v>
      </c>
      <c r="AE172" s="140">
        <v>100</v>
      </c>
      <c r="AF172" s="27" t="s">
        <v>76</v>
      </c>
      <c r="AG172" s="27" t="s">
        <v>76</v>
      </c>
    </row>
    <row r="173" spans="1:33" x14ac:dyDescent="0.25">
      <c r="B173" s="138">
        <f t="shared" si="17"/>
        <v>171</v>
      </c>
      <c r="C173" s="24">
        <v>20200324</v>
      </c>
      <c r="D173" s="24" t="s">
        <v>3</v>
      </c>
      <c r="E173" s="24" t="s">
        <v>352</v>
      </c>
      <c r="F173" s="27" t="s">
        <v>660</v>
      </c>
      <c r="G173" s="24">
        <v>1388271</v>
      </c>
      <c r="H173" s="24" t="s">
        <v>663</v>
      </c>
      <c r="I173" s="49" t="s">
        <v>196</v>
      </c>
      <c r="J173" s="150">
        <v>8198981990</v>
      </c>
      <c r="K173" s="24" t="s">
        <v>95</v>
      </c>
      <c r="L173" s="27" t="str">
        <f t="shared" si="18"/>
        <v>-</v>
      </c>
      <c r="M173" s="24" t="s">
        <v>666</v>
      </c>
      <c r="N173" s="26" t="s">
        <v>695</v>
      </c>
      <c r="O173" s="24" t="s">
        <v>85</v>
      </c>
      <c r="P173" s="24"/>
      <c r="Q173" s="24"/>
      <c r="R173" s="24">
        <v>65</v>
      </c>
      <c r="S173" s="24">
        <f t="shared" si="22"/>
        <v>65</v>
      </c>
      <c r="T173" s="24">
        <v>65</v>
      </c>
      <c r="U173" s="24">
        <f>ROUNDDOWN(S173/HLOOKUP(D173,Table!$C$3:$D$4,2,0)*8,2)</f>
        <v>1.1499999999999999</v>
      </c>
      <c r="V173" s="24">
        <v>1</v>
      </c>
      <c r="W173" s="24" t="s">
        <v>18</v>
      </c>
      <c r="X173" s="128">
        <v>43914</v>
      </c>
      <c r="Y173" s="28">
        <v>43921</v>
      </c>
      <c r="Z173" s="28">
        <v>43917</v>
      </c>
      <c r="AA173" s="28">
        <v>43917</v>
      </c>
      <c r="AB173" s="31" t="s">
        <v>161</v>
      </c>
      <c r="AC173" s="24">
        <v>100</v>
      </c>
      <c r="AD173" s="24">
        <v>100</v>
      </c>
      <c r="AE173" s="24">
        <v>100</v>
      </c>
      <c r="AF173" s="27" t="s">
        <v>76</v>
      </c>
      <c r="AG173" s="27" t="s">
        <v>76</v>
      </c>
    </row>
    <row r="174" spans="1:33" x14ac:dyDescent="0.25">
      <c r="B174" s="138">
        <f t="shared" si="17"/>
        <v>172</v>
      </c>
      <c r="C174" s="24">
        <v>20200324</v>
      </c>
      <c r="D174" s="24" t="s">
        <v>3</v>
      </c>
      <c r="E174" s="24" t="s">
        <v>352</v>
      </c>
      <c r="F174" s="27" t="s">
        <v>660</v>
      </c>
      <c r="G174" s="24">
        <v>1388271</v>
      </c>
      <c r="H174" s="24" t="s">
        <v>394</v>
      </c>
      <c r="I174" s="49" t="s">
        <v>196</v>
      </c>
      <c r="J174" s="150">
        <v>8198981990</v>
      </c>
      <c r="K174" s="24" t="s">
        <v>95</v>
      </c>
      <c r="L174" s="27" t="str">
        <f t="shared" si="18"/>
        <v>-</v>
      </c>
      <c r="M174" s="24" t="s">
        <v>666</v>
      </c>
      <c r="N174" s="26" t="s">
        <v>696</v>
      </c>
      <c r="O174" s="24" t="s">
        <v>86</v>
      </c>
      <c r="P174" s="24"/>
      <c r="Q174" s="24"/>
      <c r="R174" s="24">
        <v>34</v>
      </c>
      <c r="S174" s="24">
        <f t="shared" si="22"/>
        <v>34</v>
      </c>
      <c r="T174" s="24">
        <f t="shared" si="20"/>
        <v>34</v>
      </c>
      <c r="U174" s="24">
        <f>ROUNDDOWN(S174/HLOOKUP(D174,Table!$C$3:$D$4,2,0)*8,2)</f>
        <v>0.6</v>
      </c>
      <c r="V174" s="24">
        <f t="shared" si="21"/>
        <v>0.6</v>
      </c>
      <c r="W174" s="24" t="s">
        <v>18</v>
      </c>
      <c r="X174" s="128">
        <v>43914</v>
      </c>
      <c r="Y174" s="28">
        <v>43921</v>
      </c>
      <c r="Z174" s="28">
        <v>43915</v>
      </c>
      <c r="AA174" s="28">
        <v>43915</v>
      </c>
      <c r="AB174" s="31" t="s">
        <v>161</v>
      </c>
      <c r="AC174" s="140">
        <v>100</v>
      </c>
      <c r="AD174" s="140">
        <v>100</v>
      </c>
      <c r="AE174" s="140">
        <v>100</v>
      </c>
      <c r="AF174" s="27" t="s">
        <v>76</v>
      </c>
      <c r="AG174" s="27" t="s">
        <v>76</v>
      </c>
    </row>
    <row r="175" spans="1:33" x14ac:dyDescent="0.25">
      <c r="B175" s="138">
        <f t="shared" si="17"/>
        <v>173</v>
      </c>
      <c r="C175" s="24">
        <v>20200324</v>
      </c>
      <c r="D175" s="24" t="s">
        <v>3</v>
      </c>
      <c r="E175" s="24" t="s">
        <v>352</v>
      </c>
      <c r="F175" s="27" t="s">
        <v>661</v>
      </c>
      <c r="G175" s="24">
        <v>1388271</v>
      </c>
      <c r="H175" s="24" t="s">
        <v>663</v>
      </c>
      <c r="I175" s="49" t="s">
        <v>196</v>
      </c>
      <c r="J175" s="150">
        <v>8198981990</v>
      </c>
      <c r="K175" s="24" t="s">
        <v>95</v>
      </c>
      <c r="L175" s="27" t="str">
        <f t="shared" si="18"/>
        <v>-</v>
      </c>
      <c r="M175" s="24" t="s">
        <v>666</v>
      </c>
      <c r="N175" s="26" t="s">
        <v>697</v>
      </c>
      <c r="O175" s="24" t="s">
        <v>85</v>
      </c>
      <c r="P175" s="24"/>
      <c r="Q175" s="24"/>
      <c r="R175" s="24">
        <v>65</v>
      </c>
      <c r="S175" s="24">
        <f t="shared" si="22"/>
        <v>65</v>
      </c>
      <c r="T175" s="24">
        <v>65</v>
      </c>
      <c r="U175" s="24">
        <f>ROUNDDOWN(S175/HLOOKUP(D175,Table!$C$3:$D$4,2,0)*8,2)</f>
        <v>1.1499999999999999</v>
      </c>
      <c r="V175" s="24">
        <v>1</v>
      </c>
      <c r="W175" s="24" t="s">
        <v>18</v>
      </c>
      <c r="X175" s="128">
        <v>43914</v>
      </c>
      <c r="Y175" s="28">
        <v>43921</v>
      </c>
      <c r="Z175" s="28">
        <v>43917</v>
      </c>
      <c r="AA175" s="28">
        <v>43917</v>
      </c>
      <c r="AB175" s="31" t="s">
        <v>161</v>
      </c>
      <c r="AC175" s="24">
        <v>100</v>
      </c>
      <c r="AD175" s="24">
        <v>100</v>
      </c>
      <c r="AE175" s="24">
        <v>100</v>
      </c>
      <c r="AF175" s="27" t="s">
        <v>76</v>
      </c>
      <c r="AG175" s="27" t="s">
        <v>76</v>
      </c>
    </row>
    <row r="176" spans="1:33" x14ac:dyDescent="0.25">
      <c r="B176" s="138">
        <f t="shared" si="17"/>
        <v>174</v>
      </c>
      <c r="C176" s="24">
        <v>20200324</v>
      </c>
      <c r="D176" s="24" t="s">
        <v>3</v>
      </c>
      <c r="E176" s="24" t="s">
        <v>352</v>
      </c>
      <c r="F176" s="27" t="s">
        <v>661</v>
      </c>
      <c r="G176" s="24">
        <v>1388271</v>
      </c>
      <c r="H176" s="24" t="s">
        <v>394</v>
      </c>
      <c r="I176" s="49" t="s">
        <v>196</v>
      </c>
      <c r="J176" s="150">
        <v>8198981990</v>
      </c>
      <c r="K176" s="24" t="s">
        <v>95</v>
      </c>
      <c r="L176" s="27" t="str">
        <f t="shared" si="18"/>
        <v>-</v>
      </c>
      <c r="M176" s="24" t="s">
        <v>666</v>
      </c>
      <c r="N176" s="26" t="s">
        <v>698</v>
      </c>
      <c r="O176" s="24" t="s">
        <v>86</v>
      </c>
      <c r="P176" s="24"/>
      <c r="Q176" s="24"/>
      <c r="R176" s="24">
        <v>34</v>
      </c>
      <c r="S176" s="24">
        <f t="shared" si="22"/>
        <v>34</v>
      </c>
      <c r="T176" s="24">
        <f t="shared" si="20"/>
        <v>34</v>
      </c>
      <c r="U176" s="24">
        <f>ROUNDDOWN(S176/HLOOKUP(D176,Table!$C$3:$D$4,2,0)*8,2)</f>
        <v>0.6</v>
      </c>
      <c r="V176" s="24">
        <f t="shared" si="21"/>
        <v>0.6</v>
      </c>
      <c r="W176" s="24" t="s">
        <v>18</v>
      </c>
      <c r="X176" s="128">
        <v>43914</v>
      </c>
      <c r="Y176" s="28">
        <v>43921</v>
      </c>
      <c r="Z176" s="28">
        <v>43915</v>
      </c>
      <c r="AA176" s="28">
        <v>43915</v>
      </c>
      <c r="AB176" s="31" t="s">
        <v>161</v>
      </c>
      <c r="AC176" s="140">
        <v>100</v>
      </c>
      <c r="AD176" s="140">
        <v>100</v>
      </c>
      <c r="AE176" s="140">
        <v>100</v>
      </c>
      <c r="AF176" s="27" t="s">
        <v>76</v>
      </c>
      <c r="AG176" s="27" t="s">
        <v>76</v>
      </c>
    </row>
    <row r="177" spans="1:33" x14ac:dyDescent="0.25">
      <c r="B177" s="138">
        <f t="shared" si="17"/>
        <v>175</v>
      </c>
      <c r="C177" s="24">
        <v>20200324</v>
      </c>
      <c r="D177" s="24" t="s">
        <v>3</v>
      </c>
      <c r="E177" s="24" t="s">
        <v>657</v>
      </c>
      <c r="F177" s="27" t="s">
        <v>662</v>
      </c>
      <c r="G177" s="24">
        <v>1388032</v>
      </c>
      <c r="H177" s="24" t="s">
        <v>664</v>
      </c>
      <c r="I177" s="49" t="s">
        <v>196</v>
      </c>
      <c r="J177" s="24">
        <v>99186</v>
      </c>
      <c r="K177" s="24" t="s">
        <v>665</v>
      </c>
      <c r="L177" s="27" t="str">
        <f t="shared" si="18"/>
        <v>-</v>
      </c>
      <c r="M177" s="24" t="s">
        <v>667</v>
      </c>
      <c r="N177" s="26" t="s">
        <v>699</v>
      </c>
      <c r="O177" s="24" t="s">
        <v>87</v>
      </c>
      <c r="P177" s="24"/>
      <c r="Q177" s="24"/>
      <c r="R177" s="24">
        <v>61</v>
      </c>
      <c r="S177" s="24">
        <f t="shared" si="22"/>
        <v>61</v>
      </c>
      <c r="T177" s="24">
        <f t="shared" si="20"/>
        <v>61</v>
      </c>
      <c r="U177" s="24">
        <f>ROUNDDOWN(S177/HLOOKUP(D177,Table!$C$3:$D$4,2,0)*8,2)</f>
        <v>1.08</v>
      </c>
      <c r="V177" s="24">
        <f t="shared" si="21"/>
        <v>1.08</v>
      </c>
      <c r="W177" s="24" t="s">
        <v>18</v>
      </c>
      <c r="X177" s="128">
        <v>43914</v>
      </c>
      <c r="Y177" s="28">
        <v>43921</v>
      </c>
      <c r="Z177" s="28">
        <v>43915</v>
      </c>
      <c r="AA177" s="28">
        <v>43915</v>
      </c>
      <c r="AB177" s="31" t="s">
        <v>161</v>
      </c>
      <c r="AC177" s="24">
        <v>100</v>
      </c>
      <c r="AD177" s="24">
        <v>100</v>
      </c>
      <c r="AE177" s="24">
        <v>100</v>
      </c>
      <c r="AF177" s="27" t="s">
        <v>76</v>
      </c>
      <c r="AG177" s="27" t="s">
        <v>76</v>
      </c>
    </row>
    <row r="178" spans="1:33" x14ac:dyDescent="0.25">
      <c r="B178" s="142">
        <f t="shared" si="17"/>
        <v>176</v>
      </c>
      <c r="C178" s="24">
        <v>20200325</v>
      </c>
      <c r="D178" s="24" t="s">
        <v>3</v>
      </c>
      <c r="E178" s="24" t="s">
        <v>67</v>
      </c>
      <c r="F178" s="27" t="s">
        <v>671</v>
      </c>
      <c r="G178" s="24">
        <v>1388833</v>
      </c>
      <c r="H178" s="24" t="s">
        <v>672</v>
      </c>
      <c r="I178" s="49" t="s">
        <v>196</v>
      </c>
      <c r="J178" s="24"/>
      <c r="K178" s="24" t="s">
        <v>674</v>
      </c>
      <c r="L178" s="27" t="str">
        <f t="shared" si="18"/>
        <v>-</v>
      </c>
      <c r="M178" s="24" t="s">
        <v>675</v>
      </c>
      <c r="N178" s="26" t="s">
        <v>700</v>
      </c>
      <c r="O178" s="24" t="s">
        <v>85</v>
      </c>
      <c r="P178" s="24"/>
      <c r="Q178" s="24"/>
      <c r="R178" s="24">
        <v>168</v>
      </c>
      <c r="S178" s="25">
        <v>860</v>
      </c>
      <c r="T178" s="24">
        <f>S178</f>
        <v>860</v>
      </c>
      <c r="U178" s="24">
        <f>ROUNDDOWN(S178/HLOOKUP(D178,Table!$C$3:$D$4,2,0)*8,2)</f>
        <v>15.28</v>
      </c>
      <c r="V178" s="24">
        <v>8</v>
      </c>
      <c r="W178" s="24" t="s">
        <v>18</v>
      </c>
      <c r="X178" s="128">
        <v>43914</v>
      </c>
      <c r="Y178" s="28">
        <v>43920</v>
      </c>
      <c r="Z178" s="28">
        <v>43920</v>
      </c>
      <c r="AA178" s="28">
        <v>43920</v>
      </c>
      <c r="AB178" s="31" t="s">
        <v>160</v>
      </c>
      <c r="AC178" s="24">
        <v>100</v>
      </c>
      <c r="AD178" s="24">
        <v>100</v>
      </c>
      <c r="AE178" s="24">
        <v>98</v>
      </c>
      <c r="AF178" s="27" t="s">
        <v>755</v>
      </c>
      <c r="AG178" s="27" t="s">
        <v>76</v>
      </c>
    </row>
    <row r="179" spans="1:33" x14ac:dyDescent="0.25">
      <c r="B179" s="142">
        <f t="shared" si="17"/>
        <v>177</v>
      </c>
      <c r="C179" s="24">
        <v>20200325</v>
      </c>
      <c r="D179" s="24" t="s">
        <v>3</v>
      </c>
      <c r="E179" s="24" t="s">
        <v>67</v>
      </c>
      <c r="F179" s="27" t="s">
        <v>671</v>
      </c>
      <c r="G179" s="24">
        <v>1380537</v>
      </c>
      <c r="H179" s="24" t="s">
        <v>280</v>
      </c>
      <c r="I179" s="49" t="s">
        <v>196</v>
      </c>
      <c r="J179" s="24">
        <v>81650</v>
      </c>
      <c r="K179" s="24" t="s">
        <v>674</v>
      </c>
      <c r="L179" s="27" t="str">
        <f t="shared" si="18"/>
        <v>-</v>
      </c>
      <c r="M179" s="24" t="s">
        <v>675</v>
      </c>
      <c r="N179" s="26" t="s">
        <v>701</v>
      </c>
      <c r="O179" s="24" t="s">
        <v>85</v>
      </c>
      <c r="P179" s="24"/>
      <c r="Q179" s="24"/>
      <c r="R179" s="24">
        <v>259</v>
      </c>
      <c r="S179" s="24">
        <f t="shared" ref="S179" si="23">R179</f>
        <v>259</v>
      </c>
      <c r="T179" s="24">
        <f t="shared" ref="T179:T180" si="24">S179</f>
        <v>259</v>
      </c>
      <c r="U179" s="24">
        <f>ROUNDDOWN(S179/HLOOKUP(D179,Table!$C$3:$D$4,2,0)*8,2)</f>
        <v>4.5999999999999996</v>
      </c>
      <c r="V179" s="24">
        <v>4</v>
      </c>
      <c r="W179" s="24" t="s">
        <v>108</v>
      </c>
      <c r="X179" s="28">
        <v>43915</v>
      </c>
      <c r="Y179" s="28">
        <v>43920</v>
      </c>
      <c r="Z179" s="28">
        <v>43920</v>
      </c>
      <c r="AA179" s="28">
        <v>43920</v>
      </c>
      <c r="AB179" s="31" t="s">
        <v>160</v>
      </c>
      <c r="AC179" s="24">
        <v>100</v>
      </c>
      <c r="AD179" s="24">
        <v>100</v>
      </c>
      <c r="AE179" s="24">
        <v>93</v>
      </c>
      <c r="AF179" s="27" t="s">
        <v>755</v>
      </c>
      <c r="AG179" s="27" t="s">
        <v>76</v>
      </c>
    </row>
    <row r="180" spans="1:33" x14ac:dyDescent="0.25">
      <c r="B180" s="142">
        <f t="shared" si="17"/>
        <v>178</v>
      </c>
      <c r="C180" s="24">
        <v>20200325</v>
      </c>
      <c r="D180" s="24" t="s">
        <v>3</v>
      </c>
      <c r="E180" s="24" t="s">
        <v>67</v>
      </c>
      <c r="F180" s="27" t="s">
        <v>671</v>
      </c>
      <c r="G180" s="24">
        <v>1380537</v>
      </c>
      <c r="H180" s="24" t="s">
        <v>673</v>
      </c>
      <c r="I180" s="49" t="s">
        <v>196</v>
      </c>
      <c r="J180" s="24">
        <v>81650</v>
      </c>
      <c r="K180" s="24" t="s">
        <v>674</v>
      </c>
      <c r="L180" s="27" t="str">
        <f t="shared" si="18"/>
        <v>-</v>
      </c>
      <c r="M180" s="24" t="s">
        <v>675</v>
      </c>
      <c r="N180" s="26" t="s">
        <v>702</v>
      </c>
      <c r="O180" s="24" t="s">
        <v>85</v>
      </c>
      <c r="P180" s="24"/>
      <c r="Q180" s="24"/>
      <c r="R180" s="24">
        <v>115</v>
      </c>
      <c r="S180" s="25">
        <v>176</v>
      </c>
      <c r="T180" s="24">
        <f t="shared" si="24"/>
        <v>176</v>
      </c>
      <c r="U180" s="24">
        <f>ROUNDDOWN(S180/HLOOKUP(D180,Table!$C$3:$D$4,2,0)*8,2)</f>
        <v>3.12</v>
      </c>
      <c r="V180" s="24">
        <v>3</v>
      </c>
      <c r="W180" s="24" t="s">
        <v>108</v>
      </c>
      <c r="X180" s="28">
        <v>43915</v>
      </c>
      <c r="Y180" s="28">
        <v>43920</v>
      </c>
      <c r="Z180" s="28">
        <v>43920</v>
      </c>
      <c r="AA180" s="28">
        <v>43920</v>
      </c>
      <c r="AB180" s="31" t="s">
        <v>161</v>
      </c>
      <c r="AC180" s="24">
        <v>100</v>
      </c>
      <c r="AD180" s="24">
        <v>100</v>
      </c>
      <c r="AE180" s="24">
        <v>100</v>
      </c>
      <c r="AF180" s="27" t="s">
        <v>76</v>
      </c>
      <c r="AG180" s="27" t="s">
        <v>76</v>
      </c>
    </row>
    <row r="181" spans="1:33" x14ac:dyDescent="0.25">
      <c r="B181" s="141">
        <f t="shared" si="17"/>
        <v>179</v>
      </c>
      <c r="C181" s="26" t="s">
        <v>681</v>
      </c>
      <c r="D181" s="24" t="s">
        <v>3</v>
      </c>
      <c r="E181" s="24" t="s">
        <v>112</v>
      </c>
      <c r="F181" s="27" t="s">
        <v>200</v>
      </c>
      <c r="G181" s="24">
        <v>1341660</v>
      </c>
      <c r="H181" s="26" t="s">
        <v>113</v>
      </c>
      <c r="I181" s="25" t="s">
        <v>197</v>
      </c>
      <c r="J181" s="24" t="s">
        <v>76</v>
      </c>
      <c r="K181" s="24" t="s">
        <v>163</v>
      </c>
      <c r="L181" s="27" t="str">
        <f t="shared" si="18"/>
        <v>-</v>
      </c>
      <c r="M181" s="27" t="s">
        <v>371</v>
      </c>
      <c r="N181" s="26" t="s">
        <v>703</v>
      </c>
      <c r="O181" s="24" t="s">
        <v>85</v>
      </c>
      <c r="P181" s="24"/>
      <c r="Q181" s="24"/>
      <c r="R181" s="24">
        <v>77</v>
      </c>
      <c r="S181" s="24">
        <v>77</v>
      </c>
      <c r="T181" s="24">
        <v>77</v>
      </c>
      <c r="U181" s="24">
        <f>ROUNDDOWN(S181/HLOOKUP(D181,Table!$C$3:$D$4,2,0)*8,2)</f>
        <v>1.36</v>
      </c>
      <c r="V181" s="24">
        <v>1</v>
      </c>
      <c r="W181" s="24" t="s">
        <v>18</v>
      </c>
      <c r="X181" s="128">
        <v>43913</v>
      </c>
      <c r="Y181" s="28">
        <v>43921</v>
      </c>
      <c r="Z181" s="28">
        <v>43924</v>
      </c>
      <c r="AA181" s="28">
        <v>43924</v>
      </c>
      <c r="AB181" s="28" t="s">
        <v>161</v>
      </c>
      <c r="AC181" s="24">
        <v>100</v>
      </c>
      <c r="AD181" s="24">
        <v>100</v>
      </c>
      <c r="AE181" s="24">
        <v>100</v>
      </c>
      <c r="AF181" s="27" t="s">
        <v>76</v>
      </c>
      <c r="AG181" s="27" t="s">
        <v>76</v>
      </c>
    </row>
    <row r="182" spans="1:33" x14ac:dyDescent="0.25">
      <c r="B182" s="141">
        <f t="shared" si="17"/>
        <v>180</v>
      </c>
      <c r="C182" s="26" t="s">
        <v>681</v>
      </c>
      <c r="D182" s="24" t="s">
        <v>3</v>
      </c>
      <c r="E182" s="24" t="s">
        <v>112</v>
      </c>
      <c r="F182" s="27" t="s">
        <v>200</v>
      </c>
      <c r="G182" s="24">
        <v>1341660</v>
      </c>
      <c r="H182" s="26" t="s">
        <v>114</v>
      </c>
      <c r="I182" s="25" t="s">
        <v>197</v>
      </c>
      <c r="J182" s="24" t="s">
        <v>76</v>
      </c>
      <c r="K182" s="24" t="s">
        <v>163</v>
      </c>
      <c r="L182" s="27" t="str">
        <f t="shared" si="18"/>
        <v>-</v>
      </c>
      <c r="M182" s="27" t="s">
        <v>371</v>
      </c>
      <c r="N182" s="26" t="s">
        <v>704</v>
      </c>
      <c r="O182" s="24" t="s">
        <v>85</v>
      </c>
      <c r="P182" s="24"/>
      <c r="Q182" s="24"/>
      <c r="R182" s="24">
        <v>44</v>
      </c>
      <c r="S182" s="24">
        <v>44</v>
      </c>
      <c r="T182" s="24">
        <v>44</v>
      </c>
      <c r="U182" s="24">
        <f>ROUNDDOWN(S182/HLOOKUP(D182,Table!$C$3:$D$4,2,0)*8,2)</f>
        <v>0.78</v>
      </c>
      <c r="V182" s="24">
        <v>0.5</v>
      </c>
      <c r="W182" s="24" t="s">
        <v>18</v>
      </c>
      <c r="X182" s="128">
        <v>43913</v>
      </c>
      <c r="Y182" s="28">
        <v>43921</v>
      </c>
      <c r="Z182" s="28">
        <v>43924</v>
      </c>
      <c r="AA182" s="28">
        <v>43924</v>
      </c>
      <c r="AB182" s="28" t="s">
        <v>161</v>
      </c>
      <c r="AC182" s="24">
        <v>100</v>
      </c>
      <c r="AD182" s="24">
        <v>100</v>
      </c>
      <c r="AE182" s="24">
        <v>100</v>
      </c>
      <c r="AF182" s="27" t="s">
        <v>76</v>
      </c>
      <c r="AG182" s="27" t="s">
        <v>76</v>
      </c>
    </row>
    <row r="183" spans="1:33" x14ac:dyDescent="0.25">
      <c r="B183" s="141">
        <f t="shared" si="17"/>
        <v>181</v>
      </c>
      <c r="C183" s="26" t="s">
        <v>681</v>
      </c>
      <c r="D183" s="24" t="s">
        <v>3</v>
      </c>
      <c r="E183" s="24" t="s">
        <v>112</v>
      </c>
      <c r="F183" s="27" t="s">
        <v>200</v>
      </c>
      <c r="G183" s="24">
        <v>1341660</v>
      </c>
      <c r="H183" s="26" t="s">
        <v>115</v>
      </c>
      <c r="I183" s="25" t="s">
        <v>197</v>
      </c>
      <c r="J183" s="24" t="s">
        <v>76</v>
      </c>
      <c r="K183" s="24" t="s">
        <v>163</v>
      </c>
      <c r="L183" s="27" t="str">
        <f t="shared" si="18"/>
        <v>-</v>
      </c>
      <c r="M183" s="27" t="s">
        <v>371</v>
      </c>
      <c r="N183" s="26" t="s">
        <v>705</v>
      </c>
      <c r="O183" s="24" t="s">
        <v>85</v>
      </c>
      <c r="P183" s="24"/>
      <c r="Q183" s="24"/>
      <c r="R183" s="24">
        <v>210</v>
      </c>
      <c r="S183" s="24">
        <v>210</v>
      </c>
      <c r="T183" s="24">
        <v>210</v>
      </c>
      <c r="U183" s="24">
        <f>ROUNDDOWN(S183/HLOOKUP(D183,Table!$C$3:$D$4,2,0)*8,2)</f>
        <v>3.73</v>
      </c>
      <c r="V183" s="24">
        <v>4</v>
      </c>
      <c r="W183" s="24" t="s">
        <v>18</v>
      </c>
      <c r="X183" s="128">
        <v>43913</v>
      </c>
      <c r="Y183" s="28">
        <v>43921</v>
      </c>
      <c r="Z183" s="28">
        <v>43921</v>
      </c>
      <c r="AA183" s="28">
        <v>43921</v>
      </c>
      <c r="AB183" s="28" t="s">
        <v>161</v>
      </c>
      <c r="AC183" s="24">
        <v>100</v>
      </c>
      <c r="AD183" s="24">
        <v>100</v>
      </c>
      <c r="AE183" s="24">
        <v>100</v>
      </c>
      <c r="AF183" s="27" t="s">
        <v>76</v>
      </c>
      <c r="AG183" s="27" t="s">
        <v>76</v>
      </c>
    </row>
    <row r="184" spans="1:33" x14ac:dyDescent="0.25">
      <c r="B184" s="141">
        <f t="shared" si="17"/>
        <v>182</v>
      </c>
      <c r="C184" s="26" t="s">
        <v>681</v>
      </c>
      <c r="D184" s="24" t="s">
        <v>3</v>
      </c>
      <c r="E184" s="24" t="s">
        <v>112</v>
      </c>
      <c r="F184" s="27" t="s">
        <v>198</v>
      </c>
      <c r="G184" s="24">
        <v>1341660</v>
      </c>
      <c r="H184" s="26" t="s">
        <v>116</v>
      </c>
      <c r="I184" s="25" t="s">
        <v>197</v>
      </c>
      <c r="J184" s="24" t="s">
        <v>76</v>
      </c>
      <c r="K184" s="24" t="s">
        <v>163</v>
      </c>
      <c r="L184" s="27" t="str">
        <f t="shared" si="18"/>
        <v>-</v>
      </c>
      <c r="M184" s="27" t="s">
        <v>371</v>
      </c>
      <c r="N184" s="26" t="s">
        <v>706</v>
      </c>
      <c r="O184" s="24" t="s">
        <v>85</v>
      </c>
      <c r="P184" s="24"/>
      <c r="Q184" s="24"/>
      <c r="R184" s="24">
        <v>622</v>
      </c>
      <c r="S184" s="24">
        <v>622</v>
      </c>
      <c r="T184" s="24">
        <v>622</v>
      </c>
      <c r="U184" s="24">
        <f>ROUNDDOWN(S184/HLOOKUP(D184,Table!$C$3:$D$4,2,0)*8,2)</f>
        <v>11.05</v>
      </c>
      <c r="V184" s="24">
        <v>6</v>
      </c>
      <c r="W184" s="24" t="s">
        <v>18</v>
      </c>
      <c r="X184" s="128">
        <v>43913</v>
      </c>
      <c r="Y184" s="28">
        <v>43921</v>
      </c>
      <c r="Z184" s="28">
        <v>43922</v>
      </c>
      <c r="AA184" s="28">
        <v>43922</v>
      </c>
      <c r="AB184" s="28" t="s">
        <v>161</v>
      </c>
      <c r="AC184" s="24">
        <v>100</v>
      </c>
      <c r="AD184" s="24">
        <v>100</v>
      </c>
      <c r="AE184" s="24">
        <v>100</v>
      </c>
      <c r="AF184" s="27" t="s">
        <v>76</v>
      </c>
      <c r="AG184" s="27" t="s">
        <v>76</v>
      </c>
    </row>
    <row r="185" spans="1:33" x14ac:dyDescent="0.25">
      <c r="B185" s="141">
        <f t="shared" si="17"/>
        <v>183</v>
      </c>
      <c r="C185" s="26" t="s">
        <v>681</v>
      </c>
      <c r="D185" s="24" t="s">
        <v>3</v>
      </c>
      <c r="E185" s="24" t="s">
        <v>112</v>
      </c>
      <c r="F185" s="27" t="s">
        <v>198</v>
      </c>
      <c r="G185" s="24">
        <v>1341660</v>
      </c>
      <c r="H185" s="26" t="s">
        <v>117</v>
      </c>
      <c r="I185" s="25" t="s">
        <v>197</v>
      </c>
      <c r="J185" s="24" t="s">
        <v>76</v>
      </c>
      <c r="K185" s="24" t="s">
        <v>163</v>
      </c>
      <c r="L185" s="27" t="str">
        <f t="shared" si="18"/>
        <v>-</v>
      </c>
      <c r="M185" s="27" t="s">
        <v>371</v>
      </c>
      <c r="N185" s="26" t="s">
        <v>707</v>
      </c>
      <c r="O185" s="24" t="s">
        <v>88</v>
      </c>
      <c r="P185" s="24"/>
      <c r="Q185" s="24"/>
      <c r="R185" s="24">
        <v>97</v>
      </c>
      <c r="S185" s="24">
        <f t="shared" ref="S185:S188" si="25">R185</f>
        <v>97</v>
      </c>
      <c r="T185" s="24">
        <f t="shared" si="20"/>
        <v>97</v>
      </c>
      <c r="U185" s="24">
        <f>ROUNDDOWN(S185/HLOOKUP(D185,Table!$C$3:$D$4,2,0)*8,2)</f>
        <v>1.72</v>
      </c>
      <c r="V185" s="24">
        <f t="shared" si="21"/>
        <v>1.72</v>
      </c>
      <c r="W185" s="24" t="s">
        <v>18</v>
      </c>
      <c r="X185" s="128">
        <v>43913</v>
      </c>
      <c r="Y185" s="28">
        <v>43921</v>
      </c>
      <c r="Z185" s="28"/>
      <c r="AA185" s="28"/>
      <c r="AB185" s="28" t="s">
        <v>161</v>
      </c>
      <c r="AC185" s="24">
        <v>100</v>
      </c>
      <c r="AD185" s="24">
        <v>100</v>
      </c>
      <c r="AE185" s="24">
        <v>100</v>
      </c>
      <c r="AF185" s="27" t="s">
        <v>76</v>
      </c>
      <c r="AG185" s="27" t="s">
        <v>76</v>
      </c>
    </row>
    <row r="186" spans="1:33" x14ac:dyDescent="0.25">
      <c r="B186" s="141">
        <f t="shared" si="17"/>
        <v>184</v>
      </c>
      <c r="C186" s="26" t="s">
        <v>681</v>
      </c>
      <c r="D186" s="24" t="s">
        <v>3</v>
      </c>
      <c r="E186" s="24" t="s">
        <v>112</v>
      </c>
      <c r="F186" s="27" t="s">
        <v>198</v>
      </c>
      <c r="G186" s="24">
        <v>1341660</v>
      </c>
      <c r="H186" s="26" t="s">
        <v>118</v>
      </c>
      <c r="I186" s="25" t="s">
        <v>197</v>
      </c>
      <c r="J186" s="24" t="s">
        <v>76</v>
      </c>
      <c r="K186" s="24" t="s">
        <v>163</v>
      </c>
      <c r="L186" s="27" t="str">
        <f t="shared" si="18"/>
        <v>-</v>
      </c>
      <c r="M186" s="27" t="s">
        <v>371</v>
      </c>
      <c r="N186" s="26" t="s">
        <v>708</v>
      </c>
      <c r="O186" s="24" t="s">
        <v>88</v>
      </c>
      <c r="P186" s="24"/>
      <c r="Q186" s="24"/>
      <c r="R186" s="24">
        <v>100</v>
      </c>
      <c r="S186" s="24">
        <f t="shared" si="25"/>
        <v>100</v>
      </c>
      <c r="T186" s="24">
        <f t="shared" si="20"/>
        <v>100</v>
      </c>
      <c r="U186" s="24">
        <f>ROUNDDOWN(S186/HLOOKUP(D186,Table!$C$3:$D$4,2,0)*8,2)</f>
        <v>1.77</v>
      </c>
      <c r="V186" s="24">
        <f t="shared" si="21"/>
        <v>1.77</v>
      </c>
      <c r="W186" s="24" t="s">
        <v>18</v>
      </c>
      <c r="X186" s="128">
        <v>43913</v>
      </c>
      <c r="Y186" s="28">
        <v>43921</v>
      </c>
      <c r="Z186" s="28"/>
      <c r="AA186" s="28"/>
      <c r="AB186" s="28" t="s">
        <v>161</v>
      </c>
      <c r="AC186" s="24">
        <v>100</v>
      </c>
      <c r="AD186" s="24">
        <v>100</v>
      </c>
      <c r="AE186" s="24">
        <v>100</v>
      </c>
      <c r="AF186" s="27" t="s">
        <v>76</v>
      </c>
      <c r="AG186" s="27" t="s">
        <v>76</v>
      </c>
    </row>
    <row r="187" spans="1:33" x14ac:dyDescent="0.25">
      <c r="B187" s="141">
        <f t="shared" si="17"/>
        <v>185</v>
      </c>
      <c r="C187" s="26" t="s">
        <v>681</v>
      </c>
      <c r="D187" s="24" t="s">
        <v>3</v>
      </c>
      <c r="E187" s="24" t="s">
        <v>112</v>
      </c>
      <c r="F187" s="27" t="s">
        <v>198</v>
      </c>
      <c r="G187" s="24">
        <v>1341660</v>
      </c>
      <c r="H187" s="26" t="s">
        <v>119</v>
      </c>
      <c r="I187" s="25" t="s">
        <v>197</v>
      </c>
      <c r="J187" s="24" t="s">
        <v>76</v>
      </c>
      <c r="K187" s="24" t="s">
        <v>163</v>
      </c>
      <c r="L187" s="27" t="str">
        <f t="shared" si="18"/>
        <v>-</v>
      </c>
      <c r="M187" s="27" t="s">
        <v>371</v>
      </c>
      <c r="N187" s="26" t="s">
        <v>709</v>
      </c>
      <c r="O187" s="24" t="s">
        <v>88</v>
      </c>
      <c r="P187" s="24"/>
      <c r="Q187" s="24"/>
      <c r="R187" s="24">
        <v>8</v>
      </c>
      <c r="S187" s="24">
        <f t="shared" si="25"/>
        <v>8</v>
      </c>
      <c r="T187" s="24">
        <f t="shared" si="20"/>
        <v>8</v>
      </c>
      <c r="U187" s="24">
        <f>ROUNDDOWN(S187/HLOOKUP(D187,Table!$C$3:$D$4,2,0)*8,2)</f>
        <v>0.14000000000000001</v>
      </c>
      <c r="V187" s="24">
        <f t="shared" si="21"/>
        <v>0.14000000000000001</v>
      </c>
      <c r="W187" s="24" t="s">
        <v>18</v>
      </c>
      <c r="X187" s="128">
        <v>43913</v>
      </c>
      <c r="Y187" s="28">
        <v>43921</v>
      </c>
      <c r="Z187" s="28"/>
      <c r="AA187" s="28"/>
      <c r="AB187" s="28"/>
      <c r="AC187" s="27" t="s">
        <v>76</v>
      </c>
      <c r="AD187" s="27" t="s">
        <v>76</v>
      </c>
      <c r="AE187" s="27" t="s">
        <v>76</v>
      </c>
      <c r="AF187" s="24" t="s">
        <v>286</v>
      </c>
      <c r="AG187" s="27" t="s">
        <v>76</v>
      </c>
    </row>
    <row r="188" spans="1:33" x14ac:dyDescent="0.25">
      <c r="B188" s="141">
        <f t="shared" si="17"/>
        <v>186</v>
      </c>
      <c r="C188" s="26" t="s">
        <v>681</v>
      </c>
      <c r="D188" s="24" t="s">
        <v>3</v>
      </c>
      <c r="E188" s="24" t="s">
        <v>112</v>
      </c>
      <c r="F188" s="27" t="s">
        <v>198</v>
      </c>
      <c r="G188" s="24">
        <v>1341660</v>
      </c>
      <c r="H188" s="26" t="s">
        <v>120</v>
      </c>
      <c r="I188" s="25" t="s">
        <v>197</v>
      </c>
      <c r="J188" s="24" t="s">
        <v>76</v>
      </c>
      <c r="K188" s="24" t="s">
        <v>163</v>
      </c>
      <c r="L188" s="27" t="str">
        <f t="shared" si="18"/>
        <v>-</v>
      </c>
      <c r="M188" s="27" t="s">
        <v>371</v>
      </c>
      <c r="N188" s="26" t="s">
        <v>710</v>
      </c>
      <c r="O188" s="24" t="s">
        <v>88</v>
      </c>
      <c r="P188" s="24"/>
      <c r="Q188" s="24"/>
      <c r="R188" s="24">
        <v>148</v>
      </c>
      <c r="S188" s="24">
        <f t="shared" si="25"/>
        <v>148</v>
      </c>
      <c r="T188" s="24">
        <f t="shared" si="20"/>
        <v>148</v>
      </c>
      <c r="U188" s="24">
        <f>ROUNDDOWN(S188/HLOOKUP(D188,Table!$C$3:$D$4,2,0)*8,2)</f>
        <v>2.63</v>
      </c>
      <c r="V188" s="24">
        <f t="shared" si="21"/>
        <v>2.63</v>
      </c>
      <c r="W188" s="24" t="s">
        <v>18</v>
      </c>
      <c r="X188" s="128">
        <v>43913</v>
      </c>
      <c r="Y188" s="28">
        <v>43921</v>
      </c>
      <c r="Z188" s="28"/>
      <c r="AA188" s="28"/>
      <c r="AB188" s="28" t="s">
        <v>161</v>
      </c>
      <c r="AC188" s="24">
        <v>100</v>
      </c>
      <c r="AD188" s="24">
        <v>100</v>
      </c>
      <c r="AE188" s="24">
        <v>100</v>
      </c>
      <c r="AF188" s="27" t="s">
        <v>76</v>
      </c>
      <c r="AG188" s="27" t="s">
        <v>76</v>
      </c>
    </row>
    <row r="189" spans="1:33" x14ac:dyDescent="0.25">
      <c r="B189" s="141">
        <f t="shared" si="17"/>
        <v>187</v>
      </c>
      <c r="C189" s="26" t="s">
        <v>681</v>
      </c>
      <c r="D189" s="24" t="s">
        <v>3</v>
      </c>
      <c r="E189" s="24" t="s">
        <v>112</v>
      </c>
      <c r="F189" s="27" t="s">
        <v>198</v>
      </c>
      <c r="G189" s="24">
        <v>1341660</v>
      </c>
      <c r="H189" s="26" t="s">
        <v>121</v>
      </c>
      <c r="I189" s="25" t="s">
        <v>197</v>
      </c>
      <c r="J189" s="24" t="s">
        <v>76</v>
      </c>
      <c r="K189" s="24" t="s">
        <v>163</v>
      </c>
      <c r="L189" s="27" t="str">
        <f t="shared" si="18"/>
        <v>-</v>
      </c>
      <c r="M189" s="27" t="s">
        <v>371</v>
      </c>
      <c r="N189" s="26" t="s">
        <v>711</v>
      </c>
      <c r="O189" s="24" t="s">
        <v>87</v>
      </c>
      <c r="P189" s="24"/>
      <c r="Q189" s="24"/>
      <c r="R189" s="24">
        <v>17</v>
      </c>
      <c r="S189" s="24">
        <v>17</v>
      </c>
      <c r="T189" s="24">
        <f t="shared" si="20"/>
        <v>17</v>
      </c>
      <c r="U189" s="24">
        <f>ROUNDDOWN(S189/HLOOKUP(D189,Table!$C$3:$D$4,2,0)*8,2)</f>
        <v>0.3</v>
      </c>
      <c r="V189" s="24">
        <f t="shared" si="21"/>
        <v>0.3</v>
      </c>
      <c r="W189" s="24" t="s">
        <v>18</v>
      </c>
      <c r="X189" s="128">
        <v>43913</v>
      </c>
      <c r="Y189" s="28">
        <v>43921</v>
      </c>
      <c r="Z189" s="28">
        <v>43916</v>
      </c>
      <c r="AA189" s="28">
        <v>43916</v>
      </c>
      <c r="AB189" s="28" t="s">
        <v>161</v>
      </c>
      <c r="AC189" s="24">
        <v>100</v>
      </c>
      <c r="AD189" s="24">
        <v>100</v>
      </c>
      <c r="AE189" s="24">
        <v>100</v>
      </c>
      <c r="AF189" s="27" t="s">
        <v>76</v>
      </c>
      <c r="AG189" s="27" t="s">
        <v>76</v>
      </c>
    </row>
    <row r="190" spans="1:33" x14ac:dyDescent="0.25">
      <c r="B190" s="141">
        <f t="shared" si="17"/>
        <v>188</v>
      </c>
      <c r="C190" s="26" t="s">
        <v>681</v>
      </c>
      <c r="D190" s="24" t="s">
        <v>3</v>
      </c>
      <c r="E190" s="24" t="s">
        <v>112</v>
      </c>
      <c r="F190" s="27" t="s">
        <v>198</v>
      </c>
      <c r="G190" s="24">
        <v>1341660</v>
      </c>
      <c r="H190" s="26" t="s">
        <v>122</v>
      </c>
      <c r="I190" s="25" t="s">
        <v>197</v>
      </c>
      <c r="J190" s="24" t="s">
        <v>76</v>
      </c>
      <c r="K190" s="24" t="s">
        <v>163</v>
      </c>
      <c r="L190" s="27" t="str">
        <f t="shared" si="18"/>
        <v>-</v>
      </c>
      <c r="M190" s="27" t="s">
        <v>371</v>
      </c>
      <c r="N190" s="26" t="s">
        <v>712</v>
      </c>
      <c r="O190" s="24" t="s">
        <v>87</v>
      </c>
      <c r="P190" s="24"/>
      <c r="Q190" s="24"/>
      <c r="R190" s="24">
        <v>18</v>
      </c>
      <c r="S190" s="24">
        <v>18</v>
      </c>
      <c r="T190" s="24">
        <f t="shared" si="20"/>
        <v>18</v>
      </c>
      <c r="U190" s="24">
        <f>ROUNDDOWN(S190/HLOOKUP(D190,Table!$C$3:$D$4,2,0)*8,2)</f>
        <v>0.32</v>
      </c>
      <c r="V190" s="24">
        <f t="shared" si="21"/>
        <v>0.32</v>
      </c>
      <c r="W190" s="24" t="s">
        <v>18</v>
      </c>
      <c r="X190" s="128">
        <v>43913</v>
      </c>
      <c r="Y190" s="28">
        <v>43921</v>
      </c>
      <c r="Z190" s="28">
        <v>43916</v>
      </c>
      <c r="AA190" s="28">
        <v>43916</v>
      </c>
      <c r="AB190" s="28" t="s">
        <v>161</v>
      </c>
      <c r="AC190" s="24">
        <v>100</v>
      </c>
      <c r="AD190" s="24">
        <v>100</v>
      </c>
      <c r="AE190" s="24">
        <v>100</v>
      </c>
      <c r="AF190" s="27" t="s">
        <v>76</v>
      </c>
      <c r="AG190" s="27" t="s">
        <v>76</v>
      </c>
    </row>
    <row r="191" spans="1:33" s="120" customFormat="1" x14ac:dyDescent="0.25">
      <c r="B191" s="141">
        <f t="shared" si="17"/>
        <v>189</v>
      </c>
      <c r="C191" s="26" t="s">
        <v>681</v>
      </c>
      <c r="D191" s="24" t="s">
        <v>3</v>
      </c>
      <c r="E191" s="24" t="s">
        <v>112</v>
      </c>
      <c r="F191" s="27" t="s">
        <v>198</v>
      </c>
      <c r="G191" s="24">
        <v>1341660</v>
      </c>
      <c r="H191" s="121" t="s">
        <v>123</v>
      </c>
      <c r="I191" s="25" t="s">
        <v>197</v>
      </c>
      <c r="J191" s="24" t="s">
        <v>76</v>
      </c>
      <c r="K191" s="24" t="s">
        <v>163</v>
      </c>
      <c r="L191" s="27" t="str">
        <f t="shared" si="18"/>
        <v>-</v>
      </c>
      <c r="M191" s="27" t="s">
        <v>371</v>
      </c>
      <c r="N191" s="26" t="s">
        <v>713</v>
      </c>
      <c r="O191" s="24" t="s">
        <v>86</v>
      </c>
      <c r="P191" s="24"/>
      <c r="Q191" s="24"/>
      <c r="R191" s="24">
        <v>129</v>
      </c>
      <c r="S191" s="24">
        <v>129</v>
      </c>
      <c r="T191" s="24">
        <f t="shared" si="20"/>
        <v>129</v>
      </c>
      <c r="U191" s="24">
        <f>ROUNDDOWN(S191/HLOOKUP(D191,Table!$C$3:$D$4,2,0)*8,2)</f>
        <v>2.29</v>
      </c>
      <c r="V191" s="24">
        <f t="shared" si="21"/>
        <v>2.29</v>
      </c>
      <c r="W191" s="24" t="s">
        <v>18</v>
      </c>
      <c r="X191" s="128">
        <v>43913</v>
      </c>
      <c r="Y191" s="28">
        <v>43921</v>
      </c>
      <c r="Z191" s="28">
        <v>43916</v>
      </c>
      <c r="AA191" s="28">
        <v>43916</v>
      </c>
      <c r="AB191" s="28" t="s">
        <v>161</v>
      </c>
      <c r="AC191" s="24">
        <v>100</v>
      </c>
      <c r="AD191" s="24">
        <v>100</v>
      </c>
      <c r="AE191" s="24">
        <v>100</v>
      </c>
      <c r="AF191" s="27" t="s">
        <v>76</v>
      </c>
      <c r="AG191" s="27" t="s">
        <v>475</v>
      </c>
    </row>
    <row r="192" spans="1:33" s="120" customFormat="1" x14ac:dyDescent="0.25">
      <c r="B192" s="141">
        <f t="shared" si="17"/>
        <v>190</v>
      </c>
      <c r="C192" s="26" t="s">
        <v>681</v>
      </c>
      <c r="D192" s="24" t="s">
        <v>3</v>
      </c>
      <c r="E192" s="24" t="s">
        <v>112</v>
      </c>
      <c r="F192" s="27" t="s">
        <v>198</v>
      </c>
      <c r="G192" s="24">
        <v>1341660</v>
      </c>
      <c r="H192" s="121" t="s">
        <v>124</v>
      </c>
      <c r="I192" s="25" t="s">
        <v>197</v>
      </c>
      <c r="J192" s="24" t="s">
        <v>76</v>
      </c>
      <c r="K192" s="24" t="s">
        <v>163</v>
      </c>
      <c r="L192" s="27" t="str">
        <f t="shared" si="18"/>
        <v>-</v>
      </c>
      <c r="M192" s="27" t="s">
        <v>371</v>
      </c>
      <c r="N192" s="26" t="s">
        <v>714</v>
      </c>
      <c r="O192" s="24" t="s">
        <v>86</v>
      </c>
      <c r="P192" s="24"/>
      <c r="Q192" s="24"/>
      <c r="R192" s="24">
        <v>164</v>
      </c>
      <c r="S192" s="24">
        <v>196</v>
      </c>
      <c r="T192" s="24">
        <f t="shared" si="20"/>
        <v>196</v>
      </c>
      <c r="U192" s="24">
        <f>ROUNDDOWN(S192/HLOOKUP(D192,Table!$C$3:$D$4,2,0)*8,2)</f>
        <v>3.48</v>
      </c>
      <c r="V192" s="24">
        <f t="shared" si="21"/>
        <v>3.48</v>
      </c>
      <c r="W192" s="24" t="s">
        <v>18</v>
      </c>
      <c r="X192" s="128">
        <v>43913</v>
      </c>
      <c r="Y192" s="28">
        <v>43921</v>
      </c>
      <c r="Z192" s="28">
        <v>43916</v>
      </c>
      <c r="AA192" s="28">
        <v>43916</v>
      </c>
      <c r="AB192" s="28" t="s">
        <v>161</v>
      </c>
      <c r="AC192" s="24">
        <v>100</v>
      </c>
      <c r="AD192" s="24">
        <v>100</v>
      </c>
      <c r="AE192" s="24">
        <v>100</v>
      </c>
      <c r="AF192" s="27" t="s">
        <v>76</v>
      </c>
      <c r="AG192" s="27" t="s">
        <v>475</v>
      </c>
    </row>
    <row r="193" spans="2:33" s="120" customFormat="1" x14ac:dyDescent="0.25">
      <c r="B193" s="141">
        <f t="shared" si="17"/>
        <v>191</v>
      </c>
      <c r="C193" s="26" t="s">
        <v>681</v>
      </c>
      <c r="D193" s="24" t="s">
        <v>3</v>
      </c>
      <c r="E193" s="24" t="s">
        <v>112</v>
      </c>
      <c r="F193" s="27" t="s">
        <v>198</v>
      </c>
      <c r="G193" s="24">
        <v>1341660</v>
      </c>
      <c r="H193" s="121" t="s">
        <v>125</v>
      </c>
      <c r="I193" s="25" t="s">
        <v>197</v>
      </c>
      <c r="J193" s="24" t="s">
        <v>76</v>
      </c>
      <c r="K193" s="24" t="s">
        <v>163</v>
      </c>
      <c r="L193" s="27" t="str">
        <f t="shared" ref="L193:L219" si="26">IF(D193="ASW","PUT_VERSION","-")</f>
        <v>-</v>
      </c>
      <c r="M193" s="27" t="s">
        <v>371</v>
      </c>
      <c r="N193" s="26" t="s">
        <v>715</v>
      </c>
      <c r="O193" s="24" t="s">
        <v>86</v>
      </c>
      <c r="P193" s="24"/>
      <c r="Q193" s="24"/>
      <c r="R193" s="24">
        <v>104</v>
      </c>
      <c r="S193" s="24">
        <v>104</v>
      </c>
      <c r="T193" s="24">
        <f t="shared" si="20"/>
        <v>104</v>
      </c>
      <c r="U193" s="24">
        <f>ROUNDDOWN(S193/HLOOKUP(D193,Table!$C$3:$D$4,2,0)*8,2)</f>
        <v>1.84</v>
      </c>
      <c r="V193" s="24">
        <f t="shared" si="21"/>
        <v>1.84</v>
      </c>
      <c r="W193" s="24" t="s">
        <v>18</v>
      </c>
      <c r="X193" s="128">
        <v>43913</v>
      </c>
      <c r="Y193" s="28">
        <v>43921</v>
      </c>
      <c r="Z193" s="28">
        <v>43916</v>
      </c>
      <c r="AA193" s="28">
        <v>43916</v>
      </c>
      <c r="AB193" s="28" t="s">
        <v>160</v>
      </c>
      <c r="AC193" s="24">
        <v>97</v>
      </c>
      <c r="AD193" s="24">
        <v>95</v>
      </c>
      <c r="AE193" s="24">
        <v>100</v>
      </c>
      <c r="AF193" s="24" t="s">
        <v>285</v>
      </c>
      <c r="AG193" s="27" t="s">
        <v>475</v>
      </c>
    </row>
    <row r="194" spans="2:33" s="120" customFormat="1" x14ac:dyDescent="0.25">
      <c r="B194" s="141">
        <f t="shared" si="17"/>
        <v>192</v>
      </c>
      <c r="C194" s="26" t="s">
        <v>681</v>
      </c>
      <c r="D194" s="24" t="s">
        <v>3</v>
      </c>
      <c r="E194" s="24" t="s">
        <v>112</v>
      </c>
      <c r="F194" s="27" t="s">
        <v>198</v>
      </c>
      <c r="G194" s="24">
        <v>1341660</v>
      </c>
      <c r="H194" s="121" t="s">
        <v>126</v>
      </c>
      <c r="I194" s="25" t="s">
        <v>197</v>
      </c>
      <c r="J194" s="24" t="s">
        <v>76</v>
      </c>
      <c r="K194" s="24" t="s">
        <v>163</v>
      </c>
      <c r="L194" s="27" t="str">
        <f t="shared" si="26"/>
        <v>-</v>
      </c>
      <c r="M194" s="27" t="s">
        <v>371</v>
      </c>
      <c r="N194" s="26" t="s">
        <v>716</v>
      </c>
      <c r="O194" s="24" t="s">
        <v>86</v>
      </c>
      <c r="P194" s="24"/>
      <c r="Q194" s="24"/>
      <c r="R194" s="24">
        <v>154</v>
      </c>
      <c r="S194" s="24">
        <v>154</v>
      </c>
      <c r="T194" s="24">
        <f t="shared" si="20"/>
        <v>154</v>
      </c>
      <c r="U194" s="24">
        <f>ROUNDDOWN(S194/HLOOKUP(D194,Table!$C$3:$D$4,2,0)*8,2)</f>
        <v>2.73</v>
      </c>
      <c r="V194" s="24">
        <f t="shared" si="21"/>
        <v>2.73</v>
      </c>
      <c r="W194" s="24" t="s">
        <v>18</v>
      </c>
      <c r="X194" s="128">
        <v>43913</v>
      </c>
      <c r="Y194" s="28">
        <v>43921</v>
      </c>
      <c r="Z194" s="28">
        <v>43916</v>
      </c>
      <c r="AA194" s="28">
        <v>43916</v>
      </c>
      <c r="AB194" s="28" t="s">
        <v>160</v>
      </c>
      <c r="AC194" s="24">
        <v>98</v>
      </c>
      <c r="AD194" s="24">
        <v>96</v>
      </c>
      <c r="AE194" s="24">
        <v>100</v>
      </c>
      <c r="AF194" s="24" t="s">
        <v>285</v>
      </c>
      <c r="AG194" s="27" t="s">
        <v>475</v>
      </c>
    </row>
    <row r="195" spans="2:33" s="120" customFormat="1" x14ac:dyDescent="0.25">
      <c r="B195" s="141">
        <f t="shared" si="17"/>
        <v>193</v>
      </c>
      <c r="C195" s="26" t="s">
        <v>681</v>
      </c>
      <c r="D195" s="24" t="s">
        <v>3</v>
      </c>
      <c r="E195" s="24" t="s">
        <v>112</v>
      </c>
      <c r="F195" s="27" t="s">
        <v>198</v>
      </c>
      <c r="G195" s="24">
        <v>1341660</v>
      </c>
      <c r="H195" s="121" t="s">
        <v>127</v>
      </c>
      <c r="I195" s="25" t="s">
        <v>197</v>
      </c>
      <c r="J195" s="24" t="s">
        <v>76</v>
      </c>
      <c r="K195" s="24" t="s">
        <v>163</v>
      </c>
      <c r="L195" s="27" t="str">
        <f t="shared" si="26"/>
        <v>-</v>
      </c>
      <c r="M195" s="27" t="s">
        <v>371</v>
      </c>
      <c r="N195" s="26" t="s">
        <v>717</v>
      </c>
      <c r="O195" s="24" t="s">
        <v>86</v>
      </c>
      <c r="P195" s="24"/>
      <c r="Q195" s="24"/>
      <c r="R195" s="24">
        <v>167</v>
      </c>
      <c r="S195" s="24">
        <v>167</v>
      </c>
      <c r="T195" s="24">
        <f t="shared" si="20"/>
        <v>167</v>
      </c>
      <c r="U195" s="24">
        <f>ROUNDDOWN(S195/HLOOKUP(D195,Table!$C$3:$D$4,2,0)*8,2)</f>
        <v>2.96</v>
      </c>
      <c r="V195" s="24">
        <f t="shared" si="21"/>
        <v>2.96</v>
      </c>
      <c r="W195" s="24" t="s">
        <v>18</v>
      </c>
      <c r="X195" s="128">
        <v>43913</v>
      </c>
      <c r="Y195" s="28">
        <v>43921</v>
      </c>
      <c r="Z195" s="28">
        <v>43916</v>
      </c>
      <c r="AA195" s="28">
        <v>43916</v>
      </c>
      <c r="AB195" s="28" t="s">
        <v>161</v>
      </c>
      <c r="AC195" s="24">
        <v>100</v>
      </c>
      <c r="AD195" s="24">
        <v>100</v>
      </c>
      <c r="AE195" s="24">
        <v>100</v>
      </c>
      <c r="AF195" s="24" t="s">
        <v>288</v>
      </c>
      <c r="AG195" s="27" t="s">
        <v>475</v>
      </c>
    </row>
    <row r="196" spans="2:33" x14ac:dyDescent="0.25">
      <c r="B196" s="141">
        <f t="shared" si="17"/>
        <v>194</v>
      </c>
      <c r="C196" s="26" t="s">
        <v>681</v>
      </c>
      <c r="D196" s="24" t="s">
        <v>3</v>
      </c>
      <c r="E196" s="24" t="s">
        <v>112</v>
      </c>
      <c r="F196" s="27" t="s">
        <v>198</v>
      </c>
      <c r="G196" s="24">
        <v>1341660</v>
      </c>
      <c r="H196" s="121" t="s">
        <v>128</v>
      </c>
      <c r="I196" s="25" t="s">
        <v>197</v>
      </c>
      <c r="J196" s="24" t="s">
        <v>76</v>
      </c>
      <c r="K196" s="24" t="s">
        <v>163</v>
      </c>
      <c r="L196" s="27" t="str">
        <f t="shared" si="26"/>
        <v>-</v>
      </c>
      <c r="M196" s="27" t="s">
        <v>371</v>
      </c>
      <c r="N196" s="26" t="s">
        <v>718</v>
      </c>
      <c r="O196" s="24" t="s">
        <v>86</v>
      </c>
      <c r="P196" s="24"/>
      <c r="Q196" s="24"/>
      <c r="R196" s="24">
        <v>147</v>
      </c>
      <c r="S196" s="54">
        <v>147</v>
      </c>
      <c r="T196" s="24">
        <f t="shared" si="20"/>
        <v>147</v>
      </c>
      <c r="U196" s="24">
        <f>ROUNDDOWN(S196/HLOOKUP(D196,Table!$C$3:$D$4,2,0)*8,2)</f>
        <v>2.61</v>
      </c>
      <c r="V196" s="24">
        <f t="shared" si="21"/>
        <v>2.61</v>
      </c>
      <c r="W196" s="24" t="s">
        <v>18</v>
      </c>
      <c r="X196" s="128">
        <v>43913</v>
      </c>
      <c r="Y196" s="28">
        <v>43921</v>
      </c>
      <c r="Z196" s="28">
        <v>43916</v>
      </c>
      <c r="AA196" s="28">
        <v>43916</v>
      </c>
      <c r="AB196" s="28" t="s">
        <v>161</v>
      </c>
      <c r="AC196" s="52">
        <v>100</v>
      </c>
      <c r="AD196" s="52">
        <v>100</v>
      </c>
      <c r="AE196" s="52">
        <v>100</v>
      </c>
      <c r="AF196" s="24" t="s">
        <v>289</v>
      </c>
      <c r="AG196" s="27" t="s">
        <v>475</v>
      </c>
    </row>
    <row r="197" spans="2:33" x14ac:dyDescent="0.25">
      <c r="B197" s="141">
        <f t="shared" si="17"/>
        <v>195</v>
      </c>
      <c r="C197" s="26" t="s">
        <v>681</v>
      </c>
      <c r="D197" s="24" t="s">
        <v>3</v>
      </c>
      <c r="E197" s="24" t="s">
        <v>112</v>
      </c>
      <c r="F197" s="27" t="s">
        <v>198</v>
      </c>
      <c r="G197" s="24">
        <v>1341660</v>
      </c>
      <c r="H197" s="121" t="s">
        <v>129</v>
      </c>
      <c r="I197" s="25" t="s">
        <v>197</v>
      </c>
      <c r="J197" s="24" t="s">
        <v>76</v>
      </c>
      <c r="K197" s="24" t="s">
        <v>163</v>
      </c>
      <c r="L197" s="27" t="str">
        <f t="shared" si="26"/>
        <v>-</v>
      </c>
      <c r="M197" s="27" t="s">
        <v>371</v>
      </c>
      <c r="N197" s="26" t="s">
        <v>719</v>
      </c>
      <c r="O197" s="24" t="s">
        <v>86</v>
      </c>
      <c r="P197" s="24"/>
      <c r="Q197" s="24"/>
      <c r="R197" s="24">
        <v>254</v>
      </c>
      <c r="S197" s="54">
        <v>254</v>
      </c>
      <c r="T197" s="24">
        <f t="shared" si="20"/>
        <v>254</v>
      </c>
      <c r="U197" s="24">
        <f>ROUNDDOWN(S197/HLOOKUP(D197,Table!$C$3:$D$4,2,0)*8,2)</f>
        <v>4.51</v>
      </c>
      <c r="V197" s="24">
        <f t="shared" si="21"/>
        <v>4.51</v>
      </c>
      <c r="W197" s="24" t="s">
        <v>18</v>
      </c>
      <c r="X197" s="128">
        <v>43913</v>
      </c>
      <c r="Y197" s="28">
        <v>43921</v>
      </c>
      <c r="Z197" s="28">
        <v>43916</v>
      </c>
      <c r="AA197" s="28">
        <v>43916</v>
      </c>
      <c r="AB197" s="28" t="s">
        <v>161</v>
      </c>
      <c r="AC197" s="52">
        <v>100</v>
      </c>
      <c r="AD197" s="52">
        <v>100</v>
      </c>
      <c r="AE197" s="52">
        <v>100</v>
      </c>
      <c r="AF197" s="24" t="s">
        <v>290</v>
      </c>
      <c r="AG197" s="27" t="s">
        <v>475</v>
      </c>
    </row>
    <row r="198" spans="2:33" x14ac:dyDescent="0.25">
      <c r="B198" s="141">
        <f t="shared" si="17"/>
        <v>196</v>
      </c>
      <c r="C198" s="26" t="s">
        <v>681</v>
      </c>
      <c r="D198" s="24" t="s">
        <v>3</v>
      </c>
      <c r="E198" s="24" t="s">
        <v>112</v>
      </c>
      <c r="F198" s="27" t="s">
        <v>198</v>
      </c>
      <c r="G198" s="24">
        <v>1341660</v>
      </c>
      <c r="H198" s="26" t="s">
        <v>130</v>
      </c>
      <c r="I198" s="25" t="s">
        <v>197</v>
      </c>
      <c r="J198" s="24" t="s">
        <v>76</v>
      </c>
      <c r="K198" s="24" t="s">
        <v>163</v>
      </c>
      <c r="L198" s="27" t="str">
        <f t="shared" si="26"/>
        <v>-</v>
      </c>
      <c r="M198" s="27" t="s">
        <v>371</v>
      </c>
      <c r="N198" s="26" t="s">
        <v>720</v>
      </c>
      <c r="O198" s="24" t="s">
        <v>88</v>
      </c>
      <c r="P198" s="24"/>
      <c r="Q198" s="24"/>
      <c r="R198" s="24">
        <v>193</v>
      </c>
      <c r="S198" s="54">
        <f t="shared" ref="S198:S201" si="27">R198</f>
        <v>193</v>
      </c>
      <c r="T198" s="24">
        <f t="shared" si="20"/>
        <v>193</v>
      </c>
      <c r="U198" s="24">
        <f>ROUNDDOWN(S198/HLOOKUP(D198,Table!$C$3:$D$4,2,0)*8,2)</f>
        <v>3.43</v>
      </c>
      <c r="V198" s="24">
        <f t="shared" si="21"/>
        <v>3.43</v>
      </c>
      <c r="W198" s="24" t="s">
        <v>18</v>
      </c>
      <c r="X198" s="128">
        <v>43913</v>
      </c>
      <c r="Y198" s="28">
        <v>43921</v>
      </c>
      <c r="Z198" s="28"/>
      <c r="AA198" s="28"/>
      <c r="AB198" s="28" t="s">
        <v>160</v>
      </c>
      <c r="AC198" s="24">
        <v>100</v>
      </c>
      <c r="AD198" s="24">
        <v>100</v>
      </c>
      <c r="AE198" s="24">
        <v>91</v>
      </c>
      <c r="AF198" s="24" t="s">
        <v>215</v>
      </c>
      <c r="AG198" s="27" t="s">
        <v>76</v>
      </c>
    </row>
    <row r="199" spans="2:33" x14ac:dyDescent="0.25">
      <c r="B199" s="141">
        <f t="shared" si="17"/>
        <v>197</v>
      </c>
      <c r="C199" s="26" t="s">
        <v>681</v>
      </c>
      <c r="D199" s="24" t="s">
        <v>3</v>
      </c>
      <c r="E199" s="24" t="s">
        <v>112</v>
      </c>
      <c r="F199" s="27" t="s">
        <v>198</v>
      </c>
      <c r="G199" s="24">
        <v>1341660</v>
      </c>
      <c r="H199" s="24" t="s">
        <v>131</v>
      </c>
      <c r="I199" s="25" t="s">
        <v>197</v>
      </c>
      <c r="J199" s="24" t="s">
        <v>76</v>
      </c>
      <c r="K199" s="24" t="s">
        <v>163</v>
      </c>
      <c r="L199" s="27" t="str">
        <f t="shared" si="26"/>
        <v>-</v>
      </c>
      <c r="M199" s="27" t="s">
        <v>371</v>
      </c>
      <c r="N199" s="26" t="s">
        <v>721</v>
      </c>
      <c r="O199" s="24" t="s">
        <v>88</v>
      </c>
      <c r="P199" s="24"/>
      <c r="Q199" s="24"/>
      <c r="R199" s="24">
        <v>204</v>
      </c>
      <c r="S199" s="54">
        <f t="shared" si="27"/>
        <v>204</v>
      </c>
      <c r="T199" s="24">
        <f t="shared" si="20"/>
        <v>204</v>
      </c>
      <c r="U199" s="24">
        <f>ROUNDDOWN(S199/HLOOKUP(D199,Table!$C$3:$D$4,2,0)*8,2)</f>
        <v>3.62</v>
      </c>
      <c r="V199" s="24">
        <f t="shared" si="21"/>
        <v>3.62</v>
      </c>
      <c r="W199" s="24" t="s">
        <v>18</v>
      </c>
      <c r="X199" s="128">
        <v>43913</v>
      </c>
      <c r="Y199" s="28">
        <v>43921</v>
      </c>
      <c r="Z199" s="28"/>
      <c r="AA199" s="28"/>
      <c r="AB199" s="28" t="s">
        <v>161</v>
      </c>
      <c r="AC199" s="24">
        <v>100</v>
      </c>
      <c r="AD199" s="24">
        <v>100</v>
      </c>
      <c r="AE199" s="24">
        <v>100</v>
      </c>
      <c r="AF199" s="27" t="s">
        <v>76</v>
      </c>
      <c r="AG199" s="27" t="s">
        <v>76</v>
      </c>
    </row>
    <row r="200" spans="2:33" x14ac:dyDescent="0.25">
      <c r="B200" s="141">
        <f t="shared" si="17"/>
        <v>198</v>
      </c>
      <c r="C200" s="26" t="s">
        <v>681</v>
      </c>
      <c r="D200" s="24" t="s">
        <v>3</v>
      </c>
      <c r="E200" s="24" t="s">
        <v>112</v>
      </c>
      <c r="F200" s="27" t="s">
        <v>198</v>
      </c>
      <c r="G200" s="24">
        <v>1341660</v>
      </c>
      <c r="H200" s="24" t="s">
        <v>132</v>
      </c>
      <c r="I200" s="25" t="s">
        <v>197</v>
      </c>
      <c r="J200" s="24" t="s">
        <v>76</v>
      </c>
      <c r="K200" s="24" t="s">
        <v>163</v>
      </c>
      <c r="L200" s="27" t="str">
        <f t="shared" si="26"/>
        <v>-</v>
      </c>
      <c r="M200" s="27" t="s">
        <v>371</v>
      </c>
      <c r="N200" s="26" t="s">
        <v>722</v>
      </c>
      <c r="O200" s="24" t="s">
        <v>88</v>
      </c>
      <c r="P200" s="24"/>
      <c r="Q200" s="24"/>
      <c r="R200" s="24">
        <v>194</v>
      </c>
      <c r="S200" s="54">
        <f t="shared" si="27"/>
        <v>194</v>
      </c>
      <c r="T200" s="24">
        <f t="shared" si="20"/>
        <v>194</v>
      </c>
      <c r="U200" s="24">
        <f>ROUNDDOWN(S200/HLOOKUP(D200,Table!$C$3:$D$4,2,0)*8,2)</f>
        <v>3.44</v>
      </c>
      <c r="V200" s="24">
        <f t="shared" si="21"/>
        <v>3.44</v>
      </c>
      <c r="W200" s="24" t="s">
        <v>18</v>
      </c>
      <c r="X200" s="128">
        <v>43913</v>
      </c>
      <c r="Y200" s="28">
        <v>43921</v>
      </c>
      <c r="Z200" s="28"/>
      <c r="AA200" s="28"/>
      <c r="AB200" s="28" t="s">
        <v>161</v>
      </c>
      <c r="AC200" s="24">
        <v>100</v>
      </c>
      <c r="AD200" s="24">
        <v>100</v>
      </c>
      <c r="AE200" s="24">
        <v>100</v>
      </c>
      <c r="AF200" s="27" t="s">
        <v>76</v>
      </c>
      <c r="AG200" s="27" t="s">
        <v>76</v>
      </c>
    </row>
    <row r="201" spans="2:33" x14ac:dyDescent="0.25">
      <c r="B201" s="141">
        <f t="shared" si="17"/>
        <v>199</v>
      </c>
      <c r="C201" s="26" t="s">
        <v>681</v>
      </c>
      <c r="D201" s="24" t="s">
        <v>3</v>
      </c>
      <c r="E201" s="24" t="s">
        <v>112</v>
      </c>
      <c r="F201" s="27" t="s">
        <v>198</v>
      </c>
      <c r="G201" s="24">
        <v>1341660</v>
      </c>
      <c r="H201" s="24" t="s">
        <v>133</v>
      </c>
      <c r="I201" s="25" t="s">
        <v>197</v>
      </c>
      <c r="J201" s="24" t="s">
        <v>76</v>
      </c>
      <c r="K201" s="24" t="s">
        <v>163</v>
      </c>
      <c r="L201" s="27" t="str">
        <f t="shared" si="26"/>
        <v>-</v>
      </c>
      <c r="M201" s="27" t="s">
        <v>371</v>
      </c>
      <c r="N201" s="26" t="s">
        <v>723</v>
      </c>
      <c r="O201" s="24" t="s">
        <v>88</v>
      </c>
      <c r="P201" s="24"/>
      <c r="Q201" s="24"/>
      <c r="R201" s="24">
        <v>141</v>
      </c>
      <c r="S201" s="54">
        <f t="shared" si="27"/>
        <v>141</v>
      </c>
      <c r="T201" s="24">
        <f t="shared" si="20"/>
        <v>141</v>
      </c>
      <c r="U201" s="24">
        <f>ROUNDDOWN(S201/HLOOKUP(D201,Table!$C$3:$D$4,2,0)*8,2)</f>
        <v>2.5</v>
      </c>
      <c r="V201" s="24">
        <f t="shared" si="21"/>
        <v>2.5</v>
      </c>
      <c r="W201" s="24" t="s">
        <v>18</v>
      </c>
      <c r="X201" s="128">
        <v>43913</v>
      </c>
      <c r="Y201" s="28">
        <v>43921</v>
      </c>
      <c r="Z201" s="28"/>
      <c r="AA201" s="28"/>
      <c r="AB201" s="28" t="s">
        <v>160</v>
      </c>
      <c r="AC201" s="24">
        <v>98</v>
      </c>
      <c r="AD201" s="24">
        <v>95</v>
      </c>
      <c r="AE201" s="24">
        <v>100</v>
      </c>
      <c r="AF201" s="42" t="s">
        <v>158</v>
      </c>
      <c r="AG201" s="27" t="s">
        <v>76</v>
      </c>
    </row>
    <row r="202" spans="2:33" x14ac:dyDescent="0.25">
      <c r="B202" s="141">
        <f t="shared" si="17"/>
        <v>200</v>
      </c>
      <c r="C202" s="26" t="s">
        <v>681</v>
      </c>
      <c r="D202" s="24" t="s">
        <v>3</v>
      </c>
      <c r="E202" s="24" t="s">
        <v>112</v>
      </c>
      <c r="F202" s="27" t="s">
        <v>198</v>
      </c>
      <c r="G202" s="24">
        <v>1341660</v>
      </c>
      <c r="H202" s="26" t="s">
        <v>134</v>
      </c>
      <c r="I202" s="25" t="s">
        <v>197</v>
      </c>
      <c r="J202" s="24" t="s">
        <v>76</v>
      </c>
      <c r="K202" s="24" t="s">
        <v>163</v>
      </c>
      <c r="L202" s="27" t="str">
        <f t="shared" si="26"/>
        <v>-</v>
      </c>
      <c r="M202" s="27" t="s">
        <v>371</v>
      </c>
      <c r="N202" s="26" t="s">
        <v>724</v>
      </c>
      <c r="O202" s="24" t="s">
        <v>87</v>
      </c>
      <c r="P202" s="24"/>
      <c r="Q202" s="24"/>
      <c r="R202" s="24">
        <v>190</v>
      </c>
      <c r="S202" s="54">
        <v>190</v>
      </c>
      <c r="T202" s="24">
        <f t="shared" si="20"/>
        <v>190</v>
      </c>
      <c r="U202" s="24">
        <f>ROUNDDOWN(S202/HLOOKUP(D202,Table!$C$3:$D$4,2,0)*8,2)</f>
        <v>3.37</v>
      </c>
      <c r="V202" s="24">
        <f t="shared" si="21"/>
        <v>3.37</v>
      </c>
      <c r="W202" s="24" t="s">
        <v>18</v>
      </c>
      <c r="X202" s="128">
        <v>43913</v>
      </c>
      <c r="Y202" s="28">
        <v>43921</v>
      </c>
      <c r="Z202" s="28">
        <v>43916</v>
      </c>
      <c r="AA202" s="28">
        <v>43916</v>
      </c>
      <c r="AB202" s="28" t="s">
        <v>160</v>
      </c>
      <c r="AC202" s="24">
        <v>66</v>
      </c>
      <c r="AD202" s="24">
        <v>100</v>
      </c>
      <c r="AE202" s="24">
        <v>100</v>
      </c>
      <c r="AF202" s="24" t="s">
        <v>211</v>
      </c>
      <c r="AG202" s="27" t="s">
        <v>76</v>
      </c>
    </row>
    <row r="203" spans="2:33" x14ac:dyDescent="0.25">
      <c r="B203" s="141">
        <f t="shared" si="17"/>
        <v>201</v>
      </c>
      <c r="C203" s="26" t="s">
        <v>681</v>
      </c>
      <c r="D203" s="24" t="s">
        <v>3</v>
      </c>
      <c r="E203" s="24" t="s">
        <v>112</v>
      </c>
      <c r="F203" s="27" t="s">
        <v>198</v>
      </c>
      <c r="G203" s="24">
        <v>1341660</v>
      </c>
      <c r="H203" s="26" t="s">
        <v>135</v>
      </c>
      <c r="I203" s="25" t="s">
        <v>197</v>
      </c>
      <c r="J203" s="24" t="s">
        <v>76</v>
      </c>
      <c r="K203" s="24" t="s">
        <v>163</v>
      </c>
      <c r="L203" s="27" t="str">
        <f t="shared" si="26"/>
        <v>-</v>
      </c>
      <c r="M203" s="27" t="s">
        <v>371</v>
      </c>
      <c r="N203" s="26" t="s">
        <v>725</v>
      </c>
      <c r="O203" s="24" t="s">
        <v>87</v>
      </c>
      <c r="P203" s="24"/>
      <c r="Q203" s="24"/>
      <c r="R203" s="24">
        <v>107</v>
      </c>
      <c r="S203" s="54">
        <v>107</v>
      </c>
      <c r="T203" s="24">
        <f t="shared" si="20"/>
        <v>107</v>
      </c>
      <c r="U203" s="24">
        <f>ROUNDDOWN(S203/HLOOKUP(D203,Table!$C$3:$D$4,2,0)*8,2)</f>
        <v>1.9</v>
      </c>
      <c r="V203" s="24">
        <f t="shared" si="21"/>
        <v>1.9</v>
      </c>
      <c r="W203" s="24" t="s">
        <v>18</v>
      </c>
      <c r="X203" s="128">
        <v>43913</v>
      </c>
      <c r="Y203" s="28">
        <v>43921</v>
      </c>
      <c r="Z203" s="28">
        <v>43916</v>
      </c>
      <c r="AA203" s="28">
        <v>43916</v>
      </c>
      <c r="AB203" s="28" t="s">
        <v>160</v>
      </c>
      <c r="AC203" s="24">
        <v>99</v>
      </c>
      <c r="AD203" s="24">
        <v>96</v>
      </c>
      <c r="AE203" s="24">
        <v>100</v>
      </c>
      <c r="AF203" s="24" t="s">
        <v>211</v>
      </c>
      <c r="AG203" s="27" t="s">
        <v>76</v>
      </c>
    </row>
    <row r="204" spans="2:33" x14ac:dyDescent="0.25">
      <c r="B204" s="141">
        <f t="shared" si="17"/>
        <v>202</v>
      </c>
      <c r="C204" s="26" t="s">
        <v>681</v>
      </c>
      <c r="D204" s="24" t="s">
        <v>3</v>
      </c>
      <c r="E204" s="24" t="s">
        <v>112</v>
      </c>
      <c r="F204" s="27" t="s">
        <v>198</v>
      </c>
      <c r="G204" s="24">
        <v>1341660</v>
      </c>
      <c r="H204" s="26" t="s">
        <v>136</v>
      </c>
      <c r="I204" s="25" t="s">
        <v>197</v>
      </c>
      <c r="J204" s="24" t="s">
        <v>76</v>
      </c>
      <c r="K204" s="24" t="s">
        <v>163</v>
      </c>
      <c r="L204" s="27" t="str">
        <f t="shared" si="26"/>
        <v>-</v>
      </c>
      <c r="M204" s="27" t="s">
        <v>371</v>
      </c>
      <c r="N204" s="26" t="s">
        <v>726</v>
      </c>
      <c r="O204" s="24" t="s">
        <v>87</v>
      </c>
      <c r="P204" s="24"/>
      <c r="Q204" s="24"/>
      <c r="R204" s="24">
        <v>269</v>
      </c>
      <c r="S204" s="54">
        <v>269</v>
      </c>
      <c r="T204" s="24">
        <f t="shared" si="20"/>
        <v>269</v>
      </c>
      <c r="U204" s="24">
        <f>ROUNDDOWN(S204/HLOOKUP(D204,Table!$C$3:$D$4,2,0)*8,2)</f>
        <v>4.78</v>
      </c>
      <c r="V204" s="24">
        <f t="shared" si="21"/>
        <v>4.78</v>
      </c>
      <c r="W204" s="24" t="s">
        <v>18</v>
      </c>
      <c r="X204" s="128">
        <v>43913</v>
      </c>
      <c r="Y204" s="28">
        <v>43921</v>
      </c>
      <c r="Z204" s="28">
        <v>43916</v>
      </c>
      <c r="AA204" s="28">
        <v>43916</v>
      </c>
      <c r="AB204" s="28" t="s">
        <v>160</v>
      </c>
      <c r="AC204" s="24">
        <v>99</v>
      </c>
      <c r="AD204" s="24">
        <v>97</v>
      </c>
      <c r="AE204" s="24">
        <v>100</v>
      </c>
      <c r="AF204" s="24" t="s">
        <v>211</v>
      </c>
      <c r="AG204" s="27" t="s">
        <v>76</v>
      </c>
    </row>
    <row r="205" spans="2:33" x14ac:dyDescent="0.25">
      <c r="B205" s="141">
        <f t="shared" si="17"/>
        <v>203</v>
      </c>
      <c r="C205" s="26" t="s">
        <v>681</v>
      </c>
      <c r="D205" s="24" t="s">
        <v>3</v>
      </c>
      <c r="E205" s="24" t="s">
        <v>112</v>
      </c>
      <c r="F205" s="27" t="s">
        <v>198</v>
      </c>
      <c r="G205" s="24">
        <v>1341660</v>
      </c>
      <c r="H205" s="24" t="s">
        <v>137</v>
      </c>
      <c r="I205" s="25" t="s">
        <v>197</v>
      </c>
      <c r="J205" s="24" t="s">
        <v>76</v>
      </c>
      <c r="K205" s="24" t="s">
        <v>163</v>
      </c>
      <c r="L205" s="27" t="str">
        <f t="shared" si="26"/>
        <v>-</v>
      </c>
      <c r="M205" s="27" t="s">
        <v>371</v>
      </c>
      <c r="N205" s="26" t="s">
        <v>727</v>
      </c>
      <c r="O205" s="24" t="s">
        <v>88</v>
      </c>
      <c r="P205" s="24"/>
      <c r="Q205" s="24"/>
      <c r="R205" s="24">
        <v>70</v>
      </c>
      <c r="S205" s="54">
        <f>R205</f>
        <v>70</v>
      </c>
      <c r="T205" s="24">
        <f t="shared" si="20"/>
        <v>70</v>
      </c>
      <c r="U205" s="24">
        <f>ROUNDDOWN(S205/HLOOKUP(D205,Table!$C$3:$D$4,2,0)*8,2)</f>
        <v>1.24</v>
      </c>
      <c r="V205" s="24">
        <f t="shared" si="21"/>
        <v>1.24</v>
      </c>
      <c r="W205" s="24" t="s">
        <v>18</v>
      </c>
      <c r="X205" s="128">
        <v>43913</v>
      </c>
      <c r="Y205" s="28">
        <v>43921</v>
      </c>
      <c r="Z205" s="28"/>
      <c r="AA205" s="28"/>
      <c r="AB205" s="28" t="s">
        <v>161</v>
      </c>
      <c r="AC205" s="24">
        <v>100</v>
      </c>
      <c r="AD205" s="24">
        <v>100</v>
      </c>
      <c r="AE205" s="24">
        <v>100</v>
      </c>
      <c r="AF205" s="27" t="s">
        <v>76</v>
      </c>
      <c r="AG205" s="27" t="s">
        <v>76</v>
      </c>
    </row>
    <row r="206" spans="2:33" x14ac:dyDescent="0.25">
      <c r="B206" s="141">
        <f t="shared" si="17"/>
        <v>204</v>
      </c>
      <c r="C206" s="26" t="s">
        <v>681</v>
      </c>
      <c r="D206" s="24" t="s">
        <v>3</v>
      </c>
      <c r="E206" s="24" t="s">
        <v>112</v>
      </c>
      <c r="F206" s="27" t="s">
        <v>201</v>
      </c>
      <c r="G206" s="24">
        <v>1341660</v>
      </c>
      <c r="H206" s="24" t="s">
        <v>138</v>
      </c>
      <c r="I206" s="25" t="s">
        <v>197</v>
      </c>
      <c r="J206" s="24" t="s">
        <v>76</v>
      </c>
      <c r="K206" s="24" t="s">
        <v>163</v>
      </c>
      <c r="L206" s="27" t="str">
        <f t="shared" si="26"/>
        <v>-</v>
      </c>
      <c r="M206" s="27" t="s">
        <v>371</v>
      </c>
      <c r="N206" s="26" t="s">
        <v>728</v>
      </c>
      <c r="O206" s="24" t="s">
        <v>87</v>
      </c>
      <c r="P206" s="24"/>
      <c r="Q206" s="24"/>
      <c r="R206" s="24">
        <v>204</v>
      </c>
      <c r="S206" s="24">
        <v>204</v>
      </c>
      <c r="T206" s="24">
        <f t="shared" si="20"/>
        <v>204</v>
      </c>
      <c r="U206" s="24">
        <f>ROUNDDOWN(S206/HLOOKUP(D206,Table!$C$3:$D$4,2,0)*8,2)</f>
        <v>3.62</v>
      </c>
      <c r="V206" s="24">
        <f t="shared" si="21"/>
        <v>3.62</v>
      </c>
      <c r="W206" s="24" t="s">
        <v>18</v>
      </c>
      <c r="X206" s="128">
        <v>43913</v>
      </c>
      <c r="Y206" s="28">
        <v>43921</v>
      </c>
      <c r="Z206" s="28">
        <v>43916</v>
      </c>
      <c r="AA206" s="28">
        <v>43916</v>
      </c>
      <c r="AB206" s="28" t="s">
        <v>161</v>
      </c>
      <c r="AC206" s="24">
        <v>100</v>
      </c>
      <c r="AD206" s="24">
        <v>100</v>
      </c>
      <c r="AE206" s="24">
        <v>100</v>
      </c>
      <c r="AF206" s="27" t="s">
        <v>76</v>
      </c>
      <c r="AG206" s="27" t="s">
        <v>76</v>
      </c>
    </row>
    <row r="207" spans="2:33" x14ac:dyDescent="0.25">
      <c r="B207" s="141">
        <f t="shared" si="17"/>
        <v>205</v>
      </c>
      <c r="C207" s="26" t="s">
        <v>681</v>
      </c>
      <c r="D207" s="24" t="s">
        <v>3</v>
      </c>
      <c r="E207" s="24" t="s">
        <v>112</v>
      </c>
      <c r="F207" s="27" t="s">
        <v>201</v>
      </c>
      <c r="G207" s="24">
        <v>1341660</v>
      </c>
      <c r="H207" s="24" t="s">
        <v>139</v>
      </c>
      <c r="I207" s="25" t="s">
        <v>197</v>
      </c>
      <c r="J207" s="24" t="s">
        <v>76</v>
      </c>
      <c r="K207" s="24" t="s">
        <v>163</v>
      </c>
      <c r="L207" s="27" t="str">
        <f t="shared" si="26"/>
        <v>-</v>
      </c>
      <c r="M207" s="27" t="s">
        <v>371</v>
      </c>
      <c r="N207" s="26" t="s">
        <v>729</v>
      </c>
      <c r="O207" s="24" t="s">
        <v>87</v>
      </c>
      <c r="P207" s="24"/>
      <c r="Q207" s="24"/>
      <c r="R207" s="24">
        <v>185</v>
      </c>
      <c r="S207" s="24">
        <v>185</v>
      </c>
      <c r="T207" s="24">
        <f t="shared" si="20"/>
        <v>185</v>
      </c>
      <c r="U207" s="24">
        <f>ROUNDDOWN(S207/HLOOKUP(D207,Table!$C$3:$D$4,2,0)*8,2)</f>
        <v>3.28</v>
      </c>
      <c r="V207" s="24">
        <f t="shared" si="21"/>
        <v>3.28</v>
      </c>
      <c r="W207" s="24" t="s">
        <v>18</v>
      </c>
      <c r="X207" s="128">
        <v>43913</v>
      </c>
      <c r="Y207" s="28">
        <v>43921</v>
      </c>
      <c r="Z207" s="28">
        <v>43916</v>
      </c>
      <c r="AA207" s="28">
        <v>43916</v>
      </c>
      <c r="AB207" s="28" t="s">
        <v>161</v>
      </c>
      <c r="AC207" s="24">
        <v>100</v>
      </c>
      <c r="AD207" s="24">
        <v>100</v>
      </c>
      <c r="AE207" s="24">
        <v>100</v>
      </c>
      <c r="AF207" s="27" t="s">
        <v>76</v>
      </c>
      <c r="AG207" s="27" t="s">
        <v>76</v>
      </c>
    </row>
    <row r="208" spans="2:33" x14ac:dyDescent="0.25">
      <c r="B208" s="141">
        <f t="shared" si="17"/>
        <v>206</v>
      </c>
      <c r="C208" s="26" t="s">
        <v>681</v>
      </c>
      <c r="D208" s="24" t="s">
        <v>3</v>
      </c>
      <c r="E208" s="24" t="s">
        <v>112</v>
      </c>
      <c r="F208" s="27" t="s">
        <v>201</v>
      </c>
      <c r="G208" s="24">
        <v>1341660</v>
      </c>
      <c r="H208" s="24" t="s">
        <v>140</v>
      </c>
      <c r="I208" s="25" t="s">
        <v>197</v>
      </c>
      <c r="J208" s="24" t="s">
        <v>76</v>
      </c>
      <c r="K208" s="24" t="s">
        <v>163</v>
      </c>
      <c r="L208" s="27" t="str">
        <f t="shared" si="26"/>
        <v>-</v>
      </c>
      <c r="M208" s="27" t="s">
        <v>371</v>
      </c>
      <c r="N208" s="26" t="s">
        <v>730</v>
      </c>
      <c r="O208" s="24" t="s">
        <v>85</v>
      </c>
      <c r="P208" s="24"/>
      <c r="Q208" s="24"/>
      <c r="R208" s="24">
        <v>68</v>
      </c>
      <c r="S208" s="24">
        <v>68</v>
      </c>
      <c r="T208" s="24">
        <v>68</v>
      </c>
      <c r="U208" s="24">
        <f>ROUNDDOWN(S208/HLOOKUP(D208,Table!$C$3:$D$4,2,0)*8,2)</f>
        <v>1.2</v>
      </c>
      <c r="V208" s="24">
        <v>1</v>
      </c>
      <c r="W208" s="24" t="s">
        <v>18</v>
      </c>
      <c r="X208" s="128">
        <v>43913</v>
      </c>
      <c r="Y208" s="28">
        <v>43921</v>
      </c>
      <c r="Z208" s="28">
        <v>43924</v>
      </c>
      <c r="AA208" s="28">
        <v>43924</v>
      </c>
      <c r="AB208" s="28" t="s">
        <v>161</v>
      </c>
      <c r="AC208" s="24">
        <v>100</v>
      </c>
      <c r="AD208" s="24">
        <v>100</v>
      </c>
      <c r="AE208" s="24">
        <v>100</v>
      </c>
      <c r="AF208" s="27" t="s">
        <v>76</v>
      </c>
      <c r="AG208" s="27" t="s">
        <v>76</v>
      </c>
    </row>
    <row r="209" spans="2:33" x14ac:dyDescent="0.25">
      <c r="B209" s="141">
        <f t="shared" si="17"/>
        <v>207</v>
      </c>
      <c r="C209" s="26" t="s">
        <v>681</v>
      </c>
      <c r="D209" s="24" t="s">
        <v>3</v>
      </c>
      <c r="E209" s="24" t="s">
        <v>112</v>
      </c>
      <c r="F209" s="27" t="s">
        <v>201</v>
      </c>
      <c r="G209" s="24">
        <v>1341660</v>
      </c>
      <c r="H209" s="24" t="s">
        <v>141</v>
      </c>
      <c r="I209" s="25" t="s">
        <v>197</v>
      </c>
      <c r="J209" s="24" t="s">
        <v>76</v>
      </c>
      <c r="K209" s="24" t="s">
        <v>163</v>
      </c>
      <c r="L209" s="27" t="str">
        <f t="shared" si="26"/>
        <v>-</v>
      </c>
      <c r="M209" s="27" t="s">
        <v>371</v>
      </c>
      <c r="N209" s="26" t="s">
        <v>731</v>
      </c>
      <c r="O209" s="24" t="s">
        <v>85</v>
      </c>
      <c r="P209" s="24"/>
      <c r="Q209" s="24"/>
      <c r="R209" s="24">
        <v>150</v>
      </c>
      <c r="S209" s="24">
        <v>150</v>
      </c>
      <c r="T209" s="24">
        <v>150</v>
      </c>
      <c r="U209" s="24">
        <f>ROUNDDOWN(S209/HLOOKUP(D209,Table!$C$3:$D$4,2,0)*8,2)</f>
        <v>2.66</v>
      </c>
      <c r="V209" s="24">
        <v>2</v>
      </c>
      <c r="W209" s="24" t="s">
        <v>18</v>
      </c>
      <c r="X209" s="128">
        <v>43913</v>
      </c>
      <c r="Y209" s="28">
        <v>43921</v>
      </c>
      <c r="Z209" s="28">
        <v>43924</v>
      </c>
      <c r="AA209" s="28">
        <v>43924</v>
      </c>
      <c r="AB209" s="28" t="s">
        <v>161</v>
      </c>
      <c r="AC209" s="24">
        <v>100</v>
      </c>
      <c r="AD209" s="24">
        <v>100</v>
      </c>
      <c r="AE209" s="24">
        <v>100</v>
      </c>
      <c r="AF209" s="27" t="s">
        <v>76</v>
      </c>
      <c r="AG209" s="27" t="s">
        <v>76</v>
      </c>
    </row>
    <row r="210" spans="2:33" x14ac:dyDescent="0.25">
      <c r="B210" s="141">
        <f t="shared" si="17"/>
        <v>208</v>
      </c>
      <c r="C210" s="26" t="s">
        <v>681</v>
      </c>
      <c r="D210" s="24" t="s">
        <v>3</v>
      </c>
      <c r="E210" s="24" t="s">
        <v>112</v>
      </c>
      <c r="F210" s="27" t="s">
        <v>201</v>
      </c>
      <c r="G210" s="24">
        <v>1341660</v>
      </c>
      <c r="H210" s="24" t="s">
        <v>142</v>
      </c>
      <c r="I210" s="25" t="s">
        <v>197</v>
      </c>
      <c r="J210" s="24" t="s">
        <v>76</v>
      </c>
      <c r="K210" s="24" t="s">
        <v>163</v>
      </c>
      <c r="L210" s="27" t="str">
        <f t="shared" si="26"/>
        <v>-</v>
      </c>
      <c r="M210" s="27" t="s">
        <v>371</v>
      </c>
      <c r="N210" s="26" t="s">
        <v>732</v>
      </c>
      <c r="O210" s="24" t="s">
        <v>87</v>
      </c>
      <c r="P210" s="24"/>
      <c r="Q210" s="24"/>
      <c r="R210" s="24">
        <v>25</v>
      </c>
      <c r="S210" s="24">
        <v>25</v>
      </c>
      <c r="T210" s="24">
        <f>S210</f>
        <v>25</v>
      </c>
      <c r="U210" s="24">
        <f>ROUNDDOWN(S210/HLOOKUP(D210,Table!$C$3:$D$4,2,0)*8,2)</f>
        <v>0.44</v>
      </c>
      <c r="V210" s="24">
        <f>U210</f>
        <v>0.44</v>
      </c>
      <c r="W210" s="24" t="s">
        <v>18</v>
      </c>
      <c r="X210" s="128">
        <v>43913</v>
      </c>
      <c r="Y210" s="28">
        <v>43921</v>
      </c>
      <c r="Z210" s="28">
        <v>43916</v>
      </c>
      <c r="AA210" s="28">
        <v>43916</v>
      </c>
      <c r="AB210" s="28" t="s">
        <v>161</v>
      </c>
      <c r="AC210" s="24">
        <v>100</v>
      </c>
      <c r="AD210" s="24">
        <v>100</v>
      </c>
      <c r="AE210" s="24">
        <v>100</v>
      </c>
      <c r="AF210" s="27" t="s">
        <v>76</v>
      </c>
      <c r="AG210" s="27" t="s">
        <v>76</v>
      </c>
    </row>
    <row r="211" spans="2:33" x14ac:dyDescent="0.25">
      <c r="B211" s="141">
        <f t="shared" si="17"/>
        <v>209</v>
      </c>
      <c r="C211" s="26" t="s">
        <v>681</v>
      </c>
      <c r="D211" s="24" t="s">
        <v>3</v>
      </c>
      <c r="E211" s="24" t="s">
        <v>112</v>
      </c>
      <c r="F211" s="27" t="s">
        <v>194</v>
      </c>
      <c r="G211" s="24">
        <v>1341660</v>
      </c>
      <c r="H211" s="24" t="s">
        <v>78</v>
      </c>
      <c r="I211" s="25" t="s">
        <v>197</v>
      </c>
      <c r="J211" s="24" t="s">
        <v>76</v>
      </c>
      <c r="K211" s="24" t="s">
        <v>163</v>
      </c>
      <c r="L211" s="27" t="str">
        <f t="shared" si="26"/>
        <v>-</v>
      </c>
      <c r="M211" s="27" t="s">
        <v>371</v>
      </c>
      <c r="N211" s="26" t="s">
        <v>733</v>
      </c>
      <c r="O211" s="24" t="s">
        <v>88</v>
      </c>
      <c r="P211" s="24"/>
      <c r="Q211" s="24"/>
      <c r="R211" s="24">
        <v>487</v>
      </c>
      <c r="S211" s="24">
        <f>R211</f>
        <v>487</v>
      </c>
      <c r="T211" s="24"/>
      <c r="U211" s="24">
        <f>ROUNDDOWN(S211/HLOOKUP(D211,Table!$C$3:$D$4,2,0)*8,2)</f>
        <v>8.65</v>
      </c>
      <c r="V211" s="24"/>
      <c r="W211" s="24"/>
      <c r="X211" s="128">
        <v>43913</v>
      </c>
      <c r="Y211" s="28">
        <v>43921</v>
      </c>
      <c r="Z211" s="28"/>
      <c r="AA211" s="28"/>
      <c r="AB211" s="28" t="s">
        <v>161</v>
      </c>
      <c r="AC211" s="24">
        <v>100</v>
      </c>
      <c r="AD211" s="24">
        <v>100</v>
      </c>
      <c r="AE211" s="24">
        <v>100</v>
      </c>
      <c r="AF211" s="27" t="s">
        <v>76</v>
      </c>
      <c r="AG211" s="27" t="s">
        <v>76</v>
      </c>
    </row>
    <row r="212" spans="2:33" x14ac:dyDescent="0.25">
      <c r="B212" s="141">
        <f t="shared" si="17"/>
        <v>210</v>
      </c>
      <c r="C212" s="26" t="s">
        <v>681</v>
      </c>
      <c r="D212" s="24" t="s">
        <v>3</v>
      </c>
      <c r="E212" s="24" t="s">
        <v>112</v>
      </c>
      <c r="F212" s="27" t="s">
        <v>194</v>
      </c>
      <c r="G212" s="24">
        <v>1341660</v>
      </c>
      <c r="H212" s="24" t="s">
        <v>143</v>
      </c>
      <c r="I212" s="25" t="s">
        <v>197</v>
      </c>
      <c r="J212" s="24" t="s">
        <v>76</v>
      </c>
      <c r="K212" s="24" t="s">
        <v>163</v>
      </c>
      <c r="L212" s="27" t="str">
        <f t="shared" si="26"/>
        <v>-</v>
      </c>
      <c r="M212" s="27" t="s">
        <v>371</v>
      </c>
      <c r="N212" s="26" t="s">
        <v>734</v>
      </c>
      <c r="O212" s="24" t="s">
        <v>87</v>
      </c>
      <c r="P212" s="24"/>
      <c r="Q212" s="24"/>
      <c r="R212" s="24">
        <v>110</v>
      </c>
      <c r="S212" s="24">
        <v>110</v>
      </c>
      <c r="T212" s="24">
        <f>S212</f>
        <v>110</v>
      </c>
      <c r="U212" s="24">
        <f>ROUNDDOWN(S212/HLOOKUP(D212,Table!$C$3:$D$4,2,0)*8,2)</f>
        <v>1.95</v>
      </c>
      <c r="V212" s="24">
        <f>U212</f>
        <v>1.95</v>
      </c>
      <c r="W212" s="24" t="s">
        <v>18</v>
      </c>
      <c r="X212" s="128">
        <v>43913</v>
      </c>
      <c r="Y212" s="28">
        <v>43921</v>
      </c>
      <c r="Z212" s="28">
        <v>43916</v>
      </c>
      <c r="AA212" s="28">
        <v>43916</v>
      </c>
      <c r="AB212" s="28" t="s">
        <v>161</v>
      </c>
      <c r="AC212" s="24">
        <v>100</v>
      </c>
      <c r="AD212" s="24">
        <v>100</v>
      </c>
      <c r="AE212" s="24">
        <v>100</v>
      </c>
      <c r="AF212" s="27" t="s">
        <v>76</v>
      </c>
      <c r="AG212" s="27" t="s">
        <v>76</v>
      </c>
    </row>
    <row r="213" spans="2:33" x14ac:dyDescent="0.25">
      <c r="B213" s="141">
        <f t="shared" si="17"/>
        <v>211</v>
      </c>
      <c r="C213" s="26" t="s">
        <v>681</v>
      </c>
      <c r="D213" s="24" t="s">
        <v>3</v>
      </c>
      <c r="E213" s="24" t="s">
        <v>112</v>
      </c>
      <c r="F213" s="27" t="s">
        <v>194</v>
      </c>
      <c r="G213" s="24">
        <v>1341660</v>
      </c>
      <c r="H213" s="24" t="s">
        <v>144</v>
      </c>
      <c r="I213" s="25" t="s">
        <v>197</v>
      </c>
      <c r="J213" s="24" t="s">
        <v>76</v>
      </c>
      <c r="K213" s="24" t="s">
        <v>163</v>
      </c>
      <c r="L213" s="27" t="str">
        <f t="shared" si="26"/>
        <v>-</v>
      </c>
      <c r="M213" s="27" t="s">
        <v>371</v>
      </c>
      <c r="N213" s="26" t="s">
        <v>735</v>
      </c>
      <c r="O213" s="24" t="s">
        <v>88</v>
      </c>
      <c r="P213" s="24"/>
      <c r="Q213" s="24"/>
      <c r="R213" s="24">
        <v>167</v>
      </c>
      <c r="S213" s="24">
        <f>R213</f>
        <v>167</v>
      </c>
      <c r="T213" s="24"/>
      <c r="U213" s="24">
        <f>ROUNDDOWN(S213/HLOOKUP(D213,Table!$C$3:$D$4,2,0)*8,2)</f>
        <v>2.96</v>
      </c>
      <c r="V213" s="24"/>
      <c r="W213" s="24"/>
      <c r="X213" s="128">
        <v>43913</v>
      </c>
      <c r="Y213" s="28">
        <v>43921</v>
      </c>
      <c r="Z213" s="28"/>
      <c r="AA213" s="28"/>
      <c r="AB213" s="28" t="s">
        <v>161</v>
      </c>
      <c r="AC213" s="24">
        <v>100</v>
      </c>
      <c r="AD213" s="24">
        <v>100</v>
      </c>
      <c r="AE213" s="24">
        <v>100</v>
      </c>
      <c r="AF213" s="27" t="s">
        <v>76</v>
      </c>
      <c r="AG213" s="27" t="s">
        <v>76</v>
      </c>
    </row>
    <row r="214" spans="2:33" x14ac:dyDescent="0.25">
      <c r="B214" s="141">
        <f t="shared" si="17"/>
        <v>212</v>
      </c>
      <c r="C214" s="26" t="s">
        <v>681</v>
      </c>
      <c r="D214" s="24" t="s">
        <v>3</v>
      </c>
      <c r="E214" s="24" t="s">
        <v>112</v>
      </c>
      <c r="F214" s="27" t="s">
        <v>194</v>
      </c>
      <c r="G214" s="24">
        <v>1341660</v>
      </c>
      <c r="H214" s="24" t="s">
        <v>145</v>
      </c>
      <c r="I214" s="25" t="s">
        <v>197</v>
      </c>
      <c r="J214" s="24" t="s">
        <v>76</v>
      </c>
      <c r="K214" s="24" t="s">
        <v>163</v>
      </c>
      <c r="L214" s="27" t="str">
        <f t="shared" si="26"/>
        <v>-</v>
      </c>
      <c r="M214" s="27" t="s">
        <v>371</v>
      </c>
      <c r="N214" s="26" t="s">
        <v>736</v>
      </c>
      <c r="O214" s="24" t="s">
        <v>87</v>
      </c>
      <c r="P214" s="24"/>
      <c r="Q214" s="24"/>
      <c r="R214" s="24">
        <v>42</v>
      </c>
      <c r="S214" s="24">
        <v>42</v>
      </c>
      <c r="T214" s="24">
        <f t="shared" ref="T214:T219" si="28">S214</f>
        <v>42</v>
      </c>
      <c r="U214" s="24">
        <f>ROUNDDOWN(S214/HLOOKUP(D214,Table!$C$3:$D$4,2,0)*8,2)</f>
        <v>0.74</v>
      </c>
      <c r="V214" s="24">
        <f t="shared" ref="V214:V219" si="29">U214</f>
        <v>0.74</v>
      </c>
      <c r="W214" s="24" t="s">
        <v>18</v>
      </c>
      <c r="X214" s="128">
        <v>43913</v>
      </c>
      <c r="Y214" s="28">
        <v>43921</v>
      </c>
      <c r="Z214" s="28">
        <v>43916</v>
      </c>
      <c r="AA214" s="28">
        <v>43916</v>
      </c>
      <c r="AB214" s="28" t="s">
        <v>161</v>
      </c>
      <c r="AC214" s="24">
        <v>100</v>
      </c>
      <c r="AD214" s="24">
        <v>100</v>
      </c>
      <c r="AE214" s="24">
        <v>100</v>
      </c>
      <c r="AF214" s="27" t="s">
        <v>76</v>
      </c>
      <c r="AG214" s="27" t="s">
        <v>76</v>
      </c>
    </row>
    <row r="215" spans="2:33" x14ac:dyDescent="0.25">
      <c r="B215" s="141">
        <f t="shared" si="17"/>
        <v>213</v>
      </c>
      <c r="C215" s="26" t="s">
        <v>681</v>
      </c>
      <c r="D215" s="24" t="s">
        <v>3</v>
      </c>
      <c r="E215" s="24" t="s">
        <v>112</v>
      </c>
      <c r="F215" s="27" t="s">
        <v>194</v>
      </c>
      <c r="G215" s="24">
        <v>1341660</v>
      </c>
      <c r="H215" s="24" t="s">
        <v>146</v>
      </c>
      <c r="I215" s="25" t="s">
        <v>197</v>
      </c>
      <c r="J215" s="24" t="s">
        <v>76</v>
      </c>
      <c r="K215" s="24" t="s">
        <v>163</v>
      </c>
      <c r="L215" s="27" t="str">
        <f t="shared" si="26"/>
        <v>-</v>
      </c>
      <c r="M215" s="27" t="s">
        <v>371</v>
      </c>
      <c r="N215" s="26" t="s">
        <v>737</v>
      </c>
      <c r="O215" s="24" t="s">
        <v>87</v>
      </c>
      <c r="P215" s="24"/>
      <c r="Q215" s="24"/>
      <c r="R215" s="24">
        <v>40</v>
      </c>
      <c r="S215" s="24">
        <v>40</v>
      </c>
      <c r="T215" s="24">
        <f t="shared" si="28"/>
        <v>40</v>
      </c>
      <c r="U215" s="24">
        <f>ROUNDDOWN(S215/HLOOKUP(D215,Table!$C$3:$D$4,2,0)*8,2)</f>
        <v>0.71</v>
      </c>
      <c r="V215" s="24">
        <f t="shared" si="29"/>
        <v>0.71</v>
      </c>
      <c r="W215" s="24" t="s">
        <v>18</v>
      </c>
      <c r="X215" s="128">
        <v>43913</v>
      </c>
      <c r="Y215" s="28">
        <v>43921</v>
      </c>
      <c r="Z215" s="28">
        <v>43916</v>
      </c>
      <c r="AA215" s="28">
        <v>43916</v>
      </c>
      <c r="AB215" s="28" t="s">
        <v>161</v>
      </c>
      <c r="AC215" s="24">
        <v>100</v>
      </c>
      <c r="AD215" s="24">
        <v>100</v>
      </c>
      <c r="AE215" s="24">
        <v>100</v>
      </c>
      <c r="AF215" s="27" t="s">
        <v>76</v>
      </c>
      <c r="AG215" s="27" t="s">
        <v>76</v>
      </c>
    </row>
    <row r="216" spans="2:33" x14ac:dyDescent="0.25">
      <c r="B216" s="141">
        <f t="shared" si="17"/>
        <v>214</v>
      </c>
      <c r="C216" s="26" t="s">
        <v>681</v>
      </c>
      <c r="D216" s="24" t="s">
        <v>3</v>
      </c>
      <c r="E216" s="24" t="s">
        <v>112</v>
      </c>
      <c r="F216" s="27" t="s">
        <v>149</v>
      </c>
      <c r="G216" s="24">
        <v>1341660</v>
      </c>
      <c r="H216" s="26" t="s">
        <v>148</v>
      </c>
      <c r="I216" s="25" t="s">
        <v>197</v>
      </c>
      <c r="J216" s="24" t="s">
        <v>76</v>
      </c>
      <c r="K216" s="24" t="s">
        <v>163</v>
      </c>
      <c r="L216" s="27" t="str">
        <f t="shared" si="26"/>
        <v>-</v>
      </c>
      <c r="M216" s="27" t="s">
        <v>371</v>
      </c>
      <c r="N216" s="26" t="s">
        <v>738</v>
      </c>
      <c r="O216" s="24" t="s">
        <v>87</v>
      </c>
      <c r="P216" s="24"/>
      <c r="Q216" s="24"/>
      <c r="R216" s="24">
        <v>29</v>
      </c>
      <c r="S216" s="24">
        <v>29</v>
      </c>
      <c r="T216" s="24">
        <f t="shared" si="28"/>
        <v>29</v>
      </c>
      <c r="U216" s="24">
        <f>ROUNDDOWN(S216/HLOOKUP(D216,Table!$C$3:$D$4,2,0)*8,2)</f>
        <v>0.51</v>
      </c>
      <c r="V216" s="24">
        <f t="shared" si="29"/>
        <v>0.51</v>
      </c>
      <c r="W216" s="24" t="s">
        <v>18</v>
      </c>
      <c r="X216" s="128">
        <v>43913</v>
      </c>
      <c r="Y216" s="28">
        <v>43921</v>
      </c>
      <c r="Z216" s="28">
        <v>43916</v>
      </c>
      <c r="AA216" s="28">
        <v>43916</v>
      </c>
      <c r="AB216" s="28" t="s">
        <v>161</v>
      </c>
      <c r="AC216" s="24">
        <v>100</v>
      </c>
      <c r="AD216" s="24">
        <v>100</v>
      </c>
      <c r="AE216" s="24">
        <v>100</v>
      </c>
      <c r="AF216" s="27" t="s">
        <v>76</v>
      </c>
      <c r="AG216" s="27" t="s">
        <v>76</v>
      </c>
    </row>
    <row r="217" spans="2:33" x14ac:dyDescent="0.25">
      <c r="B217" s="141">
        <f t="shared" si="17"/>
        <v>215</v>
      </c>
      <c r="C217" s="26" t="s">
        <v>681</v>
      </c>
      <c r="D217" s="24" t="s">
        <v>3</v>
      </c>
      <c r="E217" s="24" t="s">
        <v>112</v>
      </c>
      <c r="F217" s="27" t="s">
        <v>149</v>
      </c>
      <c r="G217" s="24">
        <v>1341660</v>
      </c>
      <c r="H217" s="26" t="s">
        <v>143</v>
      </c>
      <c r="I217" s="25" t="s">
        <v>197</v>
      </c>
      <c r="J217" s="24" t="s">
        <v>76</v>
      </c>
      <c r="K217" s="24" t="s">
        <v>163</v>
      </c>
      <c r="L217" s="27" t="str">
        <f t="shared" si="26"/>
        <v>-</v>
      </c>
      <c r="M217" s="27" t="s">
        <v>371</v>
      </c>
      <c r="N217" s="26" t="s">
        <v>739</v>
      </c>
      <c r="O217" s="24" t="s">
        <v>87</v>
      </c>
      <c r="P217" s="24"/>
      <c r="Q217" s="24"/>
      <c r="R217" s="24">
        <v>110</v>
      </c>
      <c r="S217" s="24">
        <v>110</v>
      </c>
      <c r="T217" s="24">
        <f t="shared" si="28"/>
        <v>110</v>
      </c>
      <c r="U217" s="24">
        <f>ROUNDDOWN(S217/HLOOKUP(D217,Table!$C$3:$D$4,2,0)*8,2)</f>
        <v>1.95</v>
      </c>
      <c r="V217" s="24">
        <f t="shared" si="29"/>
        <v>1.95</v>
      </c>
      <c r="W217" s="24" t="s">
        <v>18</v>
      </c>
      <c r="X217" s="128">
        <v>43913</v>
      </c>
      <c r="Y217" s="28">
        <v>43921</v>
      </c>
      <c r="Z217" s="28">
        <v>43916</v>
      </c>
      <c r="AA217" s="28">
        <v>43916</v>
      </c>
      <c r="AB217" s="28" t="s">
        <v>161</v>
      </c>
      <c r="AC217" s="24">
        <v>100</v>
      </c>
      <c r="AD217" s="24">
        <v>100</v>
      </c>
      <c r="AE217" s="24">
        <v>100</v>
      </c>
      <c r="AF217" s="27" t="s">
        <v>76</v>
      </c>
      <c r="AG217" s="27" t="s">
        <v>76</v>
      </c>
    </row>
    <row r="218" spans="2:33" x14ac:dyDescent="0.25">
      <c r="B218" s="141">
        <f t="shared" si="17"/>
        <v>216</v>
      </c>
      <c r="C218" s="26" t="s">
        <v>681</v>
      </c>
      <c r="D218" s="24" t="s">
        <v>3</v>
      </c>
      <c r="E218" s="24" t="s">
        <v>112</v>
      </c>
      <c r="F218" s="27" t="s">
        <v>149</v>
      </c>
      <c r="G218" s="24">
        <v>1341660</v>
      </c>
      <c r="H218" s="26" t="s">
        <v>145</v>
      </c>
      <c r="I218" s="25" t="s">
        <v>197</v>
      </c>
      <c r="J218" s="24" t="s">
        <v>76</v>
      </c>
      <c r="K218" s="24" t="s">
        <v>163</v>
      </c>
      <c r="L218" s="27" t="str">
        <f t="shared" si="26"/>
        <v>-</v>
      </c>
      <c r="M218" s="27" t="s">
        <v>371</v>
      </c>
      <c r="N218" s="26" t="s">
        <v>740</v>
      </c>
      <c r="O218" s="24" t="s">
        <v>87</v>
      </c>
      <c r="P218" s="24"/>
      <c r="Q218" s="24"/>
      <c r="R218" s="24">
        <v>42</v>
      </c>
      <c r="S218" s="24">
        <v>42</v>
      </c>
      <c r="T218" s="24">
        <f t="shared" si="28"/>
        <v>42</v>
      </c>
      <c r="U218" s="24">
        <f>ROUNDDOWN(S218/HLOOKUP(D218,Table!$C$3:$D$4,2,0)*8,2)</f>
        <v>0.74</v>
      </c>
      <c r="V218" s="24">
        <f t="shared" si="29"/>
        <v>0.74</v>
      </c>
      <c r="W218" s="24" t="s">
        <v>18</v>
      </c>
      <c r="X218" s="128">
        <v>43913</v>
      </c>
      <c r="Y218" s="28">
        <v>43921</v>
      </c>
      <c r="Z218" s="28">
        <v>43916</v>
      </c>
      <c r="AA218" s="28">
        <v>43916</v>
      </c>
      <c r="AB218" s="28" t="s">
        <v>161</v>
      </c>
      <c r="AC218" s="24">
        <v>100</v>
      </c>
      <c r="AD218" s="24">
        <v>100</v>
      </c>
      <c r="AE218" s="24">
        <v>100</v>
      </c>
      <c r="AF218" s="27" t="s">
        <v>76</v>
      </c>
      <c r="AG218" s="27" t="s">
        <v>76</v>
      </c>
    </row>
    <row r="219" spans="2:33" x14ac:dyDescent="0.25">
      <c r="B219" s="141">
        <f>B218+1</f>
        <v>217</v>
      </c>
      <c r="C219" s="26" t="s">
        <v>681</v>
      </c>
      <c r="D219" s="24" t="s">
        <v>3</v>
      </c>
      <c r="E219" s="24" t="s">
        <v>112</v>
      </c>
      <c r="F219" s="27" t="s">
        <v>149</v>
      </c>
      <c r="G219" s="24">
        <v>1341660</v>
      </c>
      <c r="H219" s="26" t="s">
        <v>147</v>
      </c>
      <c r="I219" s="25" t="s">
        <v>197</v>
      </c>
      <c r="J219" s="24" t="s">
        <v>76</v>
      </c>
      <c r="K219" s="24" t="s">
        <v>163</v>
      </c>
      <c r="L219" s="27" t="str">
        <f t="shared" si="26"/>
        <v>-</v>
      </c>
      <c r="M219" s="27" t="s">
        <v>371</v>
      </c>
      <c r="N219" s="26" t="s">
        <v>741</v>
      </c>
      <c r="O219" s="24" t="s">
        <v>87</v>
      </c>
      <c r="P219" s="24"/>
      <c r="Q219" s="24"/>
      <c r="R219" s="24">
        <v>44</v>
      </c>
      <c r="S219" s="24">
        <v>44</v>
      </c>
      <c r="T219" s="24">
        <f t="shared" si="28"/>
        <v>44</v>
      </c>
      <c r="U219" s="24">
        <f>ROUNDDOWN(S219/HLOOKUP(D219,Table!$C$3:$D$4,2,0)*8,2)</f>
        <v>0.78</v>
      </c>
      <c r="V219" s="24">
        <f t="shared" si="29"/>
        <v>0.78</v>
      </c>
      <c r="W219" s="24" t="s">
        <v>18</v>
      </c>
      <c r="X219" s="128">
        <v>43913</v>
      </c>
      <c r="Y219" s="28">
        <v>43921</v>
      </c>
      <c r="Z219" s="28">
        <v>43916</v>
      </c>
      <c r="AA219" s="28">
        <v>43916</v>
      </c>
      <c r="AB219" s="28" t="s">
        <v>161</v>
      </c>
      <c r="AC219" s="24">
        <v>100</v>
      </c>
      <c r="AD219" s="24">
        <v>100</v>
      </c>
      <c r="AE219" s="24">
        <v>100</v>
      </c>
      <c r="AF219" s="27" t="s">
        <v>76</v>
      </c>
      <c r="AG219" s="27" t="s">
        <v>76</v>
      </c>
    </row>
    <row r="220" spans="2:33" x14ac:dyDescent="0.25">
      <c r="B220" s="32">
        <f>B219+1</f>
        <v>218</v>
      </c>
      <c r="C220" s="26"/>
      <c r="D220" s="26"/>
      <c r="E220" s="26"/>
      <c r="F220" s="47"/>
      <c r="G220" s="26"/>
      <c r="H220" s="26"/>
      <c r="I220" s="26"/>
      <c r="J220" s="26"/>
      <c r="K220" s="26"/>
      <c r="L220" s="47"/>
      <c r="M220" s="47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154"/>
      <c r="Y220" s="87"/>
      <c r="Z220" s="87"/>
      <c r="AA220" s="87"/>
      <c r="AB220" s="87"/>
      <c r="AC220" s="26"/>
      <c r="AD220" s="26"/>
      <c r="AE220" s="26"/>
      <c r="AF220" s="47"/>
      <c r="AG220" s="47"/>
    </row>
    <row r="221" spans="2:33" x14ac:dyDescent="0.25">
      <c r="B221" s="32">
        <f t="shared" ref="B221:B225" si="30">B220+1</f>
        <v>219</v>
      </c>
      <c r="C221" s="26"/>
      <c r="D221" s="26"/>
      <c r="E221" s="26"/>
      <c r="F221" s="47"/>
      <c r="G221" s="26"/>
      <c r="H221" s="26"/>
      <c r="I221" s="26"/>
      <c r="J221" s="26"/>
      <c r="K221" s="26"/>
      <c r="L221" s="47"/>
      <c r="M221" s="47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154"/>
      <c r="Y221" s="87"/>
      <c r="Z221" s="87"/>
      <c r="AA221" s="87"/>
      <c r="AB221" s="87"/>
      <c r="AC221" s="26"/>
      <c r="AD221" s="26"/>
      <c r="AE221" s="26"/>
      <c r="AF221" s="47"/>
      <c r="AG221" s="47"/>
    </row>
    <row r="222" spans="2:33" x14ac:dyDescent="0.25">
      <c r="B222" s="32">
        <f t="shared" si="30"/>
        <v>220</v>
      </c>
      <c r="C222" s="26"/>
      <c r="D222" s="26"/>
      <c r="E222" s="26"/>
      <c r="F222" s="47"/>
      <c r="G222" s="26"/>
      <c r="H222" s="26"/>
      <c r="I222" s="26"/>
      <c r="J222" s="26"/>
      <c r="K222" s="26"/>
      <c r="L222" s="47"/>
      <c r="M222" s="47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154"/>
      <c r="Y222" s="87"/>
      <c r="Z222" s="87"/>
      <c r="AA222" s="87"/>
      <c r="AB222" s="87"/>
      <c r="AC222" s="26"/>
      <c r="AD222" s="26"/>
      <c r="AE222" s="26"/>
      <c r="AF222" s="47"/>
      <c r="AG222" s="47"/>
    </row>
    <row r="223" spans="2:33" x14ac:dyDescent="0.25">
      <c r="B223" s="32">
        <f t="shared" si="30"/>
        <v>221</v>
      </c>
      <c r="C223" s="26"/>
      <c r="D223" s="26"/>
      <c r="E223" s="26"/>
      <c r="F223" s="47"/>
      <c r="G223" s="26"/>
      <c r="H223" s="26"/>
      <c r="I223" s="26"/>
      <c r="J223" s="26"/>
      <c r="K223" s="26"/>
      <c r="L223" s="47"/>
      <c r="M223" s="47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154"/>
      <c r="Y223" s="87"/>
      <c r="Z223" s="87"/>
      <c r="AA223" s="87"/>
      <c r="AB223" s="87"/>
      <c r="AC223" s="26"/>
      <c r="AD223" s="26"/>
      <c r="AE223" s="26"/>
      <c r="AF223" s="47"/>
      <c r="AG223" s="47"/>
    </row>
    <row r="224" spans="2:33" x14ac:dyDescent="0.25">
      <c r="B224" s="32">
        <f t="shared" si="30"/>
        <v>222</v>
      </c>
      <c r="C224" s="26"/>
      <c r="D224" s="26"/>
      <c r="E224" s="26"/>
      <c r="F224" s="47"/>
      <c r="G224" s="26"/>
      <c r="H224" s="26"/>
      <c r="I224" s="26"/>
      <c r="J224" s="26"/>
      <c r="K224" s="26"/>
      <c r="L224" s="47"/>
      <c r="M224" s="47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154"/>
      <c r="Y224" s="87"/>
      <c r="Z224" s="87"/>
      <c r="AA224" s="87"/>
      <c r="AB224" s="87"/>
      <c r="AC224" s="26"/>
      <c r="AD224" s="26"/>
      <c r="AE224" s="26"/>
      <c r="AF224" s="47"/>
      <c r="AG224" s="47"/>
    </row>
    <row r="225" spans="2:33" x14ac:dyDescent="0.25">
      <c r="B225" s="32">
        <f t="shared" si="30"/>
        <v>223</v>
      </c>
      <c r="C225" s="26"/>
      <c r="D225" s="26"/>
      <c r="E225" s="26"/>
      <c r="F225" s="47"/>
      <c r="G225" s="26"/>
      <c r="H225" s="26"/>
      <c r="I225" s="26"/>
      <c r="J225" s="26"/>
      <c r="K225" s="26"/>
      <c r="L225" s="47"/>
      <c r="M225" s="47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154"/>
      <c r="Y225" s="87"/>
      <c r="Z225" s="87"/>
      <c r="AA225" s="87"/>
      <c r="AB225" s="87"/>
      <c r="AC225" s="26"/>
      <c r="AD225" s="26"/>
      <c r="AE225" s="26"/>
      <c r="AF225" s="47"/>
      <c r="AG225" s="47"/>
    </row>
    <row r="226" spans="2:33" x14ac:dyDescent="0.25">
      <c r="B226" s="33"/>
      <c r="C226" s="130"/>
      <c r="D226" s="130"/>
      <c r="E226" s="130"/>
      <c r="F226" s="131"/>
      <c r="G226" s="130"/>
      <c r="H226" s="130"/>
      <c r="I226" s="130"/>
      <c r="J226" s="130"/>
      <c r="K226" s="130"/>
      <c r="L226" s="130"/>
      <c r="M226" s="130"/>
      <c r="N226" s="132"/>
      <c r="O226" s="130"/>
      <c r="P226" s="130"/>
      <c r="Q226" s="130"/>
      <c r="R226" s="130"/>
      <c r="S226" s="130"/>
      <c r="T226" s="130"/>
      <c r="U226" s="130"/>
      <c r="V226" s="130"/>
      <c r="W226" s="130"/>
      <c r="X226" s="133"/>
      <c r="Y226" s="133"/>
      <c r="Z226" s="133"/>
      <c r="AA226" s="133"/>
      <c r="AB226" s="133"/>
      <c r="AC226" s="130"/>
      <c r="AD226" s="130"/>
      <c r="AE226" s="130"/>
      <c r="AF226" s="130"/>
      <c r="AG226" s="130"/>
    </row>
    <row r="227" spans="2:33" x14ac:dyDescent="0.25">
      <c r="B227" s="5"/>
      <c r="C227" s="5"/>
      <c r="D227" s="5"/>
      <c r="E227" s="5"/>
      <c r="F227" s="5"/>
      <c r="G227" s="5"/>
      <c r="H227" s="5"/>
      <c r="I227" s="5"/>
      <c r="J227" s="152"/>
      <c r="K227" s="5"/>
      <c r="L227" s="5"/>
      <c r="M227" s="5"/>
      <c r="N227" s="45"/>
      <c r="O227" s="5"/>
      <c r="P227" s="5"/>
    </row>
    <row r="228" spans="2:33" x14ac:dyDescent="0.25">
      <c r="B228" s="1" t="s">
        <v>56</v>
      </c>
    </row>
    <row r="229" spans="2:33" x14ac:dyDescent="0.25">
      <c r="B229" s="2" t="s">
        <v>0</v>
      </c>
      <c r="C229" s="2" t="s">
        <v>7</v>
      </c>
      <c r="D229" s="2" t="s">
        <v>465</v>
      </c>
      <c r="E229" s="2" t="s">
        <v>58</v>
      </c>
      <c r="F229" s="2" t="s">
        <v>466</v>
      </c>
      <c r="G229" s="2" t="s">
        <v>22</v>
      </c>
      <c r="H229" s="4" t="s">
        <v>24</v>
      </c>
      <c r="L229" s="46"/>
      <c r="N229"/>
    </row>
    <row r="230" spans="2:33" x14ac:dyDescent="0.25">
      <c r="B230" s="3">
        <v>1</v>
      </c>
      <c r="C230" s="40" t="s">
        <v>85</v>
      </c>
      <c r="D230" s="3">
        <f>SUMIFS($S$3:$S$219,$D$3:$D$219,Table!$C$3,$O$3:$O$219,C230)</f>
        <v>347</v>
      </c>
      <c r="E230" s="3">
        <f>SUMIFS($T$3:$T$219,$D$3:$D$219,Table!$C$3,$O$3:$O$219,C230)-SUM(SUMIFS($T$3:$T$219,$D$3:$D$219,Table!$C$3,$O$3:$O$219,C230,$W$3:$W$219,{"Ongoing","N\A",""}))</f>
        <v>347</v>
      </c>
      <c r="F230" s="3">
        <f>1/8*(SUMIFS($V$3:$V$219,$D$3:$D$219,Table!$C$3,$O$3:$O$219,C230)-SUM(SUMIFS($V$3:$V$219,$D$3:$D$219,Table!$C$3,$O$3:$O$219,C230,$W$3:$W$219,{"Ongoing","N/A",""})))</f>
        <v>3.375</v>
      </c>
      <c r="G230" s="3">
        <f>IF(ISERROR(E230/(F230)),"N/A",E230/F230)</f>
        <v>102.81481481481481</v>
      </c>
      <c r="H230" s="6">
        <f>IF(ISERROR(E230/D230),"N/A",E230/D230)</f>
        <v>1</v>
      </c>
      <c r="L230" s="46"/>
      <c r="N230"/>
    </row>
    <row r="231" spans="2:33" x14ac:dyDescent="0.25">
      <c r="B231" s="3">
        <v>2</v>
      </c>
      <c r="C231" s="40" t="s">
        <v>86</v>
      </c>
      <c r="D231" s="3">
        <f>SUMIFS($S$3:$S$219,$D$3:$D$219,Table!$C$3,$O$3:$O$219,C231)</f>
        <v>182</v>
      </c>
      <c r="E231" s="3">
        <f>SUMIFS($T$3:$T$219,$D$3:$D$219,Table!$C$3,$O$3:$O$219,C231)-SUM(SUMIFS($T$3:$T$219,$D$3:$D$219,Table!$C$3,$O$3:$O$219,C231,$W$3:$W$219,{"Ongoing","N/A",""}))</f>
        <v>182</v>
      </c>
      <c r="F231" s="3">
        <f>1/8*(SUMIFS($V$3:$V$219,$D$3:$D$219,Table!$C$3,$O$3:$O$219,C231)-SUM(SUMIFS($V$3:$V$219,$D$3:$D$219,Table!$C$3,$O$3:$O$219,C231,$W$3:$W$219,{"Ongoing","N/A",""})))</f>
        <v>3</v>
      </c>
      <c r="G231" s="3">
        <f>IF(ISERROR(E231/(F231)),"N/A",E231/F231)</f>
        <v>60.666666666666664</v>
      </c>
      <c r="H231" s="6">
        <f>IF(ISERROR(E231/D231),"N/A",E231/D231)</f>
        <v>1</v>
      </c>
      <c r="L231" s="46"/>
      <c r="N231"/>
    </row>
    <row r="232" spans="2:33" x14ac:dyDescent="0.25">
      <c r="B232" s="3">
        <v>3</v>
      </c>
      <c r="C232" s="40" t="s">
        <v>87</v>
      </c>
      <c r="D232" s="3">
        <f>SUMIFS($S$3:$S$219,$D$3:$D$219,Table!$C$3,$O$3:$O$219,C232)</f>
        <v>87</v>
      </c>
      <c r="E232" s="3">
        <f>SUMIFS($T$3:$T$219,$D$3:$D$219,Table!$C$3,$O$3:$O$219,C232)-SUM(SUMIFS($T$3:$T$219,$D$3:$D$219,Table!$C$3,$O$3:$O$219,C232,$W$3:$W$219,{"Ongoing","N/A",""}))</f>
        <v>87</v>
      </c>
      <c r="F232" s="3">
        <f>1/8*(SUMIFS($V$3:$V$219,$D$3:$D$219,Table!$C$3,$O$3:$O$219,C232)-SUM(SUMIFS($V$3:$V$219,$D$3:$D$219,Table!$C$3,$O$3:$O$219,C232,$W$3:$W$219,{"Ongoing","N/A",""})))</f>
        <v>1.4125000000000001</v>
      </c>
      <c r="G232" s="3">
        <f>IF(ISERROR(E232/(F232)),"N/A",E232/F232)</f>
        <v>61.592920353982294</v>
      </c>
      <c r="H232" s="6">
        <f>IF(ISERROR(E232/D232),"N/A",E232/D232)</f>
        <v>1</v>
      </c>
      <c r="L232" s="46"/>
      <c r="N232"/>
    </row>
    <row r="233" spans="2:33" x14ac:dyDescent="0.25">
      <c r="B233" s="3">
        <v>4</v>
      </c>
      <c r="C233" s="40" t="s">
        <v>88</v>
      </c>
      <c r="D233" s="3">
        <f>SUMIFS($S$3:$S$219,$D$3:$D$219,Table!$C$3,$O$3:$O$219,C233)</f>
        <v>43</v>
      </c>
      <c r="E233" s="3">
        <f>SUMIFS($T$3:$T$219,$D$3:$D$219,Table!$C$3,$O$3:$O$219,C233)-SUM(SUMIFS($T$3:$T$219,$D$3:$D$219,Table!$C$3,$O$3:$O$219,C233,$W$3:$W$219,{"Ongoing","N/A"}))</f>
        <v>43</v>
      </c>
      <c r="F233" s="3">
        <f>1/8*(SUMIFS($V$3:$V$219,$D$3:$D$219,Table!$C$3,$O$3:$O$219,C233)-SUM(SUMIFS($V$3:$V$219,$D$3:$D$219,Table!$C$3,$O$3:$O$219,C233,$W$3:$W$219,{"Ongoing","N/A",""})))</f>
        <v>0.3125</v>
      </c>
      <c r="G233" s="3">
        <f>IF(ISERROR(E233/(F233)),"N/A",E233/F233)</f>
        <v>137.6</v>
      </c>
      <c r="H233" s="6">
        <f>IF(ISERROR(E233/D233),"N/A",E233/D233)</f>
        <v>1</v>
      </c>
      <c r="L233" s="46"/>
      <c r="N233"/>
    </row>
    <row r="234" spans="2:33" x14ac:dyDescent="0.25">
      <c r="B234" s="2" t="s">
        <v>322</v>
      </c>
      <c r="C234" s="40"/>
      <c r="D234" s="112">
        <f>SUMIFS($S$3:$S$219,$D$3:$D$219,Table!$C$3)</f>
        <v>659</v>
      </c>
      <c r="E234" s="112">
        <f>SUMIFS($T$3:$T$219,$D$3:$D$219,Table!$C$3)-SUM(SUMIFS($T$3:$T$219,$D$3:$D$219,Table!$C$3,$W$3:$W$219,{"Ongoing","N/A",""}))</f>
        <v>659</v>
      </c>
      <c r="F234" s="112">
        <f>1/8*(SUMIFS($V$3:$V$219,$D$3:$D$219,Table!$C$3)-SUM(SUMIFS($V$3:$V$219,$D$3:$D$219,Table!$C$3,$W$3:$W$219,{"Ongoing","N/A",""})))</f>
        <v>8.1</v>
      </c>
      <c r="G234" s="3">
        <f>IF(ISERROR(E234/(F234)),"N/A",E234/F234)</f>
        <v>81.358024691358025</v>
      </c>
      <c r="H234" s="6">
        <f>IF(ISERROR(E234/D234),"N/A",E234/D234)</f>
        <v>1</v>
      </c>
      <c r="L234" s="46"/>
      <c r="N234"/>
    </row>
    <row r="235" spans="2:33" x14ac:dyDescent="0.25">
      <c r="L235" s="46"/>
      <c r="N235"/>
    </row>
    <row r="236" spans="2:33" x14ac:dyDescent="0.25">
      <c r="L236" s="46"/>
      <c r="N236"/>
    </row>
    <row r="237" spans="2:33" x14ac:dyDescent="0.25">
      <c r="B237" s="1" t="s">
        <v>57</v>
      </c>
      <c r="L237" s="46"/>
      <c r="N237"/>
    </row>
    <row r="238" spans="2:33" x14ac:dyDescent="0.25">
      <c r="B238" s="2" t="s">
        <v>0</v>
      </c>
      <c r="C238" s="2" t="s">
        <v>7</v>
      </c>
      <c r="D238" s="2" t="s">
        <v>465</v>
      </c>
      <c r="E238" s="2" t="s">
        <v>58</v>
      </c>
      <c r="F238" s="2" t="s">
        <v>466</v>
      </c>
      <c r="G238" s="2" t="s">
        <v>22</v>
      </c>
      <c r="H238" s="4" t="s">
        <v>24</v>
      </c>
      <c r="L238" s="46"/>
      <c r="N238"/>
    </row>
    <row r="239" spans="2:33" x14ac:dyDescent="0.25">
      <c r="B239" s="3">
        <v>1</v>
      </c>
      <c r="C239" s="40" t="s">
        <v>85</v>
      </c>
      <c r="D239" s="3">
        <f>SUMIFS($S$3:$S$219,$D$3:$D$219,Table!$D$3,$O$3:$O$219,C239)</f>
        <v>8901</v>
      </c>
      <c r="E239" s="3">
        <f>SUMIFS($S$3:$S$219,$D$3:$D$219,Table!$D$3,$O$3:$O$219,C239)-SUM(SUMIFS($S$3:$S$219,$D$3:$D$219,Table!$D$3,$O$3:$O$219,C239,$W$3:$W$219,{"Ongoing","N/A",""}))</f>
        <v>8901</v>
      </c>
      <c r="F239" s="3">
        <f>1/8*(SUMIFS($V$3:$V$219,$D$3:$D$219,Table!$D$3,$O$3:$O$219,C239)-SUM(SUMIFS($V$3:$V$219,$D$3:$D$219,Table!$D$3,$O$3:$O$219,C239,$W$3:$W$219,{"Ongoing","N/A",""})))</f>
        <v>17.94125</v>
      </c>
      <c r="G239" s="3">
        <f>IF(ISERROR(E239/(F239)),"N/A",E239/F239)</f>
        <v>496.11927819967951</v>
      </c>
      <c r="H239" s="6">
        <f>IF(ISERROR(E239/D239),"N/A",E239/D239)</f>
        <v>1</v>
      </c>
      <c r="L239" s="46"/>
      <c r="N239"/>
    </row>
    <row r="240" spans="2:33" x14ac:dyDescent="0.25">
      <c r="B240" s="3">
        <v>2</v>
      </c>
      <c r="C240" s="40" t="s">
        <v>86</v>
      </c>
      <c r="D240" s="3">
        <f>SUMIFS($S$3:$S$219,$D$3:$D$219,Table!$D$3,$O$3:$O$219,C240)</f>
        <v>9356</v>
      </c>
      <c r="E240" s="3">
        <f>SUMIFS($S$3:$S$219,$D$3:$D$219,Table!$D$3,$O$3:$O$219,C240)-SUM(SUMIFS($S$3:$S$219,$D$3:$D$219,Table!$D$3,$O$3:$O$219,C240,$W$3:$W$219,{"Ongoing","N/A",""}))</f>
        <v>9356</v>
      </c>
      <c r="F240" s="3">
        <f>1/8*(SUMIFS($V$3:$V$219,$D$3:$D$219,Table!$D$3,$O$3:$O$219,C240)-SUM(SUMIFS($V$3:$V$219,$D$3:$D$219,Table!$D$3,$O$3:$O$219,C240,$W$3:$W$219,{"Ongoing","N/A",""})))</f>
        <v>14.397499999999999</v>
      </c>
      <c r="G240" s="3">
        <f>IF(ISERROR(E240/(F240)),"N/A",E240/F240)</f>
        <v>649.83504080569548</v>
      </c>
      <c r="H240" s="6">
        <f>IF(ISERROR(E240/D240),"N/A",E240/D240)</f>
        <v>1</v>
      </c>
    </row>
    <row r="241" spans="2:8" x14ac:dyDescent="0.25">
      <c r="B241" s="3">
        <v>3</v>
      </c>
      <c r="C241" s="40" t="s">
        <v>87</v>
      </c>
      <c r="D241" s="3">
        <f>SUMIFS($S$3:$S$219,$D$3:$D$219,Table!$D$3,$O$3:$O$219,C241)</f>
        <v>9292</v>
      </c>
      <c r="E241" s="3">
        <f>SUMIFS($S$3:$S$219,$D$3:$D$219,Table!$D$3,$O$3:$O$219,C241)-SUM(SUMIFS($S$3:$S$219,$D$3:$D$219,Table!$D$3,$O$3:$O$219,C241,$W$3:$W$219,{"Ongoing","N/A",""}))</f>
        <v>9248</v>
      </c>
      <c r="F241" s="3">
        <f>1/8*(SUMIFS($V$3:$V$219,$D$3:$D$219,Table!$D$3,$O$3:$O$219,C241)-SUM(SUMIFS($V$3:$V$219,$D$3:$D$219,Table!$D$3,$O$3:$O$219,C241,$W$3:$W$219,{"Ongoing","N/A",""})))</f>
        <v>18.686250000000001</v>
      </c>
      <c r="G241" s="3">
        <f>IF(ISERROR(E241/(F241)),"N/A",E241/F241)</f>
        <v>494.90935848551737</v>
      </c>
      <c r="H241" s="6">
        <f>IF(ISERROR(E241/D241),"N/A",E241/D241)</f>
        <v>0.99526474386569097</v>
      </c>
    </row>
    <row r="242" spans="2:8" x14ac:dyDescent="0.25">
      <c r="B242" s="3">
        <v>4</v>
      </c>
      <c r="C242" s="40" t="s">
        <v>88</v>
      </c>
      <c r="D242" s="3">
        <f>SUMIFS($S$3:$S$219,$D$3:$D$219,Table!$D$3,$O$3:$O$219,C242)</f>
        <v>10982</v>
      </c>
      <c r="E242" s="3">
        <f>SUMIFS($S$3:$S$219,$D$3:$D$219,Table!$D$3,$O$3:$O$219,C242)-SUM(SUMIFS($S$3:$S$219,$D$3:$D$219,Table!$D$3,$O$3:$O$219,C242,$W$3:$W$219,{"Ongoing","N/A",""}))</f>
        <v>10328</v>
      </c>
      <c r="F242" s="3">
        <f>1/8*(SUMIFS($V$3:$V$219,$D$3:$D$219,Table!$D$3,$O$3:$O$219,C242)-SUM(SUMIFS($V$3:$V$219,$D$3:$D$219,Table!$D$3,$O$3:$O$219,C242,$W$3:$W$219,{"Ongoing","N/A",""})))</f>
        <v>13.961250000000003</v>
      </c>
      <c r="G242" s="3">
        <f>IF(ISERROR(E242/(F242)),"N/A",E242/F242)</f>
        <v>739.76184080938299</v>
      </c>
      <c r="H242" s="6">
        <f>IF(ISERROR(E242/D242),"N/A",E242/D242)</f>
        <v>0.94044800582771804</v>
      </c>
    </row>
    <row r="243" spans="2:8" x14ac:dyDescent="0.25">
      <c r="B243" s="2" t="s">
        <v>322</v>
      </c>
      <c r="C243" s="40"/>
      <c r="D243" s="112">
        <f>SUMIFS($S$3:$S$219,$D$3:$D$219,Table!$D$3)</f>
        <v>38531</v>
      </c>
      <c r="E243" s="112">
        <f>SUMIFS($T$3:$T$219,$D$3:$D$219,Table!$D$3)-SUM(SUMIFS($T$3:$T$219,$D$3:$D$219,Table!$D$3,$W$3:$W$219,{"Ongoing","N/A",""}))</f>
        <v>37833</v>
      </c>
      <c r="F243" s="112">
        <f>1/8*(SUMIFS($V$3:$V$219,$D$3:$D$219,Table!$D$3)-SUM(SUMIFS($V$3:$V$219,$D$3:$D$219,Table!$D$3,$W$3:$W$219,{"Ongoing","N/A",""})))</f>
        <v>64.986250000000013</v>
      </c>
      <c r="G243" s="3">
        <f>IF(ISERROR(E243/(F243)),"N/A",E243/F243)</f>
        <v>582.16930504529796</v>
      </c>
      <c r="H243" s="6">
        <f>IF(ISERROR(E243/D243),"N/A",E243/D243)</f>
        <v>0.98188471620253825</v>
      </c>
    </row>
    <row r="246" spans="2:8" x14ac:dyDescent="0.25">
      <c r="B246" s="1" t="s">
        <v>323</v>
      </c>
    </row>
    <row r="247" spans="2:8" x14ac:dyDescent="0.25">
      <c r="B247" s="2" t="s">
        <v>0</v>
      </c>
      <c r="C247" s="2" t="s">
        <v>7</v>
      </c>
      <c r="D247" s="2" t="s">
        <v>465</v>
      </c>
      <c r="E247" s="2" t="s">
        <v>58</v>
      </c>
      <c r="F247" s="2" t="s">
        <v>466</v>
      </c>
      <c r="G247" s="2" t="s">
        <v>22</v>
      </c>
      <c r="H247" s="4" t="s">
        <v>24</v>
      </c>
    </row>
    <row r="248" spans="2:8" x14ac:dyDescent="0.25">
      <c r="B248" s="3">
        <v>1</v>
      </c>
      <c r="C248" s="40" t="s">
        <v>85</v>
      </c>
      <c r="D248" s="3">
        <f>SUM(D230*Table!$D$4/Table!$C$4,D239)</f>
        <v>10102.153846153846</v>
      </c>
      <c r="E248" s="3">
        <f>SUM(E230*Table!$D$4/Table!$C$4,E239)</f>
        <v>10102.153846153846</v>
      </c>
      <c r="F248" s="3">
        <f ca="1">IF(OR(Template_Weekly_Report!E32="-",Template_Weekly_Report!E32=""),Template_Weekly_Report!$B$3,Template_Weekly_Report!$B$3-Template_Weekly_Report!E32)</f>
        <v>21.25</v>
      </c>
      <c r="G248" s="3">
        <f ca="1">IF(ISERROR(E248/(F248)),"N/A",E248/F248)</f>
        <v>475.39547511312213</v>
      </c>
      <c r="H248" s="6">
        <f>IF(ISERROR(E248/D248),"N/A",E248/D248)</f>
        <v>1</v>
      </c>
    </row>
    <row r="249" spans="2:8" x14ac:dyDescent="0.25">
      <c r="B249" s="3">
        <v>2</v>
      </c>
      <c r="C249" s="40" t="s">
        <v>86</v>
      </c>
      <c r="D249" s="3">
        <f>SUM(D231*Table!$D$4/Table!$C$4,D240)</f>
        <v>9986</v>
      </c>
      <c r="E249" s="3">
        <f>SUM(E231*Table!$D$4/Table!$C$4,E240)</f>
        <v>9986</v>
      </c>
      <c r="F249" s="3">
        <f ca="1">IF(OR(Template_Weekly_Report!E33="-",Template_Weekly_Report!E33=""),Template_Weekly_Report!$B$3,Template_Weekly_Report!$B$3-Template_Weekly_Report!E33)</f>
        <v>20.25</v>
      </c>
      <c r="G249" s="3">
        <f ca="1">IF(ISERROR(E249/(F249)),"N/A",E249/F249)</f>
        <v>493.1358024691358</v>
      </c>
      <c r="H249" s="6">
        <f>IF(ISERROR(E249/D249),"N/A",E249/D249)</f>
        <v>1</v>
      </c>
    </row>
    <row r="250" spans="2:8" x14ac:dyDescent="0.25">
      <c r="B250" s="3">
        <v>3</v>
      </c>
      <c r="C250" s="40" t="s">
        <v>87</v>
      </c>
      <c r="D250" s="3">
        <f>SUM(D232*Table!$D$4/Table!$C$4,D241)</f>
        <v>9593.1538461538457</v>
      </c>
      <c r="E250" s="3">
        <f>SUM(E232*Table!$D$4/Table!$C$4,E241)</f>
        <v>9549.1538461538457</v>
      </c>
      <c r="F250" s="3">
        <f ca="1">IF(OR(Template_Weekly_Report!E34="-",Template_Weekly_Report!E34=""),Template_Weekly_Report!$B$3,Template_Weekly_Report!$B$3-Template_Weekly_Report!E34)</f>
        <v>20.25</v>
      </c>
      <c r="G250" s="3">
        <f ca="1">IF(ISERROR(E250/(F250)),"N/A",E250/F250)</f>
        <v>471.5631528964862</v>
      </c>
      <c r="H250" s="6">
        <f>IF(ISERROR(E250/D250),"N/A",E250/D250)</f>
        <v>0.99541339577102261</v>
      </c>
    </row>
    <row r="251" spans="2:8" x14ac:dyDescent="0.25">
      <c r="B251" s="3">
        <v>4</v>
      </c>
      <c r="C251" s="40" t="s">
        <v>88</v>
      </c>
      <c r="D251" s="3">
        <f>SUM(D233*Table!$D$4/Table!$C$4,D242)</f>
        <v>11130.846153846154</v>
      </c>
      <c r="E251" s="3">
        <f>SUM(E233*Table!$D$4/Table!$C$4,E242)</f>
        <v>10476.846153846154</v>
      </c>
      <c r="F251" s="3">
        <f ca="1">IF(OR(Template_Weekly_Report!E35="-",Template_Weekly_Report!E35=""),Template_Weekly_Report!$B$3,Template_Weekly_Report!$B$3-Template_Weekly_Report!E35)</f>
        <v>21.25</v>
      </c>
      <c r="G251" s="3">
        <f ca="1">IF(ISERROR(E251/(F251)),"N/A",E251/F251)</f>
        <v>493.02805429864253</v>
      </c>
      <c r="H251" s="6">
        <f>IF(ISERROR(E251/D251),"N/A",E251/D251)</f>
        <v>0.94124435905764303</v>
      </c>
    </row>
    <row r="252" spans="2:8" x14ac:dyDescent="0.25">
      <c r="B252" s="2" t="s">
        <v>322</v>
      </c>
      <c r="C252" s="40"/>
      <c r="D252" s="3">
        <f>SUM(D248:D251)</f>
        <v>40812.153846153844</v>
      </c>
      <c r="E252" s="3">
        <f>SUM(E248:E251)</f>
        <v>40114.153846153844</v>
      </c>
      <c r="F252" s="3">
        <f ca="1">Template_Weekly_Report!B3*COUNTA(C248:C251)</f>
        <v>85</v>
      </c>
      <c r="G252" s="3">
        <f ca="1">IF(ISERROR(E252/(F252)),"N/A",E252/F252)</f>
        <v>471.93122171945697</v>
      </c>
      <c r="H252" s="6">
        <f t="shared" ref="H252" si="31">IF(ISERROR(E252/D252),"N/A",E252/D252)</f>
        <v>0.98289725157287233</v>
      </c>
    </row>
  </sheetData>
  <customSheetViews>
    <customSheetView guid="{7E0EA425-A420-4443-B9E0-CDF0AA9E5D09}" scale="85" topLeftCell="A185">
      <selection activeCell="I206" sqref="I206"/>
      <pageMargins left="0.7" right="0.7" top="0.75" bottom="0.75" header="0.3" footer="0.3"/>
      <pageSetup orientation="portrait" r:id="rId1"/>
    </customSheetView>
    <customSheetView guid="{7ECC2B8E-6A82-42F5-8AB0-4A51C54EA5EC}" hiddenColumns="1" topLeftCell="O28">
      <selection activeCell="AG47" sqref="AG47"/>
      <pageMargins left="0.7" right="0.7" top="0.75" bottom="0.75" header="0.3" footer="0.3"/>
      <pageSetup orientation="portrait" r:id="rId2"/>
    </customSheetView>
    <customSheetView guid="{250915DF-0B97-45D7-B29D-7EED4C89C1C1}" topLeftCell="M52">
      <selection activeCell="X76" sqref="X76"/>
      <pageMargins left="0.7" right="0.7" top="0.75" bottom="0.75" header="0.3" footer="0.3"/>
      <pageSetup orientation="portrait" r:id="rId3"/>
    </customSheetView>
    <customSheetView guid="{4E06BDBF-2CED-473B-850B-2A6C7311FF41}" scale="85" filter="1" showAutoFilter="1" topLeftCell="A102">
      <selection activeCell="F19" sqref="F19"/>
      <pageMargins left="0.7" right="0.7" top="0.75" bottom="0.75" header="0.3" footer="0.3"/>
      <pageSetup orientation="portrait" r:id="rId4"/>
      <autoFilter ref="A2:AG225">
        <filterColumn colId="14">
          <filters>
            <filter val="thanh.nguyen-kim"/>
          </filters>
        </filterColumn>
      </autoFilter>
    </customSheetView>
    <customSheetView guid="{72A6EB0A-84D5-4B8A-AC51-54CCD061630B}" scale="85" filter="1" showAutoFilter="1" topLeftCell="A37">
      <selection activeCell="H111" activeCellId="13" sqref="A2:AG2 A4:AG4 A9:AG9 A11:AG12 A14:AG14 A16:AG17 A21:AG22 A24:AG24 A37:AG43 A91:AG91 A93:AG94 A96:AG96 A108:AG108 A111:AG113 A115:AG115 A117:AG117 A122:AG122 A125:AG126 A130:AG131 A133:AG137 A139:AG139 A154:AG154 A157:AG157 A160:AG160 A164:AG164 A170:AG170 A172:AG172 A174:AG174 A176:AG176 A191:AG197 A2:AG2 A4:AG4 A9:AG9 A11:AG12 A14:AG14 A16:AG17 A21:AG22 A24:AG24 A37:AG43 A91:AG91 A93:AG94 A96:AG96 A108:AG108 A111:AG113 A115:AG115 A117:AG117 A122:AG122 A125:AG126 A130:AG131 A133:AG137 A139:AG139 A154:AG154 A157:AG157 A160:AG160 A164:AG164 A170:AG170 A172:AG172 A174:AG174 A176:AG176 A191:AG197 A226:AG252"/>
      <pageMargins left="0.7" right="0.7" top="0.75" bottom="0.75" header="0.3" footer="0.3"/>
      <pageSetup orientation="portrait" r:id="rId5"/>
      <autoFilter ref="A2:AG225">
        <filterColumn colId="14">
          <filters>
            <filter val="loc.do-phu"/>
          </filters>
        </filterColumn>
      </autoFilter>
    </customSheetView>
    <customSheetView guid="{D1F7047B-CC2E-48BC-8022-C8013AE2B1E1}" scale="85" filter="1" showAutoFilter="1">
      <selection activeCell="H172" sqref="H172"/>
      <pageMargins left="0.7" right="0.7" top="0.75" bottom="0.75" header="0.3" footer="0.3"/>
      <pageSetup orientation="portrait" r:id="rId6"/>
      <autoFilter ref="A2:AG225">
        <filterColumn colId="14">
          <filters>
            <filter val="duong.nguyen"/>
          </filters>
        </filterColumn>
      </autoFilter>
    </customSheetView>
    <customSheetView guid="{60D2C030-4E31-4E07-8E1C-44D2EE84B177}" scale="85" filter="1" showAutoFilter="1" topLeftCell="B2">
      <selection activeCell="K240" sqref="K240"/>
      <pageMargins left="0.7" right="0.7" top="0.75" bottom="0.75" header="0.3" footer="0.3"/>
      <pageSetup orientation="portrait" r:id="rId7"/>
      <autoFilter ref="B2:AG225">
        <filterColumn colId="13">
          <filters>
            <filter val="chung.ly"/>
          </filters>
        </filterColumn>
        <filterColumn colId="23">
          <filters>
            <dateGroupItem year="2020" month="3" day="27" dateTimeGrouping="day"/>
          </filters>
        </filterColumn>
      </autoFilter>
    </customSheetView>
  </customSheetViews>
  <conditionalFormatting sqref="H239:H242 H230:H234">
    <cfRule type="cellIs" dxfId="187" priority="41" operator="equal">
      <formula>1</formula>
    </cfRule>
    <cfRule type="cellIs" dxfId="186" priority="42" operator="lessThan">
      <formula>1</formula>
    </cfRule>
  </conditionalFormatting>
  <conditionalFormatting sqref="AB3:AB129 AB131:AB226">
    <cfRule type="cellIs" dxfId="185" priority="37" operator="equal">
      <formula>"OK"</formula>
    </cfRule>
    <cfRule type="cellIs" dxfId="184" priority="38" operator="equal">
      <formula>"NG"</formula>
    </cfRule>
  </conditionalFormatting>
  <conditionalFormatting sqref="L3:M19 L26:M66">
    <cfRule type="cellIs" dxfId="183" priority="36" operator="equal">
      <formula>"PUT_VERSION"</formula>
    </cfRule>
  </conditionalFormatting>
  <conditionalFormatting sqref="E234">
    <cfRule type="expression" dxfId="182" priority="34">
      <formula>$E$234=SUM($E$230:$E$233)</formula>
    </cfRule>
  </conditionalFormatting>
  <conditionalFormatting sqref="F234">
    <cfRule type="expression" dxfId="181" priority="33">
      <formula>$F$234=SUM($F$230:$F$233)</formula>
    </cfRule>
  </conditionalFormatting>
  <conditionalFormatting sqref="D234:F234">
    <cfRule type="expression" dxfId="180" priority="26">
      <formula>D234=SUM(D230:D233)</formula>
    </cfRule>
  </conditionalFormatting>
  <conditionalFormatting sqref="D243:F243">
    <cfRule type="expression" dxfId="179" priority="25">
      <formula>D243=SUM(D239:D242)</formula>
    </cfRule>
  </conditionalFormatting>
  <conditionalFormatting sqref="H252">
    <cfRule type="cellIs" dxfId="178" priority="21" operator="equal">
      <formula>1</formula>
    </cfRule>
    <cfRule type="cellIs" dxfId="177" priority="22" operator="lessThan">
      <formula>1</formula>
    </cfRule>
  </conditionalFormatting>
  <conditionalFormatting sqref="D3:D226">
    <cfRule type="cellIs" dxfId="176" priority="7" operator="equal">
      <formula>"PSW"</formula>
    </cfRule>
    <cfRule type="cellIs" dxfId="175" priority="8" operator="equal">
      <formula>"ASW"</formula>
    </cfRule>
  </conditionalFormatting>
  <conditionalFormatting sqref="I3:I226">
    <cfRule type="cellIs" dxfId="174" priority="5" operator="equal">
      <formula>"Manual"</formula>
    </cfRule>
    <cfRule type="cellIs" dxfId="173" priority="6" operator="equal">
      <formula>"Auto"</formula>
    </cfRule>
  </conditionalFormatting>
  <conditionalFormatting sqref="AE62">
    <cfRule type="cellIs" dxfId="172" priority="3" operator="equal">
      <formula>"OK"</formula>
    </cfRule>
    <cfRule type="cellIs" dxfId="171" priority="4" operator="equal">
      <formula>"NG"</formula>
    </cfRule>
  </conditionalFormatting>
  <conditionalFormatting sqref="AC62:AD62">
    <cfRule type="cellIs" dxfId="170" priority="1" operator="equal">
      <formula>"OK"</formula>
    </cfRule>
    <cfRule type="cellIs" dxfId="169" priority="2" operator="equal">
      <formula>"NG"</formula>
    </cfRule>
  </conditionalFormatting>
  <dataValidations count="2">
    <dataValidation type="list" allowBlank="1" showInputMessage="1" showErrorMessage="1" sqref="AB3:AB129 AB131:AB226">
      <formula1>"OK,NG"</formula1>
    </dataValidation>
    <dataValidation type="list" allowBlank="1" showInputMessage="1" showErrorMessage="1" sqref="Q3:Q129 Q131:Q226">
      <formula1>"Yes,No"</formula1>
    </dataValidation>
  </dataValidations>
  <pageMargins left="0.7" right="0.7" top="0.75" bottom="0.75" header="0.3" footer="0.3"/>
  <pageSetup orientation="portrait" r:id="rId8"/>
  <legacyDrawing r:id="rId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3" operator="greaterThanOrEqual" id="{A2DBCDAC-112C-4EB1-9137-4C59CE189EE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4" operator="lessThan" id="{F93A1AC6-53A2-4404-902D-A62DCB6880F9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G230:G234</xm:sqref>
        </x14:conditionalFormatting>
        <x14:conditionalFormatting xmlns:xm="http://schemas.microsoft.com/office/excel/2006/main">
          <x14:cfRule type="cellIs" priority="45" operator="greaterThanOrEqual" id="{4226BAC8-183D-4343-90C4-3398666B9C5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6" operator="lessThan" id="{2C456F9B-0386-48E4-B7ED-E463A343237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G239:G242</xm:sqref>
        </x14:conditionalFormatting>
        <x14:conditionalFormatting xmlns:xm="http://schemas.microsoft.com/office/excel/2006/main">
          <x14:cfRule type="cellIs" priority="19" operator="greaterThanOrEqual" id="{295A6A3F-F994-4B6C-A607-5A8443DBFF9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858843E8-38DD-42D4-B994-580FF1BCC371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G248</xm:sqref>
        </x14:conditionalFormatting>
        <x14:conditionalFormatting xmlns:xm="http://schemas.microsoft.com/office/excel/2006/main">
          <x14:cfRule type="cellIs" priority="17" operator="greaterThanOrEqual" id="{7423DD3F-F692-45D2-B638-B8498558E064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8" operator="lessThan" id="{C98FBD78-0665-4EF0-B065-3593F40C10D2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G249</xm:sqref>
        </x14:conditionalFormatting>
        <x14:conditionalFormatting xmlns:xm="http://schemas.microsoft.com/office/excel/2006/main">
          <x14:cfRule type="cellIs" priority="15" operator="greaterThanOrEqual" id="{B69101F0-4D56-48E3-9D00-2F61DFFC752E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6" operator="lessThan" id="{B8B8AF2C-AC92-4273-9306-A80199DA507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G250</xm:sqref>
        </x14:conditionalFormatting>
        <x14:conditionalFormatting xmlns:xm="http://schemas.microsoft.com/office/excel/2006/main">
          <x14:cfRule type="cellIs" priority="13" operator="greaterThanOrEqual" id="{FCF9E5C5-62D2-4FD3-B63D-51B357ACCAA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4" operator="lessThan" id="{66609C48-DA99-444E-9A1A-A50F0C4E62D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G251</xm:sqref>
        </x14:conditionalFormatting>
        <x14:conditionalFormatting xmlns:xm="http://schemas.microsoft.com/office/excel/2006/main">
          <x14:cfRule type="cellIs" priority="11" operator="greaterThanOrEqual" id="{E9C19EB7-CC60-4A09-9A83-07808570EA2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2" operator="lessThan" id="{B9DA6053-4438-4E17-89B9-7BEE810111CC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G252</xm:sqref>
        </x14:conditionalFormatting>
        <x14:conditionalFormatting xmlns:xm="http://schemas.microsoft.com/office/excel/2006/main">
          <x14:cfRule type="cellIs" priority="9" operator="greaterThanOrEqual" id="{19CD7661-893A-4677-8290-16A39E3862D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0" operator="lessThan" id="{484E22E6-AB59-44DB-A327-F56601C3BCA5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Table!$C$13:$C$20</xm:f>
          </x14:formula1>
          <xm:sqref>R89:R102 P89:P102 O103:P129 O3:P88 O131:P226</xm:sqref>
        </x14:dataValidation>
        <x14:dataValidation type="list" allowBlank="1" showInputMessage="1" showErrorMessage="1">
          <x14:formula1>
            <xm:f>Table!$C$24:$C$30</xm:f>
          </x14:formula1>
          <xm:sqref>W3:W129 W131:W226</xm:sqref>
        </x14:dataValidation>
        <x14:dataValidation type="list" allowBlank="1" showInputMessage="1" showErrorMessage="1">
          <x14:formula1>
            <xm:f>Table!$C$34:$C$35</xm:f>
          </x14:formula1>
          <xm:sqref>I3:I225</xm:sqref>
        </x14:dataValidation>
        <x14:dataValidation type="list" allowBlank="1" showInputMessage="1" showErrorMessage="1">
          <x14:formula1>
            <xm:f>Table!$C$8:$C$9</xm:f>
          </x14:formula1>
          <xm:sqref>D3:D226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C39" sqref="C39"/>
    </sheetView>
  </sheetViews>
  <sheetFormatPr defaultRowHeight="15" x14ac:dyDescent="0.25"/>
  <sheetData/>
  <customSheetViews>
    <customSheetView guid="{7E0EA425-A420-4443-B9E0-CDF0AA9E5D09}">
      <selection activeCell="C39" sqref="C39"/>
      <pageMargins left="0.7" right="0.7" top="0.75" bottom="0.75" header="0.3" footer="0.3"/>
    </customSheetView>
    <customSheetView guid="{7ECC2B8E-6A82-42F5-8AB0-4A51C54EA5EC}">
      <selection activeCell="C39" sqref="C39"/>
      <pageMargins left="0.7" right="0.7" top="0.75" bottom="0.75" header="0.3" footer="0.3"/>
    </customSheetView>
    <customSheetView guid="{250915DF-0B97-45D7-B29D-7EED4C89C1C1}">
      <selection activeCell="K28" sqref="K28"/>
      <pageMargins left="0.7" right="0.7" top="0.75" bottom="0.75" header="0.3" footer="0.3"/>
    </customSheetView>
    <customSheetView guid="{4E06BDBF-2CED-473B-850B-2A6C7311FF41}">
      <selection activeCell="C39" sqref="C39"/>
      <pageMargins left="0.7" right="0.7" top="0.75" bottom="0.75" header="0.3" footer="0.3"/>
    </customSheetView>
    <customSheetView guid="{72A6EB0A-84D5-4B8A-AC51-54CCD061630B}">
      <selection activeCell="C39" sqref="C39"/>
      <pageMargins left="0.7" right="0.7" top="0.75" bottom="0.75" header="0.3" footer="0.3"/>
    </customSheetView>
    <customSheetView guid="{D1F7047B-CC2E-48BC-8022-C8013AE2B1E1}">
      <selection activeCell="C39" sqref="C39"/>
      <pageMargins left="0.7" right="0.7" top="0.75" bottom="0.75" header="0.3" footer="0.3"/>
    </customSheetView>
    <customSheetView guid="{60D2C030-4E31-4E07-8E1C-44D2EE84B177}">
      <selection activeCell="C39" sqref="C3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O44"/>
  <sheetViews>
    <sheetView topLeftCell="A10" workbookViewId="0">
      <selection activeCell="D24" sqref="D24"/>
    </sheetView>
  </sheetViews>
  <sheetFormatPr defaultRowHeight="15" x14ac:dyDescent="0.2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  <col min="13" max="13" width="14.85546875" bestFit="1" customWidth="1"/>
    <col min="14" max="14" width="21.140625" bestFit="1" customWidth="1"/>
  </cols>
  <sheetData>
    <row r="1" spans="1:15" x14ac:dyDescent="0.25">
      <c r="A1" s="1" t="s">
        <v>42</v>
      </c>
      <c r="B1" s="114">
        <v>43892</v>
      </c>
      <c r="D1" s="114">
        <v>43921</v>
      </c>
    </row>
    <row r="2" spans="1:15" x14ac:dyDescent="0.25">
      <c r="A2" s="1" t="s">
        <v>30</v>
      </c>
      <c r="B2" s="9">
        <f>SUM(INT((WEEKDAY(B1-{2,3,4,5,6}) +D1-B1)/7))</f>
        <v>22</v>
      </c>
    </row>
    <row r="3" spans="1:15" x14ac:dyDescent="0.25">
      <c r="A3" s="1" t="s">
        <v>321</v>
      </c>
      <c r="B3">
        <f ca="1">IF(TODAY()&lt;D1,SUM(INT((WEEKDAY(B1-{2,3,4,5,6})+TODAY()-B1)/7)),SUM(INT((WEEKDAY(B1-{2,3,4,5,6})+D1-B1)/7)))-0.75</f>
        <v>21.25</v>
      </c>
    </row>
    <row r="5" spans="1:15" x14ac:dyDescent="0.25">
      <c r="B5" s="1" t="s">
        <v>34</v>
      </c>
      <c r="J5" s="1" t="s">
        <v>907</v>
      </c>
    </row>
    <row r="6" spans="1:15" ht="75" x14ac:dyDescent="0.25">
      <c r="C6" s="12" t="s">
        <v>25</v>
      </c>
      <c r="D6" s="12" t="s">
        <v>26</v>
      </c>
      <c r="E6" s="12" t="s">
        <v>27</v>
      </c>
      <c r="F6" s="12" t="s">
        <v>28</v>
      </c>
      <c r="G6" s="13" t="s">
        <v>29</v>
      </c>
      <c r="K6" s="172" t="s">
        <v>25</v>
      </c>
      <c r="L6" s="172" t="s">
        <v>26</v>
      </c>
      <c r="M6" s="172" t="s">
        <v>27</v>
      </c>
      <c r="N6" s="172" t="s">
        <v>28</v>
      </c>
      <c r="O6" s="13" t="s">
        <v>29</v>
      </c>
    </row>
    <row r="7" spans="1:15" x14ac:dyDescent="0.25">
      <c r="C7" s="10">
        <v>1</v>
      </c>
      <c r="D7" s="11" t="s">
        <v>3</v>
      </c>
      <c r="E7" s="11">
        <f>COEM_Package_20200302!D243</f>
        <v>38531</v>
      </c>
      <c r="F7" s="11">
        <f>COEM_Package_20200302!E243</f>
        <v>37833</v>
      </c>
      <c r="G7" s="118">
        <f>F7/E7</f>
        <v>0.98188471620253825</v>
      </c>
      <c r="K7" s="10">
        <v>1</v>
      </c>
      <c r="L7" s="11" t="s">
        <v>3</v>
      </c>
      <c r="M7" s="11">
        <f>COEM_Package_20200302!D243+COEM_Package_20200401!D126</f>
        <v>54679</v>
      </c>
      <c r="N7" s="11">
        <f>COEM_Package_20200302!E243+COEM_Package_20200401!E126</f>
        <v>52030</v>
      </c>
      <c r="O7" s="178">
        <f>N7/M7</f>
        <v>0.95155361290440577</v>
      </c>
    </row>
    <row r="8" spans="1:15" x14ac:dyDescent="0.25">
      <c r="C8" s="10">
        <v>2</v>
      </c>
      <c r="D8" s="11" t="s">
        <v>2</v>
      </c>
      <c r="E8" s="11">
        <f>COEM_Package_20200302!D234</f>
        <v>659</v>
      </c>
      <c r="F8" s="11">
        <f>COEM_Package_20200302!E234</f>
        <v>659</v>
      </c>
      <c r="G8" s="118">
        <f>F8/E8</f>
        <v>1</v>
      </c>
      <c r="K8" s="10">
        <v>2</v>
      </c>
      <c r="L8" s="11" t="s">
        <v>2</v>
      </c>
      <c r="M8" s="11">
        <f>COEM_Package_20200302!D234+COEM_Package_20200401!D117</f>
        <v>720</v>
      </c>
      <c r="N8" s="11">
        <f>COEM_Package_20200302!E234+COEM_Package_20200401!E117</f>
        <v>720</v>
      </c>
      <c r="O8" s="179">
        <f>N8/M8</f>
        <v>1</v>
      </c>
    </row>
    <row r="10" spans="1:15" x14ac:dyDescent="0.25">
      <c r="B10" s="1" t="s">
        <v>35</v>
      </c>
      <c r="J10" s="1" t="s">
        <v>908</v>
      </c>
    </row>
    <row r="11" spans="1:15" ht="30" x14ac:dyDescent="0.25">
      <c r="C11" s="110" t="s">
        <v>25</v>
      </c>
      <c r="D11" s="110" t="s">
        <v>31</v>
      </c>
      <c r="E11" s="13" t="s">
        <v>32</v>
      </c>
      <c r="F11" s="13" t="s">
        <v>33</v>
      </c>
      <c r="K11" s="172" t="s">
        <v>25</v>
      </c>
      <c r="L11" s="172" t="s">
        <v>31</v>
      </c>
      <c r="M11" s="13" t="s">
        <v>32</v>
      </c>
      <c r="N11" s="13" t="s">
        <v>33</v>
      </c>
    </row>
    <row r="12" spans="1:15" x14ac:dyDescent="0.25">
      <c r="C12" s="7">
        <v>1</v>
      </c>
      <c r="D12" s="7" t="s">
        <v>467</v>
      </c>
      <c r="E12" s="11">
        <f>COEM_Package_20200302!E239</f>
        <v>8901</v>
      </c>
      <c r="F12" s="11">
        <f>COEM_Package_20200302!E230</f>
        <v>347</v>
      </c>
      <c r="K12" s="111">
        <v>1</v>
      </c>
      <c r="L12" s="111" t="s">
        <v>467</v>
      </c>
      <c r="M12" s="11">
        <f>COEM_Package_20200302!E239+COEM_Package_20200401!E122</f>
        <v>11783</v>
      </c>
      <c r="N12" s="11">
        <f>COEM_Package_20200302!E230+COEM_Package_20200401!E113</f>
        <v>408</v>
      </c>
    </row>
    <row r="13" spans="1:15" x14ac:dyDescent="0.25">
      <c r="C13" s="7">
        <v>2</v>
      </c>
      <c r="D13" s="61" t="s">
        <v>468</v>
      </c>
      <c r="E13" s="11">
        <f>COEM_Package_20200302!E240</f>
        <v>9356</v>
      </c>
      <c r="F13" s="11">
        <f>COEM_Package_20200302!E231</f>
        <v>182</v>
      </c>
      <c r="K13" s="111">
        <v>2</v>
      </c>
      <c r="L13" s="111" t="s">
        <v>468</v>
      </c>
      <c r="M13" s="11">
        <f>COEM_Package_20200302!E240+COEM_Package_20200401!E123</f>
        <v>13610</v>
      </c>
      <c r="N13" s="11">
        <f>COEM_Package_20200302!E231+COEM_Package_20200401!E114</f>
        <v>182</v>
      </c>
    </row>
    <row r="14" spans="1:15" x14ac:dyDescent="0.25">
      <c r="C14" s="61">
        <v>3</v>
      </c>
      <c r="D14" s="61" t="s">
        <v>469</v>
      </c>
      <c r="E14" s="11">
        <f>COEM_Package_20200302!E241</f>
        <v>9248</v>
      </c>
      <c r="F14" s="11">
        <f>COEM_Package_20200302!E232</f>
        <v>87</v>
      </c>
      <c r="K14" s="111">
        <v>3</v>
      </c>
      <c r="L14" s="111" t="s">
        <v>469</v>
      </c>
      <c r="M14" s="11">
        <f>COEM_Package_20200302!E241+COEM_Package_20200401!E124</f>
        <v>13266</v>
      </c>
      <c r="N14" s="11">
        <f>COEM_Package_20200302!E232+COEM_Package_20200401!E115</f>
        <v>87</v>
      </c>
    </row>
    <row r="15" spans="1:15" x14ac:dyDescent="0.25">
      <c r="C15" s="61">
        <v>4</v>
      </c>
      <c r="D15" s="61" t="s">
        <v>470</v>
      </c>
      <c r="E15" s="11">
        <f>COEM_Package_20200302!E242</f>
        <v>10328</v>
      </c>
      <c r="F15" s="11">
        <f>COEM_Package_20200302!D233</f>
        <v>43</v>
      </c>
      <c r="K15" s="111">
        <v>4</v>
      </c>
      <c r="L15" s="111" t="s">
        <v>470</v>
      </c>
      <c r="M15" s="11">
        <f>COEM_Package_20200302!E242+COEM_Package_20200401!E125</f>
        <v>13455</v>
      </c>
      <c r="N15" s="11">
        <f>COEM_Package_20200302!E233+COEM_Package_20200401!E116</f>
        <v>43</v>
      </c>
    </row>
    <row r="16" spans="1:15" x14ac:dyDescent="0.25">
      <c r="C16" s="66"/>
      <c r="D16" s="66"/>
      <c r="E16" s="67"/>
      <c r="F16" s="67"/>
    </row>
    <row r="18" spans="2:15" x14ac:dyDescent="0.25">
      <c r="B18" s="1" t="s">
        <v>36</v>
      </c>
      <c r="J18" s="1" t="s">
        <v>36</v>
      </c>
    </row>
    <row r="19" spans="2:15" ht="30" customHeight="1" x14ac:dyDescent="0.25">
      <c r="C19" s="110" t="s">
        <v>25</v>
      </c>
      <c r="D19" s="198" t="s">
        <v>37</v>
      </c>
      <c r="E19" s="199"/>
      <c r="F19" s="199"/>
      <c r="G19" s="200"/>
      <c r="K19" s="172" t="s">
        <v>25</v>
      </c>
      <c r="L19" s="169" t="s">
        <v>37</v>
      </c>
      <c r="M19" s="170"/>
      <c r="N19" s="170"/>
      <c r="O19" s="171"/>
    </row>
    <row r="20" spans="2:15" x14ac:dyDescent="0.25">
      <c r="C20" s="111">
        <v>1</v>
      </c>
      <c r="D20" s="115" t="s">
        <v>745</v>
      </c>
      <c r="E20" s="116"/>
      <c r="F20" s="116"/>
      <c r="G20" s="117"/>
      <c r="K20" s="111">
        <v>1</v>
      </c>
      <c r="L20" s="115" t="s">
        <v>906</v>
      </c>
      <c r="M20" s="116"/>
      <c r="N20" s="116"/>
      <c r="O20" s="117"/>
    </row>
    <row r="22" spans="2:15" x14ac:dyDescent="0.25">
      <c r="B22" s="1" t="s">
        <v>38</v>
      </c>
      <c r="J22" s="1" t="s">
        <v>38</v>
      </c>
    </row>
    <row r="23" spans="2:15" ht="30" customHeight="1" x14ac:dyDescent="0.25">
      <c r="C23" s="103" t="s">
        <v>25</v>
      </c>
      <c r="D23" s="103" t="s">
        <v>31</v>
      </c>
      <c r="E23" s="13" t="s">
        <v>458</v>
      </c>
      <c r="F23" s="13" t="s">
        <v>459</v>
      </c>
      <c r="K23" s="172" t="s">
        <v>25</v>
      </c>
      <c r="L23" s="172" t="s">
        <v>31</v>
      </c>
      <c r="M23" s="13" t="s">
        <v>458</v>
      </c>
      <c r="N23" s="13" t="s">
        <v>459</v>
      </c>
    </row>
    <row r="24" spans="2:15" x14ac:dyDescent="0.25">
      <c r="C24" s="104">
        <v>1</v>
      </c>
      <c r="D24" s="104" t="s">
        <v>467</v>
      </c>
      <c r="E24" s="68">
        <v>7</v>
      </c>
      <c r="F24" s="11">
        <v>1</v>
      </c>
      <c r="K24" s="111">
        <v>1</v>
      </c>
      <c r="L24" s="111" t="s">
        <v>467</v>
      </c>
      <c r="M24" s="68">
        <v>7</v>
      </c>
      <c r="N24" s="11">
        <v>1</v>
      </c>
    </row>
    <row r="25" spans="2:15" x14ac:dyDescent="0.25">
      <c r="C25" s="104">
        <v>2</v>
      </c>
      <c r="D25" s="104" t="s">
        <v>468</v>
      </c>
      <c r="E25" s="68">
        <v>9</v>
      </c>
      <c r="F25" s="11">
        <v>0</v>
      </c>
      <c r="K25" s="111">
        <v>2</v>
      </c>
      <c r="L25" s="111" t="s">
        <v>468</v>
      </c>
      <c r="M25" s="68">
        <v>10</v>
      </c>
      <c r="N25" s="11">
        <v>0</v>
      </c>
    </row>
    <row r="26" spans="2:15" x14ac:dyDescent="0.25">
      <c r="C26" s="104">
        <v>3</v>
      </c>
      <c r="D26" s="104" t="s">
        <v>469</v>
      </c>
      <c r="E26" s="11">
        <v>6</v>
      </c>
      <c r="F26" s="68">
        <v>0</v>
      </c>
      <c r="K26" s="111">
        <v>3</v>
      </c>
      <c r="L26" s="111" t="s">
        <v>469</v>
      </c>
      <c r="M26" s="11">
        <v>6</v>
      </c>
      <c r="N26" s="68">
        <v>0</v>
      </c>
    </row>
    <row r="27" spans="2:15" x14ac:dyDescent="0.25">
      <c r="C27" s="104">
        <v>4</v>
      </c>
      <c r="D27" s="104" t="s">
        <v>470</v>
      </c>
      <c r="E27" s="11">
        <v>8</v>
      </c>
      <c r="F27" s="11">
        <v>1</v>
      </c>
      <c r="K27" s="111">
        <v>4</v>
      </c>
      <c r="L27" s="111" t="s">
        <v>470</v>
      </c>
      <c r="M27" s="11">
        <v>8</v>
      </c>
      <c r="N27" s="11">
        <v>1</v>
      </c>
    </row>
    <row r="28" spans="2:15" x14ac:dyDescent="0.25">
      <c r="C28" s="66"/>
      <c r="D28" s="66"/>
      <c r="E28" s="66"/>
      <c r="F28" s="66"/>
      <c r="G28" s="66"/>
      <c r="K28" s="66"/>
      <c r="L28" s="66"/>
      <c r="M28" s="66"/>
      <c r="N28" s="66"/>
      <c r="O28" s="66"/>
    </row>
    <row r="30" spans="2:15" x14ac:dyDescent="0.25">
      <c r="B30" s="1" t="s">
        <v>680</v>
      </c>
      <c r="J30" s="1" t="s">
        <v>680</v>
      </c>
    </row>
    <row r="31" spans="2:15" x14ac:dyDescent="0.25">
      <c r="C31" s="12" t="s">
        <v>25</v>
      </c>
      <c r="D31" s="12" t="s">
        <v>31</v>
      </c>
      <c r="E31" s="13" t="s">
        <v>40</v>
      </c>
      <c r="F31" s="13" t="s">
        <v>41</v>
      </c>
      <c r="K31" s="172" t="s">
        <v>25</v>
      </c>
      <c r="L31" s="172" t="s">
        <v>31</v>
      </c>
      <c r="M31" s="13" t="s">
        <v>40</v>
      </c>
      <c r="N31" s="13" t="s">
        <v>41</v>
      </c>
    </row>
    <row r="32" spans="2:15" x14ac:dyDescent="0.25">
      <c r="C32" s="7">
        <v>1</v>
      </c>
      <c r="D32" s="61" t="s">
        <v>467</v>
      </c>
      <c r="E32" s="68" t="s">
        <v>76</v>
      </c>
      <c r="F32" s="108" t="s">
        <v>76</v>
      </c>
      <c r="K32" s="111">
        <v>1</v>
      </c>
      <c r="L32" s="111" t="s">
        <v>467</v>
      </c>
      <c r="M32" s="68" t="s">
        <v>76</v>
      </c>
      <c r="N32" s="108" t="s">
        <v>76</v>
      </c>
    </row>
    <row r="33" spans="2:14" x14ac:dyDescent="0.25">
      <c r="C33" s="61">
        <v>2</v>
      </c>
      <c r="D33" s="61" t="s">
        <v>468</v>
      </c>
      <c r="E33" s="68">
        <v>1</v>
      </c>
      <c r="F33" s="108" t="s">
        <v>678</v>
      </c>
      <c r="K33" s="111">
        <v>2</v>
      </c>
      <c r="L33" s="111" t="s">
        <v>468</v>
      </c>
      <c r="M33" s="68">
        <v>1</v>
      </c>
      <c r="N33" s="108" t="s">
        <v>905</v>
      </c>
    </row>
    <row r="34" spans="2:14" x14ac:dyDescent="0.25">
      <c r="C34" s="61">
        <v>3</v>
      </c>
      <c r="D34" s="61" t="s">
        <v>469</v>
      </c>
      <c r="E34" s="11">
        <v>1</v>
      </c>
      <c r="F34" s="108" t="s">
        <v>464</v>
      </c>
      <c r="K34" s="111">
        <v>3</v>
      </c>
      <c r="L34" s="111" t="s">
        <v>469</v>
      </c>
      <c r="M34" s="11">
        <v>1</v>
      </c>
      <c r="N34" s="108" t="s">
        <v>464</v>
      </c>
    </row>
    <row r="35" spans="2:14" x14ac:dyDescent="0.25">
      <c r="C35" s="61">
        <v>4</v>
      </c>
      <c r="D35" s="61" t="s">
        <v>470</v>
      </c>
      <c r="E35" s="11" t="s">
        <v>76</v>
      </c>
      <c r="F35" s="61" t="s">
        <v>76</v>
      </c>
      <c r="K35" s="111">
        <v>4</v>
      </c>
      <c r="L35" s="111" t="s">
        <v>470</v>
      </c>
      <c r="M35" s="11">
        <v>1</v>
      </c>
      <c r="N35" s="108" t="s">
        <v>904</v>
      </c>
    </row>
    <row r="36" spans="2:14" x14ac:dyDescent="0.25">
      <c r="C36" s="66"/>
      <c r="D36" s="66"/>
      <c r="E36" s="67"/>
      <c r="F36" s="66"/>
    </row>
    <row r="38" spans="2:14" x14ac:dyDescent="0.25">
      <c r="B38" s="1" t="s">
        <v>43</v>
      </c>
    </row>
    <row r="39" spans="2:14" x14ac:dyDescent="0.25">
      <c r="C39" s="1" t="s">
        <v>46</v>
      </c>
    </row>
    <row r="40" spans="2:14" x14ac:dyDescent="0.25">
      <c r="D40" t="s">
        <v>44</v>
      </c>
    </row>
    <row r="41" spans="2:14" x14ac:dyDescent="0.25">
      <c r="D41" t="s">
        <v>45</v>
      </c>
    </row>
    <row r="42" spans="2:14" x14ac:dyDescent="0.25">
      <c r="C42" s="1" t="s">
        <v>47</v>
      </c>
    </row>
    <row r="43" spans="2:14" x14ac:dyDescent="0.25">
      <c r="D43" t="s">
        <v>48</v>
      </c>
    </row>
    <row r="44" spans="2:14" x14ac:dyDescent="0.25">
      <c r="D44" t="s">
        <v>49</v>
      </c>
    </row>
  </sheetData>
  <customSheetViews>
    <customSheetView guid="{7E0EA425-A420-4443-B9E0-CDF0AA9E5D09}" topLeftCell="A10">
      <selection activeCell="D24" sqref="D24"/>
      <pageMargins left="0.7" right="0.7" top="0.75" bottom="0.75" header="0.3" footer="0.3"/>
    </customSheetView>
    <customSheetView guid="{7ECC2B8E-6A82-42F5-8AB0-4A51C54EA5EC}">
      <selection activeCell="H33" sqref="H33"/>
      <pageMargins left="0.7" right="0.7" top="0.75" bottom="0.75" header="0.3" footer="0.3"/>
    </customSheetView>
    <customSheetView guid="{250915DF-0B97-45D7-B29D-7EED4C89C1C1}">
      <selection sqref="A1:G47"/>
      <pageMargins left="0.7" right="0.7" top="0.75" bottom="0.75" header="0.3" footer="0.3"/>
      <pageSetup orientation="portrait" r:id="rId1"/>
    </customSheetView>
    <customSheetView guid="{4E06BDBF-2CED-473B-850B-2A6C7311FF41}">
      <selection activeCell="A21" sqref="A21:XFD21"/>
      <pageMargins left="0.7" right="0.7" top="0.75" bottom="0.75" header="0.3" footer="0.3"/>
    </customSheetView>
    <customSheetView guid="{72A6EB0A-84D5-4B8A-AC51-54CCD061630B}">
      <selection activeCell="E28" sqref="E28"/>
      <pageMargins left="0.7" right="0.7" top="0.75" bottom="0.75" header="0.3" footer="0.3"/>
    </customSheetView>
    <customSheetView guid="{D1F7047B-CC2E-48BC-8022-C8013AE2B1E1}">
      <selection activeCell="E28" sqref="E28"/>
      <pageMargins left="0.7" right="0.7" top="0.75" bottom="0.75" header="0.3" footer="0.3"/>
    </customSheetView>
    <customSheetView guid="{60D2C030-4E31-4E07-8E1C-44D2EE84B177}" topLeftCell="A16">
      <selection activeCell="D6" sqref="D6"/>
      <pageMargins left="0.7" right="0.7" top="0.75" bottom="0.75" header="0.3" footer="0.3"/>
    </customSheetView>
  </customSheetViews>
  <mergeCells count="1">
    <mergeCell ref="D19:G19"/>
  </mergeCells>
  <conditionalFormatting sqref="G7">
    <cfRule type="cellIs" dxfId="152" priority="3" operator="equal">
      <formula>1</formula>
    </cfRule>
    <cfRule type="cellIs" dxfId="151" priority="4" operator="lessThan">
      <formula>1</formula>
    </cfRule>
  </conditionalFormatting>
  <conditionalFormatting sqref="G8">
    <cfRule type="cellIs" dxfId="150" priority="1" operator="equal">
      <formula>1</formula>
    </cfRule>
    <cfRule type="cellIs" dxfId="149" priority="2" operator="less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AJ135"/>
  <sheetViews>
    <sheetView tabSelected="1" zoomScale="85" zoomScaleNormal="70" workbookViewId="0">
      <selection activeCell="F21" sqref="F21"/>
    </sheetView>
  </sheetViews>
  <sheetFormatPr defaultRowHeight="15" x14ac:dyDescent="0.25"/>
  <cols>
    <col min="3" max="3" width="17.85546875" bestFit="1" customWidth="1"/>
    <col min="4" max="4" width="17.42578125" customWidth="1"/>
    <col min="5" max="5" width="43.140625" bestFit="1" customWidth="1"/>
    <col min="6" max="6" width="123.85546875" customWidth="1"/>
    <col min="7" max="7" width="22.7109375" customWidth="1"/>
    <col min="8" max="8" width="52.5703125" customWidth="1"/>
    <col min="9" max="9" width="16.85546875" customWidth="1"/>
    <col min="10" max="10" width="18.140625" style="153" customWidth="1"/>
    <col min="11" max="11" width="49.28515625" bestFit="1" customWidth="1"/>
    <col min="12" max="12" width="13.140625" customWidth="1"/>
    <col min="13" max="13" width="66.28515625" bestFit="1" customWidth="1"/>
    <col min="14" max="14" width="8.28515625" style="46" customWidth="1"/>
    <col min="15" max="15" width="23.7109375" customWidth="1"/>
    <col min="16" max="16" width="17.85546875" hidden="1" customWidth="1"/>
    <col min="17" max="17" width="13.5703125" hidden="1" customWidth="1"/>
    <col min="18" max="18" width="14" customWidth="1"/>
    <col min="19" max="19" width="22.7109375" bestFit="1" customWidth="1"/>
    <col min="20" max="20" width="12.85546875" customWidth="1"/>
    <col min="21" max="21" width="19.42578125" customWidth="1"/>
    <col min="22" max="22" width="11.140625" customWidth="1"/>
    <col min="23" max="23" width="16.42578125" bestFit="1" customWidth="1"/>
    <col min="24" max="24" width="12.85546875" bestFit="1" customWidth="1"/>
    <col min="25" max="25" width="12" bestFit="1" customWidth="1"/>
    <col min="26" max="27" width="12.140625" bestFit="1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.140625" bestFit="1" customWidth="1"/>
    <col min="33" max="33" width="31.28515625" bestFit="1" customWidth="1"/>
    <col min="34" max="34" width="102" bestFit="1" customWidth="1"/>
    <col min="35" max="35" width="39.85546875" customWidth="1"/>
  </cols>
  <sheetData>
    <row r="2" spans="1:34" x14ac:dyDescent="0.25">
      <c r="B2" s="2" t="s">
        <v>0</v>
      </c>
      <c r="C2" s="2" t="s">
        <v>81</v>
      </c>
      <c r="D2" s="2" t="s">
        <v>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195</v>
      </c>
      <c r="J2" s="151" t="s">
        <v>767</v>
      </c>
      <c r="K2" s="2" t="s">
        <v>91</v>
      </c>
      <c r="L2" s="2" t="s">
        <v>750</v>
      </c>
      <c r="M2" s="2" t="s">
        <v>167</v>
      </c>
      <c r="N2" s="4" t="s">
        <v>60</v>
      </c>
      <c r="O2" s="4" t="s">
        <v>7</v>
      </c>
      <c r="P2" s="4" t="s">
        <v>165</v>
      </c>
      <c r="Q2" s="4" t="s">
        <v>179</v>
      </c>
      <c r="R2" s="4" t="s">
        <v>155</v>
      </c>
      <c r="S2" s="4" t="s">
        <v>788</v>
      </c>
      <c r="T2" s="4" t="s">
        <v>58</v>
      </c>
      <c r="U2" s="4" t="s">
        <v>166</v>
      </c>
      <c r="V2" s="4" t="s">
        <v>59</v>
      </c>
      <c r="W2" s="4" t="s">
        <v>17</v>
      </c>
      <c r="X2" s="4" t="s">
        <v>74</v>
      </c>
      <c r="Y2" s="4" t="s">
        <v>75</v>
      </c>
      <c r="Z2" s="2" t="s">
        <v>11</v>
      </c>
      <c r="AA2" s="2" t="s">
        <v>12</v>
      </c>
      <c r="AB2" s="2" t="s">
        <v>159</v>
      </c>
      <c r="AC2" s="2" t="s">
        <v>13</v>
      </c>
      <c r="AD2" s="2" t="s">
        <v>14</v>
      </c>
      <c r="AE2" s="4" t="s">
        <v>15</v>
      </c>
      <c r="AF2" s="4" t="s">
        <v>794</v>
      </c>
      <c r="AG2" s="4" t="s">
        <v>16</v>
      </c>
      <c r="AH2" s="4" t="s">
        <v>168</v>
      </c>
    </row>
    <row r="3" spans="1:34" x14ac:dyDescent="0.25">
      <c r="B3" s="24">
        <v>1</v>
      </c>
      <c r="C3" s="26">
        <v>20200326</v>
      </c>
      <c r="D3" s="24" t="s">
        <v>2</v>
      </c>
      <c r="E3" s="24" t="s">
        <v>314</v>
      </c>
      <c r="F3" s="113" t="s">
        <v>76</v>
      </c>
      <c r="G3" s="24">
        <v>1390416</v>
      </c>
      <c r="H3" s="24" t="s">
        <v>317</v>
      </c>
      <c r="I3" s="27" t="s">
        <v>76</v>
      </c>
      <c r="J3" s="27" t="s">
        <v>76</v>
      </c>
      <c r="K3" s="24" t="s">
        <v>758</v>
      </c>
      <c r="L3" s="27">
        <v>1.2</v>
      </c>
      <c r="M3" s="27" t="s">
        <v>76</v>
      </c>
      <c r="N3" s="26" t="s">
        <v>768</v>
      </c>
      <c r="O3" s="24" t="s">
        <v>85</v>
      </c>
      <c r="P3" s="24"/>
      <c r="Q3" s="24"/>
      <c r="R3" s="24">
        <v>61</v>
      </c>
      <c r="S3" s="24">
        <f>R3</f>
        <v>61</v>
      </c>
      <c r="T3" s="24">
        <v>61</v>
      </c>
      <c r="U3" s="24">
        <f>ROUNDDOWN(S3/HLOOKUP(D3,Table!$C$3:$D$4,2,0)*8,2)</f>
        <v>3.75</v>
      </c>
      <c r="V3" s="24">
        <v>3</v>
      </c>
      <c r="W3" s="24" t="s">
        <v>108</v>
      </c>
      <c r="X3" s="28">
        <v>43922</v>
      </c>
      <c r="Y3" s="28">
        <v>43922</v>
      </c>
      <c r="Z3" s="28">
        <v>43922</v>
      </c>
      <c r="AA3" s="28">
        <v>43922</v>
      </c>
      <c r="AB3" s="32" t="s">
        <v>161</v>
      </c>
      <c r="AC3" s="32">
        <v>100</v>
      </c>
      <c r="AD3" s="32">
        <v>100</v>
      </c>
      <c r="AE3" s="32">
        <v>100</v>
      </c>
      <c r="AF3" s="32" t="s">
        <v>20</v>
      </c>
      <c r="AG3" s="27" t="s">
        <v>76</v>
      </c>
      <c r="AH3" s="27" t="s">
        <v>797</v>
      </c>
    </row>
    <row r="4" spans="1:34" s="19" customFormat="1" x14ac:dyDescent="0.2">
      <c r="B4" s="156">
        <f>B3+1</f>
        <v>2</v>
      </c>
      <c r="C4" s="26">
        <v>20200330</v>
      </c>
      <c r="D4" s="32" t="s">
        <v>3</v>
      </c>
      <c r="E4" s="32" t="s">
        <v>97</v>
      </c>
      <c r="F4" s="32" t="s">
        <v>887</v>
      </c>
      <c r="G4" s="24">
        <v>1394540</v>
      </c>
      <c r="H4" s="187" t="s">
        <v>663</v>
      </c>
      <c r="I4" s="24" t="s">
        <v>196</v>
      </c>
      <c r="J4" s="27" t="s">
        <v>76</v>
      </c>
      <c r="K4" s="24" t="s">
        <v>105</v>
      </c>
      <c r="L4" s="27" t="s">
        <v>76</v>
      </c>
      <c r="M4" s="27" t="s">
        <v>787</v>
      </c>
      <c r="N4" s="26" t="s">
        <v>769</v>
      </c>
      <c r="O4" s="32" t="s">
        <v>86</v>
      </c>
      <c r="P4" s="32"/>
      <c r="Q4" s="24"/>
      <c r="R4" s="24">
        <v>65</v>
      </c>
      <c r="S4" s="25">
        <f>R4+215-65</f>
        <v>215</v>
      </c>
      <c r="T4" s="32">
        <f>S4</f>
        <v>215</v>
      </c>
      <c r="U4" s="24">
        <f>ROUNDDOWN(S4/HLOOKUP(D4,Table!$C$3:$D$4,2,0)*8,2)</f>
        <v>3.82</v>
      </c>
      <c r="V4" s="32">
        <v>2</v>
      </c>
      <c r="W4" s="24" t="s">
        <v>18</v>
      </c>
      <c r="X4" s="91">
        <v>43921</v>
      </c>
      <c r="Y4" s="28">
        <v>43927</v>
      </c>
      <c r="Z4" s="22">
        <v>43921</v>
      </c>
      <c r="AA4" s="92">
        <v>43921</v>
      </c>
      <c r="AB4" s="32" t="s">
        <v>161</v>
      </c>
      <c r="AC4" s="32">
        <v>100</v>
      </c>
      <c r="AD4" s="32">
        <v>100</v>
      </c>
      <c r="AE4" s="32">
        <v>100</v>
      </c>
      <c r="AF4" s="32" t="s">
        <v>20</v>
      </c>
      <c r="AG4" s="27" t="s">
        <v>76</v>
      </c>
      <c r="AH4" s="27" t="s">
        <v>76</v>
      </c>
    </row>
    <row r="5" spans="1:34" x14ac:dyDescent="0.25">
      <c r="B5" s="156">
        <f t="shared" ref="B5:B68" si="0">B4+1</f>
        <v>3</v>
      </c>
      <c r="C5" s="26">
        <v>20200330</v>
      </c>
      <c r="D5" s="32" t="s">
        <v>3</v>
      </c>
      <c r="E5" s="24" t="s">
        <v>97</v>
      </c>
      <c r="F5" s="24" t="s">
        <v>888</v>
      </c>
      <c r="G5" s="24">
        <v>1394540</v>
      </c>
      <c r="H5" s="180" t="s">
        <v>394</v>
      </c>
      <c r="I5" s="24" t="s">
        <v>196</v>
      </c>
      <c r="J5" s="27" t="s">
        <v>76</v>
      </c>
      <c r="K5" s="24" t="s">
        <v>105</v>
      </c>
      <c r="L5" s="27" t="s">
        <v>76</v>
      </c>
      <c r="M5" s="27" t="s">
        <v>787</v>
      </c>
      <c r="N5" s="26" t="s">
        <v>770</v>
      </c>
      <c r="O5" s="24" t="s">
        <v>86</v>
      </c>
      <c r="P5" s="24"/>
      <c r="Q5" s="24"/>
      <c r="R5" s="24">
        <v>34</v>
      </c>
      <c r="S5" s="25">
        <f>R5+117-34</f>
        <v>117</v>
      </c>
      <c r="T5" s="24">
        <f>S5</f>
        <v>117</v>
      </c>
      <c r="U5" s="24">
        <f>ROUNDDOWN(S5/HLOOKUP(D5,Table!$C$3:$D$4,2,0)*8,2)</f>
        <v>2.08</v>
      </c>
      <c r="V5" s="24">
        <v>2</v>
      </c>
      <c r="W5" s="24" t="s">
        <v>18</v>
      </c>
      <c r="X5" s="91">
        <v>43921</v>
      </c>
      <c r="Y5" s="28">
        <v>43927</v>
      </c>
      <c r="Z5" s="160">
        <v>43921</v>
      </c>
      <c r="AA5" s="160">
        <v>43921</v>
      </c>
      <c r="AB5" s="32" t="s">
        <v>161</v>
      </c>
      <c r="AC5" s="32">
        <v>100</v>
      </c>
      <c r="AD5" s="32">
        <v>100</v>
      </c>
      <c r="AE5" s="32">
        <v>100</v>
      </c>
      <c r="AF5" s="32" t="s">
        <v>20</v>
      </c>
      <c r="AG5" s="27" t="s">
        <v>76</v>
      </c>
      <c r="AH5" s="27" t="s">
        <v>76</v>
      </c>
    </row>
    <row r="6" spans="1:34" x14ac:dyDescent="0.25">
      <c r="B6" s="156">
        <f t="shared" si="0"/>
        <v>4</v>
      </c>
      <c r="C6" s="26">
        <v>20200330</v>
      </c>
      <c r="D6" s="32" t="s">
        <v>3</v>
      </c>
      <c r="E6" s="24" t="s">
        <v>756</v>
      </c>
      <c r="F6" s="24" t="s">
        <v>1021</v>
      </c>
      <c r="G6" s="24">
        <v>1394506</v>
      </c>
      <c r="H6" s="24" t="s">
        <v>759</v>
      </c>
      <c r="I6" s="24" t="s">
        <v>196</v>
      </c>
      <c r="J6" s="24" t="s">
        <v>789</v>
      </c>
      <c r="K6" s="24" t="s">
        <v>419</v>
      </c>
      <c r="L6" s="27" t="s">
        <v>76</v>
      </c>
      <c r="M6" s="27" t="s">
        <v>790</v>
      </c>
      <c r="N6" s="26" t="s">
        <v>771</v>
      </c>
      <c r="O6" s="24" t="s">
        <v>88</v>
      </c>
      <c r="P6" s="24"/>
      <c r="Q6" s="24"/>
      <c r="R6" s="24">
        <v>155</v>
      </c>
      <c r="S6" s="24">
        <f t="shared" ref="S6:S21" si="1">R6</f>
        <v>155</v>
      </c>
      <c r="T6" s="24">
        <f>S6</f>
        <v>155</v>
      </c>
      <c r="U6" s="24">
        <f>ROUNDDOWN(S6/HLOOKUP(D6,Table!$C$3:$D$4,2,0)*8,2)</f>
        <v>2.75</v>
      </c>
      <c r="V6" s="24">
        <v>2.75</v>
      </c>
      <c r="W6" s="24" t="s">
        <v>18</v>
      </c>
      <c r="X6" s="91">
        <v>43921</v>
      </c>
      <c r="Y6" s="28">
        <v>43927</v>
      </c>
      <c r="Z6" s="28">
        <v>43927</v>
      </c>
      <c r="AA6" s="28">
        <v>43927</v>
      </c>
      <c r="AB6" s="32" t="s">
        <v>161</v>
      </c>
      <c r="AC6" s="32">
        <v>100</v>
      </c>
      <c r="AD6" s="32">
        <v>100</v>
      </c>
      <c r="AE6" s="32">
        <v>100</v>
      </c>
      <c r="AF6" s="32"/>
      <c r="AG6" s="27" t="s">
        <v>76</v>
      </c>
      <c r="AH6" s="27" t="s">
        <v>76</v>
      </c>
    </row>
    <row r="7" spans="1:34" x14ac:dyDescent="0.25">
      <c r="B7" s="156">
        <f t="shared" si="0"/>
        <v>5</v>
      </c>
      <c r="C7" s="26">
        <v>20200330</v>
      </c>
      <c r="D7" s="32" t="s">
        <v>3</v>
      </c>
      <c r="E7" s="24" t="s">
        <v>228</v>
      </c>
      <c r="F7" s="27" t="s">
        <v>889</v>
      </c>
      <c r="G7" s="24">
        <v>1390262</v>
      </c>
      <c r="H7" s="24" t="s">
        <v>270</v>
      </c>
      <c r="I7" s="24" t="s">
        <v>197</v>
      </c>
      <c r="J7" s="27" t="s">
        <v>76</v>
      </c>
      <c r="K7" s="24" t="s">
        <v>243</v>
      </c>
      <c r="L7" s="27" t="s">
        <v>76</v>
      </c>
      <c r="M7" s="27" t="s">
        <v>791</v>
      </c>
      <c r="N7" s="26" t="s">
        <v>772</v>
      </c>
      <c r="O7" s="24" t="s">
        <v>87</v>
      </c>
      <c r="P7" s="24"/>
      <c r="Q7" s="24"/>
      <c r="R7" s="24">
        <v>155</v>
      </c>
      <c r="S7" s="25">
        <f>R7+303-155</f>
        <v>303</v>
      </c>
      <c r="T7" s="24">
        <f t="shared" ref="T7:T13" si="2">S7</f>
        <v>303</v>
      </c>
      <c r="U7" s="24">
        <f>ROUNDDOWN(S7/HLOOKUP(D7,Table!$C$3:$D$4,2,0)*8,2)</f>
        <v>5.38</v>
      </c>
      <c r="V7" s="24">
        <v>5</v>
      </c>
      <c r="W7" s="24" t="s">
        <v>18</v>
      </c>
      <c r="X7" s="91">
        <v>43921</v>
      </c>
      <c r="Y7" s="28">
        <v>43927</v>
      </c>
      <c r="Z7" s="28">
        <v>43921</v>
      </c>
      <c r="AA7" s="28">
        <v>43921</v>
      </c>
      <c r="AB7" s="32" t="s">
        <v>161</v>
      </c>
      <c r="AC7" s="32">
        <v>100</v>
      </c>
      <c r="AD7" s="32">
        <v>100</v>
      </c>
      <c r="AE7" s="36">
        <v>100</v>
      </c>
      <c r="AF7" s="36" t="s">
        <v>20</v>
      </c>
      <c r="AG7" s="27" t="s">
        <v>76</v>
      </c>
      <c r="AH7" s="27" t="s">
        <v>76</v>
      </c>
    </row>
    <row r="8" spans="1:34" x14ac:dyDescent="0.25">
      <c r="B8" s="156">
        <f t="shared" si="0"/>
        <v>6</v>
      </c>
      <c r="C8" s="26">
        <v>20200330</v>
      </c>
      <c r="D8" s="32" t="s">
        <v>3</v>
      </c>
      <c r="E8" s="24" t="s">
        <v>228</v>
      </c>
      <c r="F8" s="27" t="s">
        <v>890</v>
      </c>
      <c r="G8" s="24">
        <v>1390262</v>
      </c>
      <c r="H8" s="24" t="s">
        <v>760</v>
      </c>
      <c r="I8" s="24" t="s">
        <v>197</v>
      </c>
      <c r="J8" s="27" t="s">
        <v>76</v>
      </c>
      <c r="K8" s="24" t="s">
        <v>243</v>
      </c>
      <c r="L8" s="27" t="s">
        <v>76</v>
      </c>
      <c r="M8" s="27" t="s">
        <v>791</v>
      </c>
      <c r="N8" s="26" t="s">
        <v>773</v>
      </c>
      <c r="O8" s="24" t="s">
        <v>87</v>
      </c>
      <c r="P8" s="24"/>
      <c r="Q8" s="24"/>
      <c r="R8" s="24">
        <v>34</v>
      </c>
      <c r="S8" s="25">
        <f>R8+114-34</f>
        <v>114</v>
      </c>
      <c r="T8" s="24">
        <f t="shared" si="2"/>
        <v>114</v>
      </c>
      <c r="U8" s="24">
        <f>ROUNDDOWN(S8/HLOOKUP(D8,Table!$C$3:$D$4,2,0)*8,2)</f>
        <v>2.02</v>
      </c>
      <c r="V8" s="24">
        <v>1</v>
      </c>
      <c r="W8" s="24" t="s">
        <v>18</v>
      </c>
      <c r="X8" s="91">
        <v>43921</v>
      </c>
      <c r="Y8" s="28">
        <v>43927</v>
      </c>
      <c r="Z8" s="28">
        <v>43922</v>
      </c>
      <c r="AA8" s="28">
        <v>43922</v>
      </c>
      <c r="AB8" s="32" t="s">
        <v>161</v>
      </c>
      <c r="AC8" s="32">
        <v>100</v>
      </c>
      <c r="AD8" s="32">
        <v>100</v>
      </c>
      <c r="AE8" s="36">
        <v>100</v>
      </c>
      <c r="AF8" s="36" t="s">
        <v>20</v>
      </c>
      <c r="AG8" s="27" t="s">
        <v>76</v>
      </c>
      <c r="AH8" s="27" t="s">
        <v>76</v>
      </c>
    </row>
    <row r="9" spans="1:34" s="19" customFormat="1" x14ac:dyDescent="0.2">
      <c r="B9" s="156">
        <f t="shared" si="0"/>
        <v>7</v>
      </c>
      <c r="C9" s="26">
        <v>20200330</v>
      </c>
      <c r="D9" s="32" t="s">
        <v>3</v>
      </c>
      <c r="E9" s="33" t="s">
        <v>228</v>
      </c>
      <c r="F9" s="27" t="s">
        <v>891</v>
      </c>
      <c r="G9" s="24">
        <v>1390262</v>
      </c>
      <c r="H9" s="56" t="s">
        <v>761</v>
      </c>
      <c r="I9" s="24" t="s">
        <v>197</v>
      </c>
      <c r="J9" s="27" t="s">
        <v>76</v>
      </c>
      <c r="K9" s="24" t="s">
        <v>243</v>
      </c>
      <c r="L9" s="27" t="s">
        <v>76</v>
      </c>
      <c r="M9" s="27" t="s">
        <v>791</v>
      </c>
      <c r="N9" s="26" t="s">
        <v>774</v>
      </c>
      <c r="O9" s="21" t="s">
        <v>87</v>
      </c>
      <c r="P9" s="26"/>
      <c r="Q9" s="24"/>
      <c r="R9" s="24">
        <v>280</v>
      </c>
      <c r="S9" s="25">
        <f>R9+213-280</f>
        <v>213</v>
      </c>
      <c r="T9" s="26">
        <f t="shared" si="2"/>
        <v>213</v>
      </c>
      <c r="U9" s="24">
        <f>ROUNDDOWN(S9/HLOOKUP(D9,Table!$C$3:$D$4,2,0)*8,2)</f>
        <v>3.78</v>
      </c>
      <c r="V9" s="21">
        <v>3</v>
      </c>
      <c r="W9" s="24" t="s">
        <v>18</v>
      </c>
      <c r="X9" s="91">
        <v>43921</v>
      </c>
      <c r="Y9" s="28">
        <v>43927</v>
      </c>
      <c r="Z9" s="28">
        <v>43921</v>
      </c>
      <c r="AA9" s="28">
        <v>43921</v>
      </c>
      <c r="AB9" s="32" t="s">
        <v>161</v>
      </c>
      <c r="AC9" s="32">
        <v>100</v>
      </c>
      <c r="AD9" s="32">
        <v>100</v>
      </c>
      <c r="AE9" s="32">
        <v>100</v>
      </c>
      <c r="AF9" s="32" t="s">
        <v>20</v>
      </c>
      <c r="AG9" s="27" t="s">
        <v>76</v>
      </c>
      <c r="AH9" s="27" t="s">
        <v>76</v>
      </c>
    </row>
    <row r="10" spans="1:34" ht="62.25" customHeight="1" x14ac:dyDescent="0.25">
      <c r="B10" s="156">
        <f t="shared" si="0"/>
        <v>8</v>
      </c>
      <c r="C10" s="26">
        <v>20200330</v>
      </c>
      <c r="D10" s="32" t="s">
        <v>3</v>
      </c>
      <c r="E10" s="23" t="s">
        <v>228</v>
      </c>
      <c r="F10" s="166" t="s">
        <v>891</v>
      </c>
      <c r="G10" s="24">
        <v>1390262</v>
      </c>
      <c r="H10" s="180" t="s">
        <v>209</v>
      </c>
      <c r="I10" s="24" t="s">
        <v>197</v>
      </c>
      <c r="J10" s="27" t="s">
        <v>76</v>
      </c>
      <c r="K10" s="24" t="s">
        <v>243</v>
      </c>
      <c r="L10" s="27" t="s">
        <v>76</v>
      </c>
      <c r="M10" s="27" t="s">
        <v>791</v>
      </c>
      <c r="N10" s="26" t="s">
        <v>775</v>
      </c>
      <c r="O10" s="23" t="s">
        <v>86</v>
      </c>
      <c r="P10" s="24"/>
      <c r="Q10" s="24"/>
      <c r="R10" s="24">
        <v>65</v>
      </c>
      <c r="S10" s="197">
        <f>R10+243-R10</f>
        <v>243</v>
      </c>
      <c r="T10" s="57">
        <f>S10</f>
        <v>243</v>
      </c>
      <c r="U10" s="24">
        <f>ROUNDDOWN(S10/HLOOKUP(D10,Table!$C$3:$D$4,2,0)*8,2)</f>
        <v>4.32</v>
      </c>
      <c r="V10" s="44">
        <v>2</v>
      </c>
      <c r="W10" s="24" t="s">
        <v>18</v>
      </c>
      <c r="X10" s="91">
        <v>43921</v>
      </c>
      <c r="Y10" s="28">
        <v>43927</v>
      </c>
      <c r="Z10" s="163">
        <v>43921</v>
      </c>
      <c r="AA10" s="163">
        <v>43929</v>
      </c>
      <c r="AB10" s="32" t="s">
        <v>161</v>
      </c>
      <c r="AC10" s="32">
        <v>100</v>
      </c>
      <c r="AD10" s="32">
        <v>100</v>
      </c>
      <c r="AE10" s="32">
        <v>100</v>
      </c>
      <c r="AF10" s="32" t="s">
        <v>20</v>
      </c>
      <c r="AG10" s="27" t="s">
        <v>76</v>
      </c>
      <c r="AH10" s="27" t="s">
        <v>1058</v>
      </c>
    </row>
    <row r="11" spans="1:34" s="20" customFormat="1" x14ac:dyDescent="0.25">
      <c r="B11" s="156">
        <f t="shared" si="0"/>
        <v>9</v>
      </c>
      <c r="C11" s="26">
        <v>20200330</v>
      </c>
      <c r="D11" s="32" t="s">
        <v>3</v>
      </c>
      <c r="E11" s="21" t="s">
        <v>757</v>
      </c>
      <c r="F11" s="157" t="s">
        <v>892</v>
      </c>
      <c r="G11" s="24">
        <v>1374229</v>
      </c>
      <c r="H11" s="180" t="s">
        <v>120</v>
      </c>
      <c r="I11" s="24" t="s">
        <v>197</v>
      </c>
      <c r="J11" s="27" t="s">
        <v>76</v>
      </c>
      <c r="K11" s="24" t="s">
        <v>792</v>
      </c>
      <c r="L11" s="27" t="s">
        <v>76</v>
      </c>
      <c r="M11" s="27" t="s">
        <v>793</v>
      </c>
      <c r="N11" s="26" t="s">
        <v>776</v>
      </c>
      <c r="O11" s="21" t="s">
        <v>86</v>
      </c>
      <c r="P11" s="21"/>
      <c r="Q11" s="24"/>
      <c r="R11" s="24">
        <v>144</v>
      </c>
      <c r="S11" s="165">
        <f>R11+160-144</f>
        <v>160</v>
      </c>
      <c r="T11" s="21">
        <f t="shared" si="2"/>
        <v>160</v>
      </c>
      <c r="U11" s="24">
        <f>ROUNDDOWN(S11/HLOOKUP(D11,Table!$C$3:$D$4,2,0)*8,2)</f>
        <v>2.84</v>
      </c>
      <c r="V11" s="21">
        <v>1</v>
      </c>
      <c r="W11" s="24" t="s">
        <v>18</v>
      </c>
      <c r="X11" s="91">
        <v>43921</v>
      </c>
      <c r="Y11" s="28">
        <v>43927</v>
      </c>
      <c r="Z11" s="28">
        <v>43921</v>
      </c>
      <c r="AA11" s="28">
        <v>43921</v>
      </c>
      <c r="AB11" s="32" t="s">
        <v>161</v>
      </c>
      <c r="AC11" s="32">
        <v>100</v>
      </c>
      <c r="AD11" s="32">
        <v>100</v>
      </c>
      <c r="AE11" s="32">
        <v>100</v>
      </c>
      <c r="AF11" s="32" t="s">
        <v>20</v>
      </c>
      <c r="AG11" s="27" t="s">
        <v>76</v>
      </c>
      <c r="AH11" s="27" t="s">
        <v>76</v>
      </c>
    </row>
    <row r="12" spans="1:34" x14ac:dyDescent="0.25">
      <c r="B12" s="156">
        <f t="shared" si="0"/>
        <v>10</v>
      </c>
      <c r="C12" s="26">
        <v>20200330</v>
      </c>
      <c r="D12" s="32" t="s">
        <v>3</v>
      </c>
      <c r="E12" s="24" t="s">
        <v>757</v>
      </c>
      <c r="F12" s="157" t="s">
        <v>892</v>
      </c>
      <c r="G12" s="24">
        <v>1374229</v>
      </c>
      <c r="H12" s="180" t="s">
        <v>122</v>
      </c>
      <c r="I12" s="24" t="s">
        <v>197</v>
      </c>
      <c r="J12" s="27" t="s">
        <v>76</v>
      </c>
      <c r="K12" s="24" t="s">
        <v>792</v>
      </c>
      <c r="L12" s="27" t="s">
        <v>76</v>
      </c>
      <c r="M12" s="27" t="s">
        <v>793</v>
      </c>
      <c r="N12" s="26" t="s">
        <v>777</v>
      </c>
      <c r="O12" s="23" t="s">
        <v>86</v>
      </c>
      <c r="P12" s="23"/>
      <c r="Q12" s="24"/>
      <c r="R12" s="24">
        <v>23</v>
      </c>
      <c r="S12" s="162">
        <f>R12</f>
        <v>23</v>
      </c>
      <c r="T12" s="24">
        <f t="shared" si="2"/>
        <v>23</v>
      </c>
      <c r="U12" s="24">
        <f>ROUNDDOWN(S12/HLOOKUP(D12,Table!$C$3:$D$4,2,0)*8,2)</f>
        <v>0.4</v>
      </c>
      <c r="V12" s="24">
        <v>0.5</v>
      </c>
      <c r="W12" s="24" t="s">
        <v>18</v>
      </c>
      <c r="X12" s="91">
        <v>43921</v>
      </c>
      <c r="Y12" s="28">
        <v>43927</v>
      </c>
      <c r="Z12" s="28">
        <v>43921</v>
      </c>
      <c r="AA12" s="28">
        <v>43921</v>
      </c>
      <c r="AB12" s="32" t="s">
        <v>161</v>
      </c>
      <c r="AC12" s="32">
        <v>100</v>
      </c>
      <c r="AD12" s="32">
        <v>100</v>
      </c>
      <c r="AE12" s="32">
        <v>100</v>
      </c>
      <c r="AF12" s="32" t="s">
        <v>20</v>
      </c>
      <c r="AG12" s="27" t="s">
        <v>76</v>
      </c>
      <c r="AH12" s="27" t="s">
        <v>76</v>
      </c>
    </row>
    <row r="13" spans="1:34" x14ac:dyDescent="0.25">
      <c r="B13" s="156">
        <f t="shared" si="0"/>
        <v>11</v>
      </c>
      <c r="C13" s="26">
        <v>20200330</v>
      </c>
      <c r="D13" s="32" t="s">
        <v>3</v>
      </c>
      <c r="E13" s="24" t="s">
        <v>757</v>
      </c>
      <c r="F13" s="157" t="s">
        <v>892</v>
      </c>
      <c r="G13" s="24">
        <v>1374229</v>
      </c>
      <c r="H13" s="180" t="s">
        <v>762</v>
      </c>
      <c r="I13" s="24" t="s">
        <v>197</v>
      </c>
      <c r="J13" s="27" t="s">
        <v>76</v>
      </c>
      <c r="K13" s="24" t="s">
        <v>792</v>
      </c>
      <c r="L13" s="27" t="s">
        <v>76</v>
      </c>
      <c r="M13" s="27" t="s">
        <v>793</v>
      </c>
      <c r="N13" s="26" t="s">
        <v>778</v>
      </c>
      <c r="O13" s="23" t="s">
        <v>86</v>
      </c>
      <c r="P13" s="23"/>
      <c r="Q13" s="24"/>
      <c r="R13" s="24">
        <v>354</v>
      </c>
      <c r="S13" s="165">
        <f>R13+376-354</f>
        <v>376</v>
      </c>
      <c r="T13" s="24">
        <f t="shared" si="2"/>
        <v>376</v>
      </c>
      <c r="U13" s="24">
        <f>ROUNDDOWN(S13/HLOOKUP(D13,Table!$C$3:$D$4,2,0)*8,2)</f>
        <v>6.68</v>
      </c>
      <c r="V13" s="24">
        <v>2</v>
      </c>
      <c r="W13" s="24" t="s">
        <v>18</v>
      </c>
      <c r="X13" s="91">
        <v>43921</v>
      </c>
      <c r="Y13" s="28">
        <v>43927</v>
      </c>
      <c r="Z13" s="28">
        <v>43921</v>
      </c>
      <c r="AA13" s="28">
        <v>43921</v>
      </c>
      <c r="AB13" s="32" t="s">
        <v>161</v>
      </c>
      <c r="AC13" s="32">
        <v>100</v>
      </c>
      <c r="AD13" s="32">
        <v>100</v>
      </c>
      <c r="AE13" s="32">
        <v>100</v>
      </c>
      <c r="AF13" s="32" t="s">
        <v>20</v>
      </c>
      <c r="AG13" s="27" t="s">
        <v>76</v>
      </c>
      <c r="AH13" s="27" t="s">
        <v>76</v>
      </c>
    </row>
    <row r="14" spans="1:34" x14ac:dyDescent="0.25">
      <c r="B14" s="156">
        <f t="shared" si="0"/>
        <v>12</v>
      </c>
      <c r="C14" s="26">
        <v>20200330</v>
      </c>
      <c r="D14" s="32" t="s">
        <v>3</v>
      </c>
      <c r="E14" s="24" t="s">
        <v>757</v>
      </c>
      <c r="F14" s="157" t="s">
        <v>1022</v>
      </c>
      <c r="G14" s="24">
        <v>1374229</v>
      </c>
      <c r="H14" s="24" t="s">
        <v>763</v>
      </c>
      <c r="I14" s="24" t="s">
        <v>197</v>
      </c>
      <c r="J14" s="27" t="s">
        <v>76</v>
      </c>
      <c r="K14" s="24" t="s">
        <v>792</v>
      </c>
      <c r="L14" s="27" t="s">
        <v>76</v>
      </c>
      <c r="M14" s="27" t="s">
        <v>793</v>
      </c>
      <c r="N14" s="26" t="s">
        <v>779</v>
      </c>
      <c r="O14" s="23" t="s">
        <v>88</v>
      </c>
      <c r="P14" s="23"/>
      <c r="Q14" s="24"/>
      <c r="R14" s="24">
        <v>54</v>
      </c>
      <c r="S14" s="24">
        <f t="shared" si="1"/>
        <v>54</v>
      </c>
      <c r="T14" s="24">
        <f>S14</f>
        <v>54</v>
      </c>
      <c r="U14" s="24">
        <f>ROUNDDOWN(S14/HLOOKUP(D14,Table!$C$3:$D$4,2,0)*8,2)</f>
        <v>0.96</v>
      </c>
      <c r="V14" s="24">
        <v>1</v>
      </c>
      <c r="W14" s="24" t="s">
        <v>18</v>
      </c>
      <c r="X14" s="91">
        <v>43921</v>
      </c>
      <c r="Y14" s="28">
        <v>43927</v>
      </c>
      <c r="Z14" s="28">
        <v>43927</v>
      </c>
      <c r="AA14" s="28">
        <v>43927</v>
      </c>
      <c r="AB14" s="32" t="s">
        <v>161</v>
      </c>
      <c r="AC14" s="32">
        <v>100</v>
      </c>
      <c r="AD14" s="32">
        <v>100</v>
      </c>
      <c r="AE14" s="32">
        <v>100</v>
      </c>
      <c r="AF14" s="32"/>
      <c r="AG14" s="27" t="s">
        <v>76</v>
      </c>
      <c r="AH14" s="27" t="s">
        <v>76</v>
      </c>
    </row>
    <row r="15" spans="1:34" x14ac:dyDescent="0.25">
      <c r="B15" s="156">
        <f t="shared" si="0"/>
        <v>13</v>
      </c>
      <c r="C15" s="26">
        <v>20200330</v>
      </c>
      <c r="D15" s="32" t="s">
        <v>3</v>
      </c>
      <c r="E15" s="24" t="s">
        <v>757</v>
      </c>
      <c r="F15" s="157" t="s">
        <v>1022</v>
      </c>
      <c r="G15" s="24">
        <v>1374229</v>
      </c>
      <c r="H15" s="24" t="s">
        <v>764</v>
      </c>
      <c r="I15" s="24" t="s">
        <v>197</v>
      </c>
      <c r="J15" s="27" t="s">
        <v>76</v>
      </c>
      <c r="K15" s="24" t="s">
        <v>792</v>
      </c>
      <c r="L15" s="27" t="s">
        <v>76</v>
      </c>
      <c r="M15" s="27" t="s">
        <v>793</v>
      </c>
      <c r="N15" s="26" t="s">
        <v>780</v>
      </c>
      <c r="O15" s="24" t="s">
        <v>88</v>
      </c>
      <c r="P15" s="24"/>
      <c r="Q15" s="24"/>
      <c r="R15" s="24">
        <v>159</v>
      </c>
      <c r="S15" s="24">
        <f t="shared" si="1"/>
        <v>159</v>
      </c>
      <c r="T15" s="24">
        <f>S15</f>
        <v>159</v>
      </c>
      <c r="U15" s="24">
        <f>ROUNDDOWN(S15/HLOOKUP(D15,Table!$C$3:$D$4,2,0)*8,2)</f>
        <v>2.82</v>
      </c>
      <c r="V15" s="24">
        <v>2.82</v>
      </c>
      <c r="W15" s="24" t="s">
        <v>18</v>
      </c>
      <c r="X15" s="91">
        <v>43921</v>
      </c>
      <c r="Y15" s="28">
        <v>43927</v>
      </c>
      <c r="Z15" s="28">
        <v>43927</v>
      </c>
      <c r="AA15" s="28">
        <v>43927</v>
      </c>
      <c r="AB15" s="32" t="s">
        <v>161</v>
      </c>
      <c r="AC15" s="32">
        <v>100</v>
      </c>
      <c r="AD15" s="32">
        <v>100</v>
      </c>
      <c r="AE15" s="32">
        <v>100</v>
      </c>
      <c r="AF15" s="32"/>
      <c r="AG15" s="27" t="s">
        <v>76</v>
      </c>
      <c r="AH15" s="27" t="s">
        <v>76</v>
      </c>
    </row>
    <row r="16" spans="1:34" x14ac:dyDescent="0.25">
      <c r="B16" s="156">
        <f t="shared" si="0"/>
        <v>14</v>
      </c>
      <c r="C16" s="26">
        <v>20200330</v>
      </c>
      <c r="D16" s="32" t="s">
        <v>3</v>
      </c>
      <c r="E16" s="24" t="s">
        <v>757</v>
      </c>
      <c r="F16" s="157" t="s">
        <v>1052</v>
      </c>
      <c r="G16" s="24">
        <v>1374229</v>
      </c>
      <c r="H16" s="24" t="s">
        <v>113</v>
      </c>
      <c r="I16" s="24" t="s">
        <v>197</v>
      </c>
      <c r="J16" s="27" t="s">
        <v>76</v>
      </c>
      <c r="K16" s="24" t="s">
        <v>792</v>
      </c>
      <c r="L16" s="27" t="s">
        <v>76</v>
      </c>
      <c r="M16" s="27" t="s">
        <v>793</v>
      </c>
      <c r="N16" s="26" t="s">
        <v>781</v>
      </c>
      <c r="O16" s="24" t="s">
        <v>85</v>
      </c>
      <c r="P16" s="24"/>
      <c r="Q16" s="24"/>
      <c r="R16" s="24">
        <v>313</v>
      </c>
      <c r="S16" s="24">
        <f t="shared" si="1"/>
        <v>313</v>
      </c>
      <c r="T16" s="24">
        <v>313</v>
      </c>
      <c r="U16" s="24">
        <f>ROUNDDOWN(S16/HLOOKUP(D16,Table!$C$3:$D$4,2,0)*8,2)</f>
        <v>5.56</v>
      </c>
      <c r="V16" s="24">
        <v>5</v>
      </c>
      <c r="W16" s="24" t="s">
        <v>18</v>
      </c>
      <c r="X16" s="91">
        <v>43921</v>
      </c>
      <c r="Y16" s="28">
        <v>43927</v>
      </c>
      <c r="Z16" s="28">
        <v>43922</v>
      </c>
      <c r="AA16" s="28">
        <v>43922</v>
      </c>
      <c r="AB16" s="32" t="s">
        <v>161</v>
      </c>
      <c r="AC16" s="32">
        <v>100</v>
      </c>
      <c r="AD16" s="32">
        <v>100</v>
      </c>
      <c r="AE16" s="32">
        <v>100</v>
      </c>
      <c r="AF16" s="32" t="s">
        <v>20</v>
      </c>
      <c r="AG16" s="27" t="s">
        <v>76</v>
      </c>
      <c r="AH16" s="27" t="s">
        <v>76</v>
      </c>
    </row>
    <row r="17" spans="1:34" x14ac:dyDescent="0.25">
      <c r="B17" s="156">
        <f t="shared" si="0"/>
        <v>15</v>
      </c>
      <c r="C17" s="26">
        <v>20200330</v>
      </c>
      <c r="D17" s="32" t="s">
        <v>3</v>
      </c>
      <c r="E17" s="24" t="s">
        <v>757</v>
      </c>
      <c r="F17" s="157" t="s">
        <v>1052</v>
      </c>
      <c r="G17" s="24">
        <v>1374229</v>
      </c>
      <c r="H17" s="24" t="s">
        <v>115</v>
      </c>
      <c r="I17" s="24" t="s">
        <v>197</v>
      </c>
      <c r="J17" s="27" t="s">
        <v>76</v>
      </c>
      <c r="K17" s="24" t="s">
        <v>792</v>
      </c>
      <c r="L17" s="27" t="s">
        <v>76</v>
      </c>
      <c r="M17" s="27" t="s">
        <v>793</v>
      </c>
      <c r="N17" s="26" t="s">
        <v>782</v>
      </c>
      <c r="O17" s="24" t="s">
        <v>87</v>
      </c>
      <c r="P17" s="24"/>
      <c r="Q17" s="24"/>
      <c r="R17" s="24">
        <v>186</v>
      </c>
      <c r="S17" s="25">
        <f>R17+200-R17</f>
        <v>200</v>
      </c>
      <c r="T17" s="24">
        <f>S17</f>
        <v>200</v>
      </c>
      <c r="U17" s="24">
        <f>ROUNDDOWN(S17/HLOOKUP(D17,Table!$C$3:$D$4,2,0)*8,2)</f>
        <v>3.55</v>
      </c>
      <c r="V17" s="24">
        <v>1</v>
      </c>
      <c r="W17" s="24" t="s">
        <v>18</v>
      </c>
      <c r="X17" s="91">
        <v>43921</v>
      </c>
      <c r="Y17" s="28">
        <v>43927</v>
      </c>
      <c r="Z17" s="28">
        <v>43922</v>
      </c>
      <c r="AA17" s="28">
        <v>43922</v>
      </c>
      <c r="AB17" s="32" t="s">
        <v>161</v>
      </c>
      <c r="AC17" s="32">
        <v>100</v>
      </c>
      <c r="AD17" s="32">
        <v>100</v>
      </c>
      <c r="AE17" s="32">
        <v>100</v>
      </c>
      <c r="AF17" s="32" t="s">
        <v>20</v>
      </c>
      <c r="AG17" s="27" t="s">
        <v>76</v>
      </c>
      <c r="AH17" s="27" t="s">
        <v>76</v>
      </c>
    </row>
    <row r="18" spans="1:34" x14ac:dyDescent="0.25">
      <c r="B18" s="156">
        <f t="shared" si="0"/>
        <v>16</v>
      </c>
      <c r="C18" s="26">
        <v>20200330</v>
      </c>
      <c r="D18" s="32" t="s">
        <v>3</v>
      </c>
      <c r="E18" s="24" t="s">
        <v>757</v>
      </c>
      <c r="F18" s="157" t="s">
        <v>1059</v>
      </c>
      <c r="G18" s="24">
        <v>1374229</v>
      </c>
      <c r="H18" s="24" t="s">
        <v>765</v>
      </c>
      <c r="I18" s="24" t="s">
        <v>197</v>
      </c>
      <c r="J18" s="27" t="s">
        <v>76</v>
      </c>
      <c r="K18" s="24" t="s">
        <v>792</v>
      </c>
      <c r="L18" s="27" t="s">
        <v>76</v>
      </c>
      <c r="M18" s="27" t="s">
        <v>793</v>
      </c>
      <c r="N18" s="26" t="s">
        <v>783</v>
      </c>
      <c r="O18" s="24" t="s">
        <v>88</v>
      </c>
      <c r="P18" s="24"/>
      <c r="Q18" s="24"/>
      <c r="R18" s="24">
        <v>199</v>
      </c>
      <c r="S18" s="24">
        <f t="shared" si="1"/>
        <v>199</v>
      </c>
      <c r="T18" s="24">
        <f>S18</f>
        <v>199</v>
      </c>
      <c r="U18" s="24">
        <f>ROUNDDOWN(S18/HLOOKUP(D18,Table!$C$3:$D$4,2,0)*8,2)</f>
        <v>3.53</v>
      </c>
      <c r="V18" s="24">
        <v>3.53</v>
      </c>
      <c r="W18" s="24" t="s">
        <v>18</v>
      </c>
      <c r="X18" s="91">
        <v>43921</v>
      </c>
      <c r="Y18" s="28">
        <v>43927</v>
      </c>
      <c r="Z18" s="28">
        <v>43927</v>
      </c>
      <c r="AA18" s="28">
        <v>43927</v>
      </c>
      <c r="AB18" s="32" t="s">
        <v>161</v>
      </c>
      <c r="AC18" s="176">
        <v>100</v>
      </c>
      <c r="AD18" s="176">
        <v>100</v>
      </c>
      <c r="AE18" s="176">
        <v>100</v>
      </c>
      <c r="AF18" s="24"/>
      <c r="AG18" s="27" t="s">
        <v>76</v>
      </c>
      <c r="AH18" s="27" t="s">
        <v>76</v>
      </c>
    </row>
    <row r="19" spans="1:34" x14ac:dyDescent="0.25">
      <c r="B19" s="156">
        <f t="shared" si="0"/>
        <v>17</v>
      </c>
      <c r="C19" s="26">
        <v>20200330</v>
      </c>
      <c r="D19" s="32" t="s">
        <v>3</v>
      </c>
      <c r="E19" s="24" t="s">
        <v>757</v>
      </c>
      <c r="F19" s="157" t="s">
        <v>1059</v>
      </c>
      <c r="G19" s="24">
        <v>1374229</v>
      </c>
      <c r="H19" s="24" t="s">
        <v>766</v>
      </c>
      <c r="I19" s="24" t="s">
        <v>197</v>
      </c>
      <c r="J19" s="27" t="s">
        <v>76</v>
      </c>
      <c r="K19" s="24" t="s">
        <v>792</v>
      </c>
      <c r="L19" s="27" t="s">
        <v>76</v>
      </c>
      <c r="M19" s="27" t="s">
        <v>793</v>
      </c>
      <c r="N19" s="26" t="s">
        <v>784</v>
      </c>
      <c r="O19" s="24" t="s">
        <v>88</v>
      </c>
      <c r="P19" s="24"/>
      <c r="Q19" s="24"/>
      <c r="R19" s="24">
        <v>6</v>
      </c>
      <c r="S19" s="24">
        <f t="shared" si="1"/>
        <v>6</v>
      </c>
      <c r="T19" s="24">
        <f>S19</f>
        <v>6</v>
      </c>
      <c r="U19" s="24">
        <f>ROUNDDOWN(S19/HLOOKUP(D19,Table!$C$3:$D$4,2,0)*8,2)</f>
        <v>0.1</v>
      </c>
      <c r="V19" s="24">
        <v>0.5</v>
      </c>
      <c r="W19" s="24" t="s">
        <v>18</v>
      </c>
      <c r="X19" s="91">
        <v>43921</v>
      </c>
      <c r="Y19" s="28">
        <v>43927</v>
      </c>
      <c r="Z19" s="28">
        <v>43927</v>
      </c>
      <c r="AA19" s="28">
        <v>43927</v>
      </c>
      <c r="AB19" s="32" t="s">
        <v>161</v>
      </c>
      <c r="AC19" s="32">
        <v>100</v>
      </c>
      <c r="AD19" s="32">
        <v>100</v>
      </c>
      <c r="AE19" s="32">
        <v>100</v>
      </c>
      <c r="AF19" s="32"/>
      <c r="AG19" s="27" t="s">
        <v>967</v>
      </c>
      <c r="AH19" s="27" t="s">
        <v>76</v>
      </c>
    </row>
    <row r="20" spans="1:34" x14ac:dyDescent="0.25">
      <c r="B20" s="156">
        <f t="shared" si="0"/>
        <v>18</v>
      </c>
      <c r="C20" s="26">
        <v>20200330</v>
      </c>
      <c r="D20" s="32" t="s">
        <v>3</v>
      </c>
      <c r="E20" s="26" t="s">
        <v>757</v>
      </c>
      <c r="F20" s="157" t="s">
        <v>1060</v>
      </c>
      <c r="G20" s="26">
        <v>1373386</v>
      </c>
      <c r="H20" s="26" t="s">
        <v>393</v>
      </c>
      <c r="I20" s="24" t="s">
        <v>197</v>
      </c>
      <c r="J20" s="27" t="s">
        <v>76</v>
      </c>
      <c r="K20" s="24" t="s">
        <v>792</v>
      </c>
      <c r="L20" s="27" t="s">
        <v>76</v>
      </c>
      <c r="M20" s="27" t="s">
        <v>793</v>
      </c>
      <c r="N20" s="26" t="s">
        <v>785</v>
      </c>
      <c r="O20" s="24" t="s">
        <v>88</v>
      </c>
      <c r="P20" s="24"/>
      <c r="Q20" s="24"/>
      <c r="R20" s="24">
        <v>84</v>
      </c>
      <c r="S20" s="24">
        <f t="shared" si="1"/>
        <v>84</v>
      </c>
      <c r="T20" s="24">
        <f>S20</f>
        <v>84</v>
      </c>
      <c r="U20" s="24">
        <f>ROUNDDOWN(S20/HLOOKUP(D20,Table!$C$3:$D$4,2,0)*8,2)</f>
        <v>1.49</v>
      </c>
      <c r="V20" s="24">
        <v>1.49</v>
      </c>
      <c r="W20" s="24" t="s">
        <v>18</v>
      </c>
      <c r="X20" s="91">
        <v>43921</v>
      </c>
      <c r="Y20" s="28">
        <v>43927</v>
      </c>
      <c r="Z20" s="28">
        <v>43927</v>
      </c>
      <c r="AA20" s="28">
        <v>43927</v>
      </c>
      <c r="AB20" s="32" t="s">
        <v>161</v>
      </c>
      <c r="AC20" s="32">
        <v>100</v>
      </c>
      <c r="AD20" s="32">
        <v>100</v>
      </c>
      <c r="AE20" s="32">
        <v>100</v>
      </c>
      <c r="AF20" s="24"/>
      <c r="AG20" s="27"/>
      <c r="AH20" s="27" t="s">
        <v>76</v>
      </c>
    </row>
    <row r="21" spans="1:34" x14ac:dyDescent="0.25">
      <c r="B21" s="156">
        <f t="shared" si="0"/>
        <v>19</v>
      </c>
      <c r="C21" s="26">
        <v>20200330</v>
      </c>
      <c r="D21" s="32" t="s">
        <v>3</v>
      </c>
      <c r="E21" s="26" t="s">
        <v>757</v>
      </c>
      <c r="F21" s="157" t="s">
        <v>1024</v>
      </c>
      <c r="G21" s="26">
        <v>1373386</v>
      </c>
      <c r="H21" s="26" t="s">
        <v>280</v>
      </c>
      <c r="I21" s="24" t="s">
        <v>197</v>
      </c>
      <c r="J21" s="27" t="s">
        <v>76</v>
      </c>
      <c r="K21" s="24" t="s">
        <v>792</v>
      </c>
      <c r="L21" s="27" t="s">
        <v>76</v>
      </c>
      <c r="M21" s="27" t="s">
        <v>793</v>
      </c>
      <c r="N21" s="26" t="s">
        <v>786</v>
      </c>
      <c r="O21" s="24" t="s">
        <v>85</v>
      </c>
      <c r="P21" s="24"/>
      <c r="Q21" s="24"/>
      <c r="R21" s="24">
        <v>259</v>
      </c>
      <c r="S21" s="24">
        <f t="shared" si="1"/>
        <v>259</v>
      </c>
      <c r="T21" s="24">
        <v>259</v>
      </c>
      <c r="U21" s="24">
        <f>ROUNDDOWN(S21/HLOOKUP(D21,Table!$C$3:$D$4,2,0)*8,2)</f>
        <v>4.5999999999999996</v>
      </c>
      <c r="V21" s="24">
        <v>4.5</v>
      </c>
      <c r="W21" s="24" t="s">
        <v>18</v>
      </c>
      <c r="X21" s="91">
        <v>43921</v>
      </c>
      <c r="Y21" s="28">
        <v>43927</v>
      </c>
      <c r="Z21" s="28">
        <v>43922</v>
      </c>
      <c r="AA21" s="28">
        <v>43922</v>
      </c>
      <c r="AB21" s="31" t="s">
        <v>160</v>
      </c>
      <c r="AC21" s="32">
        <v>100</v>
      </c>
      <c r="AD21" s="32">
        <v>100</v>
      </c>
      <c r="AE21" s="32">
        <v>87</v>
      </c>
      <c r="AF21" s="32" t="s">
        <v>795</v>
      </c>
      <c r="AG21" s="27" t="s">
        <v>76</v>
      </c>
      <c r="AH21" s="27" t="s">
        <v>76</v>
      </c>
    </row>
    <row r="22" spans="1:34" x14ac:dyDescent="0.25">
      <c r="B22" s="138">
        <f t="shared" si="0"/>
        <v>20</v>
      </c>
      <c r="C22" s="26">
        <v>20200331</v>
      </c>
      <c r="D22" s="32" t="s">
        <v>3</v>
      </c>
      <c r="E22" s="26" t="s">
        <v>802</v>
      </c>
      <c r="F22" s="43" t="s">
        <v>893</v>
      </c>
      <c r="G22" s="26">
        <v>1372839</v>
      </c>
      <c r="H22" s="168" t="s">
        <v>120</v>
      </c>
      <c r="I22" s="24" t="s">
        <v>197</v>
      </c>
      <c r="J22" s="54">
        <v>99180</v>
      </c>
      <c r="K22" s="24" t="s">
        <v>860</v>
      </c>
      <c r="L22" s="27" t="s">
        <v>76</v>
      </c>
      <c r="M22" s="27" t="s">
        <v>793</v>
      </c>
      <c r="N22" s="26" t="s">
        <v>821</v>
      </c>
      <c r="O22" s="21" t="s">
        <v>86</v>
      </c>
      <c r="P22" s="24"/>
      <c r="Q22" s="24"/>
      <c r="R22" s="24">
        <v>160</v>
      </c>
      <c r="S22" s="24">
        <f>R22</f>
        <v>160</v>
      </c>
      <c r="T22" s="24">
        <f>S22</f>
        <v>160</v>
      </c>
      <c r="U22" s="24">
        <f>ROUNDDOWN(S22/HLOOKUP(D22,Table!$C$3:$D$4,2,0)*8,2)</f>
        <v>2.84</v>
      </c>
      <c r="V22" s="24">
        <v>2</v>
      </c>
      <c r="W22" s="24" t="s">
        <v>18</v>
      </c>
      <c r="X22" s="28">
        <v>43922</v>
      </c>
      <c r="Y22" s="28">
        <v>43929</v>
      </c>
      <c r="Z22" s="28">
        <v>43922</v>
      </c>
      <c r="AA22" s="28">
        <v>43922</v>
      </c>
      <c r="AB22" s="167" t="s">
        <v>161</v>
      </c>
      <c r="AC22" s="32">
        <v>100</v>
      </c>
      <c r="AD22" s="32">
        <v>100</v>
      </c>
      <c r="AE22" s="32">
        <v>100</v>
      </c>
      <c r="AF22" s="32" t="s">
        <v>20</v>
      </c>
      <c r="AG22" s="27" t="s">
        <v>76</v>
      </c>
      <c r="AH22" s="27" t="s">
        <v>76</v>
      </c>
    </row>
    <row r="23" spans="1:34" x14ac:dyDescent="0.25">
      <c r="B23" s="138">
        <f t="shared" si="0"/>
        <v>21</v>
      </c>
      <c r="C23" s="26">
        <v>20200331</v>
      </c>
      <c r="D23" s="32" t="s">
        <v>3</v>
      </c>
      <c r="E23" s="26" t="s">
        <v>802</v>
      </c>
      <c r="F23" s="43" t="s">
        <v>893</v>
      </c>
      <c r="G23" s="26">
        <v>1372839</v>
      </c>
      <c r="H23" s="168" t="s">
        <v>122</v>
      </c>
      <c r="I23" s="24" t="s">
        <v>197</v>
      </c>
      <c r="J23" s="54">
        <v>99180</v>
      </c>
      <c r="K23" s="24" t="s">
        <v>860</v>
      </c>
      <c r="L23" s="27" t="s">
        <v>76</v>
      </c>
      <c r="M23" s="27" t="s">
        <v>793</v>
      </c>
      <c r="N23" s="26" t="s">
        <v>822</v>
      </c>
      <c r="O23" s="23" t="s">
        <v>86</v>
      </c>
      <c r="P23" s="24"/>
      <c r="Q23" s="24"/>
      <c r="R23" s="24">
        <v>23</v>
      </c>
      <c r="S23" s="24">
        <f t="shared" ref="S23:S48" si="3">R23</f>
        <v>23</v>
      </c>
      <c r="T23" s="24">
        <f>S23</f>
        <v>23</v>
      </c>
      <c r="U23" s="24">
        <f>ROUNDDOWN(S23/HLOOKUP(D23,Table!$C$3:$D$4,2,0)*8,2)</f>
        <v>0.4</v>
      </c>
      <c r="V23" s="24">
        <v>2</v>
      </c>
      <c r="W23" s="24" t="s">
        <v>18</v>
      </c>
      <c r="X23" s="28">
        <v>43922</v>
      </c>
      <c r="Y23" s="28">
        <v>43929</v>
      </c>
      <c r="Z23" s="28">
        <v>43922</v>
      </c>
      <c r="AA23" s="28">
        <v>43922</v>
      </c>
      <c r="AB23" s="167" t="s">
        <v>161</v>
      </c>
      <c r="AC23" s="32">
        <v>100</v>
      </c>
      <c r="AD23" s="32">
        <v>100</v>
      </c>
      <c r="AE23" s="32">
        <v>100</v>
      </c>
      <c r="AF23" s="32" t="s">
        <v>20</v>
      </c>
      <c r="AG23" s="27" t="s">
        <v>76</v>
      </c>
      <c r="AH23" s="27" t="s">
        <v>76</v>
      </c>
    </row>
    <row r="24" spans="1:34" x14ac:dyDescent="0.25">
      <c r="B24" s="138">
        <f t="shared" si="0"/>
        <v>22</v>
      </c>
      <c r="C24" s="26">
        <v>20200331</v>
      </c>
      <c r="D24" s="32" t="s">
        <v>3</v>
      </c>
      <c r="E24" s="26" t="s">
        <v>802</v>
      </c>
      <c r="F24" s="47" t="s">
        <v>893</v>
      </c>
      <c r="G24" s="26">
        <v>1372839</v>
      </c>
      <c r="H24" s="168" t="s">
        <v>762</v>
      </c>
      <c r="I24" s="24" t="s">
        <v>197</v>
      </c>
      <c r="J24" s="54">
        <v>99180</v>
      </c>
      <c r="K24" s="24" t="s">
        <v>860</v>
      </c>
      <c r="L24" s="27" t="s">
        <v>76</v>
      </c>
      <c r="M24" s="27" t="s">
        <v>793</v>
      </c>
      <c r="N24" s="26" t="s">
        <v>823</v>
      </c>
      <c r="O24" s="23" t="s">
        <v>86</v>
      </c>
      <c r="P24" s="24"/>
      <c r="Q24" s="24"/>
      <c r="R24" s="24">
        <v>376</v>
      </c>
      <c r="S24" s="24">
        <f t="shared" si="3"/>
        <v>376</v>
      </c>
      <c r="T24" s="24">
        <f>S24</f>
        <v>376</v>
      </c>
      <c r="U24" s="24">
        <f>ROUNDDOWN(S24/HLOOKUP(D24,Table!$C$3:$D$4,2,0)*8,2)</f>
        <v>6.68</v>
      </c>
      <c r="V24" s="24">
        <v>1</v>
      </c>
      <c r="W24" s="24" t="s">
        <v>18</v>
      </c>
      <c r="X24" s="28">
        <v>43922</v>
      </c>
      <c r="Y24" s="28">
        <v>43929</v>
      </c>
      <c r="Z24" s="28">
        <v>43922</v>
      </c>
      <c r="AA24" s="28">
        <v>43922</v>
      </c>
      <c r="AB24" s="32" t="s">
        <v>161</v>
      </c>
      <c r="AC24" s="32">
        <v>100</v>
      </c>
      <c r="AD24" s="32">
        <v>100</v>
      </c>
      <c r="AE24" s="32">
        <v>100</v>
      </c>
      <c r="AF24" s="32" t="s">
        <v>20</v>
      </c>
      <c r="AG24" s="27" t="s">
        <v>76</v>
      </c>
      <c r="AH24" s="27" t="s">
        <v>76</v>
      </c>
    </row>
    <row r="25" spans="1:34" x14ac:dyDescent="0.25">
      <c r="B25" s="138">
        <f t="shared" si="0"/>
        <v>23</v>
      </c>
      <c r="C25" s="26">
        <v>20200331</v>
      </c>
      <c r="D25" s="32" t="s">
        <v>3</v>
      </c>
      <c r="E25" s="26" t="s">
        <v>802</v>
      </c>
      <c r="F25" s="157" t="s">
        <v>1023</v>
      </c>
      <c r="G25" s="26">
        <v>1372839</v>
      </c>
      <c r="H25" s="26" t="s">
        <v>763</v>
      </c>
      <c r="I25" s="24" t="s">
        <v>197</v>
      </c>
      <c r="J25" s="54">
        <v>99180</v>
      </c>
      <c r="K25" s="24" t="s">
        <v>860</v>
      </c>
      <c r="L25" s="27" t="s">
        <v>76</v>
      </c>
      <c r="M25" s="27" t="s">
        <v>793</v>
      </c>
      <c r="N25" s="26" t="s">
        <v>824</v>
      </c>
      <c r="O25" s="23" t="s">
        <v>88</v>
      </c>
      <c r="P25" s="24"/>
      <c r="Q25" s="24"/>
      <c r="R25" s="24">
        <v>54</v>
      </c>
      <c r="S25" s="24">
        <f t="shared" si="3"/>
        <v>54</v>
      </c>
      <c r="T25" s="24">
        <f>S25</f>
        <v>54</v>
      </c>
      <c r="U25" s="24">
        <f>ROUNDDOWN(S25/HLOOKUP(D25,Table!$C$3:$D$4,2,0)*8,2)</f>
        <v>0.96</v>
      </c>
      <c r="V25" s="24">
        <v>0.96</v>
      </c>
      <c r="W25" s="24" t="s">
        <v>18</v>
      </c>
      <c r="X25" s="28">
        <v>43922</v>
      </c>
      <c r="Y25" s="28">
        <v>43929</v>
      </c>
      <c r="Z25" s="28">
        <v>43927</v>
      </c>
      <c r="AA25" s="28">
        <v>43927</v>
      </c>
      <c r="AB25" s="31" t="s">
        <v>161</v>
      </c>
      <c r="AC25" s="32">
        <v>100</v>
      </c>
      <c r="AD25" s="32">
        <v>100</v>
      </c>
      <c r="AE25" s="32">
        <v>100</v>
      </c>
      <c r="AF25" s="32"/>
      <c r="AG25" s="27" t="s">
        <v>76</v>
      </c>
      <c r="AH25" s="27" t="s">
        <v>76</v>
      </c>
    </row>
    <row r="26" spans="1:34" x14ac:dyDescent="0.25">
      <c r="B26" s="138">
        <f t="shared" si="0"/>
        <v>24</v>
      </c>
      <c r="C26" s="26">
        <v>20200331</v>
      </c>
      <c r="D26" s="32" t="s">
        <v>3</v>
      </c>
      <c r="E26" s="26" t="s">
        <v>802</v>
      </c>
      <c r="F26" s="157" t="s">
        <v>1023</v>
      </c>
      <c r="G26" s="26">
        <v>1372839</v>
      </c>
      <c r="H26" s="26" t="s">
        <v>764</v>
      </c>
      <c r="I26" s="24" t="s">
        <v>197</v>
      </c>
      <c r="J26" s="54">
        <v>99180</v>
      </c>
      <c r="K26" s="24" t="s">
        <v>860</v>
      </c>
      <c r="L26" s="27" t="s">
        <v>76</v>
      </c>
      <c r="M26" s="27" t="s">
        <v>793</v>
      </c>
      <c r="N26" s="26" t="s">
        <v>825</v>
      </c>
      <c r="O26" s="24" t="s">
        <v>88</v>
      </c>
      <c r="P26" s="24"/>
      <c r="Q26" s="24"/>
      <c r="R26" s="24">
        <v>130</v>
      </c>
      <c r="S26" s="24">
        <f t="shared" si="3"/>
        <v>130</v>
      </c>
      <c r="T26" s="24">
        <f>S26</f>
        <v>130</v>
      </c>
      <c r="U26" s="24">
        <f>ROUNDDOWN(S26/HLOOKUP(D26,Table!$C$3:$D$4,2,0)*8,2)</f>
        <v>2.31</v>
      </c>
      <c r="V26" s="24">
        <v>2.2999999999999998</v>
      </c>
      <c r="W26" s="24" t="s">
        <v>18</v>
      </c>
      <c r="X26" s="28">
        <v>43922</v>
      </c>
      <c r="Y26" s="28">
        <v>43929</v>
      </c>
      <c r="Z26" s="28">
        <v>43927</v>
      </c>
      <c r="AA26" s="28">
        <v>43927</v>
      </c>
      <c r="AB26" s="31" t="s">
        <v>161</v>
      </c>
      <c r="AC26" s="32">
        <v>100</v>
      </c>
      <c r="AD26" s="32">
        <v>100</v>
      </c>
      <c r="AE26" s="32">
        <v>100</v>
      </c>
      <c r="AF26" s="32"/>
      <c r="AG26" s="27" t="s">
        <v>76</v>
      </c>
      <c r="AH26" s="27" t="s">
        <v>76</v>
      </c>
    </row>
    <row r="27" spans="1:34" x14ac:dyDescent="0.25">
      <c r="B27" s="138">
        <f t="shared" si="0"/>
        <v>25</v>
      </c>
      <c r="C27" s="26">
        <v>20200331</v>
      </c>
      <c r="D27" s="32" t="s">
        <v>3</v>
      </c>
      <c r="E27" s="26" t="s">
        <v>802</v>
      </c>
      <c r="F27" s="157" t="s">
        <v>1028</v>
      </c>
      <c r="G27" s="26">
        <v>1372839</v>
      </c>
      <c r="H27" s="26" t="s">
        <v>113</v>
      </c>
      <c r="I27" s="24" t="s">
        <v>197</v>
      </c>
      <c r="J27" s="54">
        <v>99180</v>
      </c>
      <c r="K27" s="24" t="s">
        <v>860</v>
      </c>
      <c r="L27" s="27" t="s">
        <v>76</v>
      </c>
      <c r="M27" s="27" t="s">
        <v>793</v>
      </c>
      <c r="N27" s="26" t="s">
        <v>826</v>
      </c>
      <c r="O27" s="24" t="s">
        <v>85</v>
      </c>
      <c r="P27" s="24"/>
      <c r="Q27" s="24"/>
      <c r="R27" s="24">
        <v>77</v>
      </c>
      <c r="S27" s="24">
        <f t="shared" si="3"/>
        <v>77</v>
      </c>
      <c r="T27" s="24">
        <v>77</v>
      </c>
      <c r="U27" s="24">
        <f>ROUNDDOWN(S27/HLOOKUP(D27,Table!$C$3:$D$4,2,0)*8,2)</f>
        <v>1.36</v>
      </c>
      <c r="V27" s="24">
        <v>1.5</v>
      </c>
      <c r="W27" s="24" t="s">
        <v>18</v>
      </c>
      <c r="X27" s="28">
        <v>43922</v>
      </c>
      <c r="Y27" s="28">
        <v>43929</v>
      </c>
      <c r="Z27" s="28">
        <v>43928</v>
      </c>
      <c r="AA27" s="28">
        <v>43928</v>
      </c>
      <c r="AB27" s="32" t="s">
        <v>161</v>
      </c>
      <c r="AC27" s="32">
        <v>100</v>
      </c>
      <c r="AD27" s="32">
        <v>100</v>
      </c>
      <c r="AE27" s="32">
        <v>100</v>
      </c>
      <c r="AF27" s="32" t="s">
        <v>20</v>
      </c>
      <c r="AG27" s="27" t="s">
        <v>76</v>
      </c>
      <c r="AH27" s="27" t="s">
        <v>76</v>
      </c>
    </row>
    <row r="28" spans="1:34" x14ac:dyDescent="0.25">
      <c r="B28" s="138">
        <f t="shared" si="0"/>
        <v>26</v>
      </c>
      <c r="C28" s="26">
        <v>20200331</v>
      </c>
      <c r="D28" s="32" t="s">
        <v>3</v>
      </c>
      <c r="E28" s="26" t="s">
        <v>802</v>
      </c>
      <c r="F28" s="157" t="s">
        <v>76</v>
      </c>
      <c r="G28" s="26">
        <v>1372839</v>
      </c>
      <c r="H28" s="26" t="s">
        <v>115</v>
      </c>
      <c r="I28" s="24" t="s">
        <v>197</v>
      </c>
      <c r="J28" s="54">
        <v>99180</v>
      </c>
      <c r="K28" s="24" t="s">
        <v>860</v>
      </c>
      <c r="L28" s="27" t="s">
        <v>76</v>
      </c>
      <c r="M28" s="27" t="s">
        <v>793</v>
      </c>
      <c r="N28" s="26" t="s">
        <v>827</v>
      </c>
      <c r="O28" s="24" t="s">
        <v>87</v>
      </c>
      <c r="P28" s="24"/>
      <c r="Q28" s="24"/>
      <c r="R28" s="24">
        <v>200</v>
      </c>
      <c r="S28" s="24">
        <f t="shared" si="3"/>
        <v>200</v>
      </c>
      <c r="T28" s="24">
        <v>200</v>
      </c>
      <c r="U28" s="24">
        <f>ROUNDDOWN(S28/HLOOKUP(D28,Table!$C$3:$D$4,2,0)*8,2)</f>
        <v>3.55</v>
      </c>
      <c r="V28" s="24">
        <v>1</v>
      </c>
      <c r="W28" s="24" t="s">
        <v>18</v>
      </c>
      <c r="X28" s="28">
        <v>43922</v>
      </c>
      <c r="Y28" s="28">
        <v>43929</v>
      </c>
      <c r="Z28" s="28">
        <v>43922</v>
      </c>
      <c r="AA28" s="28">
        <v>43922</v>
      </c>
      <c r="AB28" s="32" t="s">
        <v>161</v>
      </c>
      <c r="AC28" s="32">
        <v>100</v>
      </c>
      <c r="AD28" s="32">
        <v>100</v>
      </c>
      <c r="AE28" s="32">
        <v>100</v>
      </c>
      <c r="AF28" s="32" t="s">
        <v>20</v>
      </c>
      <c r="AG28" s="27" t="s">
        <v>76</v>
      </c>
      <c r="AH28" s="27" t="s">
        <v>76</v>
      </c>
    </row>
    <row r="29" spans="1:34" x14ac:dyDescent="0.25">
      <c r="B29" s="138">
        <f t="shared" si="0"/>
        <v>27</v>
      </c>
      <c r="C29" s="26">
        <v>20200331</v>
      </c>
      <c r="D29" s="32" t="s">
        <v>3</v>
      </c>
      <c r="E29" s="26" t="s">
        <v>802</v>
      </c>
      <c r="F29" s="157" t="s">
        <v>1025</v>
      </c>
      <c r="G29" s="26">
        <v>1372839</v>
      </c>
      <c r="H29" s="26" t="s">
        <v>765</v>
      </c>
      <c r="I29" s="24" t="s">
        <v>197</v>
      </c>
      <c r="J29" s="54">
        <v>99180</v>
      </c>
      <c r="K29" s="24" t="s">
        <v>860</v>
      </c>
      <c r="L29" s="27" t="s">
        <v>76</v>
      </c>
      <c r="M29" s="27" t="s">
        <v>793</v>
      </c>
      <c r="N29" s="26" t="s">
        <v>828</v>
      </c>
      <c r="O29" s="24" t="s">
        <v>88</v>
      </c>
      <c r="P29" s="24"/>
      <c r="Q29" s="24"/>
      <c r="R29" s="24">
        <v>199</v>
      </c>
      <c r="S29" s="24">
        <f t="shared" si="3"/>
        <v>199</v>
      </c>
      <c r="T29" s="24">
        <v>199</v>
      </c>
      <c r="U29" s="24">
        <f>ROUNDDOWN(S29/HLOOKUP(D29,Table!$C$3:$D$4,2,0)*8,2)</f>
        <v>3.53</v>
      </c>
      <c r="V29" s="24">
        <v>3.53</v>
      </c>
      <c r="W29" s="24" t="s">
        <v>18</v>
      </c>
      <c r="X29" s="28">
        <v>43922</v>
      </c>
      <c r="Y29" s="28">
        <v>43929</v>
      </c>
      <c r="Z29" s="28">
        <v>43927</v>
      </c>
      <c r="AA29" s="28">
        <v>43927</v>
      </c>
      <c r="AB29" s="32" t="s">
        <v>161</v>
      </c>
      <c r="AC29" s="176">
        <v>100</v>
      </c>
      <c r="AD29" s="176">
        <v>100</v>
      </c>
      <c r="AE29" s="176">
        <v>100</v>
      </c>
      <c r="AF29" s="24"/>
      <c r="AG29" s="27" t="s">
        <v>76</v>
      </c>
      <c r="AH29" s="27" t="s">
        <v>76</v>
      </c>
    </row>
    <row r="30" spans="1:34" x14ac:dyDescent="0.25">
      <c r="B30" s="138">
        <f t="shared" si="0"/>
        <v>28</v>
      </c>
      <c r="C30" s="26">
        <v>20200331</v>
      </c>
      <c r="D30" s="32" t="s">
        <v>3</v>
      </c>
      <c r="E30" s="26" t="s">
        <v>802</v>
      </c>
      <c r="F30" s="157" t="s">
        <v>1025</v>
      </c>
      <c r="G30" s="26">
        <v>1372839</v>
      </c>
      <c r="H30" s="26" t="s">
        <v>766</v>
      </c>
      <c r="I30" s="24" t="s">
        <v>197</v>
      </c>
      <c r="J30" s="54">
        <v>99180</v>
      </c>
      <c r="K30" s="24" t="s">
        <v>860</v>
      </c>
      <c r="L30" s="27" t="s">
        <v>76</v>
      </c>
      <c r="M30" s="27" t="s">
        <v>793</v>
      </c>
      <c r="N30" s="26" t="s">
        <v>829</v>
      </c>
      <c r="O30" s="24" t="s">
        <v>88</v>
      </c>
      <c r="P30" s="24"/>
      <c r="Q30" s="24"/>
      <c r="R30" s="24">
        <v>6</v>
      </c>
      <c r="S30" s="24">
        <f t="shared" si="3"/>
        <v>6</v>
      </c>
      <c r="T30" s="24">
        <v>6</v>
      </c>
      <c r="U30" s="24">
        <f>ROUNDDOWN(S30/HLOOKUP(D30,Table!$C$3:$D$4,2,0)*8,2)</f>
        <v>0.1</v>
      </c>
      <c r="V30" s="24">
        <v>0.1</v>
      </c>
      <c r="W30" s="24" t="s">
        <v>18</v>
      </c>
      <c r="X30" s="28">
        <v>43922</v>
      </c>
      <c r="Y30" s="28">
        <v>43929</v>
      </c>
      <c r="Z30" s="28">
        <v>43927</v>
      </c>
      <c r="AA30" s="28">
        <v>43927</v>
      </c>
      <c r="AB30" s="32" t="s">
        <v>161</v>
      </c>
      <c r="AC30" s="32">
        <v>100</v>
      </c>
      <c r="AD30" s="32">
        <v>100</v>
      </c>
      <c r="AE30" s="32">
        <v>100</v>
      </c>
      <c r="AF30" s="32"/>
      <c r="AG30" s="27" t="s">
        <v>967</v>
      </c>
      <c r="AH30" s="27" t="s">
        <v>76</v>
      </c>
    </row>
    <row r="31" spans="1:34" x14ac:dyDescent="0.25">
      <c r="B31" s="138">
        <f t="shared" si="0"/>
        <v>29</v>
      </c>
      <c r="C31" s="26">
        <v>20200331</v>
      </c>
      <c r="D31" s="32" t="s">
        <v>3</v>
      </c>
      <c r="E31" s="26" t="s">
        <v>802</v>
      </c>
      <c r="F31" s="157" t="s">
        <v>1026</v>
      </c>
      <c r="G31" s="26">
        <v>1372753</v>
      </c>
      <c r="H31" s="26" t="s">
        <v>393</v>
      </c>
      <c r="I31" s="24" t="s">
        <v>197</v>
      </c>
      <c r="J31" s="54">
        <v>99181</v>
      </c>
      <c r="K31" s="24" t="s">
        <v>860</v>
      </c>
      <c r="L31" s="27" t="s">
        <v>76</v>
      </c>
      <c r="M31" s="27" t="s">
        <v>793</v>
      </c>
      <c r="N31" s="26" t="s">
        <v>830</v>
      </c>
      <c r="O31" s="24" t="s">
        <v>88</v>
      </c>
      <c r="P31" s="24"/>
      <c r="Q31" s="24"/>
      <c r="R31" s="24">
        <v>84</v>
      </c>
      <c r="S31" s="24">
        <f t="shared" si="3"/>
        <v>84</v>
      </c>
      <c r="T31" s="24"/>
      <c r="U31" s="24">
        <f>ROUNDDOWN(S31/HLOOKUP(D31,Table!$C$3:$D$4,2,0)*8,2)</f>
        <v>1.49</v>
      </c>
      <c r="V31" s="24">
        <v>1.49</v>
      </c>
      <c r="W31" s="24" t="s">
        <v>18</v>
      </c>
      <c r="X31" s="28">
        <v>43922</v>
      </c>
      <c r="Y31" s="28">
        <v>43929</v>
      </c>
      <c r="Z31" s="28">
        <v>43927</v>
      </c>
      <c r="AA31" s="28">
        <v>43927</v>
      </c>
      <c r="AB31" s="32" t="s">
        <v>161</v>
      </c>
      <c r="AC31" s="32">
        <v>100</v>
      </c>
      <c r="AD31" s="32">
        <v>100</v>
      </c>
      <c r="AE31" s="32">
        <v>100</v>
      </c>
      <c r="AF31" s="24"/>
      <c r="AG31" s="27" t="s">
        <v>76</v>
      </c>
      <c r="AH31" s="27" t="s">
        <v>76</v>
      </c>
    </row>
    <row r="32" spans="1:34" x14ac:dyDescent="0.25">
      <c r="B32" s="138">
        <f t="shared" si="0"/>
        <v>30</v>
      </c>
      <c r="C32" s="26">
        <v>20200331</v>
      </c>
      <c r="D32" s="32" t="s">
        <v>3</v>
      </c>
      <c r="E32" s="26" t="s">
        <v>802</v>
      </c>
      <c r="F32" s="157" t="s">
        <v>1033</v>
      </c>
      <c r="G32" s="26">
        <v>1372753</v>
      </c>
      <c r="H32" s="26" t="s">
        <v>280</v>
      </c>
      <c r="I32" s="24" t="s">
        <v>197</v>
      </c>
      <c r="J32" s="54">
        <v>99181</v>
      </c>
      <c r="K32" s="24" t="s">
        <v>860</v>
      </c>
      <c r="L32" s="27" t="s">
        <v>76</v>
      </c>
      <c r="M32" s="27" t="s">
        <v>793</v>
      </c>
      <c r="N32" s="26" t="s">
        <v>831</v>
      </c>
      <c r="O32" s="24" t="s">
        <v>85</v>
      </c>
      <c r="P32" s="24"/>
      <c r="Q32" s="24"/>
      <c r="R32" s="24">
        <v>259</v>
      </c>
      <c r="S32" s="24">
        <f t="shared" si="3"/>
        <v>259</v>
      </c>
      <c r="T32" s="24">
        <v>259</v>
      </c>
      <c r="U32" s="24">
        <f>ROUNDDOWN(S32/HLOOKUP(D32,Table!$C$3:$D$4,2,0)*8,2)</f>
        <v>4.5999999999999996</v>
      </c>
      <c r="V32" s="24">
        <v>4.5</v>
      </c>
      <c r="W32" s="24" t="s">
        <v>18</v>
      </c>
      <c r="X32" s="28">
        <v>43922</v>
      </c>
      <c r="Y32" s="28">
        <v>43929</v>
      </c>
      <c r="Z32" s="28">
        <v>43928</v>
      </c>
      <c r="AA32" s="28">
        <v>43928</v>
      </c>
      <c r="AB32" s="31" t="s">
        <v>160</v>
      </c>
      <c r="AC32" s="32">
        <v>100</v>
      </c>
      <c r="AD32" s="32">
        <v>100</v>
      </c>
      <c r="AE32" s="32">
        <v>87</v>
      </c>
      <c r="AF32" s="32" t="s">
        <v>795</v>
      </c>
      <c r="AG32" s="27" t="s">
        <v>76</v>
      </c>
      <c r="AH32" s="27" t="s">
        <v>76</v>
      </c>
    </row>
    <row r="33" spans="2:34" x14ac:dyDescent="0.25">
      <c r="B33" s="138">
        <f t="shared" si="0"/>
        <v>31</v>
      </c>
      <c r="C33" s="26">
        <v>20200331</v>
      </c>
      <c r="D33" s="32" t="s">
        <v>3</v>
      </c>
      <c r="E33" s="26" t="s">
        <v>803</v>
      </c>
      <c r="F33" s="47" t="s">
        <v>807</v>
      </c>
      <c r="G33" s="26">
        <v>1398196</v>
      </c>
      <c r="H33" s="26" t="s">
        <v>651</v>
      </c>
      <c r="I33" s="24" t="s">
        <v>196</v>
      </c>
      <c r="J33" s="54" t="s">
        <v>849</v>
      </c>
      <c r="K33" s="24" t="s">
        <v>861</v>
      </c>
      <c r="L33" s="27" t="s">
        <v>76</v>
      </c>
      <c r="M33" s="27" t="s">
        <v>866</v>
      </c>
      <c r="N33" s="26" t="s">
        <v>832</v>
      </c>
      <c r="O33" s="24" t="s">
        <v>88</v>
      </c>
      <c r="P33" s="24"/>
      <c r="Q33" s="24"/>
      <c r="R33" s="24">
        <v>155</v>
      </c>
      <c r="S33" s="25">
        <f>R33 +164 -R33</f>
        <v>164</v>
      </c>
      <c r="T33" s="24">
        <f>S33</f>
        <v>164</v>
      </c>
      <c r="U33" s="24">
        <f>ROUNDDOWN(S33/HLOOKUP(D33,Table!$C$3:$D$4,2,0)*8,2)</f>
        <v>2.91</v>
      </c>
      <c r="V33" s="24">
        <v>2</v>
      </c>
      <c r="W33" s="24" t="s">
        <v>18</v>
      </c>
      <c r="X33" s="28">
        <v>43922</v>
      </c>
      <c r="Y33" s="28">
        <v>43929</v>
      </c>
      <c r="Z33" s="28">
        <v>43928</v>
      </c>
      <c r="AA33" s="28">
        <v>43928</v>
      </c>
      <c r="AB33" s="31" t="s">
        <v>161</v>
      </c>
      <c r="AC33" s="32">
        <v>100</v>
      </c>
      <c r="AD33" s="32">
        <v>100</v>
      </c>
      <c r="AE33" s="32">
        <v>100</v>
      </c>
      <c r="AF33" s="32"/>
      <c r="AG33" s="27" t="s">
        <v>76</v>
      </c>
      <c r="AH33" s="27" t="s">
        <v>76</v>
      </c>
    </row>
    <row r="34" spans="2:34" x14ac:dyDescent="0.25">
      <c r="B34" s="138">
        <f t="shared" si="0"/>
        <v>32</v>
      </c>
      <c r="C34" s="26">
        <v>20200331</v>
      </c>
      <c r="D34" s="32" t="s">
        <v>3</v>
      </c>
      <c r="E34" s="26" t="s">
        <v>803</v>
      </c>
      <c r="F34" s="47" t="s">
        <v>808</v>
      </c>
      <c r="G34" s="26">
        <v>1398196</v>
      </c>
      <c r="H34" s="26" t="s">
        <v>275</v>
      </c>
      <c r="I34" s="24" t="s">
        <v>196</v>
      </c>
      <c r="J34" s="54" t="s">
        <v>850</v>
      </c>
      <c r="K34" s="24" t="s">
        <v>861</v>
      </c>
      <c r="L34" s="27" t="s">
        <v>76</v>
      </c>
      <c r="M34" s="27" t="s">
        <v>866</v>
      </c>
      <c r="N34" s="26" t="s">
        <v>833</v>
      </c>
      <c r="O34" s="24" t="s">
        <v>88</v>
      </c>
      <c r="P34" s="24"/>
      <c r="Q34" s="24"/>
      <c r="R34" s="24">
        <v>21</v>
      </c>
      <c r="S34" s="24">
        <f t="shared" si="3"/>
        <v>21</v>
      </c>
      <c r="T34" s="24">
        <f>S34</f>
        <v>21</v>
      </c>
      <c r="U34" s="24">
        <f>ROUNDDOWN(S34/HLOOKUP(D34,Table!$C$3:$D$4,2,0)*8,2)</f>
        <v>0.37</v>
      </c>
      <c r="V34" s="24">
        <v>0.3</v>
      </c>
      <c r="W34" s="24" t="s">
        <v>18</v>
      </c>
      <c r="X34" s="28">
        <v>43922</v>
      </c>
      <c r="Y34" s="28">
        <v>43929</v>
      </c>
      <c r="Z34" s="28">
        <v>43928</v>
      </c>
      <c r="AA34" s="28">
        <v>43928</v>
      </c>
      <c r="AB34" s="31" t="s">
        <v>161</v>
      </c>
      <c r="AC34" s="32">
        <v>100</v>
      </c>
      <c r="AD34" s="32">
        <v>100</v>
      </c>
      <c r="AE34" s="32">
        <v>100</v>
      </c>
      <c r="AF34" s="32"/>
      <c r="AG34" s="27" t="s">
        <v>76</v>
      </c>
      <c r="AH34" s="27" t="s">
        <v>76</v>
      </c>
    </row>
    <row r="35" spans="2:34" x14ac:dyDescent="0.25">
      <c r="B35" s="138">
        <f t="shared" si="0"/>
        <v>33</v>
      </c>
      <c r="C35" s="26">
        <v>20200331</v>
      </c>
      <c r="D35" s="32" t="s">
        <v>3</v>
      </c>
      <c r="E35" s="26" t="s">
        <v>803</v>
      </c>
      <c r="F35" s="47" t="s">
        <v>809</v>
      </c>
      <c r="G35" s="26">
        <v>1398196</v>
      </c>
      <c r="H35" s="26" t="s">
        <v>232</v>
      </c>
      <c r="I35" s="24" t="s">
        <v>196</v>
      </c>
      <c r="J35" s="54" t="s">
        <v>851</v>
      </c>
      <c r="K35" s="24" t="s">
        <v>861</v>
      </c>
      <c r="L35" s="27" t="s">
        <v>76</v>
      </c>
      <c r="M35" s="27" t="s">
        <v>866</v>
      </c>
      <c r="N35" s="26" t="s">
        <v>834</v>
      </c>
      <c r="O35" s="24" t="s">
        <v>88</v>
      </c>
      <c r="P35" s="24"/>
      <c r="Q35" s="24"/>
      <c r="R35" s="24">
        <v>165</v>
      </c>
      <c r="S35" s="24">
        <f t="shared" si="3"/>
        <v>165</v>
      </c>
      <c r="T35" s="24">
        <f>S35</f>
        <v>165</v>
      </c>
      <c r="U35" s="24">
        <f>ROUNDDOWN(S35/HLOOKUP(D35,Table!$C$3:$D$4,2,0)*8,2)</f>
        <v>2.93</v>
      </c>
      <c r="V35" s="24">
        <v>0.5</v>
      </c>
      <c r="W35" s="24" t="s">
        <v>18</v>
      </c>
      <c r="X35" s="28">
        <v>43922</v>
      </c>
      <c r="Y35" s="28">
        <v>43929</v>
      </c>
      <c r="Z35" s="28">
        <v>43928</v>
      </c>
      <c r="AA35" s="28">
        <v>43928</v>
      </c>
      <c r="AB35" s="31" t="s">
        <v>161</v>
      </c>
      <c r="AC35" s="32">
        <v>100</v>
      </c>
      <c r="AD35" s="32">
        <v>100</v>
      </c>
      <c r="AE35" s="32">
        <v>100</v>
      </c>
      <c r="AF35" s="32"/>
      <c r="AG35" s="27" t="s">
        <v>76</v>
      </c>
      <c r="AH35" s="27" t="s">
        <v>76</v>
      </c>
    </row>
    <row r="36" spans="2:34" x14ac:dyDescent="0.25">
      <c r="B36" s="138">
        <f t="shared" si="0"/>
        <v>34</v>
      </c>
      <c r="C36" s="26">
        <v>20200331</v>
      </c>
      <c r="D36" s="32" t="s">
        <v>3</v>
      </c>
      <c r="E36" s="26" t="s">
        <v>803</v>
      </c>
      <c r="F36" s="47" t="s">
        <v>1034</v>
      </c>
      <c r="G36" s="26">
        <v>1398196</v>
      </c>
      <c r="H36" s="26" t="s">
        <v>279</v>
      </c>
      <c r="I36" s="24" t="s">
        <v>196</v>
      </c>
      <c r="J36" s="54" t="s">
        <v>852</v>
      </c>
      <c r="K36" s="24" t="s">
        <v>861</v>
      </c>
      <c r="L36" s="27" t="s">
        <v>76</v>
      </c>
      <c r="M36" s="27" t="s">
        <v>866</v>
      </c>
      <c r="N36" s="26" t="s">
        <v>835</v>
      </c>
      <c r="O36" s="24" t="s">
        <v>85</v>
      </c>
      <c r="P36" s="24"/>
      <c r="Q36" s="24"/>
      <c r="R36" s="24">
        <v>280</v>
      </c>
      <c r="S36" s="24">
        <f t="shared" si="3"/>
        <v>280</v>
      </c>
      <c r="T36" s="24">
        <v>280</v>
      </c>
      <c r="U36" s="24">
        <f>ROUNDDOWN(S36/HLOOKUP(D36,Table!$C$3:$D$4,2,0)*8,2)</f>
        <v>4.97</v>
      </c>
      <c r="V36" s="24">
        <v>5</v>
      </c>
      <c r="W36" s="24" t="s">
        <v>18</v>
      </c>
      <c r="X36" s="28">
        <v>43922</v>
      </c>
      <c r="Y36" s="28">
        <v>43929</v>
      </c>
      <c r="Z36" s="28">
        <v>43928</v>
      </c>
      <c r="AA36" s="28">
        <v>43928</v>
      </c>
      <c r="AB36" s="32" t="s">
        <v>161</v>
      </c>
      <c r="AC36" s="32">
        <v>100</v>
      </c>
      <c r="AD36" s="32">
        <v>100</v>
      </c>
      <c r="AE36" s="32">
        <v>100</v>
      </c>
      <c r="AF36" s="32" t="s">
        <v>20</v>
      </c>
      <c r="AG36" s="27" t="s">
        <v>76</v>
      </c>
      <c r="AH36" s="27" t="s">
        <v>76</v>
      </c>
    </row>
    <row r="37" spans="2:34" x14ac:dyDescent="0.25">
      <c r="B37" s="138">
        <f t="shared" si="0"/>
        <v>35</v>
      </c>
      <c r="C37" s="26">
        <v>20200331</v>
      </c>
      <c r="D37" s="32" t="s">
        <v>3</v>
      </c>
      <c r="E37" s="26" t="s">
        <v>803</v>
      </c>
      <c r="F37" s="47" t="s">
        <v>1035</v>
      </c>
      <c r="G37" s="26">
        <v>1398196</v>
      </c>
      <c r="H37" s="26" t="s">
        <v>663</v>
      </c>
      <c r="I37" s="24" t="s">
        <v>196</v>
      </c>
      <c r="J37" s="54" t="s">
        <v>853</v>
      </c>
      <c r="K37" s="24" t="s">
        <v>861</v>
      </c>
      <c r="L37" s="27" t="s">
        <v>76</v>
      </c>
      <c r="M37" s="27" t="s">
        <v>866</v>
      </c>
      <c r="N37" s="26" t="s">
        <v>836</v>
      </c>
      <c r="O37" s="24" t="s">
        <v>85</v>
      </c>
      <c r="P37" s="24"/>
      <c r="Q37" s="24"/>
      <c r="R37" s="24">
        <v>65</v>
      </c>
      <c r="S37" s="24">
        <f t="shared" si="3"/>
        <v>65</v>
      </c>
      <c r="T37" s="24">
        <v>65</v>
      </c>
      <c r="U37" s="24">
        <f>ROUNDDOWN(S37/HLOOKUP(D37,Table!$C$3:$D$4,2,0)*8,2)</f>
        <v>1.1499999999999999</v>
      </c>
      <c r="V37" s="24">
        <v>1</v>
      </c>
      <c r="W37" s="24" t="s">
        <v>18</v>
      </c>
      <c r="X37" s="28">
        <v>43922</v>
      </c>
      <c r="Y37" s="28">
        <v>43929</v>
      </c>
      <c r="Z37" s="28">
        <v>43928</v>
      </c>
      <c r="AA37" s="28">
        <v>43928</v>
      </c>
      <c r="AB37" s="32" t="s">
        <v>161</v>
      </c>
      <c r="AC37" s="32">
        <v>100</v>
      </c>
      <c r="AD37" s="32">
        <v>100</v>
      </c>
      <c r="AE37" s="32">
        <v>100</v>
      </c>
      <c r="AF37" s="32" t="s">
        <v>20</v>
      </c>
      <c r="AG37" s="27" t="s">
        <v>76</v>
      </c>
      <c r="AH37" s="27" t="s">
        <v>76</v>
      </c>
    </row>
    <row r="38" spans="2:34" x14ac:dyDescent="0.25">
      <c r="B38" s="138">
        <f t="shared" si="0"/>
        <v>36</v>
      </c>
      <c r="C38" s="26">
        <v>20200331</v>
      </c>
      <c r="D38" s="32" t="s">
        <v>3</v>
      </c>
      <c r="E38" s="26" t="s">
        <v>803</v>
      </c>
      <c r="F38" s="47" t="s">
        <v>1036</v>
      </c>
      <c r="G38" s="26">
        <v>1398196</v>
      </c>
      <c r="H38" s="26" t="s">
        <v>663</v>
      </c>
      <c r="I38" s="24" t="s">
        <v>196</v>
      </c>
      <c r="J38" s="54" t="s">
        <v>854</v>
      </c>
      <c r="K38" s="24" t="s">
        <v>861</v>
      </c>
      <c r="L38" s="27" t="s">
        <v>76</v>
      </c>
      <c r="M38" s="27" t="s">
        <v>866</v>
      </c>
      <c r="N38" s="26" t="s">
        <v>837</v>
      </c>
      <c r="O38" s="24" t="s">
        <v>85</v>
      </c>
      <c r="P38" s="24"/>
      <c r="Q38" s="24"/>
      <c r="R38" s="24">
        <v>65</v>
      </c>
      <c r="S38" s="24">
        <f t="shared" si="3"/>
        <v>65</v>
      </c>
      <c r="T38" s="24">
        <v>65</v>
      </c>
      <c r="U38" s="24">
        <f>ROUNDDOWN(S38/HLOOKUP(D38,Table!$C$3:$D$4,2,0)*8,2)</f>
        <v>1.1499999999999999</v>
      </c>
      <c r="V38" s="24">
        <v>1</v>
      </c>
      <c r="W38" s="24" t="s">
        <v>18</v>
      </c>
      <c r="X38" s="28">
        <v>43922</v>
      </c>
      <c r="Y38" s="28">
        <v>43929</v>
      </c>
      <c r="Z38" s="28">
        <v>43928</v>
      </c>
      <c r="AA38" s="28">
        <v>43928</v>
      </c>
      <c r="AB38" s="32" t="s">
        <v>161</v>
      </c>
      <c r="AC38" s="32">
        <v>100</v>
      </c>
      <c r="AD38" s="32">
        <v>100</v>
      </c>
      <c r="AE38" s="32">
        <v>100</v>
      </c>
      <c r="AF38" s="32" t="s">
        <v>20</v>
      </c>
      <c r="AG38" s="27" t="s">
        <v>76</v>
      </c>
      <c r="AH38" s="27" t="s">
        <v>76</v>
      </c>
    </row>
    <row r="39" spans="2:34" x14ac:dyDescent="0.25">
      <c r="B39" s="138">
        <f t="shared" si="0"/>
        <v>37</v>
      </c>
      <c r="C39" s="26">
        <v>20200331</v>
      </c>
      <c r="D39" s="32" t="s">
        <v>3</v>
      </c>
      <c r="E39" s="26" t="s">
        <v>803</v>
      </c>
      <c r="F39" s="47" t="s">
        <v>1037</v>
      </c>
      <c r="G39" s="26">
        <v>1398196</v>
      </c>
      <c r="H39" s="26" t="s">
        <v>663</v>
      </c>
      <c r="I39" s="24" t="s">
        <v>196</v>
      </c>
      <c r="J39" s="54" t="s">
        <v>855</v>
      </c>
      <c r="K39" s="24" t="s">
        <v>861</v>
      </c>
      <c r="L39" s="27" t="s">
        <v>76</v>
      </c>
      <c r="M39" s="27" t="s">
        <v>866</v>
      </c>
      <c r="N39" s="26" t="s">
        <v>838</v>
      </c>
      <c r="O39" s="24" t="s">
        <v>85</v>
      </c>
      <c r="P39" s="24"/>
      <c r="Q39" s="24"/>
      <c r="R39" s="24">
        <v>65</v>
      </c>
      <c r="S39" s="24">
        <f t="shared" si="3"/>
        <v>65</v>
      </c>
      <c r="T39" s="24">
        <v>65</v>
      </c>
      <c r="U39" s="24">
        <f>ROUNDDOWN(S39/HLOOKUP(D39,Table!$C$3:$D$4,2,0)*8,2)</f>
        <v>1.1499999999999999</v>
      </c>
      <c r="V39" s="24">
        <v>1</v>
      </c>
      <c r="W39" s="24" t="s">
        <v>18</v>
      </c>
      <c r="X39" s="28">
        <v>43922</v>
      </c>
      <c r="Y39" s="28">
        <v>43929</v>
      </c>
      <c r="Z39" s="28">
        <v>43929</v>
      </c>
      <c r="AA39" s="28">
        <v>43929</v>
      </c>
      <c r="AB39" s="175" t="s">
        <v>161</v>
      </c>
      <c r="AC39" s="32">
        <v>100</v>
      </c>
      <c r="AD39" s="32">
        <v>100</v>
      </c>
      <c r="AE39" s="32">
        <v>100</v>
      </c>
      <c r="AF39" s="32" t="s">
        <v>20</v>
      </c>
      <c r="AG39" s="27" t="s">
        <v>76</v>
      </c>
      <c r="AH39" s="27" t="s">
        <v>76</v>
      </c>
    </row>
    <row r="40" spans="2:34" x14ac:dyDescent="0.25">
      <c r="B40" s="138">
        <f t="shared" si="0"/>
        <v>38</v>
      </c>
      <c r="C40" s="26">
        <v>20200331</v>
      </c>
      <c r="D40" s="32" t="s">
        <v>3</v>
      </c>
      <c r="E40" s="26" t="s">
        <v>803</v>
      </c>
      <c r="F40" s="47" t="s">
        <v>810</v>
      </c>
      <c r="G40" s="26">
        <v>1398196</v>
      </c>
      <c r="H40" s="168" t="s">
        <v>394</v>
      </c>
      <c r="I40" s="24" t="s">
        <v>196</v>
      </c>
      <c r="J40" s="54" t="s">
        <v>856</v>
      </c>
      <c r="K40" s="24" t="s">
        <v>861</v>
      </c>
      <c r="L40" s="27" t="s">
        <v>76</v>
      </c>
      <c r="M40" s="27" t="s">
        <v>866</v>
      </c>
      <c r="N40" s="26" t="s">
        <v>839</v>
      </c>
      <c r="O40" s="24" t="s">
        <v>86</v>
      </c>
      <c r="P40" s="24"/>
      <c r="Q40" s="24"/>
      <c r="R40" s="24">
        <v>34</v>
      </c>
      <c r="S40" s="25">
        <f>R40+255-34</f>
        <v>255</v>
      </c>
      <c r="T40" s="24">
        <f>S40</f>
        <v>255</v>
      </c>
      <c r="U40" s="24">
        <f>ROUNDDOWN(S40/HLOOKUP(D40,Table!$C$3:$D$4,2,0)*8,2)</f>
        <v>4.53</v>
      </c>
      <c r="V40" s="24">
        <v>1</v>
      </c>
      <c r="W40" s="24" t="s">
        <v>18</v>
      </c>
      <c r="X40" s="28">
        <v>43922</v>
      </c>
      <c r="Y40" s="28">
        <v>43929</v>
      </c>
      <c r="Z40" s="28">
        <v>43922</v>
      </c>
      <c r="AA40" s="28">
        <v>43922</v>
      </c>
      <c r="AB40" s="167" t="s">
        <v>161</v>
      </c>
      <c r="AC40" s="32">
        <v>100</v>
      </c>
      <c r="AD40" s="32">
        <v>100</v>
      </c>
      <c r="AE40" s="32">
        <v>100</v>
      </c>
      <c r="AF40" s="32" t="s">
        <v>20</v>
      </c>
      <c r="AG40" s="27" t="s">
        <v>76</v>
      </c>
      <c r="AH40" s="27" t="s">
        <v>76</v>
      </c>
    </row>
    <row r="41" spans="2:34" x14ac:dyDescent="0.25">
      <c r="B41" s="138">
        <f t="shared" si="0"/>
        <v>39</v>
      </c>
      <c r="C41" s="26">
        <v>20200331</v>
      </c>
      <c r="D41" s="32" t="s">
        <v>3</v>
      </c>
      <c r="E41" s="26" t="s">
        <v>803</v>
      </c>
      <c r="F41" s="47" t="s">
        <v>811</v>
      </c>
      <c r="G41" s="26">
        <v>1398196</v>
      </c>
      <c r="H41" s="168" t="s">
        <v>394</v>
      </c>
      <c r="I41" s="24" t="s">
        <v>196</v>
      </c>
      <c r="J41" s="54" t="s">
        <v>857</v>
      </c>
      <c r="K41" s="24" t="s">
        <v>861</v>
      </c>
      <c r="L41" s="27" t="s">
        <v>76</v>
      </c>
      <c r="M41" s="27" t="s">
        <v>866</v>
      </c>
      <c r="N41" s="26" t="s">
        <v>840</v>
      </c>
      <c r="O41" s="24" t="s">
        <v>86</v>
      </c>
      <c r="P41" s="24"/>
      <c r="Q41" s="24"/>
      <c r="R41" s="24">
        <v>34</v>
      </c>
      <c r="S41" s="25">
        <f>R41+176-R41</f>
        <v>176</v>
      </c>
      <c r="T41" s="24">
        <f>S41</f>
        <v>176</v>
      </c>
      <c r="U41" s="24">
        <f>ROUNDDOWN(S41/HLOOKUP(D41,Table!$C$3:$D$4,2,0)*8,2)</f>
        <v>3.12</v>
      </c>
      <c r="V41" s="24">
        <v>1</v>
      </c>
      <c r="W41" s="24" t="s">
        <v>18</v>
      </c>
      <c r="X41" s="28">
        <v>43922</v>
      </c>
      <c r="Y41" s="28">
        <v>43929</v>
      </c>
      <c r="Z41" s="28">
        <v>43922</v>
      </c>
      <c r="AA41" s="28">
        <v>43922</v>
      </c>
      <c r="AB41" s="167" t="s">
        <v>161</v>
      </c>
      <c r="AC41" s="32">
        <v>100</v>
      </c>
      <c r="AD41" s="32">
        <v>100</v>
      </c>
      <c r="AE41" s="32">
        <v>100</v>
      </c>
      <c r="AF41" s="32" t="s">
        <v>20</v>
      </c>
      <c r="AG41" s="27" t="s">
        <v>76</v>
      </c>
      <c r="AH41" s="27" t="s">
        <v>76</v>
      </c>
    </row>
    <row r="42" spans="2:34" x14ac:dyDescent="0.25">
      <c r="B42" s="138">
        <f t="shared" si="0"/>
        <v>40</v>
      </c>
      <c r="C42" s="26">
        <v>20200331</v>
      </c>
      <c r="D42" s="32" t="s">
        <v>3</v>
      </c>
      <c r="E42" s="26" t="s">
        <v>803</v>
      </c>
      <c r="F42" s="47" t="s">
        <v>812</v>
      </c>
      <c r="G42" s="26">
        <v>1398196</v>
      </c>
      <c r="H42" s="168" t="s">
        <v>394</v>
      </c>
      <c r="I42" s="24" t="s">
        <v>196</v>
      </c>
      <c r="J42" s="54" t="s">
        <v>858</v>
      </c>
      <c r="K42" s="24" t="s">
        <v>861</v>
      </c>
      <c r="L42" s="27" t="s">
        <v>76</v>
      </c>
      <c r="M42" s="27" t="s">
        <v>866</v>
      </c>
      <c r="N42" s="26" t="s">
        <v>841</v>
      </c>
      <c r="O42" s="24" t="s">
        <v>86</v>
      </c>
      <c r="P42" s="24"/>
      <c r="Q42" s="24"/>
      <c r="R42" s="24">
        <v>34</v>
      </c>
      <c r="S42" s="25">
        <f>R42+122-R42</f>
        <v>122</v>
      </c>
      <c r="T42" s="24">
        <f>S42</f>
        <v>122</v>
      </c>
      <c r="U42" s="24">
        <f>ROUNDDOWN(S42/HLOOKUP(D42,Table!$C$3:$D$4,2,0)*8,2)</f>
        <v>2.16</v>
      </c>
      <c r="V42" s="24">
        <v>1</v>
      </c>
      <c r="W42" s="24" t="s">
        <v>18</v>
      </c>
      <c r="X42" s="28">
        <v>43922</v>
      </c>
      <c r="Y42" s="28">
        <v>43929</v>
      </c>
      <c r="Z42" s="28">
        <v>43922</v>
      </c>
      <c r="AA42" s="28">
        <v>43922</v>
      </c>
      <c r="AB42" s="167" t="s">
        <v>161</v>
      </c>
      <c r="AC42" s="32">
        <v>100</v>
      </c>
      <c r="AD42" s="32">
        <v>100</v>
      </c>
      <c r="AE42" s="32">
        <v>100</v>
      </c>
      <c r="AF42" s="32" t="s">
        <v>20</v>
      </c>
      <c r="AG42" s="27" t="s">
        <v>76</v>
      </c>
      <c r="AH42" s="27" t="s">
        <v>76</v>
      </c>
    </row>
    <row r="43" spans="2:34" ht="30" x14ac:dyDescent="0.25">
      <c r="B43" s="138">
        <f t="shared" si="0"/>
        <v>41</v>
      </c>
      <c r="C43" s="26">
        <v>20200331</v>
      </c>
      <c r="D43" s="32" t="s">
        <v>3</v>
      </c>
      <c r="E43" s="26" t="s">
        <v>803</v>
      </c>
      <c r="F43" s="47" t="s">
        <v>813</v>
      </c>
      <c r="G43" s="26">
        <v>1398196</v>
      </c>
      <c r="H43" s="26" t="s">
        <v>239</v>
      </c>
      <c r="I43" s="24" t="s">
        <v>196</v>
      </c>
      <c r="J43" s="54" t="s">
        <v>859</v>
      </c>
      <c r="K43" s="24" t="s">
        <v>861</v>
      </c>
      <c r="L43" s="27" t="s">
        <v>76</v>
      </c>
      <c r="M43" s="27" t="s">
        <v>866</v>
      </c>
      <c r="N43" s="26" t="s">
        <v>842</v>
      </c>
      <c r="O43" s="24" t="s">
        <v>88</v>
      </c>
      <c r="P43" s="24"/>
      <c r="Q43" s="24"/>
      <c r="R43" s="24">
        <v>220</v>
      </c>
      <c r="S43" s="25">
        <f>R43 + 295 -R43</f>
        <v>295</v>
      </c>
      <c r="T43" s="24">
        <f>S43</f>
        <v>295</v>
      </c>
      <c r="U43" s="24">
        <f>ROUNDDOWN(S43/HLOOKUP(D43,Table!$C$3:$D$4,2,0)*8,2)</f>
        <v>5.24</v>
      </c>
      <c r="V43" s="24">
        <v>2</v>
      </c>
      <c r="W43" s="24" t="s">
        <v>18</v>
      </c>
      <c r="X43" s="28">
        <v>43922</v>
      </c>
      <c r="Y43" s="28">
        <v>43929</v>
      </c>
      <c r="Z43" s="28">
        <v>43928</v>
      </c>
      <c r="AA43" s="28">
        <v>43928</v>
      </c>
      <c r="AB43" s="31" t="s">
        <v>160</v>
      </c>
      <c r="AC43" s="32">
        <v>100</v>
      </c>
      <c r="AD43" s="32">
        <v>96</v>
      </c>
      <c r="AE43" s="32">
        <v>94</v>
      </c>
      <c r="AF43" s="32" t="s">
        <v>795</v>
      </c>
      <c r="AG43" s="75" t="s">
        <v>1027</v>
      </c>
      <c r="AH43" s="27" t="s">
        <v>76</v>
      </c>
    </row>
    <row r="44" spans="2:34" x14ac:dyDescent="0.25">
      <c r="B44" s="138">
        <f t="shared" si="0"/>
        <v>42</v>
      </c>
      <c r="C44" s="26">
        <v>20200331</v>
      </c>
      <c r="D44" s="32" t="s">
        <v>3</v>
      </c>
      <c r="E44" s="26" t="s">
        <v>804</v>
      </c>
      <c r="F44" s="47" t="s">
        <v>814</v>
      </c>
      <c r="G44" s="26">
        <v>1397051</v>
      </c>
      <c r="H44" s="26" t="s">
        <v>818</v>
      </c>
      <c r="I44" s="24" t="s">
        <v>196</v>
      </c>
      <c r="J44" s="54">
        <v>99377</v>
      </c>
      <c r="K44" s="24" t="s">
        <v>863</v>
      </c>
      <c r="L44" s="27" t="s">
        <v>76</v>
      </c>
      <c r="M44" s="27" t="s">
        <v>867</v>
      </c>
      <c r="N44" s="26" t="s">
        <v>843</v>
      </c>
      <c r="O44" s="24" t="s">
        <v>87</v>
      </c>
      <c r="P44" s="24"/>
      <c r="Q44" s="24"/>
      <c r="R44" s="24">
        <v>156</v>
      </c>
      <c r="S44" s="25">
        <f>R44+159-156</f>
        <v>159</v>
      </c>
      <c r="T44" s="24">
        <f t="shared" ref="T44:T49" si="4">S44</f>
        <v>159</v>
      </c>
      <c r="U44" s="24">
        <f>ROUNDDOWN(S44/HLOOKUP(D44,Table!$C$3:$D$4,2,0)*8,2)</f>
        <v>2.82</v>
      </c>
      <c r="V44" s="24">
        <v>1.5</v>
      </c>
      <c r="W44" s="24" t="s">
        <v>18</v>
      </c>
      <c r="X44" s="28">
        <v>43922</v>
      </c>
      <c r="Y44" s="28">
        <v>43929</v>
      </c>
      <c r="Z44" s="28">
        <v>43922</v>
      </c>
      <c r="AA44" s="28">
        <v>43922</v>
      </c>
      <c r="AB44" s="167" t="s">
        <v>161</v>
      </c>
      <c r="AC44" s="32">
        <v>100</v>
      </c>
      <c r="AD44" s="32">
        <v>100</v>
      </c>
      <c r="AE44" s="32">
        <v>100</v>
      </c>
      <c r="AF44" s="32" t="s">
        <v>20</v>
      </c>
      <c r="AG44" s="27" t="s">
        <v>76</v>
      </c>
      <c r="AH44" s="27" t="s">
        <v>76</v>
      </c>
    </row>
    <row r="45" spans="2:34" x14ac:dyDescent="0.25">
      <c r="B45" s="138">
        <f t="shared" si="0"/>
        <v>43</v>
      </c>
      <c r="C45" s="26">
        <v>20200331</v>
      </c>
      <c r="D45" s="32" t="s">
        <v>3</v>
      </c>
      <c r="E45" s="26" t="s">
        <v>804</v>
      </c>
      <c r="F45" s="47" t="s">
        <v>815</v>
      </c>
      <c r="G45" s="26">
        <v>1397036</v>
      </c>
      <c r="H45" s="26" t="s">
        <v>818</v>
      </c>
      <c r="I45" s="24" t="s">
        <v>196</v>
      </c>
      <c r="J45" s="54">
        <v>99301</v>
      </c>
      <c r="K45" s="24" t="s">
        <v>864</v>
      </c>
      <c r="L45" s="27" t="s">
        <v>76</v>
      </c>
      <c r="M45" s="27" t="s">
        <v>867</v>
      </c>
      <c r="N45" s="26" t="s">
        <v>844</v>
      </c>
      <c r="O45" s="24" t="s">
        <v>87</v>
      </c>
      <c r="P45" s="24"/>
      <c r="Q45" s="24"/>
      <c r="R45" s="24">
        <v>156</v>
      </c>
      <c r="S45" s="25">
        <f>R45+159-156</f>
        <v>159</v>
      </c>
      <c r="T45" s="24">
        <f t="shared" si="4"/>
        <v>159</v>
      </c>
      <c r="U45" s="24">
        <f>ROUNDDOWN(S45/HLOOKUP(D45,Table!$C$3:$D$4,2,0)*8,2)</f>
        <v>2.82</v>
      </c>
      <c r="V45" s="24">
        <v>1.5</v>
      </c>
      <c r="W45" s="24" t="s">
        <v>18</v>
      </c>
      <c r="X45" s="28">
        <v>43922</v>
      </c>
      <c r="Y45" s="28">
        <v>43929</v>
      </c>
      <c r="Z45" s="28">
        <v>43922</v>
      </c>
      <c r="AA45" s="28">
        <v>43922</v>
      </c>
      <c r="AB45" s="167" t="s">
        <v>161</v>
      </c>
      <c r="AC45" s="32">
        <v>100</v>
      </c>
      <c r="AD45" s="32">
        <v>100</v>
      </c>
      <c r="AE45" s="32">
        <v>100</v>
      </c>
      <c r="AF45" s="32" t="s">
        <v>20</v>
      </c>
      <c r="AG45" s="27" t="s">
        <v>76</v>
      </c>
      <c r="AH45" s="27" t="s">
        <v>76</v>
      </c>
    </row>
    <row r="46" spans="2:34" x14ac:dyDescent="0.25">
      <c r="B46" s="138">
        <f t="shared" si="0"/>
        <v>44</v>
      </c>
      <c r="C46" s="26">
        <v>20200331</v>
      </c>
      <c r="D46" s="32" t="s">
        <v>3</v>
      </c>
      <c r="E46" s="26" t="s">
        <v>805</v>
      </c>
      <c r="F46" s="47" t="s">
        <v>816</v>
      </c>
      <c r="G46" s="26">
        <v>1396341</v>
      </c>
      <c r="H46" s="26" t="s">
        <v>819</v>
      </c>
      <c r="I46" s="24" t="s">
        <v>196</v>
      </c>
      <c r="J46" s="161" t="s">
        <v>76</v>
      </c>
      <c r="K46" s="24" t="s">
        <v>105</v>
      </c>
      <c r="L46" s="27" t="s">
        <v>76</v>
      </c>
      <c r="M46" s="27" t="s">
        <v>868</v>
      </c>
      <c r="N46" s="26" t="s">
        <v>845</v>
      </c>
      <c r="O46" s="24" t="s">
        <v>87</v>
      </c>
      <c r="P46" s="24"/>
      <c r="Q46" s="24"/>
      <c r="R46" s="24">
        <v>46</v>
      </c>
      <c r="S46" s="24">
        <f t="shared" si="3"/>
        <v>46</v>
      </c>
      <c r="T46" s="24">
        <f t="shared" si="4"/>
        <v>46</v>
      </c>
      <c r="U46" s="24">
        <f>ROUNDDOWN(S46/HLOOKUP(D46,Table!$C$3:$D$4,2,0)*8,2)</f>
        <v>0.81</v>
      </c>
      <c r="V46" s="24">
        <v>0.5</v>
      </c>
      <c r="W46" s="24" t="s">
        <v>18</v>
      </c>
      <c r="X46" s="28">
        <v>43922</v>
      </c>
      <c r="Y46" s="28">
        <v>43929</v>
      </c>
      <c r="Z46" s="28">
        <v>43922</v>
      </c>
      <c r="AA46" s="28">
        <v>43922</v>
      </c>
      <c r="AB46" s="167" t="s">
        <v>161</v>
      </c>
      <c r="AC46" s="32">
        <v>100</v>
      </c>
      <c r="AD46" s="32">
        <v>100</v>
      </c>
      <c r="AE46" s="32">
        <v>100</v>
      </c>
      <c r="AF46" s="32" t="s">
        <v>20</v>
      </c>
      <c r="AG46" s="27" t="s">
        <v>76</v>
      </c>
      <c r="AH46" s="27" t="s">
        <v>76</v>
      </c>
    </row>
    <row r="47" spans="2:34" x14ac:dyDescent="0.25">
      <c r="B47" s="138">
        <f t="shared" si="0"/>
        <v>45</v>
      </c>
      <c r="C47" s="26">
        <v>20200331</v>
      </c>
      <c r="D47" s="32" t="s">
        <v>3</v>
      </c>
      <c r="E47" s="26" t="s">
        <v>805</v>
      </c>
      <c r="F47" s="47" t="s">
        <v>816</v>
      </c>
      <c r="G47" s="26">
        <v>1396341</v>
      </c>
      <c r="H47" s="26" t="s">
        <v>820</v>
      </c>
      <c r="I47" s="24" t="s">
        <v>196</v>
      </c>
      <c r="J47" s="161" t="s">
        <v>76</v>
      </c>
      <c r="K47" s="24" t="s">
        <v>105</v>
      </c>
      <c r="L47" s="27" t="s">
        <v>76</v>
      </c>
      <c r="M47" s="27" t="s">
        <v>868</v>
      </c>
      <c r="N47" s="26" t="s">
        <v>846</v>
      </c>
      <c r="O47" s="24" t="s">
        <v>87</v>
      </c>
      <c r="P47" s="24"/>
      <c r="Q47" s="24"/>
      <c r="R47" s="24">
        <v>40</v>
      </c>
      <c r="S47" s="24">
        <f t="shared" si="3"/>
        <v>40</v>
      </c>
      <c r="T47" s="24">
        <f t="shared" si="4"/>
        <v>40</v>
      </c>
      <c r="U47" s="24">
        <f>ROUNDDOWN(S47/HLOOKUP(D47,Table!$C$3:$D$4,2,0)*8,2)</f>
        <v>0.71</v>
      </c>
      <c r="V47" s="24">
        <v>0.5</v>
      </c>
      <c r="W47" s="24" t="s">
        <v>18</v>
      </c>
      <c r="X47" s="28">
        <v>43922</v>
      </c>
      <c r="Y47" s="28">
        <v>43929</v>
      </c>
      <c r="Z47" s="28">
        <v>43922</v>
      </c>
      <c r="AA47" s="28">
        <v>43922</v>
      </c>
      <c r="AB47" s="167" t="s">
        <v>161</v>
      </c>
      <c r="AC47" s="23">
        <v>100</v>
      </c>
      <c r="AD47" s="23">
        <v>100</v>
      </c>
      <c r="AE47" s="23">
        <v>100</v>
      </c>
      <c r="AF47" s="23" t="s">
        <v>20</v>
      </c>
      <c r="AG47" s="27" t="s">
        <v>76</v>
      </c>
      <c r="AH47" s="27" t="s">
        <v>76</v>
      </c>
    </row>
    <row r="48" spans="2:34" x14ac:dyDescent="0.25">
      <c r="B48" s="138">
        <f t="shared" si="0"/>
        <v>46</v>
      </c>
      <c r="C48" s="26">
        <v>20200331</v>
      </c>
      <c r="D48" s="32" t="s">
        <v>3</v>
      </c>
      <c r="E48" s="26" t="s">
        <v>806</v>
      </c>
      <c r="F48" s="47" t="s">
        <v>817</v>
      </c>
      <c r="G48" s="26">
        <v>1395915</v>
      </c>
      <c r="H48" s="26" t="s">
        <v>848</v>
      </c>
      <c r="I48" s="24" t="s">
        <v>196</v>
      </c>
      <c r="J48" s="54">
        <v>81615</v>
      </c>
      <c r="K48" s="24" t="s">
        <v>865</v>
      </c>
      <c r="L48" s="27" t="s">
        <v>76</v>
      </c>
      <c r="M48" s="27" t="s">
        <v>869</v>
      </c>
      <c r="N48" s="26" t="s">
        <v>847</v>
      </c>
      <c r="O48" s="24" t="s">
        <v>87</v>
      </c>
      <c r="P48" s="24"/>
      <c r="Q48" s="24"/>
      <c r="R48" s="24">
        <v>136</v>
      </c>
      <c r="S48" s="24">
        <f t="shared" si="3"/>
        <v>136</v>
      </c>
      <c r="T48" s="24">
        <f t="shared" si="4"/>
        <v>136</v>
      </c>
      <c r="U48" s="24">
        <f>ROUNDDOWN(S48/HLOOKUP(D48,Table!$C$3:$D$4,2,0)*8,2)</f>
        <v>2.41</v>
      </c>
      <c r="V48" s="24">
        <v>1</v>
      </c>
      <c r="W48" s="24" t="s">
        <v>18</v>
      </c>
      <c r="X48" s="28">
        <v>43922</v>
      </c>
      <c r="Y48" s="28">
        <v>43929</v>
      </c>
      <c r="Z48" s="28">
        <v>43922</v>
      </c>
      <c r="AA48" s="28">
        <v>43922</v>
      </c>
      <c r="AB48" s="167" t="s">
        <v>161</v>
      </c>
      <c r="AC48" s="32">
        <v>100</v>
      </c>
      <c r="AD48" s="32">
        <v>100</v>
      </c>
      <c r="AE48" s="32">
        <v>100</v>
      </c>
      <c r="AF48" s="32" t="s">
        <v>20</v>
      </c>
      <c r="AG48" s="27" t="s">
        <v>76</v>
      </c>
      <c r="AH48" s="27" t="s">
        <v>76</v>
      </c>
    </row>
    <row r="49" spans="1:34" x14ac:dyDescent="0.25">
      <c r="B49" s="173">
        <f t="shared" si="0"/>
        <v>47</v>
      </c>
      <c r="C49" s="26">
        <v>20200403</v>
      </c>
      <c r="D49" s="32" t="s">
        <v>3</v>
      </c>
      <c r="E49" s="26" t="s">
        <v>870</v>
      </c>
      <c r="F49" s="157" t="s">
        <v>894</v>
      </c>
      <c r="G49" s="26">
        <v>1401513</v>
      </c>
      <c r="H49" s="180" t="s">
        <v>871</v>
      </c>
      <c r="I49" s="24" t="s">
        <v>196</v>
      </c>
      <c r="J49" s="161" t="s">
        <v>76</v>
      </c>
      <c r="K49" s="24" t="s">
        <v>875</v>
      </c>
      <c r="L49" s="27" t="s">
        <v>76</v>
      </c>
      <c r="M49" s="27" t="s">
        <v>876</v>
      </c>
      <c r="N49" s="26" t="s">
        <v>877</v>
      </c>
      <c r="O49" s="24" t="s">
        <v>86</v>
      </c>
      <c r="P49" s="24"/>
      <c r="Q49" s="24"/>
      <c r="R49" s="24">
        <v>370</v>
      </c>
      <c r="S49" s="25">
        <f>R49+388-R49</f>
        <v>388</v>
      </c>
      <c r="T49" s="24">
        <f t="shared" si="4"/>
        <v>388</v>
      </c>
      <c r="U49" s="24">
        <f>ROUNDDOWN(S49/HLOOKUP(D49,Table!$C$3:$D$4,2,0)*8,2)</f>
        <v>6.89</v>
      </c>
      <c r="V49" s="24">
        <v>4</v>
      </c>
      <c r="W49" s="24" t="s">
        <v>21</v>
      </c>
      <c r="X49" s="28">
        <v>43924</v>
      </c>
      <c r="Y49" s="28">
        <v>43924</v>
      </c>
      <c r="Z49" s="28">
        <v>43924</v>
      </c>
      <c r="AA49" s="28">
        <v>43924</v>
      </c>
      <c r="AB49" s="167" t="s">
        <v>161</v>
      </c>
      <c r="AC49" s="32">
        <v>100</v>
      </c>
      <c r="AD49" s="32">
        <v>100</v>
      </c>
      <c r="AE49" s="32">
        <v>100</v>
      </c>
      <c r="AF49" s="32" t="s">
        <v>20</v>
      </c>
      <c r="AG49" s="27" t="s">
        <v>76</v>
      </c>
      <c r="AH49" s="27" t="s">
        <v>76</v>
      </c>
    </row>
    <row r="50" spans="1:34" x14ac:dyDescent="0.25">
      <c r="B50" s="173">
        <f t="shared" si="0"/>
        <v>48</v>
      </c>
      <c r="C50" s="26">
        <v>20200403</v>
      </c>
      <c r="D50" s="32" t="s">
        <v>3</v>
      </c>
      <c r="E50" s="26" t="s">
        <v>870</v>
      </c>
      <c r="F50" s="157" t="s">
        <v>76</v>
      </c>
      <c r="G50" s="26">
        <v>1401513</v>
      </c>
      <c r="H50" s="26" t="s">
        <v>763</v>
      </c>
      <c r="I50" s="24" t="s">
        <v>196</v>
      </c>
      <c r="J50" s="161" t="s">
        <v>76</v>
      </c>
      <c r="K50" s="24" t="s">
        <v>875</v>
      </c>
      <c r="L50" s="27" t="s">
        <v>76</v>
      </c>
      <c r="M50" s="27" t="s">
        <v>876</v>
      </c>
      <c r="N50" s="26" t="s">
        <v>878</v>
      </c>
      <c r="O50" s="24" t="s">
        <v>85</v>
      </c>
      <c r="P50" s="24"/>
      <c r="Q50" s="24"/>
      <c r="R50" s="24">
        <v>54</v>
      </c>
      <c r="S50" s="24">
        <f t="shared" ref="S50:S57" si="5">R50</f>
        <v>54</v>
      </c>
      <c r="T50" s="24">
        <v>54</v>
      </c>
      <c r="U50" s="24">
        <f>ROUNDDOWN(S50/HLOOKUP(D50,Table!$C$3:$D$4,2,0)*8,2)</f>
        <v>0.96</v>
      </c>
      <c r="V50" s="24">
        <v>1</v>
      </c>
      <c r="W50" s="24" t="s">
        <v>21</v>
      </c>
      <c r="X50" s="28">
        <v>43924</v>
      </c>
      <c r="Y50" s="28">
        <v>43924</v>
      </c>
      <c r="Z50" s="28">
        <v>43924</v>
      </c>
      <c r="AA50" s="28">
        <v>43924</v>
      </c>
      <c r="AB50" s="167" t="s">
        <v>161</v>
      </c>
      <c r="AC50" s="32">
        <v>100</v>
      </c>
      <c r="AD50" s="32">
        <v>100</v>
      </c>
      <c r="AE50" s="32">
        <v>100</v>
      </c>
      <c r="AF50" s="32" t="s">
        <v>20</v>
      </c>
      <c r="AG50" s="27" t="s">
        <v>76</v>
      </c>
      <c r="AH50" s="27" t="s">
        <v>76</v>
      </c>
    </row>
    <row r="51" spans="1:34" x14ac:dyDescent="0.25">
      <c r="B51" s="173">
        <f t="shared" si="0"/>
        <v>49</v>
      </c>
      <c r="C51" s="26">
        <v>20200403</v>
      </c>
      <c r="D51" s="32" t="s">
        <v>3</v>
      </c>
      <c r="E51" s="26" t="s">
        <v>870</v>
      </c>
      <c r="F51" s="157" t="s">
        <v>76</v>
      </c>
      <c r="G51" s="26">
        <v>1401513</v>
      </c>
      <c r="H51" s="26" t="s">
        <v>79</v>
      </c>
      <c r="I51" s="24" t="s">
        <v>196</v>
      </c>
      <c r="J51" s="161" t="s">
        <v>76</v>
      </c>
      <c r="K51" s="24" t="s">
        <v>875</v>
      </c>
      <c r="L51" s="27" t="s">
        <v>76</v>
      </c>
      <c r="M51" s="27" t="s">
        <v>876</v>
      </c>
      <c r="N51" s="26" t="s">
        <v>879</v>
      </c>
      <c r="O51" s="24" t="s">
        <v>87</v>
      </c>
      <c r="P51" s="24"/>
      <c r="Q51" s="24"/>
      <c r="R51" s="24">
        <v>286</v>
      </c>
      <c r="S51" s="24">
        <f t="shared" si="5"/>
        <v>286</v>
      </c>
      <c r="T51" s="24">
        <f>S51</f>
        <v>286</v>
      </c>
      <c r="U51" s="24">
        <f>ROUNDDOWN(S51/HLOOKUP(D51,Table!$C$3:$D$4,2,0)*8,2)</f>
        <v>5.08</v>
      </c>
      <c r="V51" s="24">
        <v>5</v>
      </c>
      <c r="W51" s="24" t="s">
        <v>21</v>
      </c>
      <c r="X51" s="28">
        <v>43924</v>
      </c>
      <c r="Y51" s="28">
        <v>43924</v>
      </c>
      <c r="Z51" s="28">
        <v>43924</v>
      </c>
      <c r="AA51" s="28">
        <v>43924</v>
      </c>
      <c r="AB51" s="167" t="s">
        <v>161</v>
      </c>
      <c r="AC51" s="32">
        <v>100</v>
      </c>
      <c r="AD51" s="32">
        <v>100</v>
      </c>
      <c r="AE51" s="32">
        <v>100</v>
      </c>
      <c r="AF51" s="32" t="s">
        <v>20</v>
      </c>
      <c r="AG51" s="27" t="s">
        <v>76</v>
      </c>
      <c r="AH51" s="27" t="s">
        <v>76</v>
      </c>
    </row>
    <row r="52" spans="1:34" ht="90" x14ac:dyDescent="0.25">
      <c r="B52" s="173">
        <f t="shared" si="0"/>
        <v>50</v>
      </c>
      <c r="C52" s="26">
        <v>20200403</v>
      </c>
      <c r="D52" s="32" t="s">
        <v>3</v>
      </c>
      <c r="E52" s="26" t="s">
        <v>870</v>
      </c>
      <c r="F52" s="157" t="s">
        <v>76</v>
      </c>
      <c r="G52" s="26">
        <v>1401513</v>
      </c>
      <c r="H52" s="26" t="s">
        <v>872</v>
      </c>
      <c r="I52" s="24" t="s">
        <v>196</v>
      </c>
      <c r="J52" s="161" t="s">
        <v>76</v>
      </c>
      <c r="K52" s="24" t="s">
        <v>875</v>
      </c>
      <c r="L52" s="27" t="s">
        <v>76</v>
      </c>
      <c r="M52" s="27" t="s">
        <v>876</v>
      </c>
      <c r="N52" s="26" t="s">
        <v>880</v>
      </c>
      <c r="O52" s="24" t="s">
        <v>87</v>
      </c>
      <c r="P52" s="24"/>
      <c r="Q52" s="24"/>
      <c r="R52" s="24">
        <v>158</v>
      </c>
      <c r="S52" s="24">
        <f t="shared" si="5"/>
        <v>158</v>
      </c>
      <c r="T52" s="24">
        <f>S52</f>
        <v>158</v>
      </c>
      <c r="U52" s="24">
        <f>ROUNDDOWN(S52/HLOOKUP(D52,Table!$C$3:$D$4,2,0)*8,2)</f>
        <v>2.8</v>
      </c>
      <c r="V52" s="24">
        <v>3</v>
      </c>
      <c r="W52" s="24" t="s">
        <v>21</v>
      </c>
      <c r="X52" s="28">
        <v>43924</v>
      </c>
      <c r="Y52" s="28">
        <v>43924</v>
      </c>
      <c r="Z52" s="28">
        <v>43924</v>
      </c>
      <c r="AA52" s="28">
        <v>43924</v>
      </c>
      <c r="AB52" s="31" t="s">
        <v>160</v>
      </c>
      <c r="AC52" s="24">
        <v>95</v>
      </c>
      <c r="AD52" s="24">
        <v>97</v>
      </c>
      <c r="AE52" s="24">
        <v>100</v>
      </c>
      <c r="AF52" s="32" t="s">
        <v>795</v>
      </c>
      <c r="AG52" s="75" t="s">
        <v>909</v>
      </c>
      <c r="AH52" s="27" t="s">
        <v>910</v>
      </c>
    </row>
    <row r="53" spans="1:34" x14ac:dyDescent="0.25">
      <c r="B53" s="173">
        <f t="shared" si="0"/>
        <v>51</v>
      </c>
      <c r="C53" s="26">
        <v>20200403</v>
      </c>
      <c r="D53" s="32" t="s">
        <v>3</v>
      </c>
      <c r="E53" s="26" t="s">
        <v>870</v>
      </c>
      <c r="F53" s="177" t="s">
        <v>901</v>
      </c>
      <c r="G53" s="26">
        <v>1401513</v>
      </c>
      <c r="H53" s="26" t="s">
        <v>873</v>
      </c>
      <c r="I53" s="24" t="s">
        <v>196</v>
      </c>
      <c r="J53" s="161" t="s">
        <v>76</v>
      </c>
      <c r="K53" s="24" t="s">
        <v>875</v>
      </c>
      <c r="L53" s="27" t="s">
        <v>76</v>
      </c>
      <c r="M53" s="27" t="s">
        <v>876</v>
      </c>
      <c r="N53" s="26" t="s">
        <v>881</v>
      </c>
      <c r="O53" s="24" t="s">
        <v>85</v>
      </c>
      <c r="P53" s="24"/>
      <c r="Q53" s="24"/>
      <c r="R53" s="24">
        <v>202</v>
      </c>
      <c r="S53" s="24">
        <f t="shared" si="5"/>
        <v>202</v>
      </c>
      <c r="T53" s="24">
        <v>202</v>
      </c>
      <c r="U53" s="24">
        <f>ROUNDDOWN(S53/HLOOKUP(D53,Table!$C$3:$D$4,2,0)*8,2)</f>
        <v>3.59</v>
      </c>
      <c r="V53" s="24">
        <v>4</v>
      </c>
      <c r="W53" s="24" t="s">
        <v>108</v>
      </c>
      <c r="X53" s="28">
        <v>43924</v>
      </c>
      <c r="Y53" s="28">
        <v>43924</v>
      </c>
      <c r="Z53" s="28">
        <v>43924</v>
      </c>
      <c r="AA53" s="28">
        <v>43924</v>
      </c>
      <c r="AB53" s="167" t="s">
        <v>161</v>
      </c>
      <c r="AC53" s="32">
        <v>100</v>
      </c>
      <c r="AD53" s="32">
        <v>100</v>
      </c>
      <c r="AE53" s="32">
        <v>100</v>
      </c>
      <c r="AF53" s="32" t="s">
        <v>20</v>
      </c>
      <c r="AG53" s="27" t="s">
        <v>76</v>
      </c>
      <c r="AH53" s="27" t="s">
        <v>1019</v>
      </c>
    </row>
    <row r="54" spans="1:34" x14ac:dyDescent="0.25">
      <c r="B54" s="173">
        <f t="shared" si="0"/>
        <v>52</v>
      </c>
      <c r="C54" s="26">
        <v>20200403</v>
      </c>
      <c r="D54" s="32" t="s">
        <v>3</v>
      </c>
      <c r="E54" s="26" t="s">
        <v>870</v>
      </c>
      <c r="F54" s="182" t="s">
        <v>895</v>
      </c>
      <c r="G54" s="26">
        <v>1401513</v>
      </c>
      <c r="H54" s="180" t="s">
        <v>874</v>
      </c>
      <c r="I54" s="24" t="s">
        <v>196</v>
      </c>
      <c r="J54" s="161" t="s">
        <v>76</v>
      </c>
      <c r="K54" s="24" t="s">
        <v>875</v>
      </c>
      <c r="L54" s="27" t="s">
        <v>76</v>
      </c>
      <c r="M54" s="27" t="s">
        <v>876</v>
      </c>
      <c r="N54" s="26" t="s">
        <v>882</v>
      </c>
      <c r="O54" s="24" t="s">
        <v>86</v>
      </c>
      <c r="P54" s="24"/>
      <c r="Q54" s="24"/>
      <c r="R54" s="24">
        <v>133</v>
      </c>
      <c r="S54" s="24">
        <f t="shared" si="5"/>
        <v>133</v>
      </c>
      <c r="T54" s="24">
        <f>S54</f>
        <v>133</v>
      </c>
      <c r="U54" s="24">
        <f>ROUNDDOWN(S54/HLOOKUP(D54,Table!$C$3:$D$4,2,0)*8,2)</f>
        <v>2.36</v>
      </c>
      <c r="V54" s="24">
        <v>2</v>
      </c>
      <c r="W54" s="24" t="s">
        <v>21</v>
      </c>
      <c r="X54" s="28">
        <v>43924</v>
      </c>
      <c r="Y54" s="28">
        <v>43924</v>
      </c>
      <c r="Z54" s="28">
        <v>43924</v>
      </c>
      <c r="AA54" s="28">
        <v>43924</v>
      </c>
      <c r="AB54" s="167" t="s">
        <v>161</v>
      </c>
      <c r="AC54" s="23">
        <v>100</v>
      </c>
      <c r="AD54" s="23">
        <v>100</v>
      </c>
      <c r="AE54" s="23">
        <v>100</v>
      </c>
      <c r="AF54" s="23" t="s">
        <v>20</v>
      </c>
      <c r="AG54" s="27" t="s">
        <v>76</v>
      </c>
      <c r="AH54" s="174" t="s">
        <v>899</v>
      </c>
    </row>
    <row r="55" spans="1:34" x14ac:dyDescent="0.25">
      <c r="B55" s="173">
        <f t="shared" si="0"/>
        <v>53</v>
      </c>
      <c r="C55" s="26">
        <v>20200403</v>
      </c>
      <c r="D55" s="32" t="s">
        <v>3</v>
      </c>
      <c r="E55" s="26" t="s">
        <v>66</v>
      </c>
      <c r="F55" s="157" t="s">
        <v>886</v>
      </c>
      <c r="G55" s="26">
        <v>1399233</v>
      </c>
      <c r="H55" s="26" t="s">
        <v>278</v>
      </c>
      <c r="I55" s="24" t="s">
        <v>196</v>
      </c>
      <c r="J55" s="161" t="s">
        <v>76</v>
      </c>
      <c r="K55" s="24" t="s">
        <v>884</v>
      </c>
      <c r="L55" s="27" t="s">
        <v>76</v>
      </c>
      <c r="M55" s="27" t="s">
        <v>885</v>
      </c>
      <c r="N55" s="26" t="s">
        <v>883</v>
      </c>
      <c r="O55" s="24" t="s">
        <v>85</v>
      </c>
      <c r="P55" s="24"/>
      <c r="Q55" s="24"/>
      <c r="R55" s="24">
        <v>178</v>
      </c>
      <c r="S55" s="24">
        <f t="shared" si="5"/>
        <v>178</v>
      </c>
      <c r="T55" s="24">
        <v>178</v>
      </c>
      <c r="U55" s="24">
        <f>ROUNDDOWN(S55/HLOOKUP(D55,Table!$C$3:$D$4,2,0)*8,2)</f>
        <v>3.16</v>
      </c>
      <c r="V55" s="24">
        <v>3</v>
      </c>
      <c r="W55" s="24" t="s">
        <v>21</v>
      </c>
      <c r="X55" s="28">
        <v>43924</v>
      </c>
      <c r="Y55" s="28">
        <v>43924</v>
      </c>
      <c r="Z55" s="28">
        <v>43924</v>
      </c>
      <c r="AA55" s="28">
        <v>43924</v>
      </c>
      <c r="AB55" s="167" t="s">
        <v>161</v>
      </c>
      <c r="AC55" s="32">
        <v>100</v>
      </c>
      <c r="AD55" s="32">
        <v>100</v>
      </c>
      <c r="AE55" s="32">
        <v>100</v>
      </c>
      <c r="AF55" s="32" t="s">
        <v>20</v>
      </c>
      <c r="AG55" s="27" t="s">
        <v>76</v>
      </c>
      <c r="AH55" s="27" t="s">
        <v>76</v>
      </c>
    </row>
    <row r="56" spans="1:34" x14ac:dyDescent="0.25">
      <c r="B56" s="173">
        <f t="shared" si="0"/>
        <v>54</v>
      </c>
      <c r="C56" s="26">
        <v>20200403</v>
      </c>
      <c r="D56" s="32" t="s">
        <v>3</v>
      </c>
      <c r="E56" s="26" t="s">
        <v>870</v>
      </c>
      <c r="F56" s="182" t="s">
        <v>896</v>
      </c>
      <c r="G56" s="26">
        <v>1401513</v>
      </c>
      <c r="H56" s="180" t="s">
        <v>874</v>
      </c>
      <c r="I56" s="24" t="s">
        <v>196</v>
      </c>
      <c r="J56" s="161" t="s">
        <v>76</v>
      </c>
      <c r="K56" s="24" t="s">
        <v>875</v>
      </c>
      <c r="L56" s="27" t="s">
        <v>76</v>
      </c>
      <c r="M56" s="27" t="s">
        <v>876</v>
      </c>
      <c r="N56" s="26" t="s">
        <v>903</v>
      </c>
      <c r="O56" s="24" t="s">
        <v>86</v>
      </c>
      <c r="P56" s="24"/>
      <c r="Q56" s="24"/>
      <c r="R56" s="24">
        <v>133</v>
      </c>
      <c r="S56" s="24">
        <f>R56</f>
        <v>133</v>
      </c>
      <c r="T56" s="24">
        <f>S56</f>
        <v>133</v>
      </c>
      <c r="U56" s="24">
        <f>ROUNDDOWN(S56/HLOOKUP(D56,Table!$C$3:$D$4,2,0)*8,2)</f>
        <v>2.36</v>
      </c>
      <c r="V56" s="24">
        <v>2</v>
      </c>
      <c r="W56" s="24" t="s">
        <v>21</v>
      </c>
      <c r="X56" s="28">
        <v>43924</v>
      </c>
      <c r="Y56" s="28">
        <v>43924</v>
      </c>
      <c r="Z56" s="28">
        <v>43924</v>
      </c>
      <c r="AA56" s="28">
        <v>43924</v>
      </c>
      <c r="AB56" s="175" t="s">
        <v>161</v>
      </c>
      <c r="AC56" s="176">
        <v>100</v>
      </c>
      <c r="AD56" s="176">
        <v>100</v>
      </c>
      <c r="AE56" s="176">
        <v>100</v>
      </c>
      <c r="AF56" s="176" t="s">
        <v>20</v>
      </c>
      <c r="AG56" s="27" t="s">
        <v>76</v>
      </c>
      <c r="AH56" s="174" t="s">
        <v>900</v>
      </c>
    </row>
    <row r="57" spans="1:34" x14ac:dyDescent="0.25">
      <c r="B57" s="173">
        <f t="shared" si="0"/>
        <v>55</v>
      </c>
      <c r="C57" s="26">
        <v>20200403</v>
      </c>
      <c r="D57" s="32" t="s">
        <v>3</v>
      </c>
      <c r="E57" s="26" t="s">
        <v>870</v>
      </c>
      <c r="F57" s="177" t="s">
        <v>902</v>
      </c>
      <c r="G57" s="26">
        <v>1401513</v>
      </c>
      <c r="H57" s="26" t="s">
        <v>873</v>
      </c>
      <c r="I57" s="24" t="s">
        <v>196</v>
      </c>
      <c r="J57" s="161" t="s">
        <v>76</v>
      </c>
      <c r="K57" s="24" t="s">
        <v>875</v>
      </c>
      <c r="L57" s="27" t="s">
        <v>76</v>
      </c>
      <c r="M57" s="27" t="s">
        <v>876</v>
      </c>
      <c r="N57" s="26" t="s">
        <v>920</v>
      </c>
      <c r="O57" s="24" t="s">
        <v>85</v>
      </c>
      <c r="P57" s="24"/>
      <c r="Q57" s="24"/>
      <c r="R57" s="24">
        <v>202</v>
      </c>
      <c r="S57" s="24">
        <f t="shared" si="5"/>
        <v>202</v>
      </c>
      <c r="T57" s="24">
        <v>202</v>
      </c>
      <c r="U57" s="24">
        <f>ROUNDDOWN(S57/HLOOKUP(D57,Table!$C$3:$D$4,2,0)*8,2)</f>
        <v>3.59</v>
      </c>
      <c r="V57" s="24">
        <v>4</v>
      </c>
      <c r="W57" s="24" t="s">
        <v>108</v>
      </c>
      <c r="X57" s="28">
        <v>43924</v>
      </c>
      <c r="Y57" s="28">
        <v>43924</v>
      </c>
      <c r="Z57" s="28">
        <v>43924</v>
      </c>
      <c r="AA57" s="28">
        <v>43924</v>
      </c>
      <c r="AB57" s="167" t="s">
        <v>161</v>
      </c>
      <c r="AC57" s="32">
        <v>100</v>
      </c>
      <c r="AD57" s="32">
        <v>100</v>
      </c>
      <c r="AE57" s="32">
        <v>100</v>
      </c>
      <c r="AF57" s="32" t="s">
        <v>20</v>
      </c>
      <c r="AG57" s="27" t="s">
        <v>76</v>
      </c>
      <c r="AH57" s="27" t="s">
        <v>1020</v>
      </c>
    </row>
    <row r="58" spans="1:34" x14ac:dyDescent="0.25">
      <c r="B58" s="181">
        <f t="shared" si="0"/>
        <v>56</v>
      </c>
      <c r="C58" s="26">
        <v>20200403</v>
      </c>
      <c r="D58" s="32" t="s">
        <v>3</v>
      </c>
      <c r="E58" s="26" t="s">
        <v>911</v>
      </c>
      <c r="F58" s="47" t="s">
        <v>927</v>
      </c>
      <c r="G58" s="26">
        <v>1404971</v>
      </c>
      <c r="H58" s="26" t="s">
        <v>270</v>
      </c>
      <c r="I58" s="24" t="s">
        <v>196</v>
      </c>
      <c r="J58" s="54">
        <v>81484</v>
      </c>
      <c r="K58" s="24" t="s">
        <v>916</v>
      </c>
      <c r="L58" s="27" t="s">
        <v>76</v>
      </c>
      <c r="M58" s="27" t="s">
        <v>917</v>
      </c>
      <c r="N58" s="26" t="s">
        <v>921</v>
      </c>
      <c r="O58" s="24" t="s">
        <v>87</v>
      </c>
      <c r="P58" s="24"/>
      <c r="Q58" s="24"/>
      <c r="R58" s="24">
        <v>130</v>
      </c>
      <c r="S58" s="25">
        <f>R58+357-R58</f>
        <v>357</v>
      </c>
      <c r="T58" s="24">
        <f>S58</f>
        <v>357</v>
      </c>
      <c r="U58" s="24">
        <f>ROUNDDOWN(S58/HLOOKUP(D58,Table!$C$3:$D$4,2,0)*8,2)</f>
        <v>6.34</v>
      </c>
      <c r="V58" s="24">
        <v>8</v>
      </c>
      <c r="W58" s="24" t="s">
        <v>18</v>
      </c>
      <c r="X58" s="28">
        <v>43924</v>
      </c>
      <c r="Y58" s="28">
        <v>43928</v>
      </c>
      <c r="Z58" s="28">
        <v>43927</v>
      </c>
      <c r="AA58" s="28">
        <v>43927</v>
      </c>
      <c r="AB58" s="175" t="s">
        <v>161</v>
      </c>
      <c r="AC58" s="176">
        <v>100</v>
      </c>
      <c r="AD58" s="176">
        <v>100</v>
      </c>
      <c r="AE58" s="176">
        <v>100</v>
      </c>
      <c r="AF58" s="176" t="s">
        <v>20</v>
      </c>
      <c r="AG58" s="27" t="s">
        <v>76</v>
      </c>
      <c r="AH58" s="27" t="s">
        <v>76</v>
      </c>
    </row>
    <row r="59" spans="1:34" x14ac:dyDescent="0.25">
      <c r="B59" s="181">
        <f t="shared" si="0"/>
        <v>57</v>
      </c>
      <c r="C59" s="26">
        <v>20200403</v>
      </c>
      <c r="D59" s="32" t="s">
        <v>3</v>
      </c>
      <c r="E59" s="26" t="s">
        <v>912</v>
      </c>
      <c r="F59" s="47" t="s">
        <v>928</v>
      </c>
      <c r="G59" s="26">
        <v>1404901</v>
      </c>
      <c r="H59" s="26" t="s">
        <v>913</v>
      </c>
      <c r="I59" s="24" t="s">
        <v>196</v>
      </c>
      <c r="J59" s="54">
        <v>99885</v>
      </c>
      <c r="K59" s="24" t="s">
        <v>93</v>
      </c>
      <c r="L59" s="27" t="s">
        <v>76</v>
      </c>
      <c r="M59" s="27" t="s">
        <v>918</v>
      </c>
      <c r="N59" s="26" t="s">
        <v>922</v>
      </c>
      <c r="O59" s="24" t="s">
        <v>87</v>
      </c>
      <c r="P59" s="24"/>
      <c r="Q59" s="24"/>
      <c r="R59" s="24">
        <v>180</v>
      </c>
      <c r="S59" s="25">
        <f>R59+210-180</f>
        <v>210</v>
      </c>
      <c r="T59" s="24">
        <f>S59</f>
        <v>210</v>
      </c>
      <c r="U59" s="24">
        <f>ROUNDDOWN(S59/HLOOKUP(D59,Table!$C$3:$D$4,2,0)*8,2)</f>
        <v>3.73</v>
      </c>
      <c r="V59" s="24">
        <v>2</v>
      </c>
      <c r="W59" s="24" t="s">
        <v>18</v>
      </c>
      <c r="X59" s="28">
        <v>43924</v>
      </c>
      <c r="Y59" s="28">
        <v>43928</v>
      </c>
      <c r="Z59" s="28">
        <v>43928</v>
      </c>
      <c r="AA59" s="28">
        <v>43928</v>
      </c>
      <c r="AB59" s="175" t="s">
        <v>161</v>
      </c>
      <c r="AC59" s="176">
        <v>100</v>
      </c>
      <c r="AD59" s="176">
        <v>100</v>
      </c>
      <c r="AE59" s="176">
        <v>100</v>
      </c>
      <c r="AF59" s="176" t="s">
        <v>20</v>
      </c>
      <c r="AG59" s="27" t="s">
        <v>76</v>
      </c>
      <c r="AH59" s="27" t="s">
        <v>76</v>
      </c>
    </row>
    <row r="60" spans="1:34" x14ac:dyDescent="0.25">
      <c r="B60" s="181">
        <f t="shared" si="0"/>
        <v>58</v>
      </c>
      <c r="C60" s="26">
        <v>20200403</v>
      </c>
      <c r="D60" s="32" t="s">
        <v>3</v>
      </c>
      <c r="E60" s="26" t="s">
        <v>657</v>
      </c>
      <c r="F60" s="47" t="s">
        <v>929</v>
      </c>
      <c r="G60" s="26">
        <v>1404877</v>
      </c>
      <c r="H60" s="26" t="s">
        <v>914</v>
      </c>
      <c r="I60" s="24" t="s">
        <v>196</v>
      </c>
      <c r="J60" s="161" t="s">
        <v>76</v>
      </c>
      <c r="K60" s="24" t="s">
        <v>665</v>
      </c>
      <c r="L60" s="27" t="s">
        <v>76</v>
      </c>
      <c r="M60" s="27" t="s">
        <v>919</v>
      </c>
      <c r="N60" s="26" t="s">
        <v>923</v>
      </c>
      <c r="O60" s="24" t="s">
        <v>85</v>
      </c>
      <c r="P60" s="24"/>
      <c r="Q60" s="24"/>
      <c r="R60" s="24">
        <v>291</v>
      </c>
      <c r="S60" s="24">
        <f t="shared" ref="S60:S61" si="6">R60</f>
        <v>291</v>
      </c>
      <c r="T60" s="24">
        <f>S60</f>
        <v>291</v>
      </c>
      <c r="U60" s="24">
        <f>ROUNDDOWN(S60/HLOOKUP(D60,Table!$C$3:$D$4,2,0)*8,2)</f>
        <v>5.17</v>
      </c>
      <c r="V60" s="24">
        <v>5</v>
      </c>
      <c r="W60" s="24" t="s">
        <v>18</v>
      </c>
      <c r="X60" s="28">
        <v>43924</v>
      </c>
      <c r="Y60" s="28">
        <v>43928</v>
      </c>
      <c r="Z60" s="28">
        <v>43928</v>
      </c>
      <c r="AA60" s="28">
        <v>43928</v>
      </c>
      <c r="AB60" s="32" t="s">
        <v>161</v>
      </c>
      <c r="AC60" s="32">
        <v>100</v>
      </c>
      <c r="AD60" s="32">
        <v>100</v>
      </c>
      <c r="AE60" s="32">
        <v>100</v>
      </c>
      <c r="AF60" s="176" t="s">
        <v>20</v>
      </c>
      <c r="AG60" s="27" t="s">
        <v>76</v>
      </c>
      <c r="AH60" s="27" t="s">
        <v>76</v>
      </c>
    </row>
    <row r="61" spans="1:34" x14ac:dyDescent="0.25">
      <c r="B61" s="181">
        <f t="shared" si="0"/>
        <v>59</v>
      </c>
      <c r="C61" s="26">
        <v>20200403</v>
      </c>
      <c r="D61" s="32" t="s">
        <v>3</v>
      </c>
      <c r="E61" s="26" t="s">
        <v>657</v>
      </c>
      <c r="F61" s="47" t="s">
        <v>930</v>
      </c>
      <c r="G61" s="26">
        <v>1400940</v>
      </c>
      <c r="H61" s="26" t="s">
        <v>915</v>
      </c>
      <c r="I61" s="24" t="s">
        <v>196</v>
      </c>
      <c r="J61" s="54">
        <v>99186</v>
      </c>
      <c r="K61" s="24" t="s">
        <v>665</v>
      </c>
      <c r="L61" s="27" t="s">
        <v>76</v>
      </c>
      <c r="M61" s="27" t="s">
        <v>918</v>
      </c>
      <c r="N61" s="26" t="s">
        <v>924</v>
      </c>
      <c r="O61" s="24" t="s">
        <v>88</v>
      </c>
      <c r="P61" s="24"/>
      <c r="Q61" s="24"/>
      <c r="R61" s="186">
        <v>138</v>
      </c>
      <c r="S61" s="24">
        <f t="shared" si="6"/>
        <v>138</v>
      </c>
      <c r="T61" s="24">
        <f>S61</f>
        <v>138</v>
      </c>
      <c r="U61" s="24">
        <f>ROUNDDOWN(S61/HLOOKUP(D61,Table!$C$3:$D$4,2,0)*8,2)</f>
        <v>2.4500000000000002</v>
      </c>
      <c r="V61" s="24">
        <v>1</v>
      </c>
      <c r="W61" s="24" t="s">
        <v>18</v>
      </c>
      <c r="X61" s="28">
        <v>43924</v>
      </c>
      <c r="Y61" s="28">
        <v>43928</v>
      </c>
      <c r="Z61" s="28">
        <v>43927</v>
      </c>
      <c r="AA61" s="28">
        <v>43927</v>
      </c>
      <c r="AB61" s="32" t="s">
        <v>161</v>
      </c>
      <c r="AC61" s="32">
        <v>100</v>
      </c>
      <c r="AD61" s="32">
        <v>100</v>
      </c>
      <c r="AE61" s="32">
        <v>100</v>
      </c>
      <c r="AF61" s="176" t="s">
        <v>20</v>
      </c>
      <c r="AG61" s="27" t="s">
        <v>76</v>
      </c>
      <c r="AH61" s="27" t="s">
        <v>76</v>
      </c>
    </row>
    <row r="62" spans="1:34" x14ac:dyDescent="0.25">
      <c r="B62" s="138">
        <f t="shared" si="0"/>
        <v>60</v>
      </c>
      <c r="C62" s="26">
        <v>20200403</v>
      </c>
      <c r="D62" s="32" t="s">
        <v>3</v>
      </c>
      <c r="E62" s="26" t="s">
        <v>925</v>
      </c>
      <c r="F62" s="47" t="s">
        <v>931</v>
      </c>
      <c r="G62" s="26">
        <v>1400247</v>
      </c>
      <c r="H62" s="26" t="s">
        <v>934</v>
      </c>
      <c r="I62" s="24" t="s">
        <v>196</v>
      </c>
      <c r="J62" s="54" t="s">
        <v>941</v>
      </c>
      <c r="K62" s="24" t="s">
        <v>943</v>
      </c>
      <c r="L62" s="27" t="s">
        <v>76</v>
      </c>
      <c r="M62" s="27" t="s">
        <v>945</v>
      </c>
      <c r="N62" s="26" t="s">
        <v>936</v>
      </c>
      <c r="O62" s="24" t="s">
        <v>88</v>
      </c>
      <c r="P62" s="24"/>
      <c r="Q62" s="24"/>
      <c r="R62" s="24">
        <v>471</v>
      </c>
      <c r="S62" s="24">
        <f>R62</f>
        <v>471</v>
      </c>
      <c r="T62" s="24"/>
      <c r="U62" s="24">
        <f>ROUNDDOWN(S62/HLOOKUP(D62,Table!$C$3:$D$4,2,0)*8,2)</f>
        <v>8.3699999999999992</v>
      </c>
      <c r="V62" s="24"/>
      <c r="W62" s="24"/>
      <c r="X62" s="28">
        <v>43924</v>
      </c>
      <c r="Y62" s="28">
        <v>43935</v>
      </c>
      <c r="Z62" s="28"/>
      <c r="AA62" s="28"/>
      <c r="AB62" s="31"/>
      <c r="AC62" s="24"/>
      <c r="AD62" s="24"/>
      <c r="AE62" s="24"/>
      <c r="AF62" s="24"/>
      <c r="AG62" s="27" t="s">
        <v>76</v>
      </c>
      <c r="AH62" s="27" t="s">
        <v>76</v>
      </c>
    </row>
    <row r="63" spans="1:34" x14ac:dyDescent="0.25">
      <c r="B63" s="138">
        <f t="shared" si="0"/>
        <v>61</v>
      </c>
      <c r="C63" s="26">
        <v>20200403</v>
      </c>
      <c r="D63" s="32" t="s">
        <v>3</v>
      </c>
      <c r="E63" s="26" t="s">
        <v>925</v>
      </c>
      <c r="F63" s="47" t="s">
        <v>932</v>
      </c>
      <c r="G63" s="26">
        <v>1400247</v>
      </c>
      <c r="H63" s="26" t="s">
        <v>935</v>
      </c>
      <c r="I63" s="24" t="s">
        <v>196</v>
      </c>
      <c r="J63" s="54" t="s">
        <v>942</v>
      </c>
      <c r="K63" s="24" t="s">
        <v>943</v>
      </c>
      <c r="L63" s="27" t="s">
        <v>76</v>
      </c>
      <c r="M63" s="27" t="s">
        <v>945</v>
      </c>
      <c r="N63" s="26" t="s">
        <v>937</v>
      </c>
      <c r="O63" s="24" t="s">
        <v>88</v>
      </c>
      <c r="P63" s="24"/>
      <c r="Q63" s="24"/>
      <c r="R63" s="24">
        <v>142</v>
      </c>
      <c r="S63" s="24">
        <f t="shared" ref="S63" si="7">R63</f>
        <v>142</v>
      </c>
      <c r="T63" s="24"/>
      <c r="U63" s="24">
        <f>ROUNDDOWN(S63/HLOOKUP(D63,Table!$C$3:$D$4,2,0)*8,2)</f>
        <v>2.52</v>
      </c>
      <c r="V63" s="24"/>
      <c r="W63" s="24"/>
      <c r="X63" s="28">
        <v>43924</v>
      </c>
      <c r="Y63" s="28">
        <v>43935</v>
      </c>
      <c r="Z63" s="28"/>
      <c r="AA63" s="28"/>
      <c r="AB63" s="31"/>
      <c r="AC63" s="24"/>
      <c r="AD63" s="24"/>
      <c r="AE63" s="24"/>
      <c r="AF63" s="24"/>
      <c r="AG63" s="27" t="s">
        <v>76</v>
      </c>
      <c r="AH63" s="27" t="s">
        <v>76</v>
      </c>
    </row>
    <row r="64" spans="1:34" x14ac:dyDescent="0.25">
      <c r="B64" s="138">
        <f t="shared" si="0"/>
        <v>62</v>
      </c>
      <c r="C64" s="26">
        <v>20200403</v>
      </c>
      <c r="D64" s="32" t="s">
        <v>3</v>
      </c>
      <c r="E64" s="26" t="s">
        <v>804</v>
      </c>
      <c r="F64" s="47" t="s">
        <v>814</v>
      </c>
      <c r="G64" s="26">
        <v>1399090</v>
      </c>
      <c r="H64" s="184" t="s">
        <v>274</v>
      </c>
      <c r="I64" s="24" t="s">
        <v>196</v>
      </c>
      <c r="J64" s="54">
        <v>99377</v>
      </c>
      <c r="K64" s="24" t="s">
        <v>863</v>
      </c>
      <c r="L64" s="27" t="s">
        <v>76</v>
      </c>
      <c r="M64" s="27" t="s">
        <v>867</v>
      </c>
      <c r="N64" s="26" t="s">
        <v>938</v>
      </c>
      <c r="O64" s="24" t="s">
        <v>86</v>
      </c>
      <c r="P64" s="24"/>
      <c r="Q64" s="24"/>
      <c r="R64" s="24">
        <v>191</v>
      </c>
      <c r="S64" s="25">
        <f>R64+220-R64</f>
        <v>220</v>
      </c>
      <c r="T64" s="24">
        <f t="shared" ref="T64:T70" si="8">S64</f>
        <v>220</v>
      </c>
      <c r="U64" s="24">
        <f>ROUNDDOWN(S64/HLOOKUP(D64,Table!$C$3:$D$4,2,0)*8,2)</f>
        <v>3.91</v>
      </c>
      <c r="V64" s="24">
        <v>8</v>
      </c>
      <c r="W64" s="24" t="s">
        <v>18</v>
      </c>
      <c r="X64" s="28">
        <v>43924</v>
      </c>
      <c r="Y64" s="28">
        <v>43927</v>
      </c>
      <c r="Z64" s="28">
        <v>43927</v>
      </c>
      <c r="AA64" s="28">
        <v>43927</v>
      </c>
      <c r="AB64" s="175" t="s">
        <v>161</v>
      </c>
      <c r="AC64" s="176">
        <v>100</v>
      </c>
      <c r="AD64" s="176">
        <v>100</v>
      </c>
      <c r="AE64" s="176">
        <v>100</v>
      </c>
      <c r="AF64" s="176" t="s">
        <v>20</v>
      </c>
      <c r="AG64" s="27" t="s">
        <v>76</v>
      </c>
      <c r="AH64" s="27" t="s">
        <v>76</v>
      </c>
    </row>
    <row r="65" spans="1:36" x14ac:dyDescent="0.25">
      <c r="B65" s="138">
        <f t="shared" si="0"/>
        <v>63</v>
      </c>
      <c r="C65" s="26">
        <v>20200403</v>
      </c>
      <c r="D65" s="32" t="s">
        <v>3</v>
      </c>
      <c r="E65" s="26" t="s">
        <v>926</v>
      </c>
      <c r="F65" s="47" t="s">
        <v>933</v>
      </c>
      <c r="G65" s="26">
        <v>1401728</v>
      </c>
      <c r="H65" s="26" t="s">
        <v>341</v>
      </c>
      <c r="I65" s="24" t="s">
        <v>196</v>
      </c>
      <c r="J65" s="54">
        <v>98982</v>
      </c>
      <c r="K65" s="24" t="s">
        <v>944</v>
      </c>
      <c r="L65" s="27" t="s">
        <v>76</v>
      </c>
      <c r="M65" s="27" t="s">
        <v>946</v>
      </c>
      <c r="N65" s="26" t="s">
        <v>939</v>
      </c>
      <c r="O65" s="24" t="s">
        <v>87</v>
      </c>
      <c r="P65" s="24"/>
      <c r="Q65" s="24"/>
      <c r="R65" s="24">
        <v>145</v>
      </c>
      <c r="S65" s="25">
        <f>R65+107-145</f>
        <v>107</v>
      </c>
      <c r="T65" s="24">
        <f t="shared" si="8"/>
        <v>107</v>
      </c>
      <c r="U65" s="24">
        <f>ROUNDDOWN(S65/HLOOKUP(D65,Table!$C$3:$D$4,2,0)*8,2)</f>
        <v>1.9</v>
      </c>
      <c r="V65" s="24">
        <v>1</v>
      </c>
      <c r="W65" s="24" t="s">
        <v>18</v>
      </c>
      <c r="X65" s="28">
        <v>43924</v>
      </c>
      <c r="Y65" s="28">
        <v>43935</v>
      </c>
      <c r="Z65" s="28">
        <v>43928</v>
      </c>
      <c r="AA65" s="28">
        <v>43928</v>
      </c>
      <c r="AB65" s="167" t="s">
        <v>161</v>
      </c>
      <c r="AC65" s="32">
        <v>100</v>
      </c>
      <c r="AD65" s="32">
        <v>100</v>
      </c>
      <c r="AE65" s="32">
        <v>100</v>
      </c>
      <c r="AF65" s="32" t="s">
        <v>20</v>
      </c>
      <c r="AG65" s="27" t="s">
        <v>76</v>
      </c>
      <c r="AH65" s="27" t="s">
        <v>76</v>
      </c>
    </row>
    <row r="66" spans="1:36" x14ac:dyDescent="0.25">
      <c r="B66" s="138">
        <f t="shared" si="0"/>
        <v>64</v>
      </c>
      <c r="C66" s="26">
        <v>20200403</v>
      </c>
      <c r="D66" s="32" t="s">
        <v>3</v>
      </c>
      <c r="E66" s="26" t="s">
        <v>926</v>
      </c>
      <c r="F66" s="47" t="s">
        <v>933</v>
      </c>
      <c r="G66" s="26">
        <v>1401728</v>
      </c>
      <c r="H66" s="26" t="s">
        <v>340</v>
      </c>
      <c r="I66" s="24" t="s">
        <v>196</v>
      </c>
      <c r="J66" s="54">
        <v>98982</v>
      </c>
      <c r="K66" s="24" t="s">
        <v>944</v>
      </c>
      <c r="L66" s="27" t="s">
        <v>76</v>
      </c>
      <c r="M66" s="27" t="s">
        <v>867</v>
      </c>
      <c r="N66" s="26" t="s">
        <v>940</v>
      </c>
      <c r="O66" s="24" t="s">
        <v>87</v>
      </c>
      <c r="P66" s="24"/>
      <c r="Q66" s="24"/>
      <c r="R66" s="24">
        <v>120</v>
      </c>
      <c r="S66" s="25">
        <f>R66+342-120</f>
        <v>342</v>
      </c>
      <c r="T66" s="24">
        <f t="shared" si="8"/>
        <v>342</v>
      </c>
      <c r="U66" s="24">
        <f>ROUNDDOWN(S66/HLOOKUP(D66,Table!$C$3:$D$4,2,0)*8,2)</f>
        <v>6.08</v>
      </c>
      <c r="V66" s="24">
        <v>3</v>
      </c>
      <c r="W66" s="24" t="s">
        <v>18</v>
      </c>
      <c r="X66" s="28">
        <v>43924</v>
      </c>
      <c r="Y66" s="28">
        <v>43935</v>
      </c>
      <c r="Z66" s="28">
        <v>43928</v>
      </c>
      <c r="AA66" s="28">
        <v>43928</v>
      </c>
      <c r="AB66" s="175" t="s">
        <v>161</v>
      </c>
      <c r="AC66" s="176">
        <v>100</v>
      </c>
      <c r="AD66" s="176">
        <v>100</v>
      </c>
      <c r="AE66" s="176">
        <v>100</v>
      </c>
      <c r="AF66" s="176" t="s">
        <v>20</v>
      </c>
      <c r="AG66" s="27" t="s">
        <v>76</v>
      </c>
      <c r="AH66" s="27" t="s">
        <v>76</v>
      </c>
    </row>
    <row r="67" spans="1:36" ht="30" x14ac:dyDescent="0.25">
      <c r="B67" s="183">
        <f t="shared" si="0"/>
        <v>65</v>
      </c>
      <c r="C67" s="26">
        <v>20200403</v>
      </c>
      <c r="D67" s="32" t="s">
        <v>3</v>
      </c>
      <c r="E67" s="26" t="s">
        <v>757</v>
      </c>
      <c r="F67" s="47" t="s">
        <v>950</v>
      </c>
      <c r="G67" s="26">
        <v>1402131</v>
      </c>
      <c r="H67" s="26" t="s">
        <v>239</v>
      </c>
      <c r="I67" s="24" t="s">
        <v>197</v>
      </c>
      <c r="J67" s="54">
        <v>99185</v>
      </c>
      <c r="K67" s="24" t="s">
        <v>792</v>
      </c>
      <c r="L67" s="27" t="s">
        <v>76</v>
      </c>
      <c r="M67" s="27" t="s">
        <v>655</v>
      </c>
      <c r="N67" s="26" t="s">
        <v>958</v>
      </c>
      <c r="O67" s="24" t="s">
        <v>88</v>
      </c>
      <c r="P67" s="24"/>
      <c r="Q67" s="24"/>
      <c r="R67" s="24">
        <v>220</v>
      </c>
      <c r="S67" s="25">
        <f>R67+282-220</f>
        <v>282</v>
      </c>
      <c r="T67" s="24">
        <f t="shared" si="8"/>
        <v>282</v>
      </c>
      <c r="U67" s="24">
        <f>ROUNDDOWN(S67/HLOOKUP(D67,Table!$C$3:$D$4,2,0)*8,2)</f>
        <v>5.01</v>
      </c>
      <c r="V67" s="24">
        <v>1</v>
      </c>
      <c r="W67" s="24" t="s">
        <v>18</v>
      </c>
      <c r="X67" s="28">
        <v>43924</v>
      </c>
      <c r="Y67" s="28">
        <v>43931</v>
      </c>
      <c r="Z67" s="28">
        <v>43928</v>
      </c>
      <c r="AA67" s="28">
        <v>43928</v>
      </c>
      <c r="AB67" s="188" t="s">
        <v>160</v>
      </c>
      <c r="AC67" s="32">
        <v>100</v>
      </c>
      <c r="AD67" s="32">
        <v>96</v>
      </c>
      <c r="AE67" s="32">
        <v>94</v>
      </c>
      <c r="AF67" s="32" t="s">
        <v>795</v>
      </c>
      <c r="AG67" s="75" t="s">
        <v>1027</v>
      </c>
      <c r="AH67" s="27" t="s">
        <v>76</v>
      </c>
    </row>
    <row r="68" spans="1:36" x14ac:dyDescent="0.25">
      <c r="B68" s="183">
        <f t="shared" si="0"/>
        <v>66</v>
      </c>
      <c r="C68" s="26">
        <v>20200403</v>
      </c>
      <c r="D68" s="32" t="s">
        <v>3</v>
      </c>
      <c r="E68" s="26" t="s">
        <v>757</v>
      </c>
      <c r="F68" s="47" t="s">
        <v>951</v>
      </c>
      <c r="G68" s="26">
        <v>1402131</v>
      </c>
      <c r="H68" s="26" t="s">
        <v>650</v>
      </c>
      <c r="I68" s="24" t="s">
        <v>197</v>
      </c>
      <c r="J68" s="54">
        <v>99185</v>
      </c>
      <c r="K68" s="24" t="s">
        <v>792</v>
      </c>
      <c r="L68" s="27" t="s">
        <v>76</v>
      </c>
      <c r="M68" s="27" t="s">
        <v>655</v>
      </c>
      <c r="N68" s="26" t="s">
        <v>959</v>
      </c>
      <c r="O68" s="24" t="s">
        <v>88</v>
      </c>
      <c r="P68" s="24"/>
      <c r="Q68" s="24"/>
      <c r="R68" s="24">
        <v>189</v>
      </c>
      <c r="S68" s="25">
        <f>R68+42-R68</f>
        <v>42</v>
      </c>
      <c r="T68" s="24">
        <f t="shared" si="8"/>
        <v>42</v>
      </c>
      <c r="U68" s="24">
        <f>ROUNDDOWN(S68/HLOOKUP(D68,Table!$C$3:$D$4,2,0)*8,2)</f>
        <v>0.74</v>
      </c>
      <c r="V68" s="24">
        <v>0.7</v>
      </c>
      <c r="W68" s="24" t="s">
        <v>18</v>
      </c>
      <c r="X68" s="28">
        <v>43924</v>
      </c>
      <c r="Y68" s="28">
        <v>43931</v>
      </c>
      <c r="Z68" s="28">
        <v>43929</v>
      </c>
      <c r="AA68" s="28">
        <v>43929</v>
      </c>
      <c r="AB68" s="167" t="s">
        <v>161</v>
      </c>
      <c r="AC68" s="32">
        <v>100</v>
      </c>
      <c r="AD68" s="32">
        <v>100</v>
      </c>
      <c r="AE68" s="32">
        <v>100</v>
      </c>
      <c r="AF68" s="32" t="s">
        <v>20</v>
      </c>
      <c r="AG68" s="27" t="s">
        <v>76</v>
      </c>
      <c r="AH68" s="27" t="s">
        <v>76</v>
      </c>
    </row>
    <row r="69" spans="1:36" x14ac:dyDescent="0.25">
      <c r="B69" s="183">
        <f t="shared" ref="B69:B108" si="9">B68+1</f>
        <v>67</v>
      </c>
      <c r="C69" s="26">
        <v>20200403</v>
      </c>
      <c r="D69" s="32" t="s">
        <v>3</v>
      </c>
      <c r="E69" s="26" t="s">
        <v>802</v>
      </c>
      <c r="F69" s="47" t="s">
        <v>952</v>
      </c>
      <c r="G69" s="26">
        <v>1402078</v>
      </c>
      <c r="H69" s="26" t="s">
        <v>650</v>
      </c>
      <c r="I69" s="24" t="s">
        <v>197</v>
      </c>
      <c r="J69" s="54">
        <v>99180</v>
      </c>
      <c r="K69" s="24" t="s">
        <v>860</v>
      </c>
      <c r="L69" s="27" t="s">
        <v>76</v>
      </c>
      <c r="M69" s="27" t="s">
        <v>655</v>
      </c>
      <c r="N69" s="26" t="s">
        <v>960</v>
      </c>
      <c r="O69" s="24" t="s">
        <v>87</v>
      </c>
      <c r="P69" s="24"/>
      <c r="Q69" s="24"/>
      <c r="R69" s="24">
        <v>189</v>
      </c>
      <c r="S69" s="25">
        <f>R69+42-R69</f>
        <v>42</v>
      </c>
      <c r="T69" s="24">
        <f t="shared" si="8"/>
        <v>42</v>
      </c>
      <c r="U69" s="24">
        <f>ROUNDDOWN(S69/HLOOKUP(D69,Table!$C$3:$D$4,2,0)*8,2)</f>
        <v>0.74</v>
      </c>
      <c r="V69" s="24">
        <v>0.5</v>
      </c>
      <c r="W69" s="24" t="s">
        <v>18</v>
      </c>
      <c r="X69" s="28">
        <v>43924</v>
      </c>
      <c r="Y69" s="28">
        <v>43931</v>
      </c>
      <c r="Z69" s="28">
        <v>43928</v>
      </c>
      <c r="AA69" s="28">
        <v>43928</v>
      </c>
      <c r="AB69" s="175" t="s">
        <v>161</v>
      </c>
      <c r="AC69" s="190">
        <v>100</v>
      </c>
      <c r="AD69" s="32">
        <v>100</v>
      </c>
      <c r="AE69" s="32">
        <v>100</v>
      </c>
      <c r="AF69" s="32" t="s">
        <v>20</v>
      </c>
      <c r="AG69" s="191" t="s">
        <v>76</v>
      </c>
      <c r="AH69" s="191" t="s">
        <v>76</v>
      </c>
      <c r="AI69" s="192"/>
      <c r="AJ69" s="192"/>
    </row>
    <row r="70" spans="1:36" ht="30" x14ac:dyDescent="0.25">
      <c r="B70" s="183">
        <f t="shared" si="9"/>
        <v>68</v>
      </c>
      <c r="C70" s="26">
        <v>20200403</v>
      </c>
      <c r="D70" s="32" t="s">
        <v>3</v>
      </c>
      <c r="E70" s="26" t="s">
        <v>802</v>
      </c>
      <c r="F70" s="47" t="s">
        <v>953</v>
      </c>
      <c r="G70" s="26">
        <v>1402078</v>
      </c>
      <c r="H70" s="26" t="s">
        <v>239</v>
      </c>
      <c r="I70" s="24" t="s">
        <v>197</v>
      </c>
      <c r="J70" s="54">
        <v>99180</v>
      </c>
      <c r="K70" s="24" t="s">
        <v>860</v>
      </c>
      <c r="L70" s="27" t="s">
        <v>76</v>
      </c>
      <c r="M70" s="27" t="s">
        <v>655</v>
      </c>
      <c r="N70" s="26" t="s">
        <v>961</v>
      </c>
      <c r="O70" s="24" t="s">
        <v>87</v>
      </c>
      <c r="P70" s="24"/>
      <c r="Q70" s="24"/>
      <c r="R70" s="24">
        <v>220</v>
      </c>
      <c r="S70" s="25">
        <f>R70+282-220</f>
        <v>282</v>
      </c>
      <c r="T70" s="24">
        <f t="shared" si="8"/>
        <v>282</v>
      </c>
      <c r="U70" s="24">
        <f>ROUNDDOWN(S70/HLOOKUP(D70,Table!$C$3:$D$4,2,0)*8,2)</f>
        <v>5.01</v>
      </c>
      <c r="V70" s="24">
        <v>1.5</v>
      </c>
      <c r="W70" s="24" t="s">
        <v>18</v>
      </c>
      <c r="X70" s="28">
        <v>43924</v>
      </c>
      <c r="Y70" s="28">
        <v>43931</v>
      </c>
      <c r="Z70" s="28">
        <v>43928</v>
      </c>
      <c r="AA70" s="28">
        <v>43928</v>
      </c>
      <c r="AB70" s="189" t="s">
        <v>160</v>
      </c>
      <c r="AC70" s="32">
        <v>100</v>
      </c>
      <c r="AD70" s="32">
        <v>96</v>
      </c>
      <c r="AE70" s="32">
        <v>94</v>
      </c>
      <c r="AF70" s="32" t="s">
        <v>795</v>
      </c>
      <c r="AG70" s="75" t="s">
        <v>1027</v>
      </c>
      <c r="AH70" s="27" t="s">
        <v>76</v>
      </c>
    </row>
    <row r="71" spans="1:36" x14ac:dyDescent="0.25">
      <c r="B71" s="183">
        <f t="shared" si="9"/>
        <v>69</v>
      </c>
      <c r="C71" s="26">
        <v>20200403</v>
      </c>
      <c r="D71" s="32" t="s">
        <v>3</v>
      </c>
      <c r="E71" s="26" t="s">
        <v>806</v>
      </c>
      <c r="F71" s="47" t="s">
        <v>947</v>
      </c>
      <c r="G71" s="26">
        <v>1401196</v>
      </c>
      <c r="H71" s="26" t="s">
        <v>954</v>
      </c>
      <c r="I71" s="24" t="s">
        <v>196</v>
      </c>
      <c r="J71" s="54">
        <v>81615</v>
      </c>
      <c r="K71" s="24" t="s">
        <v>865</v>
      </c>
      <c r="L71" s="27" t="s">
        <v>76</v>
      </c>
      <c r="M71" s="27" t="s">
        <v>957</v>
      </c>
      <c r="N71" s="26" t="s">
        <v>962</v>
      </c>
      <c r="O71" s="24" t="s">
        <v>85</v>
      </c>
      <c r="P71" s="24"/>
      <c r="Q71" s="24"/>
      <c r="R71" s="24">
        <v>34</v>
      </c>
      <c r="S71" s="24">
        <f t="shared" ref="S71:S72" si="10">R71</f>
        <v>34</v>
      </c>
      <c r="T71" s="24"/>
      <c r="U71" s="24">
        <f>ROUNDDOWN(S71/HLOOKUP(D71,Table!$C$3:$D$4,2,0)*8,2)</f>
        <v>0.6</v>
      </c>
      <c r="V71" s="24"/>
      <c r="W71" s="24"/>
      <c r="X71" s="28">
        <v>43924</v>
      </c>
      <c r="Y71" s="28">
        <v>43931</v>
      </c>
      <c r="Z71" s="28"/>
      <c r="AA71" s="28"/>
      <c r="AB71" s="167"/>
      <c r="AC71" s="32"/>
      <c r="AD71" s="32"/>
      <c r="AE71" s="32"/>
      <c r="AF71" s="32"/>
      <c r="AG71" s="27" t="s">
        <v>76</v>
      </c>
      <c r="AH71" s="27" t="s">
        <v>76</v>
      </c>
    </row>
    <row r="72" spans="1:36" x14ac:dyDescent="0.25">
      <c r="B72" s="183">
        <f t="shared" si="9"/>
        <v>70</v>
      </c>
      <c r="C72" s="26">
        <v>20200403</v>
      </c>
      <c r="D72" s="32" t="s">
        <v>3</v>
      </c>
      <c r="E72" s="26" t="s">
        <v>806</v>
      </c>
      <c r="F72" s="47" t="s">
        <v>948</v>
      </c>
      <c r="G72" s="26">
        <v>1401196</v>
      </c>
      <c r="H72" s="26" t="s">
        <v>955</v>
      </c>
      <c r="I72" s="24" t="s">
        <v>196</v>
      </c>
      <c r="J72" s="54">
        <v>81615</v>
      </c>
      <c r="K72" s="24" t="s">
        <v>865</v>
      </c>
      <c r="L72" s="27" t="s">
        <v>76</v>
      </c>
      <c r="M72" s="27" t="s">
        <v>957</v>
      </c>
      <c r="N72" s="26" t="s">
        <v>963</v>
      </c>
      <c r="O72" s="24" t="s">
        <v>85</v>
      </c>
      <c r="P72" s="24"/>
      <c r="Q72" s="24"/>
      <c r="R72" s="24">
        <v>34</v>
      </c>
      <c r="S72" s="24">
        <f t="shared" si="10"/>
        <v>34</v>
      </c>
      <c r="T72" s="24"/>
      <c r="U72" s="24">
        <f>ROUNDDOWN(S72/HLOOKUP(D72,Table!$C$3:$D$4,2,0)*8,2)</f>
        <v>0.6</v>
      </c>
      <c r="V72" s="24"/>
      <c r="W72" s="24"/>
      <c r="X72" s="28">
        <v>43924</v>
      </c>
      <c r="Y72" s="28">
        <v>43931</v>
      </c>
      <c r="Z72" s="28"/>
      <c r="AA72" s="28"/>
      <c r="AB72" s="167"/>
      <c r="AC72" s="32"/>
      <c r="AD72" s="32"/>
      <c r="AE72" s="32"/>
      <c r="AF72" s="32"/>
      <c r="AG72" s="27" t="s">
        <v>76</v>
      </c>
      <c r="AH72" s="27" t="s">
        <v>76</v>
      </c>
    </row>
    <row r="73" spans="1:36" x14ac:dyDescent="0.25">
      <c r="B73" s="183">
        <f t="shared" si="9"/>
        <v>71</v>
      </c>
      <c r="C73" s="26">
        <v>20200403</v>
      </c>
      <c r="D73" s="32" t="s">
        <v>3</v>
      </c>
      <c r="E73" s="26" t="s">
        <v>806</v>
      </c>
      <c r="F73" s="47" t="s">
        <v>949</v>
      </c>
      <c r="G73" s="26">
        <v>1401196</v>
      </c>
      <c r="H73" s="26" t="s">
        <v>956</v>
      </c>
      <c r="I73" s="24" t="s">
        <v>196</v>
      </c>
      <c r="J73" s="54">
        <v>81615</v>
      </c>
      <c r="K73" s="24" t="s">
        <v>865</v>
      </c>
      <c r="L73" s="27" t="s">
        <v>76</v>
      </c>
      <c r="M73" s="27" t="s">
        <v>957</v>
      </c>
      <c r="N73" s="26" t="s">
        <v>964</v>
      </c>
      <c r="O73" s="24" t="s">
        <v>85</v>
      </c>
      <c r="P73" s="24"/>
      <c r="Q73" s="24"/>
      <c r="R73" s="24">
        <v>489</v>
      </c>
      <c r="S73" s="194">
        <v>572</v>
      </c>
      <c r="T73" s="24">
        <f t="shared" ref="T73:T78" si="11">S73</f>
        <v>572</v>
      </c>
      <c r="U73" s="24">
        <f>ROUNDDOWN(S73/HLOOKUP(D73,Table!$C$3:$D$4,2,0)*8,2)</f>
        <v>10.16</v>
      </c>
      <c r="V73" s="24">
        <v>8</v>
      </c>
      <c r="W73" s="24" t="s">
        <v>18</v>
      </c>
      <c r="X73" s="28">
        <v>43924</v>
      </c>
      <c r="Y73" s="28">
        <v>43931</v>
      </c>
      <c r="Z73" s="28"/>
      <c r="AA73" s="28"/>
      <c r="AB73" s="167"/>
      <c r="AC73" s="32"/>
      <c r="AD73" s="32"/>
      <c r="AE73" s="32"/>
      <c r="AF73" s="32"/>
      <c r="AG73" s="27" t="s">
        <v>76</v>
      </c>
      <c r="AH73" s="27" t="s">
        <v>76</v>
      </c>
    </row>
    <row r="74" spans="1:36" ht="28.5" customHeight="1" x14ac:dyDescent="0.25">
      <c r="B74" s="185">
        <f t="shared" si="9"/>
        <v>72</v>
      </c>
      <c r="C74" s="26">
        <v>20200406</v>
      </c>
      <c r="D74" s="32" t="s">
        <v>3</v>
      </c>
      <c r="E74" s="43" t="s">
        <v>76</v>
      </c>
      <c r="F74" s="47" t="s">
        <v>76</v>
      </c>
      <c r="G74" s="47" t="s">
        <v>76</v>
      </c>
      <c r="H74" s="184" t="s">
        <v>968</v>
      </c>
      <c r="I74" s="27" t="s">
        <v>196</v>
      </c>
      <c r="J74" s="161" t="s">
        <v>76</v>
      </c>
      <c r="K74" s="24" t="s">
        <v>1029</v>
      </c>
      <c r="L74" s="43" t="s">
        <v>986</v>
      </c>
      <c r="M74" s="27" t="s">
        <v>76</v>
      </c>
      <c r="N74" s="26" t="s">
        <v>1001</v>
      </c>
      <c r="O74" s="24" t="s">
        <v>86</v>
      </c>
      <c r="P74" s="24"/>
      <c r="Q74" s="24"/>
      <c r="R74" s="42">
        <v>195</v>
      </c>
      <c r="S74" s="24">
        <f t="shared" ref="S74:S91" si="12">R74</f>
        <v>195</v>
      </c>
      <c r="T74" s="24">
        <f t="shared" si="11"/>
        <v>195</v>
      </c>
      <c r="U74" s="42">
        <f>ROUNDDOWN(S74/HLOOKUP(D74,Table!$C$3:$D$4,2,0)*8,2)</f>
        <v>3.46</v>
      </c>
      <c r="V74" s="24">
        <v>2</v>
      </c>
      <c r="W74" s="24" t="s">
        <v>18</v>
      </c>
      <c r="X74" s="28">
        <v>43927</v>
      </c>
      <c r="Y74" s="28">
        <v>43933</v>
      </c>
      <c r="Z74" s="28">
        <v>43928</v>
      </c>
      <c r="AA74" s="28">
        <v>43928</v>
      </c>
      <c r="AB74" s="167" t="s">
        <v>160</v>
      </c>
      <c r="AC74" s="32">
        <v>72</v>
      </c>
      <c r="AD74" s="32">
        <v>30</v>
      </c>
      <c r="AE74" s="32">
        <v>100</v>
      </c>
      <c r="AF74" s="32" t="s">
        <v>795</v>
      </c>
      <c r="AG74" s="75" t="s">
        <v>1030</v>
      </c>
      <c r="AH74" s="27" t="s">
        <v>1057</v>
      </c>
    </row>
    <row r="75" spans="1:36" x14ac:dyDescent="0.25">
      <c r="B75" s="185">
        <f t="shared" si="9"/>
        <v>73</v>
      </c>
      <c r="C75" s="26">
        <v>20200406</v>
      </c>
      <c r="D75" s="32" t="s">
        <v>3</v>
      </c>
      <c r="E75" s="43" t="s">
        <v>76</v>
      </c>
      <c r="F75" s="47" t="s">
        <v>76</v>
      </c>
      <c r="G75" s="47" t="s">
        <v>76</v>
      </c>
      <c r="H75" s="184" t="s">
        <v>969</v>
      </c>
      <c r="I75" s="27" t="s">
        <v>196</v>
      </c>
      <c r="J75" s="161" t="s">
        <v>76</v>
      </c>
      <c r="K75" s="24" t="s">
        <v>1029</v>
      </c>
      <c r="L75" s="42">
        <v>0.3</v>
      </c>
      <c r="M75" s="27" t="s">
        <v>76</v>
      </c>
      <c r="N75" s="26" t="s">
        <v>1002</v>
      </c>
      <c r="O75" s="24" t="s">
        <v>86</v>
      </c>
      <c r="P75" s="24"/>
      <c r="Q75" s="24"/>
      <c r="R75" s="42">
        <v>7</v>
      </c>
      <c r="S75" s="24">
        <f t="shared" si="12"/>
        <v>7</v>
      </c>
      <c r="T75" s="24">
        <f t="shared" si="11"/>
        <v>7</v>
      </c>
      <c r="U75" s="42">
        <f>ROUNDDOWN(S75/HLOOKUP(D75,Table!$C$3:$D$4,2,0)*8,2)</f>
        <v>0.12</v>
      </c>
      <c r="V75" s="24">
        <v>0</v>
      </c>
      <c r="W75" s="24" t="s">
        <v>18</v>
      </c>
      <c r="X75" s="28">
        <v>43927</v>
      </c>
      <c r="Y75" s="28">
        <v>43933</v>
      </c>
      <c r="Z75" s="28">
        <v>43928</v>
      </c>
      <c r="AA75" s="28">
        <v>43928</v>
      </c>
      <c r="AB75" s="167" t="s">
        <v>161</v>
      </c>
      <c r="AC75" s="32"/>
      <c r="AD75" s="32"/>
      <c r="AE75" s="32"/>
      <c r="AF75" s="32" t="s">
        <v>20</v>
      </c>
      <c r="AG75" s="27" t="s">
        <v>76</v>
      </c>
      <c r="AH75" s="27" t="s">
        <v>1031</v>
      </c>
    </row>
    <row r="76" spans="1:36" x14ac:dyDescent="0.25">
      <c r="B76" s="185">
        <f t="shared" si="9"/>
        <v>74</v>
      </c>
      <c r="C76" s="26">
        <v>20200406</v>
      </c>
      <c r="D76" s="32" t="s">
        <v>3</v>
      </c>
      <c r="E76" s="43" t="s">
        <v>76</v>
      </c>
      <c r="F76" s="47" t="s">
        <v>76</v>
      </c>
      <c r="G76" s="47" t="s">
        <v>76</v>
      </c>
      <c r="H76" s="184" t="s">
        <v>970</v>
      </c>
      <c r="I76" s="27" t="s">
        <v>196</v>
      </c>
      <c r="J76" s="161" t="s">
        <v>76</v>
      </c>
      <c r="K76" s="24" t="s">
        <v>1029</v>
      </c>
      <c r="L76" s="42">
        <v>2.2000000000000002</v>
      </c>
      <c r="M76" s="27" t="s">
        <v>76</v>
      </c>
      <c r="N76" s="26" t="s">
        <v>1003</v>
      </c>
      <c r="O76" s="24" t="s">
        <v>86</v>
      </c>
      <c r="P76" s="24"/>
      <c r="Q76" s="24"/>
      <c r="R76" s="42">
        <v>17</v>
      </c>
      <c r="S76" s="24">
        <f t="shared" si="12"/>
        <v>17</v>
      </c>
      <c r="T76" s="24">
        <f t="shared" si="11"/>
        <v>17</v>
      </c>
      <c r="U76" s="42">
        <f>ROUNDDOWN(S76/HLOOKUP(D76,Table!$C$3:$D$4,2,0)*8,2)</f>
        <v>0.3</v>
      </c>
      <c r="V76" s="24">
        <v>0</v>
      </c>
      <c r="W76" s="24" t="s">
        <v>18</v>
      </c>
      <c r="X76" s="28">
        <v>43927</v>
      </c>
      <c r="Y76" s="28">
        <v>43933</v>
      </c>
      <c r="Z76" s="28">
        <v>43928</v>
      </c>
      <c r="AA76" s="28">
        <v>43928</v>
      </c>
      <c r="AB76" s="167" t="s">
        <v>161</v>
      </c>
      <c r="AC76" s="32"/>
      <c r="AD76" s="32"/>
      <c r="AE76" s="32"/>
      <c r="AF76" s="32" t="s">
        <v>20</v>
      </c>
      <c r="AG76" s="27" t="s">
        <v>76</v>
      </c>
      <c r="AH76" s="27" t="s">
        <v>1031</v>
      </c>
    </row>
    <row r="77" spans="1:36" x14ac:dyDescent="0.25">
      <c r="B77" s="185">
        <f t="shared" si="9"/>
        <v>75</v>
      </c>
      <c r="C77" s="26">
        <v>20200406</v>
      </c>
      <c r="D77" s="32" t="s">
        <v>3</v>
      </c>
      <c r="E77" s="43" t="s">
        <v>76</v>
      </c>
      <c r="F77" s="47" t="s">
        <v>76</v>
      </c>
      <c r="G77" s="47" t="s">
        <v>76</v>
      </c>
      <c r="H77" s="184" t="s">
        <v>971</v>
      </c>
      <c r="I77" s="27" t="s">
        <v>196</v>
      </c>
      <c r="J77" s="161" t="s">
        <v>76</v>
      </c>
      <c r="K77" s="24" t="s">
        <v>1029</v>
      </c>
      <c r="L77" s="43" t="s">
        <v>987</v>
      </c>
      <c r="M77" s="27" t="s">
        <v>76</v>
      </c>
      <c r="N77" s="26" t="s">
        <v>1004</v>
      </c>
      <c r="O77" s="24" t="s">
        <v>86</v>
      </c>
      <c r="P77" s="24"/>
      <c r="Q77" s="24"/>
      <c r="R77" s="42">
        <v>1</v>
      </c>
      <c r="S77" s="24">
        <f t="shared" si="12"/>
        <v>1</v>
      </c>
      <c r="T77" s="24">
        <f t="shared" si="11"/>
        <v>1</v>
      </c>
      <c r="U77" s="42">
        <f>ROUNDDOWN(S77/HLOOKUP(D77,Table!$C$3:$D$4,2,0)*8,2)</f>
        <v>0.01</v>
      </c>
      <c r="V77" s="24">
        <v>0</v>
      </c>
      <c r="W77" s="24" t="s">
        <v>18</v>
      </c>
      <c r="X77" s="28">
        <v>43927</v>
      </c>
      <c r="Y77" s="28">
        <v>43933</v>
      </c>
      <c r="Z77" s="28">
        <v>43928</v>
      </c>
      <c r="AA77" s="28">
        <v>43928</v>
      </c>
      <c r="AB77" s="167" t="s">
        <v>161</v>
      </c>
      <c r="AC77" s="32"/>
      <c r="AD77" s="32"/>
      <c r="AE77" s="32"/>
      <c r="AF77" s="32" t="s">
        <v>20</v>
      </c>
      <c r="AG77" s="27" t="s">
        <v>76</v>
      </c>
      <c r="AH77" s="27" t="s">
        <v>1031</v>
      </c>
    </row>
    <row r="78" spans="1:36" x14ac:dyDescent="0.25">
      <c r="B78" s="185">
        <f t="shared" si="9"/>
        <v>76</v>
      </c>
      <c r="C78" s="26">
        <v>20200406</v>
      </c>
      <c r="D78" s="32" t="s">
        <v>3</v>
      </c>
      <c r="E78" s="43" t="s">
        <v>76</v>
      </c>
      <c r="F78" s="47" t="s">
        <v>76</v>
      </c>
      <c r="G78" s="47" t="s">
        <v>76</v>
      </c>
      <c r="H78" s="42" t="s">
        <v>972</v>
      </c>
      <c r="I78" s="27" t="s">
        <v>196</v>
      </c>
      <c r="J78" s="161" t="s">
        <v>76</v>
      </c>
      <c r="K78" s="24" t="s">
        <v>1029</v>
      </c>
      <c r="L78" s="43" t="s">
        <v>988</v>
      </c>
      <c r="M78" s="27" t="s">
        <v>76</v>
      </c>
      <c r="N78" s="26" t="s">
        <v>1005</v>
      </c>
      <c r="O78" s="24" t="s">
        <v>88</v>
      </c>
      <c r="P78" s="24"/>
      <c r="Q78" s="24"/>
      <c r="R78" s="42">
        <v>144</v>
      </c>
      <c r="S78" s="24">
        <f t="shared" si="12"/>
        <v>144</v>
      </c>
      <c r="T78" s="24">
        <f t="shared" si="11"/>
        <v>144</v>
      </c>
      <c r="U78" s="42">
        <f>ROUNDDOWN(S78/HLOOKUP(D78,Table!$C$3:$D$4,2,0)*8,2)</f>
        <v>2.56</v>
      </c>
      <c r="V78" s="24">
        <v>0.5</v>
      </c>
      <c r="W78" s="24" t="s">
        <v>18</v>
      </c>
      <c r="X78" s="28">
        <v>43927</v>
      </c>
      <c r="Y78" s="28">
        <v>43933</v>
      </c>
      <c r="Z78" s="28">
        <v>43928</v>
      </c>
      <c r="AA78" s="28">
        <v>43928</v>
      </c>
      <c r="AB78" s="167"/>
      <c r="AC78" s="32"/>
      <c r="AD78" s="32"/>
      <c r="AE78" s="32"/>
      <c r="AF78" s="32"/>
      <c r="AG78" s="27" t="s">
        <v>1032</v>
      </c>
      <c r="AH78" s="27" t="s">
        <v>76</v>
      </c>
    </row>
    <row r="79" spans="1:36" x14ac:dyDescent="0.25">
      <c r="B79" s="185">
        <f t="shared" si="9"/>
        <v>77</v>
      </c>
      <c r="C79" s="26">
        <v>20200406</v>
      </c>
      <c r="D79" s="32" t="s">
        <v>3</v>
      </c>
      <c r="E79" s="43" t="s">
        <v>76</v>
      </c>
      <c r="F79" s="43" t="s">
        <v>1039</v>
      </c>
      <c r="G79" s="47" t="s">
        <v>76</v>
      </c>
      <c r="H79" s="42" t="s">
        <v>973</v>
      </c>
      <c r="I79" s="27" t="s">
        <v>196</v>
      </c>
      <c r="J79" s="161" t="s">
        <v>76</v>
      </c>
      <c r="K79" s="24" t="s">
        <v>1029</v>
      </c>
      <c r="L79" s="43" t="s">
        <v>989</v>
      </c>
      <c r="M79" s="27" t="s">
        <v>76</v>
      </c>
      <c r="N79" s="26" t="s">
        <v>1006</v>
      </c>
      <c r="O79" s="24" t="s">
        <v>88</v>
      </c>
      <c r="P79" s="24"/>
      <c r="Q79" s="24"/>
      <c r="R79" s="42">
        <v>456</v>
      </c>
      <c r="S79" s="24">
        <f t="shared" si="12"/>
        <v>456</v>
      </c>
      <c r="T79" s="24">
        <f>S79</f>
        <v>456</v>
      </c>
      <c r="U79" s="42">
        <f>ROUNDDOWN(S79/HLOOKUP(D79,Table!$C$3:$D$4,2,0)*8,2)</f>
        <v>8.1</v>
      </c>
      <c r="V79" s="24">
        <v>5</v>
      </c>
      <c r="W79" s="24" t="s">
        <v>18</v>
      </c>
      <c r="X79" s="28">
        <v>43927</v>
      </c>
      <c r="Y79" s="28">
        <v>43933</v>
      </c>
      <c r="Z79" s="28">
        <v>43929</v>
      </c>
      <c r="AA79" s="28">
        <v>43929</v>
      </c>
      <c r="AB79" s="167" t="s">
        <v>160</v>
      </c>
      <c r="AC79" s="32">
        <v>100</v>
      </c>
      <c r="AD79" s="32">
        <v>100</v>
      </c>
      <c r="AE79" s="32">
        <v>91</v>
      </c>
      <c r="AF79" s="32" t="s">
        <v>795</v>
      </c>
      <c r="AG79" s="27" t="s">
        <v>1055</v>
      </c>
      <c r="AH79" s="27" t="s">
        <v>76</v>
      </c>
    </row>
    <row r="80" spans="1:36" x14ac:dyDescent="0.25">
      <c r="B80" s="185">
        <f t="shared" si="9"/>
        <v>78</v>
      </c>
      <c r="C80" s="26">
        <v>20200406</v>
      </c>
      <c r="D80" s="32" t="s">
        <v>3</v>
      </c>
      <c r="E80" s="43" t="s">
        <v>76</v>
      </c>
      <c r="F80" s="47" t="s">
        <v>76</v>
      </c>
      <c r="G80" s="47" t="s">
        <v>76</v>
      </c>
      <c r="H80" s="42" t="s">
        <v>974</v>
      </c>
      <c r="I80" s="27" t="s">
        <v>196</v>
      </c>
      <c r="J80" s="161" t="s">
        <v>76</v>
      </c>
      <c r="K80" s="24" t="s">
        <v>1029</v>
      </c>
      <c r="L80" s="43" t="s">
        <v>990</v>
      </c>
      <c r="M80" s="27" t="s">
        <v>76</v>
      </c>
      <c r="N80" s="26" t="s">
        <v>1007</v>
      </c>
      <c r="O80" s="24" t="s">
        <v>85</v>
      </c>
      <c r="P80" s="24"/>
      <c r="Q80" s="24"/>
      <c r="R80" s="42">
        <v>428</v>
      </c>
      <c r="S80" s="24">
        <f t="shared" si="12"/>
        <v>428</v>
      </c>
      <c r="T80" s="24"/>
      <c r="U80" s="42">
        <f>ROUNDDOWN(S80/HLOOKUP(D80,Table!$C$3:$D$4,2,0)*8,2)</f>
        <v>7.6</v>
      </c>
      <c r="V80" s="24"/>
      <c r="W80" s="24"/>
      <c r="X80" s="28">
        <v>43927</v>
      </c>
      <c r="Y80" s="28">
        <v>43933</v>
      </c>
      <c r="Z80" s="28"/>
      <c r="AA80" s="28"/>
      <c r="AB80" s="167"/>
      <c r="AC80" s="32"/>
      <c r="AD80" s="32"/>
      <c r="AE80" s="32"/>
      <c r="AF80" s="32"/>
      <c r="AG80" s="27" t="s">
        <v>76</v>
      </c>
      <c r="AH80" s="27" t="s">
        <v>76</v>
      </c>
    </row>
    <row r="81" spans="1:34" x14ac:dyDescent="0.25">
      <c r="B81" s="185">
        <f t="shared" si="9"/>
        <v>79</v>
      </c>
      <c r="C81" s="26">
        <v>20200406</v>
      </c>
      <c r="D81" s="32" t="s">
        <v>3</v>
      </c>
      <c r="E81" s="43" t="s">
        <v>76</v>
      </c>
      <c r="F81" s="47" t="s">
        <v>76</v>
      </c>
      <c r="G81" s="47" t="s">
        <v>76</v>
      </c>
      <c r="H81" s="42" t="s">
        <v>975</v>
      </c>
      <c r="I81" s="27" t="s">
        <v>196</v>
      </c>
      <c r="J81" s="161" t="s">
        <v>76</v>
      </c>
      <c r="K81" s="24" t="s">
        <v>1029</v>
      </c>
      <c r="L81" s="43" t="s">
        <v>991</v>
      </c>
      <c r="M81" s="27" t="s">
        <v>76</v>
      </c>
      <c r="N81" s="26" t="s">
        <v>1008</v>
      </c>
      <c r="O81" s="24" t="s">
        <v>85</v>
      </c>
      <c r="P81" s="24"/>
      <c r="Q81" s="24"/>
      <c r="R81" s="42">
        <v>135</v>
      </c>
      <c r="S81" s="24">
        <f t="shared" si="12"/>
        <v>135</v>
      </c>
      <c r="T81" s="24"/>
      <c r="U81" s="42">
        <f>ROUNDDOWN(S81/HLOOKUP(D81,Table!$C$3:$D$4,2,0)*8,2)</f>
        <v>2.4</v>
      </c>
      <c r="V81" s="24"/>
      <c r="W81" s="24"/>
      <c r="X81" s="28">
        <v>43927</v>
      </c>
      <c r="Y81" s="28">
        <v>43933</v>
      </c>
      <c r="Z81" s="28"/>
      <c r="AA81" s="28"/>
      <c r="AB81" s="167"/>
      <c r="AC81" s="32"/>
      <c r="AD81" s="32"/>
      <c r="AE81" s="32"/>
      <c r="AF81" s="32"/>
      <c r="AG81" s="27" t="s">
        <v>76</v>
      </c>
      <c r="AH81" s="27" t="s">
        <v>76</v>
      </c>
    </row>
    <row r="82" spans="1:34" x14ac:dyDescent="0.25">
      <c r="B82" s="185">
        <f t="shared" si="9"/>
        <v>80</v>
      </c>
      <c r="C82" s="26">
        <v>20200406</v>
      </c>
      <c r="D82" s="32" t="s">
        <v>3</v>
      </c>
      <c r="E82" s="43" t="s">
        <v>76</v>
      </c>
      <c r="F82" s="47" t="s">
        <v>76</v>
      </c>
      <c r="G82" s="47" t="s">
        <v>76</v>
      </c>
      <c r="H82" s="184" t="s">
        <v>976</v>
      </c>
      <c r="I82" s="27" t="s">
        <v>196</v>
      </c>
      <c r="J82" s="161" t="s">
        <v>76</v>
      </c>
      <c r="K82" s="24" t="s">
        <v>1029</v>
      </c>
      <c r="L82" s="43" t="s">
        <v>992</v>
      </c>
      <c r="M82" s="27" t="s">
        <v>76</v>
      </c>
      <c r="N82" s="26" t="s">
        <v>1009</v>
      </c>
      <c r="O82" s="24" t="s">
        <v>86</v>
      </c>
      <c r="P82" s="24"/>
      <c r="Q82" s="24"/>
      <c r="R82" s="42">
        <v>153</v>
      </c>
      <c r="S82" s="24">
        <f t="shared" si="12"/>
        <v>153</v>
      </c>
      <c r="T82" s="24">
        <f t="shared" ref="T82:T89" si="13">S82</f>
        <v>153</v>
      </c>
      <c r="U82" s="42">
        <f>ROUNDDOWN(S82/HLOOKUP(D82,Table!$C$3:$D$4,2,0)*8,2)</f>
        <v>2.72</v>
      </c>
      <c r="V82" s="24">
        <v>2</v>
      </c>
      <c r="W82" s="24" t="s">
        <v>18</v>
      </c>
      <c r="X82" s="28">
        <v>43927</v>
      </c>
      <c r="Y82" s="28">
        <v>43933</v>
      </c>
      <c r="Z82" s="28">
        <v>43928</v>
      </c>
      <c r="AA82" s="28">
        <v>43928</v>
      </c>
      <c r="AB82" s="167" t="s">
        <v>161</v>
      </c>
      <c r="AC82" s="32">
        <v>100</v>
      </c>
      <c r="AD82" s="32">
        <v>100</v>
      </c>
      <c r="AE82" s="32">
        <v>100</v>
      </c>
      <c r="AF82" s="32" t="s">
        <v>20</v>
      </c>
      <c r="AG82" s="27" t="s">
        <v>76</v>
      </c>
      <c r="AH82" s="27" t="s">
        <v>76</v>
      </c>
    </row>
    <row r="83" spans="1:34" x14ac:dyDescent="0.25">
      <c r="B83" s="185">
        <f t="shared" si="9"/>
        <v>81</v>
      </c>
      <c r="C83" s="26">
        <v>20200406</v>
      </c>
      <c r="D83" s="32" t="s">
        <v>3</v>
      </c>
      <c r="E83" s="43" t="s">
        <v>76</v>
      </c>
      <c r="F83" s="47" t="s">
        <v>76</v>
      </c>
      <c r="G83" s="47" t="s">
        <v>76</v>
      </c>
      <c r="H83" s="42" t="s">
        <v>977</v>
      </c>
      <c r="I83" s="27" t="s">
        <v>196</v>
      </c>
      <c r="J83" s="161" t="s">
        <v>76</v>
      </c>
      <c r="K83" s="24" t="s">
        <v>1029</v>
      </c>
      <c r="L83" s="43" t="s">
        <v>993</v>
      </c>
      <c r="M83" s="27" t="s">
        <v>76</v>
      </c>
      <c r="N83" s="26" t="s">
        <v>1010</v>
      </c>
      <c r="O83" s="24" t="s">
        <v>87</v>
      </c>
      <c r="P83" s="24"/>
      <c r="Q83" s="24"/>
      <c r="R83" s="42">
        <v>384</v>
      </c>
      <c r="S83" s="24">
        <f t="shared" si="12"/>
        <v>384</v>
      </c>
      <c r="T83" s="24">
        <f t="shared" si="13"/>
        <v>384</v>
      </c>
      <c r="U83" s="42">
        <f>ROUNDDOWN(S83/HLOOKUP(D83,Table!$C$3:$D$4,2,0)*8,2)</f>
        <v>6.82</v>
      </c>
      <c r="V83" s="24">
        <v>0.5</v>
      </c>
      <c r="W83" s="24" t="s">
        <v>18</v>
      </c>
      <c r="X83" s="28">
        <v>43927</v>
      </c>
      <c r="Y83" s="28">
        <v>43933</v>
      </c>
      <c r="Z83" s="28">
        <v>43929</v>
      </c>
      <c r="AA83" s="28">
        <v>43929</v>
      </c>
      <c r="AB83" s="167" t="s">
        <v>161</v>
      </c>
      <c r="AC83" s="32" t="s">
        <v>76</v>
      </c>
      <c r="AD83" s="32" t="s">
        <v>76</v>
      </c>
      <c r="AE83" s="32" t="s">
        <v>76</v>
      </c>
      <c r="AF83" s="32" t="s">
        <v>20</v>
      </c>
      <c r="AG83" s="27" t="s">
        <v>1032</v>
      </c>
      <c r="AH83" s="27" t="s">
        <v>76</v>
      </c>
    </row>
    <row r="84" spans="1:34" x14ac:dyDescent="0.25">
      <c r="B84" s="185">
        <f t="shared" si="9"/>
        <v>82</v>
      </c>
      <c r="C84" s="26">
        <v>20200406</v>
      </c>
      <c r="D84" s="32" t="s">
        <v>3</v>
      </c>
      <c r="E84" s="43" t="s">
        <v>76</v>
      </c>
      <c r="F84" s="47" t="s">
        <v>76</v>
      </c>
      <c r="G84" s="47" t="s">
        <v>76</v>
      </c>
      <c r="H84" s="42" t="s">
        <v>978</v>
      </c>
      <c r="I84" s="27" t="s">
        <v>196</v>
      </c>
      <c r="J84" s="161" t="s">
        <v>76</v>
      </c>
      <c r="K84" s="24" t="s">
        <v>1029</v>
      </c>
      <c r="L84" s="43" t="s">
        <v>994</v>
      </c>
      <c r="M84" s="27" t="s">
        <v>76</v>
      </c>
      <c r="N84" s="26" t="s">
        <v>1011</v>
      </c>
      <c r="O84" s="24" t="s">
        <v>87</v>
      </c>
      <c r="P84" s="24"/>
      <c r="Q84" s="24"/>
      <c r="R84" s="42">
        <v>70</v>
      </c>
      <c r="S84" s="24">
        <f t="shared" si="12"/>
        <v>70</v>
      </c>
      <c r="T84" s="24">
        <f t="shared" si="13"/>
        <v>70</v>
      </c>
      <c r="U84" s="42">
        <f>ROUNDDOWN(S84/HLOOKUP(D84,Table!$C$3:$D$4,2,0)*8,2)</f>
        <v>1.24</v>
      </c>
      <c r="V84" s="24">
        <v>0.5</v>
      </c>
      <c r="W84" s="24" t="s">
        <v>18</v>
      </c>
      <c r="X84" s="28">
        <v>43927</v>
      </c>
      <c r="Y84" s="28">
        <v>43933</v>
      </c>
      <c r="Z84" s="28">
        <v>43929</v>
      </c>
      <c r="AA84" s="28">
        <v>43929</v>
      </c>
      <c r="AB84" s="167" t="s">
        <v>161</v>
      </c>
      <c r="AC84" s="32" t="s">
        <v>76</v>
      </c>
      <c r="AD84" s="32" t="s">
        <v>76</v>
      </c>
      <c r="AE84" s="32" t="s">
        <v>76</v>
      </c>
      <c r="AF84" s="32" t="s">
        <v>20</v>
      </c>
      <c r="AG84" s="27" t="s">
        <v>1032</v>
      </c>
      <c r="AH84" s="27" t="s">
        <v>76</v>
      </c>
    </row>
    <row r="85" spans="1:34" x14ac:dyDescent="0.25">
      <c r="B85" s="185">
        <f t="shared" si="9"/>
        <v>83</v>
      </c>
      <c r="C85" s="26">
        <v>20200406</v>
      </c>
      <c r="D85" s="32" t="s">
        <v>3</v>
      </c>
      <c r="E85" s="43" t="s">
        <v>76</v>
      </c>
      <c r="F85" s="47" t="s">
        <v>76</v>
      </c>
      <c r="G85" s="47" t="s">
        <v>76</v>
      </c>
      <c r="H85" s="42" t="s">
        <v>979</v>
      </c>
      <c r="I85" s="27" t="s">
        <v>196</v>
      </c>
      <c r="J85" s="161" t="s">
        <v>76</v>
      </c>
      <c r="K85" s="24" t="s">
        <v>1029</v>
      </c>
      <c r="L85" s="43" t="s">
        <v>995</v>
      </c>
      <c r="M85" s="27" t="s">
        <v>76</v>
      </c>
      <c r="N85" s="26" t="s">
        <v>1012</v>
      </c>
      <c r="O85" s="24" t="s">
        <v>87</v>
      </c>
      <c r="P85" s="24"/>
      <c r="Q85" s="24"/>
      <c r="R85" s="42">
        <v>100</v>
      </c>
      <c r="S85" s="24">
        <f t="shared" si="12"/>
        <v>100</v>
      </c>
      <c r="T85" s="24">
        <f t="shared" si="13"/>
        <v>100</v>
      </c>
      <c r="U85" s="42">
        <f>ROUNDDOWN(S85/HLOOKUP(D85,Table!$C$3:$D$4,2,0)*8,2)</f>
        <v>1.77</v>
      </c>
      <c r="V85" s="24">
        <v>3</v>
      </c>
      <c r="W85" s="24" t="s">
        <v>18</v>
      </c>
      <c r="X85" s="28">
        <v>43927</v>
      </c>
      <c r="Y85" s="28">
        <v>43933</v>
      </c>
      <c r="Z85" s="28">
        <v>43929</v>
      </c>
      <c r="AA85" s="28">
        <v>43929</v>
      </c>
      <c r="AB85" s="167" t="s">
        <v>161</v>
      </c>
      <c r="AC85" s="32">
        <v>100</v>
      </c>
      <c r="AD85" s="32">
        <v>100</v>
      </c>
      <c r="AE85" s="32">
        <v>100</v>
      </c>
      <c r="AF85" s="32" t="s">
        <v>20</v>
      </c>
      <c r="AG85" s="27" t="s">
        <v>76</v>
      </c>
      <c r="AH85" s="27" t="s">
        <v>76</v>
      </c>
    </row>
    <row r="86" spans="1:34" x14ac:dyDescent="0.25">
      <c r="B86" s="185">
        <f t="shared" si="9"/>
        <v>84</v>
      </c>
      <c r="C86" s="26">
        <v>20200406</v>
      </c>
      <c r="D86" s="32" t="s">
        <v>3</v>
      </c>
      <c r="E86" s="43" t="s">
        <v>76</v>
      </c>
      <c r="F86" s="43" t="s">
        <v>1038</v>
      </c>
      <c r="G86" s="47" t="s">
        <v>76</v>
      </c>
      <c r="H86" s="42" t="s">
        <v>980</v>
      </c>
      <c r="I86" s="27" t="s">
        <v>196</v>
      </c>
      <c r="J86" s="161" t="s">
        <v>76</v>
      </c>
      <c r="K86" s="24" t="s">
        <v>1029</v>
      </c>
      <c r="L86" s="43" t="s">
        <v>996</v>
      </c>
      <c r="M86" s="27" t="s">
        <v>76</v>
      </c>
      <c r="N86" s="26" t="s">
        <v>1013</v>
      </c>
      <c r="O86" s="24" t="s">
        <v>88</v>
      </c>
      <c r="P86" s="24"/>
      <c r="Q86" s="24"/>
      <c r="R86" s="42">
        <v>290</v>
      </c>
      <c r="S86" s="24">
        <f t="shared" si="12"/>
        <v>290</v>
      </c>
      <c r="T86" s="24">
        <f t="shared" si="13"/>
        <v>290</v>
      </c>
      <c r="U86" s="42">
        <f>ROUNDDOWN(S86/HLOOKUP(D86,Table!$C$3:$D$4,2,0)*8,2)</f>
        <v>5.15</v>
      </c>
      <c r="V86" s="24">
        <v>3.5</v>
      </c>
      <c r="W86" s="24" t="s">
        <v>18</v>
      </c>
      <c r="X86" s="28">
        <v>43927</v>
      </c>
      <c r="Y86" s="28">
        <v>43933</v>
      </c>
      <c r="Z86" s="28">
        <v>43929</v>
      </c>
      <c r="AA86" s="28">
        <v>43929</v>
      </c>
      <c r="AB86" s="167" t="s">
        <v>160</v>
      </c>
      <c r="AC86" s="32">
        <v>46</v>
      </c>
      <c r="AD86" s="32">
        <v>41</v>
      </c>
      <c r="AE86" s="32">
        <v>56</v>
      </c>
      <c r="AF86" s="32" t="s">
        <v>795</v>
      </c>
      <c r="AG86" s="27" t="s">
        <v>1055</v>
      </c>
      <c r="AH86" s="27" t="s">
        <v>76</v>
      </c>
    </row>
    <row r="87" spans="1:34" x14ac:dyDescent="0.25">
      <c r="B87" s="185">
        <f t="shared" si="9"/>
        <v>85</v>
      </c>
      <c r="C87" s="26">
        <v>20200406</v>
      </c>
      <c r="D87" s="32" t="s">
        <v>3</v>
      </c>
      <c r="E87" s="43" t="s">
        <v>76</v>
      </c>
      <c r="F87" s="47" t="s">
        <v>76</v>
      </c>
      <c r="G87" s="47" t="s">
        <v>76</v>
      </c>
      <c r="H87" s="184" t="s">
        <v>981</v>
      </c>
      <c r="I87" s="27" t="s">
        <v>196</v>
      </c>
      <c r="J87" s="161" t="s">
        <v>76</v>
      </c>
      <c r="K87" s="24" t="s">
        <v>1029</v>
      </c>
      <c r="L87" s="43" t="s">
        <v>997</v>
      </c>
      <c r="M87" s="27" t="s">
        <v>76</v>
      </c>
      <c r="N87" s="26" t="s">
        <v>1014</v>
      </c>
      <c r="O87" s="24" t="s">
        <v>86</v>
      </c>
      <c r="P87" s="24"/>
      <c r="Q87" s="24"/>
      <c r="R87" s="42">
        <v>275</v>
      </c>
      <c r="S87" s="24">
        <f t="shared" si="12"/>
        <v>275</v>
      </c>
      <c r="T87" s="24">
        <f t="shared" si="13"/>
        <v>275</v>
      </c>
      <c r="U87" s="42">
        <f>ROUNDDOWN(S87/HLOOKUP(D87,Table!$C$3:$D$4,2,0)*8,2)</f>
        <v>4.88</v>
      </c>
      <c r="V87" s="24">
        <v>2</v>
      </c>
      <c r="W87" s="24" t="s">
        <v>18</v>
      </c>
      <c r="X87" s="28">
        <v>43927</v>
      </c>
      <c r="Y87" s="28">
        <v>43933</v>
      </c>
      <c r="Z87" s="28">
        <v>43928</v>
      </c>
      <c r="AA87" s="28">
        <v>43928</v>
      </c>
      <c r="AB87" s="167" t="s">
        <v>161</v>
      </c>
      <c r="AC87" s="32">
        <v>100</v>
      </c>
      <c r="AD87" s="32">
        <v>100</v>
      </c>
      <c r="AE87" s="32">
        <v>100</v>
      </c>
      <c r="AF87" s="32" t="s">
        <v>20</v>
      </c>
      <c r="AG87" s="27" t="s">
        <v>76</v>
      </c>
      <c r="AH87" s="27" t="s">
        <v>76</v>
      </c>
    </row>
    <row r="88" spans="1:34" x14ac:dyDescent="0.25">
      <c r="B88" s="185">
        <f t="shared" si="9"/>
        <v>86</v>
      </c>
      <c r="C88" s="26">
        <v>20200406</v>
      </c>
      <c r="D88" s="32" t="s">
        <v>3</v>
      </c>
      <c r="E88" s="43" t="s">
        <v>76</v>
      </c>
      <c r="F88" s="47" t="s">
        <v>76</v>
      </c>
      <c r="G88" s="47" t="s">
        <v>76</v>
      </c>
      <c r="H88" s="184" t="s">
        <v>982</v>
      </c>
      <c r="I88" s="27" t="s">
        <v>196</v>
      </c>
      <c r="J88" s="161" t="s">
        <v>76</v>
      </c>
      <c r="K88" s="24" t="s">
        <v>1029</v>
      </c>
      <c r="L88" s="43" t="s">
        <v>998</v>
      </c>
      <c r="M88" s="27" t="s">
        <v>76</v>
      </c>
      <c r="N88" s="26" t="s">
        <v>1015</v>
      </c>
      <c r="O88" s="24" t="s">
        <v>86</v>
      </c>
      <c r="P88" s="24"/>
      <c r="Q88" s="24"/>
      <c r="R88" s="42">
        <v>55</v>
      </c>
      <c r="S88" s="24">
        <f t="shared" si="12"/>
        <v>55</v>
      </c>
      <c r="T88" s="24">
        <f t="shared" si="13"/>
        <v>55</v>
      </c>
      <c r="U88" s="42">
        <f>ROUNDDOWN(S88/HLOOKUP(D88,Table!$C$3:$D$4,2,0)*8,2)</f>
        <v>0.97</v>
      </c>
      <c r="V88" s="24">
        <v>2</v>
      </c>
      <c r="W88" s="24" t="s">
        <v>18</v>
      </c>
      <c r="X88" s="28">
        <v>43927</v>
      </c>
      <c r="Y88" s="28">
        <v>43933</v>
      </c>
      <c r="Z88" s="28">
        <v>43928</v>
      </c>
      <c r="AA88" s="28">
        <v>43928</v>
      </c>
      <c r="AB88" s="167" t="s">
        <v>161</v>
      </c>
      <c r="AC88" s="32">
        <v>100</v>
      </c>
      <c r="AD88" s="32">
        <v>100</v>
      </c>
      <c r="AE88" s="32">
        <v>100</v>
      </c>
      <c r="AF88" s="32" t="s">
        <v>20</v>
      </c>
      <c r="AG88" s="27" t="s">
        <v>76</v>
      </c>
      <c r="AH88" s="27" t="s">
        <v>76</v>
      </c>
    </row>
    <row r="89" spans="1:34" x14ac:dyDescent="0.25">
      <c r="B89" s="185">
        <f t="shared" si="9"/>
        <v>87</v>
      </c>
      <c r="C89" s="26">
        <v>20200406</v>
      </c>
      <c r="D89" s="32" t="s">
        <v>3</v>
      </c>
      <c r="E89" s="43" t="s">
        <v>76</v>
      </c>
      <c r="F89" s="47" t="s">
        <v>76</v>
      </c>
      <c r="G89" s="47" t="s">
        <v>76</v>
      </c>
      <c r="H89" s="184" t="s">
        <v>983</v>
      </c>
      <c r="I89" s="27" t="s">
        <v>196</v>
      </c>
      <c r="J89" s="161" t="s">
        <v>76</v>
      </c>
      <c r="K89" s="24" t="s">
        <v>1029</v>
      </c>
      <c r="L89" s="43" t="s">
        <v>999</v>
      </c>
      <c r="M89" s="27" t="s">
        <v>76</v>
      </c>
      <c r="N89" s="26" t="s">
        <v>1016</v>
      </c>
      <c r="O89" s="24" t="s">
        <v>86</v>
      </c>
      <c r="P89" s="24"/>
      <c r="Q89" s="24"/>
      <c r="R89" s="42">
        <v>131</v>
      </c>
      <c r="S89" s="24">
        <f t="shared" si="12"/>
        <v>131</v>
      </c>
      <c r="T89" s="24">
        <f t="shared" si="13"/>
        <v>131</v>
      </c>
      <c r="U89" s="42">
        <f>ROUNDDOWN(S89/HLOOKUP(D89,Table!$C$3:$D$4,2,0)*8,2)</f>
        <v>2.3199999999999998</v>
      </c>
      <c r="V89" s="24">
        <v>2</v>
      </c>
      <c r="W89" s="24" t="s">
        <v>18</v>
      </c>
      <c r="X89" s="28">
        <v>43927</v>
      </c>
      <c r="Y89" s="28">
        <v>43933</v>
      </c>
      <c r="Z89" s="28">
        <v>43928</v>
      </c>
      <c r="AA89" s="28">
        <v>43928</v>
      </c>
      <c r="AB89" s="167" t="s">
        <v>161</v>
      </c>
      <c r="AC89" s="32">
        <v>100</v>
      </c>
      <c r="AD89" s="32">
        <v>100</v>
      </c>
      <c r="AE89" s="32">
        <v>100</v>
      </c>
      <c r="AF89" s="32" t="s">
        <v>20</v>
      </c>
      <c r="AG89" s="27" t="s">
        <v>76</v>
      </c>
      <c r="AH89" s="27" t="s">
        <v>76</v>
      </c>
    </row>
    <row r="90" spans="1:34" x14ac:dyDescent="0.25">
      <c r="B90" s="185">
        <f t="shared" si="9"/>
        <v>88</v>
      </c>
      <c r="C90" s="26">
        <v>20200406</v>
      </c>
      <c r="D90" s="32" t="s">
        <v>3</v>
      </c>
      <c r="E90" s="43" t="s">
        <v>76</v>
      </c>
      <c r="F90" s="47" t="s">
        <v>76</v>
      </c>
      <c r="G90" s="47" t="s">
        <v>76</v>
      </c>
      <c r="H90" s="42" t="s">
        <v>984</v>
      </c>
      <c r="I90" s="27" t="s">
        <v>196</v>
      </c>
      <c r="J90" s="161" t="s">
        <v>76</v>
      </c>
      <c r="K90" s="24" t="s">
        <v>1029</v>
      </c>
      <c r="L90" s="42">
        <v>3.2</v>
      </c>
      <c r="M90" s="27" t="s">
        <v>76</v>
      </c>
      <c r="N90" s="26" t="s">
        <v>1017</v>
      </c>
      <c r="O90" s="24" t="s">
        <v>85</v>
      </c>
      <c r="P90" s="24"/>
      <c r="Q90" s="24"/>
      <c r="R90" s="42">
        <v>119</v>
      </c>
      <c r="S90" s="24">
        <f t="shared" si="12"/>
        <v>119</v>
      </c>
      <c r="T90" s="24"/>
      <c r="U90" s="42">
        <f>ROUNDDOWN(S90/HLOOKUP(D90,Table!$C$3:$D$4,2,0)*8,2)</f>
        <v>2.11</v>
      </c>
      <c r="V90" s="24"/>
      <c r="W90" s="24"/>
      <c r="X90" s="28">
        <v>43927</v>
      </c>
      <c r="Y90" s="28">
        <v>43933</v>
      </c>
      <c r="Z90" s="28"/>
      <c r="AA90" s="28"/>
      <c r="AB90" s="167"/>
      <c r="AC90" s="32"/>
      <c r="AD90" s="32"/>
      <c r="AE90" s="32"/>
      <c r="AF90" s="32"/>
      <c r="AG90" s="27" t="s">
        <v>76</v>
      </c>
      <c r="AH90" s="27" t="s">
        <v>76</v>
      </c>
    </row>
    <row r="91" spans="1:34" x14ac:dyDescent="0.25">
      <c r="B91" s="185">
        <f t="shared" si="9"/>
        <v>89</v>
      </c>
      <c r="C91" s="26">
        <v>20200406</v>
      </c>
      <c r="D91" s="32" t="s">
        <v>3</v>
      </c>
      <c r="E91" s="43" t="s">
        <v>76</v>
      </c>
      <c r="F91" s="47" t="s">
        <v>76</v>
      </c>
      <c r="G91" s="47" t="s">
        <v>76</v>
      </c>
      <c r="H91" s="42" t="s">
        <v>985</v>
      </c>
      <c r="I91" s="27" t="s">
        <v>196</v>
      </c>
      <c r="J91" s="161" t="s">
        <v>76</v>
      </c>
      <c r="K91" s="24" t="s">
        <v>1029</v>
      </c>
      <c r="L91" s="43" t="s">
        <v>1000</v>
      </c>
      <c r="M91" s="27" t="s">
        <v>76</v>
      </c>
      <c r="N91" s="26" t="s">
        <v>1018</v>
      </c>
      <c r="O91" s="24" t="s">
        <v>85</v>
      </c>
      <c r="P91" s="24"/>
      <c r="Q91" s="24"/>
      <c r="R91" s="42">
        <v>147</v>
      </c>
      <c r="S91" s="24">
        <f t="shared" si="12"/>
        <v>147</v>
      </c>
      <c r="T91" s="24"/>
      <c r="U91" s="42">
        <f>ROUNDDOWN(S91/HLOOKUP(D91,Table!$C$3:$D$4,2,0)*8,2)</f>
        <v>2.61</v>
      </c>
      <c r="V91" s="24"/>
      <c r="W91" s="24"/>
      <c r="X91" s="28">
        <v>43927</v>
      </c>
      <c r="Y91" s="28">
        <v>43933</v>
      </c>
      <c r="Z91" s="28"/>
      <c r="AA91" s="28"/>
      <c r="AB91" s="167"/>
      <c r="AC91" s="32"/>
      <c r="AD91" s="32"/>
      <c r="AE91" s="32"/>
      <c r="AF91" s="32"/>
      <c r="AG91" s="27" t="s">
        <v>76</v>
      </c>
      <c r="AH91" s="27" t="s">
        <v>76</v>
      </c>
    </row>
    <row r="92" spans="1:34" x14ac:dyDescent="0.25">
      <c r="B92" s="138">
        <f t="shared" si="9"/>
        <v>90</v>
      </c>
      <c r="C92" s="26">
        <v>20200407</v>
      </c>
      <c r="D92" s="32" t="s">
        <v>3</v>
      </c>
      <c r="E92" s="42" t="s">
        <v>1040</v>
      </c>
      <c r="F92" s="43" t="s">
        <v>1043</v>
      </c>
      <c r="G92" s="42">
        <v>1405783</v>
      </c>
      <c r="H92" s="42" t="s">
        <v>1045</v>
      </c>
      <c r="I92" s="24" t="s">
        <v>196</v>
      </c>
      <c r="J92" s="161" t="s">
        <v>76</v>
      </c>
      <c r="K92" s="42" t="s">
        <v>674</v>
      </c>
      <c r="L92" s="27" t="s">
        <v>76</v>
      </c>
      <c r="M92" s="43" t="s">
        <v>1053</v>
      </c>
      <c r="N92" s="26" t="s">
        <v>1048</v>
      </c>
      <c r="O92" s="24" t="s">
        <v>88</v>
      </c>
      <c r="P92" s="24"/>
      <c r="Q92" s="24"/>
      <c r="R92" s="42">
        <v>242</v>
      </c>
      <c r="S92" s="24">
        <f>R92</f>
        <v>242</v>
      </c>
      <c r="T92" s="24"/>
      <c r="U92" s="24">
        <f>ROUNDDOWN(S92/HLOOKUP(D92,Table!$C$3:$D$4,2,0)*8,2)</f>
        <v>4.3</v>
      </c>
      <c r="V92" s="24"/>
      <c r="W92" s="24"/>
      <c r="X92" s="28">
        <v>43928</v>
      </c>
      <c r="Y92" s="28">
        <v>43938</v>
      </c>
      <c r="Z92" s="28"/>
      <c r="AA92" s="28"/>
      <c r="AB92" s="31"/>
      <c r="AC92" s="24"/>
      <c r="AD92" s="24"/>
      <c r="AE92" s="24"/>
      <c r="AF92" s="24"/>
      <c r="AG92" s="27" t="s">
        <v>76</v>
      </c>
      <c r="AH92" s="27" t="s">
        <v>76</v>
      </c>
    </row>
    <row r="93" spans="1:34" x14ac:dyDescent="0.25">
      <c r="B93" s="138">
        <f t="shared" si="9"/>
        <v>91</v>
      </c>
      <c r="C93" s="26">
        <v>20200407</v>
      </c>
      <c r="D93" s="32" t="s">
        <v>3</v>
      </c>
      <c r="E93" s="42" t="s">
        <v>1041</v>
      </c>
      <c r="F93" s="43" t="s">
        <v>1044</v>
      </c>
      <c r="G93" s="42">
        <v>1405633</v>
      </c>
      <c r="H93" s="42" t="s">
        <v>1046</v>
      </c>
      <c r="I93" s="24" t="s">
        <v>197</v>
      </c>
      <c r="J93" s="161" t="s">
        <v>76</v>
      </c>
      <c r="K93" s="42" t="s">
        <v>1047</v>
      </c>
      <c r="L93" s="27" t="s">
        <v>76</v>
      </c>
      <c r="M93" s="43" t="s">
        <v>1054</v>
      </c>
      <c r="N93" s="26" t="s">
        <v>1049</v>
      </c>
      <c r="O93" s="24" t="s">
        <v>86</v>
      </c>
      <c r="P93" s="24"/>
      <c r="Q93" s="24"/>
      <c r="R93" s="42">
        <v>300</v>
      </c>
      <c r="S93" s="24">
        <f>R93</f>
        <v>300</v>
      </c>
      <c r="T93" s="24">
        <f>S93</f>
        <v>300</v>
      </c>
      <c r="U93" s="24">
        <f>ROUNDDOWN(S93/HLOOKUP(D93,Table!$C$3:$D$4,2,0)*8,2)</f>
        <v>5.33</v>
      </c>
      <c r="V93" s="24">
        <v>4.5</v>
      </c>
      <c r="W93" s="24" t="s">
        <v>18</v>
      </c>
      <c r="X93" s="28">
        <v>43928</v>
      </c>
      <c r="Y93" s="28">
        <v>43938</v>
      </c>
      <c r="Z93" s="28">
        <v>43929</v>
      </c>
      <c r="AA93" s="28">
        <v>43929</v>
      </c>
      <c r="AB93" s="31" t="s">
        <v>160</v>
      </c>
      <c r="AC93" s="24">
        <v>98</v>
      </c>
      <c r="AD93" s="24">
        <v>96</v>
      </c>
      <c r="AE93" s="24">
        <v>100</v>
      </c>
      <c r="AF93" s="24" t="s">
        <v>795</v>
      </c>
      <c r="AG93" s="196" t="s">
        <v>1056</v>
      </c>
      <c r="AH93" s="27" t="s">
        <v>1057</v>
      </c>
    </row>
    <row r="94" spans="1:34" x14ac:dyDescent="0.25">
      <c r="B94" s="138">
        <f t="shared" si="9"/>
        <v>92</v>
      </c>
      <c r="C94" s="26">
        <v>20200407</v>
      </c>
      <c r="D94" s="32" t="s">
        <v>3</v>
      </c>
      <c r="E94" s="42" t="s">
        <v>1041</v>
      </c>
      <c r="F94" s="43" t="s">
        <v>1044</v>
      </c>
      <c r="G94" s="42">
        <v>1405633</v>
      </c>
      <c r="H94" s="42" t="s">
        <v>673</v>
      </c>
      <c r="I94" s="24" t="s">
        <v>197</v>
      </c>
      <c r="J94" s="161" t="s">
        <v>76</v>
      </c>
      <c r="K94" s="24" t="s">
        <v>1047</v>
      </c>
      <c r="L94" s="27" t="s">
        <v>76</v>
      </c>
      <c r="M94" s="27" t="s">
        <v>1054</v>
      </c>
      <c r="N94" s="26" t="s">
        <v>1050</v>
      </c>
      <c r="O94" s="24" t="s">
        <v>85</v>
      </c>
      <c r="P94" s="24"/>
      <c r="Q94" s="24"/>
      <c r="R94" s="42">
        <v>115</v>
      </c>
      <c r="S94" s="24">
        <f>R94</f>
        <v>115</v>
      </c>
      <c r="T94" s="24"/>
      <c r="U94" s="24">
        <f>ROUNDDOWN(S94/HLOOKUP(D94,Table!$C$3:$D$4,2,0)*8,2)</f>
        <v>2.04</v>
      </c>
      <c r="V94" s="24"/>
      <c r="W94" s="24"/>
      <c r="X94" s="28">
        <v>43928</v>
      </c>
      <c r="Y94" s="28">
        <v>43938</v>
      </c>
      <c r="Z94" s="28"/>
      <c r="AA94" s="28"/>
      <c r="AB94" s="31"/>
      <c r="AC94" s="24"/>
      <c r="AD94" s="24"/>
      <c r="AE94" s="24"/>
      <c r="AF94" s="24"/>
      <c r="AG94" s="195"/>
      <c r="AH94" s="27" t="s">
        <v>76</v>
      </c>
    </row>
    <row r="95" spans="1:34" x14ac:dyDescent="0.25">
      <c r="B95" s="138">
        <f t="shared" si="9"/>
        <v>93</v>
      </c>
      <c r="C95" s="26">
        <v>20200407</v>
      </c>
      <c r="D95" s="32" t="s">
        <v>3</v>
      </c>
      <c r="E95" s="42" t="s">
        <v>1042</v>
      </c>
      <c r="F95" s="43" t="s">
        <v>188</v>
      </c>
      <c r="G95" s="42">
        <v>1407639</v>
      </c>
      <c r="H95" s="42" t="s">
        <v>80</v>
      </c>
      <c r="I95" s="24" t="s">
        <v>196</v>
      </c>
      <c r="J95" s="161" t="s">
        <v>76</v>
      </c>
      <c r="K95" s="42" t="s">
        <v>884</v>
      </c>
      <c r="L95" s="27" t="s">
        <v>76</v>
      </c>
      <c r="M95" s="27" t="s">
        <v>885</v>
      </c>
      <c r="N95" s="26" t="s">
        <v>1051</v>
      </c>
      <c r="O95" s="24" t="s">
        <v>87</v>
      </c>
      <c r="P95" s="24"/>
      <c r="Q95" s="24"/>
      <c r="R95" s="42">
        <v>110</v>
      </c>
      <c r="S95" s="24">
        <f>R95</f>
        <v>110</v>
      </c>
      <c r="T95" s="24">
        <f>S95</f>
        <v>110</v>
      </c>
      <c r="U95" s="24">
        <f>ROUNDDOWN(S95/HLOOKUP(D95,Table!$C$3:$D$4,2,0)*8,2)</f>
        <v>1.95</v>
      </c>
      <c r="V95" s="24">
        <v>4</v>
      </c>
      <c r="W95" s="24" t="s">
        <v>18</v>
      </c>
      <c r="X95" s="28">
        <v>43928</v>
      </c>
      <c r="Y95" s="28">
        <v>43934</v>
      </c>
      <c r="Z95" s="28">
        <v>43929</v>
      </c>
      <c r="AA95" s="28">
        <v>43929</v>
      </c>
      <c r="AB95" s="175" t="s">
        <v>161</v>
      </c>
      <c r="AC95" s="176">
        <v>100</v>
      </c>
      <c r="AD95" s="176">
        <v>100</v>
      </c>
      <c r="AE95" s="176">
        <v>100</v>
      </c>
      <c r="AF95" s="176" t="s">
        <v>20</v>
      </c>
      <c r="AG95" s="27" t="s">
        <v>76</v>
      </c>
      <c r="AH95" s="27" t="s">
        <v>76</v>
      </c>
    </row>
    <row r="96" spans="1:34" x14ac:dyDescent="0.25">
      <c r="B96" s="32">
        <f t="shared" si="9"/>
        <v>94</v>
      </c>
      <c r="C96" s="26"/>
      <c r="D96" s="32"/>
      <c r="E96" s="26"/>
      <c r="F96" s="47"/>
      <c r="G96" s="26"/>
      <c r="H96" s="26"/>
      <c r="I96" s="24"/>
      <c r="J96" s="54"/>
      <c r="K96" s="24"/>
      <c r="L96" s="27"/>
      <c r="M96" s="27"/>
      <c r="N96" s="26"/>
      <c r="O96" s="24"/>
      <c r="P96" s="24"/>
      <c r="Q96" s="24"/>
      <c r="R96" s="24"/>
      <c r="S96" s="24"/>
      <c r="T96" s="24"/>
      <c r="U96" s="24"/>
      <c r="V96" s="24"/>
      <c r="W96" s="24"/>
      <c r="X96" s="28"/>
      <c r="Y96" s="28"/>
      <c r="Z96" s="28"/>
      <c r="AA96" s="28"/>
      <c r="AB96" s="31"/>
      <c r="AC96" s="24"/>
      <c r="AD96" s="24"/>
      <c r="AE96" s="24"/>
      <c r="AF96" s="24"/>
      <c r="AG96" s="27" t="s">
        <v>76</v>
      </c>
      <c r="AH96" s="27" t="s">
        <v>76</v>
      </c>
    </row>
    <row r="97" spans="2:34" x14ac:dyDescent="0.25">
      <c r="B97" s="32">
        <f t="shared" si="9"/>
        <v>95</v>
      </c>
      <c r="C97" s="26"/>
      <c r="D97" s="32"/>
      <c r="E97" s="26"/>
      <c r="F97" s="47"/>
      <c r="G97" s="26"/>
      <c r="H97" s="26"/>
      <c r="I97" s="24"/>
      <c r="J97" s="54"/>
      <c r="K97" s="24"/>
      <c r="L97" s="27"/>
      <c r="M97" s="27"/>
      <c r="N97" s="26"/>
      <c r="O97" s="24"/>
      <c r="P97" s="24"/>
      <c r="Q97" s="24"/>
      <c r="R97" s="24"/>
      <c r="S97" s="24"/>
      <c r="T97" s="24"/>
      <c r="U97" s="24"/>
      <c r="V97" s="24"/>
      <c r="W97" s="24"/>
      <c r="X97" s="28"/>
      <c r="Y97" s="28"/>
      <c r="Z97" s="28"/>
      <c r="AA97" s="28"/>
      <c r="AB97" s="31"/>
      <c r="AC97" s="24"/>
      <c r="AD97" s="24"/>
      <c r="AE97" s="24"/>
      <c r="AF97" s="24"/>
      <c r="AG97" s="27" t="s">
        <v>76</v>
      </c>
      <c r="AH97" s="27" t="s">
        <v>76</v>
      </c>
    </row>
    <row r="98" spans="2:34" x14ac:dyDescent="0.25">
      <c r="B98" s="32">
        <f t="shared" si="9"/>
        <v>96</v>
      </c>
      <c r="C98" s="26"/>
      <c r="D98" s="32"/>
      <c r="E98" s="26"/>
      <c r="F98" s="47"/>
      <c r="G98" s="26"/>
      <c r="H98" s="26"/>
      <c r="I98" s="24"/>
      <c r="J98" s="54"/>
      <c r="K98" s="24"/>
      <c r="L98" s="27"/>
      <c r="M98" s="27"/>
      <c r="N98" s="26"/>
      <c r="O98" s="24"/>
      <c r="P98" s="24"/>
      <c r="Q98" s="24"/>
      <c r="R98" s="24"/>
      <c r="S98" s="24"/>
      <c r="T98" s="24"/>
      <c r="U98" s="24"/>
      <c r="V98" s="24"/>
      <c r="W98" s="24"/>
      <c r="X98" s="28"/>
      <c r="Y98" s="28"/>
      <c r="Z98" s="28"/>
      <c r="AA98" s="28"/>
      <c r="AB98" s="31"/>
      <c r="AC98" s="24"/>
      <c r="AD98" s="24"/>
      <c r="AE98" s="24"/>
      <c r="AF98" s="24"/>
      <c r="AG98" s="27" t="s">
        <v>76</v>
      </c>
      <c r="AH98" s="27" t="s">
        <v>76</v>
      </c>
    </row>
    <row r="99" spans="2:34" x14ac:dyDescent="0.25">
      <c r="B99" s="32">
        <f t="shared" si="9"/>
        <v>97</v>
      </c>
      <c r="C99" s="26"/>
      <c r="D99" s="32"/>
      <c r="E99" s="26"/>
      <c r="F99" s="47"/>
      <c r="G99" s="26"/>
      <c r="H99" s="26"/>
      <c r="I99" s="24"/>
      <c r="J99" s="54"/>
      <c r="K99" s="24"/>
      <c r="L99" s="27"/>
      <c r="M99" s="27"/>
      <c r="N99" s="26"/>
      <c r="O99" s="24"/>
      <c r="P99" s="24"/>
      <c r="Q99" s="24"/>
      <c r="R99" s="24"/>
      <c r="S99" s="24"/>
      <c r="T99" s="24"/>
      <c r="U99" s="24"/>
      <c r="V99" s="24"/>
      <c r="W99" s="24"/>
      <c r="X99" s="28"/>
      <c r="Y99" s="28"/>
      <c r="Z99" s="28"/>
      <c r="AA99" s="28"/>
      <c r="AB99" s="31"/>
      <c r="AC99" s="24"/>
      <c r="AD99" s="24"/>
      <c r="AE99" s="24"/>
      <c r="AF99" s="24"/>
      <c r="AG99" s="27" t="s">
        <v>76</v>
      </c>
      <c r="AH99" s="27" t="s">
        <v>76</v>
      </c>
    </row>
    <row r="100" spans="2:34" x14ac:dyDescent="0.25">
      <c r="B100" s="32">
        <f t="shared" si="9"/>
        <v>98</v>
      </c>
      <c r="C100" s="26"/>
      <c r="D100" s="32"/>
      <c r="E100" s="26"/>
      <c r="F100" s="47"/>
      <c r="G100" s="26"/>
      <c r="H100" s="26"/>
      <c r="I100" s="24"/>
      <c r="J100" s="54"/>
      <c r="K100" s="24"/>
      <c r="L100" s="27"/>
      <c r="M100" s="27"/>
      <c r="N100" s="26"/>
      <c r="O100" s="24"/>
      <c r="P100" s="24"/>
      <c r="Q100" s="24"/>
      <c r="R100" s="24"/>
      <c r="S100" s="24"/>
      <c r="T100" s="24"/>
      <c r="U100" s="24"/>
      <c r="V100" s="24"/>
      <c r="W100" s="24"/>
      <c r="X100" s="28"/>
      <c r="Y100" s="28"/>
      <c r="Z100" s="28"/>
      <c r="AA100" s="28"/>
      <c r="AB100" s="31"/>
      <c r="AC100" s="24"/>
      <c r="AD100" s="24"/>
      <c r="AE100" s="24"/>
      <c r="AF100" s="24"/>
      <c r="AG100" s="27" t="s">
        <v>76</v>
      </c>
      <c r="AH100" s="27" t="s">
        <v>76</v>
      </c>
    </row>
    <row r="101" spans="2:34" x14ac:dyDescent="0.25">
      <c r="B101" s="32">
        <f t="shared" si="9"/>
        <v>99</v>
      </c>
      <c r="C101" s="26"/>
      <c r="D101" s="32"/>
      <c r="E101" s="26"/>
      <c r="F101" s="47"/>
      <c r="G101" s="26"/>
      <c r="H101" s="26"/>
      <c r="I101" s="24"/>
      <c r="J101" s="54"/>
      <c r="K101" s="24"/>
      <c r="L101" s="27"/>
      <c r="M101" s="27"/>
      <c r="N101" s="26"/>
      <c r="O101" s="24"/>
      <c r="P101" s="24"/>
      <c r="Q101" s="24"/>
      <c r="R101" s="24"/>
      <c r="S101" s="24"/>
      <c r="T101" s="24"/>
      <c r="U101" s="24"/>
      <c r="V101" s="24"/>
      <c r="W101" s="24"/>
      <c r="X101" s="28"/>
      <c r="Y101" s="28"/>
      <c r="Z101" s="28"/>
      <c r="AA101" s="28"/>
      <c r="AB101" s="31"/>
      <c r="AC101" s="24"/>
      <c r="AD101" s="24"/>
      <c r="AE101" s="24"/>
      <c r="AF101" s="24"/>
      <c r="AG101" s="27" t="s">
        <v>76</v>
      </c>
      <c r="AH101" s="27" t="s">
        <v>76</v>
      </c>
    </row>
    <row r="102" spans="2:34" x14ac:dyDescent="0.25">
      <c r="B102" s="32">
        <f t="shared" si="9"/>
        <v>100</v>
      </c>
      <c r="C102" s="26"/>
      <c r="D102" s="32"/>
      <c r="E102" s="26"/>
      <c r="F102" s="47"/>
      <c r="G102" s="26"/>
      <c r="H102" s="26"/>
      <c r="I102" s="24"/>
      <c r="J102" s="54"/>
      <c r="K102" s="24"/>
      <c r="L102" s="27"/>
      <c r="M102" s="27"/>
      <c r="N102" s="26"/>
      <c r="O102" s="24"/>
      <c r="P102" s="24"/>
      <c r="Q102" s="24"/>
      <c r="R102" s="24"/>
      <c r="S102" s="24"/>
      <c r="T102" s="24"/>
      <c r="U102" s="24"/>
      <c r="V102" s="24"/>
      <c r="W102" s="24"/>
      <c r="X102" s="28"/>
      <c r="Y102" s="28"/>
      <c r="Z102" s="28"/>
      <c r="AA102" s="28"/>
      <c r="AB102" s="31"/>
      <c r="AC102" s="24"/>
      <c r="AD102" s="24"/>
      <c r="AE102" s="24"/>
      <c r="AF102" s="24"/>
      <c r="AG102" s="27" t="s">
        <v>76</v>
      </c>
      <c r="AH102" s="27" t="s">
        <v>76</v>
      </c>
    </row>
    <row r="103" spans="2:34" x14ac:dyDescent="0.25">
      <c r="B103" s="32">
        <f t="shared" si="9"/>
        <v>101</v>
      </c>
      <c r="C103" s="26"/>
      <c r="D103" s="32"/>
      <c r="E103" s="26"/>
      <c r="F103" s="47"/>
      <c r="G103" s="26"/>
      <c r="H103" s="26"/>
      <c r="I103" s="24"/>
      <c r="J103" s="54"/>
      <c r="K103" s="24"/>
      <c r="L103" s="27"/>
      <c r="M103" s="27"/>
      <c r="N103" s="26"/>
      <c r="O103" s="24"/>
      <c r="P103" s="24"/>
      <c r="Q103" s="24"/>
      <c r="R103" s="24"/>
      <c r="S103" s="24"/>
      <c r="T103" s="24"/>
      <c r="U103" s="24"/>
      <c r="V103" s="24"/>
      <c r="W103" s="24"/>
      <c r="X103" s="28"/>
      <c r="Y103" s="28"/>
      <c r="Z103" s="28"/>
      <c r="AA103" s="28"/>
      <c r="AB103" s="31"/>
      <c r="AC103" s="24"/>
      <c r="AD103" s="24"/>
      <c r="AE103" s="24"/>
      <c r="AF103" s="24"/>
      <c r="AG103" s="27" t="s">
        <v>76</v>
      </c>
      <c r="AH103" s="27" t="s">
        <v>76</v>
      </c>
    </row>
    <row r="104" spans="2:34" x14ac:dyDescent="0.25">
      <c r="B104" s="32">
        <f t="shared" si="9"/>
        <v>102</v>
      </c>
      <c r="C104" s="26"/>
      <c r="D104" s="32"/>
      <c r="E104" s="26"/>
      <c r="F104" s="47"/>
      <c r="G104" s="26"/>
      <c r="H104" s="26"/>
      <c r="I104" s="24"/>
      <c r="J104" s="54"/>
      <c r="K104" s="24"/>
      <c r="L104" s="27"/>
      <c r="M104" s="27"/>
      <c r="N104" s="26"/>
      <c r="O104" s="24"/>
      <c r="P104" s="24"/>
      <c r="Q104" s="24"/>
      <c r="R104" s="24"/>
      <c r="S104" s="24"/>
      <c r="T104" s="24"/>
      <c r="U104" s="24"/>
      <c r="V104" s="24"/>
      <c r="W104" s="24"/>
      <c r="X104" s="28"/>
      <c r="Y104" s="28"/>
      <c r="Z104" s="28"/>
      <c r="AA104" s="28"/>
      <c r="AB104" s="31"/>
      <c r="AC104" s="24"/>
      <c r="AD104" s="24"/>
      <c r="AE104" s="24"/>
      <c r="AF104" s="24"/>
      <c r="AG104" s="27" t="s">
        <v>76</v>
      </c>
      <c r="AH104" s="27" t="s">
        <v>76</v>
      </c>
    </row>
    <row r="105" spans="2:34" x14ac:dyDescent="0.25">
      <c r="B105" s="32">
        <f t="shared" si="9"/>
        <v>103</v>
      </c>
      <c r="C105" s="26"/>
      <c r="D105" s="32"/>
      <c r="E105" s="26"/>
      <c r="F105" s="47"/>
      <c r="G105" s="26"/>
      <c r="H105" s="26"/>
      <c r="I105" s="24"/>
      <c r="J105" s="54"/>
      <c r="K105" s="24"/>
      <c r="L105" s="27"/>
      <c r="M105" s="27"/>
      <c r="N105" s="26"/>
      <c r="O105" s="24"/>
      <c r="P105" s="24"/>
      <c r="Q105" s="24"/>
      <c r="R105" s="24"/>
      <c r="S105" s="24"/>
      <c r="T105" s="24"/>
      <c r="U105" s="24"/>
      <c r="V105" s="24"/>
      <c r="W105" s="24"/>
      <c r="X105" s="28"/>
      <c r="Y105" s="28"/>
      <c r="Z105" s="28"/>
      <c r="AA105" s="28"/>
      <c r="AB105" s="31"/>
      <c r="AC105" s="24"/>
      <c r="AD105" s="24"/>
      <c r="AE105" s="24"/>
      <c r="AF105" s="24"/>
      <c r="AG105" s="27" t="s">
        <v>76</v>
      </c>
      <c r="AH105" s="27" t="s">
        <v>76</v>
      </c>
    </row>
    <row r="106" spans="2:34" x14ac:dyDescent="0.25">
      <c r="B106" s="32">
        <f t="shared" si="9"/>
        <v>104</v>
      </c>
      <c r="C106" s="26"/>
      <c r="D106" s="32"/>
      <c r="E106" s="26"/>
      <c r="F106" s="47"/>
      <c r="G106" s="26"/>
      <c r="H106" s="26"/>
      <c r="I106" s="24"/>
      <c r="J106" s="54"/>
      <c r="K106" s="24"/>
      <c r="L106" s="27"/>
      <c r="M106" s="27"/>
      <c r="N106" s="26"/>
      <c r="O106" s="24"/>
      <c r="P106" s="24"/>
      <c r="Q106" s="24"/>
      <c r="R106" s="24"/>
      <c r="S106" s="24"/>
      <c r="T106" s="24"/>
      <c r="U106" s="24"/>
      <c r="V106" s="24"/>
      <c r="W106" s="24"/>
      <c r="X106" s="28"/>
      <c r="Y106" s="28"/>
      <c r="Z106" s="28"/>
      <c r="AA106" s="28"/>
      <c r="AB106" s="31"/>
      <c r="AC106" s="24"/>
      <c r="AD106" s="24"/>
      <c r="AE106" s="24"/>
      <c r="AF106" s="24"/>
      <c r="AG106" s="27" t="s">
        <v>76</v>
      </c>
      <c r="AH106" s="27" t="s">
        <v>76</v>
      </c>
    </row>
    <row r="107" spans="2:34" x14ac:dyDescent="0.25">
      <c r="B107" s="32">
        <f t="shared" si="9"/>
        <v>105</v>
      </c>
      <c r="C107" s="26"/>
      <c r="D107" s="32"/>
      <c r="E107" s="26"/>
      <c r="F107" s="47"/>
      <c r="G107" s="26"/>
      <c r="H107" s="26"/>
      <c r="I107" s="24"/>
      <c r="J107" s="54"/>
      <c r="K107" s="24"/>
      <c r="L107" s="27"/>
      <c r="M107" s="27"/>
      <c r="N107" s="26"/>
      <c r="O107" s="24"/>
      <c r="P107" s="24"/>
      <c r="Q107" s="24"/>
      <c r="R107" s="24"/>
      <c r="S107" s="24"/>
      <c r="T107" s="24"/>
      <c r="U107" s="24"/>
      <c r="V107" s="24"/>
      <c r="W107" s="24"/>
      <c r="X107" s="28"/>
      <c r="Y107" s="28"/>
      <c r="Z107" s="28"/>
      <c r="AA107" s="28"/>
      <c r="AB107" s="167"/>
      <c r="AC107" s="32"/>
      <c r="AD107" s="32"/>
      <c r="AE107" s="32"/>
      <c r="AF107" s="32"/>
      <c r="AG107" s="27" t="s">
        <v>76</v>
      </c>
      <c r="AH107" s="27" t="s">
        <v>76</v>
      </c>
    </row>
    <row r="108" spans="2:34" x14ac:dyDescent="0.25">
      <c r="B108" s="32">
        <f t="shared" si="9"/>
        <v>106</v>
      </c>
      <c r="C108" s="26"/>
      <c r="D108" s="32"/>
      <c r="E108" s="26"/>
      <c r="F108" s="47"/>
      <c r="G108" s="26"/>
      <c r="H108" s="26"/>
      <c r="I108" s="24"/>
      <c r="J108" s="54"/>
      <c r="K108" s="24"/>
      <c r="L108" s="27"/>
      <c r="M108" s="27"/>
      <c r="N108" s="26"/>
      <c r="O108" s="24"/>
      <c r="P108" s="24"/>
      <c r="Q108" s="24"/>
      <c r="R108" s="24"/>
      <c r="S108" s="24"/>
      <c r="T108" s="24"/>
      <c r="U108" s="24"/>
      <c r="V108" s="24"/>
      <c r="W108" s="24"/>
      <c r="X108" s="28"/>
      <c r="Y108" s="28"/>
      <c r="Z108" s="28"/>
      <c r="AA108" s="28"/>
      <c r="AB108" s="31"/>
      <c r="AC108" s="24"/>
      <c r="AD108" s="24"/>
      <c r="AE108" s="24"/>
      <c r="AF108" s="24"/>
      <c r="AG108" s="27" t="s">
        <v>76</v>
      </c>
      <c r="AH108" s="27" t="s">
        <v>76</v>
      </c>
    </row>
    <row r="109" spans="2:34" x14ac:dyDescent="0.25">
      <c r="B109" s="33"/>
      <c r="C109" s="130"/>
      <c r="D109" s="130"/>
      <c r="E109" s="130"/>
      <c r="F109" s="131"/>
      <c r="G109" s="130"/>
      <c r="H109" s="130"/>
      <c r="I109" s="130"/>
      <c r="J109" s="130"/>
      <c r="K109" s="130"/>
      <c r="L109" s="130"/>
      <c r="M109" s="130"/>
      <c r="N109" s="132"/>
      <c r="O109" s="130"/>
      <c r="P109" s="130"/>
      <c r="Q109" s="130"/>
      <c r="R109" s="130"/>
      <c r="S109" s="130"/>
      <c r="T109" s="130"/>
      <c r="U109" s="130"/>
      <c r="V109" s="130"/>
      <c r="W109" s="130"/>
      <c r="X109" s="133"/>
      <c r="Y109" s="133"/>
      <c r="Z109" s="133"/>
      <c r="AA109" s="133"/>
      <c r="AB109" s="133"/>
      <c r="AC109" s="130"/>
      <c r="AD109" s="130"/>
      <c r="AE109" s="130"/>
      <c r="AF109" s="130"/>
      <c r="AG109" s="130"/>
      <c r="AH109" s="130"/>
    </row>
    <row r="110" spans="2:34" x14ac:dyDescent="0.25">
      <c r="B110" s="5"/>
      <c r="C110" s="5"/>
      <c r="D110" s="5"/>
      <c r="E110" s="5"/>
      <c r="F110" s="5"/>
      <c r="G110" s="5"/>
      <c r="H110" s="5"/>
      <c r="I110" s="5"/>
      <c r="J110" s="152"/>
      <c r="K110" s="5"/>
      <c r="L110" s="5"/>
      <c r="M110" s="5"/>
      <c r="N110" s="45"/>
      <c r="O110" s="5"/>
      <c r="P110" s="5"/>
      <c r="S110" s="159"/>
    </row>
    <row r="111" spans="2:34" x14ac:dyDescent="0.25">
      <c r="B111" s="1" t="s">
        <v>56</v>
      </c>
      <c r="S111" s="193"/>
    </row>
    <row r="112" spans="2:34" x14ac:dyDescent="0.25">
      <c r="B112" s="2" t="s">
        <v>0</v>
      </c>
      <c r="C112" s="2" t="s">
        <v>7</v>
      </c>
      <c r="D112" s="2" t="s">
        <v>465</v>
      </c>
      <c r="E112" s="2" t="s">
        <v>58</v>
      </c>
      <c r="F112" s="2" t="s">
        <v>466</v>
      </c>
      <c r="G112" s="2" t="s">
        <v>22</v>
      </c>
      <c r="H112" s="4" t="s">
        <v>24</v>
      </c>
      <c r="L112" s="46"/>
      <c r="N112"/>
    </row>
    <row r="113" spans="2:20" x14ac:dyDescent="0.25">
      <c r="B113" s="3">
        <v>1</v>
      </c>
      <c r="C113" s="40" t="s">
        <v>85</v>
      </c>
      <c r="D113" s="3">
        <f>SUMIFS($S$3:$S$108,$D$3:$D$108,Table!$C$3,$O$3:$O$108,C113)</f>
        <v>61</v>
      </c>
      <c r="E113" s="3">
        <f>SUMIFS($T$3:$T$108,$D$3:$D$108,Table!$C$3,$O$3:$O$108,C113)-SUM(SUMIFS($T$3:$T$108,$D$3:$D$108,Table!$C$3,$O$3:$O$108,C113,$W$3:$W$108,{"Ongoing","N/A",""}))</f>
        <v>61</v>
      </c>
      <c r="F113" s="3">
        <f>1/8*(SUMIFS($V$3:$V$108,$D$3:$D$108,Table!$C$3,$O$3:$O$108,C113)-SUM(SUMIFS($V$3:$V$108,$D$3:$D$108,Table!$C$3,$O$3:$O$108,C113,$W$3:$W$108,{"Ongoing","N/A",""})))</f>
        <v>0.375</v>
      </c>
      <c r="G113" s="3">
        <f>IF(ISERROR(E113/(F113)),"N/A",E113/F113)</f>
        <v>162.66666666666666</v>
      </c>
      <c r="H113" s="6">
        <f>IF(ISERROR(E113/D113),"N/A",E113/D113)</f>
        <v>1</v>
      </c>
      <c r="L113" s="46"/>
      <c r="N113"/>
      <c r="T113" s="164"/>
    </row>
    <row r="114" spans="2:20" x14ac:dyDescent="0.25">
      <c r="B114" s="3">
        <v>2</v>
      </c>
      <c r="C114" s="40" t="s">
        <v>86</v>
      </c>
      <c r="D114" s="3">
        <f>SUMIFS($S$3:$S$108,$D$3:$D$108,Table!$C$3,$O$3:$O$108,C114)</f>
        <v>0</v>
      </c>
      <c r="E114" s="3">
        <f>SUMIFS($T$3:$T$108,$D$3:$D$108,Table!$C$3,$O$3:$O$108,C114)-SUM(SUMIFS($T$3:$T$108,$D$3:$D$108,Table!$C$3,$O$3:$O$108,C114,$W$3:$W$108,{"Ongoing","N/A",""}))</f>
        <v>0</v>
      </c>
      <c r="F114" s="3">
        <f>1/8*(SUMIFS($V$3:$V$108,$D$3:$D$108,Table!$C$3,$O$3:$O$108,C114)-SUM(SUMIFS($V$3:$V$108,$D$3:$D$108,Table!$C$3,$O$3:$O$108,C114,$W$3:$W$108,{"Ongoing","N/A",""})))</f>
        <v>0</v>
      </c>
      <c r="G114" s="3" t="str">
        <f>IF(ISERROR(E114/(F114)),"N/A",E114/F114)</f>
        <v>N/A</v>
      </c>
      <c r="H114" s="6" t="str">
        <f>IF(ISERROR(E114/D114),"N/A",E114/D114)</f>
        <v>N/A</v>
      </c>
      <c r="L114" s="46"/>
      <c r="N114"/>
      <c r="T114" s="5"/>
    </row>
    <row r="115" spans="2:20" x14ac:dyDescent="0.25">
      <c r="B115" s="3">
        <v>3</v>
      </c>
      <c r="C115" s="40" t="s">
        <v>87</v>
      </c>
      <c r="D115" s="3">
        <f>SUMIFS($S$3:$S$108,$D$3:$D$108,Table!$C$3,$O$3:$O$108,C115)</f>
        <v>0</v>
      </c>
      <c r="E115" s="3">
        <f>SUMIFS($T$3:$T$108,$D$3:$D$108,Table!$C$3,$O$3:$O$108,C115)-SUM(SUMIFS($T$3:$T$108,$D$3:$D$108,Table!$C$3,$O$3:$O$108,C115,$W$3:$W$108,{"Ongoing","N/A",""}))</f>
        <v>0</v>
      </c>
      <c r="F115" s="3">
        <f>1/8*(SUMIFS($V$3:$V$108,$D$3:$D$108,Table!$C$3,$O$3:$O$108,C115)-SUM(SUMIFS($V$3:$V$108,$D$3:$D$108,Table!$C$3,$O$3:$O$108,C115,$W$3:$W$108,{"Ongoing","N/A",""})))</f>
        <v>0</v>
      </c>
      <c r="G115" s="3" t="str">
        <f>IF(ISERROR(E115/(F115)),"N/A",E115/F115)</f>
        <v>N/A</v>
      </c>
      <c r="H115" s="6" t="str">
        <f>IF(ISERROR(E115/D115),"N/A",E115/D115)</f>
        <v>N/A</v>
      </c>
      <c r="L115" s="46"/>
      <c r="N115"/>
      <c r="T115" s="164"/>
    </row>
    <row r="116" spans="2:20" x14ac:dyDescent="0.25">
      <c r="B116" s="3">
        <v>4</v>
      </c>
      <c r="C116" s="40" t="s">
        <v>88</v>
      </c>
      <c r="D116" s="3">
        <f>SUMIFS($S$3:$S$108,$D$3:$D$108,Table!$C$3,$O$3:$O$108,C116)</f>
        <v>0</v>
      </c>
      <c r="E116" s="3">
        <f>SUMIFS($T$3:$T$108,$D$3:$D$108,Table!$C$3,$O$3:$O$108,C116)-SUM(SUMIFS($T$3:$T$108,$D$3:$D$108,Table!$C$3,$O$3:$O$108,C116,$W$3:$W$108,{"Ongoing","N/A"}))</f>
        <v>0</v>
      </c>
      <c r="F116" s="3">
        <f>1/8*(SUMIFS($V$3:$V$108,$D$3:$D$108,Table!$C$3,$O$3:$O$108,C116)-SUM(SUMIFS($V$3:$V$108,$D$3:$D$108,Table!$C$3,$O$3:$O$108,C116,$W$3:$W$108,{"Ongoing","N/A",""})))</f>
        <v>0</v>
      </c>
      <c r="G116" s="3" t="str">
        <f>IF(ISERROR(E116/(F116)),"N/A",E116/F116)</f>
        <v>N/A</v>
      </c>
      <c r="H116" s="6" t="str">
        <f>IF(ISERROR(E116/D116),"N/A",E116/D116)</f>
        <v>N/A</v>
      </c>
      <c r="N116"/>
    </row>
    <row r="117" spans="2:20" x14ac:dyDescent="0.25">
      <c r="B117" s="2" t="s">
        <v>322</v>
      </c>
      <c r="C117" s="40"/>
      <c r="D117" s="112">
        <f>SUMIFS($S$3:$S$108,$D$3:$D$108,Table!$C$3)</f>
        <v>61</v>
      </c>
      <c r="E117" s="112">
        <f>SUMIFS($T$3:$T$108,$D$3:$D$108,Table!$C$3)-SUM(SUMIFS($T$3:$T$108,$D$3:$D$108,Table!$C$3,$W$3:$W$108,{"Ongoing","N/A",""}))</f>
        <v>61</v>
      </c>
      <c r="F117" s="112">
        <f>1/8*(SUMIFS($V$3:$V$108,$D$3:$D$108,Table!$C$3)-SUM(SUMIFS($V$3:$V$108,$D$3:$D$108,Table!$C$3,$W$3:$W$108,{"Ongoing","N/A",""})))</f>
        <v>0.375</v>
      </c>
      <c r="G117" s="3">
        <f>IF(ISERROR(E117/(F117)),"N/A",E117/F117)</f>
        <v>162.66666666666666</v>
      </c>
      <c r="H117" s="6">
        <f>IF(ISERROR(E117/D117),"N/A",E117/D117)</f>
        <v>1</v>
      </c>
      <c r="N117"/>
    </row>
    <row r="118" spans="2:20" x14ac:dyDescent="0.25">
      <c r="L118" s="46"/>
      <c r="N118"/>
    </row>
    <row r="119" spans="2:20" x14ac:dyDescent="0.25">
      <c r="L119" s="46"/>
      <c r="N119"/>
    </row>
    <row r="120" spans="2:20" x14ac:dyDescent="0.25">
      <c r="B120" s="1" t="s">
        <v>57</v>
      </c>
      <c r="L120" s="46"/>
      <c r="N120"/>
    </row>
    <row r="121" spans="2:20" x14ac:dyDescent="0.25">
      <c r="B121" s="2" t="s">
        <v>0</v>
      </c>
      <c r="C121" s="2" t="s">
        <v>7</v>
      </c>
      <c r="D121" s="2" t="s">
        <v>465</v>
      </c>
      <c r="E121" s="2" t="s">
        <v>58</v>
      </c>
      <c r="F121" s="2" t="s">
        <v>466</v>
      </c>
      <c r="G121" s="2" t="s">
        <v>22</v>
      </c>
      <c r="H121" s="4" t="s">
        <v>24</v>
      </c>
      <c r="L121" s="46"/>
      <c r="N121"/>
    </row>
    <row r="122" spans="2:20" x14ac:dyDescent="0.25">
      <c r="B122" s="3">
        <v>1</v>
      </c>
      <c r="C122" s="40" t="s">
        <v>85</v>
      </c>
      <c r="D122" s="3">
        <f>SUMIFS($S$3:$S$108,$D$3:$D$108,Table!$D$3,$O$3:$O$108,C122)</f>
        <v>3894</v>
      </c>
      <c r="E122" s="3">
        <f>SUMIFS($S$3:$S$108,$D$3:$D$108,Table!$D$3,$O$3:$O$108,C122)-SUM(SUMIFS($S$3:$S$108,$D$3:$D$108,Table!$D$3,$O$3:$O$108,C122,$W$3:$W$108,{"Ongoing","N/A",""}))</f>
        <v>2882</v>
      </c>
      <c r="F122" s="3">
        <f>1/8*(SUMIFS($V$3:$V$108,$D$3:$D$108,Table!$D$3,$O$3:$O$108,C122)-SUM(SUMIFS($V$3:$V$108,$D$3:$D$108,Table!$D$3,$O$3:$O$108,C122,$W$3:$W$108,{"Ongoing","N/A",""})))</f>
        <v>6.0625</v>
      </c>
      <c r="G122" s="3">
        <f>IF(ISERROR(E122/(F122)),"N/A",E122/F122)</f>
        <v>475.38144329896909</v>
      </c>
      <c r="H122" s="6">
        <f>IF(ISERROR(E122/D122),"N/A",E122/D122)</f>
        <v>0.74011299435028244</v>
      </c>
      <c r="L122" s="46"/>
      <c r="N122"/>
    </row>
    <row r="123" spans="2:20" x14ac:dyDescent="0.25">
      <c r="B123" s="3">
        <v>2</v>
      </c>
      <c r="C123" s="40" t="s">
        <v>86</v>
      </c>
      <c r="D123" s="3">
        <f>SUMIFS($S$3:$S$108,$D$3:$D$108,Table!$D$3,$O$3:$O$108,C123)</f>
        <v>4254</v>
      </c>
      <c r="E123" s="3">
        <f>SUMIFS($S$3:$S$108,$D$3:$D$108,Table!$D$3,$O$3:$O$108,C123)-SUM(SUMIFS($S$3:$S$108,$D$3:$D$108,Table!$D$3,$O$3:$O$108,C123,$W$3:$W$108,{"Ongoing","N/A",""}))</f>
        <v>4254</v>
      </c>
      <c r="F123" s="3">
        <f>1/8*(SUMIFS($V$3:$V$108,$D$3:$D$108,Table!$D$3,$O$3:$O$108,C123)-SUM(SUMIFS($V$3:$V$108,$D$3:$D$108,Table!$D$3,$O$3:$O$108,C123,$W$3:$W$108,{"Ongoing","N/A",""})))</f>
        <v>6</v>
      </c>
      <c r="G123" s="3">
        <f>IF(ISERROR(E123/(F123)),"N/A",E123/F123)</f>
        <v>709</v>
      </c>
      <c r="H123" s="6">
        <f>IF(ISERROR(E123/D123),"N/A",E123/D123)</f>
        <v>1</v>
      </c>
    </row>
    <row r="124" spans="2:20" x14ac:dyDescent="0.25">
      <c r="B124" s="3">
        <v>3</v>
      </c>
      <c r="C124" s="40" t="s">
        <v>87</v>
      </c>
      <c r="D124" s="3">
        <f>SUMIFS($S$3:$S$108,$D$3:$D$108,Table!$D$3,$O$3:$O$108,C124)</f>
        <v>4018</v>
      </c>
      <c r="E124" s="3">
        <f>SUMIFS($S$3:$S$108,$D$3:$D$108,Table!$D$3,$O$3:$O$108,C124)-SUM(SUMIFS($S$3:$S$108,$D$3:$D$108,Table!$D$3,$O$3:$O$108,C124,$W$3:$W$108,{"Ongoing","N/A",""}))</f>
        <v>4018</v>
      </c>
      <c r="F124" s="3">
        <f>1/8*(SUMIFS($V$3:$V$108,$D$3:$D$108,Table!$D$3,$O$3:$O$108,C124)-SUM(SUMIFS($V$3:$V$108,$D$3:$D$108,Table!$D$3,$O$3:$O$108,C124,$W$3:$W$108,{"Ongoing","N/A",""})))</f>
        <v>6</v>
      </c>
      <c r="G124" s="3">
        <f>IF(ISERROR(E124/(F124)),"N/A",E124/F124)</f>
        <v>669.66666666666663</v>
      </c>
      <c r="H124" s="6">
        <f>IF(ISERROR(E124/D124),"N/A",E124/D124)</f>
        <v>1</v>
      </c>
    </row>
    <row r="125" spans="2:20" x14ac:dyDescent="0.25">
      <c r="B125" s="3">
        <v>4</v>
      </c>
      <c r="C125" s="40" t="s">
        <v>88</v>
      </c>
      <c r="D125" s="3">
        <f>SUMIFS($S$3:$S$108,$D$3:$D$108,Table!$D$3,$O$3:$O$108,C125)</f>
        <v>3982</v>
      </c>
      <c r="E125" s="3">
        <f>SUMIFS($S$3:$S$108,$D$3:$D$108,Table!$D$3,$O$3:$O$108,C125)-SUM(SUMIFS($S$3:$S$108,$D$3:$D$108,Table!$D$3,$O$3:$O$108,C125,$W$3:$W$108,{"Ongoing","N/A",""}))</f>
        <v>3127</v>
      </c>
      <c r="F125" s="3">
        <f>1/8*(SUMIFS($V$3:$V$108,$D$3:$D$108,Table!$D$3,$O$3:$O$108,C125)-SUM(SUMIFS($V$3:$V$108,$D$3:$D$108,Table!$D$3,$O$3:$O$108,C125,$W$3:$W$108,{"Ongoing","N/A",""})))</f>
        <v>4.6212499999999999</v>
      </c>
      <c r="G125" s="3">
        <f>IF(ISERROR(E125/(F125)),"N/A",E125/F125)</f>
        <v>676.65674871517444</v>
      </c>
      <c r="H125" s="6">
        <f>IF(ISERROR(E125/D125),"N/A",E125/D125)</f>
        <v>0.78528377699648422</v>
      </c>
    </row>
    <row r="126" spans="2:20" x14ac:dyDescent="0.25">
      <c r="B126" s="2" t="s">
        <v>322</v>
      </c>
      <c r="C126" s="40"/>
      <c r="D126" s="112">
        <f>SUMIFS($S$3:$S$108,$D$3:$D$108,Table!$D$3)</f>
        <v>16148</v>
      </c>
      <c r="E126" s="112">
        <f>SUMIFS($T$3:$T$108,$D$3:$D$108,Table!$D$3)-SUM(SUMIFS($T$3:$T$108,$D$3:$D$108,Table!$D$3,$W$3:$W$108,{"Ongoing","N/A",""}))</f>
        <v>14197</v>
      </c>
      <c r="F126" s="112">
        <f>1/8*(SUMIFS($V$3:$V$108,$D$3:$D$108,Table!$D$3)-SUM(SUMIFS($V$3:$V$108,$D$3:$D$108,Table!$D$3,$W$3:$W$108,{"Ongoing","N/A",""})))</f>
        <v>22.68375</v>
      </c>
      <c r="G126" s="3">
        <f>IF(ISERROR(E126/(F126)),"N/A",E126/F126)</f>
        <v>625.86653441340172</v>
      </c>
      <c r="H126" s="6">
        <f>IF(ISERROR(E126/D126),"N/A",E126/D126)</f>
        <v>0.87918008422095617</v>
      </c>
    </row>
    <row r="129" spans="2:8" x14ac:dyDescent="0.25">
      <c r="B129" s="1" t="s">
        <v>323</v>
      </c>
    </row>
    <row r="130" spans="2:8" x14ac:dyDescent="0.25">
      <c r="B130" s="2" t="s">
        <v>0</v>
      </c>
      <c r="C130" s="2" t="s">
        <v>7</v>
      </c>
      <c r="D130" s="2" t="s">
        <v>465</v>
      </c>
      <c r="E130" s="2" t="s">
        <v>58</v>
      </c>
      <c r="F130" s="2" t="s">
        <v>466</v>
      </c>
      <c r="G130" s="2" t="s">
        <v>22</v>
      </c>
      <c r="H130" s="4" t="s">
        <v>24</v>
      </c>
    </row>
    <row r="131" spans="2:8" x14ac:dyDescent="0.25">
      <c r="B131" s="3">
        <v>1</v>
      </c>
      <c r="C131" s="40" t="s">
        <v>85</v>
      </c>
      <c r="D131" s="3">
        <f>SUM(D113*Table!$D$4/Table!$C$4,D122)</f>
        <v>4105.1538461538457</v>
      </c>
      <c r="E131" s="3">
        <f>SUM(E113*Table!$D$4/Table!$C$4,E122)</f>
        <v>3093.1538461538462</v>
      </c>
      <c r="F131" s="3">
        <f ca="1">IF(OR(Template_Weekly_Report_Apr!E35="-",Template_Weekly_Report_Apr!E35=""),Template_Weekly_Report_Apr!$B$3,Template_Weekly_Report_Apr!$B$3-Template_Weekly_Report_Apr!E35)</f>
        <v>6</v>
      </c>
      <c r="G131" s="3">
        <f ca="1">IF(ISERROR(E131/(F131)),"N/A",E131/F131)</f>
        <v>515.52564102564099</v>
      </c>
      <c r="H131" s="6">
        <f>IF(ISERROR(E131/D131),"N/A",E131/D131)</f>
        <v>0.75348061536155309</v>
      </c>
    </row>
    <row r="132" spans="2:8" x14ac:dyDescent="0.25">
      <c r="B132" s="3">
        <v>2</v>
      </c>
      <c r="C132" s="40" t="s">
        <v>86</v>
      </c>
      <c r="D132" s="3">
        <f>SUM(D114*Table!$D$4/Table!$C$4,D123)</f>
        <v>4254</v>
      </c>
      <c r="E132" s="3">
        <f>SUM(E114*Table!$D$4/Table!$C$4,E123)</f>
        <v>4254</v>
      </c>
      <c r="F132" s="3">
        <f ca="1">IF(OR(Template_Weekly_Report_Apr!E36="-",Template_Weekly_Report_Apr!E36=""),Template_Weekly_Report_Apr!$B$3,Template_Weekly_Report_Apr!$B$3-Template_Weekly_Report_Apr!E36)</f>
        <v>6</v>
      </c>
      <c r="G132" s="3">
        <f ca="1">IF(ISERROR(E132/(F132)),"N/A",E132/F132)</f>
        <v>709</v>
      </c>
      <c r="H132" s="6">
        <f>IF(ISERROR(E132/D132),"N/A",E132/D132)</f>
        <v>1</v>
      </c>
    </row>
    <row r="133" spans="2:8" x14ac:dyDescent="0.25">
      <c r="B133" s="3">
        <v>3</v>
      </c>
      <c r="C133" s="40" t="s">
        <v>87</v>
      </c>
      <c r="D133" s="3">
        <f>SUM(D115*Table!$D$4/Table!$C$4,D124)</f>
        <v>4018</v>
      </c>
      <c r="E133" s="3">
        <f>SUM(E115*Table!$D$4/Table!$C$4,E124)</f>
        <v>4018</v>
      </c>
      <c r="F133" s="3">
        <f ca="1">IF(OR(Template_Weekly_Report_Apr!E37="-",Template_Weekly_Report_Apr!E37=""),Template_Weekly_Report_Apr!$B$3,Template_Weekly_Report_Apr!$B$3-Template_Weekly_Report_Apr!E37)</f>
        <v>6</v>
      </c>
      <c r="G133" s="3">
        <f ca="1">IF(ISERROR(E133/(F133)),"N/A",E133/F133)</f>
        <v>669.66666666666663</v>
      </c>
      <c r="H133" s="6">
        <f>IF(ISERROR(E133/D133),"N/A",E133/D133)</f>
        <v>1</v>
      </c>
    </row>
    <row r="134" spans="2:8" x14ac:dyDescent="0.25">
      <c r="B134" s="3">
        <v>4</v>
      </c>
      <c r="C134" s="40" t="s">
        <v>88</v>
      </c>
      <c r="D134" s="3">
        <f>SUM(D116*Table!$D$4/Table!$C$4,D125)</f>
        <v>3982</v>
      </c>
      <c r="E134" s="3">
        <f>SUM(E116*Table!$D$4/Table!$C$4,E125)</f>
        <v>3127</v>
      </c>
      <c r="F134" s="3">
        <f ca="1">IF(OR(Template_Weekly_Report_Apr!E38="-",Template_Weekly_Report_Apr!E38=""),Template_Weekly_Report_Apr!$B$3,Template_Weekly_Report_Apr!$B$3-Template_Weekly_Report_Apr!E38)</f>
        <v>5</v>
      </c>
      <c r="G134" s="3">
        <f ca="1">IF(ISERROR(E134/(F134)),"N/A",E134/F134)</f>
        <v>625.4</v>
      </c>
      <c r="H134" s="6">
        <f>IF(ISERROR(E134/D134),"N/A",E134/D134)</f>
        <v>0.78528377699648422</v>
      </c>
    </row>
    <row r="135" spans="2:8" x14ac:dyDescent="0.25">
      <c r="B135" s="2" t="s">
        <v>322</v>
      </c>
      <c r="C135" s="40"/>
      <c r="D135" s="3">
        <f>SUM(D131:D134)</f>
        <v>16359.153846153846</v>
      </c>
      <c r="E135" s="3">
        <f>SUM(E131:E134)</f>
        <v>14492.153846153846</v>
      </c>
      <c r="F135" s="3">
        <f ca="1">Template_Weekly_Report_Apr!B3*COUNTA(C131:C134)-1</f>
        <v>23</v>
      </c>
      <c r="G135" s="3">
        <f ca="1">IF(ISERROR(E135/(F135)),"N/A",E135/F135)</f>
        <v>630.09364548494977</v>
      </c>
      <c r="H135" s="6">
        <f t="shared" ref="H135" si="14">IF(ISERROR(E135/D135),"N/A",E135/D135)</f>
        <v>0.88587429291528152</v>
      </c>
    </row>
  </sheetData>
  <customSheetViews>
    <customSheetView guid="{7E0EA425-A420-4443-B9E0-CDF0AA9E5D09}" scale="85" hiddenColumns="1">
      <selection activeCell="F112" sqref="F112"/>
      <pageMargins left="0.7" right="0.7" top="0.75" bottom="0.75" header="0.3" footer="0.3"/>
      <pageSetup orientation="portrait" r:id="rId1"/>
    </customSheetView>
    <customSheetView guid="{4E06BDBF-2CED-473B-850B-2A6C7311FF41}" scale="85" hiddenColumns="1" topLeftCell="S81">
      <selection activeCell="Z95" sqref="Z95:AH95"/>
      <pageMargins left="0.7" right="0.7" top="0.75" bottom="0.75" header="0.3" footer="0.3"/>
      <pageSetup orientation="portrait" r:id="rId2"/>
    </customSheetView>
    <customSheetView guid="{72A6EB0A-84D5-4B8A-AC51-54CCD061630B}" scale="85" hiddenColumns="1">
      <selection activeCell="A39" sqref="A39:XFD39"/>
      <pageMargins left="0.7" right="0.7" top="0.75" bottom="0.75" header="0.3" footer="0.3"/>
      <pageSetup orientation="portrait" r:id="rId3"/>
    </customSheetView>
    <customSheetView guid="{D1F7047B-CC2E-48BC-8022-C8013AE2B1E1}" scale="70" showAutoFilter="1" hiddenColumns="1" topLeftCell="A64">
      <selection activeCell="E85" sqref="E85"/>
      <pageMargins left="0.7" right="0.7" top="0.75" bottom="0.75" header="0.3" footer="0.3"/>
      <pageSetup orientation="portrait" r:id="rId4"/>
      <autoFilter ref="B2:AH108"/>
    </customSheetView>
    <customSheetView guid="{60D2C030-4E31-4E07-8E1C-44D2EE84B177}" scale="85" filter="1" showAutoFilter="1" hiddenColumns="1" topLeftCell="L1">
      <selection activeCell="AF119" sqref="AF119"/>
      <pageMargins left="0.7" right="0.7" top="0.75" bottom="0.75" header="0.3" footer="0.3"/>
      <pageSetup orientation="portrait" r:id="rId5"/>
      <autoFilter ref="B2:AH108">
        <filterColumn colId="13">
          <filters>
            <filter val="chung.ly"/>
          </filters>
        </filterColumn>
        <filterColumn colId="23">
          <filters>
            <dateGroupItem year="2020" month="4" day="8" dateTimeGrouping="day"/>
          </filters>
        </filterColumn>
      </autoFilter>
    </customSheetView>
  </customSheetViews>
  <conditionalFormatting sqref="H122:H125 H113:H117">
    <cfRule type="cellIs" dxfId="148" priority="32" operator="equal">
      <formula>1</formula>
    </cfRule>
    <cfRule type="cellIs" dxfId="147" priority="33" operator="lessThan">
      <formula>1</formula>
    </cfRule>
  </conditionalFormatting>
  <conditionalFormatting sqref="AB3:AB109">
    <cfRule type="cellIs" dxfId="146" priority="30" operator="equal">
      <formula>"OK"</formula>
    </cfRule>
    <cfRule type="cellIs" dxfId="145" priority="31" operator="equal">
      <formula>"NG"</formula>
    </cfRule>
  </conditionalFormatting>
  <conditionalFormatting sqref="L5:L108 M5:M21 L3:M4">
    <cfRule type="cellIs" dxfId="144" priority="29" operator="equal">
      <formula>"PUT_VERSION"</formula>
    </cfRule>
  </conditionalFormatting>
  <conditionalFormatting sqref="E117">
    <cfRule type="expression" dxfId="143" priority="28">
      <formula>$E$117=SUM($E$113:$E$116)</formula>
    </cfRule>
  </conditionalFormatting>
  <conditionalFormatting sqref="F117">
    <cfRule type="expression" dxfId="142" priority="27">
      <formula>$F$117=SUM($F$113:$F$116)</formula>
    </cfRule>
  </conditionalFormatting>
  <conditionalFormatting sqref="D117:F117">
    <cfRule type="expression" dxfId="141" priority="26">
      <formula>D117=SUM(D113:D116)</formula>
    </cfRule>
  </conditionalFormatting>
  <conditionalFormatting sqref="D126:F126">
    <cfRule type="expression" dxfId="140" priority="25">
      <formula>D126=SUM(D122:D125)</formula>
    </cfRule>
  </conditionalFormatting>
  <conditionalFormatting sqref="H135">
    <cfRule type="cellIs" dxfId="139" priority="23" operator="equal">
      <formula>1</formula>
    </cfRule>
    <cfRule type="cellIs" dxfId="138" priority="24" operator="lessThan">
      <formula>1</formula>
    </cfRule>
  </conditionalFormatting>
  <conditionalFormatting sqref="D3:D109">
    <cfRule type="cellIs" dxfId="137" priority="9" operator="equal">
      <formula>"PSW"</formula>
    </cfRule>
    <cfRule type="cellIs" dxfId="136" priority="10" operator="equal">
      <formula>"ASW"</formula>
    </cfRule>
  </conditionalFormatting>
  <conditionalFormatting sqref="I4:I109">
    <cfRule type="cellIs" dxfId="135" priority="7" operator="equal">
      <formula>"Manual"</formula>
    </cfRule>
    <cfRule type="cellIs" dxfId="134" priority="8" operator="equal">
      <formula>"Auto"</formula>
    </cfRule>
  </conditionalFormatting>
  <dataValidations count="2">
    <dataValidation type="list" allowBlank="1" showInputMessage="1" showErrorMessage="1" sqref="Q3:Q109">
      <formula1>"Yes,No"</formula1>
    </dataValidation>
    <dataValidation type="list" allowBlank="1" showInputMessage="1" showErrorMessage="1" sqref="AB3:AB109">
      <formula1>"OK,NG"</formula1>
    </dataValidation>
  </dataValidations>
  <pageMargins left="0.7" right="0.7" top="0.75" bottom="0.75" header="0.3" footer="0.3"/>
  <pageSetup orientation="portrait"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4" operator="greaterThanOrEqual" id="{347F6A8E-6B4E-46FC-95D6-7B23A475568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5" operator="lessThan" id="{38A793D7-4802-4839-ACF8-226CEE33C03F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G113:G117</xm:sqref>
        </x14:conditionalFormatting>
        <x14:conditionalFormatting xmlns:xm="http://schemas.microsoft.com/office/excel/2006/main">
          <x14:cfRule type="cellIs" priority="36" operator="greaterThanOrEqual" id="{E36D9CBE-873F-4511-9CE5-78554809878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7" operator="lessThan" id="{89A681C3-11B1-47F1-BEBC-860C3EF0BA5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G122:G125</xm:sqref>
        </x14:conditionalFormatting>
        <x14:conditionalFormatting xmlns:xm="http://schemas.microsoft.com/office/excel/2006/main">
          <x14:cfRule type="cellIs" priority="21" operator="greaterThanOrEqual" id="{2E2D3F91-C82C-4647-8E2C-B0CCF7740DCA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2" operator="lessThan" id="{3098A695-ACA3-42E4-8C0E-C7A55F7ADD6B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G131</xm:sqref>
        </x14:conditionalFormatting>
        <x14:conditionalFormatting xmlns:xm="http://schemas.microsoft.com/office/excel/2006/main">
          <x14:cfRule type="cellIs" priority="19" operator="greaterThanOrEqual" id="{4885DF0E-3249-4456-B778-A122F50B14E5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3B504B27-38AF-4C6B-9961-A984AB47814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G132</xm:sqref>
        </x14:conditionalFormatting>
        <x14:conditionalFormatting xmlns:xm="http://schemas.microsoft.com/office/excel/2006/main">
          <x14:cfRule type="cellIs" priority="17" operator="greaterThanOrEqual" id="{581ADB50-8299-4CB0-87F4-36298DD8668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8" operator="lessThan" id="{4EA94FA6-F50F-4524-8D1B-809E56A3000E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G133</xm:sqref>
        </x14:conditionalFormatting>
        <x14:conditionalFormatting xmlns:xm="http://schemas.microsoft.com/office/excel/2006/main">
          <x14:cfRule type="cellIs" priority="15" operator="greaterThanOrEqual" id="{F7A38F0F-3522-4AF0-82B3-513902228C03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6" operator="lessThan" id="{CF8A85DE-2A04-423A-936F-F8C2C43B0D0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G134</xm:sqref>
        </x14:conditionalFormatting>
        <x14:conditionalFormatting xmlns:xm="http://schemas.microsoft.com/office/excel/2006/main">
          <x14:cfRule type="cellIs" priority="13" operator="greaterThanOrEqual" id="{FA0EDBA4-B1FD-4961-93C5-70C17B6B0B1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4" operator="lessThan" id="{B38138B3-44D1-47BC-971C-F62F0537AF73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G135</xm:sqref>
        </x14:conditionalFormatting>
        <x14:conditionalFormatting xmlns:xm="http://schemas.microsoft.com/office/excel/2006/main">
          <x14:cfRule type="cellIs" priority="11" operator="greaterThanOrEqual" id="{88832BEC-02C4-4C35-90A5-8BC19ADB7FE6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2" operator="lessThan" id="{E9DE131A-5600-466D-8551-BD3B727844E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G126</xm:sqref>
        </x14:conditionalFormatting>
        <x14:conditionalFormatting xmlns:xm="http://schemas.microsoft.com/office/excel/2006/main">
          <x14:cfRule type="cellIs" priority="1" operator="equal" id="{ABB1B4C4-A2DB-4E81-BBA5-56917CD84F86}">
            <xm:f>Table!$C$40</xm:f>
            <x14:dxf>
              <fill>
                <patternFill>
                  <bgColor rgb="FFFF0000"/>
                </patternFill>
              </fill>
            </x14:dxf>
          </x14:cfRule>
          <x14:cfRule type="cellIs" priority="2" operator="equal" id="{E3532A23-8EAE-4349-98FC-36AA57B67598}">
            <xm:f>Table!$C$39</xm:f>
            <x14:dxf>
              <fill>
                <patternFill>
                  <bgColor rgb="FFFFFF00"/>
                </patternFill>
              </fill>
            </x14:dxf>
          </x14:cfRule>
          <xm:sqref>AF3:AF108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Table!$C$34:$C$35</xm:f>
          </x14:formula1>
          <xm:sqref>I4:I108</xm:sqref>
        </x14:dataValidation>
        <x14:dataValidation type="list" allowBlank="1" showInputMessage="1" showErrorMessage="1">
          <x14:formula1>
            <xm:f>Table!$C$24:$C$30</xm:f>
          </x14:formula1>
          <xm:sqref>W3:W109</xm:sqref>
        </x14:dataValidation>
        <x14:dataValidation type="list" allowBlank="1" showInputMessage="1" showErrorMessage="1">
          <x14:formula1>
            <xm:f>Table!$C$13:$C$20</xm:f>
          </x14:formula1>
          <xm:sqref>O3:P109</xm:sqref>
        </x14:dataValidation>
        <x14:dataValidation type="list" allowBlank="1" showInputMessage="1" showErrorMessage="1">
          <x14:formula1>
            <xm:f>Table!$C$8:$C$9</xm:f>
          </x14:formula1>
          <xm:sqref>D3:D109</xm:sqref>
        </x14:dataValidation>
        <x14:dataValidation type="list" allowBlank="1" showInputMessage="1" showErrorMessage="1">
          <x14:formula1>
            <xm:f>Table!$C$39:$C$41</xm:f>
          </x14:formula1>
          <xm:sqref>AF3:AF108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84" sqref="A84:XFD84"/>
    </sheetView>
  </sheetViews>
  <sheetFormatPr defaultRowHeight="15" x14ac:dyDescent="0.25"/>
  <sheetData/>
  <customSheetViews>
    <customSheetView guid="{7E0EA425-A420-4443-B9E0-CDF0AA9E5D09}">
      <selection activeCell="A84" sqref="A84:XFD84"/>
      <pageMargins left="0.7" right="0.7" top="0.75" bottom="0.75" header="0.3" footer="0.3"/>
    </customSheetView>
    <customSheetView guid="{4E06BDBF-2CED-473B-850B-2A6C7311FF41}" state="hidden">
      <selection activeCell="I28" sqref="I28"/>
      <pageMargins left="0.7" right="0.7" top="0.75" bottom="0.75" header="0.3" footer="0.3"/>
    </customSheetView>
    <customSheetView guid="{72A6EB0A-84D5-4B8A-AC51-54CCD061630B}">
      <selection activeCell="A84" sqref="A84:XFD84"/>
      <pageMargins left="0.7" right="0.7" top="0.75" bottom="0.75" header="0.3" footer="0.3"/>
    </customSheetView>
    <customSheetView guid="{D1F7047B-CC2E-48BC-8022-C8013AE2B1E1}">
      <selection activeCell="A84" sqref="A84:XFD84"/>
      <pageMargins left="0.7" right="0.7" top="0.75" bottom="0.75" header="0.3" footer="0.3"/>
    </customSheetView>
    <customSheetView guid="{60D2C030-4E31-4E07-8E1C-44D2EE84B177}" state="hidden">
      <selection activeCell="I28" sqref="I28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workbookViewId="0">
      <selection activeCell="B3" sqref="B3"/>
    </sheetView>
  </sheetViews>
  <sheetFormatPr defaultRowHeight="15" x14ac:dyDescent="0.2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</cols>
  <sheetData>
    <row r="1" spans="1:7" x14ac:dyDescent="0.25">
      <c r="A1" s="1" t="s">
        <v>42</v>
      </c>
      <c r="B1" s="114">
        <v>43921</v>
      </c>
      <c r="D1" s="114">
        <f ca="1">TODAY()</f>
        <v>43929</v>
      </c>
    </row>
    <row r="2" spans="1:7" x14ac:dyDescent="0.25">
      <c r="A2" s="1" t="s">
        <v>30</v>
      </c>
      <c r="B2" s="9">
        <f ca="1">SUM(INT((WEEKDAY(B1-{2,3,4,5,6}) +D1-B1)/7))</f>
        <v>7</v>
      </c>
    </row>
    <row r="3" spans="1:7" x14ac:dyDescent="0.25">
      <c r="A3" s="1" t="s">
        <v>321</v>
      </c>
      <c r="B3">
        <f ca="1">IF(TODAY()&lt;D1,SUM(INT((WEEKDAY(B1-{2,3,4,5,6})+TODAY()-B1)/7)),SUM(INT((WEEKDAY(B1-{2,3,4,5,6})+D1-B1)/7)))-1</f>
        <v>6</v>
      </c>
    </row>
    <row r="5" spans="1:7" x14ac:dyDescent="0.25">
      <c r="B5" s="1" t="s">
        <v>798</v>
      </c>
    </row>
    <row r="6" spans="1:7" ht="30" x14ac:dyDescent="0.25">
      <c r="C6" s="158" t="s">
        <v>25</v>
      </c>
      <c r="D6" s="158" t="s">
        <v>26</v>
      </c>
      <c r="E6" s="158" t="s">
        <v>27</v>
      </c>
      <c r="F6" s="158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f>COEM_Package_20200401!D126</f>
        <v>16148</v>
      </c>
      <c r="F7" s="11">
        <f>COEM_Package_20200401!E126</f>
        <v>14197</v>
      </c>
      <c r="G7" s="118">
        <f>F7/E7</f>
        <v>0.87918008422095617</v>
      </c>
    </row>
    <row r="8" spans="1:7" x14ac:dyDescent="0.25">
      <c r="C8" s="10">
        <v>2</v>
      </c>
      <c r="D8" s="11" t="s">
        <v>2</v>
      </c>
      <c r="E8" s="11">
        <f>COEM_Package_20200401!D117</f>
        <v>61</v>
      </c>
      <c r="F8" s="11">
        <f>COEM_Package_20200401!E117</f>
        <v>61</v>
      </c>
      <c r="G8" s="118">
        <f>F8/E8</f>
        <v>1</v>
      </c>
    </row>
    <row r="10" spans="1:7" x14ac:dyDescent="0.25">
      <c r="B10" s="1" t="s">
        <v>801</v>
      </c>
    </row>
    <row r="11" spans="1:7" ht="30" x14ac:dyDescent="0.25">
      <c r="C11" s="158" t="s">
        <v>25</v>
      </c>
      <c r="D11" s="158" t="s">
        <v>31</v>
      </c>
      <c r="E11" s="13" t="s">
        <v>32</v>
      </c>
      <c r="F11" s="13" t="s">
        <v>33</v>
      </c>
    </row>
    <row r="12" spans="1:7" x14ac:dyDescent="0.25">
      <c r="C12" s="111">
        <v>1</v>
      </c>
      <c r="D12" s="111" t="s">
        <v>467</v>
      </c>
      <c r="E12" s="11">
        <f>COEM_Package_20200401!E122</f>
        <v>2882</v>
      </c>
      <c r="F12" s="11">
        <f>COEM_Package_20200401!E113</f>
        <v>61</v>
      </c>
    </row>
    <row r="13" spans="1:7" x14ac:dyDescent="0.25">
      <c r="C13" s="111">
        <v>2</v>
      </c>
      <c r="D13" s="111" t="s">
        <v>468</v>
      </c>
      <c r="E13" s="11">
        <f>COEM_Package_20200401!E123</f>
        <v>4254</v>
      </c>
      <c r="F13" s="11">
        <f>COEM_Package_20200401!E114</f>
        <v>0</v>
      </c>
    </row>
    <row r="14" spans="1:7" x14ac:dyDescent="0.25">
      <c r="C14" s="111">
        <v>3</v>
      </c>
      <c r="D14" s="111" t="s">
        <v>469</v>
      </c>
      <c r="E14" s="11">
        <f>COEM_Package_20200401!E124</f>
        <v>4018</v>
      </c>
      <c r="F14" s="11">
        <f>COEM_Package_20200401!E115</f>
        <v>0</v>
      </c>
    </row>
    <row r="15" spans="1:7" x14ac:dyDescent="0.25">
      <c r="C15" s="111">
        <v>4</v>
      </c>
      <c r="D15" s="111" t="s">
        <v>470</v>
      </c>
      <c r="E15" s="11">
        <f>COEM_Package_20200401!E125</f>
        <v>3127</v>
      </c>
      <c r="F15" s="11">
        <f>COEM_Package_20200401!E116</f>
        <v>0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ht="30" customHeight="1" x14ac:dyDescent="0.25">
      <c r="C19" s="158" t="s">
        <v>25</v>
      </c>
      <c r="D19" s="198" t="s">
        <v>37</v>
      </c>
      <c r="E19" s="199"/>
      <c r="F19" s="199"/>
      <c r="G19" s="200"/>
    </row>
    <row r="20" spans="2:7" x14ac:dyDescent="0.25">
      <c r="C20" s="111">
        <v>1</v>
      </c>
      <c r="D20" s="115" t="s">
        <v>966</v>
      </c>
      <c r="E20" s="116"/>
      <c r="F20" s="116"/>
      <c r="G20" s="117"/>
    </row>
    <row r="21" spans="2:7" x14ac:dyDescent="0.25">
      <c r="C21" s="111">
        <v>2</v>
      </c>
      <c r="D21" s="115" t="s">
        <v>76</v>
      </c>
      <c r="E21" s="116"/>
      <c r="F21" s="116"/>
      <c r="G21" s="117"/>
    </row>
    <row r="22" spans="2:7" x14ac:dyDescent="0.25">
      <c r="C22" s="111">
        <v>3</v>
      </c>
      <c r="D22" s="115" t="s">
        <v>76</v>
      </c>
      <c r="E22" s="116"/>
      <c r="F22" s="116"/>
      <c r="G22" s="117"/>
    </row>
    <row r="23" spans="2:7" x14ac:dyDescent="0.25">
      <c r="C23" s="111">
        <v>4</v>
      </c>
      <c r="D23" s="115" t="s">
        <v>76</v>
      </c>
      <c r="E23" s="116"/>
      <c r="F23" s="116"/>
      <c r="G23" s="117"/>
    </row>
    <row r="25" spans="2:7" x14ac:dyDescent="0.25">
      <c r="B25" s="1" t="s">
        <v>799</v>
      </c>
    </row>
    <row r="26" spans="2:7" ht="30" customHeight="1" x14ac:dyDescent="0.25">
      <c r="C26" s="158" t="s">
        <v>25</v>
      </c>
      <c r="D26" s="158" t="s">
        <v>31</v>
      </c>
      <c r="E26" s="13" t="s">
        <v>458</v>
      </c>
      <c r="F26" s="13" t="s">
        <v>459</v>
      </c>
    </row>
    <row r="27" spans="2:7" x14ac:dyDescent="0.25">
      <c r="C27" s="111">
        <v>1</v>
      </c>
      <c r="D27" s="111" t="s">
        <v>467</v>
      </c>
      <c r="E27" s="68">
        <f>COUNTIFS(COEM_Package_20200401!AF3:AF108,Table!C39,COEM_Package_20200401!O3:O108,Table!C17)</f>
        <v>2</v>
      </c>
      <c r="F27" s="11">
        <f>COUNTIFS(COEM_Package_20200401!AF3:AF108,Table!C40,COEM_Package_20200401!O3:O108,Table!C17)</f>
        <v>0</v>
      </c>
    </row>
    <row r="28" spans="2:7" x14ac:dyDescent="0.25">
      <c r="C28" s="111">
        <v>2</v>
      </c>
      <c r="D28" s="111" t="s">
        <v>468</v>
      </c>
      <c r="E28" s="68">
        <f>COUNTIFS(COEM_Package_20200401!AF3:AF108,Table!C39,COEM_Package_20200401!O3:O108,Table!C18)</f>
        <v>2</v>
      </c>
      <c r="F28" s="11">
        <f>COUNTIFS(COEM_Package_20200401!AF3:AF108,Table!C40,COEM_Package_20200401!O3:O108,Table!C18)</f>
        <v>0</v>
      </c>
    </row>
    <row r="29" spans="2:7" x14ac:dyDescent="0.25">
      <c r="C29" s="111">
        <v>3</v>
      </c>
      <c r="D29" s="111" t="s">
        <v>469</v>
      </c>
      <c r="E29" s="11">
        <f>COUNTIFS(COEM_Package_20200401!AF3:AF108,Table!C39,COEM_Package_20200401!O3:O108,Table!C19)</f>
        <v>2</v>
      </c>
      <c r="F29" s="68">
        <f>COUNTIFS(COEM_Package_20200401!AF3:AF108,Table!C40,COEM_Package_20200401!O3:O108,Table!C19)</f>
        <v>0</v>
      </c>
    </row>
    <row r="30" spans="2:7" x14ac:dyDescent="0.25">
      <c r="C30" s="111">
        <v>4</v>
      </c>
      <c r="D30" s="111" t="s">
        <v>470</v>
      </c>
      <c r="E30" s="11">
        <f>COUNTIFS(COEM_Package_20200401!AF3:AF108,Table!C39,COEM_Package_20200401!O3:O108,Table!C20)</f>
        <v>4</v>
      </c>
      <c r="F30" s="11">
        <f>COUNTIFS(COEM_Package_20200401!AF3:AF108,Table!C40,COEM_Package_20200401!O3:O108,Table!C20)</f>
        <v>0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800</v>
      </c>
    </row>
    <row r="34" spans="2:6" x14ac:dyDescent="0.25">
      <c r="C34" s="158" t="s">
        <v>25</v>
      </c>
      <c r="D34" s="158" t="s">
        <v>31</v>
      </c>
      <c r="E34" s="13" t="s">
        <v>40</v>
      </c>
      <c r="F34" s="13" t="s">
        <v>41</v>
      </c>
    </row>
    <row r="35" spans="2:6" x14ac:dyDescent="0.25">
      <c r="C35" s="111">
        <v>1</v>
      </c>
      <c r="D35" s="111" t="s">
        <v>467</v>
      </c>
      <c r="E35" s="68" t="s">
        <v>76</v>
      </c>
      <c r="F35" s="108" t="s">
        <v>76</v>
      </c>
    </row>
    <row r="36" spans="2:6" x14ac:dyDescent="0.25">
      <c r="C36" s="111">
        <v>2</v>
      </c>
      <c r="D36" s="111" t="s">
        <v>468</v>
      </c>
      <c r="E36" s="68" t="s">
        <v>76</v>
      </c>
      <c r="F36" s="108" t="s">
        <v>76</v>
      </c>
    </row>
    <row r="37" spans="2:6" x14ac:dyDescent="0.25">
      <c r="C37" s="111">
        <v>3</v>
      </c>
      <c r="D37" s="111" t="s">
        <v>469</v>
      </c>
      <c r="E37" s="68" t="s">
        <v>76</v>
      </c>
      <c r="F37" s="108" t="s">
        <v>76</v>
      </c>
    </row>
    <row r="38" spans="2:6" x14ac:dyDescent="0.25">
      <c r="C38" s="111">
        <v>4</v>
      </c>
      <c r="D38" s="111" t="s">
        <v>470</v>
      </c>
      <c r="E38" s="68" t="s">
        <v>965</v>
      </c>
      <c r="F38" s="108" t="s">
        <v>904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</sheetData>
  <customSheetViews>
    <customSheetView guid="{7E0EA425-A420-4443-B9E0-CDF0AA9E5D09}">
      <selection activeCell="B3" sqref="B3"/>
      <pageMargins left="0.7" right="0.7" top="0.75" bottom="0.75" header="0.3" footer="0.3"/>
    </customSheetView>
    <customSheetView guid="{4E06BDBF-2CED-473B-850B-2A6C7311FF41}">
      <selection activeCell="B4" sqref="B4"/>
      <pageMargins left="0.7" right="0.7" top="0.75" bottom="0.75" header="0.3" footer="0.3"/>
    </customSheetView>
    <customSheetView guid="{72A6EB0A-84D5-4B8A-AC51-54CCD061630B}">
      <selection activeCell="E38" sqref="E38"/>
      <pageMargins left="0.7" right="0.7" top="0.75" bottom="0.75" header="0.3" footer="0.3"/>
    </customSheetView>
    <customSheetView guid="{D1F7047B-CC2E-48BC-8022-C8013AE2B1E1}" topLeftCell="A16">
      <selection activeCell="E38" sqref="E38"/>
      <pageMargins left="0.7" right="0.7" top="0.75" bottom="0.75" header="0.3" footer="0.3"/>
    </customSheetView>
    <customSheetView guid="{60D2C030-4E31-4E07-8E1C-44D2EE84B177}">
      <selection activeCell="B4" sqref="B4"/>
      <pageMargins left="0.7" right="0.7" top="0.75" bottom="0.75" header="0.3" footer="0.3"/>
    </customSheetView>
  </customSheetViews>
  <mergeCells count="1">
    <mergeCell ref="D19:G19"/>
  </mergeCells>
  <conditionalFormatting sqref="G7">
    <cfRule type="cellIs" dxfId="115" priority="3" operator="equal">
      <formula>1</formula>
    </cfRule>
    <cfRule type="cellIs" dxfId="114" priority="4" operator="lessThan">
      <formula>1</formula>
    </cfRule>
  </conditionalFormatting>
  <conditionalFormatting sqref="G8">
    <cfRule type="cellIs" dxfId="113" priority="1" operator="equal">
      <formula>1</formula>
    </cfRule>
    <cfRule type="cellIs" dxfId="112" priority="2" operator="lessThan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04"/>
  <sheetViews>
    <sheetView topLeftCell="A176" workbookViewId="0">
      <selection activeCell="D210" sqref="D210"/>
    </sheetView>
  </sheetViews>
  <sheetFormatPr defaultRowHeight="15" x14ac:dyDescent="0.25"/>
  <cols>
    <col min="2" max="2" width="16.28515625" bestFit="1" customWidth="1"/>
    <col min="3" max="3" width="10" customWidth="1"/>
    <col min="6" max="6" width="13.42578125" customWidth="1"/>
    <col min="8" max="8" width="12.85546875" customWidth="1"/>
    <col min="9" max="9" width="22.5703125" customWidth="1"/>
  </cols>
  <sheetData>
    <row r="2" spans="1:9" x14ac:dyDescent="0.25">
      <c r="A2" s="1">
        <v>1</v>
      </c>
      <c r="B2" s="1" t="s">
        <v>62</v>
      </c>
      <c r="C2" s="1">
        <v>20200302</v>
      </c>
    </row>
    <row r="3" spans="1:9" x14ac:dyDescent="0.25">
      <c r="B3" s="1" t="s">
        <v>452</v>
      </c>
      <c r="C3" s="105">
        <f>SUM(G9:G10)</f>
        <v>5.8283760683760688</v>
      </c>
      <c r="D3" t="s">
        <v>453</v>
      </c>
    </row>
    <row r="4" spans="1:9" x14ac:dyDescent="0.25">
      <c r="B4" s="1" t="s">
        <v>460</v>
      </c>
      <c r="C4" s="9"/>
      <c r="F4" s="8"/>
      <c r="G4" s="8"/>
      <c r="H4" s="8"/>
    </row>
    <row r="5" spans="1:9" x14ac:dyDescent="0.25">
      <c r="B5" s="1" t="s">
        <v>461</v>
      </c>
      <c r="C5" s="9"/>
      <c r="F5" s="8"/>
      <c r="G5" s="8"/>
      <c r="H5" s="8"/>
    </row>
    <row r="6" spans="1:9" x14ac:dyDescent="0.25">
      <c r="B6" s="1" t="s">
        <v>17</v>
      </c>
      <c r="C6" t="str">
        <f>IF(SUM(H9:H10)&gt;SUM(G9:G10),"Delayed",IF(SUM(H9:H10)&lt;SUM(G9:G10),"InAdvanced","Ontime"))</f>
        <v>Delayed</v>
      </c>
    </row>
    <row r="8" spans="1:9" ht="30" x14ac:dyDescent="0.25">
      <c r="C8" s="110" t="s">
        <v>25</v>
      </c>
      <c r="D8" s="110" t="s">
        <v>26</v>
      </c>
      <c r="E8" s="13" t="s">
        <v>454</v>
      </c>
      <c r="F8" s="13" t="s">
        <v>455</v>
      </c>
      <c r="G8" s="13" t="s">
        <v>456</v>
      </c>
      <c r="H8" s="13" t="s">
        <v>457</v>
      </c>
      <c r="I8" s="13" t="s">
        <v>29</v>
      </c>
    </row>
    <row r="9" spans="1:9" x14ac:dyDescent="0.25">
      <c r="C9" s="10">
        <v>1</v>
      </c>
      <c r="D9" s="11" t="s">
        <v>3</v>
      </c>
      <c r="E9" s="11">
        <f>SUMIFS(COEM_Package_20200302!$S$3:$S$219,COEM_Package_20200302!$D$3:$D$219,Table!$D$3,COEM_Package_20200302!$C$3:$C$219,Report_For_Each_Project!C2)</f>
        <v>2557</v>
      </c>
      <c r="F9" s="11">
        <f>SUMIFS(COEM_Package_20200302!$T$3:$T$219,COEM_Package_20200302!$D$3:$D$219,Table!$D$3,COEM_Package_20200302!$C$3:$C$219,Report_For_Each_Project!C2)-SUM(SUMIFS(COEM_Package_20200302!$T$3:$T$219,COEM_Package_20200302!$D$3:$D$219,Table!$D$3,COEM_Package_20200302!$W$3:$W$219,{"Ongoing","N/A",""},COEM_Package_20200302!$C$3:$C$219,Report_For_Each_Project!C2))</f>
        <v>2557</v>
      </c>
      <c r="G9" s="11">
        <f>E9/Table!$D$4</f>
        <v>5.6822222222222223</v>
      </c>
      <c r="H9" s="11">
        <f>1/8*(SUMIFS(COEM_Package_20200302!$V$3:$V$219,COEM_Package_20200302!$D$3:$D$219,Table!$D$3,COEM_Package_20200302!$C$3:$C$219,Report_For_Each_Project!C2)-SUM(SUMIFS(COEM_Package_20200302!$V$3:$V$219,COEM_Package_20200302!$D$3:$D$219,Table!$D$3,COEM_Package_20200302!$W$3:$W$219,{"Ongoing","N/A",""},COEM_Package_20200302!$C$3:$C$219,Report_For_Each_Project!C2)))</f>
        <v>7.75</v>
      </c>
      <c r="I9" s="118">
        <f>IF(E9=0,"N/A",F9/E9)</f>
        <v>1</v>
      </c>
    </row>
    <row r="10" spans="1:9" x14ac:dyDescent="0.25">
      <c r="C10" s="10">
        <v>2</v>
      </c>
      <c r="D10" s="11" t="s">
        <v>2</v>
      </c>
      <c r="E10" s="11">
        <f>SUMIFS(COEM_Package_20200302!$S$3:$S$219,COEM_Package_20200302!$D$3:$D$219,Table!$C$3,COEM_Package_20200302!$C$3:$C$219,Report_For_Each_Project!C2)</f>
        <v>19</v>
      </c>
      <c r="F10" s="11">
        <f>SUMIFS(COEM_Package_20200302!$T$3:$T$219,COEM_Package_20200302!$D$3:$D$219,Table!$C$3,COEM_Package_20200302!$C$3:$C$219,Report_For_Each_Project!C2)-SUM(SUMIFS(COEM_Package_20200302!$T$3:$T$219,COEM_Package_20200302!$D$3:$D$219,Table!$C$3,COEM_Package_20200302!$W$3:$W$219,{"Ongoing","N/A",""},COEM_Package_20200302!$C$3:$C$219,Report_For_Each_Project!C2))</f>
        <v>19</v>
      </c>
      <c r="G10" s="11">
        <f>E10/Table!$C$4</f>
        <v>0.14615384615384616</v>
      </c>
      <c r="H10" s="11">
        <f>1/8*(SUMIFS(COEM_Package_20200302!$V$3:$V$219,COEM_Package_20200302!$D$3:$D$219,Table!$C$3,COEM_Package_20200302!$C$3:$C$219,Report_For_Each_Project!C2)-SUM(SUMIFS(COEM_Package_20200302!$V$3:$V$219,COEM_Package_20200302!$D$3:$D$219,Table!$C$3,COEM_Package_20200302!$W$3:$W$219,{"Ongoing","N/A",""},COEM_Package_20200302!$C$3:$C$219,Report_For_Each_Project!C2)))</f>
        <v>0.5</v>
      </c>
      <c r="I10" s="118">
        <f>IF(E10=0,"N/A",F10/E10)</f>
        <v>1</v>
      </c>
    </row>
    <row r="11" spans="1:9" x14ac:dyDescent="0.25">
      <c r="I11" s="119"/>
    </row>
    <row r="12" spans="1:9" x14ac:dyDescent="0.25">
      <c r="C12" t="s">
        <v>462</v>
      </c>
    </row>
    <row r="13" spans="1:9" x14ac:dyDescent="0.25">
      <c r="D13" s="113"/>
    </row>
    <row r="14" spans="1:9" x14ac:dyDescent="0.25">
      <c r="A14" s="1">
        <f>A2+1</f>
        <v>2</v>
      </c>
      <c r="B14" s="1" t="s">
        <v>62</v>
      </c>
      <c r="C14" s="1">
        <v>20200303</v>
      </c>
    </row>
    <row r="15" spans="1:9" x14ac:dyDescent="0.25">
      <c r="B15" s="1" t="s">
        <v>452</v>
      </c>
      <c r="C15" s="105">
        <f>SUM(G21:G22)</f>
        <v>17.829059829059826</v>
      </c>
      <c r="D15" t="s">
        <v>453</v>
      </c>
    </row>
    <row r="16" spans="1:9" x14ac:dyDescent="0.25">
      <c r="B16" s="1" t="s">
        <v>460</v>
      </c>
      <c r="C16" s="9"/>
      <c r="F16" s="8"/>
      <c r="G16" s="8"/>
      <c r="H16" s="8"/>
    </row>
    <row r="17" spans="1:9" x14ac:dyDescent="0.25">
      <c r="B17" s="1" t="s">
        <v>461</v>
      </c>
      <c r="C17" s="9"/>
      <c r="F17" s="8"/>
      <c r="G17" s="8"/>
      <c r="H17" s="8"/>
    </row>
    <row r="18" spans="1:9" x14ac:dyDescent="0.25">
      <c r="B18" s="1" t="s">
        <v>17</v>
      </c>
      <c r="C18" t="str">
        <f>IF(SUM(H21:H22)&gt;SUM(G21:G22),"Delayed",IF(SUM(H21:H22)&lt;SUM(G21:G22),"InAdvanced","Ontime"))</f>
        <v>InAdvanced</v>
      </c>
    </row>
    <row r="20" spans="1:9" ht="30" x14ac:dyDescent="0.25">
      <c r="C20" s="110" t="s">
        <v>25</v>
      </c>
      <c r="D20" s="110" t="s">
        <v>26</v>
      </c>
      <c r="E20" s="13" t="s">
        <v>454</v>
      </c>
      <c r="F20" s="13" t="s">
        <v>455</v>
      </c>
      <c r="G20" s="13" t="s">
        <v>456</v>
      </c>
      <c r="H20" s="13" t="s">
        <v>457</v>
      </c>
      <c r="I20" s="13" t="s">
        <v>29</v>
      </c>
    </row>
    <row r="21" spans="1:9" x14ac:dyDescent="0.25">
      <c r="C21" s="10">
        <v>1</v>
      </c>
      <c r="D21" s="11" t="s">
        <v>3</v>
      </c>
      <c r="E21" s="11">
        <f>SUMIFS(COEM_Package_20200302!$S$3:$S$219,COEM_Package_20200302!$D$3:$D$219,Table!$D$3,COEM_Package_20200302!$C$3:$C$219,Report_For_Each_Project!C14)</f>
        <v>7850</v>
      </c>
      <c r="F21" s="11">
        <f>SUMIFS(COEM_Package_20200302!$T$3:$T$219,COEM_Package_20200302!$D$3:$D$219,Table!$D$3,COEM_Package_20200302!$C$3:$C$219,Report_For_Each_Project!C14)-SUM(SUMIFS(COEM_Package_20200302!$T$3:$T$219,COEM_Package_20200302!$D$3:$D$219,Table!$D$3,COEM_Package_20200302!$W$3:$W$219,{"Ongoing","N/A",""},COEM_Package_20200302!$C$3:$C$219,Report_For_Each_Project!C14))</f>
        <v>7806</v>
      </c>
      <c r="G21" s="11">
        <f>E21/Table!$D$4</f>
        <v>17.444444444444443</v>
      </c>
      <c r="H21" s="11">
        <f>1/8*(SUMIFS(COEM_Package_20200302!$V$3:$V$219,COEM_Package_20200302!$D$3:$D$219,Table!$D$3,COEM_Package_20200302!$C$3:$C$219,Report_For_Each_Project!C14)-SUM(SUMIFS(COEM_Package_20200302!$V$3:$V$219,COEM_Package_20200302!$D$3:$D$219,Table!$D$3,COEM_Package_20200302!$W$3:$W$219,{"Ongoing","N/A",""},COEM_Package_20200302!$C$3:$C$219,Report_For_Each_Project!C14)))</f>
        <v>13.743750000000002</v>
      </c>
      <c r="I21" s="118">
        <f>IF(E21=0,"N/A",F21/E21)</f>
        <v>0.99439490445859868</v>
      </c>
    </row>
    <row r="22" spans="1:9" x14ac:dyDescent="0.25">
      <c r="C22" s="10">
        <v>2</v>
      </c>
      <c r="D22" s="11" t="s">
        <v>2</v>
      </c>
      <c r="E22" s="11">
        <f>SUMIFS(COEM_Package_20200302!$S$3:$S$219,COEM_Package_20200302!$D$3:$D$219,Table!$C$3,COEM_Package_20200302!$C$3:$C$219,Report_For_Each_Project!C14)</f>
        <v>50</v>
      </c>
      <c r="F22" s="11">
        <f>SUMIFS(COEM_Package_20200302!$T$3:$T$219,COEM_Package_20200302!$D$3:$D$219,Table!$C$3,COEM_Package_20200302!$C$3:$C$219,Report_For_Each_Project!C14)-SUM(SUMIFS(COEM_Package_20200302!$T$3:$T$219,COEM_Package_20200302!$D$3:$D$219,Table!$C$3,COEM_Package_20200302!$W$3:$W$219,{"Ongoing","N/A",""},COEM_Package_20200302!$C$3:$C$219,Report_For_Each_Project!C14))</f>
        <v>50</v>
      </c>
      <c r="G22" s="11">
        <f>E22/Table!$C$4</f>
        <v>0.38461538461538464</v>
      </c>
      <c r="H22" s="11">
        <f>1/8*(SUMIFS(COEM_Package_20200302!$V$3:$V$219,COEM_Package_20200302!$D$3:$D$219,Table!$C$3,COEM_Package_20200302!$C$3:$C$219,Report_For_Each_Project!C14)-SUM(SUMIFS(COEM_Package_20200302!$V$3:$V$219,COEM_Package_20200302!$D$3:$D$219,Table!$C$3,COEM_Package_20200302!$W$3:$W$219,{"Ongoing","N/A",""},COEM_Package_20200302!$C$3:$C$219,Report_For_Each_Project!C14)))</f>
        <v>0.75</v>
      </c>
      <c r="I22" s="118">
        <f>IF(E22=0,"N/A",F22/E22)</f>
        <v>1</v>
      </c>
    </row>
    <row r="24" spans="1:9" x14ac:dyDescent="0.25">
      <c r="C24" t="s">
        <v>462</v>
      </c>
    </row>
    <row r="25" spans="1:9" x14ac:dyDescent="0.25">
      <c r="D25" s="113"/>
    </row>
    <row r="26" spans="1:9" x14ac:dyDescent="0.25">
      <c r="A26" s="1">
        <f>A14+1</f>
        <v>3</v>
      </c>
      <c r="B26" s="1" t="s">
        <v>62</v>
      </c>
      <c r="C26" s="1">
        <v>20200304</v>
      </c>
    </row>
    <row r="27" spans="1:9" x14ac:dyDescent="0.25">
      <c r="B27" s="1" t="s">
        <v>452</v>
      </c>
      <c r="C27" s="105">
        <f>SUM(G33:G34)</f>
        <v>8.4044444444444437</v>
      </c>
      <c r="D27" t="s">
        <v>453</v>
      </c>
    </row>
    <row r="28" spans="1:9" x14ac:dyDescent="0.25">
      <c r="B28" s="1" t="s">
        <v>460</v>
      </c>
      <c r="C28" s="9"/>
      <c r="F28" s="8"/>
      <c r="G28" s="8"/>
      <c r="H28" s="8"/>
    </row>
    <row r="29" spans="1:9" x14ac:dyDescent="0.25">
      <c r="B29" s="1" t="s">
        <v>461</v>
      </c>
      <c r="C29" s="9"/>
      <c r="F29" s="8"/>
      <c r="G29" s="8"/>
      <c r="H29" s="8"/>
    </row>
    <row r="30" spans="1:9" x14ac:dyDescent="0.25">
      <c r="B30" s="1" t="s">
        <v>17</v>
      </c>
      <c r="C30" t="str">
        <f>IF(SUM(H33:H34)&gt;SUM(G33:G34),"Delayed",IF(SUM(H33:H34)&lt;SUM(G33:G34),"InAdvanced","Ontime"))</f>
        <v>InAdvanced</v>
      </c>
    </row>
    <row r="32" spans="1:9" ht="30" x14ac:dyDescent="0.25">
      <c r="C32" s="110" t="s">
        <v>25</v>
      </c>
      <c r="D32" s="110" t="s">
        <v>26</v>
      </c>
      <c r="E32" s="13" t="s">
        <v>454</v>
      </c>
      <c r="F32" s="13" t="s">
        <v>455</v>
      </c>
      <c r="G32" s="13" t="s">
        <v>456</v>
      </c>
      <c r="H32" s="13" t="s">
        <v>457</v>
      </c>
      <c r="I32" s="13" t="s">
        <v>29</v>
      </c>
    </row>
    <row r="33" spans="1:9" x14ac:dyDescent="0.25">
      <c r="C33" s="10">
        <v>1</v>
      </c>
      <c r="D33" s="11" t="s">
        <v>3</v>
      </c>
      <c r="E33" s="11">
        <f>SUMIFS(COEM_Package_20200302!$S$3:$S$219,COEM_Package_20200302!$D$3:$D$219,Table!$D$3,COEM_Package_20200302!$C$3:$C$219,Report_For_Each_Project!C26)</f>
        <v>3782</v>
      </c>
      <c r="F33" s="11">
        <f>SUMIFS(COEM_Package_20200302!$T$3:$T$219,COEM_Package_20200302!$D$3:$D$219,Table!$D$3,COEM_Package_20200302!$C$3:$C$219,Report_For_Each_Project!C26)-SUM(SUMIFS(COEM_Package_20200302!$T$3:$T$219,COEM_Package_20200302!$D$3:$D$219,Table!$D$3,COEM_Package_20200302!$W$3:$W$219,{"Ongoing","N/A",""},COEM_Package_20200302!$C$3:$C$219,Report_For_Each_Project!C26))</f>
        <v>3782</v>
      </c>
      <c r="G33" s="11">
        <f>E33/Table!$D$4</f>
        <v>8.4044444444444437</v>
      </c>
      <c r="H33" s="11">
        <f>1/8*(SUMIFS(COEM_Package_20200302!$V$3:$V$219,COEM_Package_20200302!$D$3:$D$219,Table!$D$3,COEM_Package_20200302!$C$3:$C$219,Report_For_Each_Project!C26)-SUM(SUMIFS(COEM_Package_20200302!$V$3:$V$219,COEM_Package_20200302!$D$3:$D$219,Table!$D$3,COEM_Package_20200302!$W$3:$W$219,{"Ongoing","N/A",""},COEM_Package_20200302!$C$3:$C$219,Report_For_Each_Project!C26)))</f>
        <v>4.1500000000000004</v>
      </c>
      <c r="I33" s="118">
        <f>IF(E33=0,"N/A",F33/E33)</f>
        <v>1</v>
      </c>
    </row>
    <row r="34" spans="1:9" x14ac:dyDescent="0.25">
      <c r="C34" s="10">
        <v>2</v>
      </c>
      <c r="D34" s="11" t="s">
        <v>2</v>
      </c>
      <c r="E34" s="11">
        <f>SUMIFS(COEM_Package_20200302!$S$3:$S$219,COEM_Package_20200302!$D$3:$D$219,Table!$C$3,COEM_Package_20200302!$C$3:$C$219,Report_For_Each_Project!C26)</f>
        <v>0</v>
      </c>
      <c r="F34" s="11">
        <f>SUMIFS(COEM_Package_20200302!$T$3:$T$219,COEM_Package_20200302!$D$3:$D$219,Table!$C$3,COEM_Package_20200302!$C$3:$C$219,Report_For_Each_Project!C26)-SUM(SUMIFS(COEM_Package_20200302!$T$3:$T$219,COEM_Package_20200302!$D$3:$D$219,Table!$C$3,COEM_Package_20200302!$W$3:$W$219,{"Ongoing","N/A",""},COEM_Package_20200302!$C$3:$C$219,Report_For_Each_Project!C26))</f>
        <v>0</v>
      </c>
      <c r="G34" s="11">
        <f>E34/Table!$C$4</f>
        <v>0</v>
      </c>
      <c r="H34" s="11">
        <f>1/8*(SUMIFS(COEM_Package_20200302!$V$3:$V$219,COEM_Package_20200302!$D$3:$D$219,Table!$C$3,COEM_Package_20200302!$C$3:$C$219,Report_For_Each_Project!C26)-SUM(SUMIFS(COEM_Package_20200302!$V$3:$V$219,COEM_Package_20200302!$D$3:$D$219,Table!$C$3,COEM_Package_20200302!$W$3:$W$219,{"Ongoing","N/A",""},COEM_Package_20200302!$C$3:$C$219,Report_For_Each_Project!C26)))</f>
        <v>0</v>
      </c>
      <c r="I34" s="118" t="str">
        <f>IF(E34=0,"N/A",F34/E34)</f>
        <v>N/A</v>
      </c>
    </row>
    <row r="36" spans="1:9" x14ac:dyDescent="0.25">
      <c r="C36" t="s">
        <v>462</v>
      </c>
    </row>
    <row r="38" spans="1:9" x14ac:dyDescent="0.25">
      <c r="A38" s="1">
        <f>A26+1</f>
        <v>4</v>
      </c>
      <c r="B38" s="1" t="s">
        <v>62</v>
      </c>
      <c r="C38" s="1">
        <v>20200305</v>
      </c>
    </row>
    <row r="39" spans="1:9" x14ac:dyDescent="0.25">
      <c r="B39" s="1" t="s">
        <v>452</v>
      </c>
      <c r="C39" s="105">
        <f>SUM(G45:G46)</f>
        <v>2.5577777777777779</v>
      </c>
      <c r="D39" t="s">
        <v>453</v>
      </c>
    </row>
    <row r="40" spans="1:9" x14ac:dyDescent="0.25">
      <c r="B40" s="1" t="s">
        <v>460</v>
      </c>
      <c r="C40" s="9"/>
      <c r="F40" s="8"/>
      <c r="G40" s="8"/>
      <c r="H40" s="8"/>
    </row>
    <row r="41" spans="1:9" x14ac:dyDescent="0.25">
      <c r="B41" s="1" t="s">
        <v>461</v>
      </c>
      <c r="C41" s="9"/>
      <c r="F41" s="8"/>
      <c r="G41" s="8"/>
      <c r="H41" s="8"/>
    </row>
    <row r="42" spans="1:9" x14ac:dyDescent="0.25">
      <c r="B42" s="1" t="s">
        <v>17</v>
      </c>
      <c r="C42" t="str">
        <f>IF(SUM(H45:H46)&gt;SUM(G45:G46),"Delayed",IF(SUM(H45:H46)&lt;SUM(G45:G46),"InAdvanced","Ontime"))</f>
        <v>InAdvanced</v>
      </c>
    </row>
    <row r="44" spans="1:9" ht="30" x14ac:dyDescent="0.25">
      <c r="C44" s="110" t="s">
        <v>25</v>
      </c>
      <c r="D44" s="110" t="s">
        <v>26</v>
      </c>
      <c r="E44" s="13" t="s">
        <v>454</v>
      </c>
      <c r="F44" s="13" t="s">
        <v>455</v>
      </c>
      <c r="G44" s="13" t="s">
        <v>456</v>
      </c>
      <c r="H44" s="13" t="s">
        <v>457</v>
      </c>
      <c r="I44" s="13" t="s">
        <v>29</v>
      </c>
    </row>
    <row r="45" spans="1:9" x14ac:dyDescent="0.25">
      <c r="C45" s="10">
        <v>1</v>
      </c>
      <c r="D45" s="11" t="s">
        <v>3</v>
      </c>
      <c r="E45" s="11">
        <f>SUMIFS(COEM_Package_20200302!$S$3:$S$219,COEM_Package_20200302!$D$3:$D$219,Table!$D$3,COEM_Package_20200302!$C$3:$C$219,Report_For_Each_Project!C38)</f>
        <v>1151</v>
      </c>
      <c r="F45" s="11">
        <f>SUMIFS(COEM_Package_20200302!$T$3:$T$219,COEM_Package_20200302!$D$3:$D$219,Table!$D$3,COEM_Package_20200302!$C$3:$C$219,Report_For_Each_Project!C38)-SUM(SUMIFS(COEM_Package_20200302!$T$3:$T$219,COEM_Package_20200302!$D$3:$D$219,Table!$D$3,COEM_Package_20200302!$W$3:$W$219,{"Ongoing","N/A",""},COEM_Package_20200302!$C$3:$C$219,Report_For_Each_Project!C38))</f>
        <v>1151</v>
      </c>
      <c r="G45" s="11">
        <f>E45/Table!$D$4</f>
        <v>2.5577777777777779</v>
      </c>
      <c r="H45" s="11">
        <f>1/8*(SUMIFS(COEM_Package_20200302!$V$3:$V$219,COEM_Package_20200302!$D$3:$D$219,Table!$D$3,COEM_Package_20200302!$C$3:$C$219,Report_For_Each_Project!C38)-SUM(SUMIFS(COEM_Package_20200302!$V$3:$V$219,COEM_Package_20200302!$D$3:$D$219,Table!$D$3,COEM_Package_20200302!$W$3:$W$219,{"Ongoing","N/A",""},COEM_Package_20200302!$C$3:$C$219,Report_For_Each_Project!C38)))</f>
        <v>2.4375</v>
      </c>
      <c r="I45" s="118">
        <f>IF(E45=0,"N/A",F45/E45)</f>
        <v>1</v>
      </c>
    </row>
    <row r="46" spans="1:9" x14ac:dyDescent="0.25">
      <c r="C46" s="10">
        <v>2</v>
      </c>
      <c r="D46" s="11" t="s">
        <v>2</v>
      </c>
      <c r="E46" s="11">
        <f>SUMIFS(COEM_Package_20200302!$S$3:$S$219,COEM_Package_20200302!$D$3:$D$219,Table!$C$3,COEM_Package_20200302!$C$3:$C$219,Report_For_Each_Project!C38)</f>
        <v>0</v>
      </c>
      <c r="F46" s="11">
        <f>SUMIFS(COEM_Package_20200302!$T$3:$T$219,COEM_Package_20200302!$D$3:$D$219,Table!$C$3,COEM_Package_20200302!$C$3:$C$219,Report_For_Each_Project!C38)-SUM(SUMIFS(COEM_Package_20200302!$T$3:$T$219,COEM_Package_20200302!$D$3:$D$219,Table!$C$3,COEM_Package_20200302!$W$3:$W$219,{"Ongoing","N/A",""},COEM_Package_20200302!$C$3:$C$219,Report_For_Each_Project!C38))</f>
        <v>0</v>
      </c>
      <c r="G46" s="11">
        <f>E46/Table!$C$4</f>
        <v>0</v>
      </c>
      <c r="H46" s="11">
        <f>1/8*(SUMIFS(COEM_Package_20200302!$V$3:$V$219,COEM_Package_20200302!$D$3:$D$219,Table!$C$3,COEM_Package_20200302!$C$3:$C$219,Report_For_Each_Project!C38)-SUM(SUMIFS(COEM_Package_20200302!$V$3:$V$219,COEM_Package_20200302!$D$3:$D$219,Table!$C$3,COEM_Package_20200302!$W$3:$W$219,{"Ongoing","N/A",""},COEM_Package_20200302!$C$3:$C$219,Report_For_Each_Project!C38)))</f>
        <v>0</v>
      </c>
      <c r="I46" s="118" t="str">
        <f>IF(E46=0,"N/A",F46/E46)</f>
        <v>N/A</v>
      </c>
    </row>
    <row r="48" spans="1:9" x14ac:dyDescent="0.25">
      <c r="C48" t="s">
        <v>462</v>
      </c>
    </row>
    <row r="50" spans="1:9" x14ac:dyDescent="0.25">
      <c r="A50" s="1">
        <f>A38+1</f>
        <v>5</v>
      </c>
      <c r="B50" s="1" t="s">
        <v>62</v>
      </c>
      <c r="C50" s="1">
        <v>20200306</v>
      </c>
    </row>
    <row r="51" spans="1:9" x14ac:dyDescent="0.25">
      <c r="B51" s="1" t="s">
        <v>452</v>
      </c>
      <c r="C51" s="105">
        <f>SUM(G57:G58)</f>
        <v>1.0777777777777777</v>
      </c>
      <c r="D51" t="s">
        <v>453</v>
      </c>
    </row>
    <row r="52" spans="1:9" x14ac:dyDescent="0.25">
      <c r="B52" s="1" t="s">
        <v>460</v>
      </c>
      <c r="C52" s="9"/>
      <c r="F52" s="8"/>
      <c r="G52" s="8"/>
      <c r="H52" s="8"/>
    </row>
    <row r="53" spans="1:9" x14ac:dyDescent="0.25">
      <c r="B53" s="1" t="s">
        <v>461</v>
      </c>
      <c r="C53" s="9"/>
      <c r="F53" s="8"/>
      <c r="G53" s="8"/>
      <c r="H53" s="8"/>
    </row>
    <row r="54" spans="1:9" x14ac:dyDescent="0.25">
      <c r="B54" s="1" t="s">
        <v>17</v>
      </c>
      <c r="C54" t="str">
        <f>IF(SUM(H57:H58)&gt;SUM(G57:G58),"Delayed",IF(SUM(H57:H58)&lt;SUM(G57:G58),"InAdvanced","Ontime"))</f>
        <v>Delayed</v>
      </c>
    </row>
    <row r="56" spans="1:9" ht="30" x14ac:dyDescent="0.25">
      <c r="C56" s="110" t="s">
        <v>25</v>
      </c>
      <c r="D56" s="110" t="s">
        <v>26</v>
      </c>
      <c r="E56" s="13" t="s">
        <v>454</v>
      </c>
      <c r="F56" s="13" t="s">
        <v>455</v>
      </c>
      <c r="G56" s="13" t="s">
        <v>456</v>
      </c>
      <c r="H56" s="13" t="s">
        <v>457</v>
      </c>
      <c r="I56" s="13" t="s">
        <v>29</v>
      </c>
    </row>
    <row r="57" spans="1:9" x14ac:dyDescent="0.25">
      <c r="C57" s="10">
        <v>1</v>
      </c>
      <c r="D57" s="11" t="s">
        <v>3</v>
      </c>
      <c r="E57" s="11">
        <f>SUMIFS(COEM_Package_20200302!$S$3:$S$219,COEM_Package_20200302!$D$3:$D$219,Table!$D$3,COEM_Package_20200302!$C$3:$C$219,Report_For_Each_Project!C50)</f>
        <v>485</v>
      </c>
      <c r="F57" s="11">
        <f>SUMIFS(COEM_Package_20200302!$T$3:$T$219,COEM_Package_20200302!$D$3:$D$219,Table!$D$3,COEM_Package_20200302!$C$3:$C$219,Report_For_Each_Project!C50)-SUM(SUMIFS(COEM_Package_20200302!$T$3:$T$219,COEM_Package_20200302!$D$3:$D$219,Table!$D$3,COEM_Package_20200302!$W$3:$W$219,{"Ongoing","N/A",""},COEM_Package_20200302!$C$3:$C$219,Report_For_Each_Project!C50))</f>
        <v>485</v>
      </c>
      <c r="G57" s="11">
        <f>E57/Table!$D$4</f>
        <v>1.0777777777777777</v>
      </c>
      <c r="H57" s="11">
        <f>1/8*(SUMIFS(COEM_Package_20200302!$V$3:$V$219,COEM_Package_20200302!$D$3:$D$219,Table!$D$3,COEM_Package_20200302!$C$3:$C$219,Report_For_Each_Project!C50)-SUM(SUMIFS(COEM_Package_20200302!$V$3:$V$219,COEM_Package_20200302!$D$3:$D$219,Table!$D$3,COEM_Package_20200302!$W$3:$W$219,{"Ongoing","N/A",""},COEM_Package_20200302!$C$3:$C$219,Report_For_Each_Project!C50)))</f>
        <v>1.25</v>
      </c>
      <c r="I57" s="118">
        <f>IF(E57=0,"N/A",F57/E57)</f>
        <v>1</v>
      </c>
    </row>
    <row r="58" spans="1:9" x14ac:dyDescent="0.25">
      <c r="C58" s="10">
        <v>2</v>
      </c>
      <c r="D58" s="11" t="s">
        <v>2</v>
      </c>
      <c r="E58" s="11">
        <f>SUMIFS(COEM_Package_20200302!$S$3:$S$219,COEM_Package_20200302!$D$3:$D$219,Table!$C$3,COEM_Package_20200302!$C$3:$C$219,Report_For_Each_Project!C50)</f>
        <v>0</v>
      </c>
      <c r="F58" s="11">
        <f>SUMIFS(COEM_Package_20200302!$T$3:$T$219,COEM_Package_20200302!$D$3:$D$219,Table!$C$3,COEM_Package_20200302!$C$3:$C$219,Report_For_Each_Project!C50)-SUM(SUMIFS(COEM_Package_20200302!$T$3:$T$219,COEM_Package_20200302!$D$3:$D$219,Table!$C$3,COEM_Package_20200302!$W$3:$W$219,{"Ongoing","N/A",""},COEM_Package_20200302!$C$3:$C$219,Report_For_Each_Project!C50))</f>
        <v>0</v>
      </c>
      <c r="G58" s="11">
        <f>E58/Table!$C$4</f>
        <v>0</v>
      </c>
      <c r="H58" s="11">
        <f>1/8*(SUMIFS(COEM_Package_20200302!$V$3:$V$219,COEM_Package_20200302!$D$3:$D$219,Table!$C$3,COEM_Package_20200302!$C$3:$C$219,Report_For_Each_Project!C50)-SUM(SUMIFS(COEM_Package_20200302!$V$3:$V$219,COEM_Package_20200302!$D$3:$D$219,Table!$C$3,COEM_Package_20200302!$W$3:$W$219,{"Ongoing","N/A",""},COEM_Package_20200302!$C$3:$C$219,Report_For_Each_Project!C50)))</f>
        <v>0</v>
      </c>
      <c r="I58" s="118" t="str">
        <f>IF(E58=0,"N/A",F58/E58)</f>
        <v>N/A</v>
      </c>
    </row>
    <row r="60" spans="1:9" x14ac:dyDescent="0.25">
      <c r="C60" t="s">
        <v>462</v>
      </c>
    </row>
    <row r="62" spans="1:9" x14ac:dyDescent="0.25">
      <c r="A62" s="1">
        <f>A50+1</f>
        <v>6</v>
      </c>
      <c r="B62" s="1" t="s">
        <v>62</v>
      </c>
      <c r="C62" s="1">
        <v>20200309</v>
      </c>
    </row>
    <row r="63" spans="1:9" x14ac:dyDescent="0.25">
      <c r="B63" s="1" t="s">
        <v>452</v>
      </c>
      <c r="C63" s="105">
        <f>SUM(G69:G70)</f>
        <v>7.9844444444444447</v>
      </c>
      <c r="D63" t="s">
        <v>453</v>
      </c>
    </row>
    <row r="64" spans="1:9" x14ac:dyDescent="0.25">
      <c r="B64" s="1" t="s">
        <v>460</v>
      </c>
      <c r="C64" s="9"/>
      <c r="F64" s="8"/>
      <c r="G64" s="8"/>
      <c r="H64" s="8"/>
    </row>
    <row r="65" spans="1:9" x14ac:dyDescent="0.25">
      <c r="B65" s="1" t="s">
        <v>461</v>
      </c>
      <c r="C65" s="9"/>
      <c r="F65" s="8"/>
      <c r="G65" s="8"/>
      <c r="H65" s="8"/>
    </row>
    <row r="66" spans="1:9" x14ac:dyDescent="0.25">
      <c r="B66" s="1" t="s">
        <v>17</v>
      </c>
      <c r="C66" t="str">
        <f>IF(SUM(H69:H70)&gt;SUM(G69:G70),"Delayed",IF(SUM(H69:H70)&lt;SUM(G69:G70),"InAdvanced","Ontime"))</f>
        <v>InAdvanced</v>
      </c>
    </row>
    <row r="68" spans="1:9" ht="30" x14ac:dyDescent="0.25">
      <c r="C68" s="110" t="s">
        <v>25</v>
      </c>
      <c r="D68" s="110" t="s">
        <v>26</v>
      </c>
      <c r="E68" s="13" t="s">
        <v>454</v>
      </c>
      <c r="F68" s="13" t="s">
        <v>455</v>
      </c>
      <c r="G68" s="13" t="s">
        <v>456</v>
      </c>
      <c r="H68" s="13" t="s">
        <v>457</v>
      </c>
      <c r="I68" s="13" t="s">
        <v>29</v>
      </c>
    </row>
    <row r="69" spans="1:9" x14ac:dyDescent="0.25">
      <c r="C69" s="10">
        <v>1</v>
      </c>
      <c r="D69" s="11" t="s">
        <v>3</v>
      </c>
      <c r="E69" s="11">
        <f>SUMIFS(COEM_Package_20200302!$S$3:$S$219,COEM_Package_20200302!$D$3:$D$219,Table!$D$3,COEM_Package_20200302!$C$3:$C$219,Report_For_Each_Project!C62)</f>
        <v>3593</v>
      </c>
      <c r="F69" s="11">
        <f>SUMIFS(COEM_Package_20200302!$T$3:$T$219,COEM_Package_20200302!$D$3:$D$219,Table!$D$3,COEM_Package_20200302!$C$3:$C$219,Report_For_Each_Project!C62)-SUM(SUMIFS(COEM_Package_20200302!$T$3:$T$219,COEM_Package_20200302!$D$3:$D$219,Table!$D$3,COEM_Package_20200302!$W$3:$W$219,{"Ongoing","N/A",""},COEM_Package_20200302!$C$3:$C$219,Report_For_Each_Project!C62))</f>
        <v>3593</v>
      </c>
      <c r="G69" s="11">
        <f>E69/Table!$D$4</f>
        <v>7.9844444444444447</v>
      </c>
      <c r="H69" s="11">
        <f>1/8*(SUMIFS(COEM_Package_20200302!$V$3:$V$219,COEM_Package_20200302!$D$3:$D$219,Table!$D$3,COEM_Package_20200302!$C$3:$C$219,Report_For_Each_Project!C62)-SUM(SUMIFS(COEM_Package_20200302!$V$3:$V$219,COEM_Package_20200302!$D$3:$D$219,Table!$D$3,COEM_Package_20200302!$W$3:$W$219,{"Ongoing","N/A",""},COEM_Package_20200302!$C$3:$C$219,Report_For_Each_Project!C62)))</f>
        <v>5.8562499999999993</v>
      </c>
      <c r="I69" s="118">
        <f>IF(E69=0,"N/A",F69/E69)</f>
        <v>1</v>
      </c>
    </row>
    <row r="70" spans="1:9" x14ac:dyDescent="0.25">
      <c r="C70" s="10">
        <v>2</v>
      </c>
      <c r="D70" s="11" t="s">
        <v>2</v>
      </c>
      <c r="E70" s="11">
        <f>SUMIFS(COEM_Package_20200302!$S$3:$S$219,COEM_Package_20200302!$D$3:$D$219,Table!$C$3,COEM_Package_20200302!$C$3:$C$219,Report_For_Each_Project!C62)</f>
        <v>0</v>
      </c>
      <c r="F70" s="11">
        <f>SUMIFS(COEM_Package_20200302!$T$3:$T$219,COEM_Package_20200302!$D$3:$D$219,Table!$C$3,COEM_Package_20200302!$C$3:$C$219,Report_For_Each_Project!C62)-SUM(SUMIFS(COEM_Package_20200302!$T$3:$T$219,COEM_Package_20200302!$D$3:$D$219,Table!$C$3,COEM_Package_20200302!$W$3:$W$219,{"Ongoing","N/A",""},COEM_Package_20200302!$C$3:$C$219,Report_For_Each_Project!C62))</f>
        <v>0</v>
      </c>
      <c r="G70" s="11">
        <f>E70/Table!$C$4</f>
        <v>0</v>
      </c>
      <c r="H70" s="11">
        <f>1/8*(SUMIFS(COEM_Package_20200302!$V$3:$V$219,COEM_Package_20200302!$D$3:$D$219,Table!$C$3,COEM_Package_20200302!$C$3:$C$219,Report_For_Each_Project!C62)-SUM(SUMIFS(COEM_Package_20200302!$V$3:$V$219,COEM_Package_20200302!$D$3:$D$219,Table!$C$3,COEM_Package_20200302!$W$3:$W$219,{"Ongoing","N/A",""},COEM_Package_20200302!$C$3:$C$219,Report_For_Each_Project!C62)))</f>
        <v>0</v>
      </c>
      <c r="I70" s="118" t="str">
        <f>IF(E70=0,"N/A",F70/E70)</f>
        <v>N/A</v>
      </c>
    </row>
    <row r="72" spans="1:9" x14ac:dyDescent="0.25">
      <c r="C72" t="s">
        <v>462</v>
      </c>
    </row>
    <row r="74" spans="1:9" x14ac:dyDescent="0.25">
      <c r="A74" s="1">
        <f>A62+1</f>
        <v>7</v>
      </c>
      <c r="B74" s="1" t="s">
        <v>62</v>
      </c>
      <c r="C74" s="1">
        <v>20200313</v>
      </c>
    </row>
    <row r="75" spans="1:9" x14ac:dyDescent="0.25">
      <c r="B75" s="1" t="s">
        <v>452</v>
      </c>
      <c r="C75" s="105">
        <f>SUM(G81:G82)</f>
        <v>1.9711111111111113</v>
      </c>
      <c r="D75" t="s">
        <v>453</v>
      </c>
    </row>
    <row r="76" spans="1:9" x14ac:dyDescent="0.25">
      <c r="B76" s="1" t="s">
        <v>460</v>
      </c>
      <c r="C76" s="9"/>
      <c r="F76" s="8"/>
      <c r="G76" s="8"/>
      <c r="H76" s="8"/>
    </row>
    <row r="77" spans="1:9" x14ac:dyDescent="0.25">
      <c r="B77" s="1" t="s">
        <v>461</v>
      </c>
      <c r="C77" s="9"/>
      <c r="F77" s="8"/>
      <c r="G77" s="8"/>
      <c r="H77" s="8"/>
    </row>
    <row r="78" spans="1:9" x14ac:dyDescent="0.25">
      <c r="B78" s="1" t="s">
        <v>17</v>
      </c>
      <c r="C78" t="str">
        <f>IF(SUM(H81:H82)&gt;SUM(G81:G82),"Delayed",IF(SUM(H81:H82)&lt;SUM(G81:G82),"InAdvanced","Ontime"))</f>
        <v>InAdvanced</v>
      </c>
    </row>
    <row r="80" spans="1:9" ht="30" x14ac:dyDescent="0.25">
      <c r="C80" s="110" t="s">
        <v>25</v>
      </c>
      <c r="D80" s="110" t="s">
        <v>26</v>
      </c>
      <c r="E80" s="13" t="s">
        <v>454</v>
      </c>
      <c r="F80" s="13" t="s">
        <v>455</v>
      </c>
      <c r="G80" s="13" t="s">
        <v>456</v>
      </c>
      <c r="H80" s="13" t="s">
        <v>457</v>
      </c>
      <c r="I80" s="13" t="s">
        <v>29</v>
      </c>
    </row>
    <row r="81" spans="1:9" x14ac:dyDescent="0.25">
      <c r="C81" s="10">
        <v>1</v>
      </c>
      <c r="D81" s="11" t="s">
        <v>3</v>
      </c>
      <c r="E81" s="11">
        <f>SUMIFS(COEM_Package_20200302!$S$3:$S$219,COEM_Package_20200302!$D$3:$D$219,Table!$D$3,COEM_Package_20200302!$C$3:$C$219,Report_For_Each_Project!C74)</f>
        <v>527</v>
      </c>
      <c r="F81" s="11">
        <f>SUMIFS(COEM_Package_20200302!$T$3:$T$219,COEM_Package_20200302!$D$3:$D$219,Table!$D$3,COEM_Package_20200302!$C$3:$C$219,Report_For_Each_Project!C74)-SUM(SUMIFS(COEM_Package_20200302!$T$3:$T$219,COEM_Package_20200302!$D$3:$D$219,Table!$D$3,COEM_Package_20200302!$W$3:$W$219,{"Ongoing","N/A",""},COEM_Package_20200302!$C$3:$C$219,Report_For_Each_Project!C74))</f>
        <v>527</v>
      </c>
      <c r="G81" s="11">
        <f>E81/Table!$D$4</f>
        <v>1.1711111111111112</v>
      </c>
      <c r="H81" s="11">
        <f>1/8*(SUMIFS(COEM_Package_20200302!$V$3:$V$219,COEM_Package_20200302!$D$3:$D$219,Table!$D$3,COEM_Package_20200302!$C$3:$C$219,Report_For_Each_Project!C74)-SUM(SUMIFS(COEM_Package_20200302!$V$3:$V$219,COEM_Package_20200302!$D$3:$D$219,Table!$D$3,COEM_Package_20200302!$W$3:$W$219,{"Ongoing","N/A",""},COEM_Package_20200302!$C$3:$C$219,Report_For_Each_Project!C74)))</f>
        <v>0.87874999999999992</v>
      </c>
      <c r="I81" s="118">
        <f>IF(E81=0,"N/A",F81/E81)</f>
        <v>1</v>
      </c>
    </row>
    <row r="82" spans="1:9" x14ac:dyDescent="0.25">
      <c r="C82" s="10">
        <v>2</v>
      </c>
      <c r="D82" s="11" t="s">
        <v>2</v>
      </c>
      <c r="E82" s="11">
        <f>SUMIFS(COEM_Package_20200302!$S$3:$S$219,COEM_Package_20200302!$D$3:$D$219,Table!$C$3,COEM_Package_20200302!$C$3:$C$219,Report_For_Each_Project!C74)</f>
        <v>104</v>
      </c>
      <c r="F82" s="11">
        <f>SUMIFS(COEM_Package_20200302!$T$3:$T$219,COEM_Package_20200302!$D$3:$D$219,Table!$C$3,COEM_Package_20200302!$C$3:$C$219,Report_For_Each_Project!C74)-SUM(SUMIFS(COEM_Package_20200302!$T$3:$T$219,COEM_Package_20200302!$D$3:$D$219,Table!$C$3,COEM_Package_20200302!$W$3:$W$219,{"Ongoing","N/A",""},COEM_Package_20200302!$C$3:$C$219,Report_For_Each_Project!C74))</f>
        <v>104</v>
      </c>
      <c r="G82" s="11">
        <f>E82/Table!$C$4</f>
        <v>0.8</v>
      </c>
      <c r="H82" s="11">
        <f>1/8*(SUMIFS(COEM_Package_20200302!$V$3:$V$219,COEM_Package_20200302!$D$3:$D$219,Table!$C$3,COEM_Package_20200302!$C$3:$C$219,Report_For_Each_Project!C74)-SUM(SUMIFS(COEM_Package_20200302!$V$3:$V$219,COEM_Package_20200302!$D$3:$D$219,Table!$C$3,COEM_Package_20200302!$W$3:$W$219,{"Ongoing","N/A",""},COEM_Package_20200302!$C$3:$C$219,Report_For_Each_Project!C74)))</f>
        <v>0.75</v>
      </c>
      <c r="I82" s="118">
        <f>IF(E82=0,"N/A",F82/E82)</f>
        <v>1</v>
      </c>
    </row>
    <row r="84" spans="1:9" x14ac:dyDescent="0.25">
      <c r="C84" t="s">
        <v>462</v>
      </c>
    </row>
    <row r="86" spans="1:9" x14ac:dyDescent="0.25">
      <c r="A86" s="1">
        <f>A74+1</f>
        <v>8</v>
      </c>
      <c r="B86" s="1" t="s">
        <v>62</v>
      </c>
      <c r="C86" s="1">
        <v>20200317</v>
      </c>
    </row>
    <row r="87" spans="1:9" x14ac:dyDescent="0.25">
      <c r="B87" s="1" t="s">
        <v>452</v>
      </c>
      <c r="C87" s="105">
        <f>SUM(G93:G94)</f>
        <v>6.9420512820512821</v>
      </c>
      <c r="D87" t="s">
        <v>453</v>
      </c>
    </row>
    <row r="88" spans="1:9" x14ac:dyDescent="0.25">
      <c r="B88" s="1" t="s">
        <v>460</v>
      </c>
      <c r="C88" s="9">
        <f>SUM(INT((WEEKDAY(F88-{2,3,4,5,6}) +H88-F88)/7))</f>
        <v>7</v>
      </c>
      <c r="D88" t="s">
        <v>453</v>
      </c>
      <c r="E88" t="s">
        <v>742</v>
      </c>
      <c r="F88" s="8">
        <v>43907</v>
      </c>
      <c r="G88" s="8" t="s">
        <v>743</v>
      </c>
      <c r="H88" s="8">
        <v>43915</v>
      </c>
    </row>
    <row r="89" spans="1:9" x14ac:dyDescent="0.25">
      <c r="B89" s="1" t="s">
        <v>461</v>
      </c>
      <c r="C89" s="9"/>
      <c r="F89" s="8"/>
      <c r="G89" s="8"/>
      <c r="H89" s="8"/>
    </row>
    <row r="90" spans="1:9" x14ac:dyDescent="0.25">
      <c r="B90" s="1" t="s">
        <v>17</v>
      </c>
      <c r="C90" t="str">
        <f>IF(SUM(H93:H94)&gt;SUM(G93:G94),"Delayed",IF(SUM(H93:H94)&lt;SUM(G93:G94),"InAdvanced","Ontime"))</f>
        <v>InAdvanced</v>
      </c>
    </row>
    <row r="92" spans="1:9" ht="30" x14ac:dyDescent="0.25">
      <c r="C92" s="110" t="s">
        <v>25</v>
      </c>
      <c r="D92" s="110" t="s">
        <v>26</v>
      </c>
      <c r="E92" s="13" t="s">
        <v>454</v>
      </c>
      <c r="F92" s="13" t="s">
        <v>455</v>
      </c>
      <c r="G92" s="13" t="s">
        <v>456</v>
      </c>
      <c r="H92" s="13" t="s">
        <v>457</v>
      </c>
      <c r="I92" s="13" t="s">
        <v>29</v>
      </c>
    </row>
    <row r="93" spans="1:9" x14ac:dyDescent="0.25">
      <c r="C93" s="10">
        <v>1</v>
      </c>
      <c r="D93" s="11" t="s">
        <v>3</v>
      </c>
      <c r="E93" s="11">
        <f>SUMIFS(COEM_Package_20200302!$S$3:$S$219,COEM_Package_20200302!$D$3:$D$219,Table!$D$3,COEM_Package_20200302!$C$3:$C$219,Report_For_Each_Project!C86)</f>
        <v>3072</v>
      </c>
      <c r="F93" s="11">
        <f>SUMIFS(COEM_Package_20200302!$T$3:$T$219,COEM_Package_20200302!$D$3:$D$219,Table!$D$3,COEM_Package_20200302!$C$3:$C$219,Report_For_Each_Project!C86)-SUM(SUMIFS(COEM_Package_20200302!$T$3:$T$219,COEM_Package_20200302!$D$3:$D$219,Table!$D$3,COEM_Package_20200302!$W$3:$W$219,{"Ongoing","N/A",""},COEM_Package_20200302!$C$3:$C$219,Report_For_Each_Project!C86))</f>
        <v>3072</v>
      </c>
      <c r="G93" s="11">
        <f>E93/Table!$D$4</f>
        <v>6.8266666666666671</v>
      </c>
      <c r="H93" s="11">
        <f>1/8*(SUMIFS(COEM_Package_20200302!$V$3:$V$219,COEM_Package_20200302!$D$3:$D$219,Table!$D$3,COEM_Package_20200302!$C$3:$C$219,Report_For_Each_Project!C86)-SUM(SUMIFS(COEM_Package_20200302!$V$3:$V$219,COEM_Package_20200302!$D$3:$D$219,Table!$D$3,COEM_Package_20200302!$W$3:$W$219,{"Ongoing","N/A",""},COEM_Package_20200302!$C$3:$C$219,Report_For_Each_Project!C86)))</f>
        <v>4.625</v>
      </c>
      <c r="I93" s="118">
        <f>IF(E93=0,"N/A",F93/E93)</f>
        <v>1</v>
      </c>
    </row>
    <row r="94" spans="1:9" x14ac:dyDescent="0.25">
      <c r="C94" s="10">
        <v>2</v>
      </c>
      <c r="D94" s="11" t="s">
        <v>2</v>
      </c>
      <c r="E94" s="11">
        <f>SUMIFS(COEM_Package_20200302!$S$3:$S$219,COEM_Package_20200302!$D$3:$D$219,Table!$C$3,COEM_Package_20200302!$C$3:$C$219,Report_For_Each_Project!C86)</f>
        <v>15</v>
      </c>
      <c r="F94" s="11">
        <f>SUMIFS(COEM_Package_20200302!$T$3:$T$219,COEM_Package_20200302!$D$3:$D$219,Table!$C$3,COEM_Package_20200302!$C$3:$C$219,Report_For_Each_Project!C86)-SUM(SUMIFS(COEM_Package_20200302!$T$3:$T$219,COEM_Package_20200302!$D$3:$D$219,Table!$C$3,COEM_Package_20200302!$W$3:$W$219,{"Ongoing","N/A",""},COEM_Package_20200302!$C$3:$C$219,Report_For_Each_Project!C86))</f>
        <v>15</v>
      </c>
      <c r="G94" s="11">
        <f>E94/Table!$C$4</f>
        <v>0.11538461538461539</v>
      </c>
      <c r="H94" s="11">
        <f>1/8*(SUMIFS(COEM_Package_20200302!$V$3:$V$219,COEM_Package_20200302!$D$3:$D$219,Table!$C$3,COEM_Package_20200302!$C$3:$C$219,Report_For_Each_Project!C86)-SUM(SUMIFS(COEM_Package_20200302!$V$3:$V$219,COEM_Package_20200302!$D$3:$D$219,Table!$C$3,COEM_Package_20200302!$W$3:$W$219,{"Ongoing","N/A",""},COEM_Package_20200302!$C$3:$C$219,Report_For_Each_Project!C86)))</f>
        <v>0.25</v>
      </c>
      <c r="I94" s="118">
        <f>IF(E94=0,"N/A",F94/E94)</f>
        <v>1</v>
      </c>
    </row>
    <row r="96" spans="1:9" x14ac:dyDescent="0.25">
      <c r="C96" t="s">
        <v>462</v>
      </c>
    </row>
    <row r="98" spans="1:9" x14ac:dyDescent="0.25">
      <c r="A98" s="1">
        <f>A86+1</f>
        <v>9</v>
      </c>
      <c r="B98" s="1" t="s">
        <v>62</v>
      </c>
      <c r="C98" s="1">
        <v>20200318</v>
      </c>
    </row>
    <row r="99" spans="1:9" x14ac:dyDescent="0.25">
      <c r="B99" s="1" t="s">
        <v>452</v>
      </c>
      <c r="C99" s="105">
        <f>SUM(G105:G106)</f>
        <v>1.1822222222222223</v>
      </c>
      <c r="D99" t="s">
        <v>453</v>
      </c>
    </row>
    <row r="100" spans="1:9" x14ac:dyDescent="0.25">
      <c r="B100" s="1" t="s">
        <v>460</v>
      </c>
      <c r="C100" s="9">
        <f>SUM(INT((WEEKDAY(F100-{2,3,4,5,6}) +H100-F100)/7))</f>
        <v>2</v>
      </c>
      <c r="D100" t="s">
        <v>453</v>
      </c>
      <c r="E100" t="s">
        <v>742</v>
      </c>
      <c r="F100" s="8">
        <v>43915</v>
      </c>
      <c r="G100" s="8" t="s">
        <v>744</v>
      </c>
      <c r="H100" s="8">
        <v>43916</v>
      </c>
    </row>
    <row r="101" spans="1:9" x14ac:dyDescent="0.25">
      <c r="B101" s="1" t="s">
        <v>461</v>
      </c>
      <c r="C101" s="9"/>
      <c r="F101" s="8"/>
      <c r="G101" s="8"/>
      <c r="H101" s="8"/>
    </row>
    <row r="102" spans="1:9" x14ac:dyDescent="0.25">
      <c r="B102" s="1" t="s">
        <v>17</v>
      </c>
      <c r="C102" t="str">
        <f>IF(SUM(H105:H106)&gt;SUM(G105:G106),"Delayed",IF(SUM(H105:H106)&lt;SUM(G105:G106),"InAdvanced","Ontime"))</f>
        <v>InAdvanced</v>
      </c>
    </row>
    <row r="104" spans="1:9" ht="30" x14ac:dyDescent="0.25">
      <c r="C104" s="110" t="s">
        <v>25</v>
      </c>
      <c r="D104" s="110" t="s">
        <v>26</v>
      </c>
      <c r="E104" s="13" t="s">
        <v>454</v>
      </c>
      <c r="F104" s="13" t="s">
        <v>455</v>
      </c>
      <c r="G104" s="13" t="s">
        <v>456</v>
      </c>
      <c r="H104" s="13" t="s">
        <v>457</v>
      </c>
      <c r="I104" s="13" t="s">
        <v>29</v>
      </c>
    </row>
    <row r="105" spans="1:9" x14ac:dyDescent="0.25">
      <c r="C105" s="10">
        <v>1</v>
      </c>
      <c r="D105" s="11" t="s">
        <v>3</v>
      </c>
      <c r="E105" s="11">
        <f>SUMIFS(COEM_Package_20200302!$S$3:$S$219,COEM_Package_20200302!$D$3:$D$219,Table!$D$3,COEM_Package_20200302!$C$3:$C$219,Report_For_Each_Project!C98)</f>
        <v>532</v>
      </c>
      <c r="F105" s="11">
        <f>SUMIFS(COEM_Package_20200302!$T$3:$T$219,COEM_Package_20200302!$D$3:$D$219,Table!$D$3,COEM_Package_20200302!$C$3:$C$219,Report_For_Each_Project!C98)-SUM(SUMIFS(COEM_Package_20200302!$T$3:$T$219,COEM_Package_20200302!$D$3:$D$219,Table!$D$3,COEM_Package_20200302!$W$3:$W$219,{"Ongoing","N/A",""},COEM_Package_20200302!$C$3:$C$219,Report_For_Each_Project!C98))</f>
        <v>532</v>
      </c>
      <c r="G105" s="11">
        <f>E105/Table!$D$4</f>
        <v>1.1822222222222223</v>
      </c>
      <c r="H105" s="11">
        <f>1/8*(SUMIFS(COEM_Package_20200302!$V$3:$V$219,COEM_Package_20200302!$D$3:$D$219,Table!$D$3,COEM_Package_20200302!$C$3:$C$219,Report_For_Each_Project!C98)-SUM(SUMIFS(COEM_Package_20200302!$V$3:$V$219,COEM_Package_20200302!$D$3:$D$219,Table!$D$3,COEM_Package_20200302!$W$3:$W$219,{"Ongoing","N/A",""},COEM_Package_20200302!$C$3:$C$219,Report_For_Each_Project!C98)))</f>
        <v>1.0625</v>
      </c>
      <c r="I105" s="118">
        <f>IF(E105=0,"N/A",F105/E105)</f>
        <v>1</v>
      </c>
    </row>
    <row r="106" spans="1:9" x14ac:dyDescent="0.25">
      <c r="C106" s="10">
        <v>2</v>
      </c>
      <c r="D106" s="11" t="s">
        <v>2</v>
      </c>
      <c r="E106" s="11">
        <f>SUMIFS(COEM_Package_20200302!$S$3:$S$219,COEM_Package_20200302!$D$3:$D$219,Table!$C$3,COEM_Package_20200302!$C$3:$C$219,Report_For_Each_Project!C98)</f>
        <v>0</v>
      </c>
      <c r="F106" s="11">
        <f>SUMIFS(COEM_Package_20200302!$T$3:$T$219,COEM_Package_20200302!$D$3:$D$219,Table!$C$3,COEM_Package_20200302!$C$3:$C$219,Report_For_Each_Project!C98)-SUM(SUMIFS(COEM_Package_20200302!$T$3:$T$219,COEM_Package_20200302!$D$3:$D$219,Table!$C$3,COEM_Package_20200302!$W$3:$W$219,{"Ongoing","N/A",""},COEM_Package_20200302!$C$3:$C$219,Report_For_Each_Project!C98))</f>
        <v>0</v>
      </c>
      <c r="G106" s="11">
        <f>E106/Table!$C$4</f>
        <v>0</v>
      </c>
      <c r="H106" s="11">
        <f>1/8*(SUMIFS(COEM_Package_20200302!$V$3:$V$219,COEM_Package_20200302!$D$3:$D$219,Table!$C$3,COEM_Package_20200302!$C$3:$C$219,Report_For_Each_Project!C98)-SUM(SUMIFS(COEM_Package_20200302!$V$3:$V$219,COEM_Package_20200302!$D$3:$D$219,Table!$C$3,COEM_Package_20200302!$W$3:$W$219,{"Ongoing","N/A",""},COEM_Package_20200302!$C$3:$C$219,Report_For_Each_Project!C98)))</f>
        <v>0</v>
      </c>
      <c r="I106" s="118" t="str">
        <f>IF(E106=0,"N/A",F106/E106)</f>
        <v>N/A</v>
      </c>
    </row>
    <row r="108" spans="1:9" x14ac:dyDescent="0.25">
      <c r="C108" t="s">
        <v>462</v>
      </c>
    </row>
    <row r="110" spans="1:9" x14ac:dyDescent="0.25">
      <c r="A110" s="1">
        <f>A98+1</f>
        <v>10</v>
      </c>
      <c r="B110" s="1" t="s">
        <v>62</v>
      </c>
      <c r="C110" s="1">
        <v>20200319</v>
      </c>
    </row>
    <row r="111" spans="1:9" x14ac:dyDescent="0.25">
      <c r="B111" s="1" t="s">
        <v>452</v>
      </c>
      <c r="C111" s="105">
        <f>SUM(G117:G118)</f>
        <v>3.6958974358974359</v>
      </c>
      <c r="D111" t="s">
        <v>453</v>
      </c>
    </row>
    <row r="112" spans="1:9" x14ac:dyDescent="0.25">
      <c r="B112" s="1" t="s">
        <v>460</v>
      </c>
      <c r="C112" s="9">
        <f>SUM(INT((WEEKDAY(F112-{2,3,4,5,6}) +H112-F112)/7))</f>
        <v>3</v>
      </c>
      <c r="D112" t="s">
        <v>453</v>
      </c>
      <c r="E112" t="s">
        <v>742</v>
      </c>
      <c r="F112" s="8">
        <v>43915</v>
      </c>
      <c r="G112" s="8" t="s">
        <v>743</v>
      </c>
      <c r="H112" s="8">
        <v>43917</v>
      </c>
    </row>
    <row r="113" spans="1:9" x14ac:dyDescent="0.25">
      <c r="B113" s="1" t="s">
        <v>461</v>
      </c>
      <c r="C113" s="9">
        <f>SUM(INT((WEEKDAY(F113-{2,3,4,5,6}) +H113-F113)/7))</f>
        <v>4</v>
      </c>
      <c r="D113" t="s">
        <v>453</v>
      </c>
      <c r="E113" t="s">
        <v>742</v>
      </c>
      <c r="F113" s="8">
        <v>43914</v>
      </c>
      <c r="G113" s="8" t="s">
        <v>743</v>
      </c>
      <c r="H113" s="8">
        <v>43917</v>
      </c>
    </row>
    <row r="114" spans="1:9" x14ac:dyDescent="0.25">
      <c r="B114" s="1" t="s">
        <v>17</v>
      </c>
      <c r="C114" t="str">
        <f>IF(SUM(H117:H118)&gt;SUM(G117:G118),"Delayed",IF(SUM(H117:H118)&lt;SUM(G117:G118),"InAdvanced","Ontime"))</f>
        <v>Delayed</v>
      </c>
    </row>
    <row r="116" spans="1:9" ht="30" x14ac:dyDescent="0.25">
      <c r="C116" s="110" t="s">
        <v>25</v>
      </c>
      <c r="D116" s="110" t="s">
        <v>26</v>
      </c>
      <c r="E116" s="13" t="s">
        <v>454</v>
      </c>
      <c r="F116" s="13" t="s">
        <v>455</v>
      </c>
      <c r="G116" s="13" t="s">
        <v>456</v>
      </c>
      <c r="H116" s="13" t="s">
        <v>457</v>
      </c>
      <c r="I116" s="13" t="s">
        <v>29</v>
      </c>
    </row>
    <row r="117" spans="1:9" x14ac:dyDescent="0.25">
      <c r="C117" s="10">
        <v>1</v>
      </c>
      <c r="D117" s="11" t="s">
        <v>3</v>
      </c>
      <c r="E117" s="11">
        <f>SUMIFS(COEM_Package_20200302!$S$3:$S$219,COEM_Package_20200302!$D$3:$D$219,Table!$D$3,COEM_Package_20200302!$C$3:$C$219,Report_For_Each_Project!C110)</f>
        <v>417</v>
      </c>
      <c r="F117" s="11">
        <f>SUMIFS(COEM_Package_20200302!$T$3:$T$219,COEM_Package_20200302!$D$3:$D$219,Table!$D$3,COEM_Package_20200302!$C$3:$C$219,Report_For_Each_Project!C110)-SUM(SUMIFS(COEM_Package_20200302!$T$3:$T$219,COEM_Package_20200302!$D$3:$D$219,Table!$D$3,COEM_Package_20200302!$W$3:$W$219,{"Ongoing","N/A",""},COEM_Package_20200302!$C$3:$C$219,Report_For_Each_Project!C110))</f>
        <v>417</v>
      </c>
      <c r="G117" s="11">
        <f>E117/Table!$D$4</f>
        <v>0.92666666666666664</v>
      </c>
      <c r="H117" s="11">
        <f>1/8*(SUMIFS(COEM_Package_20200302!$V$3:$V$219,COEM_Package_20200302!$D$3:$D$219,Table!$D$3,COEM_Package_20200302!$C$3:$C$219,Report_For_Each_Project!C110)-SUM(SUMIFS(COEM_Package_20200302!$V$3:$V$219,COEM_Package_20200302!$D$3:$D$219,Table!$D$3,COEM_Package_20200302!$W$3:$W$219,{"Ongoing","N/A",""},COEM_Package_20200302!$C$3:$C$219,Report_For_Each_Project!C110)))</f>
        <v>0.625</v>
      </c>
      <c r="I117" s="118">
        <f>IF(E117=0,"N/A",F117/E117)</f>
        <v>1</v>
      </c>
    </row>
    <row r="118" spans="1:9" x14ac:dyDescent="0.25">
      <c r="C118" s="10">
        <v>2</v>
      </c>
      <c r="D118" s="11" t="s">
        <v>2</v>
      </c>
      <c r="E118" s="11">
        <f>SUMIFS(COEM_Package_20200302!$S$3:$S$219,COEM_Package_20200302!$D$3:$D$219,Table!$C$3,COEM_Package_20200302!$C$3:$C$219,Report_For_Each_Project!C110)</f>
        <v>360</v>
      </c>
      <c r="F118" s="11">
        <f>SUMIFS(COEM_Package_20200302!$T$3:$T$219,COEM_Package_20200302!$D$3:$D$219,Table!$C$3,COEM_Package_20200302!$C$3:$C$219,Report_For_Each_Project!C110)-SUM(SUMIFS(COEM_Package_20200302!$T$3:$T$219,COEM_Package_20200302!$D$3:$D$219,Table!$C$3,COEM_Package_20200302!$W$3:$W$219,{"Ongoing","N/A",""},COEM_Package_20200302!$C$3:$C$219,Report_For_Each_Project!C110))</f>
        <v>360</v>
      </c>
      <c r="G118" s="11">
        <f>E118/Table!$C$4</f>
        <v>2.7692307692307692</v>
      </c>
      <c r="H118" s="11">
        <f>1/8*(SUMIFS(COEM_Package_20200302!$V$3:$V$219,COEM_Package_20200302!$D$3:$D$219,Table!$C$3,COEM_Package_20200302!$C$3:$C$219,Report_For_Each_Project!C110)-SUM(SUMIFS(COEM_Package_20200302!$V$3:$V$219,COEM_Package_20200302!$D$3:$D$219,Table!$C$3,COEM_Package_20200302!$W$3:$W$219,{"Ongoing","N/A",""},COEM_Package_20200302!$C$3:$C$219,Report_For_Each_Project!C110)))</f>
        <v>3.5625</v>
      </c>
      <c r="I118" s="118">
        <f>IF(E118=0,"N/A",F118/E118)</f>
        <v>1</v>
      </c>
    </row>
    <row r="120" spans="1:9" x14ac:dyDescent="0.25">
      <c r="C120" t="s">
        <v>462</v>
      </c>
    </row>
    <row r="122" spans="1:9" x14ac:dyDescent="0.25">
      <c r="A122" s="1">
        <f>A110+1</f>
        <v>11</v>
      </c>
      <c r="B122" s="1" t="s">
        <v>62</v>
      </c>
      <c r="C122" s="1">
        <v>20200324</v>
      </c>
    </row>
    <row r="123" spans="1:9" x14ac:dyDescent="0.25">
      <c r="B123" s="1" t="s">
        <v>452</v>
      </c>
      <c r="C123" s="105">
        <f>SUM(G129:G130)</f>
        <v>2.9355555555555557</v>
      </c>
      <c r="D123" t="s">
        <v>453</v>
      </c>
    </row>
    <row r="124" spans="1:9" x14ac:dyDescent="0.25">
      <c r="B124" s="1" t="s">
        <v>460</v>
      </c>
      <c r="C124" s="9">
        <f>SUM(INT((WEEKDAY(F124-{2,3,4,5,6}) +H124-F124)/7))</f>
        <v>6</v>
      </c>
      <c r="D124" t="s">
        <v>453</v>
      </c>
      <c r="E124" t="s">
        <v>742</v>
      </c>
      <c r="F124" s="8">
        <v>43914</v>
      </c>
      <c r="G124" s="8" t="s">
        <v>743</v>
      </c>
      <c r="H124" s="8">
        <v>43921</v>
      </c>
    </row>
    <row r="125" spans="1:9" x14ac:dyDescent="0.25">
      <c r="B125" s="1" t="s">
        <v>461</v>
      </c>
      <c r="C125" s="9">
        <f>SUM(INT((WEEKDAY(F125-{2,3,4,5,6}) +H125-F125)/7))</f>
        <v>2</v>
      </c>
      <c r="D125" t="s">
        <v>453</v>
      </c>
      <c r="E125" t="s">
        <v>742</v>
      </c>
      <c r="F125" s="8">
        <v>43916</v>
      </c>
      <c r="G125" s="8" t="s">
        <v>743</v>
      </c>
      <c r="H125" s="8">
        <v>43917</v>
      </c>
    </row>
    <row r="126" spans="1:9" x14ac:dyDescent="0.25">
      <c r="B126" s="1" t="s">
        <v>17</v>
      </c>
      <c r="C126" t="str">
        <f>IF(SUM(H129:H130)&gt;SUM(G129:G130),"Delayed",IF(SUM(H129:H130)&lt;SUM(G129:G130),"InAdvanced","Ontime"))</f>
        <v>InAdvanced</v>
      </c>
    </row>
    <row r="128" spans="1:9" ht="30" x14ac:dyDescent="0.25">
      <c r="C128" s="143" t="s">
        <v>25</v>
      </c>
      <c r="D128" s="143" t="s">
        <v>26</v>
      </c>
      <c r="E128" s="13" t="s">
        <v>454</v>
      </c>
      <c r="F128" s="13" t="s">
        <v>455</v>
      </c>
      <c r="G128" s="13" t="s">
        <v>456</v>
      </c>
      <c r="H128" s="13" t="s">
        <v>457</v>
      </c>
      <c r="I128" s="13" t="s">
        <v>29</v>
      </c>
    </row>
    <row r="129" spans="1:9" x14ac:dyDescent="0.25">
      <c r="C129" s="10">
        <v>1</v>
      </c>
      <c r="D129" s="11" t="s">
        <v>3</v>
      </c>
      <c r="E129" s="11">
        <f>SUMIFS(COEM_Package_20200302!$S$3:$S$219,COEM_Package_20200302!$D$3:$D$219,Table!$D$3,COEM_Package_20200302!$C$3:$C$219,Report_For_Each_Project!C122)</f>
        <v>1321</v>
      </c>
      <c r="F129" s="11">
        <f>SUMIFS(COEM_Package_20200302!$T$3:$T$219,COEM_Package_20200302!$D$3:$D$219,Table!$D$3,COEM_Package_20200302!$C$3:$C$219,Report_For_Each_Project!C122)-SUM(SUMIFS(COEM_Package_20200302!$T$3:$T$219,COEM_Package_20200302!$D$3:$D$219,Table!$D$3,COEM_Package_20200302!$W$3:$W$219,{"Ongoing","N/A",""},COEM_Package_20200302!$C$3:$C$219,Report_For_Each_Project!C122))</f>
        <v>1321</v>
      </c>
      <c r="G129" s="11">
        <f>E129/Table!$D$4</f>
        <v>2.9355555555555557</v>
      </c>
      <c r="H129" s="11">
        <f>1/8*(SUMIFS(COEM_Package_20200302!$V$3:$V$219,COEM_Package_20200302!$D$3:$D$219,Table!$D$3,COEM_Package_20200302!$C$3:$C$219,Report_For_Each_Project!C122)-SUM(SUMIFS(COEM_Package_20200302!$V$3:$V$219,COEM_Package_20200302!$D$3:$D$219,Table!$D$3,COEM_Package_20200302!$W$3:$W$219,{"Ongoing","N/A",""},COEM_Package_20200302!$C$3:$C$219,Report_For_Each_Project!C122)))</f>
        <v>2.8825000000000003</v>
      </c>
      <c r="I129" s="118">
        <f>IF(E129=0,"N/A",F129/E129)</f>
        <v>1</v>
      </c>
    </row>
    <row r="130" spans="1:9" x14ac:dyDescent="0.25">
      <c r="C130" s="10">
        <v>2</v>
      </c>
      <c r="D130" s="11" t="s">
        <v>2</v>
      </c>
      <c r="E130" s="11">
        <f>SUMIFS(COEM_Package_20200302!$S$3:$S$219,COEM_Package_20200302!$D$3:$D$219,Table!$C$3,COEM_Package_20200302!$C$3:$C$219,Report_For_Each_Project!C122)</f>
        <v>0</v>
      </c>
      <c r="F130" s="11">
        <f>SUMIFS(COEM_Package_20200302!$T$3:$T$219,COEM_Package_20200302!$D$3:$D$219,Table!$C$3,COEM_Package_20200302!$C$3:$C$219,Report_For_Each_Project!C122)-SUM(SUMIFS(COEM_Package_20200302!$T$3:$T$219,COEM_Package_20200302!$D$3:$D$219,Table!$C$3,COEM_Package_20200302!$W$3:$W$219,{"Ongoing","N/A",""},COEM_Package_20200302!$C$3:$C$219,Report_For_Each_Project!C122))</f>
        <v>0</v>
      </c>
      <c r="G130" s="11">
        <f>E130/Table!$C$4</f>
        <v>0</v>
      </c>
      <c r="H130" s="11">
        <f>1/8*(SUMIFS(COEM_Package_20200302!$V$3:$V$219,COEM_Package_20200302!$D$3:$D$219,Table!$C$3,COEM_Package_20200302!$C$3:$C$219,Report_For_Each_Project!C122)-SUM(SUMIFS(COEM_Package_20200302!$V$3:$V$219,COEM_Package_20200302!$D$3:$D$219,Table!$C$3,COEM_Package_20200302!$W$3:$W$219,{"Ongoing","N/A",""},COEM_Package_20200302!$C$3:$C$219,Report_For_Each_Project!C122)))</f>
        <v>0</v>
      </c>
      <c r="I130" s="118" t="str">
        <f>IF(E130=0,"N/A",F130/E130)</f>
        <v>N/A</v>
      </c>
    </row>
    <row r="132" spans="1:9" x14ac:dyDescent="0.25">
      <c r="C132" t="s">
        <v>462</v>
      </c>
    </row>
    <row r="134" spans="1:9" x14ac:dyDescent="0.25">
      <c r="A134" s="1">
        <f>A122+1</f>
        <v>12</v>
      </c>
      <c r="B134" s="1" t="s">
        <v>62</v>
      </c>
      <c r="C134" s="1">
        <v>20200325</v>
      </c>
    </row>
    <row r="135" spans="1:9" x14ac:dyDescent="0.25">
      <c r="B135" s="1" t="s">
        <v>452</v>
      </c>
      <c r="C135" s="105">
        <f>SUM(G141:G142)</f>
        <v>2.8777777777777778</v>
      </c>
      <c r="D135" t="s">
        <v>453</v>
      </c>
    </row>
    <row r="136" spans="1:9" x14ac:dyDescent="0.25">
      <c r="B136" s="1" t="s">
        <v>460</v>
      </c>
      <c r="C136" s="9">
        <f>SUM(INT((WEEKDAY(F136-{2,3,4,5,6}) +H136-F136)/7))</f>
        <v>5</v>
      </c>
      <c r="D136" t="s">
        <v>453</v>
      </c>
      <c r="E136" t="s">
        <v>742</v>
      </c>
      <c r="F136" s="8">
        <v>43915</v>
      </c>
      <c r="G136" s="8" t="s">
        <v>743</v>
      </c>
      <c r="H136" s="8">
        <v>43921</v>
      </c>
    </row>
    <row r="137" spans="1:9" x14ac:dyDescent="0.25">
      <c r="B137" s="1" t="s">
        <v>461</v>
      </c>
      <c r="C137" s="9">
        <f>SUM(INT((WEEKDAY(F137-{2,3,4,5,6}) +H137-F137)/7))</f>
        <v>1</v>
      </c>
      <c r="D137" t="s">
        <v>453</v>
      </c>
      <c r="E137" t="s">
        <v>742</v>
      </c>
      <c r="F137" s="8">
        <v>43920</v>
      </c>
      <c r="G137" s="8" t="s">
        <v>743</v>
      </c>
      <c r="H137" s="8">
        <v>43920</v>
      </c>
    </row>
    <row r="138" spans="1:9" x14ac:dyDescent="0.25">
      <c r="B138" s="1" t="s">
        <v>17</v>
      </c>
      <c r="C138" t="str">
        <f>IF(SUM(H141:H142)&gt;SUM(G141:G142),"Delayed",IF(SUM(H141:H142)&lt;SUM(G141:G142),"InAdvanced","Ontime"))</f>
        <v>InAdvanced</v>
      </c>
    </row>
    <row r="140" spans="1:9" ht="30" x14ac:dyDescent="0.25">
      <c r="C140" s="144" t="s">
        <v>25</v>
      </c>
      <c r="D140" s="144" t="s">
        <v>26</v>
      </c>
      <c r="E140" s="13" t="s">
        <v>454</v>
      </c>
      <c r="F140" s="13" t="s">
        <v>455</v>
      </c>
      <c r="G140" s="13" t="s">
        <v>456</v>
      </c>
      <c r="H140" s="13" t="s">
        <v>457</v>
      </c>
      <c r="I140" s="13" t="s">
        <v>29</v>
      </c>
    </row>
    <row r="141" spans="1:9" x14ac:dyDescent="0.25">
      <c r="C141" s="10">
        <v>1</v>
      </c>
      <c r="D141" s="11" t="s">
        <v>3</v>
      </c>
      <c r="E141" s="11">
        <f>SUMIFS(COEM_Package_20200302!$S$3:$S$219,COEM_Package_20200302!$D$3:$D$219,Table!$D$3,COEM_Package_20200302!$C$3:$C$219,Report_For_Each_Project!C134)</f>
        <v>1295</v>
      </c>
      <c r="F141" s="11">
        <f>SUMIFS(COEM_Package_20200302!$T$3:$T$219,COEM_Package_20200302!$D$3:$D$219,Table!$D$3,COEM_Package_20200302!$C$3:$C$219,Report_For_Each_Project!C134)-SUM(SUMIFS(COEM_Package_20200302!$T$3:$T$219,COEM_Package_20200302!$D$3:$D$219,Table!$D$3,COEM_Package_20200302!$W$3:$W$219,{"Ongoing","N/A",""},COEM_Package_20200302!$C$3:$C$219,Report_For_Each_Project!C134))</f>
        <v>1295</v>
      </c>
      <c r="G141" s="11">
        <f>E141/Table!$D$4</f>
        <v>2.8777777777777778</v>
      </c>
      <c r="H141" s="11">
        <f>1/8*(SUMIFS(COEM_Package_20200302!$V$3:$V$219,COEM_Package_20200302!$D$3:$D$219,Table!$D$3,COEM_Package_20200302!$C$3:$C$219,Report_For_Each_Project!C134)-SUM(SUMIFS(COEM_Package_20200302!$V$3:$V$219,COEM_Package_20200302!$D$3:$D$219,Table!$D$3,COEM_Package_20200302!$W$3:$W$219,{"Ongoing","N/A",""},COEM_Package_20200302!$C$3:$C$219,Report_For_Each_Project!C134)))</f>
        <v>1.875</v>
      </c>
      <c r="I141" s="118">
        <f>IF(E141=0,"N/A",F141/E141)</f>
        <v>1</v>
      </c>
    </row>
    <row r="142" spans="1:9" x14ac:dyDescent="0.25">
      <c r="C142" s="10">
        <v>2</v>
      </c>
      <c r="D142" s="11" t="s">
        <v>2</v>
      </c>
      <c r="E142" s="11">
        <f>SUMIFS(COEM_Package_20200302!$S$3:$S$219,COEM_Package_20200302!$D$3:$D$219,Table!$C$3,COEM_Package_20200302!$C$3:$C$219,Report_For_Each_Project!C134)</f>
        <v>0</v>
      </c>
      <c r="F142" s="11">
        <f>SUMIFS(COEM_Package_20200302!$T$3:$T$219,COEM_Package_20200302!$D$3:$D$219,Table!$C$3,COEM_Package_20200302!$C$3:$C$219,Report_For_Each_Project!C134)-SUM(SUMIFS(COEM_Package_20200302!$T$3:$T$219,COEM_Package_20200302!$D$3:$D$219,Table!$C$3,COEM_Package_20200302!$W$3:$W$219,{"Ongoing","N/A",""},COEM_Package_20200302!$C$3:$C$219,Report_For_Each_Project!C134))</f>
        <v>0</v>
      </c>
      <c r="G142" s="11">
        <f>E142/Table!$C$4</f>
        <v>0</v>
      </c>
      <c r="H142" s="11">
        <f>1/8*(SUMIFS(COEM_Package_20200302!$V$3:$V$219,COEM_Package_20200302!$D$3:$D$219,Table!$C$3,COEM_Package_20200302!$C$3:$C$219,Report_For_Each_Project!C134)-SUM(SUMIFS(COEM_Package_20200302!$V$3:$V$219,COEM_Package_20200302!$D$3:$D$219,Table!$C$3,COEM_Package_20200302!$W$3:$W$219,{"Ongoing","N/A",""},COEM_Package_20200302!$C$3:$C$219,Report_For_Each_Project!C134)))</f>
        <v>0</v>
      </c>
      <c r="I142" s="118" t="str">
        <f>IF(E142=0,"N/A",F142/E142)</f>
        <v>N/A</v>
      </c>
    </row>
    <row r="144" spans="1:9" x14ac:dyDescent="0.25">
      <c r="C144" t="s">
        <v>462</v>
      </c>
    </row>
    <row r="146" spans="1:9" x14ac:dyDescent="0.25">
      <c r="A146" s="1">
        <f>A134+1</f>
        <v>13</v>
      </c>
      <c r="B146" s="1" t="s">
        <v>62</v>
      </c>
      <c r="C146" s="1" t="s">
        <v>681</v>
      </c>
    </row>
    <row r="147" spans="1:9" x14ac:dyDescent="0.25">
      <c r="B147" s="1" t="s">
        <v>452</v>
      </c>
      <c r="C147" s="105">
        <f>SUM(G153:G154)</f>
        <v>12.362222222222222</v>
      </c>
      <c r="D147" t="s">
        <v>453</v>
      </c>
    </row>
    <row r="148" spans="1:9" x14ac:dyDescent="0.25">
      <c r="B148" s="1" t="s">
        <v>460</v>
      </c>
      <c r="C148" s="9">
        <f>SUM(INT((WEEKDAY(F148-{2,3,4,5,6}) +H148-F148)/7))</f>
        <v>7</v>
      </c>
      <c r="D148" t="s">
        <v>453</v>
      </c>
      <c r="E148" t="s">
        <v>742</v>
      </c>
      <c r="F148" s="8">
        <v>43913</v>
      </c>
      <c r="G148" s="8" t="s">
        <v>743</v>
      </c>
      <c r="H148" s="8">
        <v>43921</v>
      </c>
    </row>
    <row r="149" spans="1:9" x14ac:dyDescent="0.25">
      <c r="B149" s="1" t="s">
        <v>461</v>
      </c>
      <c r="C149" s="9"/>
      <c r="F149" s="8"/>
      <c r="G149" s="8"/>
      <c r="H149" s="8"/>
    </row>
    <row r="150" spans="1:9" x14ac:dyDescent="0.25">
      <c r="B150" s="1" t="s">
        <v>17</v>
      </c>
      <c r="C150" t="str">
        <f>IF(SUM(H153:H154)&gt;SUM(G153:G154),"Delayed",IF(SUM(H153:H154)&lt;SUM(G153:G154),"InAdvanced","Ontime"))</f>
        <v>InAdvanced</v>
      </c>
    </row>
    <row r="152" spans="1:9" ht="30" x14ac:dyDescent="0.25">
      <c r="C152" s="145" t="s">
        <v>25</v>
      </c>
      <c r="D152" s="145" t="s">
        <v>26</v>
      </c>
      <c r="E152" s="13" t="s">
        <v>454</v>
      </c>
      <c r="F152" s="13" t="s">
        <v>455</v>
      </c>
      <c r="G152" s="13" t="s">
        <v>456</v>
      </c>
      <c r="H152" s="13" t="s">
        <v>457</v>
      </c>
      <c r="I152" s="13" t="s">
        <v>29</v>
      </c>
    </row>
    <row r="153" spans="1:9" x14ac:dyDescent="0.25">
      <c r="C153" s="10">
        <v>1</v>
      </c>
      <c r="D153" s="11" t="s">
        <v>3</v>
      </c>
      <c r="E153" s="11">
        <f>SUMIFS(COEM_Package_20200302!$S$3:$S$219,COEM_Package_20200302!$D$3:$D$219,Table!$D$3,COEM_Package_20200302!$C$3:$C$219,Report_For_Each_Project!C146)</f>
        <v>5563</v>
      </c>
      <c r="F153" s="11">
        <f>SUMIFS(COEM_Package_20200302!$T$3:$T$219,COEM_Package_20200302!$D$3:$D$219,Table!$D$3,COEM_Package_20200302!$C$3:$C$219,Report_For_Each_Project!C146)-SUM(SUMIFS(COEM_Package_20200302!$T$3:$T$219,COEM_Package_20200302!$D$3:$D$219,Table!$D$3,COEM_Package_20200302!$W$3:$W$219,{"Ongoing","N/A",""},COEM_Package_20200302!$C$3:$C$219,Report_For_Each_Project!C146))</f>
        <v>4909</v>
      </c>
      <c r="G153" s="11">
        <f>E153/Table!$D$4</f>
        <v>12.362222222222222</v>
      </c>
      <c r="H153" s="11">
        <f>1/8*(SUMIFS(COEM_Package_20200302!$V$3:$V$219,COEM_Package_20200302!$D$3:$D$219,Table!$D$3,COEM_Package_20200302!$C$3:$C$219,Report_For_Each_Project!C146)-SUM(SUMIFS(COEM_Package_20200302!$V$3:$V$219,COEM_Package_20200302!$D$3:$D$219,Table!$D$3,COEM_Package_20200302!$W$3:$W$219,{"Ongoing","N/A",""},COEM_Package_20200302!$C$3:$C$219,Report_For_Each_Project!C146)))</f>
        <v>10.1</v>
      </c>
      <c r="I153" s="118">
        <f>IF(E153=0,"N/A",F153/E153)</f>
        <v>0.88243753370483557</v>
      </c>
    </row>
    <row r="154" spans="1:9" x14ac:dyDescent="0.25">
      <c r="C154" s="10">
        <v>2</v>
      </c>
      <c r="D154" s="11" t="s">
        <v>2</v>
      </c>
      <c r="E154" s="11">
        <f>SUMIFS(COEM_Package_20200302!$S$3:$S$219,COEM_Package_20200302!$D$3:$D$219,Table!$C$3,COEM_Package_20200302!$C$3:$C$219,Report_For_Each_Project!C146)</f>
        <v>0</v>
      </c>
      <c r="F154" s="11">
        <f>SUMIFS(COEM_Package_20200302!$T$3:$T$219,COEM_Package_20200302!$D$3:$D$219,Table!$C$3,COEM_Package_20200302!$C$3:$C$219,Report_For_Each_Project!C146)-SUM(SUMIFS(COEM_Package_20200302!$T$3:$T$219,COEM_Package_20200302!$D$3:$D$219,Table!$C$3,COEM_Package_20200302!$W$3:$W$219,{"Ongoing","N/A",""},COEM_Package_20200302!$C$3:$C$219,Report_For_Each_Project!C146))</f>
        <v>0</v>
      </c>
      <c r="G154" s="11">
        <f>E154/Table!$C$4</f>
        <v>0</v>
      </c>
      <c r="H154" s="11">
        <f>1/8*(SUMIFS(COEM_Package_20200302!$V$3:$V$219,COEM_Package_20200302!$D$3:$D$219,Table!$C$3,COEM_Package_20200302!$C$3:$C$219,Report_For_Each_Project!C146)-SUM(SUMIFS(COEM_Package_20200302!$V$3:$V$219,COEM_Package_20200302!$D$3:$D$219,Table!$C$3,COEM_Package_20200302!$W$3:$W$219,{"Ongoing","N/A",""},COEM_Package_20200302!$C$3:$C$219,Report_For_Each_Project!C146)))</f>
        <v>0</v>
      </c>
      <c r="I154" s="118" t="str">
        <f>IF(E154=0,"N/A",F154/E154)</f>
        <v>N/A</v>
      </c>
    </row>
    <row r="156" spans="1:9" x14ac:dyDescent="0.25">
      <c r="C156" t="s">
        <v>462</v>
      </c>
    </row>
    <row r="158" spans="1:9" x14ac:dyDescent="0.25">
      <c r="A158">
        <v>14</v>
      </c>
      <c r="B158" s="1" t="s">
        <v>62</v>
      </c>
      <c r="C158" s="1">
        <v>20200326</v>
      </c>
    </row>
    <row r="159" spans="1:9" x14ac:dyDescent="0.25">
      <c r="B159" s="1" t="s">
        <v>452</v>
      </c>
      <c r="C159" s="105">
        <f>SUM(G165:G166)</f>
        <v>0.46923076923076923</v>
      </c>
      <c r="D159" t="s">
        <v>453</v>
      </c>
    </row>
    <row r="160" spans="1:9" x14ac:dyDescent="0.25">
      <c r="B160" s="1" t="s">
        <v>460</v>
      </c>
      <c r="C160" s="9">
        <f>SUM(INT((WEEKDAY(F160-{2,3,4,5,6}) +H160-F160)/7))</f>
        <v>1</v>
      </c>
      <c r="D160" t="s">
        <v>453</v>
      </c>
      <c r="E160" t="s">
        <v>742</v>
      </c>
      <c r="F160" s="8">
        <v>43922</v>
      </c>
      <c r="G160" s="8" t="s">
        <v>744</v>
      </c>
      <c r="H160" s="8">
        <v>43922</v>
      </c>
    </row>
    <row r="161" spans="1:9" x14ac:dyDescent="0.25">
      <c r="B161" s="1" t="s">
        <v>461</v>
      </c>
      <c r="C161" s="9"/>
      <c r="F161" s="8"/>
      <c r="G161" s="8"/>
      <c r="H161" s="8"/>
    </row>
    <row r="162" spans="1:9" x14ac:dyDescent="0.25">
      <c r="B162" s="1" t="s">
        <v>17</v>
      </c>
      <c r="C162" t="str">
        <f>IF(SUM(H165:H166)&gt;SUM(G165:G166),"Delayed",IF(SUM(H165:H166)&lt;SUM(G165:G166),"InAdvanced","Ontime"))</f>
        <v>InAdvanced</v>
      </c>
    </row>
    <row r="164" spans="1:9" ht="30" x14ac:dyDescent="0.25">
      <c r="C164" s="172" t="s">
        <v>25</v>
      </c>
      <c r="D164" s="172" t="s">
        <v>26</v>
      </c>
      <c r="E164" s="13" t="s">
        <v>454</v>
      </c>
      <c r="F164" s="13" t="s">
        <v>455</v>
      </c>
      <c r="G164" s="13" t="s">
        <v>456</v>
      </c>
      <c r="H164" s="13" t="s">
        <v>457</v>
      </c>
      <c r="I164" s="13" t="s">
        <v>29</v>
      </c>
    </row>
    <row r="165" spans="1:9" x14ac:dyDescent="0.25">
      <c r="C165" s="10">
        <v>1</v>
      </c>
      <c r="D165" s="11" t="s">
        <v>3</v>
      </c>
      <c r="E165" s="11">
        <f>SUMIFS(COEM_Package_20200401!$S$3:$S$56,COEM_Package_20200401!$D$3:$D$56,Table!$D$3,COEM_Package_20200401!$C$3:$C$56,Report_For_Each_Project!C158)</f>
        <v>0</v>
      </c>
      <c r="F165" s="11">
        <f>SUMIFS(COEM_Package_20200401!$T$3:$T$56,COEM_Package_20200401!$D$3:$D$56,Table!$D$3,COEM_Package_20200401!$C$3:$C$56,Report_For_Each_Project!C158)-SUM(SUMIFS(COEM_Package_20200401!$T$3:$T$56,COEM_Package_20200401!$D$3:$D$56,Table!$D$3,COEM_Package_20200401!$W$3:$W$56,{"Ongoing","N/A",""},COEM_Package_20200401!$C$3:$C$56,Report_For_Each_Project!C158))</f>
        <v>0</v>
      </c>
      <c r="G165" s="11">
        <f>E165/Table!$D$4</f>
        <v>0</v>
      </c>
      <c r="H165" s="11">
        <f>1/8*(SUMIFS(COEM_Package_20200401!$V$3:$V$56,COEM_Package_20200401!$D$3:$D$56,Table!$D$3,COEM_Package_20200401!$C$3:$C$56,Report_For_Each_Project!C158)-SUM(SUMIFS(COEM_Package_20200401!$V$3:$V$56,COEM_Package_20200401!$D$3:$D$56,Table!$D$3,COEM_Package_20200401!$W$3:$W$56,{"Ongoing","N/A",""},COEM_Package_20200401!$C$3:$C$56,Report_For_Each_Project!C158)))</f>
        <v>0</v>
      </c>
      <c r="I165" s="118" t="str">
        <f>IF(E165=0,"N/A",F165/E165)</f>
        <v>N/A</v>
      </c>
    </row>
    <row r="166" spans="1:9" x14ac:dyDescent="0.25">
      <c r="C166" s="10">
        <v>2</v>
      </c>
      <c r="D166" s="11" t="s">
        <v>2</v>
      </c>
      <c r="E166" s="11">
        <f>SUMIFS(COEM_Package_20200401!$S$3:$S$56,COEM_Package_20200401!$D$3:$D$56,Table!$C$3,COEM_Package_20200401!$C$3:$C$56,Report_For_Each_Project!C158)</f>
        <v>61</v>
      </c>
      <c r="F166" s="11">
        <f>SUMIFS(COEM_Package_20200401!$T$3:$T$56,COEM_Package_20200401!$D$3:$D$56,Table!$C$3,COEM_Package_20200401!$C$3:$C$56,Report_For_Each_Project!C158)-SUM(SUMIFS(COEM_Package_20200401!$T$3:$T$56,COEM_Package_20200401!$D$3:$D$56,Table!$C$3,COEM_Package_20200401!$W$3:$W$56,{"Ongoing","N/A",""},COEM_Package_20200401!$C$3:$C$56,Report_For_Each_Project!C158))</f>
        <v>61</v>
      </c>
      <c r="G166" s="11">
        <f>E166/Table!$C$4</f>
        <v>0.46923076923076923</v>
      </c>
      <c r="H166" s="11">
        <f>1/8*(SUMIFS(COEM_Package_20200401!$V$3:$V$56,COEM_Package_20200401!$D$3:$D$56,Table!$C$3,COEM_Package_20200401!$C$3:$C$56,Report_For_Each_Project!C158)-SUM(SUMIFS(COEM_Package_20200401!$V$3:$V$56,COEM_Package_20200401!$D$3:$D$56,Table!$C$3,COEM_Package_20200401!$W$3:$W$56,{"Ongoing","N/A",""},COEM_Package_20200401!$C$3:$C$56,Report_For_Each_Project!C158)))</f>
        <v>0.375</v>
      </c>
      <c r="I166" s="118">
        <f>IF(E166=0,"N/A",F166/E166)</f>
        <v>1</v>
      </c>
    </row>
    <row r="168" spans="1:9" x14ac:dyDescent="0.25">
      <c r="C168" t="s">
        <v>462</v>
      </c>
    </row>
    <row r="170" spans="1:9" x14ac:dyDescent="0.25">
      <c r="A170">
        <v>15</v>
      </c>
      <c r="B170" s="1" t="s">
        <v>62</v>
      </c>
      <c r="C170" s="1">
        <v>20200330</v>
      </c>
    </row>
    <row r="171" spans="1:9" x14ac:dyDescent="0.25">
      <c r="B171" s="1" t="s">
        <v>452</v>
      </c>
      <c r="C171" s="105">
        <f>SUM(G177:G178)</f>
        <v>7.0955555555555554</v>
      </c>
      <c r="D171" t="s">
        <v>453</v>
      </c>
    </row>
    <row r="172" spans="1:9" x14ac:dyDescent="0.25">
      <c r="B172" s="1" t="s">
        <v>460</v>
      </c>
      <c r="C172" s="9">
        <f>SUM(INT((WEEKDAY(F172-{2,3,4,5,6}) +H172-F172)/7))</f>
        <v>5</v>
      </c>
      <c r="D172" t="s">
        <v>453</v>
      </c>
      <c r="E172" t="s">
        <v>742</v>
      </c>
      <c r="F172" s="8">
        <v>43921</v>
      </c>
      <c r="G172" s="8" t="s">
        <v>743</v>
      </c>
      <c r="H172" s="8">
        <v>43927</v>
      </c>
    </row>
    <row r="173" spans="1:9" x14ac:dyDescent="0.25">
      <c r="B173" s="1" t="s">
        <v>461</v>
      </c>
      <c r="C173" s="9"/>
      <c r="F173" s="8"/>
      <c r="G173" s="8"/>
      <c r="H173" s="8"/>
    </row>
    <row r="174" spans="1:9" x14ac:dyDescent="0.25">
      <c r="B174" s="1" t="s">
        <v>17</v>
      </c>
      <c r="C174" t="str">
        <f>IF(SUM(H177:H178)&gt;SUM(G177:G178),"Delayed",IF(SUM(H177:H178)&lt;SUM(G177:G178),"InAdvanced","Ontime"))</f>
        <v>InAdvanced</v>
      </c>
    </row>
    <row r="176" spans="1:9" ht="30" x14ac:dyDescent="0.25">
      <c r="C176" s="172" t="s">
        <v>25</v>
      </c>
      <c r="D176" s="172" t="s">
        <v>26</v>
      </c>
      <c r="E176" s="13" t="s">
        <v>454</v>
      </c>
      <c r="F176" s="13" t="s">
        <v>455</v>
      </c>
      <c r="G176" s="13" t="s">
        <v>456</v>
      </c>
      <c r="H176" s="13" t="s">
        <v>457</v>
      </c>
      <c r="I176" s="13" t="s">
        <v>29</v>
      </c>
    </row>
    <row r="177" spans="1:9" x14ac:dyDescent="0.25">
      <c r="C177" s="10">
        <v>1</v>
      </c>
      <c r="D177" s="11" t="s">
        <v>3</v>
      </c>
      <c r="E177" s="11">
        <f>SUMIFS(COEM_Package_20200401!$S$3:$S$56,COEM_Package_20200401!$D$3:$D$56,Table!$D$3,COEM_Package_20200401!$C$3:$C$56,Report_For_Each_Project!C170)</f>
        <v>3193</v>
      </c>
      <c r="F177" s="11">
        <f>SUMIFS(COEM_Package_20200401!$T$3:$T$56,COEM_Package_20200401!$D$3:$D$56,Table!$D$3,COEM_Package_20200401!$C$3:$C$56,Report_For_Each_Project!C170)-SUM(SUMIFS(COEM_Package_20200401!$T$3:$T$56,COEM_Package_20200401!$D$3:$D$56,Table!$D$3,COEM_Package_20200401!$W$3:$W$56,{"Ongoing","N/A",""},COEM_Package_20200401!$C$3:$C$56,Report_For_Each_Project!C170))</f>
        <v>3193</v>
      </c>
      <c r="G177" s="11">
        <f>E177/Table!$D$4</f>
        <v>7.0955555555555554</v>
      </c>
      <c r="H177" s="11">
        <f>1/8*(SUMIFS(COEM_Package_20200401!$V$3:$V$56,COEM_Package_20200401!$D$3:$D$56,Table!$D$3,COEM_Package_20200401!$C$3:$C$56,Report_For_Each_Project!C170)-SUM(SUMIFS(COEM_Package_20200401!$V$3:$V$56,COEM_Package_20200401!$D$3:$D$56,Table!$D$3,COEM_Package_20200401!$W$3:$W$56,{"Ongoing","N/A",""},COEM_Package_20200401!$C$3:$C$56,Report_For_Each_Project!C170)))</f>
        <v>5.1362500000000004</v>
      </c>
      <c r="I177" s="118">
        <f>IF(E177=0,"N/A",F177/E177)</f>
        <v>1</v>
      </c>
    </row>
    <row r="178" spans="1:9" x14ac:dyDescent="0.25">
      <c r="C178" s="10">
        <v>2</v>
      </c>
      <c r="D178" s="11" t="s">
        <v>2</v>
      </c>
      <c r="E178" s="11">
        <f>SUMIFS(COEM_Package_20200401!$S$3:$S$56,COEM_Package_20200401!$D$3:$D$56,Table!$C$3,COEM_Package_20200401!$C$3:$C$56,Report_For_Each_Project!C170)</f>
        <v>0</v>
      </c>
      <c r="F178" s="11">
        <f>SUMIFS(COEM_Package_20200401!$T$3:$T$56,COEM_Package_20200401!$D$3:$D$56,Table!$C$3,COEM_Package_20200401!$C$3:$C$56,Report_For_Each_Project!C170)-SUM(SUMIFS(COEM_Package_20200401!$T$3:$T$56,COEM_Package_20200401!$D$3:$D$56,Table!$C$3,COEM_Package_20200401!$W$3:$W$56,{"Ongoing","N/A",""},COEM_Package_20200401!$C$3:$C$56,Report_For_Each_Project!C170))</f>
        <v>0</v>
      </c>
      <c r="G178" s="11">
        <f>E178/Table!$C$4</f>
        <v>0</v>
      </c>
      <c r="H178" s="11">
        <f>1/8*(SUMIFS(COEM_Package_20200401!$V$3:$V$56,COEM_Package_20200401!$D$3:$D$56,Table!$C$3,COEM_Package_20200401!$C$3:$C$56,Report_For_Each_Project!C170)-SUM(SUMIFS(COEM_Package_20200401!$V$3:$V$56,COEM_Package_20200401!$D$3:$D$56,Table!$C$3,COEM_Package_20200401!$W$3:$W$56,{"Ongoing","N/A",""},COEM_Package_20200401!$C$3:$C$56,Report_For_Each_Project!C170)))</f>
        <v>0</v>
      </c>
      <c r="I178" s="118" t="str">
        <f>IF(E178=0,"N/A",F178/E178)</f>
        <v>N/A</v>
      </c>
    </row>
    <row r="180" spans="1:9" x14ac:dyDescent="0.25">
      <c r="C180" t="s">
        <v>462</v>
      </c>
    </row>
    <row r="182" spans="1:9" x14ac:dyDescent="0.25">
      <c r="A182">
        <v>16</v>
      </c>
      <c r="B182" s="1" t="s">
        <v>62</v>
      </c>
      <c r="C182" s="1">
        <v>20200331</v>
      </c>
    </row>
    <row r="183" spans="1:9" x14ac:dyDescent="0.25">
      <c r="B183" s="1" t="s">
        <v>452</v>
      </c>
      <c r="C183" s="105">
        <f>SUM(G189:G190)</f>
        <v>8.4022222222222229</v>
      </c>
      <c r="D183" t="s">
        <v>453</v>
      </c>
    </row>
    <row r="184" spans="1:9" x14ac:dyDescent="0.25">
      <c r="B184" s="1" t="s">
        <v>460</v>
      </c>
      <c r="C184" s="9">
        <f>SUM(INT((WEEKDAY(F184-{2,3,4,5,6}) +H184-F184)/7))</f>
        <v>6</v>
      </c>
      <c r="D184" t="s">
        <v>453</v>
      </c>
      <c r="E184" t="s">
        <v>742</v>
      </c>
      <c r="F184" s="8">
        <v>43922</v>
      </c>
      <c r="G184" s="8" t="s">
        <v>743</v>
      </c>
      <c r="H184" s="8">
        <v>43929</v>
      </c>
    </row>
    <row r="185" spans="1:9" x14ac:dyDescent="0.25">
      <c r="B185" s="1" t="s">
        <v>461</v>
      </c>
      <c r="C185" s="9"/>
      <c r="F185" s="8"/>
      <c r="G185" s="8"/>
      <c r="H185" s="8"/>
    </row>
    <row r="186" spans="1:9" x14ac:dyDescent="0.25">
      <c r="B186" s="1" t="s">
        <v>17</v>
      </c>
      <c r="C186" t="str">
        <f>IF(SUM(H189:H190)&gt;SUM(G189:G190),"Delayed",IF(SUM(H189:H190)&lt;SUM(G189:G190),"InAdvanced","Ontime"))</f>
        <v>InAdvanced</v>
      </c>
    </row>
    <row r="188" spans="1:9" ht="30" x14ac:dyDescent="0.25">
      <c r="C188" s="172" t="s">
        <v>25</v>
      </c>
      <c r="D188" s="172" t="s">
        <v>26</v>
      </c>
      <c r="E188" s="13" t="s">
        <v>454</v>
      </c>
      <c r="F188" s="13" t="s">
        <v>455</v>
      </c>
      <c r="G188" s="13" t="s">
        <v>456</v>
      </c>
      <c r="H188" s="13" t="s">
        <v>457</v>
      </c>
      <c r="I188" s="13" t="s">
        <v>29</v>
      </c>
    </row>
    <row r="189" spans="1:9" x14ac:dyDescent="0.25">
      <c r="C189" s="10">
        <v>1</v>
      </c>
      <c r="D189" s="11" t="s">
        <v>3</v>
      </c>
      <c r="E189" s="11">
        <f>SUMIFS(COEM_Package_20200401!$S$3:$S$56,COEM_Package_20200401!$D$3:$D$56,Table!$D$3,COEM_Package_20200401!$C$3:$C$56,Report_For_Each_Project!C182)</f>
        <v>3781</v>
      </c>
      <c r="F189" s="11">
        <f>SUMIFS(COEM_Package_20200401!$T$3:$T$56,COEM_Package_20200401!$D$3:$D$56,Table!$D$3,COEM_Package_20200401!$C$3:$C$56,Report_For_Each_Project!C182)-SUM(SUMIFS(COEM_Package_20200401!$T$3:$T$56,COEM_Package_20200401!$D$3:$D$56,Table!$D$3,COEM_Package_20200401!$W$3:$W$56,{"Ongoing","N/A",""},COEM_Package_20200401!$C$3:$C$56,Report_For_Each_Project!C182))</f>
        <v>3697</v>
      </c>
      <c r="G189" s="11">
        <f>E189/Table!$D$4</f>
        <v>8.4022222222222229</v>
      </c>
      <c r="H189" s="11">
        <f>1/8*(SUMIFS(COEM_Package_20200401!$V$3:$V$56,COEM_Package_20200401!$D$3:$D$56,Table!$D$3,COEM_Package_20200401!$C$3:$C$56,Report_For_Each_Project!C182)-SUM(SUMIFS(COEM_Package_20200401!$V$3:$V$56,COEM_Package_20200401!$D$3:$D$56,Table!$D$3,COEM_Package_20200401!$W$3:$W$56,{"Ongoing","N/A",""},COEM_Package_20200401!$C$3:$C$56,Report_For_Each_Project!C182)))</f>
        <v>5.1475</v>
      </c>
      <c r="I189" s="118">
        <f>IF(E189=0,"N/A",F189/E189)</f>
        <v>0.97778365511769372</v>
      </c>
    </row>
    <row r="190" spans="1:9" x14ac:dyDescent="0.25">
      <c r="C190" s="10">
        <v>2</v>
      </c>
      <c r="D190" s="11" t="s">
        <v>2</v>
      </c>
      <c r="E190" s="11">
        <f>SUMIFS(COEM_Package_20200401!$S$3:$S$56,COEM_Package_20200401!$D$3:$D$56,Table!$C$3,COEM_Package_20200401!$C$3:$C$56,Report_For_Each_Project!C182)</f>
        <v>0</v>
      </c>
      <c r="F190" s="11">
        <f>SUMIFS(COEM_Package_20200401!$T$3:$T$56,COEM_Package_20200401!$D$3:$D$56,Table!$C$3,COEM_Package_20200401!$C$3:$C$56,Report_For_Each_Project!C182)-SUM(SUMIFS(COEM_Package_20200401!$T$3:$T$56,COEM_Package_20200401!$D$3:$D$56,Table!$C$3,COEM_Package_20200401!$W$3:$W$56,{"Ongoing","N/A",""},COEM_Package_20200401!$C$3:$C$56,Report_For_Each_Project!C182))</f>
        <v>0</v>
      </c>
      <c r="G190" s="11">
        <f>E190/Table!$C$4</f>
        <v>0</v>
      </c>
      <c r="H190" s="11">
        <f>1/8*(SUMIFS(COEM_Package_20200401!$V$3:$V$56,COEM_Package_20200401!$D$3:$D$56,Table!$C$3,COEM_Package_20200401!$C$3:$C$56,Report_For_Each_Project!C182)-SUM(SUMIFS(COEM_Package_20200401!$V$3:$V$56,COEM_Package_20200401!$D$3:$D$56,Table!$C$3,COEM_Package_20200401!$W$3:$W$56,{"Ongoing","N/A",""},COEM_Package_20200401!$C$3:$C$56,Report_For_Each_Project!C182)))</f>
        <v>0</v>
      </c>
      <c r="I190" s="118" t="str">
        <f>IF(E190=0,"N/A",F190/E190)</f>
        <v>N/A</v>
      </c>
    </row>
    <row r="192" spans="1:9" x14ac:dyDescent="0.25">
      <c r="C192" t="s">
        <v>462</v>
      </c>
    </row>
    <row r="194" spans="1:9" x14ac:dyDescent="0.25">
      <c r="A194">
        <v>17</v>
      </c>
      <c r="B194" s="1" t="s">
        <v>62</v>
      </c>
      <c r="C194" s="1">
        <v>20200403</v>
      </c>
    </row>
    <row r="195" spans="1:9" x14ac:dyDescent="0.25">
      <c r="B195" s="1" t="s">
        <v>452</v>
      </c>
      <c r="C195" s="105">
        <f>SUM(G201:G202)</f>
        <v>3.4044444444444446</v>
      </c>
      <c r="D195" t="s">
        <v>453</v>
      </c>
    </row>
    <row r="196" spans="1:9" x14ac:dyDescent="0.25">
      <c r="B196" s="1" t="s">
        <v>460</v>
      </c>
      <c r="C196" s="9">
        <f>SUM(INT((WEEKDAY(F196-{2,3,4,5,6}) +H196-F196)/7))</f>
        <v>1</v>
      </c>
      <c r="D196" t="s">
        <v>453</v>
      </c>
      <c r="E196" t="s">
        <v>744</v>
      </c>
      <c r="F196" s="8">
        <v>43924</v>
      </c>
      <c r="G196" s="8" t="s">
        <v>897</v>
      </c>
      <c r="H196" s="8">
        <v>43924</v>
      </c>
    </row>
    <row r="197" spans="1:9" x14ac:dyDescent="0.25">
      <c r="B197" s="1" t="s">
        <v>461</v>
      </c>
      <c r="C197" s="9"/>
      <c r="F197" s="8"/>
      <c r="G197" s="8"/>
      <c r="H197" s="8"/>
    </row>
    <row r="198" spans="1:9" x14ac:dyDescent="0.25">
      <c r="B198" s="1" t="s">
        <v>17</v>
      </c>
      <c r="C198" t="str">
        <f>IF(SUM(H201:H202)&gt;SUM(G201:G202),"Delayed",IF(SUM(H201:H202)&lt;SUM(G201:G202),"InAdvanced","Ontime"))</f>
        <v>InAdvanced</v>
      </c>
    </row>
    <row r="200" spans="1:9" ht="30" x14ac:dyDescent="0.25">
      <c r="C200" s="172" t="s">
        <v>25</v>
      </c>
      <c r="D200" s="172" t="s">
        <v>26</v>
      </c>
      <c r="E200" s="13" t="s">
        <v>454</v>
      </c>
      <c r="F200" s="13" t="s">
        <v>455</v>
      </c>
      <c r="G200" s="13" t="s">
        <v>456</v>
      </c>
      <c r="H200" s="13" t="s">
        <v>457</v>
      </c>
      <c r="I200" s="13" t="s">
        <v>29</v>
      </c>
    </row>
    <row r="201" spans="1:9" x14ac:dyDescent="0.25">
      <c r="C201" s="10">
        <v>1</v>
      </c>
      <c r="D201" s="11" t="s">
        <v>3</v>
      </c>
      <c r="E201" s="11">
        <f>SUMIFS(COEM_Package_20200401!$S$3:$S$56,COEM_Package_20200401!$D$3:$D$56,Table!$D$3,COEM_Package_20200401!$C$3:$C$56,Report_For_Each_Project!C194)</f>
        <v>1532</v>
      </c>
      <c r="F201" s="11">
        <f>SUMIFS(COEM_Package_20200401!$T$3:$T$56,COEM_Package_20200401!$D$3:$D$56,Table!$D$3,COEM_Package_20200401!$C$3:$C$56,Report_For_Each_Project!C194)-SUM(SUMIFS(COEM_Package_20200401!$T$3:$T$56,COEM_Package_20200401!$D$3:$D$56,Table!$D$3,COEM_Package_20200401!$W$3:$W$56,{"Ongoing","N/A",""},COEM_Package_20200401!$C$3:$C$56,Report_For_Each_Project!C194))</f>
        <v>1532</v>
      </c>
      <c r="G201" s="11">
        <f>E201/Table!$D$4</f>
        <v>3.4044444444444446</v>
      </c>
      <c r="H201" s="11">
        <f>1/8*(SUMIFS(COEM_Package_20200401!$V$3:$V$56,COEM_Package_20200401!$D$3:$D$56,Table!$D$3,COEM_Package_20200401!$C$3:$C$56,Report_For_Each_Project!C194)-SUM(SUMIFS(COEM_Package_20200401!$V$3:$V$56,COEM_Package_20200401!$D$3:$D$56,Table!$D$3,COEM_Package_20200401!$W$3:$W$56,{"Ongoing","N/A",""},COEM_Package_20200401!$C$3:$C$56,Report_For_Each_Project!C194)))</f>
        <v>3</v>
      </c>
      <c r="I201" s="118">
        <f>IF(E201=0,"N/A",F201/E201)</f>
        <v>1</v>
      </c>
    </row>
    <row r="202" spans="1:9" x14ac:dyDescent="0.25">
      <c r="C202" s="10">
        <v>2</v>
      </c>
      <c r="D202" s="11" t="s">
        <v>2</v>
      </c>
      <c r="E202" s="11">
        <f>SUMIFS(COEM_Package_20200401!$S$3:$S$56,COEM_Package_20200401!$D$3:$D$56,Table!$C$3,COEM_Package_20200401!$C$3:$C$56,Report_For_Each_Project!C194)</f>
        <v>0</v>
      </c>
      <c r="F202" s="11">
        <f>SUMIFS(COEM_Package_20200401!$T$3:$T$56,COEM_Package_20200401!$D$3:$D$56,Table!$C$3,COEM_Package_20200401!$C$3:$C$56,Report_For_Each_Project!C194)-SUM(SUMIFS(COEM_Package_20200401!$T$3:$T$56,COEM_Package_20200401!$D$3:$D$56,Table!$C$3,COEM_Package_20200401!$W$3:$W$56,{"Ongoing","N/A",""},COEM_Package_20200401!$C$3:$C$56,Report_For_Each_Project!C194))</f>
        <v>0</v>
      </c>
      <c r="G202" s="11">
        <f>E202/Table!$C$4</f>
        <v>0</v>
      </c>
      <c r="H202" s="11">
        <f>1/8*(SUMIFS(COEM_Package_20200401!$V$3:$V$56,COEM_Package_20200401!$D$3:$D$56,Table!$C$3,COEM_Package_20200401!$C$3:$C$56,Report_For_Each_Project!C194)-SUM(SUMIFS(COEM_Package_20200401!$V$3:$V$56,COEM_Package_20200401!$D$3:$D$56,Table!$C$3,COEM_Package_20200401!$W$3:$W$56,{"Ongoing","N/A",""},COEM_Package_20200401!$C$3:$C$56,Report_For_Each_Project!C194)))</f>
        <v>0</v>
      </c>
      <c r="I202" s="118" t="str">
        <f>IF(E202=0,"N/A",F202/E202)</f>
        <v>N/A</v>
      </c>
    </row>
    <row r="204" spans="1:9" x14ac:dyDescent="0.25">
      <c r="C204" t="s">
        <v>898</v>
      </c>
    </row>
  </sheetData>
  <customSheetViews>
    <customSheetView guid="{7E0EA425-A420-4443-B9E0-CDF0AA9E5D09}" topLeftCell="A176">
      <selection activeCell="D210" sqref="D210"/>
      <pageMargins left="0.7" right="0.7" top="0.75" bottom="0.75" header="0.3" footer="0.3"/>
      <pageSetup orientation="portrait" horizontalDpi="300" verticalDpi="0" r:id="rId1"/>
    </customSheetView>
    <customSheetView guid="{250915DF-0B97-45D7-B29D-7EED4C89C1C1}">
      <selection activeCell="C134" sqref="C134"/>
      <pageMargins left="0.7" right="0.7" top="0.75" bottom="0.75" header="0.3" footer="0.3"/>
    </customSheetView>
    <customSheetView guid="{4E06BDBF-2CED-473B-850B-2A6C7311FF41}" topLeftCell="A43">
      <selection activeCell="I23" sqref="I23"/>
      <pageMargins left="0.7" right="0.7" top="0.75" bottom="0.75" header="0.3" footer="0.3"/>
    </customSheetView>
    <customSheetView guid="{72A6EB0A-84D5-4B8A-AC51-54CCD061630B}" topLeftCell="A37">
      <selection activeCell="I23" sqref="I23"/>
      <pageMargins left="0.7" right="0.7" top="0.75" bottom="0.75" header="0.3" footer="0.3"/>
    </customSheetView>
    <customSheetView guid="{D1F7047B-CC2E-48BC-8022-C8013AE2B1E1}">
      <selection activeCell="I23" sqref="I23"/>
      <pageMargins left="0.7" right="0.7" top="0.75" bottom="0.75" header="0.3" footer="0.3"/>
    </customSheetView>
    <customSheetView guid="{60D2C030-4E31-4E07-8E1C-44D2EE84B177}">
      <selection activeCell="I22" sqref="I22"/>
      <pageMargins left="0.7" right="0.7" top="0.75" bottom="0.75" header="0.3" footer="0.3"/>
    </customSheetView>
  </customSheetViews>
  <conditionalFormatting sqref="H9">
    <cfRule type="cellIs" dxfId="111" priority="93" operator="greaterThan">
      <formula>G9</formula>
    </cfRule>
  </conditionalFormatting>
  <conditionalFormatting sqref="H82">
    <cfRule type="cellIs" dxfId="110" priority="57" operator="greaterThan">
      <formula>G82</formula>
    </cfRule>
  </conditionalFormatting>
  <conditionalFormatting sqref="H93">
    <cfRule type="cellIs" dxfId="109" priority="56" operator="greaterThan">
      <formula>G93</formula>
    </cfRule>
  </conditionalFormatting>
  <conditionalFormatting sqref="H10">
    <cfRule type="cellIs" dxfId="108" priority="85" operator="greaterThan">
      <formula>G10</formula>
    </cfRule>
  </conditionalFormatting>
  <conditionalFormatting sqref="H33">
    <cfRule type="cellIs" dxfId="107" priority="66" operator="greaterThan">
      <formula>G33</formula>
    </cfRule>
  </conditionalFormatting>
  <conditionalFormatting sqref="H34">
    <cfRule type="cellIs" dxfId="106" priority="65" operator="greaterThan">
      <formula>G34</formula>
    </cfRule>
  </conditionalFormatting>
  <conditionalFormatting sqref="H21">
    <cfRule type="cellIs" dxfId="105" priority="68" operator="greaterThan">
      <formula>G21</formula>
    </cfRule>
  </conditionalFormatting>
  <conditionalFormatting sqref="H22">
    <cfRule type="cellIs" dxfId="104" priority="67" operator="greaterThan">
      <formula>G22</formula>
    </cfRule>
  </conditionalFormatting>
  <conditionalFormatting sqref="H118">
    <cfRule type="cellIs" dxfId="103" priority="51" operator="greaterThan">
      <formula>G118</formula>
    </cfRule>
  </conditionalFormatting>
  <conditionalFormatting sqref="H45">
    <cfRule type="cellIs" dxfId="102" priority="64" operator="greaterThan">
      <formula>G45</formula>
    </cfRule>
  </conditionalFormatting>
  <conditionalFormatting sqref="H46">
    <cfRule type="cellIs" dxfId="101" priority="63" operator="greaterThan">
      <formula>G46</formula>
    </cfRule>
  </conditionalFormatting>
  <conditionalFormatting sqref="H57">
    <cfRule type="cellIs" dxfId="100" priority="62" operator="greaterThan">
      <formula>G57</formula>
    </cfRule>
  </conditionalFormatting>
  <conditionalFormatting sqref="H58">
    <cfRule type="cellIs" dxfId="99" priority="61" operator="greaterThan">
      <formula>G58</formula>
    </cfRule>
  </conditionalFormatting>
  <conditionalFormatting sqref="H69">
    <cfRule type="cellIs" dxfId="98" priority="60" operator="greaterThan">
      <formula>G69</formula>
    </cfRule>
  </conditionalFormatting>
  <conditionalFormatting sqref="H70">
    <cfRule type="cellIs" dxfId="97" priority="59" operator="greaterThan">
      <formula>G70</formula>
    </cfRule>
  </conditionalFormatting>
  <conditionalFormatting sqref="H81">
    <cfRule type="cellIs" dxfId="96" priority="58" operator="greaterThan">
      <formula>G81</formula>
    </cfRule>
  </conditionalFormatting>
  <conditionalFormatting sqref="H94">
    <cfRule type="cellIs" dxfId="95" priority="55" operator="greaterThan">
      <formula>G94</formula>
    </cfRule>
  </conditionalFormatting>
  <conditionalFormatting sqref="H105">
    <cfRule type="cellIs" dxfId="94" priority="54" operator="greaterThan">
      <formula>G105</formula>
    </cfRule>
  </conditionalFormatting>
  <conditionalFormatting sqref="H106">
    <cfRule type="cellIs" dxfId="93" priority="53" operator="greaterThan">
      <formula>G106</formula>
    </cfRule>
  </conditionalFormatting>
  <conditionalFormatting sqref="H117">
    <cfRule type="cellIs" dxfId="92" priority="52" operator="greaterThan">
      <formula>G117</formula>
    </cfRule>
  </conditionalFormatting>
  <conditionalFormatting sqref="I9">
    <cfRule type="cellIs" dxfId="91" priority="49" operator="equal">
      <formula>1</formula>
    </cfRule>
    <cfRule type="cellIs" dxfId="90" priority="50" operator="lessThan">
      <formula>1</formula>
    </cfRule>
  </conditionalFormatting>
  <conditionalFormatting sqref="I10">
    <cfRule type="cellIs" dxfId="89" priority="47" operator="equal">
      <formula>1</formula>
    </cfRule>
    <cfRule type="cellIs" dxfId="88" priority="48" operator="lessThan">
      <formula>1</formula>
    </cfRule>
  </conditionalFormatting>
  <conditionalFormatting sqref="I21">
    <cfRule type="cellIs" dxfId="87" priority="45" operator="equal">
      <formula>1</formula>
    </cfRule>
    <cfRule type="cellIs" dxfId="86" priority="46" operator="lessThan">
      <formula>1</formula>
    </cfRule>
  </conditionalFormatting>
  <conditionalFormatting sqref="I22">
    <cfRule type="cellIs" dxfId="85" priority="43" operator="equal">
      <formula>1</formula>
    </cfRule>
    <cfRule type="cellIs" dxfId="84" priority="44" operator="lessThan">
      <formula>1</formula>
    </cfRule>
  </conditionalFormatting>
  <conditionalFormatting sqref="I45">
    <cfRule type="cellIs" dxfId="83" priority="41" operator="equal">
      <formula>1</formula>
    </cfRule>
    <cfRule type="cellIs" dxfId="82" priority="42" operator="lessThan">
      <formula>1</formula>
    </cfRule>
  </conditionalFormatting>
  <conditionalFormatting sqref="I46">
    <cfRule type="cellIs" dxfId="81" priority="39" operator="equal">
      <formula>1</formula>
    </cfRule>
    <cfRule type="cellIs" dxfId="80" priority="40" operator="lessThan">
      <formula>1</formula>
    </cfRule>
  </conditionalFormatting>
  <conditionalFormatting sqref="I69">
    <cfRule type="cellIs" dxfId="79" priority="37" operator="equal">
      <formula>1</formula>
    </cfRule>
    <cfRule type="cellIs" dxfId="78" priority="38" operator="lessThan">
      <formula>1</formula>
    </cfRule>
  </conditionalFormatting>
  <conditionalFormatting sqref="I70">
    <cfRule type="cellIs" dxfId="77" priority="35" operator="equal">
      <formula>1</formula>
    </cfRule>
    <cfRule type="cellIs" dxfId="76" priority="36" operator="lessThan">
      <formula>1</formula>
    </cfRule>
  </conditionalFormatting>
  <conditionalFormatting sqref="I81">
    <cfRule type="cellIs" dxfId="75" priority="33" operator="equal">
      <formula>1</formula>
    </cfRule>
    <cfRule type="cellIs" dxfId="74" priority="34" operator="lessThan">
      <formula>1</formula>
    </cfRule>
  </conditionalFormatting>
  <conditionalFormatting sqref="I82">
    <cfRule type="cellIs" dxfId="73" priority="31" operator="equal">
      <formula>1</formula>
    </cfRule>
    <cfRule type="cellIs" dxfId="72" priority="32" operator="lessThan">
      <formula>1</formula>
    </cfRule>
  </conditionalFormatting>
  <conditionalFormatting sqref="I93">
    <cfRule type="cellIs" dxfId="71" priority="29" operator="equal">
      <formula>1</formula>
    </cfRule>
    <cfRule type="cellIs" dxfId="70" priority="30" operator="lessThan">
      <formula>1</formula>
    </cfRule>
  </conditionalFormatting>
  <conditionalFormatting sqref="I94">
    <cfRule type="cellIs" dxfId="69" priority="27" operator="equal">
      <formula>1</formula>
    </cfRule>
    <cfRule type="cellIs" dxfId="68" priority="28" operator="lessThan">
      <formula>1</formula>
    </cfRule>
  </conditionalFormatting>
  <conditionalFormatting sqref="I105">
    <cfRule type="cellIs" dxfId="67" priority="25" operator="equal">
      <formula>1</formula>
    </cfRule>
    <cfRule type="cellIs" dxfId="66" priority="26" operator="lessThan">
      <formula>1</formula>
    </cfRule>
  </conditionalFormatting>
  <conditionalFormatting sqref="I106">
    <cfRule type="cellIs" dxfId="65" priority="23" operator="equal">
      <formula>1</formula>
    </cfRule>
    <cfRule type="cellIs" dxfId="64" priority="24" operator="lessThan">
      <formula>1</formula>
    </cfRule>
  </conditionalFormatting>
  <conditionalFormatting sqref="I117">
    <cfRule type="cellIs" dxfId="63" priority="21" operator="equal">
      <formula>1</formula>
    </cfRule>
    <cfRule type="cellIs" dxfId="62" priority="22" operator="lessThan">
      <formula>1</formula>
    </cfRule>
  </conditionalFormatting>
  <conditionalFormatting sqref="I118">
    <cfRule type="cellIs" dxfId="61" priority="19" operator="equal">
      <formula>1</formula>
    </cfRule>
    <cfRule type="cellIs" dxfId="60" priority="20" operator="lessThan">
      <formula>1</formula>
    </cfRule>
  </conditionalFormatting>
  <conditionalFormatting sqref="I33:I34">
    <cfRule type="cellIs" dxfId="59" priority="17" operator="equal">
      <formula>1</formula>
    </cfRule>
    <cfRule type="cellIs" dxfId="58" priority="18" operator="lessThan">
      <formula>1</formula>
    </cfRule>
  </conditionalFormatting>
  <conditionalFormatting sqref="I57:I58">
    <cfRule type="cellIs" dxfId="57" priority="15" operator="equal">
      <formula>1</formula>
    </cfRule>
    <cfRule type="cellIs" dxfId="56" priority="16" operator="lessThan">
      <formula>1</formula>
    </cfRule>
  </conditionalFormatting>
  <conditionalFormatting sqref="I129">
    <cfRule type="cellIs" dxfId="55" priority="13" operator="equal">
      <formula>1</formula>
    </cfRule>
    <cfRule type="cellIs" dxfId="54" priority="14" operator="lessThan">
      <formula>1</formula>
    </cfRule>
  </conditionalFormatting>
  <conditionalFormatting sqref="I130">
    <cfRule type="cellIs" dxfId="53" priority="11" operator="equal">
      <formula>1</formula>
    </cfRule>
    <cfRule type="cellIs" dxfId="52" priority="12" operator="lessThan">
      <formula>1</formula>
    </cfRule>
  </conditionalFormatting>
  <conditionalFormatting sqref="H130">
    <cfRule type="cellIs" dxfId="51" priority="9" operator="greaterThan">
      <formula>G130</formula>
    </cfRule>
  </conditionalFormatting>
  <conditionalFormatting sqref="H129">
    <cfRule type="cellIs" dxfId="50" priority="10" operator="greaterThan">
      <formula>G129</formula>
    </cfRule>
  </conditionalFormatting>
  <conditionalFormatting sqref="I141">
    <cfRule type="cellIs" dxfId="49" priority="7" operator="equal">
      <formula>1</formula>
    </cfRule>
    <cfRule type="cellIs" dxfId="48" priority="8" operator="lessThan">
      <formula>1</formula>
    </cfRule>
  </conditionalFormatting>
  <conditionalFormatting sqref="I142">
    <cfRule type="cellIs" dxfId="47" priority="5" operator="equal">
      <formula>1</formula>
    </cfRule>
    <cfRule type="cellIs" dxfId="46" priority="6" operator="lessThan">
      <formula>1</formula>
    </cfRule>
  </conditionalFormatting>
  <conditionalFormatting sqref="I153">
    <cfRule type="cellIs" dxfId="45" priority="3" operator="equal">
      <formula>1</formula>
    </cfRule>
    <cfRule type="cellIs" dxfId="44" priority="4" operator="lessThan">
      <formula>1</formula>
    </cfRule>
  </conditionalFormatting>
  <conditionalFormatting sqref="I154">
    <cfRule type="cellIs" dxfId="43" priority="1" operator="equal">
      <formula>1</formula>
    </cfRule>
    <cfRule type="cellIs" dxfId="42" priority="2" operator="lessThan">
      <formula>1</formula>
    </cfRule>
  </conditionalFormatting>
  <pageMargins left="0.7" right="0.7" top="0.75" bottom="0.75" header="0.3" footer="0.3"/>
  <pageSetup orientation="portrait" horizontalDpi="300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E41"/>
  <sheetViews>
    <sheetView workbookViewId="0">
      <selection activeCell="C3" sqref="C3:D4"/>
    </sheetView>
  </sheetViews>
  <sheetFormatPr defaultRowHeight="15" x14ac:dyDescent="0.25"/>
  <cols>
    <col min="2" max="2" width="11.7109375" bestFit="1" customWidth="1"/>
    <col min="3" max="3" width="18.7109375" bestFit="1" customWidth="1"/>
    <col min="4" max="4" width="11.140625" customWidth="1"/>
    <col min="5" max="5" width="33.85546875" customWidth="1"/>
  </cols>
  <sheetData>
    <row r="2" spans="2:5" x14ac:dyDescent="0.25">
      <c r="B2" s="14" t="s">
        <v>10</v>
      </c>
    </row>
    <row r="3" spans="2:5" x14ac:dyDescent="0.25">
      <c r="B3" s="2" t="s">
        <v>4</v>
      </c>
      <c r="C3" s="15" t="s">
        <v>2</v>
      </c>
      <c r="D3" s="15" t="s">
        <v>3</v>
      </c>
    </row>
    <row r="4" spans="2:5" x14ac:dyDescent="0.25">
      <c r="B4" s="15">
        <v>1</v>
      </c>
      <c r="C4" s="16">
        <v>130</v>
      </c>
      <c r="D4" s="16">
        <v>450</v>
      </c>
    </row>
    <row r="6" spans="2:5" x14ac:dyDescent="0.25">
      <c r="B6" s="1" t="s">
        <v>50</v>
      </c>
    </row>
    <row r="7" spans="2:5" x14ac:dyDescent="0.25">
      <c r="B7" s="2" t="s">
        <v>0</v>
      </c>
      <c r="C7" s="2" t="s">
        <v>1</v>
      </c>
      <c r="D7" s="2" t="s">
        <v>55</v>
      </c>
      <c r="E7" s="4" t="s">
        <v>52</v>
      </c>
    </row>
    <row r="8" spans="2:5" ht="60" x14ac:dyDescent="0.25">
      <c r="B8" s="17">
        <v>1</v>
      </c>
      <c r="C8" s="17" t="s">
        <v>2</v>
      </c>
      <c r="D8" s="17" t="s">
        <v>53</v>
      </c>
      <c r="E8" s="18" t="s">
        <v>8</v>
      </c>
    </row>
    <row r="9" spans="2:5" ht="75" x14ac:dyDescent="0.25">
      <c r="B9" s="17">
        <v>2</v>
      </c>
      <c r="C9" s="17" t="s">
        <v>3</v>
      </c>
      <c r="D9" s="17" t="s">
        <v>54</v>
      </c>
      <c r="E9" s="18" t="s">
        <v>9</v>
      </c>
    </row>
    <row r="11" spans="2:5" x14ac:dyDescent="0.25">
      <c r="B11" s="1" t="s">
        <v>51</v>
      </c>
    </row>
    <row r="12" spans="2:5" x14ac:dyDescent="0.25">
      <c r="B12" s="2" t="s">
        <v>0</v>
      </c>
      <c r="C12" s="2" t="s">
        <v>5</v>
      </c>
    </row>
    <row r="13" spans="2:5" x14ac:dyDescent="0.25">
      <c r="B13" s="3">
        <v>1</v>
      </c>
      <c r="C13" s="3" t="s">
        <v>6</v>
      </c>
    </row>
    <row r="14" spans="2:5" x14ac:dyDescent="0.25">
      <c r="B14" s="3">
        <v>2</v>
      </c>
      <c r="C14" s="3" t="s">
        <v>82</v>
      </c>
    </row>
    <row r="15" spans="2:5" x14ac:dyDescent="0.25">
      <c r="B15" s="3">
        <v>3</v>
      </c>
      <c r="C15" s="3" t="s">
        <v>83</v>
      </c>
    </row>
    <row r="16" spans="2:5" x14ac:dyDescent="0.25">
      <c r="B16" s="3">
        <v>4</v>
      </c>
      <c r="C16" s="3" t="s">
        <v>84</v>
      </c>
    </row>
    <row r="17" spans="2:5" x14ac:dyDescent="0.25">
      <c r="B17" s="3">
        <v>5</v>
      </c>
      <c r="C17" s="3" t="s">
        <v>85</v>
      </c>
    </row>
    <row r="18" spans="2:5" x14ac:dyDescent="0.25">
      <c r="B18" s="3">
        <v>6</v>
      </c>
      <c r="C18" s="3" t="s">
        <v>86</v>
      </c>
    </row>
    <row r="19" spans="2:5" x14ac:dyDescent="0.25">
      <c r="B19" s="3">
        <v>7</v>
      </c>
      <c r="C19" s="3" t="s">
        <v>87</v>
      </c>
    </row>
    <row r="20" spans="2:5" x14ac:dyDescent="0.25">
      <c r="B20" s="3">
        <v>8</v>
      </c>
      <c r="C20" s="3" t="s">
        <v>88</v>
      </c>
    </row>
    <row r="22" spans="2:5" x14ac:dyDescent="0.25">
      <c r="B22" s="14" t="s">
        <v>19</v>
      </c>
    </row>
    <row r="23" spans="2:5" x14ac:dyDescent="0.25">
      <c r="B23" s="2" t="s">
        <v>0</v>
      </c>
      <c r="C23" s="2" t="s">
        <v>17</v>
      </c>
    </row>
    <row r="24" spans="2:5" x14ac:dyDescent="0.25">
      <c r="B24" s="2">
        <v>1</v>
      </c>
      <c r="C24" s="3" t="s">
        <v>20</v>
      </c>
      <c r="E24" s="41" t="s">
        <v>192</v>
      </c>
    </row>
    <row r="25" spans="2:5" x14ac:dyDescent="0.25">
      <c r="B25" s="2">
        <v>2</v>
      </c>
      <c r="C25" s="3" t="s">
        <v>23</v>
      </c>
    </row>
    <row r="26" spans="2:5" x14ac:dyDescent="0.25">
      <c r="B26" s="2">
        <v>3</v>
      </c>
      <c r="C26" s="3" t="s">
        <v>18</v>
      </c>
    </row>
    <row r="27" spans="2:5" x14ac:dyDescent="0.25">
      <c r="B27" s="2">
        <v>4</v>
      </c>
      <c r="C27" s="3" t="s">
        <v>107</v>
      </c>
    </row>
    <row r="28" spans="2:5" x14ac:dyDescent="0.25">
      <c r="B28" s="2">
        <v>5</v>
      </c>
      <c r="C28" s="3" t="s">
        <v>21</v>
      </c>
    </row>
    <row r="29" spans="2:5" x14ac:dyDescent="0.25">
      <c r="B29" s="2">
        <v>6</v>
      </c>
      <c r="C29" s="3" t="s">
        <v>193</v>
      </c>
    </row>
    <row r="30" spans="2:5" x14ac:dyDescent="0.25">
      <c r="B30" s="2">
        <v>7</v>
      </c>
      <c r="C30" s="3" t="s">
        <v>108</v>
      </c>
    </row>
    <row r="32" spans="2:5" x14ac:dyDescent="0.25">
      <c r="B32" s="14" t="s">
        <v>195</v>
      </c>
    </row>
    <row r="33" spans="2:3" x14ac:dyDescent="0.25">
      <c r="B33" s="2" t="s">
        <v>0</v>
      </c>
      <c r="C33" s="2" t="s">
        <v>17</v>
      </c>
    </row>
    <row r="34" spans="2:3" x14ac:dyDescent="0.25">
      <c r="B34" s="2">
        <v>1</v>
      </c>
      <c r="C34" s="3" t="s">
        <v>196</v>
      </c>
    </row>
    <row r="35" spans="2:3" x14ac:dyDescent="0.25">
      <c r="B35" s="2">
        <v>2</v>
      </c>
      <c r="C35" s="3" t="s">
        <v>197</v>
      </c>
    </row>
    <row r="37" spans="2:3" x14ac:dyDescent="0.25">
      <c r="B37" s="14" t="s">
        <v>195</v>
      </c>
    </row>
    <row r="38" spans="2:3" x14ac:dyDescent="0.25">
      <c r="B38" s="2" t="s">
        <v>0</v>
      </c>
      <c r="C38" s="2" t="s">
        <v>17</v>
      </c>
    </row>
    <row r="39" spans="2:3" x14ac:dyDescent="0.25">
      <c r="B39" s="2">
        <v>1</v>
      </c>
      <c r="C39" s="3" t="s">
        <v>795</v>
      </c>
    </row>
    <row r="40" spans="2:3" x14ac:dyDescent="0.25">
      <c r="B40" s="2">
        <v>2</v>
      </c>
      <c r="C40" s="3" t="s">
        <v>796</v>
      </c>
    </row>
    <row r="41" spans="2:3" x14ac:dyDescent="0.25">
      <c r="B41" s="2">
        <v>3</v>
      </c>
      <c r="C41" s="3" t="s">
        <v>20</v>
      </c>
    </row>
  </sheetData>
  <customSheetViews>
    <customSheetView guid="{7E0EA425-A420-4443-B9E0-CDF0AA9E5D09}">
      <selection activeCell="C3" sqref="C3:D4"/>
      <pageMargins left="0.7" right="0.7" top="0.75" bottom="0.75" header="0.3" footer="0.3"/>
    </customSheetView>
    <customSheetView guid="{7ECC2B8E-6A82-42F5-8AB0-4A51C54EA5EC}" topLeftCell="A13">
      <selection activeCell="B24" sqref="B24:C29"/>
      <pageMargins left="0.7" right="0.7" top="0.75" bottom="0.75" header="0.3" footer="0.3"/>
    </customSheetView>
    <customSheetView guid="{250915DF-0B97-45D7-B29D-7EED4C89C1C1}">
      <selection activeCell="F9" sqref="F9"/>
      <pageMargins left="0.7" right="0.7" top="0.75" bottom="0.75" header="0.3" footer="0.3"/>
    </customSheetView>
    <customSheetView guid="{4E06BDBF-2CED-473B-850B-2A6C7311FF41}" topLeftCell="A13">
      <selection activeCell="B24" sqref="B24:C29"/>
      <pageMargins left="0.7" right="0.7" top="0.75" bottom="0.75" header="0.3" footer="0.3"/>
    </customSheetView>
    <customSheetView guid="{72A6EB0A-84D5-4B8A-AC51-54CCD061630B}">
      <selection activeCell="D3" sqref="D3"/>
      <pageMargins left="0.7" right="0.7" top="0.75" bottom="0.75" header="0.3" footer="0.3"/>
    </customSheetView>
    <customSheetView guid="{D1F7047B-CC2E-48BC-8022-C8013AE2B1E1}">
      <selection activeCell="D3" sqref="D3"/>
      <pageMargins left="0.7" right="0.7" top="0.75" bottom="0.75" header="0.3" footer="0.3"/>
    </customSheetView>
    <customSheetView guid="{60D2C030-4E31-4E07-8E1C-44D2EE84B177}">
      <selection activeCell="B24" sqref="B24:C2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C8"/>
  <sheetViews>
    <sheetView workbookViewId="0">
      <selection activeCell="B6" sqref="B6:C6"/>
    </sheetView>
  </sheetViews>
  <sheetFormatPr defaultRowHeight="15" x14ac:dyDescent="0.25"/>
  <cols>
    <col min="2" max="2" width="85.7109375" bestFit="1" customWidth="1"/>
  </cols>
  <sheetData>
    <row r="1" spans="1:3" x14ac:dyDescent="0.25">
      <c r="A1" s="1" t="s">
        <v>171</v>
      </c>
    </row>
    <row r="2" spans="1:3" x14ac:dyDescent="0.25">
      <c r="B2" s="39" t="s">
        <v>173</v>
      </c>
      <c r="C2" t="s">
        <v>174</v>
      </c>
    </row>
    <row r="3" spans="1:3" x14ac:dyDescent="0.25">
      <c r="B3" s="39" t="s">
        <v>176</v>
      </c>
      <c r="C3" t="s">
        <v>175</v>
      </c>
    </row>
    <row r="4" spans="1:3" x14ac:dyDescent="0.25">
      <c r="B4" s="39"/>
    </row>
    <row r="5" spans="1:3" x14ac:dyDescent="0.25">
      <c r="B5" s="38" t="s">
        <v>169</v>
      </c>
    </row>
    <row r="6" spans="1:3" x14ac:dyDescent="0.25">
      <c r="B6" s="39" t="s">
        <v>177</v>
      </c>
      <c r="C6" t="s">
        <v>178</v>
      </c>
    </row>
    <row r="7" spans="1:3" x14ac:dyDescent="0.25">
      <c r="B7" s="39"/>
    </row>
    <row r="8" spans="1:3" x14ac:dyDescent="0.25">
      <c r="B8" s="38" t="s">
        <v>170</v>
      </c>
      <c r="C8" t="s">
        <v>172</v>
      </c>
    </row>
  </sheetData>
  <customSheetViews>
    <customSheetView guid="{7E0EA425-A420-4443-B9E0-CDF0AA9E5D09}">
      <selection activeCell="B6" sqref="B6:C6"/>
      <pageMargins left="0.7" right="0.7" top="0.75" bottom="0.75" header="0.3" footer="0.3"/>
    </customSheetView>
    <customSheetView guid="{7ECC2B8E-6A82-42F5-8AB0-4A51C54EA5EC}">
      <selection activeCell="B6" sqref="B6:C6"/>
      <pageMargins left="0.7" right="0.7" top="0.75" bottom="0.75" header="0.3" footer="0.3"/>
    </customSheetView>
    <customSheetView guid="{250915DF-0B97-45D7-B29D-7EED4C89C1C1}">
      <selection activeCell="B37" sqref="B37"/>
      <pageMargins left="0.7" right="0.7" top="0.75" bottom="0.75" header="0.3" footer="0.3"/>
    </customSheetView>
    <customSheetView guid="{4E06BDBF-2CED-473B-850B-2A6C7311FF41}">
      <selection activeCell="B6" sqref="B6:C6"/>
      <pageMargins left="0.7" right="0.7" top="0.75" bottom="0.75" header="0.3" footer="0.3"/>
    </customSheetView>
    <customSheetView guid="{72A6EB0A-84D5-4B8A-AC51-54CCD061630B}">
      <selection activeCell="B6" sqref="B6:C6"/>
      <pageMargins left="0.7" right="0.7" top="0.75" bottom="0.75" header="0.3" footer="0.3"/>
    </customSheetView>
    <customSheetView guid="{D1F7047B-CC2E-48BC-8022-C8013AE2B1E1}">
      <selection activeCell="B6" sqref="B6:C6"/>
      <pageMargins left="0.7" right="0.7" top="0.75" bottom="0.75" header="0.3" footer="0.3"/>
    </customSheetView>
    <customSheetView guid="{60D2C030-4E31-4E07-8E1C-44D2EE84B177}">
      <selection activeCell="B6" sqref="B6:C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J44" sqref="J43:J44"/>
    </sheetView>
  </sheetViews>
  <sheetFormatPr defaultRowHeight="15" x14ac:dyDescent="0.25"/>
  <sheetData/>
  <customSheetViews>
    <customSheetView guid="{7E0EA425-A420-4443-B9E0-CDF0AA9E5D09}">
      <selection activeCell="J44" sqref="J43:J44"/>
      <pageMargins left="0.7" right="0.7" top="0.75" bottom="0.75" header="0.3" footer="0.3"/>
    </customSheetView>
    <customSheetView guid="{250915DF-0B97-45D7-B29D-7EED4C89C1C1}">
      <selection activeCell="J44" sqref="J43:J44"/>
      <pageMargins left="0.7" right="0.7" top="0.75" bottom="0.75" header="0.3" footer="0.3"/>
    </customSheetView>
    <customSheetView guid="{4E06BDBF-2CED-473B-850B-2A6C7311FF41}">
      <selection activeCell="J44" sqref="J43:J44"/>
      <pageMargins left="0.7" right="0.7" top="0.75" bottom="0.75" header="0.3" footer="0.3"/>
    </customSheetView>
    <customSheetView guid="{72A6EB0A-84D5-4B8A-AC51-54CCD061630B}">
      <selection activeCell="J44" sqref="J43:J44"/>
      <pageMargins left="0.7" right="0.7" top="0.75" bottom="0.75" header="0.3" footer="0.3"/>
    </customSheetView>
    <customSheetView guid="{D1F7047B-CC2E-48BC-8022-C8013AE2B1E1}">
      <selection activeCell="J44" sqref="J43:J44"/>
      <pageMargins left="0.7" right="0.7" top="0.75" bottom="0.75" header="0.3" footer="0.3"/>
    </customSheetView>
    <customSheetView guid="{60D2C030-4E31-4E07-8E1C-44D2EE84B177}">
      <selection activeCell="J44" sqref="J43:J4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workbookViewId="0">
      <selection activeCell="H6" sqref="H6"/>
    </sheetView>
  </sheetViews>
  <sheetFormatPr defaultRowHeight="15" x14ac:dyDescent="0.25"/>
  <cols>
    <col min="2" max="2" width="9.140625" customWidth="1"/>
    <col min="7" max="7" width="8.5703125" bestFit="1" customWidth="1"/>
  </cols>
  <sheetData>
    <row r="1" spans="1:7" x14ac:dyDescent="0.25">
      <c r="A1" s="1" t="s">
        <v>42</v>
      </c>
      <c r="B1" s="114">
        <v>43892</v>
      </c>
      <c r="D1" s="114">
        <v>43917</v>
      </c>
    </row>
    <row r="2" spans="1:7" x14ac:dyDescent="0.25">
      <c r="A2" s="1" t="s">
        <v>30</v>
      </c>
      <c r="B2" s="9">
        <v>20</v>
      </c>
    </row>
    <row r="3" spans="1:7" x14ac:dyDescent="0.25">
      <c r="A3" s="1" t="s">
        <v>321</v>
      </c>
      <c r="B3">
        <v>19.25</v>
      </c>
    </row>
    <row r="5" spans="1:7" x14ac:dyDescent="0.25">
      <c r="B5" s="1" t="s">
        <v>34</v>
      </c>
    </row>
    <row r="6" spans="1:7" ht="75" x14ac:dyDescent="0.25">
      <c r="C6" s="149" t="s">
        <v>25</v>
      </c>
      <c r="D6" s="149" t="s">
        <v>26</v>
      </c>
      <c r="E6" s="149" t="s">
        <v>27</v>
      </c>
      <c r="F6" s="149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v>37778</v>
      </c>
      <c r="F7" s="11">
        <v>34256</v>
      </c>
      <c r="G7" s="118">
        <v>0.90677113664037268</v>
      </c>
    </row>
    <row r="8" spans="1:7" x14ac:dyDescent="0.25">
      <c r="C8" s="10">
        <v>2</v>
      </c>
      <c r="D8" s="11" t="s">
        <v>2</v>
      </c>
      <c r="E8" s="11">
        <v>659</v>
      </c>
      <c r="F8" s="11">
        <v>659</v>
      </c>
      <c r="G8" s="118">
        <v>1</v>
      </c>
    </row>
    <row r="10" spans="1:7" x14ac:dyDescent="0.25">
      <c r="B10" s="1" t="s">
        <v>35</v>
      </c>
    </row>
    <row r="11" spans="1:7" ht="30" x14ac:dyDescent="0.25">
      <c r="C11" s="149" t="s">
        <v>25</v>
      </c>
      <c r="D11" s="149" t="s">
        <v>31</v>
      </c>
      <c r="E11" s="13" t="s">
        <v>32</v>
      </c>
      <c r="F11" s="13" t="s">
        <v>33</v>
      </c>
    </row>
    <row r="12" spans="1:7" x14ac:dyDescent="0.25">
      <c r="C12" s="111">
        <v>1</v>
      </c>
      <c r="D12" s="111" t="s">
        <v>467</v>
      </c>
      <c r="E12" s="11">
        <v>6435</v>
      </c>
      <c r="F12" s="11">
        <v>347</v>
      </c>
    </row>
    <row r="13" spans="1:7" x14ac:dyDescent="0.25">
      <c r="C13" s="111">
        <v>2</v>
      </c>
      <c r="D13" s="111" t="s">
        <v>468</v>
      </c>
      <c r="E13" s="11">
        <v>9356</v>
      </c>
      <c r="F13" s="11">
        <v>182</v>
      </c>
    </row>
    <row r="14" spans="1:7" x14ac:dyDescent="0.25">
      <c r="C14" s="111">
        <v>3</v>
      </c>
      <c r="D14" s="111" t="s">
        <v>469</v>
      </c>
      <c r="E14" s="11">
        <v>9292</v>
      </c>
      <c r="F14" s="11">
        <v>87</v>
      </c>
    </row>
    <row r="15" spans="1:7" x14ac:dyDescent="0.25">
      <c r="C15" s="111">
        <v>4</v>
      </c>
      <c r="D15" s="111" t="s">
        <v>470</v>
      </c>
      <c r="E15" s="11">
        <v>9173</v>
      </c>
      <c r="F15" s="11">
        <v>43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x14ac:dyDescent="0.25">
      <c r="C19" s="149" t="s">
        <v>25</v>
      </c>
      <c r="D19" s="146" t="s">
        <v>37</v>
      </c>
      <c r="E19" s="147"/>
      <c r="F19" s="147"/>
      <c r="G19" s="148"/>
    </row>
    <row r="20" spans="2:7" x14ac:dyDescent="0.25">
      <c r="C20" s="111">
        <v>1</v>
      </c>
      <c r="D20" s="115" t="s">
        <v>682</v>
      </c>
      <c r="E20" s="116"/>
      <c r="F20" s="116"/>
      <c r="G20" s="117"/>
    </row>
    <row r="21" spans="2:7" x14ac:dyDescent="0.25">
      <c r="C21" s="111">
        <v>2</v>
      </c>
      <c r="D21" s="115" t="s">
        <v>76</v>
      </c>
      <c r="E21" s="116"/>
      <c r="F21" s="116"/>
      <c r="G21" s="117"/>
    </row>
    <row r="22" spans="2:7" x14ac:dyDescent="0.25">
      <c r="C22" s="111">
        <v>3</v>
      </c>
      <c r="D22" s="115" t="s">
        <v>76</v>
      </c>
      <c r="E22" s="116"/>
      <c r="F22" s="116"/>
      <c r="G22" s="117"/>
    </row>
    <row r="23" spans="2:7" x14ac:dyDescent="0.25">
      <c r="C23" s="111">
        <v>4</v>
      </c>
      <c r="D23" s="115" t="s">
        <v>76</v>
      </c>
      <c r="E23" s="116"/>
      <c r="F23" s="116"/>
      <c r="G23" s="117"/>
    </row>
    <row r="25" spans="2:7" x14ac:dyDescent="0.25">
      <c r="B25" s="1" t="s">
        <v>38</v>
      </c>
    </row>
    <row r="26" spans="2:7" ht="30" x14ac:dyDescent="0.25">
      <c r="C26" s="149" t="s">
        <v>25</v>
      </c>
      <c r="D26" s="149" t="s">
        <v>31</v>
      </c>
      <c r="E26" s="13" t="s">
        <v>458</v>
      </c>
      <c r="F26" s="13" t="s">
        <v>459</v>
      </c>
    </row>
    <row r="27" spans="2:7" x14ac:dyDescent="0.25">
      <c r="C27" s="111">
        <v>1</v>
      </c>
      <c r="D27" s="111" t="s">
        <v>467</v>
      </c>
      <c r="E27" s="68">
        <v>6</v>
      </c>
      <c r="F27" s="11">
        <v>1</v>
      </c>
    </row>
    <row r="28" spans="2:7" x14ac:dyDescent="0.25">
      <c r="C28" s="111">
        <v>2</v>
      </c>
      <c r="D28" s="111" t="s">
        <v>468</v>
      </c>
      <c r="E28" s="68">
        <v>9</v>
      </c>
      <c r="F28" s="11">
        <v>0</v>
      </c>
    </row>
    <row r="29" spans="2:7" x14ac:dyDescent="0.25">
      <c r="C29" s="111">
        <v>3</v>
      </c>
      <c r="D29" s="111" t="s">
        <v>469</v>
      </c>
      <c r="E29" s="11">
        <v>6</v>
      </c>
      <c r="F29" s="68">
        <v>0</v>
      </c>
    </row>
    <row r="30" spans="2:7" x14ac:dyDescent="0.25">
      <c r="C30" s="111">
        <v>4</v>
      </c>
      <c r="D30" s="111" t="s">
        <v>470</v>
      </c>
      <c r="E30" s="11">
        <v>8</v>
      </c>
      <c r="F30" s="11">
        <v>1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680</v>
      </c>
    </row>
    <row r="34" spans="2:6" ht="30" x14ac:dyDescent="0.25">
      <c r="C34" s="149" t="s">
        <v>25</v>
      </c>
      <c r="D34" s="149" t="s">
        <v>31</v>
      </c>
      <c r="E34" s="13" t="s">
        <v>40</v>
      </c>
      <c r="F34" s="13" t="s">
        <v>41</v>
      </c>
    </row>
    <row r="35" spans="2:6" x14ac:dyDescent="0.25">
      <c r="C35" s="111">
        <v>1</v>
      </c>
      <c r="D35" s="111" t="s">
        <v>467</v>
      </c>
      <c r="E35" s="68" t="s">
        <v>76</v>
      </c>
      <c r="F35" s="108" t="s">
        <v>76</v>
      </c>
    </row>
    <row r="36" spans="2:6" x14ac:dyDescent="0.25">
      <c r="C36" s="111">
        <v>2</v>
      </c>
      <c r="D36" s="111" t="s">
        <v>468</v>
      </c>
      <c r="E36" s="68">
        <v>1</v>
      </c>
      <c r="F36" s="108" t="s">
        <v>678</v>
      </c>
    </row>
    <row r="37" spans="2:6" x14ac:dyDescent="0.25">
      <c r="C37" s="111">
        <v>3</v>
      </c>
      <c r="D37" s="111" t="s">
        <v>469</v>
      </c>
      <c r="E37" s="11">
        <v>1</v>
      </c>
      <c r="F37" s="108" t="s">
        <v>464</v>
      </c>
    </row>
    <row r="38" spans="2:6" x14ac:dyDescent="0.25">
      <c r="C38" s="111">
        <v>4</v>
      </c>
      <c r="D38" s="111" t="s">
        <v>470</v>
      </c>
      <c r="E38" s="11" t="s">
        <v>76</v>
      </c>
      <c r="F38" s="111" t="s">
        <v>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</sheetData>
  <customSheetViews>
    <customSheetView guid="{7E0EA425-A420-4443-B9E0-CDF0AA9E5D09}">
      <selection activeCell="H6" sqref="H6"/>
      <pageMargins left="0.7" right="0.7" top="0.75" bottom="0.75" header="0.3" footer="0.3"/>
    </customSheetView>
    <customSheetView guid="{250915DF-0B97-45D7-B29D-7EED4C89C1C1}">
      <selection activeCell="H6" sqref="H6"/>
      <pageMargins left="0.7" right="0.7" top="0.75" bottom="0.75" header="0.3" footer="0.3"/>
    </customSheetView>
    <customSheetView guid="{4E06BDBF-2CED-473B-850B-2A6C7311FF41}">
      <selection activeCell="H6" sqref="H6"/>
      <pageMargins left="0.7" right="0.7" top="0.75" bottom="0.75" header="0.3" footer="0.3"/>
    </customSheetView>
    <customSheetView guid="{72A6EB0A-84D5-4B8A-AC51-54CCD061630B}" topLeftCell="A40">
      <selection activeCell="H6" sqref="H6"/>
      <pageMargins left="0.7" right="0.7" top="0.75" bottom="0.75" header="0.3" footer="0.3"/>
    </customSheetView>
    <customSheetView guid="{D1F7047B-CC2E-48BC-8022-C8013AE2B1E1}" topLeftCell="A40">
      <selection activeCell="H6" sqref="H6"/>
      <pageMargins left="0.7" right="0.7" top="0.75" bottom="0.75" header="0.3" footer="0.3"/>
    </customSheetView>
    <customSheetView guid="{60D2C030-4E31-4E07-8E1C-44D2EE84B177}" topLeftCell="A40">
      <selection activeCell="H6" sqref="H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8"/>
  <sheetViews>
    <sheetView zoomScale="85" zoomScaleNormal="85" workbookViewId="0">
      <selection activeCell="J43" sqref="J43"/>
    </sheetView>
  </sheetViews>
  <sheetFormatPr defaultRowHeight="15" x14ac:dyDescent="0.25"/>
  <cols>
    <col min="2" max="2" width="11.140625" customWidth="1"/>
    <col min="4" max="4" width="12" customWidth="1"/>
    <col min="5" max="5" width="18.42578125" customWidth="1"/>
    <col min="6" max="6" width="21" customWidth="1"/>
    <col min="7" max="7" width="20.42578125" customWidth="1"/>
  </cols>
  <sheetData>
    <row r="1" spans="1:7" x14ac:dyDescent="0.25">
      <c r="A1" s="1" t="s">
        <v>42</v>
      </c>
      <c r="B1" s="114">
        <v>43892</v>
      </c>
      <c r="D1" s="114">
        <v>43910</v>
      </c>
    </row>
    <row r="2" spans="1:7" x14ac:dyDescent="0.25">
      <c r="A2" s="1" t="s">
        <v>30</v>
      </c>
      <c r="B2" s="9">
        <f>SUM(INT((WEEKDAY(B1-{2,3,4,5,6}) +D1-B1)/7))</f>
        <v>15</v>
      </c>
    </row>
    <row r="3" spans="1:7" x14ac:dyDescent="0.25">
      <c r="A3" s="1" t="s">
        <v>321</v>
      </c>
      <c r="B3">
        <f ca="1">IF(TODAY()&lt;D1,SUM(INT((WEEKDAY(B1-{2,3,4,5,6})+TODAY()-B1)/7)),SUM(INT((WEEKDAY(B1-{2,3,4,5,6})+D1-B1)/7)))</f>
        <v>15</v>
      </c>
    </row>
    <row r="5" spans="1:7" x14ac:dyDescent="0.25">
      <c r="B5" s="1" t="s">
        <v>34</v>
      </c>
    </row>
    <row r="6" spans="1:7" ht="45" x14ac:dyDescent="0.25">
      <c r="C6" s="110" t="s">
        <v>25</v>
      </c>
      <c r="D6" s="110" t="s">
        <v>26</v>
      </c>
      <c r="E6" s="110" t="s">
        <v>27</v>
      </c>
      <c r="F6" s="110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f>COEM_Package_20200302!D243</f>
        <v>38531</v>
      </c>
      <c r="F7" s="11">
        <f>COEM_Package_20200302!E243</f>
        <v>37833</v>
      </c>
      <c r="G7" s="118">
        <f>F7/E7</f>
        <v>0.98188471620253825</v>
      </c>
    </row>
    <row r="8" spans="1:7" x14ac:dyDescent="0.25">
      <c r="C8" s="10">
        <v>2</v>
      </c>
      <c r="D8" s="11" t="s">
        <v>2</v>
      </c>
      <c r="E8" s="11">
        <f>COEM_Package_20200302!D234</f>
        <v>659</v>
      </c>
      <c r="F8" s="11">
        <f>COEM_Package_20200302!E234</f>
        <v>659</v>
      </c>
      <c r="G8" s="118">
        <f>F8/E8</f>
        <v>1</v>
      </c>
    </row>
    <row r="10" spans="1:7" x14ac:dyDescent="0.25">
      <c r="B10" s="1" t="s">
        <v>35</v>
      </c>
    </row>
    <row r="11" spans="1:7" ht="30" x14ac:dyDescent="0.25">
      <c r="C11" s="110" t="s">
        <v>25</v>
      </c>
      <c r="D11" s="110" t="s">
        <v>31</v>
      </c>
      <c r="E11" s="13" t="s">
        <v>32</v>
      </c>
      <c r="F11" s="13" t="s">
        <v>33</v>
      </c>
    </row>
    <row r="12" spans="1:7" x14ac:dyDescent="0.25">
      <c r="C12" s="111">
        <v>1</v>
      </c>
      <c r="D12" s="111" t="s">
        <v>467</v>
      </c>
      <c r="E12" s="11">
        <f>COEM_Package_20200302!E239</f>
        <v>8901</v>
      </c>
      <c r="F12" s="11">
        <f>COEM_Package_20200302!E230</f>
        <v>347</v>
      </c>
    </row>
    <row r="13" spans="1:7" x14ac:dyDescent="0.25">
      <c r="C13" s="111">
        <v>2</v>
      </c>
      <c r="D13" s="111" t="s">
        <v>468</v>
      </c>
      <c r="E13" s="11">
        <f>COEM_Package_20200302!E240</f>
        <v>9356</v>
      </c>
      <c r="F13" s="11">
        <f>COEM_Package_20200302!E231</f>
        <v>182</v>
      </c>
    </row>
    <row r="14" spans="1:7" x14ac:dyDescent="0.25">
      <c r="C14" s="111">
        <v>3</v>
      </c>
      <c r="D14" s="111" t="s">
        <v>469</v>
      </c>
      <c r="E14" s="11">
        <f>COEM_Package_20200302!E241</f>
        <v>9248</v>
      </c>
      <c r="F14" s="11">
        <f>COEM_Package_20200302!E232</f>
        <v>87</v>
      </c>
    </row>
    <row r="15" spans="1:7" x14ac:dyDescent="0.25">
      <c r="C15" s="111">
        <v>4</v>
      </c>
      <c r="D15" s="111" t="s">
        <v>470</v>
      </c>
      <c r="E15" s="11">
        <f>COEM_Package_20200302!E242</f>
        <v>10328</v>
      </c>
      <c r="F15" s="11">
        <f>COEM_Package_20200302!D233</f>
        <v>43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x14ac:dyDescent="0.25">
      <c r="C19" s="110" t="s">
        <v>25</v>
      </c>
      <c r="D19" s="201" t="s">
        <v>37</v>
      </c>
      <c r="E19" s="201"/>
      <c r="F19" s="201"/>
      <c r="G19" s="201"/>
    </row>
    <row r="20" spans="2:7" x14ac:dyDescent="0.25">
      <c r="C20" s="111">
        <v>1</v>
      </c>
      <c r="D20" s="115" t="s">
        <v>76</v>
      </c>
      <c r="E20" s="116"/>
      <c r="F20" s="116"/>
      <c r="G20" s="117"/>
    </row>
    <row r="21" spans="2:7" x14ac:dyDescent="0.25">
      <c r="C21" s="111">
        <v>2</v>
      </c>
      <c r="D21" s="115" t="s">
        <v>76</v>
      </c>
      <c r="E21" s="116"/>
      <c r="F21" s="116"/>
      <c r="G21" s="117"/>
    </row>
    <row r="22" spans="2:7" x14ac:dyDescent="0.25">
      <c r="C22" s="111">
        <v>3</v>
      </c>
      <c r="D22" s="115" t="s">
        <v>76</v>
      </c>
      <c r="E22" s="116"/>
      <c r="F22" s="116"/>
      <c r="G22" s="117"/>
    </row>
    <row r="23" spans="2:7" x14ac:dyDescent="0.25">
      <c r="C23" s="111">
        <v>4</v>
      </c>
      <c r="D23" s="115" t="s">
        <v>76</v>
      </c>
      <c r="E23" s="116"/>
      <c r="F23" s="116"/>
      <c r="G23" s="117"/>
    </row>
    <row r="25" spans="2:7" x14ac:dyDescent="0.25">
      <c r="B25" s="1" t="s">
        <v>38</v>
      </c>
    </row>
    <row r="26" spans="2:7" x14ac:dyDescent="0.25">
      <c r="C26" s="110" t="s">
        <v>25</v>
      </c>
      <c r="D26" s="110" t="s">
        <v>31</v>
      </c>
      <c r="E26" s="13" t="s">
        <v>458</v>
      </c>
      <c r="F26" s="13" t="s">
        <v>459</v>
      </c>
    </row>
    <row r="27" spans="2:7" x14ac:dyDescent="0.25">
      <c r="C27" s="111">
        <v>1</v>
      </c>
      <c r="D27" s="111" t="s">
        <v>467</v>
      </c>
      <c r="E27" s="68">
        <v>6</v>
      </c>
      <c r="F27" s="11">
        <v>0</v>
      </c>
    </row>
    <row r="28" spans="2:7" x14ac:dyDescent="0.25">
      <c r="C28" s="111">
        <v>2</v>
      </c>
      <c r="D28" s="111" t="s">
        <v>468</v>
      </c>
      <c r="E28" s="68">
        <v>9</v>
      </c>
      <c r="F28" s="11">
        <v>0</v>
      </c>
    </row>
    <row r="29" spans="2:7" x14ac:dyDescent="0.25">
      <c r="C29" s="111">
        <v>3</v>
      </c>
      <c r="D29" s="111" t="s">
        <v>469</v>
      </c>
      <c r="E29" s="11">
        <v>5</v>
      </c>
      <c r="F29" s="68">
        <v>0</v>
      </c>
    </row>
    <row r="30" spans="2:7" x14ac:dyDescent="0.25">
      <c r="C30" s="111">
        <v>4</v>
      </c>
      <c r="D30" s="111" t="s">
        <v>470</v>
      </c>
      <c r="E30" s="11">
        <v>7</v>
      </c>
      <c r="F30" s="11">
        <v>0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39</v>
      </c>
    </row>
    <row r="34" spans="2:6" x14ac:dyDescent="0.25">
      <c r="C34" s="110" t="s">
        <v>25</v>
      </c>
      <c r="D34" s="110" t="s">
        <v>31</v>
      </c>
      <c r="E34" s="13" t="s">
        <v>40</v>
      </c>
      <c r="F34" s="13" t="s">
        <v>41</v>
      </c>
    </row>
    <row r="35" spans="2:6" x14ac:dyDescent="0.25">
      <c r="C35" s="111">
        <v>1</v>
      </c>
      <c r="D35" s="111" t="str">
        <f>COEM_Package_20200302!C248</f>
        <v>duong.nguyen</v>
      </c>
      <c r="E35" s="68" t="s">
        <v>76</v>
      </c>
      <c r="F35" s="111" t="s">
        <v>76</v>
      </c>
    </row>
    <row r="36" spans="2:6" x14ac:dyDescent="0.25">
      <c r="C36" s="111">
        <v>2</v>
      </c>
      <c r="D36" s="111" t="str">
        <f>COEM_Package_20200302!C249</f>
        <v>loc.do-phu</v>
      </c>
      <c r="E36" s="68">
        <v>1</v>
      </c>
      <c r="F36" s="111" t="s">
        <v>76</v>
      </c>
    </row>
    <row r="37" spans="2:6" x14ac:dyDescent="0.25">
      <c r="C37" s="111">
        <v>3</v>
      </c>
      <c r="D37" s="111" t="str">
        <f>COEM_Package_20200302!C250</f>
        <v>thanh.nguyen-kim</v>
      </c>
      <c r="E37" s="11">
        <v>1</v>
      </c>
      <c r="F37" s="108" t="s">
        <v>464</v>
      </c>
    </row>
    <row r="38" spans="2:6" x14ac:dyDescent="0.25">
      <c r="C38" s="111">
        <v>4</v>
      </c>
      <c r="D38" s="111" t="str">
        <f>COEM_Package_20200302!C251</f>
        <v>chung.ly</v>
      </c>
      <c r="E38" s="11" t="s">
        <v>76</v>
      </c>
      <c r="F38" s="111" t="s">
        <v>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  <row r="49" spans="1:9" x14ac:dyDescent="0.25">
      <c r="B49" s="1" t="s">
        <v>41</v>
      </c>
    </row>
    <row r="50" spans="1:9" x14ac:dyDescent="0.25">
      <c r="A50" s="1">
        <v>1</v>
      </c>
      <c r="B50" s="1" t="s">
        <v>62</v>
      </c>
      <c r="C50" s="1">
        <v>20200302</v>
      </c>
    </row>
    <row r="51" spans="1:9" x14ac:dyDescent="0.25">
      <c r="B51" s="1" t="s">
        <v>452</v>
      </c>
      <c r="C51" s="105">
        <v>5.8283760683760688</v>
      </c>
      <c r="D51" t="s">
        <v>453</v>
      </c>
    </row>
    <row r="52" spans="1:9" x14ac:dyDescent="0.25">
      <c r="B52" s="1" t="s">
        <v>460</v>
      </c>
      <c r="C52" s="9"/>
      <c r="F52" s="8"/>
      <c r="G52" s="8"/>
      <c r="H52" s="8"/>
    </row>
    <row r="53" spans="1:9" x14ac:dyDescent="0.25">
      <c r="B53" s="1" t="s">
        <v>461</v>
      </c>
      <c r="C53" s="9"/>
      <c r="F53" s="8"/>
      <c r="G53" s="8"/>
      <c r="H53" s="8"/>
    </row>
    <row r="54" spans="1:9" x14ac:dyDescent="0.25">
      <c r="B54" s="1" t="s">
        <v>17</v>
      </c>
      <c r="C54" t="s">
        <v>471</v>
      </c>
    </row>
    <row r="56" spans="1:9" ht="75" x14ac:dyDescent="0.25">
      <c r="C56" s="110" t="s">
        <v>25</v>
      </c>
      <c r="D56" s="110" t="s">
        <v>26</v>
      </c>
      <c r="E56" s="13" t="s">
        <v>454</v>
      </c>
      <c r="F56" s="13" t="s">
        <v>455</v>
      </c>
      <c r="G56" s="13" t="s">
        <v>456</v>
      </c>
      <c r="H56" s="13" t="s">
        <v>457</v>
      </c>
      <c r="I56" s="13" t="s">
        <v>29</v>
      </c>
    </row>
    <row r="57" spans="1:9" x14ac:dyDescent="0.25">
      <c r="C57" s="10">
        <v>1</v>
      </c>
      <c r="D57" s="11" t="s">
        <v>3</v>
      </c>
      <c r="E57" s="11">
        <v>2557</v>
      </c>
      <c r="F57" s="11">
        <v>2557</v>
      </c>
      <c r="G57" s="11">
        <v>5.6822222222222223</v>
      </c>
      <c r="H57" s="11">
        <v>7.75</v>
      </c>
      <c r="I57" s="118">
        <v>1</v>
      </c>
    </row>
    <row r="58" spans="1:9" x14ac:dyDescent="0.25">
      <c r="C58" s="10">
        <v>2</v>
      </c>
      <c r="D58" s="11" t="s">
        <v>2</v>
      </c>
      <c r="E58" s="11">
        <v>19</v>
      </c>
      <c r="F58" s="11">
        <v>19</v>
      </c>
      <c r="G58" s="11">
        <v>0.14615384615384616</v>
      </c>
      <c r="H58" s="11">
        <v>0.5</v>
      </c>
      <c r="I58" s="118">
        <v>1</v>
      </c>
    </row>
    <row r="60" spans="1:9" x14ac:dyDescent="0.25">
      <c r="C60" t="s">
        <v>462</v>
      </c>
    </row>
    <row r="61" spans="1:9" x14ac:dyDescent="0.25">
      <c r="D61" s="113"/>
    </row>
    <row r="62" spans="1:9" x14ac:dyDescent="0.25">
      <c r="A62" s="1">
        <v>2</v>
      </c>
      <c r="B62" s="1" t="s">
        <v>62</v>
      </c>
      <c r="C62" s="1">
        <v>20200303</v>
      </c>
    </row>
    <row r="63" spans="1:9" x14ac:dyDescent="0.25">
      <c r="B63" s="1" t="s">
        <v>452</v>
      </c>
      <c r="C63" s="105">
        <v>17.829059829059826</v>
      </c>
      <c r="D63" t="s">
        <v>453</v>
      </c>
    </row>
    <row r="64" spans="1:9" x14ac:dyDescent="0.25">
      <c r="B64" s="1" t="s">
        <v>460</v>
      </c>
      <c r="C64" s="9"/>
      <c r="F64" s="8"/>
      <c r="G64" s="8"/>
      <c r="H64" s="8"/>
    </row>
    <row r="65" spans="1:9" x14ac:dyDescent="0.25">
      <c r="B65" s="1" t="s">
        <v>461</v>
      </c>
      <c r="C65" s="9"/>
      <c r="F65" s="8"/>
      <c r="G65" s="8"/>
      <c r="H65" s="8"/>
    </row>
    <row r="66" spans="1:9" x14ac:dyDescent="0.25">
      <c r="B66" s="1" t="s">
        <v>17</v>
      </c>
      <c r="C66" t="s">
        <v>472</v>
      </c>
    </row>
    <row r="68" spans="1:9" ht="75" x14ac:dyDescent="0.25">
      <c r="C68" s="110" t="s">
        <v>25</v>
      </c>
      <c r="D68" s="110" t="s">
        <v>26</v>
      </c>
      <c r="E68" s="13" t="s">
        <v>454</v>
      </c>
      <c r="F68" s="13" t="s">
        <v>455</v>
      </c>
      <c r="G68" s="13" t="s">
        <v>456</v>
      </c>
      <c r="H68" s="13" t="s">
        <v>457</v>
      </c>
      <c r="I68" s="13" t="s">
        <v>29</v>
      </c>
    </row>
    <row r="69" spans="1:9" x14ac:dyDescent="0.25">
      <c r="C69" s="10">
        <v>1</v>
      </c>
      <c r="D69" s="11" t="s">
        <v>3</v>
      </c>
      <c r="E69" s="11">
        <v>7850</v>
      </c>
      <c r="F69" s="11">
        <v>7806</v>
      </c>
      <c r="G69" s="11">
        <v>17.444444444444443</v>
      </c>
      <c r="H69" s="11">
        <v>13.743750000000002</v>
      </c>
      <c r="I69" s="118">
        <v>0.99439490445859868</v>
      </c>
    </row>
    <row r="70" spans="1:9" x14ac:dyDescent="0.25">
      <c r="C70" s="10">
        <v>2</v>
      </c>
      <c r="D70" s="11" t="s">
        <v>2</v>
      </c>
      <c r="E70" s="11">
        <v>50</v>
      </c>
      <c r="F70" s="11">
        <v>50</v>
      </c>
      <c r="G70" s="11">
        <v>0.38461538461538464</v>
      </c>
      <c r="H70" s="11">
        <v>0.75</v>
      </c>
      <c r="I70" s="118">
        <v>1</v>
      </c>
    </row>
    <row r="72" spans="1:9" x14ac:dyDescent="0.25">
      <c r="C72" t="s">
        <v>462</v>
      </c>
    </row>
    <row r="73" spans="1:9" x14ac:dyDescent="0.25">
      <c r="D73" s="113"/>
    </row>
    <row r="74" spans="1:9" x14ac:dyDescent="0.25">
      <c r="A74" s="1">
        <v>3</v>
      </c>
      <c r="B74" s="1" t="s">
        <v>62</v>
      </c>
      <c r="C74" s="1">
        <v>20200304</v>
      </c>
    </row>
    <row r="75" spans="1:9" x14ac:dyDescent="0.25">
      <c r="B75" s="1" t="s">
        <v>452</v>
      </c>
      <c r="C75" s="105">
        <v>8.4044444444444437</v>
      </c>
      <c r="D75" t="s">
        <v>453</v>
      </c>
    </row>
    <row r="76" spans="1:9" x14ac:dyDescent="0.25">
      <c r="B76" s="1" t="s">
        <v>460</v>
      </c>
      <c r="C76" s="9"/>
      <c r="F76" s="8"/>
      <c r="G76" s="8"/>
      <c r="H76" s="8"/>
    </row>
    <row r="77" spans="1:9" x14ac:dyDescent="0.25">
      <c r="B77" s="1" t="s">
        <v>461</v>
      </c>
      <c r="C77" s="9"/>
      <c r="F77" s="8"/>
      <c r="G77" s="8"/>
      <c r="H77" s="8"/>
    </row>
    <row r="78" spans="1:9" x14ac:dyDescent="0.25">
      <c r="B78" s="1" t="s">
        <v>17</v>
      </c>
      <c r="C78" t="s">
        <v>472</v>
      </c>
    </row>
    <row r="80" spans="1:9" ht="75" x14ac:dyDescent="0.25">
      <c r="C80" s="110" t="s">
        <v>25</v>
      </c>
      <c r="D80" s="110" t="s">
        <v>26</v>
      </c>
      <c r="E80" s="13" t="s">
        <v>454</v>
      </c>
      <c r="F80" s="13" t="s">
        <v>455</v>
      </c>
      <c r="G80" s="13" t="s">
        <v>456</v>
      </c>
      <c r="H80" s="13" t="s">
        <v>457</v>
      </c>
      <c r="I80" s="13" t="s">
        <v>29</v>
      </c>
    </row>
    <row r="81" spans="1:9" x14ac:dyDescent="0.25">
      <c r="C81" s="10">
        <v>1</v>
      </c>
      <c r="D81" s="11" t="s">
        <v>3</v>
      </c>
      <c r="E81" s="11">
        <v>3782</v>
      </c>
      <c r="F81" s="11">
        <v>3782</v>
      </c>
      <c r="G81" s="11">
        <v>8.4044444444444437</v>
      </c>
      <c r="H81" s="11">
        <v>4.1500000000000004</v>
      </c>
      <c r="I81" s="118">
        <v>1</v>
      </c>
    </row>
    <row r="82" spans="1:9" x14ac:dyDescent="0.25">
      <c r="C82" s="10">
        <v>2</v>
      </c>
      <c r="D82" s="11" t="s">
        <v>2</v>
      </c>
      <c r="E82" s="11">
        <v>0</v>
      </c>
      <c r="F82" s="11">
        <v>0</v>
      </c>
      <c r="G82" s="11">
        <v>0</v>
      </c>
      <c r="H82" s="11">
        <v>0</v>
      </c>
      <c r="I82" s="118" t="s">
        <v>20</v>
      </c>
    </row>
    <row r="84" spans="1:9" x14ac:dyDescent="0.25">
      <c r="C84" t="s">
        <v>462</v>
      </c>
    </row>
    <row r="86" spans="1:9" x14ac:dyDescent="0.25">
      <c r="A86" s="1">
        <v>4</v>
      </c>
      <c r="B86" s="1" t="s">
        <v>62</v>
      </c>
      <c r="C86" s="1">
        <v>20200305</v>
      </c>
    </row>
    <row r="87" spans="1:9" x14ac:dyDescent="0.25">
      <c r="B87" s="1" t="s">
        <v>452</v>
      </c>
      <c r="C87" s="105">
        <v>2.5577777777777779</v>
      </c>
      <c r="D87" t="s">
        <v>453</v>
      </c>
    </row>
    <row r="88" spans="1:9" x14ac:dyDescent="0.25">
      <c r="B88" s="1" t="s">
        <v>460</v>
      </c>
      <c r="C88" s="9"/>
      <c r="F88" s="8"/>
      <c r="G88" s="8"/>
      <c r="H88" s="8"/>
    </row>
    <row r="89" spans="1:9" x14ac:dyDescent="0.25">
      <c r="B89" s="1" t="s">
        <v>461</v>
      </c>
      <c r="C89" s="9"/>
      <c r="F89" s="8"/>
      <c r="G89" s="8"/>
      <c r="H89" s="8"/>
    </row>
    <row r="90" spans="1:9" x14ac:dyDescent="0.25">
      <c r="B90" s="1" t="s">
        <v>17</v>
      </c>
      <c r="C90" t="s">
        <v>472</v>
      </c>
    </row>
    <row r="92" spans="1:9" ht="75" x14ac:dyDescent="0.25">
      <c r="C92" s="110" t="s">
        <v>25</v>
      </c>
      <c r="D92" s="110" t="s">
        <v>26</v>
      </c>
      <c r="E92" s="13" t="s">
        <v>454</v>
      </c>
      <c r="F92" s="13" t="s">
        <v>455</v>
      </c>
      <c r="G92" s="13" t="s">
        <v>456</v>
      </c>
      <c r="H92" s="13" t="s">
        <v>457</v>
      </c>
      <c r="I92" s="13" t="s">
        <v>29</v>
      </c>
    </row>
    <row r="93" spans="1:9" x14ac:dyDescent="0.25">
      <c r="C93" s="10">
        <v>1</v>
      </c>
      <c r="D93" s="11" t="s">
        <v>3</v>
      </c>
      <c r="E93" s="11">
        <v>1151</v>
      </c>
      <c r="F93" s="11">
        <v>1151</v>
      </c>
      <c r="G93" s="11">
        <v>2.5577777777777779</v>
      </c>
      <c r="H93" s="11">
        <v>2.4375</v>
      </c>
      <c r="I93" s="118">
        <v>1</v>
      </c>
    </row>
    <row r="94" spans="1:9" x14ac:dyDescent="0.25">
      <c r="C94" s="10">
        <v>2</v>
      </c>
      <c r="D94" s="11" t="s">
        <v>2</v>
      </c>
      <c r="E94" s="11">
        <v>0</v>
      </c>
      <c r="F94" s="11">
        <v>0</v>
      </c>
      <c r="G94" s="11">
        <v>0</v>
      </c>
      <c r="H94" s="11">
        <v>0</v>
      </c>
      <c r="I94" s="118" t="s">
        <v>20</v>
      </c>
    </row>
    <row r="96" spans="1:9" x14ac:dyDescent="0.25">
      <c r="C96" t="s">
        <v>462</v>
      </c>
    </row>
    <row r="98" spans="1:9" x14ac:dyDescent="0.25">
      <c r="A98" s="1">
        <v>5</v>
      </c>
      <c r="B98" s="1" t="s">
        <v>62</v>
      </c>
      <c r="C98" s="1">
        <v>20200306</v>
      </c>
    </row>
    <row r="99" spans="1:9" x14ac:dyDescent="0.25">
      <c r="B99" s="1" t="s">
        <v>452</v>
      </c>
      <c r="C99" s="105">
        <v>1.0777777777777777</v>
      </c>
      <c r="D99" t="s">
        <v>453</v>
      </c>
    </row>
    <row r="100" spans="1:9" x14ac:dyDescent="0.25">
      <c r="B100" s="1" t="s">
        <v>460</v>
      </c>
      <c r="C100" s="9"/>
      <c r="F100" s="8"/>
      <c r="G100" s="8"/>
      <c r="H100" s="8"/>
    </row>
    <row r="101" spans="1:9" x14ac:dyDescent="0.25">
      <c r="B101" s="1" t="s">
        <v>461</v>
      </c>
      <c r="C101" s="9"/>
      <c r="F101" s="8"/>
      <c r="G101" s="8"/>
      <c r="H101" s="8"/>
    </row>
    <row r="102" spans="1:9" x14ac:dyDescent="0.25">
      <c r="B102" s="1" t="s">
        <v>17</v>
      </c>
      <c r="C102" t="s">
        <v>471</v>
      </c>
    </row>
    <row r="104" spans="1:9" ht="75" x14ac:dyDescent="0.25">
      <c r="C104" s="110" t="s">
        <v>25</v>
      </c>
      <c r="D104" s="110" t="s">
        <v>26</v>
      </c>
      <c r="E104" s="13" t="s">
        <v>454</v>
      </c>
      <c r="F104" s="13" t="s">
        <v>455</v>
      </c>
      <c r="G104" s="13" t="s">
        <v>456</v>
      </c>
      <c r="H104" s="13" t="s">
        <v>457</v>
      </c>
      <c r="I104" s="13" t="s">
        <v>29</v>
      </c>
    </row>
    <row r="105" spans="1:9" x14ac:dyDescent="0.25">
      <c r="C105" s="10">
        <v>1</v>
      </c>
      <c r="D105" s="11" t="s">
        <v>3</v>
      </c>
      <c r="E105" s="11">
        <v>485</v>
      </c>
      <c r="F105" s="11">
        <v>485</v>
      </c>
      <c r="G105" s="11">
        <v>1.0777777777777777</v>
      </c>
      <c r="H105" s="11">
        <v>1.25</v>
      </c>
      <c r="I105" s="118">
        <v>1</v>
      </c>
    </row>
    <row r="106" spans="1:9" x14ac:dyDescent="0.25">
      <c r="C106" s="10">
        <v>2</v>
      </c>
      <c r="D106" s="11" t="s">
        <v>2</v>
      </c>
      <c r="E106" s="11">
        <v>0</v>
      </c>
      <c r="F106" s="11">
        <v>0</v>
      </c>
      <c r="G106" s="11">
        <v>0</v>
      </c>
      <c r="H106" s="11">
        <v>0</v>
      </c>
      <c r="I106" s="118" t="s">
        <v>20</v>
      </c>
    </row>
    <row r="108" spans="1:9" x14ac:dyDescent="0.25">
      <c r="C108" t="s">
        <v>462</v>
      </c>
    </row>
    <row r="110" spans="1:9" x14ac:dyDescent="0.25">
      <c r="A110" s="1">
        <v>6</v>
      </c>
      <c r="B110" s="1" t="s">
        <v>62</v>
      </c>
      <c r="C110" s="1">
        <v>20200309</v>
      </c>
    </row>
    <row r="111" spans="1:9" x14ac:dyDescent="0.25">
      <c r="B111" s="1" t="s">
        <v>452</v>
      </c>
      <c r="C111" s="105">
        <v>7.9844444444444447</v>
      </c>
      <c r="D111" t="s">
        <v>453</v>
      </c>
    </row>
    <row r="112" spans="1:9" x14ac:dyDescent="0.25">
      <c r="B112" s="1" t="s">
        <v>460</v>
      </c>
      <c r="C112" s="9"/>
      <c r="F112" s="8"/>
      <c r="G112" s="8"/>
      <c r="H112" s="8"/>
    </row>
    <row r="113" spans="1:9" x14ac:dyDescent="0.25">
      <c r="B113" s="1" t="s">
        <v>461</v>
      </c>
      <c r="C113" s="9"/>
      <c r="F113" s="8"/>
      <c r="G113" s="8"/>
      <c r="H113" s="8"/>
    </row>
    <row r="114" spans="1:9" x14ac:dyDescent="0.25">
      <c r="B114" s="1" t="s">
        <v>17</v>
      </c>
      <c r="C114" t="s">
        <v>472</v>
      </c>
    </row>
    <row r="116" spans="1:9" ht="75" x14ac:dyDescent="0.25">
      <c r="C116" s="110" t="s">
        <v>25</v>
      </c>
      <c r="D116" s="110" t="s">
        <v>26</v>
      </c>
      <c r="E116" s="13" t="s">
        <v>454</v>
      </c>
      <c r="F116" s="13" t="s">
        <v>455</v>
      </c>
      <c r="G116" s="13" t="s">
        <v>456</v>
      </c>
      <c r="H116" s="13" t="s">
        <v>457</v>
      </c>
      <c r="I116" s="13" t="s">
        <v>29</v>
      </c>
    </row>
    <row r="117" spans="1:9" x14ac:dyDescent="0.25">
      <c r="C117" s="10">
        <v>1</v>
      </c>
      <c r="D117" s="11" t="s">
        <v>3</v>
      </c>
      <c r="E117" s="11">
        <v>3593</v>
      </c>
      <c r="F117" s="11">
        <v>3305</v>
      </c>
      <c r="G117" s="11">
        <v>7.9844444444444447</v>
      </c>
      <c r="H117" s="11">
        <v>4.7312499999999993</v>
      </c>
      <c r="I117" s="118">
        <v>0.91984414138602844</v>
      </c>
    </row>
    <row r="118" spans="1:9" x14ac:dyDescent="0.25">
      <c r="C118" s="10">
        <v>2</v>
      </c>
      <c r="D118" s="11" t="s">
        <v>2</v>
      </c>
      <c r="E118" s="11">
        <v>0</v>
      </c>
      <c r="F118" s="11">
        <v>0</v>
      </c>
      <c r="G118" s="11">
        <v>0</v>
      </c>
      <c r="H118" s="11">
        <v>0</v>
      </c>
      <c r="I118" s="118" t="s">
        <v>20</v>
      </c>
    </row>
    <row r="120" spans="1:9" x14ac:dyDescent="0.25">
      <c r="C120" t="s">
        <v>462</v>
      </c>
    </row>
    <row r="122" spans="1:9" x14ac:dyDescent="0.25">
      <c r="A122" s="1">
        <v>7</v>
      </c>
      <c r="B122" s="1" t="s">
        <v>62</v>
      </c>
      <c r="C122" s="1">
        <v>20200313</v>
      </c>
    </row>
    <row r="123" spans="1:9" x14ac:dyDescent="0.25">
      <c r="B123" s="1" t="s">
        <v>452</v>
      </c>
      <c r="C123" s="105">
        <v>1.9711111111111113</v>
      </c>
      <c r="D123" t="s">
        <v>453</v>
      </c>
    </row>
    <row r="124" spans="1:9" x14ac:dyDescent="0.25">
      <c r="B124" s="1" t="s">
        <v>460</v>
      </c>
      <c r="C124" s="9"/>
      <c r="F124" s="8"/>
      <c r="G124" s="8"/>
      <c r="H124" s="8"/>
    </row>
    <row r="125" spans="1:9" x14ac:dyDescent="0.25">
      <c r="B125" s="1" t="s">
        <v>461</v>
      </c>
      <c r="C125" s="9"/>
      <c r="F125" s="8"/>
      <c r="G125" s="8"/>
      <c r="H125" s="8"/>
    </row>
    <row r="126" spans="1:9" x14ac:dyDescent="0.25">
      <c r="B126" s="1" t="s">
        <v>17</v>
      </c>
      <c r="C126" t="s">
        <v>472</v>
      </c>
    </row>
    <row r="128" spans="1:9" ht="75" x14ac:dyDescent="0.25">
      <c r="C128" s="110" t="s">
        <v>25</v>
      </c>
      <c r="D128" s="110" t="s">
        <v>26</v>
      </c>
      <c r="E128" s="13" t="s">
        <v>454</v>
      </c>
      <c r="F128" s="13" t="s">
        <v>455</v>
      </c>
      <c r="G128" s="13" t="s">
        <v>456</v>
      </c>
      <c r="H128" s="13" t="s">
        <v>457</v>
      </c>
      <c r="I128" s="13" t="s">
        <v>29</v>
      </c>
    </row>
    <row r="129" spans="1:9" x14ac:dyDescent="0.25">
      <c r="C129" s="10">
        <v>1</v>
      </c>
      <c r="D129" s="11" t="s">
        <v>3</v>
      </c>
      <c r="E129" s="11">
        <v>527</v>
      </c>
      <c r="F129" s="11">
        <v>527</v>
      </c>
      <c r="G129" s="11">
        <v>1.1711111111111112</v>
      </c>
      <c r="H129" s="11">
        <v>0.87874999999999992</v>
      </c>
      <c r="I129" s="118">
        <v>1</v>
      </c>
    </row>
    <row r="130" spans="1:9" x14ac:dyDescent="0.25">
      <c r="C130" s="10">
        <v>2</v>
      </c>
      <c r="D130" s="11" t="s">
        <v>2</v>
      </c>
      <c r="E130" s="11">
        <v>104</v>
      </c>
      <c r="F130" s="11">
        <v>104</v>
      </c>
      <c r="G130" s="11">
        <v>0.8</v>
      </c>
      <c r="H130" s="11">
        <v>0.75</v>
      </c>
      <c r="I130" s="118">
        <v>1</v>
      </c>
    </row>
    <row r="132" spans="1:9" x14ac:dyDescent="0.25">
      <c r="C132" t="s">
        <v>462</v>
      </c>
    </row>
    <row r="134" spans="1:9" x14ac:dyDescent="0.25">
      <c r="A134" s="1">
        <v>8</v>
      </c>
      <c r="B134" s="1" t="s">
        <v>62</v>
      </c>
      <c r="C134" s="1">
        <v>20200317</v>
      </c>
    </row>
    <row r="135" spans="1:9" x14ac:dyDescent="0.25">
      <c r="B135" s="1" t="s">
        <v>452</v>
      </c>
      <c r="C135" s="105">
        <v>4.9420512820512821</v>
      </c>
      <c r="D135" t="s">
        <v>453</v>
      </c>
    </row>
    <row r="136" spans="1:9" x14ac:dyDescent="0.25">
      <c r="B136" s="1" t="s">
        <v>460</v>
      </c>
      <c r="C136" s="9"/>
      <c r="F136" s="8"/>
      <c r="G136" s="8"/>
      <c r="H136" s="8"/>
    </row>
    <row r="137" spans="1:9" x14ac:dyDescent="0.25">
      <c r="B137" s="1" t="s">
        <v>461</v>
      </c>
      <c r="C137" s="9"/>
      <c r="F137" s="8"/>
      <c r="G137" s="8"/>
      <c r="H137" s="8"/>
    </row>
    <row r="138" spans="1:9" x14ac:dyDescent="0.25">
      <c r="B138" s="1" t="s">
        <v>17</v>
      </c>
      <c r="C138" t="s">
        <v>472</v>
      </c>
    </row>
    <row r="140" spans="1:9" ht="75" x14ac:dyDescent="0.25">
      <c r="C140" s="110" t="s">
        <v>25</v>
      </c>
      <c r="D140" s="110" t="s">
        <v>26</v>
      </c>
      <c r="E140" s="13" t="s">
        <v>454</v>
      </c>
      <c r="F140" s="13" t="s">
        <v>455</v>
      </c>
      <c r="G140" s="13" t="s">
        <v>456</v>
      </c>
      <c r="H140" s="13" t="s">
        <v>457</v>
      </c>
      <c r="I140" s="13" t="s">
        <v>29</v>
      </c>
    </row>
    <row r="141" spans="1:9" x14ac:dyDescent="0.25">
      <c r="C141" s="10">
        <v>1</v>
      </c>
      <c r="D141" s="11" t="s">
        <v>3</v>
      </c>
      <c r="E141" s="11">
        <v>2172</v>
      </c>
      <c r="F141" s="11">
        <v>1893</v>
      </c>
      <c r="G141" s="11">
        <v>4.8266666666666671</v>
      </c>
      <c r="H141" s="11">
        <v>2.625</v>
      </c>
      <c r="I141" s="118">
        <v>0.87154696132596687</v>
      </c>
    </row>
    <row r="142" spans="1:9" x14ac:dyDescent="0.25">
      <c r="C142" s="10">
        <v>2</v>
      </c>
      <c r="D142" s="11" t="s">
        <v>2</v>
      </c>
      <c r="E142" s="11">
        <v>15</v>
      </c>
      <c r="F142" s="11">
        <v>15</v>
      </c>
      <c r="G142" s="11">
        <v>0.11538461538461539</v>
      </c>
      <c r="H142" s="11">
        <v>0.25</v>
      </c>
      <c r="I142" s="118">
        <v>1</v>
      </c>
    </row>
    <row r="144" spans="1:9" x14ac:dyDescent="0.25">
      <c r="C144" t="s">
        <v>462</v>
      </c>
    </row>
    <row r="146" spans="1:9" x14ac:dyDescent="0.25">
      <c r="A146" s="1">
        <v>9</v>
      </c>
      <c r="B146" s="1" t="s">
        <v>62</v>
      </c>
      <c r="C146" s="1">
        <v>20200318</v>
      </c>
    </row>
    <row r="147" spans="1:9" x14ac:dyDescent="0.25">
      <c r="B147" s="1" t="s">
        <v>452</v>
      </c>
      <c r="C147" s="105">
        <v>0</v>
      </c>
      <c r="D147" t="s">
        <v>453</v>
      </c>
    </row>
    <row r="148" spans="1:9" x14ac:dyDescent="0.25">
      <c r="B148" s="1" t="s">
        <v>460</v>
      </c>
      <c r="C148" s="9"/>
      <c r="F148" s="8"/>
      <c r="G148" s="8"/>
      <c r="H148" s="8"/>
    </row>
    <row r="149" spans="1:9" x14ac:dyDescent="0.25">
      <c r="B149" s="1" t="s">
        <v>461</v>
      </c>
      <c r="C149" s="9"/>
      <c r="F149" s="8"/>
      <c r="G149" s="8"/>
      <c r="H149" s="8"/>
    </row>
    <row r="150" spans="1:9" x14ac:dyDescent="0.25">
      <c r="B150" s="1" t="s">
        <v>17</v>
      </c>
      <c r="C150" t="s">
        <v>463</v>
      </c>
    </row>
    <row r="152" spans="1:9" ht="75" x14ac:dyDescent="0.25">
      <c r="C152" s="110" t="s">
        <v>25</v>
      </c>
      <c r="D152" s="110" t="s">
        <v>26</v>
      </c>
      <c r="E152" s="13" t="s">
        <v>454</v>
      </c>
      <c r="F152" s="13" t="s">
        <v>455</v>
      </c>
      <c r="G152" s="13" t="s">
        <v>456</v>
      </c>
      <c r="H152" s="13" t="s">
        <v>457</v>
      </c>
      <c r="I152" s="13" t="s">
        <v>29</v>
      </c>
    </row>
    <row r="153" spans="1:9" x14ac:dyDescent="0.25">
      <c r="C153" s="10">
        <v>1</v>
      </c>
      <c r="D153" s="11" t="s">
        <v>3</v>
      </c>
      <c r="E153" s="11">
        <v>0</v>
      </c>
      <c r="F153" s="11">
        <v>0</v>
      </c>
      <c r="G153" s="11">
        <v>0</v>
      </c>
      <c r="H153" s="11">
        <v>0</v>
      </c>
      <c r="I153" s="118" t="s">
        <v>20</v>
      </c>
    </row>
    <row r="154" spans="1:9" x14ac:dyDescent="0.25">
      <c r="C154" s="10">
        <v>2</v>
      </c>
      <c r="D154" s="11" t="s">
        <v>2</v>
      </c>
      <c r="E154" s="11">
        <v>0</v>
      </c>
      <c r="F154" s="11">
        <v>0</v>
      </c>
      <c r="G154" s="11">
        <v>0</v>
      </c>
      <c r="H154" s="11">
        <v>0</v>
      </c>
      <c r="I154" s="118" t="s">
        <v>20</v>
      </c>
    </row>
    <row r="156" spans="1:9" x14ac:dyDescent="0.25">
      <c r="C156" t="s">
        <v>462</v>
      </c>
    </row>
    <row r="158" spans="1:9" x14ac:dyDescent="0.25">
      <c r="A158" s="1">
        <v>10</v>
      </c>
      <c r="B158" s="1" t="s">
        <v>62</v>
      </c>
      <c r="C158" s="1">
        <v>20200319</v>
      </c>
    </row>
    <row r="159" spans="1:9" x14ac:dyDescent="0.25">
      <c r="B159" s="1" t="s">
        <v>452</v>
      </c>
      <c r="C159" s="105">
        <v>0</v>
      </c>
      <c r="D159" t="s">
        <v>453</v>
      </c>
    </row>
    <row r="160" spans="1:9" x14ac:dyDescent="0.25">
      <c r="B160" s="1" t="s">
        <v>460</v>
      </c>
      <c r="C160" s="9"/>
      <c r="F160" s="8"/>
      <c r="G160" s="8"/>
      <c r="H160" s="8"/>
    </row>
    <row r="161" spans="2:9" x14ac:dyDescent="0.25">
      <c r="B161" s="1" t="s">
        <v>461</v>
      </c>
      <c r="C161" s="9"/>
      <c r="F161" s="8"/>
      <c r="G161" s="8"/>
      <c r="H161" s="8"/>
    </row>
    <row r="162" spans="2:9" x14ac:dyDescent="0.25">
      <c r="B162" s="1" t="s">
        <v>17</v>
      </c>
      <c r="C162" t="s">
        <v>463</v>
      </c>
    </row>
    <row r="164" spans="2:9" ht="75" x14ac:dyDescent="0.25">
      <c r="C164" s="110" t="s">
        <v>25</v>
      </c>
      <c r="D164" s="110" t="s">
        <v>26</v>
      </c>
      <c r="E164" s="13" t="s">
        <v>454</v>
      </c>
      <c r="F164" s="13" t="s">
        <v>455</v>
      </c>
      <c r="G164" s="13" t="s">
        <v>456</v>
      </c>
      <c r="H164" s="13" t="s">
        <v>457</v>
      </c>
      <c r="I164" s="13" t="s">
        <v>29</v>
      </c>
    </row>
    <row r="165" spans="2:9" x14ac:dyDescent="0.25">
      <c r="C165" s="10">
        <v>1</v>
      </c>
      <c r="D165" s="11" t="s">
        <v>3</v>
      </c>
      <c r="E165" s="11">
        <v>0</v>
      </c>
      <c r="F165" s="11">
        <v>0</v>
      </c>
      <c r="G165" s="11">
        <v>0</v>
      </c>
      <c r="H165" s="11">
        <v>0</v>
      </c>
      <c r="I165" s="118" t="s">
        <v>20</v>
      </c>
    </row>
    <row r="166" spans="2:9" x14ac:dyDescent="0.25">
      <c r="C166" s="10">
        <v>2</v>
      </c>
      <c r="D166" s="11" t="s">
        <v>2</v>
      </c>
      <c r="E166" s="11">
        <v>0</v>
      </c>
      <c r="F166" s="11">
        <v>0</v>
      </c>
      <c r="G166" s="11">
        <v>0</v>
      </c>
      <c r="H166" s="11">
        <v>0</v>
      </c>
      <c r="I166" s="118" t="s">
        <v>20</v>
      </c>
    </row>
    <row r="168" spans="2:9" x14ac:dyDescent="0.25">
      <c r="C168" t="s">
        <v>462</v>
      </c>
    </row>
  </sheetData>
  <customSheetViews>
    <customSheetView guid="{7E0EA425-A420-4443-B9E0-CDF0AA9E5D09}" scale="85">
      <selection activeCell="J43" sqref="J43"/>
      <pageMargins left="0.7" right="0.7" top="0.75" bottom="0.75" header="0.3" footer="0.3"/>
    </customSheetView>
    <customSheetView guid="{250915DF-0B97-45D7-B29D-7EED4C89C1C1}" scale="85">
      <selection activeCell="I39" sqref="I39"/>
      <pageMargins left="0.7" right="0.7" top="0.75" bottom="0.75" header="0.3" footer="0.3"/>
    </customSheetView>
    <customSheetView guid="{4E06BDBF-2CED-473B-850B-2A6C7311FF41}" scale="85" topLeftCell="A139">
      <selection activeCell="K163" sqref="K163"/>
      <pageMargins left="0.7" right="0.7" top="0.75" bottom="0.75" header="0.3" footer="0.3"/>
    </customSheetView>
    <customSheetView guid="{72A6EB0A-84D5-4B8A-AC51-54CCD061630B}" scale="85" topLeftCell="A154">
      <selection activeCell="E15" sqref="E15"/>
      <pageMargins left="0.7" right="0.7" top="0.75" bottom="0.75" header="0.3" footer="0.3"/>
    </customSheetView>
    <customSheetView guid="{D1F7047B-CC2E-48BC-8022-C8013AE2B1E1}" scale="85">
      <selection activeCell="E15" sqref="E15"/>
      <pageMargins left="0.7" right="0.7" top="0.75" bottom="0.75" header="0.3" footer="0.3"/>
    </customSheetView>
    <customSheetView guid="{60D2C030-4E31-4E07-8E1C-44D2EE84B177}" scale="85" topLeftCell="A139">
      <selection activeCell="L167" sqref="L167"/>
      <pageMargins left="0.7" right="0.7" top="0.75" bottom="0.75" header="0.3" footer="0.3"/>
    </customSheetView>
  </customSheetViews>
  <mergeCells count="1">
    <mergeCell ref="D19:G19"/>
  </mergeCells>
  <conditionalFormatting sqref="H57">
    <cfRule type="cellIs" dxfId="41" priority="42" operator="greaterThan">
      <formula>G57</formula>
    </cfRule>
  </conditionalFormatting>
  <conditionalFormatting sqref="H130">
    <cfRule type="cellIs" dxfId="40" priority="29" operator="greaterThan">
      <formula>G130</formula>
    </cfRule>
  </conditionalFormatting>
  <conditionalFormatting sqref="H141">
    <cfRule type="cellIs" dxfId="39" priority="28" operator="greaterThan">
      <formula>G141</formula>
    </cfRule>
  </conditionalFormatting>
  <conditionalFormatting sqref="H58">
    <cfRule type="cellIs" dxfId="38" priority="41" operator="greaterThan">
      <formula>G58</formula>
    </cfRule>
  </conditionalFormatting>
  <conditionalFormatting sqref="H81">
    <cfRule type="cellIs" dxfId="37" priority="38" operator="greaterThan">
      <formula>G81</formula>
    </cfRule>
  </conditionalFormatting>
  <conditionalFormatting sqref="H82">
    <cfRule type="cellIs" dxfId="36" priority="37" operator="greaterThan">
      <formula>G82</formula>
    </cfRule>
  </conditionalFormatting>
  <conditionalFormatting sqref="H69">
    <cfRule type="cellIs" dxfId="35" priority="40" operator="greaterThan">
      <formula>G69</formula>
    </cfRule>
  </conditionalFormatting>
  <conditionalFormatting sqref="H70">
    <cfRule type="cellIs" dxfId="34" priority="39" operator="greaterThan">
      <formula>G70</formula>
    </cfRule>
  </conditionalFormatting>
  <conditionalFormatting sqref="H166">
    <cfRule type="cellIs" dxfId="33" priority="23" operator="greaterThan">
      <formula>G166</formula>
    </cfRule>
  </conditionalFormatting>
  <conditionalFormatting sqref="H93">
    <cfRule type="cellIs" dxfId="32" priority="36" operator="greaterThan">
      <formula>G93</formula>
    </cfRule>
  </conditionalFormatting>
  <conditionalFormatting sqref="H94">
    <cfRule type="cellIs" dxfId="31" priority="35" operator="greaterThan">
      <formula>G94</formula>
    </cfRule>
  </conditionalFormatting>
  <conditionalFormatting sqref="H105">
    <cfRule type="cellIs" dxfId="30" priority="34" operator="greaterThan">
      <formula>G105</formula>
    </cfRule>
  </conditionalFormatting>
  <conditionalFormatting sqref="H106">
    <cfRule type="cellIs" dxfId="29" priority="33" operator="greaterThan">
      <formula>G106</formula>
    </cfRule>
  </conditionalFormatting>
  <conditionalFormatting sqref="H117">
    <cfRule type="cellIs" dxfId="28" priority="32" operator="greaterThan">
      <formula>G117</formula>
    </cfRule>
  </conditionalFormatting>
  <conditionalFormatting sqref="H118">
    <cfRule type="cellIs" dxfId="27" priority="31" operator="greaterThan">
      <formula>G118</formula>
    </cfRule>
  </conditionalFormatting>
  <conditionalFormatting sqref="H129">
    <cfRule type="cellIs" dxfId="26" priority="30" operator="greaterThan">
      <formula>G129</formula>
    </cfRule>
  </conditionalFormatting>
  <conditionalFormatting sqref="H142">
    <cfRule type="cellIs" dxfId="25" priority="27" operator="greaterThan">
      <formula>G142</formula>
    </cfRule>
  </conditionalFormatting>
  <conditionalFormatting sqref="H153">
    <cfRule type="cellIs" dxfId="24" priority="26" operator="greaterThan">
      <formula>G153</formula>
    </cfRule>
  </conditionalFormatting>
  <conditionalFormatting sqref="H154">
    <cfRule type="cellIs" dxfId="23" priority="25" operator="greaterThan">
      <formula>G154</formula>
    </cfRule>
  </conditionalFormatting>
  <conditionalFormatting sqref="H165">
    <cfRule type="cellIs" dxfId="22" priority="24" operator="greaterThan">
      <formula>G165</formula>
    </cfRule>
  </conditionalFormatting>
  <conditionalFormatting sqref="G7:G8">
    <cfRule type="cellIs" dxfId="21" priority="21" operator="equal">
      <formula>1</formula>
    </cfRule>
    <cfRule type="cellIs" dxfId="20" priority="22" operator="lessThan">
      <formula>1</formula>
    </cfRule>
  </conditionalFormatting>
  <conditionalFormatting sqref="I57:I58">
    <cfRule type="cellIs" dxfId="19" priority="19" operator="equal">
      <formula>1</formula>
    </cfRule>
    <cfRule type="cellIs" dxfId="18" priority="20" operator="lessThan">
      <formula>1</formula>
    </cfRule>
  </conditionalFormatting>
  <conditionalFormatting sqref="I69:I70">
    <cfRule type="cellIs" dxfId="17" priority="17" operator="equal">
      <formula>1</formula>
    </cfRule>
    <cfRule type="cellIs" dxfId="16" priority="18" operator="lessThan">
      <formula>1</formula>
    </cfRule>
  </conditionalFormatting>
  <conditionalFormatting sqref="I81:I82">
    <cfRule type="cellIs" dxfId="15" priority="15" operator="equal">
      <formula>1</formula>
    </cfRule>
    <cfRule type="cellIs" dxfId="14" priority="16" operator="lessThan">
      <formula>1</formula>
    </cfRule>
  </conditionalFormatting>
  <conditionalFormatting sqref="I93:I94">
    <cfRule type="cellIs" dxfId="13" priority="13" operator="equal">
      <formula>1</formula>
    </cfRule>
    <cfRule type="cellIs" dxfId="12" priority="14" operator="lessThan">
      <formula>1</formula>
    </cfRule>
  </conditionalFormatting>
  <conditionalFormatting sqref="I105:I106">
    <cfRule type="cellIs" dxfId="11" priority="11" operator="equal">
      <formula>1</formula>
    </cfRule>
    <cfRule type="cellIs" dxfId="10" priority="12" operator="lessThan">
      <formula>1</formula>
    </cfRule>
  </conditionalFormatting>
  <conditionalFormatting sqref="I117:I118">
    <cfRule type="cellIs" dxfId="9" priority="9" operator="equal">
      <formula>1</formula>
    </cfRule>
    <cfRule type="cellIs" dxfId="8" priority="10" operator="lessThan">
      <formula>1</formula>
    </cfRule>
  </conditionalFormatting>
  <conditionalFormatting sqref="I129:I130">
    <cfRule type="cellIs" dxfId="7" priority="7" operator="equal">
      <formula>1</formula>
    </cfRule>
    <cfRule type="cellIs" dxfId="6" priority="8" operator="lessThan">
      <formula>1</formula>
    </cfRule>
  </conditionalFormatting>
  <conditionalFormatting sqref="I141:I142">
    <cfRule type="cellIs" dxfId="5" priority="5" operator="equal">
      <formula>1</formula>
    </cfRule>
    <cfRule type="cellIs" dxfId="4" priority="6" operator="lessThan">
      <formula>1</formula>
    </cfRule>
  </conditionalFormatting>
  <conditionalFormatting sqref="I153:I154">
    <cfRule type="cellIs" dxfId="3" priority="3" operator="equal">
      <formula>1</formula>
    </cfRule>
    <cfRule type="cellIs" dxfId="2" priority="4" operator="lessThan">
      <formula>1</formula>
    </cfRule>
  </conditionalFormatting>
  <conditionalFormatting sqref="I165:I166">
    <cfRule type="cellIs" dxfId="1" priority="1" operator="equal">
      <formula>1</formula>
    </cfRule>
    <cfRule type="cellIs" dxfId="0" priority="2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COEM_Package_20200302</vt:lpstr>
      <vt:lpstr>|-&gt;</vt:lpstr>
      <vt:lpstr>Template_Weekly_Report</vt:lpstr>
      <vt:lpstr>COEM_Package_20200401</vt:lpstr>
      <vt:lpstr>Sheet1</vt:lpstr>
      <vt:lpstr>Template_Weekly_Report_Apr</vt:lpstr>
      <vt:lpstr>Report_For_Each_Project</vt:lpstr>
      <vt:lpstr>Table</vt:lpstr>
      <vt:lpstr>Check_List</vt:lpstr>
      <vt:lpstr>|--&gt;</vt:lpstr>
      <vt:lpstr>Weekly_20200327</vt:lpstr>
      <vt:lpstr>Monthly_20200320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EXTERNAL Nguyen Tuan Duong (Ban Vien, RBVH/EPS45)</cp:lastModifiedBy>
  <dcterms:created xsi:type="dcterms:W3CDTF">2006-09-16T00:00:00Z</dcterms:created>
  <dcterms:modified xsi:type="dcterms:W3CDTF">2020-04-08T11:26:10Z</dcterms:modified>
</cp:coreProperties>
</file>