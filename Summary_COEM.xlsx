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revisions/revisionHeaders.xml" ContentType="application/vnd.openxmlformats-officedocument.spreadsheetml.revisionHeaders+xml"/>
  <Override PartName="/xl/revisions/revisionLog176.xml" ContentType="application/vnd.openxmlformats-officedocument.spreadsheetml.revisionLog+xml"/>
  <Override PartName="/xl/revisions/userNames.xml" ContentType="application/vnd.openxmlformats-officedocument.spreadsheetml.userNam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revisions/revisionLog26.xml" ContentType="application/vnd.openxmlformats-officedocument.spreadsheetml.revisionLog+xml"/>
  <Override PartName="/xl/revisions/revisionLog117.xml" ContentType="application/vnd.openxmlformats-officedocument.spreadsheetml.revisionLog+xml"/>
  <Override PartName="/xl/revisions/revisionLog21.xml" ContentType="application/vnd.openxmlformats-officedocument.spreadsheetml.revisionLog+xml"/>
  <Override PartName="/xl/revisions/revisionLog42.xml" ContentType="application/vnd.openxmlformats-officedocument.spreadsheetml.revisionLog+xml"/>
  <Override PartName="/xl/revisions/revisionLog47.xml" ContentType="application/vnd.openxmlformats-officedocument.spreadsheetml.revisionLog+xml"/>
  <Override PartName="/xl/revisions/revisionLog63.xml" ContentType="application/vnd.openxmlformats-officedocument.spreadsheetml.revisionLog+xml"/>
  <Override PartName="/xl/revisions/revisionLog68.xml" ContentType="application/vnd.openxmlformats-officedocument.spreadsheetml.revisionLog+xml"/>
  <Override PartName="/xl/revisions/revisionLog84.xml" ContentType="application/vnd.openxmlformats-officedocument.spreadsheetml.revisionLog+xml"/>
  <Override PartName="/xl/revisions/revisionLog89.xml" ContentType="application/vnd.openxmlformats-officedocument.spreadsheetml.revisionLog+xml"/>
  <Override PartName="/xl/revisions/revisionLog112.xml" ContentType="application/vnd.openxmlformats-officedocument.spreadsheetml.revisionLog+xml"/>
  <Override PartName="/xl/revisions/revisionLog133.xml" ContentType="application/vnd.openxmlformats-officedocument.spreadsheetml.revisionLog+xml"/>
  <Override PartName="/xl/revisions/revisionLog138.xml" ContentType="application/vnd.openxmlformats-officedocument.spreadsheetml.revisionLog+xml"/>
  <Override PartName="/xl/revisions/revisionLog154.xml" ContentType="application/vnd.openxmlformats-officedocument.spreadsheetml.revisionLog+xml"/>
  <Override PartName="/xl/revisions/revisionLog159.xml" ContentType="application/vnd.openxmlformats-officedocument.spreadsheetml.revisionLog+xml"/>
  <Override PartName="/xl/revisions/revisionLog175.xml" ContentType="application/vnd.openxmlformats-officedocument.spreadsheetml.revisionLog+xml"/>
  <Override PartName="/xl/revisions/revisionLog170.xml" ContentType="application/vnd.openxmlformats-officedocument.spreadsheetml.revisionLog+xml"/>
  <Override PartName="/xl/revisions/revisionLog16.xml" ContentType="application/vnd.openxmlformats-officedocument.spreadsheetml.revisionLog+xml"/>
  <Override PartName="/xl/revisions/revisionLog107.xml" ContentType="application/vnd.openxmlformats-officedocument.spreadsheetml.revisionLog+xml"/>
  <Override PartName="/xl/revisions/revisionLog11.xml" ContentType="application/vnd.openxmlformats-officedocument.spreadsheetml.revisionLog+xml"/>
  <Override PartName="/xl/revisions/revisionLog32.xml" ContentType="application/vnd.openxmlformats-officedocument.spreadsheetml.revisionLog+xml"/>
  <Override PartName="/xl/revisions/revisionLog37.xml" ContentType="application/vnd.openxmlformats-officedocument.spreadsheetml.revisionLog+xml"/>
  <Override PartName="/xl/revisions/revisionLog53.xml" ContentType="application/vnd.openxmlformats-officedocument.spreadsheetml.revisionLog+xml"/>
  <Override PartName="/xl/revisions/revisionLog58.xml" ContentType="application/vnd.openxmlformats-officedocument.spreadsheetml.revisionLog+xml"/>
  <Override PartName="/xl/revisions/revisionLog74.xml" ContentType="application/vnd.openxmlformats-officedocument.spreadsheetml.revisionLog+xml"/>
  <Override PartName="/xl/revisions/revisionLog79.xml" ContentType="application/vnd.openxmlformats-officedocument.spreadsheetml.revisionLog+xml"/>
  <Override PartName="/xl/revisions/revisionLog102.xml" ContentType="application/vnd.openxmlformats-officedocument.spreadsheetml.revisionLog+xml"/>
  <Override PartName="/xl/revisions/revisionLog123.xml" ContentType="application/vnd.openxmlformats-officedocument.spreadsheetml.revisionLog+xml"/>
  <Override PartName="/xl/revisions/revisionLog128.xml" ContentType="application/vnd.openxmlformats-officedocument.spreadsheetml.revisionLog+xml"/>
  <Override PartName="/xl/revisions/revisionLog144.xml" ContentType="application/vnd.openxmlformats-officedocument.spreadsheetml.revisionLog+xml"/>
  <Override PartName="/xl/revisions/revisionLog149.xml" ContentType="application/vnd.openxmlformats-officedocument.spreadsheetml.revisionLog+xml"/>
  <Override PartName="/xl/revisions/revisionLog5.xml" ContentType="application/vnd.openxmlformats-officedocument.spreadsheetml.revisionLog+xml"/>
  <Override PartName="/xl/revisions/revisionLog90.xml" ContentType="application/vnd.openxmlformats-officedocument.spreadsheetml.revisionLog+xml"/>
  <Override PartName="/xl/revisions/revisionLog95.xml" ContentType="application/vnd.openxmlformats-officedocument.spreadsheetml.revisionLog+xml"/>
  <Override PartName="/xl/revisions/revisionLog160.xml" ContentType="application/vnd.openxmlformats-officedocument.spreadsheetml.revisionLog+xml"/>
  <Override PartName="/xl/revisions/revisionLog165.xml" ContentType="application/vnd.openxmlformats-officedocument.spreadsheetml.revisionLog+xml"/>
  <Override PartName="/xl/revisions/revisionLog22.xml" ContentType="application/vnd.openxmlformats-officedocument.spreadsheetml.revisionLog+xml"/>
  <Override PartName="/xl/revisions/revisionLog27.xml" ContentType="application/vnd.openxmlformats-officedocument.spreadsheetml.revisionLog+xml"/>
  <Override PartName="/xl/revisions/revisionLog43.xml" ContentType="application/vnd.openxmlformats-officedocument.spreadsheetml.revisionLog+xml"/>
  <Override PartName="/xl/revisions/revisionLog48.xml" ContentType="application/vnd.openxmlformats-officedocument.spreadsheetml.revisionLog+xml"/>
  <Override PartName="/xl/revisions/revisionLog64.xml" ContentType="application/vnd.openxmlformats-officedocument.spreadsheetml.revisionLog+xml"/>
  <Override PartName="/xl/revisions/revisionLog69.xml" ContentType="application/vnd.openxmlformats-officedocument.spreadsheetml.revisionLog+xml"/>
  <Override PartName="/xl/revisions/revisionLog113.xml" ContentType="application/vnd.openxmlformats-officedocument.spreadsheetml.revisionLog+xml"/>
  <Override PartName="/xl/revisions/revisionLog118.xml" ContentType="application/vnd.openxmlformats-officedocument.spreadsheetml.revisionLog+xml"/>
  <Override PartName="/xl/revisions/revisionLog134.xml" ContentType="application/vnd.openxmlformats-officedocument.spreadsheetml.revisionLog+xml"/>
  <Override PartName="/xl/revisions/revisionLog139.xml" ContentType="application/vnd.openxmlformats-officedocument.spreadsheetml.revisionLog+xml"/>
  <Override PartName="/xl/revisions/revisionLog80.xml" ContentType="application/vnd.openxmlformats-officedocument.spreadsheetml.revisionLog+xml"/>
  <Override PartName="/xl/revisions/revisionLog85.xml" ContentType="application/vnd.openxmlformats-officedocument.spreadsheetml.revisionLog+xml"/>
  <Override PartName="/xl/revisions/revisionLog150.xml" ContentType="application/vnd.openxmlformats-officedocument.spreadsheetml.revisionLog+xml"/>
  <Override PartName="/xl/revisions/revisionLog155.xml" ContentType="application/vnd.openxmlformats-officedocument.spreadsheetml.revisionLog+xml"/>
  <Override PartName="/xl/revisions/revisionLog171.xml" ContentType="application/vnd.openxmlformats-officedocument.spreadsheetml.revisionLog+xml"/>
  <Override PartName="/xl/revisions/revisionLog12.xml" ContentType="application/vnd.openxmlformats-officedocument.spreadsheetml.revisionLog+xml"/>
  <Override PartName="/xl/revisions/revisionLog17.xml" ContentType="application/vnd.openxmlformats-officedocument.spreadsheetml.revisionLog+xml"/>
  <Override PartName="/xl/revisions/revisionLog33.xml" ContentType="application/vnd.openxmlformats-officedocument.spreadsheetml.revisionLog+xml"/>
  <Override PartName="/xl/revisions/revisionLog38.xml" ContentType="application/vnd.openxmlformats-officedocument.spreadsheetml.revisionLog+xml"/>
  <Override PartName="/xl/revisions/revisionLog59.xml" ContentType="application/vnd.openxmlformats-officedocument.spreadsheetml.revisionLog+xml"/>
  <Override PartName="/xl/revisions/revisionLog103.xml" ContentType="application/vnd.openxmlformats-officedocument.spreadsheetml.revisionLog+xml"/>
  <Override PartName="/xl/revisions/revisionLog108.xml" ContentType="application/vnd.openxmlformats-officedocument.spreadsheetml.revisionLog+xml"/>
  <Override PartName="/xl/revisions/revisionLog124.xml" ContentType="application/vnd.openxmlformats-officedocument.spreadsheetml.revisionLog+xml"/>
  <Override PartName="/xl/revisions/revisionLog129.xml" ContentType="application/vnd.openxmlformats-officedocument.spreadsheetml.revisionLog+xml"/>
  <Override PartName="/xl/revisions/revisionLog54.xml" ContentType="application/vnd.openxmlformats-officedocument.spreadsheetml.revisionLog+xml"/>
  <Override PartName="/xl/revisions/revisionLog70.xml" ContentType="application/vnd.openxmlformats-officedocument.spreadsheetml.revisionLog+xml"/>
  <Override PartName="/xl/revisions/revisionLog75.xml" ContentType="application/vnd.openxmlformats-officedocument.spreadsheetml.revisionLog+xml"/>
  <Override PartName="/xl/revisions/revisionLog91.xml" ContentType="application/vnd.openxmlformats-officedocument.spreadsheetml.revisionLog+xml"/>
  <Override PartName="/xl/revisions/revisionLog96.xml" ContentType="application/vnd.openxmlformats-officedocument.spreadsheetml.revisionLog+xml"/>
  <Override PartName="/xl/revisions/revisionLog140.xml" ContentType="application/vnd.openxmlformats-officedocument.spreadsheetml.revisionLog+xml"/>
  <Override PartName="/xl/revisions/revisionLog145.xml" ContentType="application/vnd.openxmlformats-officedocument.spreadsheetml.revisionLog+xml"/>
  <Override PartName="/xl/revisions/revisionLog161.xml" ContentType="application/vnd.openxmlformats-officedocument.spreadsheetml.revisionLog+xml"/>
  <Override PartName="/xl/revisions/revisionLog166.xml" ContentType="application/vnd.openxmlformats-officedocument.spreadsheetml.revisionLog+xml"/>
  <Override PartName="/xl/revisions/revisionLog1.xml" ContentType="application/vnd.openxmlformats-officedocument.spreadsheetml.revisionLog+xml"/>
  <Override PartName="/xl/revisions/revisionLog6.xml" ContentType="application/vnd.openxmlformats-officedocument.spreadsheetml.revisionLog+xml"/>
  <Override PartName="/xl/revisions/revisionLog23.xml" ContentType="application/vnd.openxmlformats-officedocument.spreadsheetml.revisionLog+xml"/>
  <Override PartName="/xl/revisions/revisionLog28.xml" ContentType="application/vnd.openxmlformats-officedocument.spreadsheetml.revisionLog+xml"/>
  <Override PartName="/xl/revisions/revisionLog49.xml" ContentType="application/vnd.openxmlformats-officedocument.spreadsheetml.revisionLog+xml"/>
  <Override PartName="/xl/revisions/revisionLog114.xml" ContentType="application/vnd.openxmlformats-officedocument.spreadsheetml.revisionLog+xml"/>
  <Override PartName="/xl/revisions/revisionLog119.xml" ContentType="application/vnd.openxmlformats-officedocument.spreadsheetml.revisionLog+xml"/>
  <Override PartName="/xl/revisions/revisionLog10.xml" ContentType="application/vnd.openxmlformats-officedocument.spreadsheetml.revisionLog+xml"/>
  <Override PartName="/xl/revisions/revisionLog31.xml" ContentType="application/vnd.openxmlformats-officedocument.spreadsheetml.revisionLog+xml"/>
  <Override PartName="/xl/revisions/revisionLog44.xml" ContentType="application/vnd.openxmlformats-officedocument.spreadsheetml.revisionLog+xml"/>
  <Override PartName="/xl/revisions/revisionLog52.xml" ContentType="application/vnd.openxmlformats-officedocument.spreadsheetml.revisionLog+xml"/>
  <Override PartName="/xl/revisions/revisionLog60.xml" ContentType="application/vnd.openxmlformats-officedocument.spreadsheetml.revisionLog+xml"/>
  <Override PartName="/xl/revisions/revisionLog65.xml" ContentType="application/vnd.openxmlformats-officedocument.spreadsheetml.revisionLog+xml"/>
  <Override PartName="/xl/revisions/revisionLog73.xml" ContentType="application/vnd.openxmlformats-officedocument.spreadsheetml.revisionLog+xml"/>
  <Override PartName="/xl/revisions/revisionLog78.xml" ContentType="application/vnd.openxmlformats-officedocument.spreadsheetml.revisionLog+xml"/>
  <Override PartName="/xl/revisions/revisionLog81.xml" ContentType="application/vnd.openxmlformats-officedocument.spreadsheetml.revisionLog+xml"/>
  <Override PartName="/xl/revisions/revisionLog86.xml" ContentType="application/vnd.openxmlformats-officedocument.spreadsheetml.revisionLog+xml"/>
  <Override PartName="/xl/revisions/revisionLog94.xml" ContentType="application/vnd.openxmlformats-officedocument.spreadsheetml.revisionLog+xml"/>
  <Override PartName="/xl/revisions/revisionLog99.xml" ContentType="application/vnd.openxmlformats-officedocument.spreadsheetml.revisionLog+xml"/>
  <Override PartName="/xl/revisions/revisionLog101.xml" ContentType="application/vnd.openxmlformats-officedocument.spreadsheetml.revisionLog+xml"/>
  <Override PartName="/xl/revisions/revisionLog122.xml" ContentType="application/vnd.openxmlformats-officedocument.spreadsheetml.revisionLog+xml"/>
  <Override PartName="/xl/revisions/revisionLog130.xml" ContentType="application/vnd.openxmlformats-officedocument.spreadsheetml.revisionLog+xml"/>
  <Override PartName="/xl/revisions/revisionLog135.xml" ContentType="application/vnd.openxmlformats-officedocument.spreadsheetml.revisionLog+xml"/>
  <Override PartName="/xl/revisions/revisionLog143.xml" ContentType="application/vnd.openxmlformats-officedocument.spreadsheetml.revisionLog+xml"/>
  <Override PartName="/xl/revisions/revisionLog148.xml" ContentType="application/vnd.openxmlformats-officedocument.spreadsheetml.revisionLog+xml"/>
  <Override PartName="/xl/revisions/revisionLog151.xml" ContentType="application/vnd.openxmlformats-officedocument.spreadsheetml.revisionLog+xml"/>
  <Override PartName="/xl/revisions/revisionLog156.xml" ContentType="application/vnd.openxmlformats-officedocument.spreadsheetml.revisionLog+xml"/>
  <Override PartName="/xl/revisions/revisionLog164.xml" ContentType="application/vnd.openxmlformats-officedocument.spreadsheetml.revisionLog+xml"/>
  <Override PartName="/xl/revisions/revisionLog169.xml" ContentType="application/vnd.openxmlformats-officedocument.spreadsheetml.revisionLog+xml"/>
  <Override PartName="/xl/revisions/revisionLog4.xml" ContentType="application/vnd.openxmlformats-officedocument.spreadsheetml.revisionLog+xml"/>
  <Override PartName="/xl/revisions/revisionLog9.xml" ContentType="application/vnd.openxmlformats-officedocument.spreadsheetml.revisionLog+xml"/>
  <Override PartName="/xl/revisions/revisionLog172.xml" ContentType="application/vnd.openxmlformats-officedocument.spreadsheetml.revisionLog+xml"/>
  <Override PartName="/xl/revisions/revisionLog13.xml" ContentType="application/vnd.openxmlformats-officedocument.spreadsheetml.revisionLog+xml"/>
  <Override PartName="/xl/revisions/revisionLog18.xml" ContentType="application/vnd.openxmlformats-officedocument.spreadsheetml.revisionLog+xml"/>
  <Override PartName="/xl/revisions/revisionLog39.xml" ContentType="application/vnd.openxmlformats-officedocument.spreadsheetml.revisionLog+xml"/>
  <Override PartName="/xl/revisions/revisionLog109.xml" ContentType="application/vnd.openxmlformats-officedocument.spreadsheetml.revisionLog+xml"/>
  <Override PartName="/xl/revisions/revisionLog34.xml" ContentType="application/vnd.openxmlformats-officedocument.spreadsheetml.revisionLog+xml"/>
  <Override PartName="/xl/revisions/revisionLog50.xml" ContentType="application/vnd.openxmlformats-officedocument.spreadsheetml.revisionLog+xml"/>
  <Override PartName="/xl/revisions/revisionLog55.xml" ContentType="application/vnd.openxmlformats-officedocument.spreadsheetml.revisionLog+xml"/>
  <Override PartName="/xl/revisions/revisionLog76.xml" ContentType="application/vnd.openxmlformats-officedocument.spreadsheetml.revisionLog+xml"/>
  <Override PartName="/xl/revisions/revisionLog97.xml" ContentType="application/vnd.openxmlformats-officedocument.spreadsheetml.revisionLog+xml"/>
  <Override PartName="/xl/revisions/revisionLog104.xml" ContentType="application/vnd.openxmlformats-officedocument.spreadsheetml.revisionLog+xml"/>
  <Override PartName="/xl/revisions/revisionLog120.xml" ContentType="application/vnd.openxmlformats-officedocument.spreadsheetml.revisionLog+xml"/>
  <Override PartName="/xl/revisions/revisionLog125.xml" ContentType="application/vnd.openxmlformats-officedocument.spreadsheetml.revisionLog+xml"/>
  <Override PartName="/xl/revisions/revisionLog141.xml" ContentType="application/vnd.openxmlformats-officedocument.spreadsheetml.revisionLog+xml"/>
  <Override PartName="/xl/revisions/revisionLog146.xml" ContentType="application/vnd.openxmlformats-officedocument.spreadsheetml.revisionLog+xml"/>
  <Override PartName="/xl/revisions/revisionLog167.xml" ContentType="application/vnd.openxmlformats-officedocument.spreadsheetml.revisionLog+xml"/>
  <Override PartName="/xl/revisions/revisionLog7.xml" ContentType="application/vnd.openxmlformats-officedocument.spreadsheetml.revisionLog+xml"/>
  <Override PartName="/xl/revisions/revisionLog71.xml" ContentType="application/vnd.openxmlformats-officedocument.spreadsheetml.revisionLog+xml"/>
  <Override PartName="/xl/revisions/revisionLog92.xml" ContentType="application/vnd.openxmlformats-officedocument.spreadsheetml.revisionLog+xml"/>
  <Override PartName="/xl/revisions/revisionLog162.xml" ContentType="application/vnd.openxmlformats-officedocument.spreadsheetml.revisionLog+xml"/>
  <Override PartName="/xl/revisions/revisionLog2.xml" ContentType="application/vnd.openxmlformats-officedocument.spreadsheetml.revisionLog+xml"/>
  <Override PartName="/xl/revisions/revisionLog29.xml" ContentType="application/vnd.openxmlformats-officedocument.spreadsheetml.revisionLog+xml"/>
  <Override PartName="/xl/revisions/revisionLog24.xml" ContentType="application/vnd.openxmlformats-officedocument.spreadsheetml.revisionLog+xml"/>
  <Override PartName="/xl/revisions/revisionLog40.xml" ContentType="application/vnd.openxmlformats-officedocument.spreadsheetml.revisionLog+xml"/>
  <Override PartName="/xl/revisions/revisionLog45.xml" ContentType="application/vnd.openxmlformats-officedocument.spreadsheetml.revisionLog+xml"/>
  <Override PartName="/xl/revisions/revisionLog66.xml" ContentType="application/vnd.openxmlformats-officedocument.spreadsheetml.revisionLog+xml"/>
  <Override PartName="/xl/revisions/revisionLog87.xml" ContentType="application/vnd.openxmlformats-officedocument.spreadsheetml.revisionLog+xml"/>
  <Override PartName="/xl/revisions/revisionLog110.xml" ContentType="application/vnd.openxmlformats-officedocument.spreadsheetml.revisionLog+xml"/>
  <Override PartName="/xl/revisions/revisionLog115.xml" ContentType="application/vnd.openxmlformats-officedocument.spreadsheetml.revisionLog+xml"/>
  <Override PartName="/xl/revisions/revisionLog131.xml" ContentType="application/vnd.openxmlformats-officedocument.spreadsheetml.revisionLog+xml"/>
  <Override PartName="/xl/revisions/revisionLog136.xml" ContentType="application/vnd.openxmlformats-officedocument.spreadsheetml.revisionLog+xml"/>
  <Override PartName="/xl/revisions/revisionLog157.xml" ContentType="application/vnd.openxmlformats-officedocument.spreadsheetml.revisionLog+xml"/>
  <Override PartName="/xl/revisions/revisionLog61.xml" ContentType="application/vnd.openxmlformats-officedocument.spreadsheetml.revisionLog+xml"/>
  <Override PartName="/xl/revisions/revisionLog82.xml" ContentType="application/vnd.openxmlformats-officedocument.spreadsheetml.revisionLog+xml"/>
  <Override PartName="/xl/revisions/revisionLog152.xml" ContentType="application/vnd.openxmlformats-officedocument.spreadsheetml.revisionLog+xml"/>
  <Override PartName="/xl/revisions/revisionLog173.xml" ContentType="application/vnd.openxmlformats-officedocument.spreadsheetml.revisionLog+xml"/>
  <Override PartName="/xl/revisions/revisionLog19.xml" ContentType="application/vnd.openxmlformats-officedocument.spreadsheetml.revisionLog+xml"/>
  <Override PartName="/xl/revisions/revisionLog14.xml" ContentType="application/vnd.openxmlformats-officedocument.spreadsheetml.revisionLog+xml"/>
  <Override PartName="/xl/revisions/revisionLog30.xml" ContentType="application/vnd.openxmlformats-officedocument.spreadsheetml.revisionLog+xml"/>
  <Override PartName="/xl/revisions/revisionLog35.xml" ContentType="application/vnd.openxmlformats-officedocument.spreadsheetml.revisionLog+xml"/>
  <Override PartName="/xl/revisions/revisionLog56.xml" ContentType="application/vnd.openxmlformats-officedocument.spreadsheetml.revisionLog+xml"/>
  <Override PartName="/xl/revisions/revisionLog77.xml" ContentType="application/vnd.openxmlformats-officedocument.spreadsheetml.revisionLog+xml"/>
  <Override PartName="/xl/revisions/revisionLog100.xml" ContentType="application/vnd.openxmlformats-officedocument.spreadsheetml.revisionLog+xml"/>
  <Override PartName="/xl/revisions/revisionLog105.xml" ContentType="application/vnd.openxmlformats-officedocument.spreadsheetml.revisionLog+xml"/>
  <Override PartName="/xl/revisions/revisionLog126.xml" ContentType="application/vnd.openxmlformats-officedocument.spreadsheetml.revisionLog+xml"/>
  <Override PartName="/xl/revisions/revisionLog147.xml" ContentType="application/vnd.openxmlformats-officedocument.spreadsheetml.revisionLog+xml"/>
  <Override PartName="/xl/revisions/revisionLog168.xml" ContentType="application/vnd.openxmlformats-officedocument.spreadsheetml.revisionLog+xml"/>
  <Override PartName="/xl/revisions/revisionLog8.xml" ContentType="application/vnd.openxmlformats-officedocument.spreadsheetml.revisionLog+xml"/>
  <Override PartName="/xl/revisions/revisionLog51.xml" ContentType="application/vnd.openxmlformats-officedocument.spreadsheetml.revisionLog+xml"/>
  <Override PartName="/xl/revisions/revisionLog72.xml" ContentType="application/vnd.openxmlformats-officedocument.spreadsheetml.revisionLog+xml"/>
  <Override PartName="/xl/revisions/revisionLog93.xml" ContentType="application/vnd.openxmlformats-officedocument.spreadsheetml.revisionLog+xml"/>
  <Override PartName="/xl/revisions/revisionLog98.xml" ContentType="application/vnd.openxmlformats-officedocument.spreadsheetml.revisionLog+xml"/>
  <Override PartName="/xl/revisions/revisionLog121.xml" ContentType="application/vnd.openxmlformats-officedocument.spreadsheetml.revisionLog+xml"/>
  <Override PartName="/xl/revisions/revisionLog142.xml" ContentType="application/vnd.openxmlformats-officedocument.spreadsheetml.revisionLog+xml"/>
  <Override PartName="/xl/revisions/revisionLog163.xml" ContentType="application/vnd.openxmlformats-officedocument.spreadsheetml.revisionLog+xml"/>
  <Override PartName="/xl/revisions/revisionLog3.xml" ContentType="application/vnd.openxmlformats-officedocument.spreadsheetml.revisionLog+xml"/>
  <Override PartName="/xl/revisions/revisionLog25.xml" ContentType="application/vnd.openxmlformats-officedocument.spreadsheetml.revisionLog+xml"/>
  <Override PartName="/xl/revisions/revisionLog46.xml" ContentType="application/vnd.openxmlformats-officedocument.spreadsheetml.revisionLog+xml"/>
  <Override PartName="/xl/revisions/revisionLog67.xml" ContentType="application/vnd.openxmlformats-officedocument.spreadsheetml.revisionLog+xml"/>
  <Override PartName="/xl/revisions/revisionLog116.xml" ContentType="application/vnd.openxmlformats-officedocument.spreadsheetml.revisionLog+xml"/>
  <Override PartName="/xl/revisions/revisionLog137.xml" ContentType="application/vnd.openxmlformats-officedocument.spreadsheetml.revisionLog+xml"/>
  <Override PartName="/xl/revisions/revisionLog158.xml" ContentType="application/vnd.openxmlformats-officedocument.spreadsheetml.revisionLog+xml"/>
  <Override PartName="/xl/revisions/revisionLog20.xml" ContentType="application/vnd.openxmlformats-officedocument.spreadsheetml.revisionLog+xml"/>
  <Override PartName="/xl/revisions/revisionLog41.xml" ContentType="application/vnd.openxmlformats-officedocument.spreadsheetml.revisionLog+xml"/>
  <Override PartName="/xl/revisions/revisionLog62.xml" ContentType="application/vnd.openxmlformats-officedocument.spreadsheetml.revisionLog+xml"/>
  <Override PartName="/xl/revisions/revisionLog83.xml" ContentType="application/vnd.openxmlformats-officedocument.spreadsheetml.revisionLog+xml"/>
  <Override PartName="/xl/revisions/revisionLog88.xml" ContentType="application/vnd.openxmlformats-officedocument.spreadsheetml.revisionLog+xml"/>
  <Override PartName="/xl/revisions/revisionLog111.xml" ContentType="application/vnd.openxmlformats-officedocument.spreadsheetml.revisionLog+xml"/>
  <Override PartName="/xl/revisions/revisionLog132.xml" ContentType="application/vnd.openxmlformats-officedocument.spreadsheetml.revisionLog+xml"/>
  <Override PartName="/xl/revisions/revisionLog153.xml" ContentType="application/vnd.openxmlformats-officedocument.spreadsheetml.revisionLog+xml"/>
  <Override PartName="/xl/revisions/revisionLog174.xml" ContentType="application/vnd.openxmlformats-officedocument.spreadsheetml.revisionLog+xml"/>
  <Override PartName="/xl/revisions/revisionLog15.xml" ContentType="application/vnd.openxmlformats-officedocument.spreadsheetml.revisionLog+xml"/>
  <Override PartName="/xl/revisions/revisionLog36.xml" ContentType="application/vnd.openxmlformats-officedocument.spreadsheetml.revisionLog+xml"/>
  <Override PartName="/xl/revisions/revisionLog57.xml" ContentType="application/vnd.openxmlformats-officedocument.spreadsheetml.revisionLog+xml"/>
  <Override PartName="/xl/revisions/revisionLog106.xml" ContentType="application/vnd.openxmlformats-officedocument.spreadsheetml.revisionLog+xml"/>
  <Override PartName="/xl/revisions/revisionLog127.xml" ContentType="application/vnd.openxmlformats-officedocument.spreadsheetml.revisionLo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hc-ut40346c\NHI5HC\hieunguyen\0000_Project\001_Prj\01_COEM\"/>
    </mc:Choice>
  </mc:AlternateContent>
  <bookViews>
    <workbookView xWindow="240" yWindow="105" windowWidth="14805" windowHeight="6105" tabRatio="663" activeTab="3"/>
  </bookViews>
  <sheets>
    <sheet name="COEM_Package_20200302" sheetId="1" r:id="rId1"/>
    <sheet name="|-&gt;" sheetId="2" r:id="rId2"/>
    <sheet name="Template_Weekly_Report" sheetId="3" r:id="rId3"/>
    <sheet name="COEM_Package_20200401" sheetId="4" r:id="rId4"/>
    <sheet name="Report_For_Each_Project" sheetId="5" r:id="rId5"/>
    <sheet name="Template_Weekly_Report_Apr" sheetId="6" r:id="rId6"/>
    <sheet name="Table" sheetId="7" r:id="rId7"/>
    <sheet name="Check_List" sheetId="8" r:id="rId8"/>
    <sheet name="|--&gt;" sheetId="9" r:id="rId9"/>
    <sheet name="Weekly_20200327" sheetId="10" r:id="rId10"/>
    <sheet name="Monthly_20200320" sheetId="11" r:id="rId11"/>
  </sheets>
  <definedNames>
    <definedName name="_xlnm._FilterDatabase" localSheetId="0" hidden="1">COEM_Package_20200302!$A$2:$AG$227</definedName>
    <definedName name="_xlnm._FilterDatabase" localSheetId="3" hidden="1">COEM_Package_20200401!$B$2:$AH$241</definedName>
    <definedName name="Z_00B4488D_95A4_4856_B7E0_BFC3373F6C87_.wvu.FilterData" localSheetId="0" hidden="1">COEM_Package_20200302!$A$2:$AG$225</definedName>
    <definedName name="Z_00B4488D_95A4_4856_B7E0_BFC3373F6C87_.wvu.FilterData" localSheetId="3" hidden="1">COEM_Package_20200401!$A$2:$AH$241</definedName>
    <definedName name="Z_01EDE723_52E9_40B7_9054_DC526F36A118_.wvu.FilterData" localSheetId="0" hidden="1">COEM_Package_20200302!$A$2:$AG$26</definedName>
    <definedName name="Z_01EDE723_52E9_40B7_9054_DC526F36A118_.wvu.FilterData" localSheetId="3" hidden="1">COEM_Package_20200401!$A$2:$AH$241</definedName>
    <definedName name="Z_031BAD48_C5FC_4FB8_8C76_2ADBAD8E3C29_.wvu.FilterData" localSheetId="3" hidden="1">COEM_Package_20200401!$B$2:$AH$241</definedName>
    <definedName name="Z_035FD1CE_E3F1_40A9_8912_67C932F4956B_.wvu.FilterData" localSheetId="3" hidden="1">COEM_Package_20200401!$O$2:$O$270</definedName>
    <definedName name="Z_0531E02C_D0F9_496B_B9D8_D7DCB56FE423_.wvu.FilterData" localSheetId="0" hidden="1">COEM_Package_20200302!$A$2:$AG$225</definedName>
    <definedName name="Z_0531E02C_D0F9_496B_B9D8_D7DCB56FE423_.wvu.FilterData" localSheetId="3" hidden="1">COEM_Package_20200401!$A$2:$AH$241</definedName>
    <definedName name="Z_077A2E00_58CD_4F09_B211_1A515A8A141F_.wvu.FilterData" localSheetId="3" hidden="1">COEM_Package_20200401!$B$2:$AH$241</definedName>
    <definedName name="Z_08AD05A3_5E62_433E_8087_DE4F8055323F_.wvu.FilterData" localSheetId="0" hidden="1">COEM_Package_20200302!$A$2:$AG$225</definedName>
    <definedName name="Z_08AD05A3_5E62_433E_8087_DE4F8055323F_.wvu.FilterData" localSheetId="3" hidden="1">COEM_Package_20200401!$A$2:$AH$241</definedName>
    <definedName name="Z_09D01E11_5602_4BFB_B258_BB045597F741_.wvu.FilterData" localSheetId="0" hidden="1">COEM_Package_20200302!$B$2:$AG$225</definedName>
    <definedName name="Z_09D01E11_5602_4BFB_B258_BB045597F741_.wvu.FilterData" localSheetId="3" hidden="1">COEM_Package_20200401!$B$2:$AH$241</definedName>
    <definedName name="Z_0B50C99A_4F8B_4D04_B153_9175FBB2D1A1_.wvu.FilterData" localSheetId="0" hidden="1">COEM_Package_20200302!$A$2:$AG$227</definedName>
    <definedName name="Z_0B50C99A_4F8B_4D04_B153_9175FBB2D1A1_.wvu.FilterData" localSheetId="3" hidden="1">COEM_Package_20200401!$B$2:$AH$241</definedName>
    <definedName name="Z_0BA56BFF_689D_4F00_A154_0F959EBA8032_.wvu.FilterData" localSheetId="3" hidden="1">COEM_Package_20200401!$B$2:$AH$241</definedName>
    <definedName name="Z_0C7A99AF_AA65_4D1D_A80F_49DA45D471F1_.wvu.FilterData" localSheetId="3" hidden="1">COEM_Package_20200401!$B$2:$AH$241</definedName>
    <definedName name="Z_0CA04276_5960_4E09_A4E8_0B181FA5A0A9_.wvu.FilterData" localSheetId="0" hidden="1">COEM_Package_20200302!$A$2:$AG$225</definedName>
    <definedName name="Z_0CA04276_5960_4E09_A4E8_0B181FA5A0A9_.wvu.FilterData" localSheetId="3" hidden="1">COEM_Package_20200401!$A$2:$AH$241</definedName>
    <definedName name="Z_11411C9A_0810_4019_A59C_236DBD1519E0_.wvu.FilterData" localSheetId="0" hidden="1">COEM_Package_20200302!$A$2:$AG$225</definedName>
    <definedName name="Z_11411C9A_0810_4019_A59C_236DBD1519E0_.wvu.FilterData" localSheetId="3" hidden="1">COEM_Package_20200401!$A$2:$AH$241</definedName>
    <definedName name="Z_12ECA52F_E1F6_4C62_BB28_211497D1C61B_.wvu.FilterData" localSheetId="0" hidden="1">COEM_Package_20200302!$B$2:$AG$225</definedName>
    <definedName name="Z_12ECA52F_E1F6_4C62_BB28_211497D1C61B_.wvu.FilterData" localSheetId="3" hidden="1">COEM_Package_20200401!$B$2:$AH$241</definedName>
    <definedName name="Z_1688F1F8_7FFB_4A1C_8908_5BDE7EC108C6_.wvu.FilterData" localSheetId="0" hidden="1">COEM_Package_20200302!$B$2:$AG$66</definedName>
    <definedName name="Z_1688F1F8_7FFB_4A1C_8908_5BDE7EC108C6_.wvu.FilterData" localSheetId="3" hidden="1">COEM_Package_20200401!$B$2:$AH$241</definedName>
    <definedName name="Z_16D9BD5C_5EEF_45B8_83B1_4358C26FEEAA_.wvu.FilterData" localSheetId="3" hidden="1">COEM_Package_20200401!$B$2:$AH$241</definedName>
    <definedName name="Z_17568297_DE94_42DB_A62D_8B9302C2B85A_.wvu.FilterData" localSheetId="0" hidden="1">COEM_Package_20200302!$B$2:$AF$166</definedName>
    <definedName name="Z_17568297_DE94_42DB_A62D_8B9302C2B85A_.wvu.FilterData" localSheetId="3" hidden="1">COEM_Package_20200401!$B$2:$AG$241</definedName>
    <definedName name="Z_176CD623_4DF1_4454_BE73_44811274886F_.wvu.FilterData" localSheetId="0" hidden="1">COEM_Package_20200302!$A$2:$AG$26</definedName>
    <definedName name="Z_176CD623_4DF1_4454_BE73_44811274886F_.wvu.FilterData" localSheetId="3" hidden="1">COEM_Package_20200401!$A$2:$AH$241</definedName>
    <definedName name="Z_176DF481_0C64_4A72_AD8E_6C5B1725E7E2_.wvu.FilterData" localSheetId="0" hidden="1">COEM_Package_20200302!$A$2:$AG$227</definedName>
    <definedName name="Z_189DD86A_197E_4AEE_A3E6_5814482A22F6_.wvu.FilterData" localSheetId="0" hidden="1">COEM_Package_20200302!$A$2:$AG$225</definedName>
    <definedName name="Z_189DD86A_197E_4AEE_A3E6_5814482A22F6_.wvu.FilterData" localSheetId="3" hidden="1">COEM_Package_20200401!$A$2:$AH$241</definedName>
    <definedName name="Z_1AF4D0EA_ACCE_4629_B4C6_B97043B42328_.wvu.FilterData" localSheetId="3" hidden="1">COEM_Package_20200401!$B$2:$AH$241</definedName>
    <definedName name="Z_1CABE61E_C3DD_4171_8D60_1C6991191787_.wvu.FilterData" localSheetId="0" hidden="1">COEM_Package_20200302!$A$2:$AG$227</definedName>
    <definedName name="Z_1CABE61E_C3DD_4171_8D60_1C6991191787_.wvu.FilterData" localSheetId="3" hidden="1">COEM_Package_20200401!$B$2:$AH$241</definedName>
    <definedName name="Z_1DD5F1AE_58A1_4734_80AC_0564895BDCE0_.wvu.FilterData" localSheetId="3" hidden="1">COEM_Package_20200401!$B$2:$AH$241</definedName>
    <definedName name="Z_1DE6F7DD_DE3B_4CA7_AE91_64F76D2513F8_.wvu.FilterData" localSheetId="3" hidden="1">COEM_Package_20200401!$B$2:$AH$241</definedName>
    <definedName name="Z_1FC6DB17_57A9_4CA3_9851_22FCB52C25D0_.wvu.FilterData" localSheetId="3" hidden="1">COEM_Package_20200401!$B$2:$AH$241</definedName>
    <definedName name="Z_2050022B_86AE_4EC1_9C92_6C8DD4BC2669_.wvu.FilterData" localSheetId="0" hidden="1">COEM_Package_20200302!$B$2:$AG$66</definedName>
    <definedName name="Z_2050022B_86AE_4EC1_9C92_6C8DD4BC2669_.wvu.FilterData" localSheetId="3" hidden="1">COEM_Package_20200401!$B$2:$AH$241</definedName>
    <definedName name="Z_207DCB5E_0750_4CF7_BA15_743AF3A675AA_.wvu.FilterData" localSheetId="3" hidden="1">COEM_Package_20200401!$B$2:$AH$241</definedName>
    <definedName name="Z_2162F9F4_DB3B_406E_9B5C_FA4E58EE84AC_.wvu.FilterData" localSheetId="0" hidden="1">COEM_Package_20200302!$A$2:$AG$26</definedName>
    <definedName name="Z_2162F9F4_DB3B_406E_9B5C_FA4E58EE84AC_.wvu.FilterData" localSheetId="3" hidden="1">COEM_Package_20200401!$A$2:$AH$241</definedName>
    <definedName name="Z_250915DF_0B97_45D7_B29D_7EED4C89C1C1_.wvu.Cols" localSheetId="3" hidden="1">COEM_Package_20200401!$P:$Q</definedName>
    <definedName name="Z_250915DF_0B97_45D7_B29D_7EED4C89C1C1_.wvu.FilterData" localSheetId="0" hidden="1">COEM_Package_20200302!$A$2:$AG$227</definedName>
    <definedName name="Z_250915DF_0B97_45D7_B29D_7EED4C89C1C1_.wvu.FilterData" localSheetId="3" hidden="1">COEM_Package_20200401!$B$2:$AH$241</definedName>
    <definedName name="Z_250A96BD_283B_4529_9CB6_3A77A173C150_.wvu.FilterData" localSheetId="0" hidden="1">COEM_Package_20200302!$B$2:$AG$225</definedName>
    <definedName name="Z_250A96BD_283B_4529_9CB6_3A77A173C150_.wvu.FilterData" localSheetId="3" hidden="1">COEM_Package_20200401!$B$2:$AH$241</definedName>
    <definedName name="Z_25EF079F_DF06_4059_AB6D_9927AC1C30CA_.wvu.FilterData" localSheetId="3" hidden="1">COEM_Package_20200401!$B$2:$AH$241</definedName>
    <definedName name="Z_26F0CF54_2BEC_4A3E_B524_8BD11975426B_.wvu.FilterData" localSheetId="3" hidden="1">COEM_Package_20200401!$B$2:$AH$241</definedName>
    <definedName name="Z_2796A872_74B9_41A6_AD05_2D7FFBF27D76_.wvu.FilterData" localSheetId="0" hidden="1">COEM_Package_20200302!$B$2:$AF$166</definedName>
    <definedName name="Z_2796A872_74B9_41A6_AD05_2D7FFBF27D76_.wvu.FilterData" localSheetId="3" hidden="1">COEM_Package_20200401!$B$2:$AG$241</definedName>
    <definedName name="Z_2995490B_49AE_4FB9_A673_71F3589EA65B_.wvu.FilterData" localSheetId="0" hidden="1">COEM_Package_20200302!$A$2:$AG$225</definedName>
    <definedName name="Z_2995490B_49AE_4FB9_A673_71F3589EA65B_.wvu.FilterData" localSheetId="3" hidden="1">COEM_Package_20200401!$A$2:$AH$241</definedName>
    <definedName name="Z_2ACBFFC8_47AC_4A7F_9EFE_5F7FC40A9488_.wvu.FilterData" localSheetId="3" hidden="1">COEM_Package_20200401!$B$2:$AH$241</definedName>
    <definedName name="Z_2D00111F_86CC_4226_B199_F9D1DFBF3EF0_.wvu.FilterData" localSheetId="3" hidden="1">COEM_Package_20200401!$B$2:$AH$241</definedName>
    <definedName name="Z_2DAA5E76_B8FF_4CD7_93D9_37F81863218D_.wvu.FilterData" localSheetId="0" hidden="1">COEM_Package_20200302!$P$2:$P$244</definedName>
    <definedName name="Z_2DAA5E76_B8FF_4CD7_93D9_37F81863218D_.wvu.FilterData" localSheetId="3" hidden="1">COEM_Package_20200401!$P$2:$P$258</definedName>
    <definedName name="Z_3209B137_0A1A_4F2D_BBCA_FE6D9DBDF35B_.wvu.FilterData" localSheetId="0" hidden="1">COEM_Package_20200302!$A$2:$AG$225</definedName>
    <definedName name="Z_3209B137_0A1A_4F2D_BBCA_FE6D9DBDF35B_.wvu.FilterData" localSheetId="3" hidden="1">COEM_Package_20200401!$A$2:$AH$241</definedName>
    <definedName name="Z_326844B4_1665_4191_A4F8_5A0604445A1E_.wvu.FilterData" localSheetId="3" hidden="1">COEM_Package_20200401!$B$2:$AH$241</definedName>
    <definedName name="Z_329A45A7_EE28_42D8_95BD_0598B318B5B1_.wvu.FilterData" localSheetId="3" hidden="1">COEM_Package_20200401!$B$2:$AH$241</definedName>
    <definedName name="Z_35B0B6AE_086F_4F08_9CA9_A72BF8F13B9D_.wvu.FilterData" localSheetId="0" hidden="1">COEM_Package_20200302!$B$2:$AG$66</definedName>
    <definedName name="Z_35B0B6AE_086F_4F08_9CA9_A72BF8F13B9D_.wvu.FilterData" localSheetId="3" hidden="1">COEM_Package_20200401!$B$2:$AH$241</definedName>
    <definedName name="Z_36B29EBA_BA12_49AB_A275_F6A1D6C8C11A_.wvu.FilterData" localSheetId="0" hidden="1">COEM_Package_20200302!$A$2:$AG$225</definedName>
    <definedName name="Z_36B29EBA_BA12_49AB_A275_F6A1D6C8C11A_.wvu.FilterData" localSheetId="3" hidden="1">COEM_Package_20200401!$A$2:$AH$241</definedName>
    <definedName name="Z_382D887A_F8D5_4E00_A4D1_AE3B77523470_.wvu.FilterData" localSheetId="0" hidden="1">COEM_Package_20200302!$B$2:$AG$66</definedName>
    <definedName name="Z_382D887A_F8D5_4E00_A4D1_AE3B77523470_.wvu.FilterData" localSheetId="3" hidden="1">COEM_Package_20200401!$B$2:$AH$241</definedName>
    <definedName name="Z_3A83DD4B_D5BC_46AA_9637_066A6F10C0C7_.wvu.FilterData" localSheetId="0" hidden="1">COEM_Package_20200302!$A$2:$AG$225</definedName>
    <definedName name="Z_3A83DD4B_D5BC_46AA_9637_066A6F10C0C7_.wvu.FilterData" localSheetId="3" hidden="1">COEM_Package_20200401!$A$2:$AH$241</definedName>
    <definedName name="Z_3AB52AB1_CE4B_4E65_9B66_3B1B58BC84F6_.wvu.FilterData" localSheetId="0" hidden="1">COEM_Package_20200302!$A$2:$AG$26</definedName>
    <definedName name="Z_3AB52AB1_CE4B_4E65_9B66_3B1B58BC84F6_.wvu.FilterData" localSheetId="3" hidden="1">COEM_Package_20200401!$A$2:$AH$241</definedName>
    <definedName name="Z_3AD071D9_D154_4438_817A_F20455563BF3_.wvu.FilterData" localSheetId="3" hidden="1">COEM_Package_20200401!$B$2:$AH$241</definedName>
    <definedName name="Z_3EE173E3_F30C_4123_BA68_472D213EF7CF_.wvu.FilterData" localSheetId="0" hidden="1">COEM_Package_20200302!$B$2:$AG$66</definedName>
    <definedName name="Z_3EE173E3_F30C_4123_BA68_472D213EF7CF_.wvu.FilterData" localSheetId="3" hidden="1">COEM_Package_20200401!$B$2:$AH$241</definedName>
    <definedName name="Z_400DF9EB_0384_48D4_A67E_686556C1B492_.wvu.FilterData" localSheetId="0" hidden="1">COEM_Package_20200302!$A$2:$AG$225</definedName>
    <definedName name="Z_400DF9EB_0384_48D4_A67E_686556C1B492_.wvu.FilterData" localSheetId="3" hidden="1">COEM_Package_20200401!$A$2:$AH$241</definedName>
    <definedName name="Z_40C2C641_E735_404F_AD62_31E9BAD1216F_.wvu.FilterData" localSheetId="0" hidden="1">COEM_Package_20200302!$A$2:$AG$225</definedName>
    <definedName name="Z_40C2C641_E735_404F_AD62_31E9BAD1216F_.wvu.FilterData" localSheetId="3" hidden="1">COEM_Package_20200401!$A$2:$AH$241</definedName>
    <definedName name="Z_41B1B4D1_A075_484C_97B9_D2394E82262D_.wvu.FilterData" localSheetId="0" hidden="1">COEM_Package_20200302!$B$2:$AG$225</definedName>
    <definedName name="Z_41B1B4D1_A075_484C_97B9_D2394E82262D_.wvu.FilterData" localSheetId="3" hidden="1">COEM_Package_20200401!$B$2:$AH$241</definedName>
    <definedName name="Z_41B6B490_4439_41A5_84D6_228571039AC9_.wvu.FilterData" localSheetId="0" hidden="1">COEM_Package_20200302!$O$2:$O$244</definedName>
    <definedName name="Z_41B6B490_4439_41A5_84D6_228571039AC9_.wvu.FilterData" localSheetId="3" hidden="1">COEM_Package_20200401!$O$2:$O$258</definedName>
    <definedName name="Z_41E0E866_DA86_4AEB_BF76_E491B63B8D67_.wvu.FilterData" localSheetId="0" hidden="1">COEM_Package_20200302!$A$2:$AG$225</definedName>
    <definedName name="Z_41E0E866_DA86_4AEB_BF76_E491B63B8D67_.wvu.FilterData" localSheetId="3" hidden="1">COEM_Package_20200401!$A$2:$AH$241</definedName>
    <definedName name="Z_4273BB64_909A_4779_AF1B_C6A535984875_.wvu.FilterData" localSheetId="0" hidden="1">COEM_Package_20200302!$A$2:$AG$225</definedName>
    <definedName name="Z_4273BB64_909A_4779_AF1B_C6A535984875_.wvu.FilterData" localSheetId="3" hidden="1">COEM_Package_20200401!$A$2:$AH$241</definedName>
    <definedName name="Z_42990298_332F_4E07_90F7_164904D913B2_.wvu.FilterData" localSheetId="3" hidden="1">COEM_Package_20200401!$O$2:$O$270</definedName>
    <definedName name="Z_4559A19F_8862_4382_B831_23064F006456_.wvu.FilterData" localSheetId="0" hidden="1">COEM_Package_20200302!$A$2:$AG$26</definedName>
    <definedName name="Z_4559A19F_8862_4382_B831_23064F006456_.wvu.FilterData" localSheetId="3" hidden="1">COEM_Package_20200401!$A$2:$AH$241</definedName>
    <definedName name="Z_493DAEBC_2C67_49B9_AD13_A1DBD6E07EA2_.wvu.FilterData" localSheetId="3" hidden="1">COEM_Package_20200401!$B$2:$AH$241</definedName>
    <definedName name="Z_4E06BDBF_2CED_473B_850B_2A6C7311FF41_.wvu.Cols" localSheetId="3" hidden="1">COEM_Package_20200401!$P:$Q</definedName>
    <definedName name="Z_4E06BDBF_2CED_473B_850B_2A6C7311FF41_.wvu.FilterData" localSheetId="0" hidden="1">COEM_Package_20200302!$A$2:$AG$227</definedName>
    <definedName name="Z_4E06BDBF_2CED_473B_850B_2A6C7311FF41_.wvu.FilterData" localSheetId="3" hidden="1">COEM_Package_20200401!$B$2:$AH$241</definedName>
    <definedName name="Z_4F6B6366_6556_4C13_BC52_5D21D13A6BBD_.wvu.FilterData" localSheetId="3" hidden="1">COEM_Package_20200401!$B$2:$AH$241</definedName>
    <definedName name="Z_4FB3B41F_CA28_4DD6_8996_D23358E75053_.wvu.FilterData" localSheetId="0" hidden="1">COEM_Package_20200302!$B$2:$AG$225</definedName>
    <definedName name="Z_4FB3B41F_CA28_4DD6_8996_D23358E75053_.wvu.FilterData" localSheetId="3" hidden="1">COEM_Package_20200401!$B$2:$AH$241</definedName>
    <definedName name="Z_50790D3B_F87B_45F3_9A61_7DA98CF91557_.wvu.FilterData" localSheetId="3" hidden="1">COEM_Package_20200401!$B$2:$AH$241</definedName>
    <definedName name="Z_50EAB4AE_AC44_4222_AA9B_B307C2966377_.wvu.FilterData" localSheetId="3" hidden="1">COEM_Package_20200401!$B$2:$AH$241</definedName>
    <definedName name="Z_51B33DD2_3A4F_4ED6_8425_E4D47FE10114_.wvu.FilterData" localSheetId="0" hidden="1">COEM_Package_20200302!$A$2:$AG$26</definedName>
    <definedName name="Z_51B33DD2_3A4F_4ED6_8425_E4D47FE10114_.wvu.FilterData" localSheetId="3" hidden="1">COEM_Package_20200401!$A$2:$AH$241</definedName>
    <definedName name="Z_52DECCB7_0796_4506_B3E5_D75747700B63_.wvu.FilterData" localSheetId="0" hidden="1">COEM_Package_20200302!$A$2:$AG$225</definedName>
    <definedName name="Z_52DECCB7_0796_4506_B3E5_D75747700B63_.wvu.FilterData" localSheetId="3" hidden="1">COEM_Package_20200401!$A$2:$AH$241</definedName>
    <definedName name="Z_531A45AE_CB7E_48BC_80BF_D6DD27FCC565_.wvu.FilterData" localSheetId="0" hidden="1">COEM_Package_20200302!$A$2:$AG$26</definedName>
    <definedName name="Z_531A45AE_CB7E_48BC_80BF_D6DD27FCC565_.wvu.FilterData" localSheetId="3" hidden="1">COEM_Package_20200401!$A$2:$AH$241</definedName>
    <definedName name="Z_531D8BB1_1EA1_41B2_896B_A69A6024C4FA_.wvu.FilterData" localSheetId="0" hidden="1">COEM_Package_20200302!$B$2:$AG$225</definedName>
    <definedName name="Z_531D8BB1_1EA1_41B2_896B_A69A6024C4FA_.wvu.FilterData" localSheetId="3" hidden="1">COEM_Package_20200401!$B$2:$AH$241</definedName>
    <definedName name="Z_54F2E081_E30A_4DB4_A244_BEB47513EEB2_.wvu.FilterData" localSheetId="3" hidden="1">COEM_Package_20200401!$B$2:$AH$241</definedName>
    <definedName name="Z_56BE0167_3075_466C_AEE9_46C5DC701D64_.wvu.FilterData" localSheetId="3" hidden="1">COEM_Package_20200401!$B$2:$AH$241</definedName>
    <definedName name="Z_582D1C0D_4848_4429_A801_7AE90E99F8E8_.wvu.FilterData" localSheetId="3" hidden="1">COEM_Package_20200401!$B$2:$AH$241</definedName>
    <definedName name="Z_594856DB_1796_41BA_9D27_B22FF73A30E5_.wvu.FilterData" localSheetId="0" hidden="1">COEM_Package_20200302!$B$2:$AG$66</definedName>
    <definedName name="Z_594856DB_1796_41BA_9D27_B22FF73A30E5_.wvu.FilterData" localSheetId="3" hidden="1">COEM_Package_20200401!$B$2:$AH$241</definedName>
    <definedName name="Z_59E59F6B_2599_43D1_B9BD_FC6B6842D97D_.wvu.FilterData" localSheetId="3" hidden="1">COEM_Package_20200401!$B$2:$AH$241</definedName>
    <definedName name="Z_5A69BDDC_69D1_4C06_9FA2_5E7FFAF1DD5D_.wvu.FilterData" localSheetId="0" hidden="1">COEM_Package_20200302!$B$2:$AG$66</definedName>
    <definedName name="Z_5A69BDDC_69D1_4C06_9FA2_5E7FFAF1DD5D_.wvu.FilterData" localSheetId="3" hidden="1">COEM_Package_20200401!$B$2:$AH$241</definedName>
    <definedName name="Z_5D0FF689_E822_48DE_8E54_0CBEE6E4BFF9_.wvu.FilterData" localSheetId="3" hidden="1">COEM_Package_20200401!$B$2:$AH$241</definedName>
    <definedName name="Z_5F96D9B1_B13C_4F03_948F_0B571D63E9B7_.wvu.FilterData" localSheetId="3" hidden="1">COEM_Package_20200401!$B$2:$AH$241</definedName>
    <definedName name="Z_5FC8F6A2_FE2C_4112_93D2_7B467E48D855_.wvu.FilterData" localSheetId="3" hidden="1">COEM_Package_20200401!$B$2:$AH$241</definedName>
    <definedName name="Z_60AF476A_0248_4AA2_AE15_DC04C7E32858_.wvu.FilterData" localSheetId="0" hidden="1">COEM_Package_20200302!$A$2:$AG$26</definedName>
    <definedName name="Z_60AF476A_0248_4AA2_AE15_DC04C7E32858_.wvu.FilterData" localSheetId="3" hidden="1">COEM_Package_20200401!$A$2:$AH$241</definedName>
    <definedName name="Z_60D2C030_4E31_4E07_8E1C_44D2EE84B177_.wvu.Cols" localSheetId="3" hidden="1">COEM_Package_20200401!$P:$Q</definedName>
    <definedName name="Z_60D2C030_4E31_4E07_8E1C_44D2EE84B177_.wvu.FilterData" localSheetId="0" hidden="1">COEM_Package_20200302!$B$2:$AG$227</definedName>
    <definedName name="Z_60D2C030_4E31_4E07_8E1C_44D2EE84B177_.wvu.FilterData" localSheetId="3" hidden="1">COEM_Package_20200401!$B$2:$AH$241</definedName>
    <definedName name="Z_67638758_F59B_4CE4_ABF7_530DFBE3C588_.wvu.FilterData" localSheetId="0" hidden="1">COEM_Package_20200302!$O$2:$O$244</definedName>
    <definedName name="Z_67638758_F59B_4CE4_ABF7_530DFBE3C588_.wvu.FilterData" localSheetId="3" hidden="1">COEM_Package_20200401!$O$2:$O$258</definedName>
    <definedName name="Z_67823219_E5F6_4230_86E0_7EF8352BE893_.wvu.FilterData" localSheetId="0" hidden="1">COEM_Package_20200302!$B$2:$AG$225</definedName>
    <definedName name="Z_67823219_E5F6_4230_86E0_7EF8352BE893_.wvu.FilterData" localSheetId="3" hidden="1">COEM_Package_20200401!$B$2:$AH$241</definedName>
    <definedName name="Z_6A105B8F_5BC5_43CB_A586_248CB47BBA9F_.wvu.FilterData" localSheetId="3" hidden="1">COEM_Package_20200401!$B$2:$AH$241</definedName>
    <definedName name="Z_6B1BA5A9_E057_4F4A_9C65_C6B9C02CC00C_.wvu.FilterData" localSheetId="0" hidden="1">COEM_Package_20200302!$P$2:$P$244</definedName>
    <definedName name="Z_6B1BA5A9_E057_4F4A_9C65_C6B9C02CC00C_.wvu.FilterData" localSheetId="3" hidden="1">COEM_Package_20200401!$P$2:$P$258</definedName>
    <definedName name="Z_6B549CAA_FBB1_42C5_BD0D_4CB4C956402D_.wvu.FilterData" localSheetId="3" hidden="1">COEM_Package_20200401!$O$2:$O$270</definedName>
    <definedName name="Z_6E4209AB_676D_414B_9F60_8A2833E21E7F_.wvu.FilterData" localSheetId="3" hidden="1">COEM_Package_20200401!$B$2:$AH$241</definedName>
    <definedName name="Z_72A6EB0A_84D5_4B8A_AC51_54CCD061630B_.wvu.Cols" localSheetId="3" hidden="1">COEM_Package_20200401!$P:$Q</definedName>
    <definedName name="Z_72A6EB0A_84D5_4B8A_AC51_54CCD061630B_.wvu.FilterData" localSheetId="0" hidden="1">COEM_Package_20200302!$A$2:$AG$227</definedName>
    <definedName name="Z_72A6EB0A_84D5_4B8A_AC51_54CCD061630B_.wvu.FilterData" localSheetId="3" hidden="1">COEM_Package_20200401!$B$2:$AH$241</definedName>
    <definedName name="Z_72BC4F42_68AA_4143_BCCA_20A8ECEBEA18_.wvu.FilterData" localSheetId="3" hidden="1">COEM_Package_20200401!$B$2:$AH$241</definedName>
    <definedName name="Z_7341A8CD_FBA6_4B2D_8E4A_3A0E9AF8C404_.wvu.FilterData" localSheetId="0" hidden="1">COEM_Package_20200302!$B$2:$AG$66</definedName>
    <definedName name="Z_7341A8CD_FBA6_4B2D_8E4A_3A0E9AF8C404_.wvu.FilterData" localSheetId="3" hidden="1">COEM_Package_20200401!$B$2:$AH$241</definedName>
    <definedName name="Z_740DC6B1_F8A3_42A4_9DBA_B7F4B4302024_.wvu.FilterData" localSheetId="0" hidden="1">COEM_Package_20200302!$B$2:$AF$10</definedName>
    <definedName name="Z_740DC6B1_F8A3_42A4_9DBA_B7F4B4302024_.wvu.FilterData" localSheetId="3" hidden="1">COEM_Package_20200401!$B$2:$AG$12</definedName>
    <definedName name="Z_75078333_AA44_4520_8C14_4FAFDE61B0CA_.wvu.FilterData" localSheetId="3" hidden="1">COEM_Package_20200401!$B$2:$AH$241</definedName>
    <definedName name="Z_75A4F615_D1D1_4AB2_81C8_6C2DA789DDF5_.wvu.FilterData" localSheetId="3" hidden="1">COEM_Package_20200401!$B$2:$AH$241</definedName>
    <definedName name="Z_75EBBE3D_6BBB_4DA6_9D69_395330ADF817_.wvu.FilterData" localSheetId="0" hidden="1">COEM_Package_20200302!$B$2:$AG$66</definedName>
    <definedName name="Z_75EBBE3D_6BBB_4DA6_9D69_395330ADF817_.wvu.FilterData" localSheetId="3" hidden="1">COEM_Package_20200401!$B$2:$AH$241</definedName>
    <definedName name="Z_77E3614A_168A_4B25_8CA6_16542FFB62CD_.wvu.FilterData" localSheetId="3" hidden="1">COEM_Package_20200401!$B$2:$AH$241</definedName>
    <definedName name="Z_7A2ABC1B_BBED_4700_958B_A7B390790674_.wvu.FilterData" localSheetId="3" hidden="1">COEM_Package_20200401!$B$2:$AH$241</definedName>
    <definedName name="Z_7C5EA105_2752_453D_88BA_A08BD8FF34E5_.wvu.FilterData" localSheetId="0" hidden="1">COEM_Package_20200302!$A$2:$AG$26</definedName>
    <definedName name="Z_7C5EA105_2752_453D_88BA_A08BD8FF34E5_.wvu.FilterData" localSheetId="3" hidden="1">COEM_Package_20200401!$A$2:$AH$241</definedName>
    <definedName name="Z_7E0EA425_A420_4443_B9E0_CDF0AA9E5D09_.wvu.Cols" localSheetId="0" hidden="1">COEM_Package_20200302!$P:$Q</definedName>
    <definedName name="Z_7E0EA425_A420_4443_B9E0_CDF0AA9E5D09_.wvu.Cols" localSheetId="3" hidden="1">COEM_Package_20200401!$P:$Q</definedName>
    <definedName name="Z_7E0EA425_A420_4443_B9E0_CDF0AA9E5D09_.wvu.FilterData" localSheetId="0" hidden="1">COEM_Package_20200302!$A$2:$AG$227</definedName>
    <definedName name="Z_7E0EA425_A420_4443_B9E0_CDF0AA9E5D09_.wvu.FilterData" localSheetId="3" hidden="1">COEM_Package_20200401!$B$2:$AH$241</definedName>
    <definedName name="Z_7ECC2B8E_6A82_42F5_8AB0_4A51C54EA5EC_.wvu.Cols" localSheetId="0" hidden="1">COEM_Package_20200302!$M:$N</definedName>
    <definedName name="Z_7ECC2B8E_6A82_42F5_8AB0_4A51C54EA5EC_.wvu.Cols" localSheetId="3" hidden="1">COEM_Package_20200401!$M:$N</definedName>
    <definedName name="Z_7ECC2B8E_6A82_42F5_8AB0_4A51C54EA5EC_.wvu.FilterData" localSheetId="0" hidden="1">COEM_Package_20200302!$P$2:$P$244</definedName>
    <definedName name="Z_7ECC2B8E_6A82_42F5_8AB0_4A51C54EA5EC_.wvu.FilterData" localSheetId="3" hidden="1">COEM_Package_20200401!$P$2:$P$258</definedName>
    <definedName name="Z_81D68B78_6C90_4E62_A9A0_FE3F984DF787_.wvu.FilterData" localSheetId="3" hidden="1">COEM_Package_20200401!$B$2:$AH$241</definedName>
    <definedName name="Z_8285EB99_59BB_4F35_93B9_861616B51559_.wvu.FilterData" localSheetId="0" hidden="1">COEM_Package_20200302!$A$3:$AG$225</definedName>
    <definedName name="Z_8285EB99_59BB_4F35_93B9_861616B51559_.wvu.FilterData" localSheetId="3" hidden="1">COEM_Package_20200401!$A$3:$AH$241</definedName>
    <definedName name="Z_839DFCBD_B2E4_4623_A615_58494692EC74_.wvu.FilterData" localSheetId="0" hidden="1">COEM_Package_20200302!$P$2:$P$244</definedName>
    <definedName name="Z_839DFCBD_B2E4_4623_A615_58494692EC74_.wvu.FilterData" localSheetId="3" hidden="1">COEM_Package_20200401!$P$2:$P$258</definedName>
    <definedName name="Z_8666B3DA_5A6C_4D9E_8757_08180744F52F_.wvu.FilterData" localSheetId="3" hidden="1">COEM_Package_20200401!$B$2:$AH$241</definedName>
    <definedName name="Z_876285A6_5405_4EE6_9802_1CD531055557_.wvu.FilterData" localSheetId="3" hidden="1">COEM_Package_20200401!$O$2:$O$270</definedName>
    <definedName name="Z_8D033CB5_99FC_4DAA_B0A4_21859EBD9D92_.wvu.FilterData" localSheetId="3" hidden="1">COEM_Package_20200401!$B$2:$AH$241</definedName>
    <definedName name="Z_8E5235EE_2D8C_493E_9174_54E8CB8F0170_.wvu.FilterData" localSheetId="0" hidden="1">COEM_Package_20200302!$B$2:$AG$227</definedName>
    <definedName name="Z_8E5235EE_2D8C_493E_9174_54E8CB8F0170_.wvu.FilterData" localSheetId="3" hidden="1">COEM_Package_20200401!$B$2:$AH$241</definedName>
    <definedName name="Z_8FEFE928_94D1_44D7_84F8_55FFEA01DDA3_.wvu.FilterData" localSheetId="3" hidden="1">COEM_Package_20200401!$B$2:$AH$241</definedName>
    <definedName name="Z_906FB9A6_0BB7_413C_A628_192CC46EA33D_.wvu.FilterData" localSheetId="0" hidden="1">COEM_Package_20200302!$A$2:$AG$225</definedName>
    <definedName name="Z_906FB9A6_0BB7_413C_A628_192CC46EA33D_.wvu.FilterData" localSheetId="3" hidden="1">COEM_Package_20200401!$A$2:$AH$241</definedName>
    <definedName name="Z_925FB698_D7FE_42C7_AA05_C2908FECE4B8_.wvu.FilterData" localSheetId="0" hidden="1">COEM_Package_20200302!$A$2:$AG$26</definedName>
    <definedName name="Z_925FB698_D7FE_42C7_AA05_C2908FECE4B8_.wvu.FilterData" localSheetId="3" hidden="1">COEM_Package_20200401!$A$2:$AH$241</definedName>
    <definedName name="Z_98819C79_F849_43BF_931F_D6F742BBA675_.wvu.FilterData" localSheetId="3" hidden="1">COEM_Package_20200401!$B$2:$AH$241</definedName>
    <definedName name="Z_9AB53BE4_5009_47C5_8741_484ED42BD04A_.wvu.FilterData" localSheetId="3" hidden="1">COEM_Package_20200401!$B$2:$AH$241</definedName>
    <definedName name="Z_9AFC86BF_9493_4ED5_8763_E5A763C0997C_.wvu.FilterData" localSheetId="0" hidden="1">COEM_Package_20200302!$P$2:$P$244</definedName>
    <definedName name="Z_9AFC86BF_9493_4ED5_8763_E5A763C0997C_.wvu.FilterData" localSheetId="3" hidden="1">COEM_Package_20200401!$P$2:$P$258</definedName>
    <definedName name="Z_9B66F7EE_F031_4C71_8C98_51E05F7F8BB3_.wvu.FilterData" localSheetId="0" hidden="1">COEM_Package_20200302!$A$2:$AG$225</definedName>
    <definedName name="Z_9B66F7EE_F031_4C71_8C98_51E05F7F8BB3_.wvu.FilterData" localSheetId="3" hidden="1">COEM_Package_20200401!$A$2:$AH$241</definedName>
    <definedName name="Z_9B87EC83_4517_426D_BA62_21C441DCAB3D_.wvu.FilterData" localSheetId="0" hidden="1">COEM_Package_20200302!$A$2:$AG$227</definedName>
    <definedName name="Z_9BBC5FBB_CEC7_4B7E_8FC1_DC9F240B7B1A_.wvu.FilterData" localSheetId="0" hidden="1">COEM_Package_20200302!$B$2:$AF$166</definedName>
    <definedName name="Z_9BBC5FBB_CEC7_4B7E_8FC1_DC9F240B7B1A_.wvu.FilterData" localSheetId="3" hidden="1">COEM_Package_20200401!$B$2:$AG$241</definedName>
    <definedName name="Z_9D98A458_8FF5_4B71_8A8B_EE0D8BF161E6_.wvu.FilterData" localSheetId="0" hidden="1">COEM_Package_20200302!$A$2:$AG$225</definedName>
    <definedName name="Z_9D98A458_8FF5_4B71_8A8B_EE0D8BF161E6_.wvu.FilterData" localSheetId="3" hidden="1">COEM_Package_20200401!$A$2:$AH$241</definedName>
    <definedName name="Z_9ED4B296_E9A0_43D8_A56B_F4D7CC736352_.wvu.FilterData" localSheetId="0" hidden="1">COEM_Package_20200302!$B$2:$AF$10</definedName>
    <definedName name="Z_9ED4B296_E9A0_43D8_A56B_F4D7CC736352_.wvu.FilterData" localSheetId="3" hidden="1">COEM_Package_20200401!$B$2:$AG$12</definedName>
    <definedName name="Z_A239C479_B2DC_4DCA_A930_634A835634B0_.wvu.FilterData" localSheetId="0" hidden="1">COEM_Package_20200302!$B$2:$AF$166</definedName>
    <definedName name="Z_A239C479_B2DC_4DCA_A930_634A835634B0_.wvu.FilterData" localSheetId="3" hidden="1">COEM_Package_20200401!$B$2:$AG$241</definedName>
    <definedName name="Z_A2E0FBA7_CFB4_4914_B100_23A9162A3A70_.wvu.FilterData" localSheetId="3" hidden="1">COEM_Package_20200401!$B$2:$AH$241</definedName>
    <definedName name="Z_A496F5E6_8AE3_45F0_9591_4622E0FA0969_.wvu.FilterData" localSheetId="0" hidden="1">COEM_Package_20200302!$A$2:$AG$225</definedName>
    <definedName name="Z_A496F5E6_8AE3_45F0_9591_4622E0FA0969_.wvu.FilterData" localSheetId="3" hidden="1">COEM_Package_20200401!$A$2:$AH$241</definedName>
    <definedName name="Z_A51EBE84_CBC8_46F9_AE0C_B070690415D4_.wvu.FilterData" localSheetId="0" hidden="1">COEM_Package_20200302!$P$2:$P$244</definedName>
    <definedName name="Z_A51EBE84_CBC8_46F9_AE0C_B070690415D4_.wvu.FilterData" localSheetId="3" hidden="1">COEM_Package_20200401!$P$2:$P$258</definedName>
    <definedName name="Z_A84B0235_6417_4C5C_8DC6_6866A08E4BA5_.wvu.FilterData" localSheetId="3" hidden="1">COEM_Package_20200401!$B$2:$AH$241</definedName>
    <definedName name="Z_A93054B1_70A8_486D_AF37_59F1C2DEFCA3_.wvu.FilterData" localSheetId="3" hidden="1">COEM_Package_20200401!$B$2:$AH$241</definedName>
    <definedName name="Z_A9348308_BC55_49A4_8208_2434A4A6D1C9_.wvu.FilterData" localSheetId="3" hidden="1">COEM_Package_20200401!$B$2:$AH$241</definedName>
    <definedName name="Z_AC440245_29E4_475F_A2AB_22CC73720F95_.wvu.FilterData" localSheetId="3" hidden="1">COEM_Package_20200401!$B$2:$AH$241</definedName>
    <definedName name="Z_AC9F3C77_6251_4EA1_8492_F9EE3AF2E860_.wvu.FilterData" localSheetId="3" hidden="1">COEM_Package_20200401!$B$2:$AH$241</definedName>
    <definedName name="Z_ACD49FC7_935A_41EE_92F2_C7EE22A85C5A_.wvu.FilterData" localSheetId="0" hidden="1">COEM_Package_20200302!$A$2:$AG$225</definedName>
    <definedName name="Z_ACD49FC7_935A_41EE_92F2_C7EE22A85C5A_.wvu.FilterData" localSheetId="3" hidden="1">COEM_Package_20200401!$A$2:$AH$241</definedName>
    <definedName name="Z_AEAF4D71_0127_4869_AEFB_E66F1C078419_.wvu.FilterData" localSheetId="0" hidden="1">COEM_Package_20200302!$B$2:$AG$225</definedName>
    <definedName name="Z_AEAF4D71_0127_4869_AEFB_E66F1C078419_.wvu.FilterData" localSheetId="3" hidden="1">COEM_Package_20200401!$B$2:$AH$241</definedName>
    <definedName name="Z_AECDC39D_B5FD_4DD6_A717_CD2987A585E9_.wvu.FilterData" localSheetId="3" hidden="1">COEM_Package_20200401!$B$2:$AH$241</definedName>
    <definedName name="Z_AF3A0642_5B32_4501_B577_DEF23756F296_.wvu.FilterData" localSheetId="3" hidden="1">COEM_Package_20200401!$B$2:$AH$241</definedName>
    <definedName name="Z_B156AFFA_16DF_4425_86DA_8148471DAEFC_.wvu.FilterData" localSheetId="0" hidden="1">COEM_Package_20200302!$B$2:$AG$66</definedName>
    <definedName name="Z_B156AFFA_16DF_4425_86DA_8148471DAEFC_.wvu.FilterData" localSheetId="3" hidden="1">COEM_Package_20200401!$B$2:$AH$241</definedName>
    <definedName name="Z_B57EF6F3_E59D_434B_9336_7B5B5B3634A8_.wvu.FilterData" localSheetId="0" hidden="1">COEM_Package_20200302!$A$2:$AG$225</definedName>
    <definedName name="Z_B57EF6F3_E59D_434B_9336_7B5B5B3634A8_.wvu.FilterData" localSheetId="3" hidden="1">COEM_Package_20200401!$A$2:$AH$241</definedName>
    <definedName name="Z_B5F61057_864A_4A05_A2A3_DE47041B609F_.wvu.FilterData" localSheetId="3" hidden="1">COEM_Package_20200401!$B$2:$AH$241</definedName>
    <definedName name="Z_B90DB7C2_E51D_4CF2_8FD5_1F2A71149B77_.wvu.FilterData" localSheetId="0" hidden="1">COEM_Package_20200302!$B$2:$AG$26</definedName>
    <definedName name="Z_B90DB7C2_E51D_4CF2_8FD5_1F2A71149B77_.wvu.FilterData" localSheetId="3" hidden="1">COEM_Package_20200401!$B$2:$AH$241</definedName>
    <definedName name="Z_B9DC22AF_7F7D_40B8_8A57_B4FF34A5FEFD_.wvu.FilterData" localSheetId="3" hidden="1">COEM_Package_20200401!$B$2:$AH$241</definedName>
    <definedName name="Z_BA1EA899_A67B_4AE0_83A4_B82D05331D8F_.wvu.FilterData" localSheetId="0" hidden="1">COEM_Package_20200302!$P$2:$P$244</definedName>
    <definedName name="Z_BA1EA899_A67B_4AE0_83A4_B82D05331D8F_.wvu.FilterData" localSheetId="3" hidden="1">COEM_Package_20200401!$P$2:$P$258</definedName>
    <definedName name="Z_BB8AAD79_297D_4B1B_A758_DD8485F2DD4C_.wvu.FilterData" localSheetId="3" hidden="1">COEM_Package_20200401!$B$2:$AH$241</definedName>
    <definedName name="Z_BBAE6BD0_8958_494E_83AF_3471AF879750_.wvu.FilterData" localSheetId="0" hidden="1">COEM_Package_20200302!$B$2:$AF$66</definedName>
    <definedName name="Z_BBAE6BD0_8958_494E_83AF_3471AF879750_.wvu.FilterData" localSheetId="3" hidden="1">COEM_Package_20200401!$B$2:$AG$241</definedName>
    <definedName name="Z_BC3B5475_529F_43D1_84B4_27DD4352C85B_.wvu.FilterData" localSheetId="0" hidden="1">COEM_Package_20200302!$B$2:$AG$225</definedName>
    <definedName name="Z_BC3B5475_529F_43D1_84B4_27DD4352C85B_.wvu.FilterData" localSheetId="3" hidden="1">COEM_Package_20200401!$B$2:$AH$241</definedName>
    <definedName name="Z_BC3C5311_6A75_4A0E_91A2_B3B621C4B757_.wvu.FilterData" localSheetId="3" hidden="1">COEM_Package_20200401!$B$2:$AH$241</definedName>
    <definedName name="Z_BF6030AA_D1CA_4D5C_8CFB_69427E72B945_.wvu.FilterData" localSheetId="0" hidden="1">COEM_Package_20200302!$B$2:$AG$225</definedName>
    <definedName name="Z_BF6030AA_D1CA_4D5C_8CFB_69427E72B945_.wvu.FilterData" localSheetId="3" hidden="1">COEM_Package_20200401!$B$2:$AH$241</definedName>
    <definedName name="Z_C11121DB_E106_4AA2_B5FF_59AD4E125A4C_.wvu.FilterData" localSheetId="3" hidden="1">COEM_Package_20200401!$B$2:$AH$241</definedName>
    <definedName name="Z_C2903E39_3C94_4EB6_A3CC_96D0BE27A109_.wvu.FilterData" localSheetId="0" hidden="1">COEM_Package_20200302!$A$2:$AG$26</definedName>
    <definedName name="Z_C2903E39_3C94_4EB6_A3CC_96D0BE27A109_.wvu.FilterData" localSheetId="3" hidden="1">COEM_Package_20200401!$A$2:$AH$241</definedName>
    <definedName name="Z_C3465E76_0042_4664_9CC1_8B8B9206C040_.wvu.FilterData" localSheetId="3" hidden="1">COEM_Package_20200401!$B$2:$AH$241</definedName>
    <definedName name="Z_C42196FB_05E2_43D7_B266_92F73D8A5D75_.wvu.FilterData" localSheetId="0" hidden="1">COEM_Package_20200302!$A$2:$AG$225</definedName>
    <definedName name="Z_C42196FB_05E2_43D7_B266_92F73D8A5D75_.wvu.FilterData" localSheetId="3" hidden="1">COEM_Package_20200401!$A$2:$AH$241</definedName>
    <definedName name="Z_C49D7E28_2F36_48BA_AADA_1011921361FC_.wvu.FilterData" localSheetId="3" hidden="1">COEM_Package_20200401!$O$2:$O$270</definedName>
    <definedName name="Z_C4BC5062_8F38_4A96_A004_5659583461FE_.wvu.FilterData" localSheetId="0" hidden="1">COEM_Package_20200302!$A$2:$AG$26</definedName>
    <definedName name="Z_C4BC5062_8F38_4A96_A004_5659583461FE_.wvu.FilterData" localSheetId="3" hidden="1">COEM_Package_20200401!$A$2:$AH$241</definedName>
    <definedName name="Z_C81A18B8_F373_4EA5_8BEE_9CCD78D9B614_.wvu.FilterData" localSheetId="0" hidden="1">COEM_Package_20200302!$A$2:$AG$225</definedName>
    <definedName name="Z_C81A18B8_F373_4EA5_8BEE_9CCD78D9B614_.wvu.FilterData" localSheetId="3" hidden="1">COEM_Package_20200401!$A$2:$AH$241</definedName>
    <definedName name="Z_CB28C596_9F9E_494B_B56D_ECD6004C6E89_.wvu.FilterData" localSheetId="0" hidden="1">COEM_Package_20200302!$A$2:$AG$225</definedName>
    <definedName name="Z_CB28C596_9F9E_494B_B56D_ECD6004C6E89_.wvu.FilterData" localSheetId="3" hidden="1">COEM_Package_20200401!$A$2:$AH$241</definedName>
    <definedName name="Z_CBEF51E1_FAD6_43D8_BBFD_6C1B32E55B4B_.wvu.FilterData" localSheetId="0" hidden="1">COEM_Package_20200302!$A$2:$AG$225</definedName>
    <definedName name="Z_CBEF51E1_FAD6_43D8_BBFD_6C1B32E55B4B_.wvu.FilterData" localSheetId="3" hidden="1">COEM_Package_20200401!$A$2:$AH$241</definedName>
    <definedName name="Z_CF7D8FA3_D125_4EB9_A053_2F4A0FE3836A_.wvu.FilterData" localSheetId="0" hidden="1">COEM_Package_20200302!$A$2:$AG$225</definedName>
    <definedName name="Z_CF7D8FA3_D125_4EB9_A053_2F4A0FE3836A_.wvu.FilterData" localSheetId="3" hidden="1">COEM_Package_20200401!$A$2:$AH$241</definedName>
    <definedName name="Z_D1C51C0E_AD66_47FF_BB4B_92BFDC038388_.wvu.FilterData" localSheetId="3" hidden="1">COEM_Package_20200401!$B$2:$AH$241</definedName>
    <definedName name="Z_D1F7047B_CC2E_48BC_8022_C8013AE2B1E1_.wvu.Cols" localSheetId="3" hidden="1">COEM_Package_20200401!$P:$Q</definedName>
    <definedName name="Z_D1F7047B_CC2E_48BC_8022_C8013AE2B1E1_.wvu.FilterData" localSheetId="0" hidden="1">COEM_Package_20200302!$A$2:$AG$227</definedName>
    <definedName name="Z_D1F7047B_CC2E_48BC_8022_C8013AE2B1E1_.wvu.FilterData" localSheetId="3" hidden="1">COEM_Package_20200401!$B$2:$AH$241</definedName>
    <definedName name="Z_D3C27057_82FD_4B65_B62E_707A2F121BDE_.wvu.FilterData" localSheetId="3" hidden="1">COEM_Package_20200401!$B$2:$AH$241</definedName>
    <definedName name="Z_D5F9A537_3EF6_4FA9_94D8_ABB431F3ED7F_.wvu.FilterData" localSheetId="0" hidden="1">COEM_Package_20200302!$P$2:$P$244</definedName>
    <definedName name="Z_D5F9A537_3EF6_4FA9_94D8_ABB431F3ED7F_.wvu.FilterData" localSheetId="3" hidden="1">COEM_Package_20200401!$P$2:$P$258</definedName>
    <definedName name="Z_D64A1F39_2F26_414B_BFD8_5E15BACEFD82_.wvu.FilterData" localSheetId="0" hidden="1">COEM_Package_20200302!$A$2:$AG$26</definedName>
    <definedName name="Z_D64A1F39_2F26_414B_BFD8_5E15BACEFD82_.wvu.FilterData" localSheetId="3" hidden="1">COEM_Package_20200401!$A$2:$AH$241</definedName>
    <definedName name="Z_D7052A08_90FA_48CA_82A8_5EA9416A6CAA_.wvu.FilterData" localSheetId="0" hidden="1">COEM_Package_20200302!$A$2:$AG$227</definedName>
    <definedName name="Z_D71C8170_5CF8_45BB_885E_2E519DB4B102_.wvu.FilterData" localSheetId="0" hidden="1">COEM_Package_20200302!$A$2:$AG$225</definedName>
    <definedName name="Z_D71C8170_5CF8_45BB_885E_2E519DB4B102_.wvu.FilterData" localSheetId="3" hidden="1">COEM_Package_20200401!$A$2:$AH$241</definedName>
    <definedName name="Z_D918F6EC_D099_437B_89A3_9ACCBBCF386B_.wvu.FilterData" localSheetId="3" hidden="1">COEM_Package_20200401!$B$2:$AH$241</definedName>
    <definedName name="Z_DAD7BB38_0E1F_419E_B884_7AE8DE7DB88D_.wvu.FilterData" localSheetId="0" hidden="1">COEM_Package_20200302!$B$2:$AG$66</definedName>
    <definedName name="Z_DAD7BB38_0E1F_419E_B884_7AE8DE7DB88D_.wvu.FilterData" localSheetId="3" hidden="1">COEM_Package_20200401!$B$2:$AH$241</definedName>
    <definedName name="Z_DCCFDF96_A2B0_4317_A5B6_111D31103E37_.wvu.FilterData" localSheetId="3" hidden="1">COEM_Package_20200401!$B$2:$AH$241</definedName>
    <definedName name="Z_DDF827EC_E1F1_48B8_B7DB_C164C61411CF_.wvu.FilterData" localSheetId="0" hidden="1">COEM_Package_20200302!$A$2:$AG$225</definedName>
    <definedName name="Z_DDF827EC_E1F1_48B8_B7DB_C164C61411CF_.wvu.FilterData" localSheetId="3" hidden="1">COEM_Package_20200401!$A$2:$AH$241</definedName>
    <definedName name="Z_DF32D75A_CA89_4A9E_8E88_1BB2580B298C_.wvu.FilterData" localSheetId="3" hidden="1">COEM_Package_20200401!$B$2:$AH$241</definedName>
    <definedName name="Z_E30F7C3C_88AD_4DA8_91E9_12528CA3533B_.wvu.FilterData" localSheetId="0" hidden="1">COEM_Package_20200302!$A$2:$AG$225</definedName>
    <definedName name="Z_E30F7C3C_88AD_4DA8_91E9_12528CA3533B_.wvu.FilterData" localSheetId="3" hidden="1">COEM_Package_20200401!$A$2:$AH$241</definedName>
    <definedName name="Z_E37D5B95_51DD_42C5_B085_60C100330042_.wvu.FilterData" localSheetId="0" hidden="1">COEM_Package_20200302!$A$2:$AG$225</definedName>
    <definedName name="Z_E37D5B95_51DD_42C5_B085_60C100330042_.wvu.FilterData" localSheetId="3" hidden="1">COEM_Package_20200401!$A$2:$AH$241</definedName>
    <definedName name="Z_E3A26F30_0277_4A5E_993E_C53D19254B8A_.wvu.FilterData" localSheetId="0" hidden="1">COEM_Package_20200302!$A$2:$AG$225</definedName>
    <definedName name="Z_E3A26F30_0277_4A5E_993E_C53D19254B8A_.wvu.FilterData" localSheetId="3" hidden="1">COEM_Package_20200401!$A$2:$AH$241</definedName>
    <definedName name="Z_E5802D48_ABA7_43D5_925C_3A155CB2DA37_.wvu.FilterData" localSheetId="3" hidden="1">COEM_Package_20200401!$B$2:$AH$241</definedName>
    <definedName name="Z_E5EEA525_3367_48FE_9E5F_ADB0EC9D430F_.wvu.FilterData" localSheetId="0" hidden="1">COEM_Package_20200302!$A$2:$AG$225</definedName>
    <definedName name="Z_E5EEA525_3367_48FE_9E5F_ADB0EC9D430F_.wvu.FilterData" localSheetId="3" hidden="1">COEM_Package_20200401!$A$2:$AH$241</definedName>
    <definedName name="Z_E812050A_1B97_4FAB_80D7_B16A7EC3293F_.wvu.FilterData" localSheetId="0" hidden="1">COEM_Package_20200302!$A$2:$AG$225</definedName>
    <definedName name="Z_E812050A_1B97_4FAB_80D7_B16A7EC3293F_.wvu.FilterData" localSheetId="3" hidden="1">COEM_Package_20200401!$A$2:$AH$241</definedName>
    <definedName name="Z_E8991E61_6D05_4C3B_B928_FD787FF86F58_.wvu.FilterData" localSheetId="0" hidden="1">COEM_Package_20200302!$P$2:$P$244</definedName>
    <definedName name="Z_E8991E61_6D05_4C3B_B928_FD787FF86F58_.wvu.FilterData" localSheetId="3" hidden="1">COEM_Package_20200401!$P$2:$P$258</definedName>
    <definedName name="Z_EB5E7E9A_951B_45B6_B0A1_60DAF7FD2DBC_.wvu.FilterData" localSheetId="3" hidden="1">COEM_Package_20200401!$B$2:$AH$241</definedName>
    <definedName name="Z_EBCA78BD_32D7_4CDF_9C26_A4C26BF50F0E_.wvu.FilterData" localSheetId="3" hidden="1">COEM_Package_20200401!$B$2:$AH$241</definedName>
    <definedName name="Z_EC0B8CCD_915D_49CD_ACCB_A918B8A65D1A_.wvu.FilterData" localSheetId="0" hidden="1">COEM_Package_20200302!$A$2:$AG$26</definedName>
    <definedName name="Z_EC0B8CCD_915D_49CD_ACCB_A918B8A65D1A_.wvu.FilterData" localSheetId="3" hidden="1">COEM_Package_20200401!$A$2:$AH$241</definedName>
    <definedName name="Z_ECA9A2E5_B2D8_42C2_9A8E_42E77118B0CC_.wvu.FilterData" localSheetId="3" hidden="1">COEM_Package_20200401!$B$2:$AH$241</definedName>
    <definedName name="Z_F20FFF1E_3733_4E0A_901D_022160F37FC7_.wvu.FilterData" localSheetId="3" hidden="1">COEM_Package_20200401!$B$2:$AH$241</definedName>
    <definedName name="Z_F43A1B6C_8557_4EE4_B220_B0CDF8649464_.wvu.FilterData" localSheetId="3" hidden="1">COEM_Package_20200401!$B$2:$AH$241</definedName>
    <definedName name="Z_F4513A82_A7D2_4DCE_B5CE_033BC347D760_.wvu.FilterData" localSheetId="3" hidden="1">COEM_Package_20200401!$B$2:$AH$241</definedName>
    <definedName name="Z_F82A2A8D_FA65_4AB1_9408_3B060B3C5FDD_.wvu.FilterData" localSheetId="3" hidden="1">COEM_Package_20200401!$B$2:$AH$241</definedName>
    <definedName name="Z_F84E6DFB_7743_4811_A5D0_FDD3F126A30C_.wvu.FilterData" localSheetId="0" hidden="1">COEM_Package_20200302!$A$2:$AG$225</definedName>
    <definedName name="Z_F84E6DFB_7743_4811_A5D0_FDD3F126A30C_.wvu.FilterData" localSheetId="3" hidden="1">COEM_Package_20200401!$A$2:$AH$241</definedName>
    <definedName name="Z_F93920D1_8A54_4156_8F64_4987EBB7BAC5_.wvu.FilterData" localSheetId="0" hidden="1">COEM_Package_20200302!$A$2:$AG$26</definedName>
    <definedName name="Z_F93920D1_8A54_4156_8F64_4987EBB7BAC5_.wvu.FilterData" localSheetId="3" hidden="1">COEM_Package_20200401!$A$2:$AH$241</definedName>
    <definedName name="Z_F9FE86ED_E73F_41BC_BB7D_93E588374476_.wvu.FilterData" localSheetId="3" hidden="1">COEM_Package_20200401!$B$2:$AH$241</definedName>
    <definedName name="Z_FE85FDB3_1026_44EF_AEC2_56D86B964711_.wvu.FilterData" localSheetId="3" hidden="1">COEM_Package_20200401!$B$2:$AH$241</definedName>
  </definedNames>
  <calcPr calcId="162913"/>
  <customWorkbookViews>
    <customWorkbookView name="EXTERNAL Nguyen Tuan Duong (Ban Vien, RBVH/EPS45) - Personal View" guid="{7E0EA425-A420-4443-B9E0-CDF0AA9E5D09}" mergeInterval="0" personalView="1" maximized="1" xWindow="-8" yWindow="-8" windowWidth="1936" windowHeight="1176" tabRatio="663" activeSheetId="4"/>
    <customWorkbookView name="EXTERNAL Nguyen Kim Thanh (Ban Vien, RBVH/EPS45) - Personal View" guid="{4E06BDBF-2CED-473B-850B-2A6C7311FF41}" mergeInterval="0" personalView="1" maximized="1" xWindow="-8" yWindow="-8" windowWidth="1936" windowHeight="1176" activeSheetId="4"/>
    <customWorkbookView name="EXTERNAL Do Phu Loc (Ban Vien, RBVH/EPS45) - Personal View" guid="{72A6EB0A-84D5-4B8A-AC51-54CCD061630B}" mergeInterval="0" personalView="1" maximized="1" xWindow="-8" yWindow="-8" windowWidth="1936" windowHeight="1176" tabRatio="492" activeSheetId="4"/>
    <customWorkbookView name="EXTERNAL Ly Chung (Ban Vien, RBVH/EPS45) - Personal View" guid="{60D2C030-4E31-4E07-8E1C-44D2EE84B177}" mergeInterval="0" personalView="1" maximized="1" xWindow="-8" yWindow="-8" windowWidth="1936" windowHeight="1176" tabRatio="663" activeSheetId="4"/>
    <customWorkbookView name="GUP7HC - Personal View" guid="{D1F7047B-CC2E-48BC-8022-C8013AE2B1E1}" mergeInterval="0" personalView="1" maximized="1" xWindow="-8" yWindow="-8" windowWidth="1936" windowHeight="1186" tabRatio="499" activeSheetId="4"/>
    <customWorkbookView name="EXTERNAL Nguyen Tai Hau (Ban Vien, RBVH/EPS45) - Personal View" guid="{7ECC2B8E-6A82-42F5-8AB0-4A51C54EA5EC}" mergeInterval="0" personalView="1" maximized="1" xWindow="-8" yWindow="-8" windowWidth="1936" windowHeight="1176" tabRatio="428" activeSheetId="1"/>
    <customWorkbookView name="EXTERNAL Nguyen Trung Hieu (Ban Vien, RBVH/EPS45) - Personal View" guid="{250915DF-0B97-45D7-B29D-7EED4C89C1C1}" mergeInterval="0" personalView="1" maximized="1" xWindow="-8" yWindow="-8" windowWidth="1936" windowHeight="1176" activeSheetId="7"/>
  </customWorkbookViews>
</workbook>
</file>

<file path=xl/calcChain.xml><?xml version="1.0" encoding="utf-8"?>
<calcChain xmlns="http://schemas.openxmlformats.org/spreadsheetml/2006/main">
  <c r="T184" i="4" l="1"/>
  <c r="S180" i="4"/>
  <c r="S184" i="4"/>
  <c r="S183" i="4"/>
  <c r="S182" i="4"/>
  <c r="S181" i="4"/>
  <c r="S241" i="4"/>
  <c r="S240" i="4"/>
  <c r="S239" i="4"/>
  <c r="S238" i="4"/>
  <c r="S237" i="4"/>
  <c r="S236" i="4"/>
  <c r="S235" i="4"/>
  <c r="S234" i="4"/>
  <c r="S233" i="4"/>
  <c r="S232" i="4"/>
  <c r="S231" i="4"/>
  <c r="S230" i="4"/>
  <c r="S229" i="4"/>
  <c r="S228" i="4"/>
  <c r="S227" i="4"/>
  <c r="S226" i="4"/>
  <c r="S225" i="4"/>
  <c r="S224" i="4"/>
  <c r="S223" i="4"/>
  <c r="S222" i="4"/>
  <c r="T222" i="4" s="1"/>
  <c r="S221" i="4"/>
  <c r="S220" i="4"/>
  <c r="S219" i="4"/>
  <c r="S218" i="4"/>
  <c r="S217" i="4"/>
  <c r="S216" i="4"/>
  <c r="S215" i="4"/>
  <c r="S214" i="4"/>
  <c r="S213" i="4"/>
  <c r="S212" i="4"/>
  <c r="S211" i="4"/>
  <c r="S210" i="4"/>
  <c r="S209" i="4"/>
  <c r="S208" i="4"/>
  <c r="S207" i="4"/>
  <c r="T207" i="4" s="1"/>
  <c r="S201" i="4"/>
  <c r="T201" i="4" s="1"/>
  <c r="S200" i="4"/>
  <c r="T200" i="4" s="1"/>
  <c r="S199" i="4"/>
  <c r="T199" i="4" s="1"/>
  <c r="S198" i="4"/>
  <c r="T198" i="4" s="1"/>
  <c r="S197" i="4"/>
  <c r="T197" i="4" s="1"/>
  <c r="T241" i="4" l="1"/>
  <c r="T240" i="4"/>
  <c r="U241" i="4"/>
  <c r="U240" i="4"/>
  <c r="U239" i="4"/>
  <c r="U238" i="4"/>
  <c r="C269" i="5" l="1"/>
  <c r="C268" i="5"/>
  <c r="C257" i="5"/>
  <c r="C256" i="5"/>
  <c r="C245" i="5" l="1"/>
  <c r="C244" i="5"/>
  <c r="C233" i="5"/>
  <c r="C232" i="5"/>
  <c r="C221" i="5"/>
  <c r="C220" i="5"/>
  <c r="S124" i="1" l="1"/>
  <c r="S125" i="1"/>
  <c r="S126" i="1"/>
  <c r="S127" i="1"/>
  <c r="S128" i="1"/>
  <c r="S123" i="1"/>
  <c r="L225" i="1"/>
  <c r="L224" i="1"/>
  <c r="L223" i="1"/>
  <c r="L222" i="1"/>
  <c r="L221" i="1"/>
  <c r="L220" i="1"/>
  <c r="L219" i="1"/>
  <c r="L218" i="1"/>
  <c r="L217" i="1"/>
  <c r="L216" i="1"/>
  <c r="L215" i="1"/>
  <c r="L214" i="1"/>
  <c r="L213" i="1"/>
  <c r="L212" i="1"/>
  <c r="L211" i="1"/>
  <c r="L210" i="1"/>
  <c r="L209" i="1"/>
  <c r="L208" i="1"/>
  <c r="L207" i="1"/>
  <c r="L206" i="1"/>
  <c r="L205" i="1"/>
  <c r="L204" i="1"/>
  <c r="L203" i="1"/>
  <c r="L202" i="1"/>
  <c r="L201" i="1"/>
  <c r="L200" i="1"/>
  <c r="L199" i="1"/>
  <c r="L198" i="1"/>
  <c r="L197" i="1"/>
  <c r="L196" i="1"/>
  <c r="L195" i="1"/>
  <c r="L194" i="1"/>
  <c r="L193" i="1"/>
  <c r="L192" i="1"/>
  <c r="L191" i="1"/>
  <c r="L190" i="1"/>
  <c r="L189" i="1"/>
  <c r="L188" i="1"/>
  <c r="L187" i="1"/>
  <c r="L186" i="1"/>
  <c r="L185" i="1"/>
  <c r="L184" i="1"/>
  <c r="L183" i="1"/>
  <c r="L182" i="1"/>
  <c r="L181" i="1"/>
  <c r="L180" i="1"/>
  <c r="L179" i="1"/>
  <c r="L178" i="1"/>
  <c r="L177" i="1"/>
  <c r="L176" i="1"/>
  <c r="L175" i="1"/>
  <c r="L174" i="1"/>
  <c r="L173" i="1"/>
  <c r="L172" i="1"/>
  <c r="L171" i="1"/>
  <c r="L170" i="1"/>
  <c r="L169" i="1"/>
  <c r="L168" i="1"/>
  <c r="L167" i="1"/>
  <c r="L158" i="1"/>
  <c r="L157" i="1"/>
  <c r="L156" i="1"/>
  <c r="L155" i="1"/>
  <c r="L154" i="1"/>
  <c r="L153" i="1"/>
  <c r="L152" i="1"/>
  <c r="L151" i="1"/>
  <c r="L150" i="1"/>
  <c r="L149" i="1"/>
  <c r="L148" i="1"/>
  <c r="L147" i="1"/>
  <c r="L146" i="1"/>
  <c r="L145" i="1"/>
  <c r="L144" i="1"/>
  <c r="L143" i="1"/>
  <c r="L142" i="1"/>
  <c r="L141" i="1"/>
  <c r="L140" i="1"/>
  <c r="L139" i="1"/>
  <c r="L138" i="1"/>
  <c r="L137" i="1"/>
  <c r="L136" i="1"/>
  <c r="L122" i="1"/>
  <c r="L121" i="1"/>
  <c r="L120" i="1"/>
  <c r="L119" i="1"/>
  <c r="L118" i="1"/>
  <c r="L117" i="1"/>
  <c r="L116" i="1"/>
  <c r="L115" i="1"/>
  <c r="L114" i="1"/>
  <c r="L113" i="1"/>
  <c r="L112" i="1"/>
  <c r="L111" i="1"/>
  <c r="L110" i="1"/>
  <c r="L109" i="1"/>
  <c r="L108" i="1"/>
  <c r="L107" i="1"/>
  <c r="L106" i="1"/>
  <c r="L105" i="1"/>
  <c r="L104" i="1"/>
  <c r="L103" i="1"/>
  <c r="L102" i="1"/>
  <c r="L101" i="1"/>
  <c r="L100" i="1"/>
  <c r="L99" i="1"/>
  <c r="L98" i="1"/>
  <c r="L97" i="1"/>
  <c r="L96" i="1"/>
  <c r="L95" i="1"/>
  <c r="L94" i="1"/>
  <c r="L93" i="1"/>
  <c r="L92" i="1"/>
  <c r="L91" i="1"/>
  <c r="L90" i="1"/>
  <c r="L89" i="1"/>
  <c r="L88" i="1"/>
  <c r="L87" i="1"/>
  <c r="L86" i="1"/>
  <c r="L85" i="1"/>
  <c r="L84" i="1"/>
  <c r="L83" i="1"/>
  <c r="L82" i="1"/>
  <c r="L81" i="1"/>
  <c r="L80" i="1"/>
  <c r="L79" i="1"/>
  <c r="L78" i="1"/>
  <c r="L77" i="1"/>
  <c r="L76" i="1"/>
  <c r="L75" i="1"/>
  <c r="L74" i="1"/>
  <c r="L73" i="1"/>
  <c r="L72" i="1"/>
  <c r="L71" i="1"/>
  <c r="L70" i="1"/>
  <c r="L69" i="1"/>
  <c r="L68" i="1"/>
  <c r="L67" i="1"/>
  <c r="L66" i="1"/>
  <c r="L65" i="1"/>
  <c r="L64" i="1"/>
  <c r="L63" i="1"/>
  <c r="L62" i="1"/>
  <c r="L61" i="1"/>
  <c r="L60" i="1"/>
  <c r="L59" i="1"/>
  <c r="L58" i="1"/>
  <c r="L57" i="1"/>
  <c r="L56" i="1"/>
  <c r="L55" i="1"/>
  <c r="L54" i="1"/>
  <c r="L53" i="1"/>
  <c r="L52" i="1"/>
  <c r="L51" i="1"/>
  <c r="L50" i="1"/>
  <c r="L49" i="1"/>
  <c r="L48" i="1"/>
  <c r="L47" i="1"/>
  <c r="L46" i="1"/>
  <c r="L45" i="1"/>
  <c r="L44" i="1"/>
  <c r="L43" i="1"/>
  <c r="L42" i="1"/>
  <c r="L41" i="1"/>
  <c r="L40" i="1"/>
  <c r="L39" i="1"/>
  <c r="L38" i="1"/>
  <c r="L37" i="1"/>
  <c r="L36" i="1"/>
  <c r="L35" i="1"/>
  <c r="L34" i="1"/>
  <c r="L33" i="1"/>
  <c r="L32" i="1"/>
  <c r="L31" i="1"/>
  <c r="L30" i="1"/>
  <c r="L29" i="1"/>
  <c r="L28" i="1"/>
  <c r="L27" i="1"/>
  <c r="L25" i="1"/>
  <c r="L24" i="1"/>
  <c r="L23" i="1"/>
  <c r="L22" i="1"/>
  <c r="L21" i="1"/>
  <c r="L20" i="1"/>
  <c r="L19" i="1"/>
  <c r="L18" i="1"/>
  <c r="L17" i="1"/>
  <c r="L16" i="1"/>
  <c r="L15" i="1"/>
  <c r="L14" i="1"/>
  <c r="L13" i="1"/>
  <c r="L12" i="1"/>
  <c r="L11" i="1"/>
  <c r="L10" i="1"/>
  <c r="L9" i="1"/>
  <c r="L8" i="1"/>
  <c r="L6" i="1"/>
  <c r="L5" i="1"/>
  <c r="L4" i="1"/>
  <c r="L3" i="1"/>
  <c r="S115" i="4"/>
  <c r="B6" i="4"/>
  <c r="B7" i="4" s="1"/>
  <c r="B8" i="4" s="1"/>
  <c r="B9" i="4" s="1"/>
  <c r="B10" i="4" s="1"/>
  <c r="B11" i="4" s="1"/>
  <c r="B12" i="4" s="1"/>
  <c r="B13" i="4" s="1"/>
  <c r="B14" i="4" s="1"/>
  <c r="B15" i="4" s="1"/>
  <c r="B16" i="4" s="1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27" i="4" s="1"/>
  <c r="U127" i="1" l="1"/>
  <c r="T127" i="1"/>
  <c r="U126" i="1"/>
  <c r="T126" i="1"/>
  <c r="U123" i="1"/>
  <c r="T123" i="1"/>
  <c r="U125" i="1"/>
  <c r="T125" i="1"/>
  <c r="U128" i="1"/>
  <c r="T128" i="1"/>
  <c r="U124" i="1"/>
  <c r="T124" i="1"/>
  <c r="U5" i="4"/>
  <c r="U4" i="4"/>
  <c r="B28" i="4"/>
  <c r="B29" i="4" s="1"/>
  <c r="B30" i="4" s="1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41" i="4" s="1"/>
  <c r="B42" i="4" s="1"/>
  <c r="B43" i="4" s="1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B54" i="4" s="1"/>
  <c r="B55" i="4" s="1"/>
  <c r="B56" i="4" s="1"/>
  <c r="B57" i="4" s="1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B68" i="4" s="1"/>
  <c r="B69" i="4" s="1"/>
  <c r="B70" i="4" s="1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B81" i="4" s="1"/>
  <c r="B82" i="4" s="1"/>
  <c r="B83" i="4" s="1"/>
  <c r="B84" i="4" s="1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B95" i="4" s="1"/>
  <c r="B96" i="4" s="1"/>
  <c r="B97" i="4" s="1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B108" i="4" s="1"/>
  <c r="B109" i="4" s="1"/>
  <c r="B110" i="4" s="1"/>
  <c r="B111" i="4" s="1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B122" i="4" s="1"/>
  <c r="B123" i="4" s="1"/>
  <c r="B124" i="4" s="1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B135" i="4" s="1"/>
  <c r="B136" i="4" s="1"/>
  <c r="B137" i="4" s="1"/>
  <c r="B138" i="4" s="1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B149" i="4" s="1"/>
  <c r="B150" i="4" s="1"/>
  <c r="B151" i="4" s="1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B162" i="4" s="1"/>
  <c r="B163" i="4" s="1"/>
  <c r="B164" i="4" s="1"/>
  <c r="B165" i="4" s="1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B176" i="4" s="1"/>
  <c r="B177" i="4" s="1"/>
  <c r="B178" i="4" s="1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B189" i="4" s="1"/>
  <c r="B190" i="4" s="1"/>
  <c r="B191" i="4" s="1"/>
  <c r="B192" i="4" s="1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B203" i="4" s="1"/>
  <c r="B204" i="4" s="1"/>
  <c r="B205" i="4" s="1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B216" i="4" s="1"/>
  <c r="B217" i="4" s="1"/>
  <c r="B218" i="4" s="1"/>
  <c r="B219" i="4" s="1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B230" i="4" s="1"/>
  <c r="B231" i="4" s="1"/>
  <c r="B232" i="4" s="1"/>
  <c r="B233" i="4" s="1"/>
  <c r="B234" i="4" s="1"/>
  <c r="B235" i="4" s="1"/>
  <c r="B236" i="4" s="1"/>
  <c r="B237" i="4" s="1"/>
  <c r="B238" i="4" s="1"/>
  <c r="B239" i="4" s="1"/>
  <c r="B240" i="4" s="1"/>
  <c r="B241" i="4" s="1"/>
  <c r="U237" i="4" l="1"/>
  <c r="U236" i="4"/>
  <c r="U235" i="4"/>
  <c r="U233" i="4"/>
  <c r="U232" i="4"/>
  <c r="U231" i="4"/>
  <c r="U229" i="4"/>
  <c r="U228" i="4"/>
  <c r="U227" i="4"/>
  <c r="U226" i="4"/>
  <c r="U225" i="4"/>
  <c r="U224" i="4"/>
  <c r="U223" i="4"/>
  <c r="U222" i="4"/>
  <c r="U221" i="4"/>
  <c r="U220" i="4"/>
  <c r="U219" i="4"/>
  <c r="U218" i="4"/>
  <c r="U217" i="4"/>
  <c r="U216" i="4"/>
  <c r="U215" i="4"/>
  <c r="U214" i="4"/>
  <c r="U213" i="4"/>
  <c r="U212" i="4"/>
  <c r="U211" i="4"/>
  <c r="U210" i="4"/>
  <c r="U209" i="4"/>
  <c r="U208" i="4"/>
  <c r="U207" i="4"/>
  <c r="S206" i="4"/>
  <c r="U206" i="4" s="1"/>
  <c r="S205" i="4"/>
  <c r="S204" i="4"/>
  <c r="S203" i="4"/>
  <c r="S202" i="4"/>
  <c r="U201" i="4"/>
  <c r="U200" i="4"/>
  <c r="U199" i="4"/>
  <c r="U198" i="4"/>
  <c r="U197" i="4"/>
  <c r="S196" i="4"/>
  <c r="U196" i="4" s="1"/>
  <c r="S195" i="4"/>
  <c r="U195" i="4" s="1"/>
  <c r="S194" i="4"/>
  <c r="U194" i="4" s="1"/>
  <c r="S193" i="4"/>
  <c r="U193" i="4" s="1"/>
  <c r="S192" i="4"/>
  <c r="U192" i="4" s="1"/>
  <c r="S191" i="4"/>
  <c r="U191" i="4" s="1"/>
  <c r="S190" i="4"/>
  <c r="U190" i="4" s="1"/>
  <c r="S189" i="4"/>
  <c r="U189" i="4" s="1"/>
  <c r="S188" i="4"/>
  <c r="S187" i="4"/>
  <c r="S186" i="4"/>
  <c r="S185" i="4"/>
  <c r="U184" i="4"/>
  <c r="U183" i="4"/>
  <c r="U182" i="4"/>
  <c r="U181" i="4"/>
  <c r="U204" i="4" l="1"/>
  <c r="T204" i="4"/>
  <c r="U205" i="4"/>
  <c r="T205" i="4"/>
  <c r="U203" i="4"/>
  <c r="T203" i="4"/>
  <c r="U202" i="4"/>
  <c r="T202" i="4"/>
  <c r="U186" i="4"/>
  <c r="T186" i="4"/>
  <c r="U187" i="4"/>
  <c r="T187" i="4"/>
  <c r="U188" i="4"/>
  <c r="T188" i="4"/>
  <c r="U185" i="4"/>
  <c r="T185" i="4"/>
  <c r="U230" i="4"/>
  <c r="T230" i="4"/>
  <c r="U234" i="4"/>
  <c r="T234" i="4"/>
  <c r="U180" i="4"/>
  <c r="S126" i="4"/>
  <c r="T126" i="4" l="1"/>
  <c r="U126" i="4"/>
  <c r="S179" i="4"/>
  <c r="S178" i="4"/>
  <c r="S177" i="4"/>
  <c r="S176" i="4"/>
  <c r="S175" i="4"/>
  <c r="S174" i="4"/>
  <c r="S173" i="4"/>
  <c r="S172" i="4"/>
  <c r="S171" i="4"/>
  <c r="S170" i="4"/>
  <c r="S169" i="4"/>
  <c r="S168" i="4"/>
  <c r="S167" i="4"/>
  <c r="S166" i="4"/>
  <c r="S165" i="4"/>
  <c r="S164" i="4"/>
  <c r="S163" i="4"/>
  <c r="S162" i="4"/>
  <c r="S161" i="4"/>
  <c r="S160" i="4"/>
  <c r="S159" i="4"/>
  <c r="S158" i="4"/>
  <c r="S157" i="4"/>
  <c r="S156" i="4"/>
  <c r="S155" i="4"/>
  <c r="S154" i="4"/>
  <c r="S153" i="4"/>
  <c r="S152" i="4"/>
  <c r="S151" i="4"/>
  <c r="S150" i="4"/>
  <c r="S149" i="4"/>
  <c r="S148" i="4"/>
  <c r="S147" i="4"/>
  <c r="S146" i="4"/>
  <c r="S145" i="4"/>
  <c r="S144" i="4"/>
  <c r="S143" i="4"/>
  <c r="S142" i="4"/>
  <c r="S141" i="4"/>
  <c r="S140" i="4"/>
  <c r="S139" i="4"/>
  <c r="S138" i="4"/>
  <c r="S137" i="4"/>
  <c r="S136" i="4"/>
  <c r="S135" i="4"/>
  <c r="S134" i="4"/>
  <c r="S133" i="4"/>
  <c r="S132" i="4"/>
  <c r="S131" i="4"/>
  <c r="S130" i="4"/>
  <c r="S129" i="4"/>
  <c r="S127" i="4"/>
  <c r="S128" i="4"/>
  <c r="U155" i="4" l="1"/>
  <c r="T155" i="4"/>
  <c r="U154" i="4"/>
  <c r="T154" i="4"/>
  <c r="U179" i="4"/>
  <c r="T179" i="4"/>
  <c r="U153" i="4"/>
  <c r="T153" i="4"/>
  <c r="U178" i="4"/>
  <c r="T178" i="4"/>
  <c r="U152" i="4"/>
  <c r="T152" i="4"/>
  <c r="U177" i="4"/>
  <c r="T177" i="4"/>
  <c r="U151" i="4"/>
  <c r="T151" i="4"/>
  <c r="U143" i="4"/>
  <c r="T143" i="4"/>
  <c r="U162" i="4"/>
  <c r="T162" i="4"/>
  <c r="U174" i="4"/>
  <c r="T174" i="4"/>
  <c r="U159" i="4"/>
  <c r="T159" i="4"/>
  <c r="U163" i="4"/>
  <c r="T163" i="4"/>
  <c r="U160" i="4"/>
  <c r="T160" i="4"/>
  <c r="U164" i="4"/>
  <c r="T164" i="4"/>
  <c r="U172" i="4"/>
  <c r="T172" i="4"/>
  <c r="U158" i="4"/>
  <c r="T158" i="4"/>
  <c r="U168" i="4"/>
  <c r="T168" i="4"/>
  <c r="U157" i="4"/>
  <c r="T157" i="4"/>
  <c r="U161" i="4"/>
  <c r="T161" i="4"/>
  <c r="U173" i="4"/>
  <c r="T173" i="4"/>
  <c r="U150" i="4"/>
  <c r="T150" i="4"/>
  <c r="U130" i="4"/>
  <c r="T130" i="4"/>
  <c r="U131" i="4"/>
  <c r="T131" i="4"/>
  <c r="U167" i="4"/>
  <c r="T167" i="4"/>
  <c r="U171" i="4"/>
  <c r="T171" i="4"/>
  <c r="U175" i="4"/>
  <c r="T175" i="4"/>
  <c r="U176" i="4"/>
  <c r="T176" i="4"/>
  <c r="U169" i="4"/>
  <c r="T169" i="4"/>
  <c r="U170" i="4"/>
  <c r="T170" i="4"/>
  <c r="U146" i="4"/>
  <c r="T146" i="4"/>
  <c r="U147" i="4"/>
  <c r="T147" i="4"/>
  <c r="U144" i="4"/>
  <c r="T144" i="4"/>
  <c r="U148" i="4"/>
  <c r="T148" i="4"/>
  <c r="U149" i="4"/>
  <c r="T149" i="4"/>
  <c r="U145" i="4"/>
  <c r="T145" i="4"/>
  <c r="U166" i="4"/>
  <c r="T166" i="4"/>
  <c r="U165" i="4"/>
  <c r="T165" i="4"/>
  <c r="U142" i="4"/>
  <c r="T142" i="4"/>
  <c r="U129" i="4"/>
  <c r="T129" i="4"/>
  <c r="U133" i="4"/>
  <c r="T133" i="4"/>
  <c r="U132" i="4"/>
  <c r="T132" i="4"/>
  <c r="U156" i="4"/>
  <c r="T156" i="4"/>
  <c r="T137" i="4"/>
  <c r="U137" i="4"/>
  <c r="U141" i="4"/>
  <c r="T141" i="4"/>
  <c r="T134" i="4"/>
  <c r="U134" i="4"/>
  <c r="U138" i="4"/>
  <c r="T138" i="4"/>
  <c r="U136" i="4"/>
  <c r="T136" i="4"/>
  <c r="T140" i="4"/>
  <c r="U140" i="4"/>
  <c r="T135" i="4"/>
  <c r="U135" i="4"/>
  <c r="T139" i="4"/>
  <c r="U139" i="4"/>
  <c r="U127" i="4"/>
  <c r="T127" i="4"/>
  <c r="T128" i="4"/>
  <c r="U128" i="4"/>
  <c r="C208" i="5"/>
  <c r="H202" i="5"/>
  <c r="F202" i="5"/>
  <c r="E202" i="5"/>
  <c r="I202" i="5" s="1"/>
  <c r="H201" i="5"/>
  <c r="C161" i="5"/>
  <c r="S123" i="4" l="1"/>
  <c r="T123" i="4" s="1"/>
  <c r="F260" i="4"/>
  <c r="F259" i="4"/>
  <c r="F257" i="4"/>
  <c r="C209" i="5" l="1"/>
  <c r="C149" i="5"/>
  <c r="C173" i="5"/>
  <c r="C185" i="5"/>
  <c r="C197" i="5"/>
  <c r="T75" i="4"/>
  <c r="T101" i="4"/>
  <c r="T98" i="4"/>
  <c r="S100" i="4"/>
  <c r="S99" i="4"/>
  <c r="S110" i="4" l="1"/>
  <c r="T110" i="4" s="1"/>
  <c r="S125" i="4" l="1"/>
  <c r="S124" i="4"/>
  <c r="U124" i="4" l="1"/>
  <c r="T124" i="4"/>
  <c r="U125" i="4"/>
  <c r="T125" i="4"/>
  <c r="S64" i="4"/>
  <c r="T64" i="4" s="1"/>
  <c r="U123" i="4" l="1"/>
  <c r="S122" i="4"/>
  <c r="S121" i="4"/>
  <c r="S120" i="4"/>
  <c r="S119" i="4"/>
  <c r="S118" i="4"/>
  <c r="S117" i="4"/>
  <c r="S116" i="4"/>
  <c r="S114" i="4"/>
  <c r="S113" i="4"/>
  <c r="S112" i="4"/>
  <c r="S111" i="4"/>
  <c r="U110" i="4"/>
  <c r="S109" i="4"/>
  <c r="S108" i="4"/>
  <c r="T108" i="4" s="1"/>
  <c r="S107" i="4"/>
  <c r="S106" i="4"/>
  <c r="S105" i="4"/>
  <c r="S104" i="4"/>
  <c r="S103" i="4"/>
  <c r="S102" i="4"/>
  <c r="U101" i="4"/>
  <c r="U98" i="4"/>
  <c r="U103" i="4" l="1"/>
  <c r="T103" i="4"/>
  <c r="U105" i="4"/>
  <c r="T105" i="4"/>
  <c r="U120" i="4"/>
  <c r="T120" i="4"/>
  <c r="U121" i="4"/>
  <c r="T121" i="4"/>
  <c r="U117" i="4"/>
  <c r="T117" i="4"/>
  <c r="U118" i="4"/>
  <c r="T118" i="4"/>
  <c r="U119" i="4"/>
  <c r="T119" i="4"/>
  <c r="U116" i="4"/>
  <c r="T116" i="4"/>
  <c r="U114" i="4"/>
  <c r="T114" i="4"/>
  <c r="U115" i="4"/>
  <c r="T115" i="4"/>
  <c r="U108" i="4"/>
  <c r="U107" i="4"/>
  <c r="U113" i="4"/>
  <c r="T113" i="4"/>
  <c r="U104" i="4"/>
  <c r="T104" i="4"/>
  <c r="U102" i="4"/>
  <c r="T102" i="4"/>
  <c r="U112" i="4"/>
  <c r="T112" i="4"/>
  <c r="U111" i="4"/>
  <c r="T111" i="4"/>
  <c r="U109" i="4"/>
  <c r="T109" i="4"/>
  <c r="U100" i="4"/>
  <c r="T100" i="4"/>
  <c r="U122" i="4"/>
  <c r="T122" i="4"/>
  <c r="U106" i="4"/>
  <c r="T106" i="4"/>
  <c r="U99" i="4"/>
  <c r="T99" i="4"/>
  <c r="S12" i="4" l="1"/>
  <c r="T12" i="4" s="1"/>
  <c r="S97" i="4" l="1"/>
  <c r="S96" i="4"/>
  <c r="S95" i="4"/>
  <c r="S94" i="4"/>
  <c r="U96" i="4" l="1"/>
  <c r="T96" i="4"/>
  <c r="U94" i="4"/>
  <c r="T94" i="4"/>
  <c r="U97" i="4"/>
  <c r="T97" i="4"/>
  <c r="U95" i="4"/>
  <c r="T95" i="4"/>
  <c r="S71" i="4"/>
  <c r="T71" i="4" s="1"/>
  <c r="S70" i="4"/>
  <c r="T70" i="4" s="1"/>
  <c r="S69" i="4"/>
  <c r="T69" i="4" s="1"/>
  <c r="S72" i="4"/>
  <c r="T72" i="4" s="1"/>
  <c r="S67" i="4" l="1"/>
  <c r="T67" i="4" s="1"/>
  <c r="S68" i="4"/>
  <c r="T68" i="4" s="1"/>
  <c r="S45" i="4"/>
  <c r="T45" i="4" s="1"/>
  <c r="S35" i="4"/>
  <c r="T35" i="4" s="1"/>
  <c r="S61" i="4" l="1"/>
  <c r="T61" i="4" s="1"/>
  <c r="U6" i="1"/>
  <c r="S60" i="4" l="1"/>
  <c r="T60" i="4" s="1"/>
  <c r="S66" i="4"/>
  <c r="T66" i="4" s="1"/>
  <c r="S93" i="4"/>
  <c r="S92" i="4"/>
  <c r="S91" i="4"/>
  <c r="S90" i="4"/>
  <c r="S89" i="4"/>
  <c r="S88" i="4"/>
  <c r="S87" i="4"/>
  <c r="S86" i="4"/>
  <c r="S85" i="4"/>
  <c r="S84" i="4"/>
  <c r="S83" i="4"/>
  <c r="S82" i="4"/>
  <c r="S81" i="4"/>
  <c r="S80" i="4"/>
  <c r="S79" i="4"/>
  <c r="S78" i="4"/>
  <c r="S77" i="4"/>
  <c r="S76" i="4"/>
  <c r="U82" i="4" l="1"/>
  <c r="T82" i="4"/>
  <c r="U83" i="4"/>
  <c r="T83" i="4"/>
  <c r="U93" i="4"/>
  <c r="T93" i="4"/>
  <c r="U92" i="4"/>
  <c r="T92" i="4"/>
  <c r="U81" i="4"/>
  <c r="T81" i="4"/>
  <c r="U88" i="4"/>
  <c r="T88" i="4"/>
  <c r="U76" i="4"/>
  <c r="T76" i="4"/>
  <c r="U84" i="4"/>
  <c r="T84" i="4"/>
  <c r="U89" i="4"/>
  <c r="T89" i="4"/>
  <c r="U78" i="4"/>
  <c r="T78" i="4"/>
  <c r="U90" i="4"/>
  <c r="T90" i="4"/>
  <c r="U77" i="4"/>
  <c r="T77" i="4"/>
  <c r="U79" i="4"/>
  <c r="T79" i="4"/>
  <c r="U91" i="4"/>
  <c r="T91" i="4"/>
  <c r="U86" i="4"/>
  <c r="T86" i="4"/>
  <c r="U85" i="4"/>
  <c r="T85" i="4"/>
  <c r="U87" i="4"/>
  <c r="T87" i="4"/>
  <c r="U80" i="4"/>
  <c r="T80" i="4"/>
  <c r="U70" i="4"/>
  <c r="U71" i="4"/>
  <c r="U72" i="4"/>
  <c r="S73" i="4"/>
  <c r="S74" i="4"/>
  <c r="U75" i="4"/>
  <c r="U69" i="4"/>
  <c r="S65" i="4"/>
  <c r="U66" i="4"/>
  <c r="U67" i="4"/>
  <c r="U68" i="4"/>
  <c r="U64" i="4"/>
  <c r="U61" i="4"/>
  <c r="S62" i="4"/>
  <c r="T62" i="4" s="1"/>
  <c r="S63" i="4"/>
  <c r="U60" i="4"/>
  <c r="U73" i="4" l="1"/>
  <c r="T73" i="4"/>
  <c r="D259" i="4"/>
  <c r="E259" i="4"/>
  <c r="U74" i="4"/>
  <c r="T74" i="4"/>
  <c r="E260" i="4"/>
  <c r="D260" i="4"/>
  <c r="U65" i="4"/>
  <c r="T65" i="4"/>
  <c r="U62" i="4"/>
  <c r="T63" i="4"/>
  <c r="U63" i="4"/>
  <c r="S59" i="4"/>
  <c r="C196" i="5"/>
  <c r="H190" i="5"/>
  <c r="F190" i="5"/>
  <c r="E190" i="5"/>
  <c r="I190" i="5" s="1"/>
  <c r="H189" i="5"/>
  <c r="C184" i="5"/>
  <c r="H178" i="5"/>
  <c r="F178" i="5"/>
  <c r="E178" i="5"/>
  <c r="I178" i="5" s="1"/>
  <c r="H177" i="5"/>
  <c r="C172" i="5"/>
  <c r="H166" i="5"/>
  <c r="C160" i="5"/>
  <c r="S58" i="4"/>
  <c r="U58" i="4" s="1"/>
  <c r="S51" i="4"/>
  <c r="H260" i="4" l="1"/>
  <c r="G260" i="4"/>
  <c r="H259" i="4"/>
  <c r="G259" i="4"/>
  <c r="T51" i="4"/>
  <c r="U59" i="4"/>
  <c r="T59" i="4"/>
  <c r="T58" i="4"/>
  <c r="G202" i="5"/>
  <c r="G190" i="5"/>
  <c r="G178" i="5"/>
  <c r="U51" i="4"/>
  <c r="S52" i="4"/>
  <c r="S53" i="4"/>
  <c r="S54" i="4"/>
  <c r="S55" i="4"/>
  <c r="S56" i="4"/>
  <c r="S57" i="4"/>
  <c r="E201" i="5" l="1"/>
  <c r="G201" i="5" s="1"/>
  <c r="C198" i="5" s="1"/>
  <c r="U57" i="4"/>
  <c r="T57" i="4"/>
  <c r="U55" i="4"/>
  <c r="T55" i="4"/>
  <c r="U52" i="4"/>
  <c r="T52" i="4"/>
  <c r="U54" i="4"/>
  <c r="T54" i="4"/>
  <c r="U56" i="4"/>
  <c r="T56" i="4"/>
  <c r="U53" i="4"/>
  <c r="T53" i="4"/>
  <c r="S46" i="4"/>
  <c r="T46" i="4" s="1"/>
  <c r="S47" i="4"/>
  <c r="T47" i="4" s="1"/>
  <c r="S44" i="4"/>
  <c r="T44" i="4" s="1"/>
  <c r="S43" i="4"/>
  <c r="T43" i="4" s="1"/>
  <c r="S42" i="4"/>
  <c r="T42" i="4" s="1"/>
  <c r="F201" i="5" l="1"/>
  <c r="I201" i="5" s="1"/>
  <c r="C195" i="5"/>
  <c r="S19" i="4"/>
  <c r="T19" i="4" s="1"/>
  <c r="F255" i="4" l="1"/>
  <c r="F256" i="4"/>
  <c r="F258" i="4"/>
  <c r="F261" i="4"/>
  <c r="S25" i="4" l="1"/>
  <c r="S26" i="4"/>
  <c r="S27" i="4"/>
  <c r="T27" i="4" s="1"/>
  <c r="S28" i="4"/>
  <c r="T28" i="4" s="1"/>
  <c r="S29" i="4"/>
  <c r="S30" i="4"/>
  <c r="U30" i="4" s="1"/>
  <c r="S31" i="4"/>
  <c r="S32" i="4"/>
  <c r="S33" i="4"/>
  <c r="T33" i="4" s="1"/>
  <c r="S34" i="4"/>
  <c r="U35" i="4"/>
  <c r="S36" i="4"/>
  <c r="T36" i="4" s="1"/>
  <c r="S37" i="4"/>
  <c r="S38" i="4"/>
  <c r="S39" i="4"/>
  <c r="S40" i="4"/>
  <c r="S41" i="4"/>
  <c r="U42" i="4"/>
  <c r="U43" i="4"/>
  <c r="U44" i="4"/>
  <c r="U45" i="4"/>
  <c r="U46" i="4"/>
  <c r="U47" i="4"/>
  <c r="S48" i="4"/>
  <c r="S49" i="4"/>
  <c r="S50" i="4"/>
  <c r="S24" i="4"/>
  <c r="S14" i="4"/>
  <c r="T14" i="4" s="1"/>
  <c r="S15" i="4"/>
  <c r="T15" i="4" s="1"/>
  <c r="S13" i="4"/>
  <c r="T13" i="4" s="1"/>
  <c r="U40" i="4" l="1"/>
  <c r="T40" i="4"/>
  <c r="U39" i="4"/>
  <c r="T39" i="4"/>
  <c r="U38" i="4"/>
  <c r="T38" i="4"/>
  <c r="U34" i="4"/>
  <c r="T34" i="4"/>
  <c r="U41" i="4"/>
  <c r="T41" i="4"/>
  <c r="U29" i="4"/>
  <c r="T29" i="4"/>
  <c r="U31" i="4"/>
  <c r="T31" i="4"/>
  <c r="U32" i="4"/>
  <c r="T32" i="4"/>
  <c r="U33" i="4"/>
  <c r="U36" i="4"/>
  <c r="U37" i="4"/>
  <c r="T37" i="4"/>
  <c r="U28" i="4"/>
  <c r="U27" i="4"/>
  <c r="E189" i="5"/>
  <c r="U48" i="4"/>
  <c r="T48" i="4"/>
  <c r="U24" i="4"/>
  <c r="T24" i="4"/>
  <c r="U50" i="4"/>
  <c r="T50" i="4"/>
  <c r="U49" i="4"/>
  <c r="T49" i="4"/>
  <c r="U25" i="4"/>
  <c r="T25" i="4"/>
  <c r="U26" i="4"/>
  <c r="T26" i="4"/>
  <c r="S11" i="4"/>
  <c r="T11" i="4" s="1"/>
  <c r="S10" i="4"/>
  <c r="T10" i="4" s="1"/>
  <c r="S9" i="4"/>
  <c r="F30" i="6"/>
  <c r="F29" i="6"/>
  <c r="F28" i="6"/>
  <c r="F27" i="6"/>
  <c r="E30" i="6"/>
  <c r="E29" i="6"/>
  <c r="E28" i="6"/>
  <c r="E27" i="6"/>
  <c r="D1" i="6"/>
  <c r="B3" i="6" s="1"/>
  <c r="F270" i="4" s="1"/>
  <c r="S7" i="4"/>
  <c r="T7" i="4" s="1"/>
  <c r="S6" i="4"/>
  <c r="G189" i="5" l="1"/>
  <c r="C186" i="5" s="1"/>
  <c r="F269" i="4"/>
  <c r="F189" i="5"/>
  <c r="I189" i="5" s="1"/>
  <c r="E256" i="4"/>
  <c r="F267" i="4"/>
  <c r="F266" i="4"/>
  <c r="F268" i="4"/>
  <c r="T6" i="4"/>
  <c r="D256" i="4"/>
  <c r="T9" i="4"/>
  <c r="E257" i="4"/>
  <c r="D257" i="4"/>
  <c r="B2" i="6"/>
  <c r="U7" i="4"/>
  <c r="S8" i="4"/>
  <c r="T8" i="4" s="1"/>
  <c r="U9" i="4"/>
  <c r="U10" i="4"/>
  <c r="U11" i="4"/>
  <c r="U12" i="4"/>
  <c r="U13" i="4"/>
  <c r="U14" i="4"/>
  <c r="U15" i="4"/>
  <c r="S16" i="4"/>
  <c r="S17" i="4"/>
  <c r="S18" i="4"/>
  <c r="T18" i="4" s="1"/>
  <c r="U19" i="4"/>
  <c r="S20" i="4"/>
  <c r="S21" i="4"/>
  <c r="S22" i="4"/>
  <c r="S23" i="4"/>
  <c r="T23" i="4" s="1"/>
  <c r="U6" i="4"/>
  <c r="S3" i="4"/>
  <c r="T3" i="4" s="1"/>
  <c r="E246" i="4" s="1"/>
  <c r="F250" i="4"/>
  <c r="F249" i="4"/>
  <c r="D249" i="4"/>
  <c r="F248" i="4"/>
  <c r="F247" i="4"/>
  <c r="F246" i="4"/>
  <c r="E249" i="4"/>
  <c r="C183" i="5" l="1"/>
  <c r="D261" i="4"/>
  <c r="F166" i="5"/>
  <c r="U22" i="4"/>
  <c r="T22" i="4"/>
  <c r="U20" i="4"/>
  <c r="T20" i="4"/>
  <c r="U21" i="4"/>
  <c r="T21" i="4"/>
  <c r="U17" i="4"/>
  <c r="T17" i="4"/>
  <c r="U16" i="4"/>
  <c r="T16" i="4"/>
  <c r="E177" i="5"/>
  <c r="U3" i="4"/>
  <c r="E166" i="5"/>
  <c r="U8" i="4"/>
  <c r="E258" i="4"/>
  <c r="D258" i="4"/>
  <c r="D269" i="4" s="1"/>
  <c r="G257" i="4"/>
  <c r="H257" i="4"/>
  <c r="F15" i="6"/>
  <c r="U18" i="4"/>
  <c r="D255" i="4"/>
  <c r="E255" i="4"/>
  <c r="E12" i="6" s="1"/>
  <c r="G256" i="4"/>
  <c r="H256" i="4"/>
  <c r="E13" i="6"/>
  <c r="U23" i="4"/>
  <c r="H249" i="4"/>
  <c r="E248" i="4"/>
  <c r="D248" i="4"/>
  <c r="D268" i="4" s="1"/>
  <c r="G249" i="4"/>
  <c r="D250" i="4"/>
  <c r="D246" i="4"/>
  <c r="D247" i="4"/>
  <c r="D267" i="4" s="1"/>
  <c r="E14" i="6"/>
  <c r="E247" i="4"/>
  <c r="I166" i="5" l="1"/>
  <c r="E261" i="4"/>
  <c r="H261" i="4" s="1"/>
  <c r="F177" i="5"/>
  <c r="I177" i="5" s="1"/>
  <c r="G177" i="5"/>
  <c r="C171" i="5" s="1"/>
  <c r="G166" i="5"/>
  <c r="E7" i="6"/>
  <c r="E8" i="6"/>
  <c r="H258" i="4"/>
  <c r="G258" i="4"/>
  <c r="F14" i="6"/>
  <c r="E268" i="4"/>
  <c r="E269" i="4"/>
  <c r="F13" i="6"/>
  <c r="E267" i="4"/>
  <c r="D266" i="4"/>
  <c r="D270" i="4" s="1"/>
  <c r="E237" i="5" s="1"/>
  <c r="H255" i="4"/>
  <c r="G255" i="4"/>
  <c r="E15" i="6"/>
  <c r="H247" i="4"/>
  <c r="G247" i="4"/>
  <c r="E250" i="4"/>
  <c r="G248" i="4"/>
  <c r="H248" i="4"/>
  <c r="C148" i="5"/>
  <c r="C137" i="5"/>
  <c r="C136" i="5"/>
  <c r="C125" i="5"/>
  <c r="C124" i="5"/>
  <c r="C113" i="5"/>
  <c r="C112" i="5"/>
  <c r="C100" i="5"/>
  <c r="C88" i="5"/>
  <c r="F261" i="5" l="1"/>
  <c r="H261" i="5"/>
  <c r="F273" i="5"/>
  <c r="H262" i="5"/>
  <c r="E261" i="5"/>
  <c r="E274" i="5"/>
  <c r="F274" i="5"/>
  <c r="E273" i="5"/>
  <c r="F262" i="5"/>
  <c r="E262" i="5"/>
  <c r="H274" i="5"/>
  <c r="H273" i="5"/>
  <c r="F225" i="5"/>
  <c r="G237" i="5"/>
  <c r="F237" i="5"/>
  <c r="I237" i="5" s="1"/>
  <c r="H225" i="5"/>
  <c r="F226" i="5"/>
  <c r="H226" i="5"/>
  <c r="H237" i="5"/>
  <c r="F238" i="5"/>
  <c r="H238" i="5"/>
  <c r="F250" i="5"/>
  <c r="H249" i="5"/>
  <c r="E249" i="5"/>
  <c r="F249" i="5"/>
  <c r="E225" i="5"/>
  <c r="E250" i="5"/>
  <c r="E238" i="5"/>
  <c r="E226" i="5"/>
  <c r="H250" i="5"/>
  <c r="H213" i="5"/>
  <c r="H214" i="5"/>
  <c r="F213" i="5"/>
  <c r="F214" i="5"/>
  <c r="E213" i="5"/>
  <c r="E214" i="5"/>
  <c r="F165" i="5"/>
  <c r="E165" i="5"/>
  <c r="I165" i="5" s="1"/>
  <c r="H165" i="5"/>
  <c r="G165" i="5"/>
  <c r="F7" i="6"/>
  <c r="G7" i="6" s="1"/>
  <c r="G261" i="4"/>
  <c r="C174" i="5"/>
  <c r="F8" i="6"/>
  <c r="G8" i="6" s="1"/>
  <c r="H269" i="4"/>
  <c r="G269" i="4"/>
  <c r="G268" i="4"/>
  <c r="H268" i="4"/>
  <c r="F12" i="6"/>
  <c r="E266" i="4"/>
  <c r="G267" i="4"/>
  <c r="H267" i="4"/>
  <c r="H246" i="4"/>
  <c r="G246" i="4"/>
  <c r="H250" i="4"/>
  <c r="G250" i="4"/>
  <c r="I262" i="5" l="1"/>
  <c r="G262" i="5"/>
  <c r="G274" i="5"/>
  <c r="I274" i="5"/>
  <c r="I261" i="5"/>
  <c r="G261" i="5"/>
  <c r="I273" i="5"/>
  <c r="G273" i="5"/>
  <c r="I238" i="5"/>
  <c r="G238" i="5"/>
  <c r="C234" i="5" s="1"/>
  <c r="I249" i="5"/>
  <c r="G249" i="5"/>
  <c r="I250" i="5"/>
  <c r="G250" i="5"/>
  <c r="G225" i="5"/>
  <c r="I225" i="5"/>
  <c r="I226" i="5"/>
  <c r="G226" i="5"/>
  <c r="I214" i="5"/>
  <c r="G214" i="5"/>
  <c r="I213" i="5"/>
  <c r="G213" i="5"/>
  <c r="C162" i="5"/>
  <c r="C159" i="5"/>
  <c r="G266" i="4"/>
  <c r="E270" i="4"/>
  <c r="H266" i="4"/>
  <c r="H154" i="5"/>
  <c r="F154" i="5"/>
  <c r="E154" i="5"/>
  <c r="I154" i="5" s="1"/>
  <c r="A146" i="5"/>
  <c r="C255" i="5" l="1"/>
  <c r="C258" i="5"/>
  <c r="C267" i="5"/>
  <c r="C270" i="5"/>
  <c r="C231" i="5"/>
  <c r="C246" i="5"/>
  <c r="C243" i="5"/>
  <c r="C219" i="5"/>
  <c r="C222" i="5"/>
  <c r="C207" i="5"/>
  <c r="C210" i="5"/>
  <c r="G270" i="4"/>
  <c r="H270" i="4"/>
  <c r="G154" i="5"/>
  <c r="A134" i="5"/>
  <c r="H142" i="5"/>
  <c r="F142" i="5"/>
  <c r="E142" i="5"/>
  <c r="I142" i="5" s="1"/>
  <c r="H141" i="5"/>
  <c r="G142" i="5" l="1"/>
  <c r="H130" i="5"/>
  <c r="F130" i="5"/>
  <c r="E130" i="5"/>
  <c r="I130" i="5" s="1"/>
  <c r="G130" i="5" l="1"/>
  <c r="T225" i="1" l="1"/>
  <c r="T224" i="1"/>
  <c r="T223" i="1"/>
  <c r="T222" i="1"/>
  <c r="T221" i="1"/>
  <c r="T220" i="1"/>
  <c r="T218" i="1"/>
  <c r="T216" i="1"/>
  <c r="B3" i="3" l="1"/>
  <c r="T213" i="1"/>
  <c r="T212" i="1"/>
  <c r="T210" i="1"/>
  <c r="T209" i="1"/>
  <c r="T208" i="1"/>
  <c r="T203" i="1"/>
  <c r="T202" i="1"/>
  <c r="T201" i="1"/>
  <c r="T200" i="1"/>
  <c r="T199" i="1"/>
  <c r="T198" i="1"/>
  <c r="T197" i="1"/>
  <c r="T196" i="1"/>
  <c r="T195" i="1"/>
  <c r="T173" i="1"/>
  <c r="T172" i="1"/>
  <c r="T171" i="1"/>
  <c r="U187" i="1"/>
  <c r="U225" i="1"/>
  <c r="V225" i="1" s="1"/>
  <c r="U224" i="1"/>
  <c r="V224" i="1" s="1"/>
  <c r="U223" i="1"/>
  <c r="V223" i="1" s="1"/>
  <c r="U222" i="1"/>
  <c r="V222" i="1" s="1"/>
  <c r="U221" i="1"/>
  <c r="V221" i="1" s="1"/>
  <c r="U220" i="1"/>
  <c r="V220" i="1" s="1"/>
  <c r="S219" i="1"/>
  <c r="U218" i="1"/>
  <c r="V218" i="1" s="1"/>
  <c r="S217" i="1"/>
  <c r="U216" i="1"/>
  <c r="V216" i="1" s="1"/>
  <c r="U215" i="1"/>
  <c r="U214" i="1"/>
  <c r="U213" i="1"/>
  <c r="V213" i="1" s="1"/>
  <c r="U212" i="1"/>
  <c r="V212" i="1" s="1"/>
  <c r="S211" i="1"/>
  <c r="U211" i="1" s="1"/>
  <c r="V211" i="1" s="1"/>
  <c r="U210" i="1"/>
  <c r="V210" i="1" s="1"/>
  <c r="U209" i="1"/>
  <c r="V209" i="1" s="1"/>
  <c r="U208" i="1"/>
  <c r="V208" i="1" s="1"/>
  <c r="S207" i="1"/>
  <c r="T207" i="1" s="1"/>
  <c r="S206" i="1"/>
  <c r="U206" i="1" s="1"/>
  <c r="V206" i="1" s="1"/>
  <c r="S205" i="1"/>
  <c r="U205" i="1" s="1"/>
  <c r="V205" i="1" s="1"/>
  <c r="S204" i="1"/>
  <c r="U204" i="1" s="1"/>
  <c r="V204" i="1" s="1"/>
  <c r="U203" i="1"/>
  <c r="V203" i="1" s="1"/>
  <c r="U202" i="1"/>
  <c r="V202" i="1" s="1"/>
  <c r="U201" i="1"/>
  <c r="V201" i="1" s="1"/>
  <c r="U200" i="1"/>
  <c r="V200" i="1" s="1"/>
  <c r="U199" i="1"/>
  <c r="V199" i="1" s="1"/>
  <c r="U198" i="1"/>
  <c r="V198" i="1" s="1"/>
  <c r="U197" i="1"/>
  <c r="V197" i="1" s="1"/>
  <c r="U196" i="1"/>
  <c r="V196" i="1" s="1"/>
  <c r="U195" i="1"/>
  <c r="V195" i="1" s="1"/>
  <c r="S194" i="1"/>
  <c r="U194" i="1" s="1"/>
  <c r="V194" i="1" s="1"/>
  <c r="S193" i="1"/>
  <c r="T193" i="1" s="1"/>
  <c r="S192" i="1"/>
  <c r="T192" i="1" s="1"/>
  <c r="S191" i="1"/>
  <c r="U190" i="1"/>
  <c r="U189" i="1"/>
  <c r="U188" i="1"/>
  <c r="S185" i="1"/>
  <c r="T184" i="1"/>
  <c r="U217" i="1" l="1"/>
  <c r="T217" i="1"/>
  <c r="U219" i="1"/>
  <c r="T219" i="1"/>
  <c r="F250" i="1"/>
  <c r="E153" i="5"/>
  <c r="G153" i="5" s="1"/>
  <c r="C147" i="5" s="1"/>
  <c r="U185" i="1"/>
  <c r="T185" i="1"/>
  <c r="U186" i="1"/>
  <c r="T186" i="1"/>
  <c r="U184" i="1"/>
  <c r="E141" i="5"/>
  <c r="U191" i="1"/>
  <c r="V191" i="1" s="1"/>
  <c r="U193" i="1"/>
  <c r="V193" i="1" s="1"/>
  <c r="T191" i="1"/>
  <c r="T204" i="1"/>
  <c r="T205" i="1"/>
  <c r="T194" i="1"/>
  <c r="T206" i="1"/>
  <c r="T211" i="1"/>
  <c r="U192" i="1"/>
  <c r="V192" i="1" s="1"/>
  <c r="U207" i="1"/>
  <c r="V207" i="1" s="1"/>
  <c r="U173" i="1"/>
  <c r="V173" i="1" s="1"/>
  <c r="F141" i="5" l="1"/>
  <c r="I141" i="5" s="1"/>
  <c r="H153" i="5"/>
  <c r="C150" i="5" s="1"/>
  <c r="F153" i="5"/>
  <c r="I153" i="5" s="1"/>
  <c r="G141" i="5"/>
  <c r="S176" i="1"/>
  <c r="S177" i="1"/>
  <c r="T177" i="1" s="1"/>
  <c r="S178" i="1"/>
  <c r="S179" i="1"/>
  <c r="U179" i="1" s="1"/>
  <c r="S180" i="1"/>
  <c r="S181" i="1"/>
  <c r="U181" i="1" s="1"/>
  <c r="S182" i="1"/>
  <c r="S183" i="1"/>
  <c r="S175" i="1"/>
  <c r="T175" i="1" s="1"/>
  <c r="U171" i="1"/>
  <c r="V171" i="1" s="1"/>
  <c r="T180" i="1" l="1"/>
  <c r="U180" i="1"/>
  <c r="V180" i="1" s="1"/>
  <c r="T176" i="1"/>
  <c r="U176" i="1"/>
  <c r="V176" i="1" s="1"/>
  <c r="T182" i="1"/>
  <c r="U182" i="1"/>
  <c r="V182" i="1" s="1"/>
  <c r="T178" i="1"/>
  <c r="U178" i="1"/>
  <c r="V178" i="1" s="1"/>
  <c r="C135" i="5"/>
  <c r="C138" i="5"/>
  <c r="U183" i="1"/>
  <c r="V183" i="1" s="1"/>
  <c r="T183" i="1"/>
  <c r="U177" i="1"/>
  <c r="V177" i="1" s="1"/>
  <c r="U175" i="1"/>
  <c r="V175" i="1" s="1"/>
  <c r="S174" i="1"/>
  <c r="T174" i="1" s="1"/>
  <c r="U172" i="1"/>
  <c r="V172" i="1" s="1"/>
  <c r="S170" i="1"/>
  <c r="S169" i="1"/>
  <c r="S168" i="1"/>
  <c r="U168" i="1" s="1"/>
  <c r="S167" i="1"/>
  <c r="T167" i="1" s="1"/>
  <c r="T170" i="1" l="1"/>
  <c r="F129" i="5" s="1"/>
  <c r="U170" i="1"/>
  <c r="V170" i="1" s="1"/>
  <c r="U169" i="1"/>
  <c r="E129" i="5"/>
  <c r="U174" i="1"/>
  <c r="V174" i="1" s="1"/>
  <c r="U167" i="1"/>
  <c r="T168" i="1"/>
  <c r="S160" i="1"/>
  <c r="T160" i="1" s="1"/>
  <c r="H129" i="5" l="1"/>
  <c r="I129" i="5"/>
  <c r="G129" i="5"/>
  <c r="C123" i="5" s="1"/>
  <c r="U138" i="1"/>
  <c r="U137" i="1"/>
  <c r="U136" i="1"/>
  <c r="U134" i="1"/>
  <c r="U133" i="1"/>
  <c r="U132" i="1"/>
  <c r="U131" i="1"/>
  <c r="U130" i="1"/>
  <c r="U129" i="1"/>
  <c r="S165" i="1"/>
  <c r="U165" i="1" s="1"/>
  <c r="S135" i="1"/>
  <c r="U135" i="1" s="1"/>
  <c r="S164" i="1"/>
  <c r="U164" i="1" s="1"/>
  <c r="S163" i="1"/>
  <c r="S162" i="1"/>
  <c r="S161" i="1"/>
  <c r="U160" i="1"/>
  <c r="S159" i="1"/>
  <c r="U159" i="1" s="1"/>
  <c r="S158" i="1"/>
  <c r="U158" i="1" s="1"/>
  <c r="S157" i="1"/>
  <c r="U157" i="1" s="1"/>
  <c r="S156" i="1"/>
  <c r="U156" i="1" s="1"/>
  <c r="S155" i="1"/>
  <c r="U155" i="1" s="1"/>
  <c r="S154" i="1"/>
  <c r="U154" i="1" s="1"/>
  <c r="S153" i="1"/>
  <c r="U153" i="1" s="1"/>
  <c r="S152" i="1"/>
  <c r="U152" i="1" s="1"/>
  <c r="S151" i="1"/>
  <c r="U151" i="1" s="1"/>
  <c r="S150" i="1"/>
  <c r="S149" i="1"/>
  <c r="U149" i="1" s="1"/>
  <c r="U148" i="1"/>
  <c r="U147" i="1"/>
  <c r="S146" i="1"/>
  <c r="U146" i="1" s="1"/>
  <c r="S144" i="1"/>
  <c r="U144" i="1" s="1"/>
  <c r="S166" i="1"/>
  <c r="U145" i="1"/>
  <c r="U143" i="1"/>
  <c r="U142" i="1"/>
  <c r="U141" i="1"/>
  <c r="U140" i="1"/>
  <c r="U139" i="1"/>
  <c r="T129" i="1"/>
  <c r="C126" i="5" l="1"/>
  <c r="U163" i="1"/>
  <c r="T163" i="1"/>
  <c r="U166" i="1"/>
  <c r="T166" i="1"/>
  <c r="U150" i="1"/>
  <c r="T150" i="1"/>
  <c r="U162" i="1"/>
  <c r="T162" i="1"/>
  <c r="U161" i="1"/>
  <c r="T161" i="1"/>
  <c r="D236" i="1"/>
  <c r="M8" i="3" s="1"/>
  <c r="T155" i="1"/>
  <c r="T154" i="1"/>
  <c r="T153" i="1"/>
  <c r="T151" i="1"/>
  <c r="T149" i="1"/>
  <c r="T148" i="1"/>
  <c r="T147" i="1"/>
  <c r="T145" i="1"/>
  <c r="T143" i="1"/>
  <c r="T142" i="1"/>
  <c r="T141" i="1"/>
  <c r="T140" i="1"/>
  <c r="T139" i="1"/>
  <c r="T138" i="1"/>
  <c r="T137" i="1"/>
  <c r="T136" i="1"/>
  <c r="T135" i="1"/>
  <c r="T134" i="1"/>
  <c r="T133" i="1"/>
  <c r="T132" i="1"/>
  <c r="T131" i="1"/>
  <c r="T130" i="1"/>
  <c r="T122" i="1"/>
  <c r="T121" i="1"/>
  <c r="T120" i="1"/>
  <c r="T119" i="1"/>
  <c r="T118" i="1"/>
  <c r="T117" i="1"/>
  <c r="T115" i="1"/>
  <c r="T114" i="1"/>
  <c r="T113" i="1"/>
  <c r="T112" i="1"/>
  <c r="T111" i="1"/>
  <c r="T109" i="1"/>
  <c r="T108" i="1"/>
  <c r="T107" i="1"/>
  <c r="T106" i="1"/>
  <c r="T105" i="1"/>
  <c r="T104" i="1"/>
  <c r="T103" i="1"/>
  <c r="T102" i="1"/>
  <c r="T101" i="1"/>
  <c r="T100" i="1"/>
  <c r="T99" i="1"/>
  <c r="T98" i="1"/>
  <c r="T97" i="1"/>
  <c r="T96" i="1"/>
  <c r="T95" i="1"/>
  <c r="T94" i="1"/>
  <c r="T93" i="1"/>
  <c r="T92" i="1"/>
  <c r="T91" i="1"/>
  <c r="T90" i="1"/>
  <c r="T89" i="1"/>
  <c r="T88" i="1"/>
  <c r="T87" i="1"/>
  <c r="T86" i="1"/>
  <c r="T85" i="1"/>
  <c r="T77" i="1"/>
  <c r="T76" i="1"/>
  <c r="T71" i="1"/>
  <c r="T70" i="1"/>
  <c r="T69" i="1"/>
  <c r="T68" i="1"/>
  <c r="T67" i="1"/>
  <c r="T66" i="1"/>
  <c r="T65" i="1"/>
  <c r="T64" i="1"/>
  <c r="T63" i="1"/>
  <c r="T62" i="1"/>
  <c r="T61" i="1"/>
  <c r="T60" i="1"/>
  <c r="T58" i="1"/>
  <c r="T56" i="1"/>
  <c r="T55" i="1"/>
  <c r="T54" i="1"/>
  <c r="T53" i="1"/>
  <c r="T52" i="1"/>
  <c r="T50" i="1"/>
  <c r="T49" i="1"/>
  <c r="T48" i="1"/>
  <c r="T43" i="1"/>
  <c r="T42" i="1"/>
  <c r="T41" i="1"/>
  <c r="T40" i="1"/>
  <c r="T39" i="1"/>
  <c r="T38" i="1"/>
  <c r="T37" i="1"/>
  <c r="T36" i="1"/>
  <c r="T35" i="1"/>
  <c r="T30" i="1"/>
  <c r="T29" i="1"/>
  <c r="T28" i="1"/>
  <c r="T27" i="1"/>
  <c r="T26" i="1"/>
  <c r="T25" i="1"/>
  <c r="T24" i="1"/>
  <c r="T22" i="1"/>
  <c r="T21" i="1"/>
  <c r="T20" i="1"/>
  <c r="T19" i="1"/>
  <c r="T18" i="1"/>
  <c r="T17" i="1"/>
  <c r="T16" i="1"/>
  <c r="T14" i="1"/>
  <c r="T13" i="1"/>
  <c r="T12" i="1"/>
  <c r="T11" i="1"/>
  <c r="T9" i="1"/>
  <c r="T8" i="1"/>
  <c r="T7" i="1"/>
  <c r="T6" i="1"/>
  <c r="T5" i="1"/>
  <c r="T4" i="1"/>
  <c r="D38" i="11" l="1"/>
  <c r="D37" i="11"/>
  <c r="D36" i="11"/>
  <c r="D35" i="11"/>
  <c r="B3" i="11"/>
  <c r="B2" i="11"/>
  <c r="E118" i="5"/>
  <c r="B2" i="3"/>
  <c r="H118" i="5"/>
  <c r="F118" i="5"/>
  <c r="H117" i="5"/>
  <c r="F117" i="5"/>
  <c r="E117" i="5"/>
  <c r="H106" i="5"/>
  <c r="E106" i="5"/>
  <c r="H105" i="5"/>
  <c r="H94" i="5"/>
  <c r="E94" i="5"/>
  <c r="G94" i="5" s="1"/>
  <c r="H93" i="5"/>
  <c r="H82" i="5"/>
  <c r="E82" i="5"/>
  <c r="H81" i="5"/>
  <c r="H70" i="5"/>
  <c r="E70" i="5"/>
  <c r="G70" i="5" s="1"/>
  <c r="H69" i="5"/>
  <c r="H58" i="5"/>
  <c r="E58" i="5"/>
  <c r="H57" i="5"/>
  <c r="H46" i="5"/>
  <c r="F46" i="5"/>
  <c r="E46" i="5"/>
  <c r="I46" i="5" s="1"/>
  <c r="H45" i="5"/>
  <c r="H34" i="5"/>
  <c r="F34" i="5"/>
  <c r="E34" i="5"/>
  <c r="I34" i="5" s="1"/>
  <c r="H33" i="5"/>
  <c r="H22" i="5"/>
  <c r="E22" i="5"/>
  <c r="H21" i="5"/>
  <c r="H10" i="5"/>
  <c r="H9" i="5"/>
  <c r="E10" i="5"/>
  <c r="G10" i="5" s="1"/>
  <c r="A14" i="5"/>
  <c r="A26" i="5" s="1"/>
  <c r="A38" i="5" s="1"/>
  <c r="A50" i="5" s="1"/>
  <c r="A62" i="5" s="1"/>
  <c r="A74" i="5" s="1"/>
  <c r="A86" i="5" s="1"/>
  <c r="A98" i="5" s="1"/>
  <c r="A110" i="5" s="1"/>
  <c r="A122" i="5" s="1"/>
  <c r="F10" i="5"/>
  <c r="T3" i="1"/>
  <c r="I117" i="5" l="1"/>
  <c r="I118" i="5"/>
  <c r="F82" i="5"/>
  <c r="I82" i="5" s="1"/>
  <c r="E8" i="11"/>
  <c r="G46" i="5"/>
  <c r="G117" i="5"/>
  <c r="F254" i="1"/>
  <c r="F251" i="1"/>
  <c r="F252" i="1"/>
  <c r="F253" i="1"/>
  <c r="G118" i="5"/>
  <c r="F58" i="5"/>
  <c r="I58" i="5" s="1"/>
  <c r="F22" i="5"/>
  <c r="I22" i="5" s="1"/>
  <c r="G22" i="5"/>
  <c r="F94" i="5"/>
  <c r="I94" i="5" s="1"/>
  <c r="F106" i="5"/>
  <c r="I106" i="5" s="1"/>
  <c r="I10" i="5"/>
  <c r="F70" i="5"/>
  <c r="I70" i="5" s="1"/>
  <c r="G106" i="5"/>
  <c r="G82" i="5"/>
  <c r="G58" i="5"/>
  <c r="G34" i="5"/>
  <c r="F10" i="1"/>
  <c r="F243" i="1"/>
  <c r="C111" i="5" l="1"/>
  <c r="C114" i="5"/>
  <c r="U107" i="1" l="1"/>
  <c r="U106" i="1"/>
  <c r="U105" i="1"/>
  <c r="U104" i="1"/>
  <c r="U103" i="1"/>
  <c r="U108" i="1"/>
  <c r="U109" i="1"/>
  <c r="U111" i="1"/>
  <c r="U112" i="1"/>
  <c r="U113" i="1"/>
  <c r="U114" i="1"/>
  <c r="U115" i="1"/>
  <c r="U117" i="1"/>
  <c r="U122" i="1"/>
  <c r="U118" i="1" l="1"/>
  <c r="U119" i="1"/>
  <c r="U120" i="1" l="1"/>
  <c r="U121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77" i="1"/>
  <c r="U76" i="1"/>
  <c r="U71" i="1"/>
  <c r="U70" i="1"/>
  <c r="U69" i="1"/>
  <c r="U68" i="1"/>
  <c r="U67" i="1"/>
  <c r="U66" i="1"/>
  <c r="U65" i="1"/>
  <c r="U64" i="1"/>
  <c r="U63" i="1"/>
  <c r="U61" i="1"/>
  <c r="U60" i="1"/>
  <c r="U58" i="1"/>
  <c r="U56" i="1"/>
  <c r="U55" i="1"/>
  <c r="U54" i="1"/>
  <c r="U53" i="1"/>
  <c r="U52" i="1"/>
  <c r="U50" i="1"/>
  <c r="U49" i="1"/>
  <c r="U48" i="1"/>
  <c r="U43" i="1"/>
  <c r="U42" i="1"/>
  <c r="U41" i="1"/>
  <c r="U40" i="1"/>
  <c r="U39" i="1"/>
  <c r="U38" i="1"/>
  <c r="U37" i="1"/>
  <c r="U36" i="1"/>
  <c r="U35" i="1"/>
  <c r="U30" i="1"/>
  <c r="U29" i="1"/>
  <c r="U28" i="1"/>
  <c r="U27" i="1"/>
  <c r="U26" i="1"/>
  <c r="U25" i="1"/>
  <c r="U24" i="1"/>
  <c r="U22" i="1"/>
  <c r="U21" i="1"/>
  <c r="U20" i="1"/>
  <c r="U19" i="1"/>
  <c r="U18" i="1"/>
  <c r="U17" i="1"/>
  <c r="U16" i="1"/>
  <c r="U14" i="1"/>
  <c r="U13" i="1"/>
  <c r="U12" i="1"/>
  <c r="U11" i="1"/>
  <c r="U9" i="1"/>
  <c r="U8" i="1"/>
  <c r="U7" i="1"/>
  <c r="E241" i="1" l="1"/>
  <c r="M12" i="3" s="1"/>
  <c r="E12" i="11" l="1"/>
  <c r="E12" i="3"/>
  <c r="E232" i="1"/>
  <c r="F12" i="11" l="1"/>
  <c r="N12" i="3"/>
  <c r="F12" i="3"/>
  <c r="E233" i="1"/>
  <c r="E234" i="1"/>
  <c r="N14" i="3" s="1"/>
  <c r="E235" i="1"/>
  <c r="N15" i="3" s="1"/>
  <c r="E236" i="1"/>
  <c r="E250" i="1"/>
  <c r="G250" i="1" s="1"/>
  <c r="E242" i="1"/>
  <c r="E243" i="1"/>
  <c r="D232" i="1"/>
  <c r="D233" i="1"/>
  <c r="D234" i="1"/>
  <c r="D235" i="1"/>
  <c r="D241" i="1"/>
  <c r="D242" i="1"/>
  <c r="D243" i="1"/>
  <c r="F8" i="11" l="1"/>
  <c r="G8" i="11" s="1"/>
  <c r="N8" i="3"/>
  <c r="O8" i="3" s="1"/>
  <c r="F13" i="11"/>
  <c r="N13" i="3"/>
  <c r="E14" i="11"/>
  <c r="M14" i="3"/>
  <c r="E13" i="11"/>
  <c r="M13" i="3"/>
  <c r="F14" i="11"/>
  <c r="E252" i="1"/>
  <c r="F15" i="11"/>
  <c r="F14" i="3"/>
  <c r="E13" i="3"/>
  <c r="F13" i="3"/>
  <c r="F8" i="3"/>
  <c r="E8" i="3"/>
  <c r="E14" i="3"/>
  <c r="D252" i="1"/>
  <c r="E251" i="1"/>
  <c r="D250" i="1"/>
  <c r="D251" i="1"/>
  <c r="F245" i="1"/>
  <c r="S116" i="1"/>
  <c r="T116" i="1" s="1"/>
  <c r="S110" i="1"/>
  <c r="T110" i="1" s="1"/>
  <c r="S84" i="1"/>
  <c r="T84" i="1" s="1"/>
  <c r="S83" i="1"/>
  <c r="T83" i="1" s="1"/>
  <c r="S82" i="1"/>
  <c r="T82" i="1" s="1"/>
  <c r="S81" i="1"/>
  <c r="T81" i="1" s="1"/>
  <c r="S80" i="1"/>
  <c r="T80" i="1" s="1"/>
  <c r="S79" i="1"/>
  <c r="T79" i="1" s="1"/>
  <c r="S78" i="1"/>
  <c r="T78" i="1" s="1"/>
  <c r="S75" i="1"/>
  <c r="T75" i="1" s="1"/>
  <c r="S74" i="1"/>
  <c r="T74" i="1" s="1"/>
  <c r="S73" i="1"/>
  <c r="T73" i="1" s="1"/>
  <c r="S72" i="1"/>
  <c r="T72" i="1" s="1"/>
  <c r="S59" i="1"/>
  <c r="T59" i="1" s="1"/>
  <c r="S57" i="1"/>
  <c r="T57" i="1" s="1"/>
  <c r="S51" i="1"/>
  <c r="T51" i="1" s="1"/>
  <c r="S47" i="1"/>
  <c r="T47" i="1" s="1"/>
  <c r="S46" i="1"/>
  <c r="T46" i="1" s="1"/>
  <c r="S45" i="1"/>
  <c r="T45" i="1" s="1"/>
  <c r="S44" i="1"/>
  <c r="T44" i="1" s="1"/>
  <c r="S34" i="1"/>
  <c r="T34" i="1" s="1"/>
  <c r="S33" i="1"/>
  <c r="T33" i="1" s="1"/>
  <c r="S32" i="1"/>
  <c r="T32" i="1" s="1"/>
  <c r="S31" i="1"/>
  <c r="T31" i="1" s="1"/>
  <c r="S23" i="1"/>
  <c r="T23" i="1" s="1"/>
  <c r="S15" i="1"/>
  <c r="T15" i="1" s="1"/>
  <c r="S10" i="1"/>
  <c r="T10" i="1" s="1"/>
  <c r="F33" i="5" l="1"/>
  <c r="E33" i="5"/>
  <c r="E57" i="5"/>
  <c r="E21" i="5"/>
  <c r="E81" i="5"/>
  <c r="E69" i="5"/>
  <c r="E105" i="5"/>
  <c r="E93" i="5"/>
  <c r="F45" i="5"/>
  <c r="E45" i="5"/>
  <c r="F9" i="5"/>
  <c r="E9" i="5"/>
  <c r="D245" i="1"/>
  <c r="U110" i="1"/>
  <c r="U116" i="1"/>
  <c r="D244" i="1"/>
  <c r="D253" i="1" s="1"/>
  <c r="D254" i="1" s="1"/>
  <c r="U15" i="1"/>
  <c r="U81" i="1"/>
  <c r="U23" i="1"/>
  <c r="U34" i="1"/>
  <c r="U47" i="1"/>
  <c r="U72" i="1"/>
  <c r="U78" i="1"/>
  <c r="U82" i="1"/>
  <c r="U33" i="1"/>
  <c r="U46" i="1"/>
  <c r="U59" i="1"/>
  <c r="U75" i="1"/>
  <c r="U31" i="1"/>
  <c r="U44" i="1"/>
  <c r="U51" i="1"/>
  <c r="U73" i="1"/>
  <c r="U79" i="1"/>
  <c r="U83" i="1"/>
  <c r="U10" i="1"/>
  <c r="U32" i="1"/>
  <c r="U45" i="1"/>
  <c r="U57" i="1"/>
  <c r="U74" i="1"/>
  <c r="U80" i="1"/>
  <c r="U84" i="1"/>
  <c r="E244" i="1"/>
  <c r="E7" i="11" l="1"/>
  <c r="M7" i="3"/>
  <c r="M15" i="3"/>
  <c r="E15" i="3"/>
  <c r="E15" i="11"/>
  <c r="G105" i="5"/>
  <c r="G57" i="5"/>
  <c r="G93" i="5"/>
  <c r="I45" i="5"/>
  <c r="G45" i="5"/>
  <c r="G69" i="5"/>
  <c r="F81" i="5"/>
  <c r="I81" i="5" s="1"/>
  <c r="F69" i="5"/>
  <c r="I69" i="5" s="1"/>
  <c r="F105" i="5"/>
  <c r="I105" i="5" s="1"/>
  <c r="F93" i="5"/>
  <c r="I93" i="5" s="1"/>
  <c r="F21" i="5"/>
  <c r="I21" i="5" s="1"/>
  <c r="F57" i="5"/>
  <c r="I57" i="5" s="1"/>
  <c r="G81" i="5"/>
  <c r="I33" i="5"/>
  <c r="G33" i="5"/>
  <c r="G21" i="5"/>
  <c r="E7" i="3"/>
  <c r="G9" i="5"/>
  <c r="I9" i="5"/>
  <c r="E253" i="1"/>
  <c r="E254" i="1" s="1"/>
  <c r="G254" i="1" s="1"/>
  <c r="E245" i="1"/>
  <c r="F244" i="1"/>
  <c r="F242" i="1"/>
  <c r="F241" i="1"/>
  <c r="F7" i="11" l="1"/>
  <c r="G7" i="11" s="1"/>
  <c r="N7" i="3"/>
  <c r="O7" i="3" s="1"/>
  <c r="C27" i="5"/>
  <c r="C30" i="5"/>
  <c r="C42" i="5"/>
  <c r="C39" i="5"/>
  <c r="C54" i="5"/>
  <c r="C51" i="5"/>
  <c r="C15" i="5"/>
  <c r="C18" i="5"/>
  <c r="C78" i="5"/>
  <c r="C75" i="5"/>
  <c r="C63" i="5"/>
  <c r="C66" i="5"/>
  <c r="C87" i="5"/>
  <c r="C90" i="5"/>
  <c r="C102" i="5"/>
  <c r="C99" i="5"/>
  <c r="C3" i="5"/>
  <c r="C6" i="5"/>
  <c r="H254" i="1"/>
  <c r="F7" i="3"/>
  <c r="F236" i="1"/>
  <c r="F232" i="1"/>
  <c r="F234" i="1"/>
  <c r="G7" i="3" l="1"/>
  <c r="H236" i="1"/>
  <c r="H245" i="1"/>
  <c r="G8" i="3"/>
  <c r="G236" i="1"/>
  <c r="G245" i="1"/>
  <c r="F235" i="1"/>
  <c r="F233" i="1"/>
  <c r="G251" i="1" l="1"/>
  <c r="G252" i="1" l="1"/>
  <c r="B4" i="1" l="1"/>
  <c r="B5" i="1" s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B44" i="1" s="1"/>
  <c r="B45" i="1" s="1"/>
  <c r="B46" i="1" s="1"/>
  <c r="B47" i="1" s="1"/>
  <c r="B48" i="1" s="1"/>
  <c r="B49" i="1" s="1"/>
  <c r="B50" i="1" s="1"/>
  <c r="B51" i="1" s="1"/>
  <c r="B52" i="1" s="1"/>
  <c r="B53" i="1" s="1"/>
  <c r="B54" i="1" s="1"/>
  <c r="B55" i="1" s="1"/>
  <c r="B56" i="1" s="1"/>
  <c r="B57" i="1" s="1"/>
  <c r="B58" i="1" s="1"/>
  <c r="B59" i="1" s="1"/>
  <c r="B60" i="1" s="1"/>
  <c r="B61" i="1" s="1"/>
  <c r="B62" i="1" s="1"/>
  <c r="B63" i="1" s="1"/>
  <c r="B64" i="1" s="1"/>
  <c r="B65" i="1" s="1"/>
  <c r="B66" i="1" s="1"/>
  <c r="B67" i="1" s="1"/>
  <c r="B68" i="1" s="1"/>
  <c r="B69" i="1" s="1"/>
  <c r="B70" i="1" s="1"/>
  <c r="B71" i="1" s="1"/>
  <c r="B72" i="1" s="1"/>
  <c r="B73" i="1" s="1"/>
  <c r="B74" i="1" s="1"/>
  <c r="B75" i="1" s="1"/>
  <c r="B76" i="1" s="1"/>
  <c r="B77" i="1" s="1"/>
  <c r="B78" i="1" s="1"/>
  <c r="B79" i="1" s="1"/>
  <c r="B80" i="1" s="1"/>
  <c r="B81" i="1" s="1"/>
  <c r="B82" i="1" s="1"/>
  <c r="B83" i="1" s="1"/>
  <c r="B84" i="1" s="1"/>
  <c r="B85" i="1" s="1"/>
  <c r="B86" i="1" s="1"/>
  <c r="B87" i="1" s="1"/>
  <c r="B88" i="1" s="1"/>
  <c r="B89" i="1" s="1"/>
  <c r="B90" i="1" s="1"/>
  <c r="B91" i="1" s="1"/>
  <c r="B92" i="1" s="1"/>
  <c r="B93" i="1" s="1"/>
  <c r="B94" i="1" s="1"/>
  <c r="B95" i="1" s="1"/>
  <c r="B96" i="1" s="1"/>
  <c r="B97" i="1" s="1"/>
  <c r="B98" i="1" s="1"/>
  <c r="B99" i="1" s="1"/>
  <c r="B100" i="1" s="1"/>
  <c r="B101" i="1" s="1"/>
  <c r="B102" i="1" s="1"/>
  <c r="B103" i="1" s="1"/>
  <c r="B104" i="1" s="1"/>
  <c r="B105" i="1" s="1"/>
  <c r="B106" i="1" s="1"/>
  <c r="B107" i="1" l="1"/>
  <c r="B108" i="1" s="1"/>
  <c r="B109" i="1" s="1"/>
  <c r="B110" i="1" s="1"/>
  <c r="B111" i="1" s="1"/>
  <c r="B112" i="1" s="1"/>
  <c r="B113" i="1" s="1"/>
  <c r="B114" i="1" s="1"/>
  <c r="B115" i="1" s="1"/>
  <c r="B116" i="1" s="1"/>
  <c r="B117" i="1" s="1"/>
  <c r="B118" i="1" s="1"/>
  <c r="B119" i="1" s="1"/>
  <c r="B120" i="1" s="1"/>
  <c r="B121" i="1" s="1"/>
  <c r="B122" i="1" s="1"/>
  <c r="B123" i="1" s="1"/>
  <c r="B124" i="1" s="1"/>
  <c r="B125" i="1" s="1"/>
  <c r="B126" i="1" s="1"/>
  <c r="B127" i="1" s="1"/>
  <c r="B128" i="1" s="1"/>
  <c r="B129" i="1" s="1"/>
  <c r="B130" i="1" s="1"/>
  <c r="B131" i="1" s="1"/>
  <c r="B132" i="1" s="1"/>
  <c r="B133" i="1" s="1"/>
  <c r="B134" i="1" s="1"/>
  <c r="B135" i="1" s="1"/>
  <c r="B136" i="1" s="1"/>
  <c r="B137" i="1" s="1"/>
  <c r="B138" i="1" s="1"/>
  <c r="B139" i="1" s="1"/>
  <c r="B140" i="1" s="1"/>
  <c r="B141" i="1" s="1"/>
  <c r="B142" i="1" s="1"/>
  <c r="B143" i="1" s="1"/>
  <c r="B144" i="1" s="1"/>
  <c r="B145" i="1" s="1"/>
  <c r="B146" i="1" s="1"/>
  <c r="B147" i="1" s="1"/>
  <c r="B148" i="1" s="1"/>
  <c r="B149" i="1" s="1"/>
  <c r="B150" i="1" s="1"/>
  <c r="B151" i="1" s="1"/>
  <c r="B152" i="1" s="1"/>
  <c r="B153" i="1" s="1"/>
  <c r="B154" i="1" s="1"/>
  <c r="B155" i="1" s="1"/>
  <c r="B156" i="1" s="1"/>
  <c r="B157" i="1" s="1"/>
  <c r="B158" i="1" s="1"/>
  <c r="B159" i="1" s="1"/>
  <c r="B160" i="1" s="1"/>
  <c r="B161" i="1" s="1"/>
  <c r="B162" i="1" s="1"/>
  <c r="B163" i="1" s="1"/>
  <c r="B164" i="1" s="1"/>
  <c r="B165" i="1" s="1"/>
  <c r="B166" i="1" s="1"/>
  <c r="B167" i="1" s="1"/>
  <c r="B168" i="1" s="1"/>
  <c r="B169" i="1" s="1"/>
  <c r="B170" i="1" s="1"/>
  <c r="B171" i="1" s="1"/>
  <c r="B172" i="1" s="1"/>
  <c r="B173" i="1" s="1"/>
  <c r="B174" i="1" s="1"/>
  <c r="B175" i="1" s="1"/>
  <c r="B176" i="1" s="1"/>
  <c r="B177" i="1" s="1"/>
  <c r="B178" i="1" s="1"/>
  <c r="B179" i="1" s="1"/>
  <c r="B180" i="1" s="1"/>
  <c r="B181" i="1" s="1"/>
  <c r="B182" i="1" s="1"/>
  <c r="B183" i="1" s="1"/>
  <c r="B184" i="1" s="1"/>
  <c r="B185" i="1" s="1"/>
  <c r="B186" i="1" s="1"/>
  <c r="B187" i="1" s="1"/>
  <c r="B188" i="1" s="1"/>
  <c r="B189" i="1" s="1"/>
  <c r="B190" i="1" s="1"/>
  <c r="B191" i="1" s="1"/>
  <c r="B192" i="1" s="1"/>
  <c r="B193" i="1" s="1"/>
  <c r="B194" i="1" s="1"/>
  <c r="B195" i="1" s="1"/>
  <c r="B196" i="1" s="1"/>
  <c r="B197" i="1" s="1"/>
  <c r="B198" i="1" s="1"/>
  <c r="B199" i="1" s="1"/>
  <c r="B200" i="1" s="1"/>
  <c r="B201" i="1" s="1"/>
  <c r="B202" i="1" s="1"/>
  <c r="B203" i="1" s="1"/>
  <c r="B204" i="1" s="1"/>
  <c r="B205" i="1" s="1"/>
  <c r="B206" i="1" s="1"/>
  <c r="B207" i="1" s="1"/>
  <c r="B208" i="1" s="1"/>
  <c r="B209" i="1" s="1"/>
  <c r="B210" i="1" s="1"/>
  <c r="B211" i="1" s="1"/>
  <c r="B212" i="1" s="1"/>
  <c r="B213" i="1" s="1"/>
  <c r="B214" i="1" s="1"/>
  <c r="B215" i="1" s="1"/>
  <c r="B216" i="1" s="1"/>
  <c r="B217" i="1" s="1"/>
  <c r="B218" i="1" s="1"/>
  <c r="B219" i="1" s="1"/>
  <c r="B220" i="1" s="1"/>
  <c r="B221" i="1" s="1"/>
  <c r="B222" i="1" s="1"/>
  <c r="B223" i="1" s="1"/>
  <c r="B224" i="1" s="1"/>
  <c r="B225" i="1" s="1"/>
  <c r="B226" i="1" s="1"/>
  <c r="B227" i="1" s="1"/>
  <c r="G244" i="1" l="1"/>
  <c r="G242" i="1" l="1"/>
  <c r="G243" i="1" l="1"/>
  <c r="H252" i="1" l="1"/>
  <c r="H242" i="1"/>
  <c r="H253" i="1"/>
  <c r="F15" i="3"/>
  <c r="H243" i="1"/>
  <c r="H250" i="1"/>
  <c r="H251" i="1"/>
  <c r="G253" i="1"/>
  <c r="H233" i="1"/>
  <c r="G233" i="1"/>
  <c r="H232" i="1"/>
  <c r="G232" i="1"/>
  <c r="H235" i="1"/>
  <c r="G235" i="1"/>
  <c r="H244" i="1"/>
  <c r="H241" i="1"/>
  <c r="G241" i="1"/>
  <c r="H234" i="1"/>
  <c r="G234" i="1"/>
</calcChain>
</file>

<file path=xl/comments1.xml><?xml version="1.0" encoding="utf-8"?>
<comments xmlns="http://schemas.openxmlformats.org/spreadsheetml/2006/main">
  <authors>
    <author>EXTERNAL Nguyen Tuan Duong (Ban Vien, RBVH/EPS45)</author>
  </authors>
  <commentList>
    <comment ref="A27" authorId="0" guid="{7FA094A5-9FB3-49D4-B6D3-0DCAF3B073E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Purple must be complete before 11-03
</t>
        </r>
      </text>
    </comment>
    <comment ref="I27" authorId="0" guid="{1605D9D7-8ACD-4A48-8275-4AE9BDCB8C17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  <comment ref="A74" authorId="0" guid="{5408DBD6-297A-493C-80DB-96B51C57BFC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Yellow must be complete before 12-03
</t>
        </r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I76" authorId="0" guid="{682DA853-21E5-4025-ABD5-68B76F42CC8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use "Auto Comment"
</t>
        </r>
      </text>
    </comment>
    <comment ref="A89" authorId="0" guid="{76E6C46B-C8C3-40B4-BEE6-7F7FE55BC1C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Orange must be complete before 13_Mar
</t>
        </r>
      </text>
    </comment>
    <comment ref="B103" authorId="0" guid="{015C56A7-A8BC-4EEA-B5AE-C2169D3FC31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17_Mar
</t>
        </r>
      </text>
    </comment>
    <comment ref="A118" authorId="0" guid="{0D79337D-70C1-4A30-8041-583EBD1695D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18_Mar</t>
        </r>
      </text>
    </comment>
    <comment ref="A130" authorId="0" guid="{161DC02E-107D-417F-8E16-D5549EA6E665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20_Mar
</t>
        </r>
      </text>
    </comment>
    <comment ref="A140" authorId="0" guid="{1B7A8CF9-8C18-4A98-BEC3-0AC9D739C48E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25_Mar
</t>
        </r>
      </text>
    </comment>
    <comment ref="A154" authorId="0" guid="{1871A6A0-EBFB-495B-92B6-024F299890A0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26_Mar</t>
        </r>
      </text>
    </comment>
    <comment ref="A159" authorId="0" guid="{CF439D49-A250-4406-B7B9-D28FCEBF9366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27-Mar
</t>
        </r>
      </text>
    </comment>
    <comment ref="A169" authorId="0" guid="{D3DB771C-4E92-4F1C-A038-BAD7B364744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30-Mar
</t>
        </r>
      </text>
    </comment>
    <comment ref="A175" authorId="0" guid="{BB6472E9-68E0-4E09-B3A8-9AE604826CA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A187" authorId="0" guid="{5FB1DB4B-3B62-413E-88E1-311479F99E0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31-Mar
</t>
        </r>
      </text>
    </comment>
    <comment ref="I187" authorId="0" guid="{E3176EB6-BFA5-4B4A-BEA6-FC201327B77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run Tool Auto Comment to generate header and add cmt in section "Test Goal"
</t>
        </r>
      </text>
    </comment>
  </commentList>
</comments>
</file>

<file path=xl/comments2.xml><?xml version="1.0" encoding="utf-8"?>
<comments xmlns="http://schemas.openxmlformats.org/spreadsheetml/2006/main">
  <authors>
    <author>EXTERNAL Nguyen Tuan Duong (Ban Vien, RBVH/EPS45)</author>
  </authors>
  <commentList>
    <comment ref="A6" authorId="0" guid="{3437C7A4-E746-4BB1-A41A-40D3AB75F621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06-Apr</t>
        </r>
      </text>
    </comment>
    <comment ref="A24" authorId="0" guid="{13106016-1EE6-46CA-AE4C-6E154F1A227D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08-Apr
</t>
        </r>
      </text>
    </comment>
    <comment ref="A51" authorId="0" guid="{D53C0245-FAD4-401D-AC16-06E04D81FB6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03-Apr
</t>
        </r>
      </text>
    </comment>
    <comment ref="A69" authorId="0" guid="{E1E2D071-F9D5-4C8A-A23C-E7949671C698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10-Ap
</t>
        </r>
      </text>
    </comment>
    <comment ref="A76" authorId="0" guid="{C39FEBBC-CFEB-422C-86F9-C999B9B2B24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12-Apr
</t>
        </r>
      </text>
    </comment>
    <comment ref="A94" authorId="0" guid="{BE62127E-ED49-43F2-8EA4-E625F66078FB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13-Apr
</t>
        </r>
      </text>
    </comment>
    <comment ref="A98" authorId="0" guid="{D02E4A99-E8DF-4B33-8227-2A59D091CB5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Shoule be complete before 13-Apr
</t>
        </r>
      </text>
    </comment>
    <comment ref="R101" authorId="0" guid="{9D1C2572-4A06-40E8-A2F2-3681BFFEC2D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This class is same as above, please duplicate
</t>
        </r>
      </text>
    </comment>
    <comment ref="A102" authorId="0" guid="{E1CFE275-AAA7-497B-8DCA-78E5BA199CF3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20-Mar
</t>
        </r>
      </text>
    </comment>
    <comment ref="A126" authorId="0" guid="{740B3E04-0D74-46E2-B639-004188350484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13-Apr</t>
        </r>
      </text>
    </comment>
    <comment ref="A129" authorId="0" guid="{E1F8063D-A2D7-4BB4-A7A4-6E1B5A4C821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24-Apr</t>
        </r>
      </text>
    </comment>
    <comment ref="A180" authorId="0" guid="{7170884F-04F1-40A3-BBC4-28F3D5F9401A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Should be complete before 29-Apr
</t>
        </r>
      </text>
    </comment>
    <comment ref="A238" authorId="0" guid="{9F476715-1BF6-4ABA-8994-071D6EC7372F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before 17-Apr
</t>
        </r>
      </text>
    </comment>
    <comment ref="A240" authorId="0" guid="{AE184574-FC47-4840-A0E8-4374FF9106A2}" shapeId="0">
      <text>
        <r>
          <rPr>
            <b/>
            <sz val="9"/>
            <color indexed="81"/>
            <rFont val="Tahoma"/>
            <family val="2"/>
          </rPr>
          <t>EXTERNAL Nguyen Tuan Duong (Ban Vien, RBVH/EPS45):</t>
        </r>
        <r>
          <rPr>
            <sz val="9"/>
            <color indexed="81"/>
            <rFont val="Tahoma"/>
            <family val="2"/>
          </rPr>
          <t xml:space="preserve">
Must be complete today 16-Apr
</t>
        </r>
      </text>
    </comment>
  </commentList>
</comments>
</file>

<file path=xl/sharedStrings.xml><?xml version="1.0" encoding="utf-8"?>
<sst xmlns="http://schemas.openxmlformats.org/spreadsheetml/2006/main" count="7915" uniqueCount="1381">
  <si>
    <t>No</t>
  </si>
  <si>
    <t>Type</t>
  </si>
  <si>
    <t>ASW</t>
  </si>
  <si>
    <t>PSW</t>
  </si>
  <si>
    <t>No\Type</t>
  </si>
  <si>
    <t>Member</t>
  </si>
  <si>
    <t>hieu.nguyen-trung</t>
  </si>
  <si>
    <t>Tester</t>
  </si>
  <si>
    <t>1. Test Design (.xls)
2. Plot File (.plt)
3. ATT project
4. Coverage Log</t>
  </si>
  <si>
    <t>1. TPA file (.tpa)
2. test report (.html)
3. test report (.xml)
4. test summary (.html)
5. File Coverage Fail Reason (.xls)</t>
  </si>
  <si>
    <t>KPI Table</t>
  </si>
  <si>
    <t>Start</t>
  </si>
  <si>
    <t>End</t>
  </si>
  <si>
    <t>C0</t>
  </si>
  <si>
    <t>C1</t>
  </si>
  <si>
    <t>MCDC</t>
  </si>
  <si>
    <t>Reason</t>
  </si>
  <si>
    <t>Status</t>
  </si>
  <si>
    <t>Ready for review</t>
  </si>
  <si>
    <t>Status Table</t>
  </si>
  <si>
    <t>N/A</t>
  </si>
  <si>
    <t>Ready for PLC</t>
  </si>
  <si>
    <t>KPI/days</t>
  </si>
  <si>
    <t>Ongoing</t>
  </si>
  <si>
    <t>Status (%)</t>
  </si>
  <si>
    <t>#</t>
  </si>
  <si>
    <t>Types</t>
  </si>
  <si>
    <t>Assigned ELOCs</t>
  </si>
  <si>
    <t>Completed ELOCs</t>
  </si>
  <si>
    <t>Status (%)
(Completed/Assigned)</t>
  </si>
  <si>
    <t>Total Days</t>
  </si>
  <si>
    <t>External Name</t>
  </si>
  <si>
    <t>PSW
ELOCs</t>
  </si>
  <si>
    <t>ASW
ELOCs</t>
  </si>
  <si>
    <t>1. Completed ELOCs of the team from the beginning of Month (Mar) till Now:</t>
  </si>
  <si>
    <t>2. Completed ELOCs of each member from the beginning of Month (Mar) till Now:</t>
  </si>
  <si>
    <t>3. Risks/ Pending Issues:</t>
  </si>
  <si>
    <t>Risks/ Issues</t>
  </si>
  <si>
    <t>4. Found Defects/ OPLs in Month (Mar):</t>
  </si>
  <si>
    <t>5. Leave Plan (Mar):</t>
  </si>
  <si>
    <t>Num of Day</t>
  </si>
  <si>
    <t>Detail</t>
  </si>
  <si>
    <t>Date</t>
  </si>
  <si>
    <t>Note:</t>
  </si>
  <si>
    <t>PSW: 450 ELOCs</t>
  </si>
  <si>
    <t>ASW: 150 ELOCs</t>
  </si>
  <si>
    <t>Productivity of each Member per Day</t>
  </si>
  <si>
    <t>Total Productivity per Month</t>
  </si>
  <si>
    <t>PSW: 450x4x20 = 36,000 ELOCs</t>
  </si>
  <si>
    <t>ASW: 130x4x20 = 10,400 ELOCs</t>
  </si>
  <si>
    <t>Table Type of Testing</t>
  </si>
  <si>
    <t>Table Tester</t>
  </si>
  <si>
    <t>Detail Output</t>
  </si>
  <si>
    <t>ATT</t>
  </si>
  <si>
    <t>Cantata</t>
  </si>
  <si>
    <t>Tool</t>
  </si>
  <si>
    <t>Table KPI ASW</t>
  </si>
  <si>
    <t>Table KPI PSW</t>
  </si>
  <si>
    <t>LOC Complete</t>
  </si>
  <si>
    <t>Actual hour</t>
  </si>
  <si>
    <t>Task Jira</t>
  </si>
  <si>
    <t>PAP_Odometry</t>
  </si>
  <si>
    <t>Project</t>
  </si>
  <si>
    <t>ComponentName</t>
  </si>
  <si>
    <t>TaskID</t>
  </si>
  <si>
    <t>ItemName</t>
  </si>
  <si>
    <t>MC_227282_SGMW_E200_Plus_ESPCPiGen9.3_BSS04_SP02</t>
  </si>
  <si>
    <t>241595_GAC_A27_ESP9.3CP_BL04</t>
  </si>
  <si>
    <t>223331_GAC_A39_Carbon_ESP9.3HD_OBD_BL07</t>
  </si>
  <si>
    <t>RBVoltageHandler_Suppression.c</t>
  </si>
  <si>
    <t>SGMW_RBA_NDS_HBCRequest_Callout.c</t>
  </si>
  <si>
    <t>RBHMI_LDMLamp_CNMS.c</t>
  </si>
  <si>
    <t>ObdCyclesHandler.c</t>
  </si>
  <si>
    <t>DFN_ESP_Gen9.3_532EC_244112_BSS01</t>
  </si>
  <si>
    <t>Planned Start</t>
  </si>
  <si>
    <t>Planned End</t>
  </si>
  <si>
    <t>-</t>
  </si>
  <si>
    <t>MC_232534_SGMW_CN202C_ESP9.3CPi_ACC_BSS04_SP02</t>
  </si>
  <si>
    <t>RBAPLCUST_EOLDelayCtrlOrAPBMi.c</t>
  </si>
  <si>
    <t>RBAPLCUST_RDBI_TPMS.c</t>
  </si>
  <si>
    <t>RBAPLCUST_RoutineControl_TPMSReset.c</t>
  </si>
  <si>
    <t>Package</t>
  </si>
  <si>
    <t>duong.nguyen</t>
  </si>
  <si>
    <t>loc.do-phu</t>
  </si>
  <si>
    <t>thanh.nguyen-kim</t>
  </si>
  <si>
    <t>chung.ly</t>
  </si>
  <si>
    <t>GAC_Beryllium_GEN93_ESP_Mainpath_BL05</t>
  </si>
  <si>
    <t>NET_SCL_Tx_APAInformSts.c</t>
  </si>
  <si>
    <t>Database</t>
  </si>
  <si>
    <t>GAC_ESPHevX_HADHAP_Int</t>
  </si>
  <si>
    <t>SGMW_ESP93_Carbon_Int</t>
  </si>
  <si>
    <t>Gac_ESP93CP_A26HD_Int</t>
  </si>
  <si>
    <t>GAC_ESP93CP_Carbon_Int</t>
  </si>
  <si>
    <t>GAC_ESP93CP_Int</t>
  </si>
  <si>
    <t>BYD_IPB_SW_Mainstream_BL05</t>
  </si>
  <si>
    <t>RBA_NDS_Complex_Callout.c</t>
  </si>
  <si>
    <t>GWM_ESP9.3CP_RBVH_Stream_BSS04</t>
  </si>
  <si>
    <t>RBAPLCUST_RBDI_NVMData.c</t>
  </si>
  <si>
    <t>RBAPLCUST_RDBI_PBCData.c</t>
  </si>
  <si>
    <t>NET_ATM_Callout_GWM.c</t>
  </si>
  <si>
    <t>V3.3.147305.2</t>
  </si>
  <si>
    <t>none</t>
  </si>
  <si>
    <t>BYD_IPB_BL05_Int</t>
  </si>
  <si>
    <t>GWM_CP_RBVH_Stream_Int</t>
  </si>
  <si>
    <t>Ready for delivery</t>
  </si>
  <si>
    <t>Complete &amp; Closed</t>
  </si>
  <si>
    <t>V4.2.104.1</t>
  </si>
  <si>
    <t>Actually ELOC = 294</t>
  </si>
  <si>
    <t>Actually ELOC = 183</t>
  </si>
  <si>
    <t>CNMS Super Deuterium BSS01</t>
  </si>
  <si>
    <t>RBAPLCUST_RDBI_AnalogData.c</t>
  </si>
  <si>
    <t>RBAPLCUST_RDBI_StatusInformation.c</t>
  </si>
  <si>
    <t>RBAPLCUST_RoutineControl_iBoosterActuatorTest.c</t>
  </si>
  <si>
    <t>RBAPLCUST_InputOutputControl.c</t>
  </si>
  <si>
    <t>RBAPLCUST_InputOutputControl_GeneralFunctions.c</t>
  </si>
  <si>
    <t>RBAPLCUST_RDBI_ActuationState.c</t>
  </si>
  <si>
    <t>RBAPLCUST_RDBI_CBDS.c</t>
  </si>
  <si>
    <t>RBAPLCUST_RDBI_IOCtrlState.c</t>
  </si>
  <si>
    <t>RBAPLCUST_RDBI_IPBAssemblyMode.c</t>
  </si>
  <si>
    <t>RBAPLCUST_RDBI_PBC.c</t>
  </si>
  <si>
    <t>RBAPLCUST_RDBI_SystemData.c</t>
  </si>
  <si>
    <t>RBAPLCUST_RDBI_SystemSensor.c</t>
  </si>
  <si>
    <t>RBAPLCUST_RoutineControl_INSCalibration.c</t>
  </si>
  <si>
    <t>RBAPLCUST_RoutineControl_IPBAirMonitoring.c</t>
  </si>
  <si>
    <t>RBAPLCUST_RoutineControl_IPBBrakeFluidChange.c</t>
  </si>
  <si>
    <t>RBAPLCUST_RoutineControl_IPBComfortPulseCalibration.c</t>
  </si>
  <si>
    <t>RBAPLCUST_RoutineControl_IPBDynamicTest.c</t>
  </si>
  <si>
    <t>RBAPLCUST_RoutineControl_IPBEvacAndFill.c</t>
  </si>
  <si>
    <t>RBAPLCUST_RoutineControl_IPBLeakageAndAirTest.c</t>
  </si>
  <si>
    <t>RBAPLCUST_RoutineControl_IPBRepairBleed.c</t>
  </si>
  <si>
    <t>RBAPLCUST_RoutineControl_IPBRPSCalibration.c</t>
  </si>
  <si>
    <t>RBAPLCUST_RoutineControl_IPBTandemMasterCylinderTest.c</t>
  </si>
  <si>
    <t>RBAPLCUST_RoutineControl_SteeringAngleSensorCalibration.c</t>
  </si>
  <si>
    <t>RBAPLCUST_RoutineControl_WheelSpeedSensorTest.c</t>
  </si>
  <si>
    <t>RBAPLCUST_WDBI_IPBAssemblyMode.c</t>
  </si>
  <si>
    <t>RBAPLCUST_RBDI_NVMData_Common.c</t>
  </si>
  <si>
    <t>RBAPLCUST_EcuReset.c</t>
  </si>
  <si>
    <t>RBAPLCUST_GeneralFunctions.c</t>
  </si>
  <si>
    <t>RBAPLCUST_NVMGeneric.c</t>
  </si>
  <si>
    <t>RBAPLCUST_RDBI_VehicleSpeed.c</t>
  </si>
  <si>
    <t>RBAPLCUST_RDBI_WheelSpeed.c</t>
  </si>
  <si>
    <t>RBAPLCUST_RoutineControl_EOLTable.c</t>
  </si>
  <si>
    <t>RBAPLCUST_RoutineControl_SpeedLimit.c</t>
  </si>
  <si>
    <t>RBAPLCUST_RoutineControl_VRShutdown.c</t>
  </si>
  <si>
    <t>RBAPLCUST_WDBI_NVMData_ESP.c</t>
  </si>
  <si>
    <t>RBAPLCUST_RBDI_NVMData_ESP.c</t>
  </si>
  <si>
    <t>rb\as\cnms_core\app\dcom\RBAPLCust\src\IPB</t>
  </si>
  <si>
    <t>rb\as\gaig\prj\dsmpr\src\RBVoltageHandler\src</t>
  </si>
  <si>
    <t>rb\as\sgmw\CN210S\app\net\RBScl\RBScl_SGMW\src</t>
  </si>
  <si>
    <t>rb\as\gaig\A10\dsmpr\src\RBHMI\src</t>
  </si>
  <si>
    <t>rb\as\cnms_core\app\obd\ObdCyclesHandler\src</t>
  </si>
  <si>
    <t>rb\as\cnms_core\app\net\scl\LDMFunctions\APA\src</t>
  </si>
  <si>
    <t>ELOC Assigned</t>
  </si>
  <si>
    <t>ELOC Recheck With Tool</t>
  </si>
  <si>
    <r>
      <t>Wrong extension C "RBHMI_LDMLamp_CNMS</t>
    </r>
    <r>
      <rPr>
        <sz val="11"/>
        <color rgb="FFFF0000"/>
        <rFont val="Calibri"/>
        <family val="2"/>
        <scheme val="minor"/>
      </rPr>
      <t>.C</t>
    </r>
    <r>
      <rPr>
        <sz val="11"/>
        <color theme="1"/>
        <rFont val="Calibri"/>
        <family val="2"/>
        <scheme val="minor"/>
      </rPr>
      <t>"</t>
    </r>
  </si>
  <si>
    <t>Bug (Condition is always TRUE)</t>
  </si>
  <si>
    <t>Status Result</t>
  </si>
  <si>
    <t>NG</t>
  </si>
  <si>
    <t>OK</t>
  </si>
  <si>
    <t>Bug (Condition is always TRUE) so can not cover MCDC.</t>
  </si>
  <si>
    <t>CNMS_Deuterium_Int</t>
  </si>
  <si>
    <t>Yes</t>
  </si>
  <si>
    <t>PeerReviewer</t>
  </si>
  <si>
    <t>Estimation base TOOL</t>
  </si>
  <si>
    <t>Owner Contact</t>
  </si>
  <si>
    <t>Remark</t>
  </si>
  <si>
    <t>Please ensure your push correct the Package name with the TaskGroup</t>
  </si>
  <si>
    <t xml:space="preserve">+ Location for delivery to internal team: </t>
  </si>
  <si>
    <t>Location</t>
  </si>
  <si>
    <t>\\hc-ut40745c\Ban_Vien_external\Release\Gen_9.3</t>
  </si>
  <si>
    <t>+ Location Internal Project:</t>
  </si>
  <si>
    <t>\\hc-ut40346c\NHI5HC\hieunguyen\0000_Project</t>
  </si>
  <si>
    <t>\\hc-ut40346c\NHI5HC\hieunguyen\0000_Project\001_Prj\01_COEM\01_Output_Package</t>
  </si>
  <si>
    <t>+ Location Internal Your Output:</t>
  </si>
  <si>
    <t>+ Location Internal Your Release Output:</t>
  </si>
  <si>
    <t>\\hc-ut40346c\NHI5HC\hieunguyen\0000_Project\001_Prj\01_COEM\02_Release_Package</t>
  </si>
  <si>
    <t>Status Review</t>
  </si>
  <si>
    <t>Tool collect 148 ELOC, but the real is 357</t>
  </si>
  <si>
    <t>Got 1 findings</t>
  </si>
  <si>
    <t>rb\as\gwm\core\app\dcom\RBAPLCust\src</t>
  </si>
  <si>
    <t>rb\as\gwm\core\app\net\scl\Callout\src\ATMwithoutSportPlus</t>
  </si>
  <si>
    <t>rb\as\gwm\core\app\net\scl\Callout\src\ATMwithSportPlus</t>
  </si>
  <si>
    <t>RB_SCL_GAC_RX.c</t>
  </si>
  <si>
    <t>RB_SCL_GAC_TX.c</t>
  </si>
  <si>
    <t>NET_SCL_Tx_AEB.c</t>
  </si>
  <si>
    <t>rb\as\sgmw\core\app\dcom\RBAPLCust\src\ESP</t>
  </si>
  <si>
    <t>rb\as\gaig\A10\app\net\RBScl\RBSclGAC\src</t>
  </si>
  <si>
    <t>rb\as\cnms_core\app\net\scl\LDMFunctions\ACC\src</t>
  </si>
  <si>
    <t>Bug (Condition not occur)</t>
  </si>
  <si>
    <t>COEM process: test--&gt;review test----(feedback no finding)--&gt;generate WT----(review WT no finding)---&gt; done task
Tức là bên anh gửi UT output cho internal =&gt; Có OPL có bug =&gt; Internal review OK =&gt; Làm walkthrough =&gt; Sau đó internal review Walkthrough =&gt; Send email cho External confirm OK =&gt; Mark Done</t>
  </si>
  <si>
    <t>Pending for OPL</t>
  </si>
  <si>
    <t>rb\as\cnms_core\app\dcom\RBAPLCust\src\ESP</t>
  </si>
  <si>
    <t>Type of Comment</t>
  </si>
  <si>
    <t>Auto</t>
  </si>
  <si>
    <t>Manual</t>
  </si>
  <si>
    <t>rb\as\rbcn\core\app\dcom\RBAPLCust\src\IPB</t>
  </si>
  <si>
    <t>HDC_InvalidThrPos</t>
  </si>
  <si>
    <t>rb\as\rbcn\core\app\dcom\RBAPLCust\src\iBooster</t>
  </si>
  <si>
    <t>rb\as\cnms_core\app\dcom\RBAPLCust\src\common</t>
  </si>
  <si>
    <t>FAW_C105EV_ESPhev</t>
  </si>
  <si>
    <t>rb\as\cnms_core\app\net\scl_callout\</t>
  </si>
  <si>
    <t>RBA_NDS_ABS_3_Callout.c</t>
  </si>
  <si>
    <t>RBA_NDS_APC_1_Callout.c</t>
  </si>
  <si>
    <t>RBA_NDS_ESP_3_Callout.c</t>
  </si>
  <si>
    <t>RBA_NDS_HCU_PT_10_Callout.c</t>
  </si>
  <si>
    <t>RBA_NDS_HCU_PT_2_Callout.c</t>
  </si>
  <si>
    <t>RBA_NDS_SystemInfo.c</t>
  </si>
  <si>
    <t>FAW_Carbon_TypeF_HevX_Int</t>
  </si>
  <si>
    <t>OPL It does not impact to SW functionality.</t>
  </si>
  <si>
    <t>rb\as\BYD\ipb\app\net\RBScl\Scl_Callout\src</t>
  </si>
  <si>
    <t>Have issues with database, complexity of code</t>
  </si>
  <si>
    <t>OPL is already feedback, confirm it can be ignore</t>
  </si>
  <si>
    <t>Bug, con not cover MCDC beacause this is true case for above condition</t>
  </si>
  <si>
    <t>No code</t>
  </si>
  <si>
    <t>rb\as\core\app\asw\apbmi\host\PDM\APBPbcVariantItem_C\SRC\</t>
  </si>
  <si>
    <t>\rb\as\sgmw\CN210S\app\net\RbNetPrj\RBNet_Can\src\</t>
  </si>
  <si>
    <t xml:space="preserve">\rb\as\sgmw\CN210S\app\net\RBScl\RBScl_SGMW\src\  </t>
  </si>
  <si>
    <t>\rb\as\sgmw\CN210S\app\net\RBScl\RBScl_SGMW\src\</t>
  </si>
  <si>
    <r>
      <t>MC_</t>
    </r>
    <r>
      <rPr>
        <b/>
        <sz val="11"/>
        <color rgb="FFFF0000"/>
        <rFont val="Calibri"/>
        <family val="2"/>
        <scheme val="minor"/>
      </rPr>
      <t>227282</t>
    </r>
    <r>
      <rPr>
        <sz val="11"/>
        <color theme="1"/>
        <rFont val="Calibri"/>
        <family val="2"/>
        <scheme val="minor"/>
      </rPr>
      <t>_SGMW_E200_Plus_ESPCPiGen9.3_BSS04_SP02</t>
    </r>
  </si>
  <si>
    <t>PbcVariantItem_PersistentData.c</t>
  </si>
  <si>
    <t>NET_CheckSumLib_CNMS.c</t>
  </si>
  <si>
    <t>NET_SCL_Tx_SGMW_AyCompensationExport.c</t>
  </si>
  <si>
    <t>NET_SCL_Tx_SGMW_TPMF.c</t>
  </si>
  <si>
    <t>SGMW_RBA_NDS_Belt_Door_Callout.c</t>
  </si>
  <si>
    <t>SGMW_RBA_NDS_SystemInfo_Callout.c</t>
  </si>
  <si>
    <t>225378_FAW_D357_High_BL31</t>
  </si>
  <si>
    <t>TPMS_Handler_COMMON_CN.c</t>
  </si>
  <si>
    <t>TPMS_NvM_COMMON_CN.c</t>
  </si>
  <si>
    <t>TPMS_PSW_Interface_COMMON_CN.c</t>
  </si>
  <si>
    <t>Dem_PrjSpecificIndiHandling.c</t>
  </si>
  <si>
    <t>ApbHostData_Project.c</t>
  </si>
  <si>
    <t>NET_AliveCounterLib_CNMS.c</t>
  </si>
  <si>
    <t>NET_ChecksumLib_CNMS_Crc1850.c</t>
  </si>
  <si>
    <t>NET_MonitoringClasses_F30.c</t>
  </si>
  <si>
    <t>Obd_CalId.c</t>
  </si>
  <si>
    <t>EcuM_stub.c</t>
  </si>
  <si>
    <t>RBPduHandler_Callouts.c</t>
  </si>
  <si>
    <t>TestEnvironment_Fee_EV711101.c</t>
  </si>
  <si>
    <t>CNMS_Var_DcmRead.c</t>
  </si>
  <si>
    <t>CNMS_Var_Global.c</t>
  </si>
  <si>
    <t>FAW_MainPath_V2.0_Int</t>
  </si>
  <si>
    <t>rb\as\fawMP\fawcore\app\tpms\MW\Common\src\</t>
  </si>
  <si>
    <t xml:space="preserve">rb\as\fawMP\fawcore\app\dsm\RBWarningIndicator\src\              </t>
  </si>
  <si>
    <t xml:space="preserve">rb\as\fawMP\prjConf\app\asw\apbmi\host\PDM\APBHostData_Project_C\SRC\  </t>
  </si>
  <si>
    <t xml:space="preserve">rb\as\fawMP\prjConf\app\net\RbNetPrj\RBNet_Can\src\              </t>
  </si>
  <si>
    <t xml:space="preserve">rb\as\fawMP\prjConf\app\obd\ObdCvnCalId\src\                     </t>
  </si>
  <si>
    <t xml:space="preserve">rb\as\fawMP\prjConf\dsmpr\src\Cubas\ESM\EcuM\src\              </t>
  </si>
  <si>
    <t xml:space="preserve">rb\as\fawMP\prjConf\dsmpr\src\                                 </t>
  </si>
  <si>
    <t xml:space="preserve">rb\as\fawMP\prjConf\hswpr\tst\hswsim\src\                      </t>
  </si>
  <si>
    <t>rb\as\fawMP\prjConf\varcode</t>
  </si>
  <si>
    <t>221259_FAW_C105EV_L2_ESPhev_BL62</t>
  </si>
  <si>
    <t>FAW_Carbon_TypeF_IBooster_Int</t>
  </si>
  <si>
    <t>SAIC EP22 M2 withDA ESP9.3 BSS02</t>
  </si>
  <si>
    <t>MC_228919_SGMW_CN202C_ABS9.3CBi_Carbon_BSS02_SP02</t>
  </si>
  <si>
    <t>MC_227282_SGMW_E200_Plus_ESPCPiGen9.3_BSS04</t>
  </si>
  <si>
    <t>rb\as\fawhevx\fawcore\app\net\RBScl\src\</t>
  </si>
  <si>
    <t>rb\as\faw\core\app\net\net_OBD_Off\RBScl\src\</t>
  </si>
  <si>
    <t>\RBVAR\src\</t>
  </si>
  <si>
    <t xml:space="preserve">\RBScl\RBScl_BB80507\src\     </t>
  </si>
  <si>
    <t>\RBScl\RBScl_SGMW\src\src_xmt\</t>
  </si>
  <si>
    <t>rb\as\saic\CpiwAPB\app\dsm\RBHMI\src\</t>
  </si>
  <si>
    <t>rb\as\sgmw\CN210S\app\dsm\RBVAR\src\</t>
  </si>
  <si>
    <t xml:space="preserve">rb\as\core\app\dcom\rbapleol\src\             </t>
  </si>
  <si>
    <t xml:space="preserve">rb\as\saic\core\app\dcom\RBAPLCust\src\ESP\   </t>
  </si>
  <si>
    <t>rb\as\saic\core\app\dcom\RBAPLCust\src\common\</t>
  </si>
  <si>
    <t xml:space="preserve">rb\as\saic\CpiwAPB\app\asw\aswif\src\         </t>
  </si>
  <si>
    <t>ComScl_Scl_Complex_proc.c</t>
  </si>
  <si>
    <t>NET_Monitoring.c</t>
  </si>
  <si>
    <t>RBAPLEOL_ValvesToggling.c</t>
  </si>
  <si>
    <t>RBAPLCUST_RDBI_SnapshotRead.c</t>
  </si>
  <si>
    <t>DNCIF_DTCOnCan.c</t>
  </si>
  <si>
    <t>RBAPLCUST_DTCOnCan.c</t>
  </si>
  <si>
    <t>RBVAR_SystemStateManagement_COMMON.c</t>
  </si>
  <si>
    <t>ComScl_Scl_ComplexProc_BB80507.c</t>
  </si>
  <si>
    <t>NET_SCL_Tx_SystemInfo.c</t>
  </si>
  <si>
    <t>RBAPLCUST_ReadDTC.c</t>
  </si>
  <si>
    <t>RBHMI_ConfigOutputDriver_PRJ.c</t>
  </si>
  <si>
    <t>RBAPLCUST_DiagnosticSessionControl.c</t>
  </si>
  <si>
    <t>RBVAR_SystemStateManagement_PROJECT.c</t>
  </si>
  <si>
    <t>FAW_Carbon_TypeF_Hevx_Int</t>
  </si>
  <si>
    <t>SAIC_A_ARCH_CMP_ESP93_Carbon_Int</t>
  </si>
  <si>
    <t>SGMW_ABS93_MS_Int</t>
  </si>
  <si>
    <t>Cant cover 100%. Owner said that's fine.</t>
  </si>
  <si>
    <t>No code, already confirmed with Mr.Hai</t>
  </si>
  <si>
    <t xml:space="preserve">dupplicate </t>
  </si>
  <si>
    <t>Cant cover 100% when (RBFS_RBAPLEOLValvesToggling==RBFS_RBAPLEOLValvesToggling_OFF). Owner said that's fine.</t>
  </si>
  <si>
    <t>Cant cover 100% when (RBFS_RBAPLEOLComfortPulseCalib == RBFS_RBAPLEOLComfortPulseCalib_OFF). Owner said that's fine.</t>
  </si>
  <si>
    <t>Cant cover 100% when (RBFS_RBAPLEOLDynamicTest == RBFS_RBAPLEOLDynamicTest_OFF). Owner said that's fine.</t>
  </si>
  <si>
    <t>Actually ELOC = 122</t>
  </si>
  <si>
    <t>Tool Issue</t>
  </si>
  <si>
    <t>No code for test</t>
  </si>
  <si>
    <t>No have function for test</t>
  </si>
  <si>
    <t>BYD_IPB_SW_Mainstream_BL05_SP09</t>
  </si>
  <si>
    <t>BYD_Carbon_Mainstream_BL01</t>
  </si>
  <si>
    <t>rb\as\cnms_core\app\net\scl_callout\src\</t>
  </si>
  <si>
    <t>\MainstreamF30\rb\as\byd\Bydcarbon\app\net\RBScl_Callout\</t>
  </si>
  <si>
    <t xml:space="preserve">\MainstreamF30\rb\as\byd\Bydcarbon\app\net\RBScl\        </t>
  </si>
  <si>
    <t xml:space="preserve">\MainstreamF30\rb\as\byd\Bydcarbon\app\net\RBScl\ </t>
  </si>
  <si>
    <t>RBA_NDS_ESP_2_Callout.c</t>
  </si>
  <si>
    <t>NET_SCL_Rx_SGMW_RemoteControl.c</t>
  </si>
  <si>
    <t>NET_SCL_Rx_SystemInfo.c</t>
  </si>
  <si>
    <t>ComScl_RxPdu_WorkingMode_Monitor.c</t>
  </si>
  <si>
    <t>NET_SCL_Rx_EngineSpeed.c</t>
  </si>
  <si>
    <t>NET_SCL_Rx_GearBox.c</t>
  </si>
  <si>
    <t>NET_SCL_Rx_TCU.c</t>
  </si>
  <si>
    <t>NET_SCL_Rx_VAF_Complex.c</t>
  </si>
  <si>
    <t>RBA_NDS_WheelOdoEdges_Callout.c</t>
  </si>
  <si>
    <t>rba_SCL_Settings.c</t>
  </si>
  <si>
    <t>RBNET_Scl_Complexsignals.c</t>
  </si>
  <si>
    <t>BYD_Carbon_ESP93_Int</t>
  </si>
  <si>
    <t>No function to test.</t>
  </si>
  <si>
    <t>HHT_VX1_ESPHevX_BL2_Sprint3</t>
  </si>
  <si>
    <t>VDCVAFS_PreindicatorArbitrator</t>
  </si>
  <si>
    <t>VDCVAFS_VDCActiveArbitrator</t>
  </si>
  <si>
    <t>CM_IVC_HHT_HADPADActivation</t>
  </si>
  <si>
    <t>2.1.805.3</t>
  </si>
  <si>
    <t>1371465_1367009.zip</t>
  </si>
  <si>
    <t>1366969.zip</t>
  </si>
  <si>
    <t>Duration</t>
  </si>
  <si>
    <t>Total</t>
  </si>
  <si>
    <t>Judge Total KPI</t>
  </si>
  <si>
    <t>CM_IVC_RWS_Status</t>
  </si>
  <si>
    <t>CM_IVC_ModeHandling</t>
  </si>
  <si>
    <t>rb\as\sgmw\core\app\dcom\RBAPLCust\src</t>
  </si>
  <si>
    <t>rb\as\core\hwp\cubas\Diagnosis</t>
  </si>
  <si>
    <t>rb\as\core\app\net</t>
  </si>
  <si>
    <t>rb\as\fawMPHev\prjConf\app\net</t>
  </si>
  <si>
    <t>GWM_ESP9.3_CHB071_HP_RC2</t>
  </si>
  <si>
    <t>FAW_HQEV_2WD_MC</t>
  </si>
  <si>
    <t>GWM_CHB071HevX_Carbon_Int</t>
  </si>
  <si>
    <t>FAW_MainPathHEV_Int</t>
  </si>
  <si>
    <t>Please check with task ID: 1364387</t>
  </si>
  <si>
    <t>DemCSMosar_EventLogger.c</t>
  </si>
  <si>
    <t>RBDsm_Measurement.c</t>
  </si>
  <si>
    <t>RBCAN_CanSMBusOffRecovery.c</t>
  </si>
  <si>
    <t>NET_SCL_Tx_APBMi.c</t>
  </si>
  <si>
    <t>NET_SCL_Rx_HHC.c</t>
  </si>
  <si>
    <t>rba_BldrCmp_Cfg_NvmIf.c</t>
  </si>
  <si>
    <t>rba_BldrCmp_Cfg_CheckMem.c</t>
  </si>
  <si>
    <t>rba_BldrCmp_Cfg_Functions.c</t>
  </si>
  <si>
    <t>Owner confirm could be ignore</t>
  </si>
  <si>
    <t>239689_NIO_G1.3&amp;G1.F_ESPHevX_BSS03_SP01</t>
  </si>
  <si>
    <t>E111_ESPHevx_BSL30</t>
  </si>
  <si>
    <t>Geely_KC2A_ESP9.3_HB_225750_BB8033_BL04_SP01</t>
  </si>
  <si>
    <t>1345833.zip</t>
  </si>
  <si>
    <t>CDD_SsmSelContr</t>
  </si>
  <si>
    <t>4.0.146322.0</t>
  </si>
  <si>
    <t>FAW_E111_ESPHevX_Int</t>
  </si>
  <si>
    <t xml:space="preserve">Geely_Beryllium2_OBD_China6_Int </t>
  </si>
  <si>
    <t>GAC_Carbon_Stream_ESPCP_BL04</t>
  </si>
  <si>
    <t>rb\as\gaig\core\app\dcom\RBAPLCust\src\common\</t>
  </si>
  <si>
    <t>rb\as\gaig\core\app\dcom\RBAPLCust\src\ESP\</t>
  </si>
  <si>
    <t>rb\as\cnms_core\app\dcom\RBAPLCust\src\ESP\</t>
  </si>
  <si>
    <t>rb\as\gaig\core\app\dcom\Cubas\src\Dcm_CNMS\</t>
  </si>
  <si>
    <t>rb\as\dfsk\CpiwAPB\app\dsm\RBVAR\src\</t>
  </si>
  <si>
    <t>rb\as\dfsk\CpiwAPB\app\net\RBScl\RBScl_DFSK\src\</t>
  </si>
  <si>
    <t>rb\as\dfsk\CpiwAPB\hswpr\tst\hswsim\src\</t>
  </si>
  <si>
    <t>GAC_220680_Carbon_A18_ESPHevx_FPA\RPA_BL03</t>
  </si>
  <si>
    <t>CHEN Xiaomin (CC-AS\EVA-SW31-CN)</t>
  </si>
  <si>
    <t>WANG Yang (CC-AS\EVA-SW32-CN)</t>
  </si>
  <si>
    <t>MIAO Huafeng (CC-AS\EVA-SW32-CN)</t>
  </si>
  <si>
    <t>QIAN Li (CC-AS\EVA-SW2-CN)</t>
  </si>
  <si>
    <t>SUN Yun (CC-AS\EVA-SW31-CN)</t>
  </si>
  <si>
    <t>ZHANG Yu (CC-AS\EVA-SW31-CN)</t>
  </si>
  <si>
    <t>GUO Sasa (CC-AS\EVA-SW3-CN)</t>
  </si>
  <si>
    <t>Ngo Nhat Tan (RBVH\EAS12)</t>
  </si>
  <si>
    <t>HU Evan (CC-AS\EVA-SW33-CN)</t>
  </si>
  <si>
    <t>Nguyen Quang Vinh (RBVH\EAS15)</t>
  </si>
  <si>
    <t>LU Martin (CC-AS\ESW2-CN)</t>
  </si>
  <si>
    <t>XU Sherry (CC-AS\EVA-SW2-CN)</t>
  </si>
  <si>
    <t>BAO Eric (CC-AS\EVA-SW32-CN)</t>
  </si>
  <si>
    <t>JIN Li (CC-AS\EVA-SW33-CN)</t>
  </si>
  <si>
    <t>SUN Nan (CC-AS\EVA-SW1-CN)</t>
  </si>
  <si>
    <t>FANG Amanda (CC-AS\EVA-SW31-CN)</t>
  </si>
  <si>
    <t>Pham Duc Trung (RBVH\EAS11)</t>
  </si>
  <si>
    <t>LI Xiaoyu (CC-AS\EVA-SW2-CN)</t>
  </si>
  <si>
    <t>LESLIE PUTHOOR Milda (CC-AS\EVA-SW31-CN)</t>
  </si>
  <si>
    <t>DIAO Aimei (CC-AS\EVA-SW32-CN)</t>
  </si>
  <si>
    <t>LI Zhiyuan (CC-AS\EVA-SW31-CN)</t>
  </si>
  <si>
    <t>Nguyen Duc Huong Quynh (RBVH\EAS12)</t>
  </si>
  <si>
    <t>ZHANG Ruipeng (BEG\ESW-CN)</t>
  </si>
  <si>
    <t>WANG Zhenyu (CC-AS\EVA-SW2-CN)</t>
  </si>
  <si>
    <t>Chitra Chandrasekaran (RBEI\EBB7)</t>
  </si>
  <si>
    <t>rb\as\geely\core\app\dcom\RBAPLCust\src\</t>
  </si>
  <si>
    <t>KASIVASAKAM Murugananth (CC-AS\EVA-SW32-CN)</t>
  </si>
  <si>
    <t>240688_DFSK_F517\527\537_EVR_Carbon_ESP9.3</t>
  </si>
  <si>
    <t>rba\Bldr_FAW</t>
  </si>
  <si>
    <t>RBAPLCUST_RBDI_VariandCode.c</t>
  </si>
  <si>
    <t>RBAPLCUST_RDBI_TPMS_GAC.c</t>
  </si>
  <si>
    <t>RBAPLCUST_WDBI_TPMS_GAC.c</t>
  </si>
  <si>
    <t>DcmAppl_DcmSwitchCommunicationControl.c</t>
  </si>
  <si>
    <t>RBVAR_VarCode_PROJECT.c</t>
  </si>
  <si>
    <t>NET_VAR_IsVcActive.c</t>
  </si>
  <si>
    <t>RBA_NDS_Rx_ASW_Callout.c</t>
  </si>
  <si>
    <t>RBA_NDS_Rx_VAF_Callout.c</t>
  </si>
  <si>
    <t>RBA_NDS_Tx_ASW_Callout.c</t>
  </si>
  <si>
    <t>TestEnvironment_Fee_EV702148.c</t>
  </si>
  <si>
    <t>81262, 81708</t>
  </si>
  <si>
    <t>81262, 81709</t>
  </si>
  <si>
    <t>81262, 81710</t>
  </si>
  <si>
    <t>81262, 81711</t>
  </si>
  <si>
    <t>81262, 81712</t>
  </si>
  <si>
    <t>81262, 81713</t>
  </si>
  <si>
    <t>81262, 81714</t>
  </si>
  <si>
    <t>DFSK_ESP_Carbon_Int</t>
  </si>
  <si>
    <t>PAN Qi (CC-AS/EVA-SW31-CN)</t>
  </si>
  <si>
    <t>Nguyen Hiep Thanh (RBVH/EAS11)</t>
  </si>
  <si>
    <t>Owner said it doesn’t affect the project</t>
  </si>
  <si>
    <t>- Cant cover true case if (*length_pu16 &gt; maxLength_u16) at line 95
- Cant cover false case if (retValue == E_OK) at line 276
Owner said it doesn’t affect the project</t>
  </si>
  <si>
    <t>Adapt_236234_SMART_VDDM_ESPHevX_BSS02_E2_SP2</t>
  </si>
  <si>
    <t>235199_SAIC_EP21_MCE_ESP9.3HevX_BSS03_SP02</t>
  </si>
  <si>
    <t>GEEA2.0\rb\as\cevt\Geely\app\dsm\RBVAR\src\</t>
  </si>
  <si>
    <t>VAR09_OutputDriver_CEVT.c</t>
  </si>
  <si>
    <t>VAR09_IDDefinitionTable_CEVT.c</t>
  </si>
  <si>
    <t>rba_BldrCmp_Cfg_PrjFunctions.c</t>
  </si>
  <si>
    <t>rba_BldrCMP_Cfg_CRC.c</t>
  </si>
  <si>
    <t>CEVT_GEEA_SMART_Deuterium_Int</t>
  </si>
  <si>
    <t>SAIC_EP_CMP_ESPHevX_Int</t>
  </si>
  <si>
    <t>ZHANG Guorong (CC-AS/EVA-SW32-CN)</t>
  </si>
  <si>
    <t>Moogambika Ratha Krishnan (RBEI/EBB7)</t>
  </si>
  <si>
    <t>235199_SAIC_EP21_MCE_ESP9.3HevX_BSS03_SP03</t>
  </si>
  <si>
    <t>rb\as\saicep\esphevx\app\net\RBScl\src\</t>
  </si>
  <si>
    <t>ComScl_Scl_Complex.c</t>
  </si>
  <si>
    <t>TANG Yanqi (CC-AS/EVA-SW31-CN)</t>
  </si>
  <si>
    <t>ESPhevXSAICEP\rba\Bldr\config\ApplicationLayer\rba_BldrCmp\src</t>
  </si>
  <si>
    <t>GAC_Carbon_RPA_iBooster_Mainpath_BL04</t>
  </si>
  <si>
    <t>PFA_ISC_SituationSupport</t>
  </si>
  <si>
    <t>1366593.zip</t>
  </si>
  <si>
    <t>1.0.147.2.1.3.147315.1</t>
  </si>
  <si>
    <t>CUI Jin (CC-AS/EVA-SW1-CN)</t>
  </si>
  <si>
    <t>Raised OPL</t>
  </si>
  <si>
    <t>Got 1 defect
Reason: not send to internal team</t>
  </si>
  <si>
    <t>233878_GAC_A20_CarbonESP9.3CP_BL04</t>
  </si>
  <si>
    <t>GEELY_BX11_ESP9.3HD_BL06_SP01</t>
  </si>
  <si>
    <t>GEELY_BX11_ESPHEVX_BL06_SP01</t>
  </si>
  <si>
    <t>AvhSendSoftSwctrlst</t>
  </si>
  <si>
    <t>EPBVirtualButtonSignalProcess</t>
  </si>
  <si>
    <t xml:space="preserve">EPBButton_StpOnBrkProcess    </t>
  </si>
  <si>
    <t xml:space="preserve">EPBButtonArbitration         </t>
  </si>
  <si>
    <t xml:space="preserve">HMI_ApbFunctionLamp </t>
  </si>
  <si>
    <t>HMI_ApbFunctionLamp</t>
  </si>
  <si>
    <t>1380028.zip</t>
  </si>
  <si>
    <t>1379963.zip</t>
  </si>
  <si>
    <t>1381575.zip</t>
  </si>
  <si>
    <t>1382215.zip</t>
  </si>
  <si>
    <t>LIU Qiang (CC-AS/EVA-SW2-CN)</t>
  </si>
  <si>
    <t>QIU Liqi (CC-AS/EVA-SW2-CN)</t>
  </si>
  <si>
    <t>HOU Jue (CC-AS/EVA-SW2-CN)</t>
  </si>
  <si>
    <t>ZHANG Lucy (CC-AS/EVA-SW2-CN)</t>
  </si>
  <si>
    <t>Time</t>
  </si>
  <si>
    <t>days</t>
  </si>
  <si>
    <t>Assigned
ELOCs</t>
  </si>
  <si>
    <t>Completed
ELOCs</t>
  </si>
  <si>
    <t>Effort
(days)</t>
  </si>
  <si>
    <t>Actual Effort
(days)</t>
  </si>
  <si>
    <t>Num of OPLs</t>
  </si>
  <si>
    <t>Num of Defects</t>
  </si>
  <si>
    <t>Duration (Plan)</t>
  </si>
  <si>
    <t>Duration (Actual)</t>
  </si>
  <si>
    <t>Brief Description:</t>
  </si>
  <si>
    <t>Ontime</t>
  </si>
  <si>
    <t>- Day-off Fri, 20-Mar</t>
  </si>
  <si>
    <t>Loc Assigned</t>
  </si>
  <si>
    <t>Actual Effort (days)</t>
  </si>
  <si>
    <t>Nguyen Tuan Duong</t>
  </si>
  <si>
    <t>Do Phu Loc</t>
  </si>
  <si>
    <t>Nguyen Kim Thanh</t>
  </si>
  <si>
    <t>Ly Chung</t>
  </si>
  <si>
    <t>Delayed</t>
  </si>
  <si>
    <t>InAdvanced</t>
  </si>
  <si>
    <t>ApbDynConfig</t>
  </si>
  <si>
    <t>`</t>
  </si>
  <si>
    <t>\\10.184.143.103\d\vivi\BV\Release\20200303\CNMS_Deuterium_Int\RV</t>
  </si>
  <si>
    <t>T_C-001</t>
  </si>
  <si>
    <t>T_C-002</t>
  </si>
  <si>
    <t>T_C-003</t>
  </si>
  <si>
    <t>T_C-004</t>
  </si>
  <si>
    <t>T_C-005</t>
  </si>
  <si>
    <t>T_C-006</t>
  </si>
  <si>
    <t>T_C-007</t>
  </si>
  <si>
    <t>T_C-008</t>
  </si>
  <si>
    <t>T_C-009</t>
  </si>
  <si>
    <t>T_C-010</t>
  </si>
  <si>
    <t>T_C-011</t>
  </si>
  <si>
    <t>T_C-012</t>
  </si>
  <si>
    <t>T_C-013</t>
  </si>
  <si>
    <t>T_C-014</t>
  </si>
  <si>
    <t>T_C-015</t>
  </si>
  <si>
    <t>T_C-016</t>
  </si>
  <si>
    <t>T_C-017</t>
  </si>
  <si>
    <t>T_C-018</t>
  </si>
  <si>
    <t>T_C-019</t>
  </si>
  <si>
    <t>T_C-020</t>
  </si>
  <si>
    <t>T_C-021</t>
  </si>
  <si>
    <t>T_C-022</t>
  </si>
  <si>
    <t>T_C-023</t>
  </si>
  <si>
    <t>T_C-024</t>
  </si>
  <si>
    <t>T_C-025</t>
  </si>
  <si>
    <t>T_C-026</t>
  </si>
  <si>
    <t>T_C-027</t>
  </si>
  <si>
    <t>T_C-028</t>
  </si>
  <si>
    <t>T_C-029</t>
  </si>
  <si>
    <t>T_C-030</t>
  </si>
  <si>
    <t>T_C-031</t>
  </si>
  <si>
    <t>T_C-032</t>
  </si>
  <si>
    <t>T_C-033</t>
  </si>
  <si>
    <t>T_C-034</t>
  </si>
  <si>
    <t>T_C-035</t>
  </si>
  <si>
    <t>T_C-036</t>
  </si>
  <si>
    <t>T_C-037</t>
  </si>
  <si>
    <t>T_C-038</t>
  </si>
  <si>
    <t>T_C-039</t>
  </si>
  <si>
    <t>T_C-040</t>
  </si>
  <si>
    <t>T_C-041</t>
  </si>
  <si>
    <t>T_C-042</t>
  </si>
  <si>
    <t>T_C-043</t>
  </si>
  <si>
    <t>T_C-044</t>
  </si>
  <si>
    <t>T_C-045</t>
  </si>
  <si>
    <t>T_C-046</t>
  </si>
  <si>
    <t>T_C-047</t>
  </si>
  <si>
    <t>T_C-048</t>
  </si>
  <si>
    <t>T_C-049</t>
  </si>
  <si>
    <t>T_C-050</t>
  </si>
  <si>
    <t>T_C-051</t>
  </si>
  <si>
    <t>T_C-052</t>
  </si>
  <si>
    <t>T_C-053</t>
  </si>
  <si>
    <t>T_C-054</t>
  </si>
  <si>
    <t>T_C-055</t>
  </si>
  <si>
    <t>T_C-056</t>
  </si>
  <si>
    <t>T_C-057</t>
  </si>
  <si>
    <t>T_C-058</t>
  </si>
  <si>
    <t>T_C-059</t>
  </si>
  <si>
    <t>T_C-060</t>
  </si>
  <si>
    <t>T_C-061</t>
  </si>
  <si>
    <t>T_C-062</t>
  </si>
  <si>
    <t>T_C-063</t>
  </si>
  <si>
    <t>T_C-064</t>
  </si>
  <si>
    <t>T_C-065</t>
  </si>
  <si>
    <t>T_C-066</t>
  </si>
  <si>
    <t>T_C-067</t>
  </si>
  <si>
    <t>T_C-068</t>
  </si>
  <si>
    <t>T_C-069</t>
  </si>
  <si>
    <t>T_C-070</t>
  </si>
  <si>
    <t>T_C-071</t>
  </si>
  <si>
    <t>T_C-072</t>
  </si>
  <si>
    <t>T_C-073</t>
  </si>
  <si>
    <t>T_C-074</t>
  </si>
  <si>
    <t>T_C-075</t>
  </si>
  <si>
    <t>T_C-076</t>
  </si>
  <si>
    <t>T_C-077</t>
  </si>
  <si>
    <t>T_C-078</t>
  </si>
  <si>
    <t>T_C-079</t>
  </si>
  <si>
    <t>T_C-080</t>
  </si>
  <si>
    <t>T_C-081</t>
  </si>
  <si>
    <t>T_C-082</t>
  </si>
  <si>
    <t>T_C-083</t>
  </si>
  <si>
    <t>T_C-084</t>
  </si>
  <si>
    <t>T_C-085</t>
  </si>
  <si>
    <t>T_C-086</t>
  </si>
  <si>
    <t>T_C-087</t>
  </si>
  <si>
    <t>T_C-088</t>
  </si>
  <si>
    <t>T_C-089</t>
  </si>
  <si>
    <t>T_C-090</t>
  </si>
  <si>
    <t>T_C-091</t>
  </si>
  <si>
    <t>T_C-092</t>
  </si>
  <si>
    <t>T_C-093</t>
  </si>
  <si>
    <t>T_C-094</t>
  </si>
  <si>
    <t>T_C-095</t>
  </si>
  <si>
    <t>T_C-096</t>
  </si>
  <si>
    <t>T_C-097</t>
  </si>
  <si>
    <t>T_C-098</t>
  </si>
  <si>
    <t>T_C-099</t>
  </si>
  <si>
    <t>T_C-100</t>
  </si>
  <si>
    <t>T_C-101</t>
  </si>
  <si>
    <t>T_C-102</t>
  </si>
  <si>
    <t>T_C-103</t>
  </si>
  <si>
    <t>T_C-104</t>
  </si>
  <si>
    <t>T_C-105</t>
  </si>
  <si>
    <t>T_C-106</t>
  </si>
  <si>
    <t>T_C-107</t>
  </si>
  <si>
    <t>T_C-108</t>
  </si>
  <si>
    <t>T_C-109</t>
  </si>
  <si>
    <t>T_C-110</t>
  </si>
  <si>
    <t>T_C-111</t>
  </si>
  <si>
    <t>T_C-112</t>
  </si>
  <si>
    <t>T_C-113</t>
  </si>
  <si>
    <t>T_C-114</t>
  </si>
  <si>
    <t>T_C-115</t>
  </si>
  <si>
    <t>T_C-116</t>
  </si>
  <si>
    <t>T_C-117</t>
  </si>
  <si>
    <t>T_C-118</t>
  </si>
  <si>
    <t>T_C-119</t>
  </si>
  <si>
    <t>T_C-120</t>
  </si>
  <si>
    <t>T_C-121</t>
  </si>
  <si>
    <t>T_C-122</t>
  </si>
  <si>
    <t>T_C-123</t>
  </si>
  <si>
    <t>T_C-124</t>
  </si>
  <si>
    <t>T_C-125</t>
  </si>
  <si>
    <t>T_C-126</t>
  </si>
  <si>
    <t>T_C-127</t>
  </si>
  <si>
    <t>T_C-128</t>
  </si>
  <si>
    <t>T_C-129</t>
  </si>
  <si>
    <t>T_C-130</t>
  </si>
  <si>
    <t>T_C-131</t>
  </si>
  <si>
    <t>T_C-132</t>
  </si>
  <si>
    <t>T_C-133</t>
  </si>
  <si>
    <t>T_C-134</t>
  </si>
  <si>
    <t>T_C-135</t>
  </si>
  <si>
    <t>T_C-136</t>
  </si>
  <si>
    <t>T_C-137</t>
  </si>
  <si>
    <t>T_C-138</t>
  </si>
  <si>
    <t>T_C-139</t>
  </si>
  <si>
    <t>T_C-140</t>
  </si>
  <si>
    <t>T_C-141</t>
  </si>
  <si>
    <t>T_C-142</t>
  </si>
  <si>
    <t>T_C-143</t>
  </si>
  <si>
    <t>T_C-144</t>
  </si>
  <si>
    <t>T_C-145</t>
  </si>
  <si>
    <t>T_C-146</t>
  </si>
  <si>
    <t>T_C-147</t>
  </si>
  <si>
    <t>T_C-148</t>
  </si>
  <si>
    <t>T_C-149</t>
  </si>
  <si>
    <t>T_C-150</t>
  </si>
  <si>
    <t>T_C-151</t>
  </si>
  <si>
    <t>T_C-152</t>
  </si>
  <si>
    <t>T_C-153</t>
  </si>
  <si>
    <t>T_C-154</t>
  </si>
  <si>
    <t>T_C-155</t>
  </si>
  <si>
    <t>T_C-156</t>
  </si>
  <si>
    <t>T_C-157</t>
  </si>
  <si>
    <t>T_C-158</t>
  </si>
  <si>
    <t>Raised OPL. Can't cover MCDC because this is a true case for above condition</t>
  </si>
  <si>
    <t>Raised OPL : Improvement code swap two api
Defect ID: Defect 1381675</t>
  </si>
  <si>
    <t>221602_CheHeJia_D01_ESPHevX_BL04</t>
  </si>
  <si>
    <t>CNMSESPHevX\rb\as\faw\core\app\dcom\RBAPLCust\src\ESP\</t>
  </si>
  <si>
    <t>SAS_Functions.c</t>
  </si>
  <si>
    <t>CheHeJia_D01_ESPHevX_Int</t>
  </si>
  <si>
    <t>ZHOU Xiaoxi (CC-AS/EVA-SW31-CN)</t>
  </si>
  <si>
    <t>ZHENG Fangfang (CC-AS/EVA-SW33-CN)</t>
  </si>
  <si>
    <t>Geely_KC2A_ESP9.3_HB_225750_BB8033</t>
  </si>
  <si>
    <t>EC_245942_GAC_Carbon_A39Phev_EC_OBD_BL01</t>
  </si>
  <si>
    <t>\MainstreamF30\rb\as\geely\project\app\obd\ObdCvnCalId\src\</t>
  </si>
  <si>
    <t>rb\as\fawMP\prjConf\dsmpr\src\RBEMM\</t>
  </si>
  <si>
    <t>rb\as\gaig\A12ESP\app\dsm\RBVAR\BB_99735A39Phev\src\</t>
  </si>
  <si>
    <t>rb\as\cnms_core\app\dsm\DemVar\src\</t>
  </si>
  <si>
    <t>rb\as\gaig\A12ESP\app\obd\ObdPermanentDTCStorge\src\</t>
  </si>
  <si>
    <t>Obd_Cvn_CalId.c</t>
  </si>
  <si>
    <t>CCM_Callbacks_Project.c</t>
  </si>
  <si>
    <t>Dem_VarCodeHandling.c</t>
  </si>
  <si>
    <t>Dem_PrjObdProjectExtension.c</t>
  </si>
  <si>
    <t>ObdPermanentDTCStorge_GAC.c</t>
  </si>
  <si>
    <t>Geely_Beryllium2_OBD_China6_Int</t>
  </si>
  <si>
    <t>YANG Zhongjian (CC-AS/EVA-SW2-CN)</t>
  </si>
  <si>
    <t>CHEN Xiaomin (CC-AS/EVA-SW31-CN)</t>
  </si>
  <si>
    <t>Adapt_218053_CA_CD569_ESP9.3CP_BL6_SP1</t>
  </si>
  <si>
    <t>\MainstreamF30\rb\as\gaig\A12ESP\app\dsm\RBVAR\BB_81116A76CP\src\</t>
  </si>
  <si>
    <t>\MainstreamF30\rb\as\gaig\A12ESP\app\dsm\RBVAR\BB_81175A36CP\src\</t>
  </si>
  <si>
    <t>rb\as\gaig\A12ESP\app\dsm\RBVAR\BB_81989A11HD\src\</t>
  </si>
  <si>
    <t>rb\as\gaig\A12ESP\app\dsm\RBVAR\BB_81990A11CP\src\</t>
  </si>
  <si>
    <t>rb\as\ca\core\app\dcom\RBAPLCust\src\ESP\</t>
  </si>
  <si>
    <t>RBVAR_OutputDriver_PROJECT.c</t>
  </si>
  <si>
    <t>RBAPLCUST_RoutineControl_ConditionCheck.c</t>
  </si>
  <si>
    <t>ChangAn_ESP_Carbon_Int</t>
  </si>
  <si>
    <t>FENG Yinfei (CC-AS/EVA-SW31-CN)</t>
  </si>
  <si>
    <t>ZHANG Chao (CC-AS/EVA-SW32-CN)</t>
  </si>
  <si>
    <t>rb\as\cnms_core\app\net\scl\Sensors\Steering\src</t>
  </si>
  <si>
    <t>- In for loop can’t cover MCDC because Cantata can't generate coverage file.</t>
  </si>
  <si>
    <t>Owner said it doesn’t affect the project (already exist WT confirm at previous phase)</t>
  </si>
  <si>
    <t>rb\as\gaig\core\app\dcom\RBAPLCust\src\</t>
  </si>
  <si>
    <t>RBAPLCUST_RDBI_InputData_APBMi.c</t>
  </si>
  <si>
    <t>RBAPLCUST_WDBI_NVMData.c</t>
  </si>
  <si>
    <t>GAC_ESP93CP_A26HD_Int</t>
  </si>
  <si>
    <t>MA Maoting (CC-AS/EVA-SW31-CN)</t>
  </si>
  <si>
    <t>EPBVirtualButton_DragMode</t>
  </si>
  <si>
    <t>1.0.315.1</t>
  </si>
  <si>
    <t>- Off 9th Mar</t>
  </si>
  <si>
    <t>OPL: Cant cover 100% MCDC. Owner said that's fine.</t>
  </si>
  <si>
    <t>5. Leave Plan/Other activities(Mar):</t>
  </si>
  <si>
    <t>20200303_1</t>
  </si>
  <si>
    <t>- Duong's PC got broken =&gt; waiting IT reset user for PC</t>
  </si>
  <si>
    <t>T_C-159</t>
  </si>
  <si>
    <t>T_C-160</t>
  </si>
  <si>
    <t>T_C-161</t>
  </si>
  <si>
    <t>T_C-162</t>
  </si>
  <si>
    <t>T_C-163</t>
  </si>
  <si>
    <t>T_C-164</t>
  </si>
  <si>
    <t>T_C-165</t>
  </si>
  <si>
    <t>T_C-166</t>
  </si>
  <si>
    <t>T_C-167</t>
  </si>
  <si>
    <t>T_C-168</t>
  </si>
  <si>
    <t>T_C-169</t>
  </si>
  <si>
    <t>T_C-170</t>
  </si>
  <si>
    <t>T_C-171</t>
  </si>
  <si>
    <t>T_C-172</t>
  </si>
  <si>
    <t>T_C-173</t>
  </si>
  <si>
    <t>T_C-174</t>
  </si>
  <si>
    <t>T_C-175</t>
  </si>
  <si>
    <t>T_C-176</t>
  </si>
  <si>
    <t>T_C-177</t>
  </si>
  <si>
    <t>T_C-178</t>
  </si>
  <si>
    <t>T_C-179</t>
  </si>
  <si>
    <t>T_C-180</t>
  </si>
  <si>
    <t>T_C-181</t>
  </si>
  <si>
    <t>T_C-182</t>
  </si>
  <si>
    <t>T_C-183</t>
  </si>
  <si>
    <t>T_C-184</t>
  </si>
  <si>
    <t>T_C-185</t>
  </si>
  <si>
    <t>T_C-186</t>
  </si>
  <si>
    <t>T_C-187</t>
  </si>
  <si>
    <t>T_C-188</t>
  </si>
  <si>
    <t>T_C-189</t>
  </si>
  <si>
    <t>T_C-190</t>
  </si>
  <si>
    <t>T_C-191</t>
  </si>
  <si>
    <t>T_C-192</t>
  </si>
  <si>
    <t>T_C-193</t>
  </si>
  <si>
    <t>T_C-194</t>
  </si>
  <si>
    <t>T_C-195</t>
  </si>
  <si>
    <t>T_C-196</t>
  </si>
  <si>
    <t>T_C-197</t>
  </si>
  <si>
    <t>T_C-198</t>
  </si>
  <si>
    <t>T_C-199</t>
  </si>
  <si>
    <t>T_C-200</t>
  </si>
  <si>
    <t>T_C-201</t>
  </si>
  <si>
    <t>T_C-202</t>
  </si>
  <si>
    <t>T_C-203</t>
  </si>
  <si>
    <t>T_C-204</t>
  </si>
  <si>
    <t>T_C-205</t>
  </si>
  <si>
    <t>T_C-206</t>
  </si>
  <si>
    <t>T_C-207</t>
  </si>
  <si>
    <t>T_C-208</t>
  </si>
  <si>
    <t>T_C-209</t>
  </si>
  <si>
    <t>T_C-210</t>
  </si>
  <si>
    <t>T_C-211</t>
  </si>
  <si>
    <t>T_C-212</t>
  </si>
  <si>
    <t>T_C-213</t>
  </si>
  <si>
    <t>T_C-214</t>
  </si>
  <si>
    <t>T_C-215</t>
  </si>
  <si>
    <t>T_C-216</t>
  </si>
  <si>
    <t>T_C-217</t>
  </si>
  <si>
    <t>8h00</t>
  </si>
  <si>
    <t>17h00</t>
  </si>
  <si>
    <t>12h00</t>
  </si>
  <si>
    <t>- Duong's PC got broken =&gt; waiting IT reset user for PC.</t>
  </si>
  <si>
    <t>81650 &amp; 81651</t>
  </si>
  <si>
    <t>1.1.315.1</t>
  </si>
  <si>
    <t>1.0.315.0</t>
  </si>
  <si>
    <t>V1.3.147303.0</t>
  </si>
  <si>
    <t>ItemReVision</t>
  </si>
  <si>
    <t>V 1.1</t>
  </si>
  <si>
    <t>V 1.0</t>
  </si>
  <si>
    <t>V2.0.147303.0</t>
  </si>
  <si>
    <t>Defect: Defect ID: 1396104</t>
  </si>
  <si>
    <t>Already have confirm of owner as previous phase</t>
  </si>
  <si>
    <t>Adapt_236234_SMART_VDDM_ESPHevX_BSS02</t>
  </si>
  <si>
    <t>216997_FAW_E115_L3_IB2_BL60</t>
  </si>
  <si>
    <t>1390416.zip</t>
  </si>
  <si>
    <t>DynamicTarballSelection.c</t>
  </si>
  <si>
    <t>NET_CustomerStrategy_FAW.c</t>
  </si>
  <si>
    <t>RBA_NDS_CustomerStrategy_Callout.c</t>
  </si>
  <si>
    <t>RBAPLCUST_RoutineControl_APBMi.c</t>
  </si>
  <si>
    <t>RBAPLCUST_RDBI_InputData.c</t>
  </si>
  <si>
    <t>RBAPLCUST_VariandCode.c</t>
  </si>
  <si>
    <t>RBAPLOBD_Data.c</t>
  </si>
  <si>
    <t>RBAPLOBD_Global.c</t>
  </si>
  <si>
    <t>BB</t>
  </si>
  <si>
    <t>T_C-218</t>
  </si>
  <si>
    <t>T_C-219</t>
  </si>
  <si>
    <t>T_C-220</t>
  </si>
  <si>
    <t>T_C-221</t>
  </si>
  <si>
    <t>T_C-222</t>
  </si>
  <si>
    <t>T_C-223</t>
  </si>
  <si>
    <t>T_C-224</t>
  </si>
  <si>
    <t>T_C-225</t>
  </si>
  <si>
    <t>T_C-226</t>
  </si>
  <si>
    <t>T_C-227</t>
  </si>
  <si>
    <t>T_C-228</t>
  </si>
  <si>
    <t>T_C-229</t>
  </si>
  <si>
    <t>T_C-230</t>
  </si>
  <si>
    <t>T_C-231</t>
  </si>
  <si>
    <t>T_C-232</t>
  </si>
  <si>
    <t>T_C-233</t>
  </si>
  <si>
    <t>T_C-234</t>
  </si>
  <si>
    <t>T_C-235</t>
  </si>
  <si>
    <t>T_C-236</t>
  </si>
  <si>
    <t>HU Di (CC-AS/ESW2-CN)</t>
  </si>
  <si>
    <t>ELOC Recheck by Tool</t>
  </si>
  <si>
    <t>81518, 81534</t>
  </si>
  <si>
    <t>WANG Luyang (CC-AS/EVA-SW1-CN)</t>
  </si>
  <si>
    <t>TENG Huan (CC-AS/EVA-SW33-CN)</t>
  </si>
  <si>
    <t>FAW_E115_iBGen2_Int</t>
  </si>
  <si>
    <t>HE Qi (CC-AS/EVA-SW42-CN)</t>
  </si>
  <si>
    <t>OPL/Defect</t>
  </si>
  <si>
    <t>OPL</t>
  </si>
  <si>
    <t>Defect</t>
  </si>
  <si>
    <t>-Update version testing for old Task ID 1371465</t>
  </si>
  <si>
    <t>1. Completed ELOCs of the team from the beginning of Month (Apr) till Now:</t>
  </si>
  <si>
    <t>4. Found Defects/ OPLs in Month (Apr):</t>
  </si>
  <si>
    <t>5. Leave Plan/Other activities(Apr):</t>
  </si>
  <si>
    <t>2. Completed ELOCs of each member from the beginning of Month (Apr) till Now:</t>
  </si>
  <si>
    <t>216916_FAW_E115_L3_ESPhev_APB(CBi)_BL60</t>
  </si>
  <si>
    <t>GWM_B30_CP_BSS07</t>
  </si>
  <si>
    <t>SAIC SV51H iBooster BSS05 SP04</t>
  </si>
  <si>
    <t>BYD_IPB_SW_Mainstream_BL05_SP10</t>
  </si>
  <si>
    <t>DFN_ESP_Gen9.3_534_238307_BS03SP02</t>
  </si>
  <si>
    <t>RBAPLCUST_RDBI_SnapshotInfo.c</t>
  </si>
  <si>
    <t>RBAPLCUST_BYD_WDBI_NVMData.c</t>
  </si>
  <si>
    <t>RBAPLCUST_BYD_RBDI_AnalogData.c</t>
  </si>
  <si>
    <t>T_C-237</t>
  </si>
  <si>
    <t>T_C-238</t>
  </si>
  <si>
    <t>T_C-239</t>
  </si>
  <si>
    <t>T_C-240</t>
  </si>
  <si>
    <t>T_C-241</t>
  </si>
  <si>
    <t>T_C-242</t>
  </si>
  <si>
    <t>T_C-243</t>
  </si>
  <si>
    <t>T_C-244</t>
  </si>
  <si>
    <t>T_C-245</t>
  </si>
  <si>
    <t>T_C-246</t>
  </si>
  <si>
    <t>T_C-247</t>
  </si>
  <si>
    <t>T_C-248</t>
  </si>
  <si>
    <t>T_C-249</t>
  </si>
  <si>
    <t>T_C-250</t>
  </si>
  <si>
    <t>T_C-251</t>
  </si>
  <si>
    <t>T_C-252</t>
  </si>
  <si>
    <t>T_C-253</t>
  </si>
  <si>
    <t>T_C-254</t>
  </si>
  <si>
    <t>T_C-255</t>
  </si>
  <si>
    <t>T_C-256</t>
  </si>
  <si>
    <t>T_C-257</t>
  </si>
  <si>
    <t>T_C-258</t>
  </si>
  <si>
    <t>T_C-259</t>
  </si>
  <si>
    <t>T_C-260</t>
  </si>
  <si>
    <t>T_C-261</t>
  </si>
  <si>
    <t>T_C-262</t>
  </si>
  <si>
    <t>T_C-263</t>
  </si>
  <si>
    <t>RBMCounter.c</t>
  </si>
  <si>
    <t>80431, 80433, 81003</t>
  </si>
  <si>
    <t>80431, 80433, 81004</t>
  </si>
  <si>
    <t>80431, 80433, 81005</t>
  </si>
  <si>
    <t>80431, 80433, 81006</t>
  </si>
  <si>
    <t>80431, 80433, 81007</t>
  </si>
  <si>
    <t>80431, 80433, 81008</t>
  </si>
  <si>
    <t>80431, 80433, 81009</t>
  </si>
  <si>
    <t>80431, 80433, 81010</t>
  </si>
  <si>
    <t>80431, 80433, 81011</t>
  </si>
  <si>
    <t>80431, 80433, 81012</t>
  </si>
  <si>
    <t>80431, 80433, 81013</t>
  </si>
  <si>
    <t>FAW_L3_MainPath_HevX_Int</t>
  </si>
  <si>
    <t>GWM_AB30_CP_Int</t>
  </si>
  <si>
    <t>-Cant cover 100% MCDC.</t>
  </si>
  <si>
    <t>SAIC_SV51H_IB2_CNMS_MIG_INT</t>
  </si>
  <si>
    <t>SAIC_SV51H_ESP93_Migra2_CNMS_BSS07SP10_Int</t>
  </si>
  <si>
    <t>DFN_Venucia_ESP93_Carbon_Int</t>
  </si>
  <si>
    <t>CHEN Steve (CC-AS/EVA-SW33-CN)</t>
  </si>
  <si>
    <t>LESLIE PUTHOOR Milda (CC-AS/EVA-SW31-CN)</t>
  </si>
  <si>
    <t>LU Martin (CC-AS/ESW2-CN)</t>
  </si>
  <si>
    <t>LI Joe (CC-AS/EVA-SW32-CN)</t>
  </si>
  <si>
    <t>MC_244837_SGMW_CN210M_RC_ABS9.3CBi_BL01_SP01</t>
  </si>
  <si>
    <t>DWS_Handler_COMMON.c</t>
  </si>
  <si>
    <t>rba_BldrCmp_36TransferData_Decomp.c</t>
  </si>
  <si>
    <t>rba_BldrCmp_DataHdl.c</t>
  </si>
  <si>
    <t>rba_BldrCmp_LogBlkHdl.c</t>
  </si>
  <si>
    <t>SGMW_ABS93_MS_Stable</t>
  </si>
  <si>
    <t>Pham Duc Trung (RBVH/EAS11)</t>
  </si>
  <si>
    <t>T_C-264</t>
  </si>
  <si>
    <t>T_C-265</t>
  </si>
  <si>
    <t>T_C-266</t>
  </si>
  <si>
    <t>T_C-267</t>
  </si>
  <si>
    <t>T_C-268</t>
  </si>
  <si>
    <t>T_C-269</t>
  </si>
  <si>
    <t>T_C-270</t>
  </si>
  <si>
    <t>SGWM_ESP93_Carbon_Int</t>
  </si>
  <si>
    <t>SUN Yun (CC-AS/EVA-SW31-CN)</t>
  </si>
  <si>
    <t>18h00</t>
  </si>
  <si>
    <t>Out put name rba_BldrCmp_LogBlkHdl</t>
  </si>
  <si>
    <t>Out put name rba_BldrCmp_LogBlkHdl_1</t>
  </si>
  <si>
    <t>T_C-271</t>
  </si>
  <si>
    <t>- Day-off Fri, 03-Apr</t>
  </si>
  <si>
    <t>- Day-off Mon, 9th Mar</t>
  </si>
  <si>
    <t>- None</t>
  </si>
  <si>
    <t>1. Completed ELOCs of the team from the beginning from (02-Mar) till Now(03-Apr)</t>
  </si>
  <si>
    <t>2. Completed ELOCs of each member from the beginning of from (02-Mar) till Now(03-Apr)</t>
  </si>
  <si>
    <t xml:space="preserve">can’t cover for case default at line#231 of switch(rba_BldrCmp_Td_DecompWriteState_en)
</t>
  </si>
  <si>
    <t>Because out of range of enum rba_BldrCmp_Td_DecompWriteState_ten</t>
  </si>
  <si>
    <t>239689_NIO_G1.3&amp;G1.F_ESPHevX_BSS03</t>
  </si>
  <si>
    <t>MC_227282_SGMW_E200_Plus_ESPCPiGen9.3_BSS04_SP03</t>
  </si>
  <si>
    <t>SGMW_RBA_NDS_EngineIntervention_EV_Callout.c</t>
  </si>
  <si>
    <t>RBHMI_LDMLamp_CNMS.C</t>
  </si>
  <si>
    <t>RBA_NDS_WSS_FailureInfo_Callout.c</t>
  </si>
  <si>
    <t>NextEV_ESPHevX_Int</t>
  </si>
  <si>
    <t>LI Jiaxing (CC-AS/EVA-SW32-CN)</t>
  </si>
  <si>
    <t>WANG Yang (CC-AS/EVA-SW32-CN)</t>
  </si>
  <si>
    <t>XU Jialin (CC-AS/EVA-SW32-CN)</t>
  </si>
  <si>
    <t>T_C-272</t>
  </si>
  <si>
    <t>T_C-273</t>
  </si>
  <si>
    <t>T_C-274</t>
  </si>
  <si>
    <t>T_C-275</t>
  </si>
  <si>
    <t>T_C-276</t>
  </si>
  <si>
    <t>236075_SAIC_IP31E iBooster_BSS02_SP01</t>
  </si>
  <si>
    <t>GEELY_Ibooster_GE12_BX11_BL07</t>
  </si>
  <si>
    <t>RBPSC_ControlMain.c</t>
  </si>
  <si>
    <t>RBMLI_TargetValueSwitch.c</t>
  </si>
  <si>
    <t>T_C-277</t>
  </si>
  <si>
    <t>T_C-278</t>
  </si>
  <si>
    <t>T_C-279</t>
  </si>
  <si>
    <t>T_C-280</t>
  </si>
  <si>
    <t>T_C-281</t>
  </si>
  <si>
    <t>81185, 99648</t>
  </si>
  <si>
    <t>81185, 99649</t>
  </si>
  <si>
    <t>SAIC_EP_CMP_iBooster_Gen2_Int</t>
  </si>
  <si>
    <t>Geely_FS11_GE12_BX11_iBooster_Gen2_Int</t>
  </si>
  <si>
    <t>XIONG Ice (CC-AS/EVA-SW1-CN)</t>
  </si>
  <si>
    <t>Thangamani Shanmugam (RBEI/EBB7)</t>
  </si>
  <si>
    <t>RBAPLCUST_ClearDiagnosticInformation.c</t>
  </si>
  <si>
    <t>RBAPLCUST_RDBI_CANSupportMonitor.c</t>
  </si>
  <si>
    <t>RBAPLCUST_DataMonitor_13xx.c</t>
  </si>
  <si>
    <t>VENKATESAN Azhaku Sathya Narayanan (CC-AS/EVA-SW32-CN)</t>
  </si>
  <si>
    <t>T_C-282</t>
  </si>
  <si>
    <t>T_C-283</t>
  </si>
  <si>
    <t>T_C-284</t>
  </si>
  <si>
    <t>T_C-285</t>
  </si>
  <si>
    <t>T_C-286</t>
  </si>
  <si>
    <t>T_C-287</t>
  </si>
  <si>
    <t>T_C-288</t>
  </si>
  <si>
    <t>1</t>
  </si>
  <si>
    <t>-Waiting license of ASCET Tool and re-install ASCET =&gt; Lead to delay for all class related with ASW, take time for other task</t>
  </si>
  <si>
    <t>- don’t have function for test</t>
  </si>
  <si>
    <t>VAR09_VehicleSetting_NISSAN.c</t>
  </si>
  <si>
    <t>DNCIF09_ControlSignalsInAbsSys_NIS9.c</t>
  </si>
  <si>
    <t>DNCIF09_WssEdgeSum_NIS9.c</t>
  </si>
  <si>
    <t>NET09_ComSclAdapter_Measurement_BB92121.c</t>
  </si>
  <si>
    <t>NET09_ComSclAdapter_MonitoringTables_BB92121.c</t>
  </si>
  <si>
    <t>NET09_ComSclAdapter_RxCbk_BB92121.c</t>
  </si>
  <si>
    <t>NET09_ComSclAdapter_RxSignalCopy_BB92121.c</t>
  </si>
  <si>
    <t>NET09_ComSclAdapter_RxTimeoutCbk_BB92121.c</t>
  </si>
  <si>
    <t>NET09_ComSclAdapter_TxCbk_BB92121.c</t>
  </si>
  <si>
    <t>NET09_NDS14_FaultConfiguration_BB92121.c</t>
  </si>
  <si>
    <t>NET09_SCL_RawSignals_BB92121.c</t>
  </si>
  <si>
    <t>NET09_ChecksumLib_NIS9.c</t>
  </si>
  <si>
    <t>NET09_FrameControl_NIS9.c</t>
  </si>
  <si>
    <t>NET09_IdleStopTreatment_NIS9.c</t>
  </si>
  <si>
    <t>NET09_Rcv6E2_NIS9.c</t>
  </si>
  <si>
    <t>NET09_RcvGear_NIS9.c</t>
  </si>
  <si>
    <t>NET09_Xmt245_NIS9.C</t>
  </si>
  <si>
    <t>NET09_Xmt354_NIS9.C</t>
  </si>
  <si>
    <t>1.7.5.2</t>
  </si>
  <si>
    <t>1.3.4.1</t>
  </si>
  <si>
    <t>1.6.4.0.3.1.1.1</t>
  </si>
  <si>
    <t>1.5.7.4</t>
  </si>
  <si>
    <t>1.3.1.0.5.4</t>
  </si>
  <si>
    <t>1.2.4.2</t>
  </si>
  <si>
    <t>1.4.1.3.1.1</t>
  </si>
  <si>
    <t>1.1.1.0.3.8.2.2</t>
  </si>
  <si>
    <t>1.2.1.0.5.3</t>
  </si>
  <si>
    <t>2.0.4.2</t>
  </si>
  <si>
    <t>4.4.1.1.1.2.1.6</t>
  </si>
  <si>
    <t>1.0.1.0.1.5</t>
  </si>
  <si>
    <t>1.1.1.1</t>
  </si>
  <si>
    <t>1.3.3.0</t>
  </si>
  <si>
    <t>3.0.1.1.3.2</t>
  </si>
  <si>
    <t>T_C-289</t>
  </si>
  <si>
    <t>T_C-290</t>
  </si>
  <si>
    <t>T_C-291</t>
  </si>
  <si>
    <t>T_C-292</t>
  </si>
  <si>
    <t>T_C-293</t>
  </si>
  <si>
    <t>T_C-294</t>
  </si>
  <si>
    <t>T_C-295</t>
  </si>
  <si>
    <t>T_C-296</t>
  </si>
  <si>
    <t>T_C-297</t>
  </si>
  <si>
    <t>T_C-298</t>
  </si>
  <si>
    <t>T_C-299</t>
  </si>
  <si>
    <t>T_C-300</t>
  </si>
  <si>
    <t>T_C-301</t>
  </si>
  <si>
    <t>T_C-302</t>
  </si>
  <si>
    <t>T_C-303</t>
  </si>
  <si>
    <t>T_C-304</t>
  </si>
  <si>
    <t>T_C-305</t>
  </si>
  <si>
    <t>T_C-306</t>
  </si>
  <si>
    <t>-SGMW_ABS93_MS_Stable/RB_SGMW_ABS93/rba/as/Bldr/HWRef/comps/ApplicationLayer/rba_BldrCmp/src</t>
  </si>
  <si>
    <t>-SGMW_ABS93_MS_Stable/RB_SGMW_ABS93/rba/BldrCmp/src</t>
  </si>
  <si>
    <t xml:space="preserve">-Can’t cover case “default” of “switch (Control)” </t>
  </si>
  <si>
    <t>//10.184.143.103/d/vivi/BV/DB/06Mar/Nissan_35.zip</t>
  </si>
  <si>
    <t xml:space="preserve">- Cant cover full case of switch( ls_VariantConfig_ST[variantindex].NisEngineType_N ) at line #319
Because NisEngineType_N is a read-only object.
- Cant cover full case of switch( ls_VariantConfig_ST[variantindex].NisGearboxType_N )at line #367
Because NisGearboxType_N is a read-only object.
- Cant cover full case of switch( ls_VariantConfig_ST[variantindex].NisCanGen_N ) at line #401
Because NisCanGen_N is a read-only object.
</t>
  </si>
  <si>
    <t>-No function for testing.</t>
  </si>
  <si>
    <t>-don't have functions for test</t>
  </si>
  <si>
    <t>241595_GAC_A27_ESP9.3CP</t>
  </si>
  <si>
    <t>235149_FAW_HS7_RC_BL02</t>
  </si>
  <si>
    <t>MC_232534_SGMW_CN202C_ESP9.3CPi_ACC_BSS04</t>
  </si>
  <si>
    <t>NET_SCL_Rx_RBC.c</t>
  </si>
  <si>
    <t>RBAPLCUST_SecurityAccess.c</t>
  </si>
  <si>
    <t>FAW_Beryllium_TypeA_For_RBVH_Int</t>
  </si>
  <si>
    <t>T_C-307</t>
  </si>
  <si>
    <t>T_C-308</t>
  </si>
  <si>
    <t>T_C-309</t>
  </si>
  <si>
    <t>T_C-310</t>
  </si>
  <si>
    <t>ZHANG Yu (CC-AS/EVA-SW31-CN)</t>
  </si>
  <si>
    <t>Nguyen Duc Huong Quynh (RBVH/EAS12)</t>
  </si>
  <si>
    <t>-Can't check faulse condition bc this always is true</t>
  </si>
  <si>
    <r>
      <t xml:space="preserve">Can’t cover false case of </t>
    </r>
    <r>
      <rPr>
        <sz val="10"/>
        <color rgb="FFFFBB00"/>
        <rFont val="Consolas"/>
        <family val="3"/>
      </rPr>
      <t>if</t>
    </r>
    <r>
      <rPr>
        <sz val="10"/>
        <color rgb="FF009A00"/>
        <rFont val="Consolas"/>
        <family val="3"/>
      </rPr>
      <t>(1 == DCM_CFG_DSP_NUMSECURITY) because DCM_CFG_DSP_NUMSECURITY is defined by 1.</t>
    </r>
  </si>
  <si>
    <t>- Owner said its OK like usual</t>
  </si>
  <si>
    <t>-Rework due to wrong BD</t>
  </si>
  <si>
    <t>-OPL could be ignore</t>
  </si>
  <si>
    <t>PSWDWS_Main_Handler_COMMON.c</t>
  </si>
  <si>
    <t>PSWDWS_Signal_Interface_COMMON.c</t>
  </si>
  <si>
    <t>RBAPLCUST_RoutineControl_AxAyCalirationFake.c</t>
  </si>
  <si>
    <t>T_C-311</t>
  </si>
  <si>
    <t>T_C-312</t>
  </si>
  <si>
    <t>T_C-313</t>
  </si>
  <si>
    <t>T_C-314</t>
  </si>
  <si>
    <t>GWM_B30HP ESP</t>
  </si>
  <si>
    <t>RBHMI_StatesDefinitionTable_PRJ.c</t>
  </si>
  <si>
    <t>ComScl_CalcCRC8.c</t>
  </si>
  <si>
    <t>GWM_DNCIF_EngineTorque.c</t>
  </si>
  <si>
    <t>GWM_NET_Gear_Callout.c</t>
  </si>
  <si>
    <t>GWM_NET_HMIStrategy.c</t>
  </si>
  <si>
    <t>GWM_NET_LowVoltageStrategy.c</t>
  </si>
  <si>
    <t>GWM_NET_NodeSuppressStrategy.c</t>
  </si>
  <si>
    <t>GWM_NET_PBCDevelopMessage_Callout.c</t>
  </si>
  <si>
    <t>GWM_NET_PBCMessageStrategy.c</t>
  </si>
  <si>
    <t>GWM_NET_SAS_Callout.c</t>
  </si>
  <si>
    <t>GWM_NET_SpecialStrategy.c</t>
  </si>
  <si>
    <t>GWM_NET_SystemInfo_Callout.c</t>
  </si>
  <si>
    <t>GWM_NET_Torque_Callout.c</t>
  </si>
  <si>
    <t>GWM_NET_Yrs_Callout.c</t>
  </si>
  <si>
    <t>NET_SCL_InitPrc_CNMS.c</t>
  </si>
  <si>
    <t>80506, 80504</t>
  </si>
  <si>
    <t>99186</t>
  </si>
  <si>
    <t>82188</t>
  </si>
  <si>
    <t>80432, 81558</t>
  </si>
  <si>
    <t>GWM_B30_HP_Int</t>
  </si>
  <si>
    <t>80432</t>
  </si>
  <si>
    <t>T_C-315</t>
  </si>
  <si>
    <t>T_C-316</t>
  </si>
  <si>
    <t>T_C-317</t>
  </si>
  <si>
    <t>T_C-318</t>
  </si>
  <si>
    <t>T_C-319</t>
  </si>
  <si>
    <t>T_C-320</t>
  </si>
  <si>
    <t>T_C-321</t>
  </si>
  <si>
    <t>ZHANG Jun (CC-AS/EVA-SW33-CN)</t>
  </si>
  <si>
    <t>T_C-322</t>
  </si>
  <si>
    <t>T_C-323</t>
  </si>
  <si>
    <t>T_C-324</t>
  </si>
  <si>
    <t>T_C-325</t>
  </si>
  <si>
    <t>T_C-326</t>
  </si>
  <si>
    <t>T_C-327</t>
  </si>
  <si>
    <t>T_C-328</t>
  </si>
  <si>
    <t>T_C-329</t>
  </si>
  <si>
    <t>T_C-330</t>
  </si>
  <si>
    <t>T_C-331</t>
  </si>
  <si>
    <t>T_C-332</t>
  </si>
  <si>
    <t>T_C-333</t>
  </si>
  <si>
    <t>T_C-334</t>
  </si>
  <si>
    <t>T_C-335</t>
  </si>
  <si>
    <t>T_C-336</t>
  </si>
  <si>
    <t>BAIC_226403_C62XP_ESPHevX_BL60</t>
  </si>
  <si>
    <t xml:space="preserve">APA_FailureMode </t>
  </si>
  <si>
    <t>LdmExternalSelector</t>
  </si>
  <si>
    <t>APA_FailureMode.zip</t>
  </si>
  <si>
    <t>LdmExternalSelector.zip</t>
  </si>
  <si>
    <t>1.5.147303.310</t>
  </si>
  <si>
    <t>2.1.2.1.146310.0</t>
  </si>
  <si>
    <t>T_C-337</t>
  </si>
  <si>
    <t>T_C-338</t>
  </si>
  <si>
    <t>BB81650/BB81651</t>
  </si>
  <si>
    <t>-Don't have function for test</t>
  </si>
  <si>
    <t>-don't have functions to test</t>
  </si>
  <si>
    <t>Estimate Effort
(days)</t>
  </si>
  <si>
    <t>huy.do</t>
  </si>
  <si>
    <t>phuong.nguyen</t>
  </si>
  <si>
    <t>-Loc, Thanh got issues is reset user PC</t>
  </si>
  <si>
    <t>RBVar_Suppression_PROJECT.c</t>
  </si>
  <si>
    <t>RBVoltageHandler_ParameterConfiguration_PRJ.c</t>
  </si>
  <si>
    <t>81650, 81651</t>
  </si>
  <si>
    <t>T_C-339</t>
  </si>
  <si>
    <t>T_C-340</t>
  </si>
  <si>
    <t>T_C-341</t>
  </si>
  <si>
    <t>Suzuki_XE431RC ABS10.3ME</t>
  </si>
  <si>
    <t>FFD_EEPROMHandling_SMC.c</t>
  </si>
  <si>
    <t>FFD_Update_SMC.c</t>
  </si>
  <si>
    <t>FreezeFrameDataDelete_SMC.c</t>
  </si>
  <si>
    <t>FreezeFrameDataStore_SMC.c</t>
  </si>
  <si>
    <t>RBAPLCUST_ControlIDTCSetting.c</t>
  </si>
  <si>
    <t>RBAPLCUST_DCOMGenericNvMWriteFunctions.c</t>
  </si>
  <si>
    <t>RBAPLCUST_MC_DiagnosticSessionControl.c</t>
  </si>
  <si>
    <t>RBAPLCUST_MC_EcuReset.c</t>
  </si>
  <si>
    <t>RBAPLCUST_MC_PDM_INTERFACES.c</t>
  </si>
  <si>
    <t>RBAPLCUST_MC_ReadDataByIdentifier.c</t>
  </si>
  <si>
    <t>RBAPLCUST_MC_RoutineControl.c</t>
  </si>
  <si>
    <t>RBAPLCUST_MC_SecurityAccess.c</t>
  </si>
  <si>
    <t>RBAPLCUST_MC_WriteDataByIdentifier.c</t>
  </si>
  <si>
    <t>RBAPLCUST_ProjectSpecific_Routines.c</t>
  </si>
  <si>
    <t>RBAPLCUST_RDBI_BatteryVoltage.c</t>
  </si>
  <si>
    <t>RBAPLCUST_RoutineControl_MC_ABSSilaTest.c</t>
  </si>
  <si>
    <t>RBAPLCUST_RoutineControl_MC_ActuatorTest.c</t>
  </si>
  <si>
    <t>RBAPLCUST_RoutineControl_MC_EvacAndFill.c</t>
  </si>
  <si>
    <t>RBAPLCUST_RoutineControl_MC_RepairBleeding.c</t>
  </si>
  <si>
    <t>RBAPLCUST_RoutineControl_MC_SensorMountingTest.c</t>
  </si>
  <si>
    <t>RBAPLCUST_RoutineControl_MC_WheelSpeedSensorTest.c</t>
  </si>
  <si>
    <t>RBAPLCUST_ValvesToggling.c</t>
  </si>
  <si>
    <t>RBAPLCUST_XE431_ActuationConditionCheck.c</t>
  </si>
  <si>
    <t>RBAPLCUST_XE431_ActuationFunctions.c</t>
  </si>
  <si>
    <t>RBAPLCUST_XE431_ActuationSettings.c</t>
  </si>
  <si>
    <t>RBAPLCUST_XE431_ClearDiagnosticInformation.c</t>
  </si>
  <si>
    <t>RBAPLCUST_XE431_DTCFunctions.c</t>
  </si>
  <si>
    <t>RBAPLCUST_XE431_EcuReset.c</t>
  </si>
  <si>
    <t>RBAPLCUST_XE431_EOLFunction.c</t>
  </si>
  <si>
    <t>RBAPLCUST_XE431_InputOutputControlByIdentifier.c</t>
  </si>
  <si>
    <t>RBAPLCUST_XE431_ReadDataByLocalIdentifier.c</t>
  </si>
  <si>
    <t>RBAPLCUST_XE431_ReadDTCByStatus.c</t>
  </si>
  <si>
    <t>RBAPLCUST_XE431_ReadEcuIdentification.c</t>
  </si>
  <si>
    <t>RBAPLCUST_XE431_RequestDownload.c</t>
  </si>
  <si>
    <t>RBAPLCUST_XE431_RequestTransferExit.c</t>
  </si>
  <si>
    <t>RBAPLCUST_XE431_SecurityAccess.c</t>
  </si>
  <si>
    <t>RBAPLCUST_XE431_ServiceStateHandler.c</t>
  </si>
  <si>
    <t>RBAPLCUST_XE431_StartDiagnosticSession.c</t>
  </si>
  <si>
    <t>RBAPLCUST_XE431_StopDiagnosticSession.c</t>
  </si>
  <si>
    <t>RBAPLCUST_XE431_TesterPresent.c</t>
  </si>
  <si>
    <t>RBAPLCUST_XE431_TransferData.c</t>
  </si>
  <si>
    <t>RBAPLCUST_XE431_UtilityFunctions.c</t>
  </si>
  <si>
    <t>RBAPLCUST_XE431_WriteDataByIdentifier.c</t>
  </si>
  <si>
    <t>CUS_HHCOff.c</t>
  </si>
  <si>
    <t>CUS_ModesSwitching.c</t>
  </si>
  <si>
    <t>Variant_MC_Platform.c</t>
  </si>
  <si>
    <t>T_C-342</t>
  </si>
  <si>
    <t>T_C-343</t>
  </si>
  <si>
    <t>T_C-344</t>
  </si>
  <si>
    <t>T_C-345</t>
  </si>
  <si>
    <t>T_C-346</t>
  </si>
  <si>
    <t>T_C-347</t>
  </si>
  <si>
    <t>T_C-348</t>
  </si>
  <si>
    <t>T_C-349</t>
  </si>
  <si>
    <t>T_C-350</t>
  </si>
  <si>
    <t>T_C-351</t>
  </si>
  <si>
    <t>T_C-352</t>
  </si>
  <si>
    <t>T_C-353</t>
  </si>
  <si>
    <t>T_C-354</t>
  </si>
  <si>
    <t>T_C-355</t>
  </si>
  <si>
    <t>T_C-356</t>
  </si>
  <si>
    <t>T_C-357</t>
  </si>
  <si>
    <t>T_C-358</t>
  </si>
  <si>
    <t>T_C-359</t>
  </si>
  <si>
    <t>T_C-360</t>
  </si>
  <si>
    <t>T_C-361</t>
  </si>
  <si>
    <t>T_C-362</t>
  </si>
  <si>
    <t>T_C-363</t>
  </si>
  <si>
    <t>T_C-364</t>
  </si>
  <si>
    <t>T_C-365</t>
  </si>
  <si>
    <t>T_C-366</t>
  </si>
  <si>
    <t>T_C-367</t>
  </si>
  <si>
    <t>T_C-368</t>
  </si>
  <si>
    <t>T_C-369</t>
  </si>
  <si>
    <t>T_C-370</t>
  </si>
  <si>
    <t>T_C-371</t>
  </si>
  <si>
    <t>T_C-372</t>
  </si>
  <si>
    <t>T_C-373</t>
  </si>
  <si>
    <t>T_C-374</t>
  </si>
  <si>
    <t>T_C-375</t>
  </si>
  <si>
    <t>T_C-376</t>
  </si>
  <si>
    <t>T_C-377</t>
  </si>
  <si>
    <t>T_C-378</t>
  </si>
  <si>
    <t>T_C-379</t>
  </si>
  <si>
    <t>T_C-380</t>
  </si>
  <si>
    <t>T_C-381</t>
  </si>
  <si>
    <t>T_C-382</t>
  </si>
  <si>
    <t>T_C-383</t>
  </si>
  <si>
    <t>T_C-384</t>
  </si>
  <si>
    <t>T_C-385</t>
  </si>
  <si>
    <t>T_C-386</t>
  </si>
  <si>
    <t>T_C-387</t>
  </si>
  <si>
    <t>T_C-388</t>
  </si>
  <si>
    <t>T_C-389</t>
  </si>
  <si>
    <t>T_C-390</t>
  </si>
  <si>
    <t>T_C-391</t>
  </si>
  <si>
    <t>T_C-392</t>
  </si>
  <si>
    <t>Dao Tu Giang (RBVH/EAS32)</t>
  </si>
  <si>
    <t>Le Duy Thang (RBVH/EAS32)</t>
  </si>
  <si>
    <t>2WP_ABS10.3ME_SUZUKI_XE431_Carbon_Migration_Stream.zip</t>
  </si>
  <si>
    <t xml:space="preserve">ignore </t>
  </si>
  <si>
    <t>ABS_103_ME_SMC\rb\as\twp\core\app\dcom\RBAPLCust\src\SMC_MC</t>
  </si>
  <si>
    <t>BYD_Carbon_Mainstream_BL02spr02</t>
  </si>
  <si>
    <t>RBAPLCUST_BYD_RBDI_BootSoftwareVersion.c</t>
  </si>
  <si>
    <t>RBAPLCUST_BYD_RBDI_DigitalData.c</t>
  </si>
  <si>
    <t>RBAPLCUST_BYD_RBDI_SpeedLimitMonitoring.c</t>
  </si>
  <si>
    <t>RBAPLCUST_BYD_RDBI_NVMData.c</t>
  </si>
  <si>
    <t>RBAPLCUST_BYD_RDBI_SpeedInfo.c</t>
  </si>
  <si>
    <t>RBAPLCUST_BYD_RDBI_TPMS.c</t>
  </si>
  <si>
    <t>RBAPLCUST_BYD_WDBI_TPMS.c</t>
  </si>
  <si>
    <t>RBAPLCUST_ClearDiagnosticInformation_CheckFnc.c</t>
  </si>
  <si>
    <t>RBAPLCUST_CNMSCORE_CallbackFun.c</t>
  </si>
  <si>
    <t>RBAPLCUST_RoutineControl.c</t>
  </si>
  <si>
    <t>RBAPLCUST_RoutineControl_PedalTravelSensorCalibration.c</t>
  </si>
  <si>
    <t>RBAPLCUST_RoutineControl_ActuatorTest.c</t>
  </si>
  <si>
    <t>RBAPLCUST_RoutineControl_DelayControl.c</t>
  </si>
  <si>
    <t>RBAPLCUST_RoutineControl_DynamicTest.c</t>
  </si>
  <si>
    <t>RBAPLCUST_RoutineControl_EvacAndFill.c</t>
  </si>
  <si>
    <t>RBAPLCUST_RoutineControl_RepairBleeding.c</t>
  </si>
  <si>
    <t>RBAPLCUST_ConversionSignalParam.c</t>
  </si>
  <si>
    <t>RBAPLCUST_RBDI_SWVersionNumber.c</t>
  </si>
  <si>
    <t>RBAPLCUST_RDBI_SpeedInfo.c</t>
  </si>
  <si>
    <t>RBAPLCUST_RoutineControl_LTCResetProcessYRS.c</t>
  </si>
  <si>
    <t>MA Python (CC-AS/EVA-SW31-CN)</t>
  </si>
  <si>
    <t>T_C-393</t>
  </si>
  <si>
    <t>T_C-394</t>
  </si>
  <si>
    <t>T_C-395</t>
  </si>
  <si>
    <t>T_C-396</t>
  </si>
  <si>
    <t>T_C-397</t>
  </si>
  <si>
    <t>T_C-398</t>
  </si>
  <si>
    <t>T_C-399</t>
  </si>
  <si>
    <t>T_C-400</t>
  </si>
  <si>
    <t>T_C-401</t>
  </si>
  <si>
    <t>T_C-402</t>
  </si>
  <si>
    <t>T_C-403</t>
  </si>
  <si>
    <t>T_C-404</t>
  </si>
  <si>
    <t>T_C-405</t>
  </si>
  <si>
    <t>T_C-406</t>
  </si>
  <si>
    <t>T_C-407</t>
  </si>
  <si>
    <t>T_C-408</t>
  </si>
  <si>
    <t>T_C-409</t>
  </si>
  <si>
    <t>T_C-410</t>
  </si>
  <si>
    <t>T_C-411</t>
  </si>
  <si>
    <t>T_C-412</t>
  </si>
  <si>
    <t>T_C-413</t>
  </si>
  <si>
    <t>T_C-414</t>
  </si>
  <si>
    <t>T_C-415</t>
  </si>
  <si>
    <t>T_C-416</t>
  </si>
  <si>
    <t>T_C-417</t>
  </si>
  <si>
    <t>T_C-418</t>
  </si>
  <si>
    <t>T_C-419</t>
  </si>
  <si>
    <t>T_C-420</t>
  </si>
  <si>
    <t>T_C-421</t>
  </si>
  <si>
    <t>T_C-422</t>
  </si>
  <si>
    <t>T_C-423</t>
  </si>
  <si>
    <t>T_C-424</t>
  </si>
  <si>
    <t>T_C-425</t>
  </si>
  <si>
    <t>T_C-426</t>
  </si>
  <si>
    <t>T_C-427</t>
  </si>
  <si>
    <t>T_C-428</t>
  </si>
  <si>
    <t>T_C-429</t>
  </si>
  <si>
    <t>T_C-430</t>
  </si>
  <si>
    <t>T_C-431</t>
  </si>
  <si>
    <t>T_C-432</t>
  </si>
  <si>
    <t>T_C-433</t>
  </si>
  <si>
    <t>T_C-434</t>
  </si>
  <si>
    <t>T_C-435</t>
  </si>
  <si>
    <t>T_C-436</t>
  </si>
  <si>
    <t>T_C-437</t>
  </si>
  <si>
    <t>T_C-438</t>
  </si>
  <si>
    <t>T_C-439</t>
  </si>
  <si>
    <t>T_C-440</t>
  </si>
  <si>
    <t>T_C-441</t>
  </si>
  <si>
    <t>T_C-442</t>
  </si>
  <si>
    <t>T_C-443</t>
  </si>
  <si>
    <t>T_C-444</t>
  </si>
  <si>
    <t>T_C-445</t>
  </si>
  <si>
    <t>T_C-446</t>
  </si>
  <si>
    <t>T_C-447</t>
  </si>
  <si>
    <t>T_C-448</t>
  </si>
  <si>
    <t>T_C-449</t>
  </si>
  <si>
    <t>T_C-450</t>
  </si>
  <si>
    <t>APA_ApbRequest</t>
  </si>
  <si>
    <t>APA_TransStateMachine</t>
  </si>
  <si>
    <t>1.1.147303.1.301.0</t>
  </si>
  <si>
    <t>1.11.147301.2</t>
  </si>
  <si>
    <t>ZHANG Allen (CC-AS/EVA-SW2-CN)</t>
  </si>
  <si>
    <t>1369164.zip</t>
  </si>
  <si>
    <t>T_C-451</t>
  </si>
  <si>
    <t>T_C-452</t>
  </si>
  <si>
    <t>AxQualify_for_BJEV</t>
  </si>
  <si>
    <t>HMI_ApbErrorLamp</t>
  </si>
  <si>
    <t>RDA_VlcMainReq</t>
  </si>
  <si>
    <t>RDA_VlcTarAx</t>
  </si>
  <si>
    <t>ApbRequest_for_BJEV</t>
  </si>
  <si>
    <t>ApbMiGen2hevX_ECU_CSW_BB97468.axl</t>
  </si>
  <si>
    <t>RPAESPHevXEncapSWCust_ECU_CSW_BB99704.axl</t>
  </si>
  <si>
    <t>1.0</t>
  </si>
  <si>
    <t>1.4.146310.0</t>
  </si>
  <si>
    <t>2.0.146310.0</t>
  </si>
  <si>
    <t>1.1</t>
  </si>
  <si>
    <t>ZHONG Yan (CC-AS/EVA-SW2-CN)</t>
  </si>
  <si>
    <t>-Tool error at line #272: Catata can't discriminate whether we call Dem_EvMemGetEventMemStatus at condition 1 or 2</t>
  </si>
  <si>
    <t>-g_FFD_Info_ST[l_RecID_u8].FFD_CrankAxisTorque_u16 is a un-sign object but it’s assigned by a sign object at line #172</t>
  </si>
  <si>
    <t>Type of OPL/Defect</t>
  </si>
  <si>
    <t xml:space="preserve">Issue of cantata display not correct MCDC. </t>
  </si>
  <si>
    <t>-just loop do while(l_ZeroCount == Seedlen_u) at #line 151 once , because if l_ZeroCount equal Seedlen_u it will loop forever.
- can’t cover MCDC for conditions at #line605 ,625, 632. Because it have 2 case to test for these conditions : 0  and 0xFFFFFFFFu.</t>
  </si>
  <si>
    <t>-No have function to test</t>
  </si>
  <si>
    <t>- Day-off Wed, 15-Apr</t>
  </si>
  <si>
    <t>HHT_VX1_ESPHevX_BL2</t>
  </si>
  <si>
    <t>HHT_CampingMode_ChargingSt_VDCMAutoLock</t>
  </si>
  <si>
    <t>HHT_WarmMessage_Pbc</t>
  </si>
  <si>
    <t>CHEN Xu (BEG/ECA1-CN)</t>
  </si>
  <si>
    <t>T_C-453</t>
  </si>
  <si>
    <t>T_C-454</t>
  </si>
  <si>
    <t>T_C-455</t>
  </si>
  <si>
    <t>T_C-456</t>
  </si>
  <si>
    <t>MC_225750_Geely_KC2A_ESP9.3HB_BB80336_BL04SP03</t>
  </si>
  <si>
    <t>rba\Bldr\comps\ApplicationLayer\rba_BldrCmp\src\</t>
  </si>
  <si>
    <t>rb\as\byd\ipb\app\dsm\RBVAR\src\</t>
  </si>
  <si>
    <t>rb\as\byd\ipb\app\dsm\ RBVAR\src\</t>
  </si>
  <si>
    <t>GEEA2.0\rb\as\cevt\Geely\aswpr\EV\src</t>
  </si>
  <si>
    <t xml:space="preserve">rb\as\fawMP\fawcore\app\netRBNm\src\             </t>
  </si>
  <si>
    <t xml:space="preserve">rb\as\fawMP\fawcore\app\netRBScl\src\            </t>
  </si>
  <si>
    <t>rb\as\cnms_core\app\netscl\src\Callout_Functions\</t>
  </si>
  <si>
    <t>C:\02_CANTATA\COEM_April\_DataBase\FAW_E115_iBGen2_Int\iBoosterGen2\rb\as\faw\core\app\dcom\RBAPLCust\src\ESP</t>
  </si>
  <si>
    <t>iBoosterGen2\rb\as\faw\core\app\dcom\RBAPLCust\src\common</t>
  </si>
  <si>
    <t>rb\as\faw\core\app\dcom\RBAPLCust\src\iBooster</t>
  </si>
  <si>
    <t>rb\as\faw\core\app\dcom\RBAPLOBD\src</t>
  </si>
  <si>
    <t>rb\as\faw\core\app\dcom\Cubas\src\Dcm_CNMS</t>
  </si>
  <si>
    <t>rb\as\faw\core\app\dcom\RBAPLCust\src\common</t>
  </si>
  <si>
    <t>C:\02_CANTATA\COEM_April\_DataBase\FAW_L3_MainPath_HevX_Int\CNMSESPHevX\rb\as\fawesphevx\fawcore\app\dcom\RBAPLCust\src\ESP</t>
  </si>
  <si>
    <t>CNMSESPHevX\rb\as\fawesphevx\fawcore\app\dcom\RBAPLCust\src\common</t>
  </si>
  <si>
    <t>rb\as\fawesphevx\fawcore\app\dcom\RBAPLCust\src\iBooster</t>
  </si>
  <si>
    <t>CNMSESPHevX\rb\as\fawesphevx\fawcore\app\dcom\RBAPLOBD\src</t>
  </si>
  <si>
    <t>CNMSESPHevX\rb\as\fawesphevx\fawcore\app\dcom\Cubas\src\Dcm_CNMS</t>
  </si>
  <si>
    <t>rb\as\fawesphevx\fawcore\app\dcom\RBAPLCust\src\common</t>
  </si>
  <si>
    <t xml:space="preserve">rb\as\cnms_core\app\dsm\DemVar\src\            </t>
  </si>
  <si>
    <t xml:space="preserve">rb\as\cnms_core\app\dsm\RBVAR\src\             </t>
  </si>
  <si>
    <t xml:space="preserve">rb\as\gwm\cp\app\dsm\RBWarningIndicator\src\   </t>
  </si>
  <si>
    <t>rb\as\gwm\cp\app\dsm\RBHMI\src\</t>
  </si>
  <si>
    <t>rb\as\gwm\cp\app\dsm\RBVAR\BB80433\src\</t>
  </si>
  <si>
    <t>rb\as\gwm\cp\app\dsm\RBVAR\BB80431\src\</t>
  </si>
  <si>
    <t>rb\as\gwm\cp\app\dsm\RBVAR\BB81003\src\</t>
  </si>
  <si>
    <t xml:space="preserve">rb\as\gwm\cp\app\dsm\RBVAR\BB80433\src\        </t>
  </si>
  <si>
    <t xml:space="preserve">rb\as\gwm\cp\app\dsm\RBVAR\BB80431\src\        </t>
  </si>
  <si>
    <t xml:space="preserve">rb\as\gwm\cp\app\dsm\RBVAR\BB81003\src\        </t>
  </si>
  <si>
    <t>rb\as\gwm\cp\dsmpr\src\</t>
  </si>
  <si>
    <t>rb\as\saic51\core\app\dcom\RBAPLCust\src\common\</t>
  </si>
  <si>
    <t>\RBAPLCust\src\IPB\</t>
  </si>
  <si>
    <t>rb\as\venucia\project\app\dsm\RBVAR\src\</t>
  </si>
  <si>
    <t>C:\02_CANTATA\COEM_April\_DataBase\SGMW_ABS93_MS_Stable\RB_SGMW_ABS93\rb\as\sgmw\abs93\app\tpms_sri\src</t>
  </si>
  <si>
    <t>rba\as\Bldr\HWRef\comps\ApplicationLayer\rba_BldrCmp\src</t>
  </si>
  <si>
    <t>C:\02_CANTATA\COEM_April\_DataBase\SGMW_ABS93_MS_Stable\RB_SGMW_ABS93\rba\BldrCmp\src</t>
  </si>
  <si>
    <t>MainstreamF30\rb\as\sgmw\core\app\dcom\RBAPLCust\src\common\</t>
  </si>
  <si>
    <t>C:\02_CANTATA\COEM_April\_DataBase\SGMW_ABS93_MS_Stable\RB_SGMW_ABS93\rba\as\Bldr\HWRef\comps\ApplicationLayer\rba_BldrCmp\src</t>
  </si>
  <si>
    <t>rba\BldrCmp\src</t>
  </si>
  <si>
    <t>rb\as\nio\core\app\net\RBScl\src\</t>
  </si>
  <si>
    <t>rb\as\sgmw\CN210S\app\net\RBScl\RBScl_SGMW\src\</t>
  </si>
  <si>
    <t>rb\as\ca\CpiwAPB\dsmpr\src\RBHMI\src\</t>
  </si>
  <si>
    <t>rb\as\core\app\asw\psc\src\</t>
  </si>
  <si>
    <t>rb\as\core\app\asw\mli\src\</t>
  </si>
  <si>
    <t>iBoosterGen2\rba\Bldr\config\ApplicationLayer\rba_BldrCmp\src\</t>
  </si>
  <si>
    <t>rb\as\faw\prj\dsmpr\src\</t>
  </si>
  <si>
    <t>rb\as\faw\prj\dsmpr\src\RBEMM\src\</t>
  </si>
  <si>
    <t>rb\as\fawesphevx\fawprj\dsmpr\src\RBEMM\</t>
  </si>
  <si>
    <t>rb\as\fawesphevx\fawprj\dsmpr\src\</t>
  </si>
  <si>
    <t>rb\as\cnms_core\app\dcom\RBAPLCust\src\common\</t>
  </si>
  <si>
    <t>rb\as\venucia\core\app\dcom\RBAPLCust\src\SID22\CANSupportMonitor\</t>
  </si>
  <si>
    <t>rb\as\venucia\core\app\dcom\RBAPLCust\src\SID22\DataMonitor\</t>
  </si>
  <si>
    <t>\Psw\DNC\DNC09_BB99524\NET09_BB99524\NET09_GEN_BB92121\SRC</t>
  </si>
  <si>
    <t>\Psw\DNC\DNC09_BB99524\NET09_BB99524\NET09_NIS9_ABS\SRC</t>
  </si>
  <si>
    <t>rb\as\cnms_core\app\net\scl\Controllers\RBC\src\</t>
  </si>
  <si>
    <t>rb\as\faw\fawcore\app\dcom\RBAPLCust\src\</t>
  </si>
  <si>
    <t>rb\as\sgmw\CN210S\app\tpms\src\</t>
  </si>
  <si>
    <t>rb\as\gwm\core\app\dsm\RBVAR\BB80432\src\</t>
  </si>
  <si>
    <t xml:space="preserve">rb\as\gwm\core\app\dsm\RBVAR\BB80432\src\ </t>
  </si>
  <si>
    <t>rb\as\gwm\core\app\dsm\RBVAR\BB81558\src\</t>
  </si>
  <si>
    <t xml:space="preserve">rb\as\gwm\core\app\dsm\RBHMI\src\        </t>
  </si>
  <si>
    <t xml:space="preserve">rb\as\gwm\core\app\dsm\RBHMI\src\     </t>
  </si>
  <si>
    <t>rb\as\gwm\hp\dsmpr\src</t>
  </si>
  <si>
    <t>rb\as\gwm\core\app\net\RbNetPrj\RBNet_Can\src</t>
  </si>
  <si>
    <t>rb\as\gwm\core\app\net\RBScl\src</t>
  </si>
  <si>
    <t>rb\as\gwm\core\app\net</t>
  </si>
  <si>
    <t>rb\as\gwm\core\app\net\SclCallout\src</t>
  </si>
  <si>
    <t>rb\as\gwm\core\app\net\SpecialStrategy\src</t>
  </si>
  <si>
    <t>\rb\as\gwm\core\app\net\SclCallout\src</t>
  </si>
  <si>
    <t>rb\as\core\hwp\cubas\Diagnosis\src\DemVar\src</t>
  </si>
  <si>
    <t>rb\as\gaig\A10\app\dsm\RBVAR\src</t>
  </si>
  <si>
    <t>rb\as\gaig\A10\app\dsm\RBVoltageHandler\src</t>
  </si>
  <si>
    <t>rb\as\twp\core\app\dcom\rbaplcust</t>
  </si>
  <si>
    <t>rb\as\byd\core\app\dcom\RBAPLCust\src\common</t>
  </si>
  <si>
    <t>rb\as\byd\core\app\dcom\RBAPLCust\src\ESP</t>
  </si>
  <si>
    <t>rb\as\byd\core\app\dcom\RBAPLCust\src\iBooster</t>
  </si>
  <si>
    <t>rba_BldrCmp_36TransferData.c</t>
  </si>
  <si>
    <t>Geely_Beryllium2_OBD_China6_Int.zip</t>
  </si>
  <si>
    <t>Geely_Beryllium2_Int.zip</t>
  </si>
  <si>
    <t>-rb\as\twp\core\app\dcom\RBAPLCust\src\SMC_MC</t>
  </si>
  <si>
    <t xml:space="preserve">-can’t cover for MCDC of condition at #line123 as bellow picture, because when pumpctrlstate equal 0xFF, pumpflag will change value. So it will affect for MCDC of pumpflag instead of pumpctrlstate.
- 'Issue of cantata display not correct MCDC. </t>
  </si>
  <si>
    <t>-'Issue of cantata display not correct MCDC. 
-can’t cover for case default of swith(dataIn1), because it out of range.</t>
  </si>
  <si>
    <t>\rb\as\twp\global\cus\hhcoff\src</t>
  </si>
  <si>
    <t>rb\as\twp\global\cus\modes\src</t>
  </si>
  <si>
    <t>\rb\as\twp\global\cus\variant\src</t>
  </si>
  <si>
    <t>CM_APB_hevX_BB80426</t>
  </si>
  <si>
    <t>-Cannot cover false case of decision if (0x00 == NRC_u8) at line #119, because the value of NRC_u8 is set to 0x00 at line 65.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</si>
</sst>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\-mmm\-yyyy;@"/>
  </numFmts>
  <fonts count="46" x14ac:knownFonts="1"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0"/>
      <color rgb="FF9C6500"/>
      <name val="Arial"/>
      <family val="2"/>
    </font>
    <font>
      <sz val="10"/>
      <color rgb="FF006100"/>
      <name val="Arial"/>
      <family val="2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rgb="FF006100"/>
      <name val="Arial"/>
      <family val="2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9C0006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0"/>
      <color rgb="FF9C6500"/>
      <name val="Arial"/>
      <family val="2"/>
    </font>
    <font>
      <sz val="11"/>
      <name val="Calibri"/>
      <family val="2"/>
      <scheme val="minor"/>
    </font>
    <font>
      <sz val="10"/>
      <color rgb="FF9C0006"/>
      <name val="Arial"/>
      <family val="2"/>
    </font>
    <font>
      <sz val="10"/>
      <color rgb="FF006100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Bosch Office Sans"/>
    </font>
    <font>
      <sz val="10"/>
      <color rgb="FFFFBB00"/>
      <name val="Consolas"/>
      <family val="3"/>
    </font>
    <font>
      <sz val="10"/>
      <color rgb="FF009A00"/>
      <name val="Consolas"/>
      <family val="3"/>
    </font>
    <font>
      <sz val="12"/>
      <color theme="1"/>
      <name val="Times New Roman"/>
      <family val="1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name val="Calibri"/>
      <scheme val="minor"/>
    </font>
    <font>
      <sz val="10"/>
      <color rgb="FF9C0006"/>
      <name val="Arial"/>
    </font>
    <font>
      <sz val="11"/>
      <color theme="1"/>
      <name val="Calibri"/>
      <scheme val="minor"/>
    </font>
  </fonts>
  <fills count="3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C6EFCE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C7CE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0000"/>
      </patternFill>
    </fill>
    <fill>
      <patternFill patternType="solid">
        <fgColor rgb="FFFFC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 tint="0.3999755851924192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7" fillId="14" borderId="0" applyNumberFormat="0" applyBorder="0" applyAlignment="0" applyProtection="0"/>
  </cellStyleXfs>
  <cellXfs count="233">
    <xf numFmtId="0" fontId="0" fillId="0" borderId="0" xfId="0"/>
    <xf numFmtId="0" fontId="2" fillId="0" borderId="0" xfId="0" applyFont="1"/>
    <xf numFmtId="0" fontId="2" fillId="0" borderId="1" xfId="0" applyFont="1" applyBorder="1"/>
    <xf numFmtId="0" fontId="0" fillId="0" borderId="1" xfId="0" applyBorder="1"/>
    <xf numFmtId="0" fontId="2" fillId="0" borderId="1" xfId="0" applyFont="1" applyFill="1" applyBorder="1"/>
    <xf numFmtId="0" fontId="0" fillId="0" borderId="0" xfId="0" applyBorder="1"/>
    <xf numFmtId="10" fontId="0" fillId="0" borderId="1" xfId="0" applyNumberFormat="1" applyBorder="1"/>
    <xf numFmtId="0" fontId="0" fillId="0" borderId="1" xfId="0" applyFill="1" applyBorder="1" applyAlignment="1">
      <alignment horizontal="left" vertical="center"/>
    </xf>
    <xf numFmtId="14" fontId="0" fillId="0" borderId="0" xfId="0" applyNumberFormat="1"/>
    <xf numFmtId="0" fontId="0" fillId="0" borderId="0" xfId="0" applyNumberFormat="1"/>
    <xf numFmtId="0" fontId="0" fillId="0" borderId="1" xfId="0" applyFill="1" applyBorder="1" applyAlignment="1">
      <alignment horizontal="right" vertical="center"/>
    </xf>
    <xf numFmtId="0" fontId="0" fillId="0" borderId="1" xfId="0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3" fillId="0" borderId="0" xfId="0" applyFont="1"/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 applyAlignment="1">
      <alignment horizontal="center" vertical="center" wrapText="1"/>
    </xf>
    <xf numFmtId="0" fontId="0" fillId="0" borderId="1" xfId="0" applyBorder="1" applyAlignment="1">
      <alignment vertical="center" wrapText="1"/>
    </xf>
    <xf numFmtId="0" fontId="5" fillId="0" borderId="0" xfId="0" applyNumberFormat="1" applyFont="1" applyFill="1" applyBorder="1" applyAlignment="1" applyProtection="1"/>
    <xf numFmtId="0" fontId="4" fillId="0" borderId="0" xfId="0" applyFont="1" applyFill="1"/>
    <xf numFmtId="0" fontId="6" fillId="0" borderId="1" xfId="0" applyFont="1" applyFill="1" applyBorder="1" applyAlignment="1">
      <alignment horizontal="left" vertical="top"/>
    </xf>
    <xf numFmtId="164" fontId="6" fillId="0" borderId="1" xfId="0" applyNumberFormat="1" applyFont="1" applyFill="1" applyBorder="1" applyAlignment="1">
      <alignment horizontal="left" vertical="top"/>
    </xf>
    <xf numFmtId="0" fontId="6" fillId="0" borderId="1" xfId="0" applyFont="1" applyBorder="1" applyAlignment="1">
      <alignment horizontal="left" vertical="top"/>
    </xf>
    <xf numFmtId="0" fontId="0" fillId="0" borderId="1" xfId="0" applyFon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/>
    </xf>
    <xf numFmtId="0" fontId="0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/>
    </xf>
    <xf numFmtId="164" fontId="0" fillId="0" borderId="1" xfId="0" applyNumberFormat="1" applyFont="1" applyBorder="1" applyAlignment="1">
      <alignment horizontal="left" vertical="top"/>
    </xf>
    <xf numFmtId="0" fontId="6" fillId="3" borderId="1" xfId="0" applyNumberFormat="1" applyFont="1" applyFill="1" applyBorder="1" applyAlignment="1" applyProtection="1">
      <alignment horizontal="left" vertical="top"/>
    </xf>
    <xf numFmtId="0" fontId="6" fillId="3" borderId="1" xfId="0" applyFont="1" applyFill="1" applyBorder="1" applyAlignment="1">
      <alignment horizontal="left" vertical="top"/>
    </xf>
    <xf numFmtId="14" fontId="0" fillId="0" borderId="1" xfId="0" applyNumberFormat="1" applyFont="1" applyBorder="1" applyAlignment="1">
      <alignment horizontal="left" vertical="top"/>
    </xf>
    <xf numFmtId="0" fontId="6" fillId="0" borderId="1" xfId="0" applyNumberFormat="1" applyFont="1" applyFill="1" applyBorder="1" applyAlignment="1" applyProtection="1">
      <alignment horizontal="left" vertical="top"/>
    </xf>
    <xf numFmtId="0" fontId="6" fillId="0" borderId="0" xfId="0" applyNumberFormat="1" applyFont="1" applyFill="1" applyBorder="1" applyAlignment="1" applyProtection="1">
      <alignment horizontal="left" vertical="top"/>
    </xf>
    <xf numFmtId="0" fontId="6" fillId="0" borderId="1" xfId="0" quotePrefix="1" applyFont="1" applyFill="1" applyBorder="1" applyAlignment="1">
      <alignment horizontal="left" vertical="top"/>
    </xf>
    <xf numFmtId="0" fontId="0" fillId="0" borderId="1" xfId="0" applyFont="1" applyBorder="1" applyAlignment="1">
      <alignment horizontal="left" vertical="top" wrapText="1"/>
    </xf>
    <xf numFmtId="0" fontId="6" fillId="0" borderId="1" xfId="0" quotePrefix="1" applyNumberFormat="1" applyFont="1" applyFill="1" applyBorder="1" applyAlignment="1" applyProtection="1">
      <alignment horizontal="left" vertical="top"/>
    </xf>
    <xf numFmtId="164" fontId="8" fillId="4" borderId="1" xfId="0" applyNumberFormat="1" applyFont="1" applyFill="1" applyBorder="1" applyAlignment="1">
      <alignment horizontal="left" vertical="top"/>
    </xf>
    <xf numFmtId="0" fontId="1" fillId="0" borderId="0" xfId="0" applyFont="1" applyAlignment="1">
      <alignment vertical="center"/>
    </xf>
    <xf numFmtId="0" fontId="1" fillId="0" borderId="0" xfId="0" quotePrefix="1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vertical="top"/>
    </xf>
    <xf numFmtId="0" fontId="0" fillId="0" borderId="1" xfId="0" applyBorder="1" applyAlignment="1">
      <alignment horizontal="left" vertical="top"/>
    </xf>
    <xf numFmtId="0" fontId="0" fillId="0" borderId="1" xfId="0" quotePrefix="1" applyBorder="1" applyAlignment="1">
      <alignment horizontal="left" vertical="top"/>
    </xf>
    <xf numFmtId="0" fontId="11" fillId="0" borderId="1" xfId="0" applyFont="1" applyBorder="1" applyAlignment="1">
      <alignment horizontal="left" vertical="top"/>
    </xf>
    <xf numFmtId="0" fontId="0" fillId="0" borderId="0" xfId="0" applyFill="1" applyBorder="1"/>
    <xf numFmtId="0" fontId="0" fillId="0" borderId="0" xfId="0" applyFill="1"/>
    <xf numFmtId="0" fontId="0" fillId="0" borderId="1" xfId="0" quotePrefix="1" applyFont="1" applyFill="1" applyBorder="1" applyAlignment="1">
      <alignment horizontal="left" vertical="top"/>
    </xf>
    <xf numFmtId="0" fontId="6" fillId="7" borderId="1" xfId="0" applyNumberFormat="1" applyFont="1" applyFill="1" applyBorder="1" applyAlignment="1" applyProtection="1">
      <alignment horizontal="left" vertical="top"/>
    </xf>
    <xf numFmtId="0" fontId="0" fillId="6" borderId="1" xfId="0" applyFont="1" applyFill="1" applyBorder="1" applyAlignment="1">
      <alignment horizontal="left" vertical="top"/>
    </xf>
    <xf numFmtId="0" fontId="6" fillId="2" borderId="1" xfId="0" applyNumberFormat="1" applyFont="1" applyFill="1" applyBorder="1" applyAlignment="1" applyProtection="1">
      <alignment horizontal="left" vertical="top"/>
    </xf>
    <xf numFmtId="0" fontId="6" fillId="8" borderId="1" xfId="0" applyNumberFormat="1" applyFont="1" applyFill="1" applyBorder="1" applyAlignment="1" applyProtection="1">
      <alignment horizontal="left" vertical="top"/>
    </xf>
    <xf numFmtId="0" fontId="13" fillId="0" borderId="1" xfId="0" applyFont="1" applyBorder="1" applyAlignment="1">
      <alignment horizontal="left" vertical="top"/>
    </xf>
    <xf numFmtId="0" fontId="14" fillId="0" borderId="1" xfId="0" applyFont="1" applyBorder="1" applyAlignment="1">
      <alignment horizontal="left" vertical="top"/>
    </xf>
    <xf numFmtId="0" fontId="0" fillId="0" borderId="1" xfId="0" applyBorder="1" applyAlignment="1">
      <alignment horizontal="left"/>
    </xf>
    <xf numFmtId="0" fontId="6" fillId="10" borderId="1" xfId="0" applyNumberFormat="1" applyFont="1" applyFill="1" applyBorder="1" applyAlignment="1" applyProtection="1">
      <alignment horizontal="left" vertical="top"/>
    </xf>
    <xf numFmtId="0" fontId="16" fillId="0" borderId="1" xfId="0" applyFont="1" applyFill="1" applyBorder="1" applyAlignment="1">
      <alignment horizontal="left" vertical="top"/>
    </xf>
    <xf numFmtId="0" fontId="16" fillId="0" borderId="1" xfId="0" applyFont="1" applyBorder="1" applyAlignment="1">
      <alignment horizontal="left" vertical="top"/>
    </xf>
    <xf numFmtId="0" fontId="15" fillId="0" borderId="1" xfId="0" applyFont="1" applyFill="1" applyBorder="1" applyAlignment="1">
      <alignment horizontal="left" vertical="top"/>
    </xf>
    <xf numFmtId="0" fontId="15" fillId="0" borderId="1" xfId="0" applyFont="1" applyBorder="1" applyAlignment="1">
      <alignment horizontal="left" vertical="top"/>
    </xf>
    <xf numFmtId="0" fontId="16" fillId="0" borderId="1" xfId="0" quotePrefix="1" applyFont="1" applyBorder="1" applyAlignment="1">
      <alignment horizontal="left" vertical="top"/>
    </xf>
    <xf numFmtId="0" fontId="0" fillId="0" borderId="1" xfId="0" applyFill="1" applyBorder="1" applyAlignment="1">
      <alignment horizontal="left" vertical="center"/>
    </xf>
    <xf numFmtId="0" fontId="6" fillId="11" borderId="1" xfId="0" applyNumberFormat="1" applyFont="1" applyFill="1" applyBorder="1" applyAlignment="1" applyProtection="1">
      <alignment horizontal="left" vertical="top"/>
    </xf>
    <xf numFmtId="0" fontId="0" fillId="11" borderId="1" xfId="0" applyFont="1" applyFill="1" applyBorder="1" applyAlignment="1">
      <alignment horizontal="left" vertical="top"/>
    </xf>
    <xf numFmtId="0" fontId="0" fillId="11" borderId="1" xfId="0" quotePrefix="1" applyFont="1" applyFill="1" applyBorder="1" applyAlignment="1">
      <alignment horizontal="left" vertical="top"/>
    </xf>
    <xf numFmtId="164" fontId="0" fillId="11" borderId="1" xfId="0" applyNumberFormat="1" applyFont="1" applyFill="1" applyBorder="1" applyAlignment="1">
      <alignment horizontal="left" vertical="top"/>
    </xf>
    <xf numFmtId="0" fontId="0" fillId="0" borderId="0" xfId="0" applyFill="1" applyBorder="1" applyAlignment="1">
      <alignment horizontal="left" vertical="center"/>
    </xf>
    <xf numFmtId="0" fontId="0" fillId="0" borderId="0" xfId="0" applyFill="1" applyBorder="1" applyAlignment="1">
      <alignment horizontal="center" vertical="center"/>
    </xf>
    <xf numFmtId="0" fontId="0" fillId="0" borderId="1" xfId="0" quotePrefix="1" applyFill="1" applyBorder="1" applyAlignment="1">
      <alignment horizontal="center" vertical="center"/>
    </xf>
    <xf numFmtId="0" fontId="6" fillId="6" borderId="1" xfId="0" applyNumberFormat="1" applyFont="1" applyFill="1" applyBorder="1" applyAlignment="1" applyProtection="1">
      <alignment horizontal="left" vertical="top"/>
    </xf>
    <xf numFmtId="0" fontId="6" fillId="12" borderId="1" xfId="0" applyNumberFormat="1" applyFont="1" applyFill="1" applyBorder="1" applyAlignment="1" applyProtection="1">
      <alignment horizontal="left" vertical="top"/>
    </xf>
    <xf numFmtId="164" fontId="0" fillId="9" borderId="1" xfId="0" applyNumberFormat="1" applyFont="1" applyFill="1" applyBorder="1" applyAlignment="1">
      <alignment horizontal="left" vertical="top"/>
    </xf>
    <xf numFmtId="0" fontId="6" fillId="13" borderId="1" xfId="0" applyNumberFormat="1" applyFont="1" applyFill="1" applyBorder="1" applyAlignment="1" applyProtection="1">
      <alignment horizontal="left" vertical="top"/>
    </xf>
    <xf numFmtId="14" fontId="17" fillId="14" borderId="1" xfId="0" applyNumberFormat="1" applyFont="1" applyFill="1" applyBorder="1" applyAlignment="1">
      <alignment horizontal="left" vertical="top"/>
    </xf>
    <xf numFmtId="0" fontId="11" fillId="0" borderId="1" xfId="0" applyFont="1" applyFill="1" applyBorder="1" applyAlignment="1">
      <alignment horizontal="left" vertical="top"/>
    </xf>
    <xf numFmtId="0" fontId="0" fillId="0" borderId="1" xfId="0" quotePrefix="1" applyFont="1" applyBorder="1" applyAlignment="1">
      <alignment horizontal="left" vertical="top" wrapText="1"/>
    </xf>
    <xf numFmtId="0" fontId="18" fillId="0" borderId="1" xfId="0" applyFont="1" applyFill="1" applyBorder="1" applyAlignment="1">
      <alignment horizontal="left" vertical="top"/>
    </xf>
    <xf numFmtId="0" fontId="18" fillId="0" borderId="0" xfId="0" applyFont="1" applyFill="1"/>
    <xf numFmtId="0" fontId="19" fillId="0" borderId="0" xfId="0" applyFont="1" applyFill="1"/>
    <xf numFmtId="0" fontId="19" fillId="0" borderId="1" xfId="0" applyFont="1" applyFill="1" applyBorder="1" applyAlignment="1">
      <alignment horizontal="left" vertical="top"/>
    </xf>
    <xf numFmtId="0" fontId="19" fillId="0" borderId="1" xfId="0" quotePrefix="1" applyFont="1" applyFill="1" applyBorder="1" applyAlignment="1">
      <alignment horizontal="left" vertical="top"/>
    </xf>
    <xf numFmtId="14" fontId="19" fillId="0" borderId="1" xfId="0" applyNumberFormat="1" applyFont="1" applyFill="1" applyBorder="1" applyAlignment="1">
      <alignment horizontal="left" vertical="top"/>
    </xf>
    <xf numFmtId="0" fontId="20" fillId="0" borderId="1" xfId="0" applyFont="1" applyFill="1" applyBorder="1" applyAlignment="1">
      <alignment horizontal="left" vertical="top"/>
    </xf>
    <xf numFmtId="0" fontId="18" fillId="6" borderId="1" xfId="0" applyFont="1" applyFill="1" applyBorder="1" applyAlignment="1">
      <alignment horizontal="left" vertical="top"/>
    </xf>
    <xf numFmtId="0" fontId="21" fillId="10" borderId="1" xfId="0" applyNumberFormat="1" applyFont="1" applyFill="1" applyBorder="1" applyAlignment="1" applyProtection="1">
      <alignment horizontal="left" vertical="top"/>
    </xf>
    <xf numFmtId="0" fontId="21" fillId="6" borderId="1" xfId="0" applyNumberFormat="1" applyFont="1" applyFill="1" applyBorder="1" applyAlignment="1" applyProtection="1">
      <alignment horizontal="left" vertical="top"/>
    </xf>
    <xf numFmtId="0" fontId="18" fillId="3" borderId="1" xfId="0" applyFont="1" applyFill="1" applyBorder="1" applyAlignment="1">
      <alignment horizontal="left" vertical="top"/>
    </xf>
    <xf numFmtId="164" fontId="0" fillId="0" borderId="1" xfId="0" applyNumberFormat="1" applyFont="1" applyFill="1" applyBorder="1" applyAlignment="1">
      <alignment horizontal="left" vertical="top"/>
    </xf>
    <xf numFmtId="0" fontId="22" fillId="0" borderId="1" xfId="0" applyFont="1" applyBorder="1" applyAlignment="1">
      <alignment horizontal="left" vertical="top"/>
    </xf>
    <xf numFmtId="0" fontId="15" fillId="0" borderId="0" xfId="0" applyFont="1"/>
    <xf numFmtId="0" fontId="23" fillId="0" borderId="1" xfId="0" applyFont="1" applyBorder="1" applyAlignment="1">
      <alignment horizontal="left" vertical="top"/>
    </xf>
    <xf numFmtId="164" fontId="24" fillId="0" borderId="1" xfId="0" applyNumberFormat="1" applyFont="1" applyFill="1" applyBorder="1" applyAlignment="1">
      <alignment horizontal="left" vertical="top"/>
    </xf>
    <xf numFmtId="164" fontId="6" fillId="0" borderId="1" xfId="0" applyNumberFormat="1" applyFont="1" applyFill="1" applyBorder="1" applyAlignment="1" applyProtection="1">
      <alignment horizontal="left" vertical="top"/>
    </xf>
    <xf numFmtId="0" fontId="24" fillId="0" borderId="1" xfId="0" applyFont="1" applyFill="1" applyBorder="1" applyAlignment="1">
      <alignment horizontal="left" vertical="top"/>
    </xf>
    <xf numFmtId="0" fontId="24" fillId="0" borderId="0" xfId="0" applyNumberFormat="1" applyFont="1" applyFill="1" applyBorder="1" applyAlignment="1" applyProtection="1"/>
    <xf numFmtId="0" fontId="23" fillId="13" borderId="1" xfId="0" applyNumberFormat="1" applyFont="1" applyFill="1" applyBorder="1" applyAlignment="1" applyProtection="1">
      <alignment horizontal="left"/>
    </xf>
    <xf numFmtId="0" fontId="24" fillId="0" borderId="1" xfId="0" applyNumberFormat="1" applyFont="1" applyFill="1" applyBorder="1" applyAlignment="1" applyProtection="1">
      <alignment horizontal="left"/>
    </xf>
    <xf numFmtId="0" fontId="24" fillId="0" borderId="1" xfId="0" quotePrefix="1" applyNumberFormat="1" applyFont="1" applyFill="1" applyBorder="1" applyAlignment="1" applyProtection="1">
      <alignment horizontal="left"/>
    </xf>
    <xf numFmtId="0" fontId="24" fillId="6" borderId="1" xfId="0" applyNumberFormat="1" applyFont="1" applyFill="1" applyBorder="1" applyAlignment="1" applyProtection="1">
      <alignment horizontal="left"/>
    </xf>
    <xf numFmtId="0" fontId="0" fillId="0" borderId="1" xfId="0" applyNumberFormat="1" applyFont="1" applyBorder="1" applyAlignment="1">
      <alignment horizontal="left" vertical="top"/>
    </xf>
    <xf numFmtId="164" fontId="24" fillId="0" borderId="1" xfId="0" applyNumberFormat="1" applyFont="1" applyFill="1" applyBorder="1" applyAlignment="1" applyProtection="1">
      <alignment horizontal="left"/>
    </xf>
    <xf numFmtId="0" fontId="24" fillId="0" borderId="1" xfId="0" applyFont="1" applyBorder="1" applyAlignment="1">
      <alignment horizontal="left" vertical="top"/>
    </xf>
    <xf numFmtId="0" fontId="24" fillId="3" borderId="1" xfId="0" applyNumberFormat="1" applyFont="1" applyFill="1" applyBorder="1" applyAlignment="1" applyProtection="1">
      <alignment horizontal="left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0" xfId="0" applyFont="1"/>
    <xf numFmtId="0" fontId="6" fillId="15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17" fillId="14" borderId="1" xfId="1" applyBorder="1"/>
    <xf numFmtId="0" fontId="0" fillId="0" borderId="0" xfId="0" quotePrefix="1"/>
    <xf numFmtId="164" fontId="0" fillId="0" borderId="0" xfId="0" applyNumberFormat="1"/>
    <xf numFmtId="0" fontId="0" fillId="16" borderId="2" xfId="0" quotePrefix="1" applyFill="1" applyBorder="1" applyAlignment="1">
      <alignment vertical="center"/>
    </xf>
    <xf numFmtId="0" fontId="0" fillId="16" borderId="3" xfId="0" applyFill="1" applyBorder="1" applyAlignment="1">
      <alignment vertical="center"/>
    </xf>
    <xf numFmtId="0" fontId="0" fillId="16" borderId="4" xfId="0" applyFill="1" applyBorder="1" applyAlignment="1">
      <alignment vertical="center"/>
    </xf>
    <xf numFmtId="10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NumberFormat="1" applyFont="1" applyFill="1" applyBorder="1" applyAlignment="1" applyProtection="1"/>
    <xf numFmtId="0" fontId="6" fillId="17" borderId="1" xfId="0" applyNumberFormat="1" applyFont="1" applyFill="1" applyBorder="1" applyAlignment="1" applyProtection="1">
      <alignment horizontal="left" vertical="top"/>
    </xf>
    <xf numFmtId="164" fontId="25" fillId="0" borderId="1" xfId="0" applyNumberFormat="1" applyFont="1" applyFill="1" applyBorder="1" applyAlignment="1" applyProtection="1">
      <alignment horizontal="left"/>
    </xf>
    <xf numFmtId="164" fontId="25" fillId="0" borderId="1" xfId="0" applyNumberFormat="1" applyFont="1" applyBorder="1" applyAlignment="1">
      <alignment horizontal="left" vertical="top"/>
    </xf>
    <xf numFmtId="0" fontId="25" fillId="0" borderId="1" xfId="0" applyFont="1" applyBorder="1" applyAlignment="1">
      <alignment horizontal="left" vertical="top"/>
    </xf>
    <xf numFmtId="164" fontId="0" fillId="0" borderId="1" xfId="0" applyNumberFormat="1" applyBorder="1" applyAlignment="1">
      <alignment horizontal="left" vertical="top"/>
    </xf>
    <xf numFmtId="0" fontId="0" fillId="3" borderId="1" xfId="0" applyFont="1" applyFill="1" applyBorder="1" applyAlignment="1">
      <alignment horizontal="left" vertical="top" wrapText="1"/>
    </xf>
    <xf numFmtId="0" fontId="0" fillId="0" borderId="0" xfId="0" applyFont="1" applyBorder="1" applyAlignment="1">
      <alignment horizontal="left" vertical="top"/>
    </xf>
    <xf numFmtId="0" fontId="0" fillId="0" borderId="0" xfId="0" quotePrefix="1" applyFont="1" applyBorder="1" applyAlignment="1">
      <alignment horizontal="left" vertical="top"/>
    </xf>
    <xf numFmtId="0" fontId="0" fillId="0" borderId="0" xfId="0" applyFont="1" applyFill="1" applyBorder="1" applyAlignment="1">
      <alignment horizontal="left" vertical="top"/>
    </xf>
    <xf numFmtId="14" fontId="0" fillId="0" borderId="0" xfId="0" applyNumberFormat="1" applyFont="1" applyBorder="1" applyAlignment="1">
      <alignment horizontal="left" vertical="top"/>
    </xf>
    <xf numFmtId="0" fontId="0" fillId="0" borderId="4" xfId="0" applyFont="1" applyBorder="1" applyAlignment="1">
      <alignment horizontal="left" vertical="top"/>
    </xf>
    <xf numFmtId="0" fontId="26" fillId="0" borderId="1" xfId="0" applyFont="1" applyBorder="1" applyAlignment="1">
      <alignment horizontal="left" vertical="center"/>
    </xf>
    <xf numFmtId="0" fontId="26" fillId="0" borderId="1" xfId="0" applyFont="1" applyBorder="1" applyAlignment="1">
      <alignment horizontal="left"/>
    </xf>
    <xf numFmtId="0" fontId="6" fillId="18" borderId="1" xfId="0" applyNumberFormat="1" applyFont="1" applyFill="1" applyBorder="1" applyAlignment="1" applyProtection="1">
      <alignment horizontal="left" vertical="top"/>
    </xf>
    <xf numFmtId="0" fontId="6" fillId="19" borderId="1" xfId="0" applyNumberFormat="1" applyFont="1" applyFill="1" applyBorder="1" applyAlignment="1" applyProtection="1">
      <alignment horizontal="left" vertical="top"/>
    </xf>
    <xf numFmtId="0" fontId="0" fillId="0" borderId="1" xfId="0" quotePrefix="1" applyFill="1" applyBorder="1" applyAlignment="1">
      <alignment horizontal="left" vertical="top"/>
    </xf>
    <xf numFmtId="0" fontId="27" fillId="0" borderId="1" xfId="0" applyFont="1" applyBorder="1" applyAlignment="1">
      <alignment horizontal="left" vertical="top"/>
    </xf>
    <xf numFmtId="0" fontId="6" fillId="20" borderId="1" xfId="0" applyNumberFormat="1" applyFont="1" applyFill="1" applyBorder="1" applyAlignment="1" applyProtection="1">
      <alignment horizontal="left" vertical="top"/>
    </xf>
    <xf numFmtId="0" fontId="6" fillId="5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0" fillId="0" borderId="1" xfId="0" applyNumberFormat="1" applyFont="1" applyBorder="1" applyAlignment="1">
      <alignment horizontal="left" vertical="top"/>
    </xf>
    <xf numFmtId="0" fontId="2" fillId="0" borderId="1" xfId="0" applyFont="1" applyBorder="1" applyAlignment="1">
      <alignment horizontal="left"/>
    </xf>
    <xf numFmtId="0" fontId="0" fillId="0" borderId="0" xfId="0" applyBorder="1" applyAlignment="1">
      <alignment horizontal="left"/>
    </xf>
    <xf numFmtId="0" fontId="0" fillId="0" borderId="0" xfId="0" applyAlignment="1">
      <alignment horizontal="left"/>
    </xf>
    <xf numFmtId="164" fontId="0" fillId="0" borderId="1" xfId="0" applyNumberFormat="1" applyFill="1" applyBorder="1" applyAlignment="1">
      <alignment horizontal="left" vertical="top"/>
    </xf>
    <xf numFmtId="0" fontId="6" fillId="21" borderId="1" xfId="0" applyNumberFormat="1" applyFont="1" applyFill="1" applyBorder="1" applyAlignment="1" applyProtection="1">
      <alignment horizontal="left" vertical="top"/>
    </xf>
    <xf numFmtId="0" fontId="0" fillId="0" borderId="1" xfId="0" quotePrefix="1" applyBorder="1"/>
    <xf numFmtId="0" fontId="2" fillId="2" borderId="1" xfId="0" applyFont="1" applyFill="1" applyBorder="1" applyAlignment="1">
      <alignment horizontal="center" vertical="center"/>
    </xf>
    <xf numFmtId="0" fontId="28" fillId="0" borderId="0" xfId="0" applyFont="1" applyBorder="1"/>
    <xf numFmtId="164" fontId="29" fillId="0" borderId="1" xfId="0" applyNumberFormat="1" applyFont="1" applyBorder="1" applyAlignment="1">
      <alignment horizontal="left" vertical="top"/>
    </xf>
    <xf numFmtId="0" fontId="0" fillId="0" borderId="1" xfId="0" quotePrefix="1" applyBorder="1" applyAlignment="1">
      <alignment horizontal="left"/>
    </xf>
    <xf numFmtId="0" fontId="0" fillId="0" borderId="1" xfId="0" applyNumberFormat="1" applyFont="1" applyFill="1" applyBorder="1" applyAlignment="1" applyProtection="1">
      <alignment horizontal="left"/>
    </xf>
    <xf numFmtId="164" fontId="6" fillId="0" borderId="1" xfId="0" applyNumberFormat="1" applyFont="1" applyBorder="1" applyAlignment="1">
      <alignment horizontal="left" vertical="top"/>
    </xf>
    <xf numFmtId="0" fontId="7" fillId="0" borderId="0" xfId="0" applyFont="1" applyBorder="1"/>
    <xf numFmtId="0" fontId="19" fillId="22" borderId="1" xfId="0" applyFont="1" applyFill="1" applyBorder="1" applyAlignment="1">
      <alignment horizontal="left" vertical="top"/>
    </xf>
    <xf numFmtId="0" fontId="0" fillId="23" borderId="1" xfId="0" quotePrefix="1" applyFont="1" applyFill="1" applyBorder="1" applyAlignment="1">
      <alignment horizontal="left" vertical="top" wrapText="1"/>
    </xf>
    <xf numFmtId="0" fontId="6" fillId="0" borderId="1" xfId="0" applyNumberFormat="1" applyFont="1" applyBorder="1" applyAlignment="1">
      <alignment horizontal="left" vertical="top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24" borderId="1" xfId="0" applyNumberFormat="1" applyFont="1" applyFill="1" applyBorder="1" applyAlignment="1" applyProtection="1">
      <alignment horizontal="left" vertical="top"/>
    </xf>
    <xf numFmtId="0" fontId="30" fillId="25" borderId="1" xfId="0" quotePrefix="1" applyFont="1" applyFill="1" applyBorder="1" applyAlignment="1">
      <alignment horizontal="left" vertical="top"/>
    </xf>
    <xf numFmtId="0" fontId="31" fillId="0" borderId="1" xfId="0" applyNumberFormat="1" applyFont="1" applyBorder="1" applyAlignment="1">
      <alignment horizontal="left" vertical="top"/>
    </xf>
    <xf numFmtId="0" fontId="31" fillId="0" borderId="1" xfId="0" applyFont="1" applyBorder="1" applyAlignment="1">
      <alignment horizontal="left" vertical="top"/>
    </xf>
    <xf numFmtId="0" fontId="0" fillId="24" borderId="1" xfId="0" quotePrefix="1" applyFill="1" applyBorder="1"/>
    <xf numFmtId="10" fontId="32" fillId="14" borderId="1" xfId="0" applyNumberFormat="1" applyFont="1" applyFill="1" applyBorder="1" applyAlignment="1">
      <alignment horizontal="center" vertical="center"/>
    </xf>
    <xf numFmtId="10" fontId="33" fillId="4" borderId="1" xfId="0" applyNumberFormat="1" applyFont="1" applyFill="1" applyBorder="1" applyAlignment="1">
      <alignment horizontal="center" vertical="center"/>
    </xf>
    <xf numFmtId="0" fontId="6" fillId="23" borderId="1" xfId="0" applyNumberFormat="1" applyFont="1" applyFill="1" applyBorder="1" applyAlignment="1" applyProtection="1">
      <alignment horizontal="left" vertical="top"/>
    </xf>
    <xf numFmtId="0" fontId="0" fillId="19" borderId="1" xfId="0" quotePrefix="1" applyFill="1" applyBorder="1"/>
    <xf numFmtId="0" fontId="6" fillId="26" borderId="1" xfId="0" applyNumberFormat="1" applyFont="1" applyFill="1" applyBorder="1" applyAlignment="1" applyProtection="1">
      <alignment horizontal="left" vertical="top"/>
    </xf>
    <xf numFmtId="0" fontId="6" fillId="27" borderId="1" xfId="0" applyNumberFormat="1" applyFont="1" applyFill="1" applyBorder="1" applyAlignment="1" applyProtection="1">
      <alignment horizontal="left" vertical="top"/>
    </xf>
    <xf numFmtId="14" fontId="34" fillId="0" borderId="1" xfId="0" applyNumberFormat="1" applyFont="1" applyBorder="1" applyAlignment="1">
      <alignment horizontal="left" vertical="top"/>
    </xf>
    <xf numFmtId="14" fontId="6" fillId="0" borderId="1" xfId="0" applyNumberFormat="1" applyFont="1" applyBorder="1" applyAlignment="1">
      <alignment horizontal="left" vertical="top"/>
    </xf>
    <xf numFmtId="0" fontId="31" fillId="0" borderId="1" xfId="0" applyNumberFormat="1" applyFont="1" applyFill="1" applyBorder="1" applyAlignment="1" applyProtection="1">
      <alignment horizontal="left" vertical="top"/>
    </xf>
    <xf numFmtId="0" fontId="34" fillId="0" borderId="1" xfId="0" quotePrefix="1" applyFont="1" applyBorder="1" applyAlignment="1">
      <alignment horizontal="left" vertical="top"/>
    </xf>
    <xf numFmtId="0" fontId="0" fillId="0" borderId="0" xfId="0" quotePrefix="1" applyBorder="1" applyAlignment="1"/>
    <xf numFmtId="0" fontId="34" fillId="0" borderId="0" xfId="0" applyFont="1" applyBorder="1"/>
    <xf numFmtId="0" fontId="2" fillId="3" borderId="1" xfId="0" applyFont="1" applyFill="1" applyBorder="1" applyAlignment="1">
      <alignment horizontal="left" vertical="top"/>
    </xf>
    <xf numFmtId="0" fontId="35" fillId="0" borderId="0" xfId="0" applyFont="1" applyAlignment="1">
      <alignment horizontal="center" vertical="center"/>
    </xf>
    <xf numFmtId="0" fontId="0" fillId="3" borderId="1" xfId="0" applyNumberFormat="1" applyFont="1" applyFill="1" applyBorder="1" applyAlignment="1" applyProtection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 vertical="top"/>
    </xf>
    <xf numFmtId="0" fontId="0" fillId="2" borderId="1" xfId="0" applyFont="1" applyFill="1" applyBorder="1" applyAlignment="1">
      <alignment horizontal="left" vertical="top"/>
    </xf>
    <xf numFmtId="0" fontId="6" fillId="28" borderId="1" xfId="0" applyNumberFormat="1" applyFont="1" applyFill="1" applyBorder="1" applyAlignment="1" applyProtection="1">
      <alignment horizontal="left" vertical="top"/>
    </xf>
    <xf numFmtId="0" fontId="38" fillId="0" borderId="0" xfId="0" applyFont="1" applyAlignment="1">
      <alignment vertical="center"/>
    </xf>
    <xf numFmtId="0" fontId="0" fillId="0" borderId="1" xfId="0" applyNumberFormat="1" applyFont="1" applyFill="1" applyBorder="1" applyAlignment="1" applyProtection="1">
      <alignment horizontal="left" vertical="top"/>
    </xf>
    <xf numFmtId="0" fontId="0" fillId="3" borderId="1" xfId="0" quotePrefix="1" applyFill="1" applyBorder="1" applyAlignment="1">
      <alignment horizontal="left"/>
    </xf>
    <xf numFmtId="0" fontId="0" fillId="3" borderId="1" xfId="0" quotePrefix="1" applyFill="1" applyBorder="1" applyAlignment="1">
      <alignment horizontal="left" vertical="top"/>
    </xf>
    <xf numFmtId="0" fontId="0" fillId="0" borderId="1" xfId="0" quotePrefix="1" applyBorder="1" applyAlignment="1">
      <alignment horizontal="left" vertical="top" wrapText="1"/>
    </xf>
    <xf numFmtId="0" fontId="0" fillId="0" borderId="0" xfId="0" applyBorder="1" applyAlignment="1"/>
    <xf numFmtId="0" fontId="0" fillId="0" borderId="0" xfId="0" applyFont="1" applyBorder="1"/>
    <xf numFmtId="0" fontId="39" fillId="0" borderId="1" xfId="0" applyNumberFormat="1" applyFont="1" applyBorder="1" applyAlignment="1">
      <alignment horizontal="left" vertical="top"/>
    </xf>
    <xf numFmtId="0" fontId="39" fillId="0" borderId="1" xfId="0" applyFont="1" applyBorder="1" applyAlignment="1">
      <alignment horizontal="left" vertical="top"/>
    </xf>
    <xf numFmtId="0" fontId="40" fillId="3" borderId="1" xfId="0" applyFont="1" applyFill="1" applyBorder="1" applyAlignment="1">
      <alignment horizontal="left" vertical="top"/>
    </xf>
    <xf numFmtId="0" fontId="6" fillId="3" borderId="1" xfId="0" applyFont="1" applyFill="1" applyBorder="1" applyAlignment="1">
      <alignment horizontal="left"/>
    </xf>
    <xf numFmtId="0" fontId="0" fillId="0" borderId="1" xfId="0" applyNumberFormat="1" applyBorder="1"/>
    <xf numFmtId="14" fontId="0" fillId="0" borderId="1" xfId="0" applyNumberFormat="1" applyBorder="1"/>
    <xf numFmtId="14" fontId="40" fillId="0" borderId="1" xfId="0" applyNumberFormat="1" applyFont="1" applyBorder="1" applyAlignment="1">
      <alignment horizontal="left" vertical="top"/>
    </xf>
    <xf numFmtId="0" fontId="40" fillId="0" borderId="1" xfId="0" applyFont="1" applyBorder="1" applyAlignment="1">
      <alignment horizontal="left" vertical="top"/>
    </xf>
    <xf numFmtId="0" fontId="6" fillId="29" borderId="1" xfId="0" applyNumberFormat="1" applyFont="1" applyFill="1" applyBorder="1" applyAlignment="1" applyProtection="1">
      <alignment horizontal="left" vertical="top"/>
    </xf>
    <xf numFmtId="0" fontId="40" fillId="0" borderId="1" xfId="0" applyNumberFormat="1" applyFont="1" applyFill="1" applyBorder="1" applyAlignment="1" applyProtection="1">
      <alignment horizontal="left"/>
    </xf>
    <xf numFmtId="0" fontId="40" fillId="0" borderId="1" xfId="0" applyFont="1" applyFill="1" applyBorder="1" applyAlignment="1">
      <alignment horizontal="left" vertical="top"/>
    </xf>
    <xf numFmtId="0" fontId="41" fillId="0" borderId="1" xfId="0" quotePrefix="1" applyFont="1" applyBorder="1"/>
    <xf numFmtId="0" fontId="41" fillId="0" borderId="1" xfId="0" applyFont="1" applyBorder="1" applyAlignment="1"/>
    <xf numFmtId="0" fontId="0" fillId="0" borderId="1" xfId="0" quotePrefix="1" applyFont="1" applyBorder="1" applyAlignment="1"/>
    <xf numFmtId="0" fontId="2" fillId="2" borderId="1" xfId="0" applyFont="1" applyFill="1" applyBorder="1" applyAlignment="1">
      <alignment horizontal="center" vertical="center"/>
    </xf>
    <xf numFmtId="0" fontId="42" fillId="0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right" vertical="center"/>
    </xf>
    <xf numFmtId="0" fontId="0" fillId="0" borderId="1" xfId="0" applyBorder="1" applyAlignment="1">
      <alignment horizontal="center" vertical="center"/>
    </xf>
    <xf numFmtId="0" fontId="0" fillId="0" borderId="1" xfId="0" quotePrefix="1" applyNumberFormat="1" applyFont="1" applyFill="1" applyBorder="1" applyAlignment="1" applyProtection="1">
      <alignment horizontal="left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0" fillId="23" borderId="1" xfId="0" applyFont="1" applyFill="1" applyBorder="1" applyAlignment="1">
      <alignment horizontal="left" vertical="top"/>
    </xf>
    <xf numFmtId="0" fontId="0" fillId="23" borderId="1" xfId="0" quotePrefix="1" applyFont="1" applyFill="1" applyBorder="1" applyAlignment="1">
      <alignment horizontal="left" vertical="top"/>
    </xf>
    <xf numFmtId="0" fontId="0" fillId="23" borderId="1" xfId="0" quotePrefix="1" applyFill="1" applyBorder="1" applyAlignment="1">
      <alignment horizontal="left"/>
    </xf>
    <xf numFmtId="164" fontId="0" fillId="23" borderId="1" xfId="0" applyNumberFormat="1" applyFont="1" applyFill="1" applyBorder="1" applyAlignment="1">
      <alignment horizontal="left" vertical="top"/>
    </xf>
    <xf numFmtId="14" fontId="0" fillId="23" borderId="1" xfId="0" applyNumberFormat="1" applyFont="1" applyFill="1" applyBorder="1" applyAlignment="1">
      <alignment horizontal="left" vertical="top"/>
    </xf>
    <xf numFmtId="0" fontId="0" fillId="23" borderId="0" xfId="0" applyFill="1"/>
    <xf numFmtId="0" fontId="43" fillId="0" borderId="1" xfId="0" applyFont="1" applyBorder="1" applyAlignment="1">
      <alignment horizontal="left" vertical="top"/>
    </xf>
    <xf numFmtId="0" fontId="6" fillId="30" borderId="1" xfId="0" applyNumberFormat="1" applyFont="1" applyFill="1" applyBorder="1" applyAlignment="1" applyProtection="1">
      <alignment horizontal="left" vertical="top"/>
    </xf>
    <xf numFmtId="0" fontId="44" fillId="14" borderId="1" xfId="0" applyFont="1" applyFill="1" applyBorder="1" applyAlignment="1">
      <alignment horizontal="left" vertical="top"/>
    </xf>
    <xf numFmtId="0" fontId="0" fillId="3" borderId="1" xfId="0" quotePrefix="1" applyFont="1" applyFill="1" applyBorder="1" applyAlignment="1">
      <alignment horizontal="left" vertical="top"/>
    </xf>
    <xf numFmtId="0" fontId="45" fillId="0" borderId="1" xfId="0" applyNumberFormat="1" applyFont="1" applyFill="1" applyBorder="1" applyAlignment="1" applyProtection="1">
      <alignment horizontal="left"/>
    </xf>
    <xf numFmtId="0" fontId="45" fillId="0" borderId="1" xfId="0" applyFont="1" applyFill="1" applyBorder="1" applyAlignment="1">
      <alignment horizontal="left" vertical="top"/>
    </xf>
    <xf numFmtId="0" fontId="45" fillId="0" borderId="1" xfId="0" applyFont="1" applyBorder="1" applyAlignment="1">
      <alignment horizontal="left" vertical="top"/>
    </xf>
  </cellXfs>
  <cellStyles count="2">
    <cellStyle name="Bad" xfId="1" builtinId="27"/>
    <cellStyle name="Normal" xfId="0" builtinId="0"/>
  </cellStyles>
  <dxfs count="206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ill>
        <patternFill>
          <bgColor rgb="FFFFFF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8" tint="0.39994506668294322"/>
        </patternFill>
      </fill>
    </dxf>
    <dxf>
      <fill>
        <patternFill>
          <bgColor theme="9" tint="-0.24994659260841701"/>
        </patternFill>
      </fill>
    </dxf>
    <dxf>
      <fill>
        <patternFill>
          <bgColor theme="5" tint="0.39994506668294322"/>
        </patternFill>
      </fill>
    </dxf>
    <dxf>
      <fill>
        <patternFill>
          <bgColor theme="6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Medium9"/>
  <colors>
    <mruColors>
      <color rgb="FFC6EFC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usernames" Target="revisions/userNames.xml"/><Relationship Id="rId2" Type="http://schemas.openxmlformats.org/officeDocument/2006/relationships/worksheet" Target="worksheets/sheet2.xml"/><Relationship Id="rId16" Type="http://schemas.openxmlformats.org/officeDocument/2006/relationships/revisionHeaders" Target="revisions/revisionHeader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revisions/_rels/revisionHeaders.xml.rels><?xml version="1.0" encoding="UTF-8" standalone="yes"?>
<Relationships xmlns="http://schemas.openxmlformats.org/package/2006/relationships"><Relationship Id="rId26" Type="http://schemas.openxmlformats.org/officeDocument/2006/relationships/revisionLog" Target="revisionLog26.xml"/><Relationship Id="rId117" Type="http://schemas.openxmlformats.org/officeDocument/2006/relationships/revisionLog" Target="revisionLog117.xml"/><Relationship Id="rId21" Type="http://schemas.openxmlformats.org/officeDocument/2006/relationships/revisionLog" Target="revisionLog21.xml"/><Relationship Id="rId42" Type="http://schemas.openxmlformats.org/officeDocument/2006/relationships/revisionLog" Target="revisionLog42.xml"/><Relationship Id="rId47" Type="http://schemas.openxmlformats.org/officeDocument/2006/relationships/revisionLog" Target="revisionLog47.xml"/><Relationship Id="rId63" Type="http://schemas.openxmlformats.org/officeDocument/2006/relationships/revisionLog" Target="revisionLog63.xml"/><Relationship Id="rId68" Type="http://schemas.openxmlformats.org/officeDocument/2006/relationships/revisionLog" Target="revisionLog68.xml"/><Relationship Id="rId84" Type="http://schemas.openxmlformats.org/officeDocument/2006/relationships/revisionLog" Target="revisionLog84.xml"/><Relationship Id="rId89" Type="http://schemas.openxmlformats.org/officeDocument/2006/relationships/revisionLog" Target="revisionLog89.xml"/><Relationship Id="rId112" Type="http://schemas.openxmlformats.org/officeDocument/2006/relationships/revisionLog" Target="revisionLog112.xml"/><Relationship Id="rId133" Type="http://schemas.openxmlformats.org/officeDocument/2006/relationships/revisionLog" Target="revisionLog133.xml"/><Relationship Id="rId138" Type="http://schemas.openxmlformats.org/officeDocument/2006/relationships/revisionLog" Target="revisionLog138.xml"/><Relationship Id="rId154" Type="http://schemas.openxmlformats.org/officeDocument/2006/relationships/revisionLog" Target="revisionLog154.xml"/><Relationship Id="rId159" Type="http://schemas.openxmlformats.org/officeDocument/2006/relationships/revisionLog" Target="revisionLog159.xml"/><Relationship Id="rId175" Type="http://schemas.openxmlformats.org/officeDocument/2006/relationships/revisionLog" Target="revisionLog175.xml"/><Relationship Id="rId170" Type="http://schemas.openxmlformats.org/officeDocument/2006/relationships/revisionLog" Target="revisionLog170.xml"/><Relationship Id="rId16" Type="http://schemas.openxmlformats.org/officeDocument/2006/relationships/revisionLog" Target="revisionLog16.xml"/><Relationship Id="rId107" Type="http://schemas.openxmlformats.org/officeDocument/2006/relationships/revisionLog" Target="revisionLog107.xml"/><Relationship Id="rId11" Type="http://schemas.openxmlformats.org/officeDocument/2006/relationships/revisionLog" Target="revisionLog11.xml"/><Relationship Id="rId32" Type="http://schemas.openxmlformats.org/officeDocument/2006/relationships/revisionLog" Target="revisionLog32.xml"/><Relationship Id="rId37" Type="http://schemas.openxmlformats.org/officeDocument/2006/relationships/revisionLog" Target="revisionLog37.xml"/><Relationship Id="rId53" Type="http://schemas.openxmlformats.org/officeDocument/2006/relationships/revisionLog" Target="revisionLog53.xml"/><Relationship Id="rId58" Type="http://schemas.openxmlformats.org/officeDocument/2006/relationships/revisionLog" Target="revisionLog58.xml"/><Relationship Id="rId74" Type="http://schemas.openxmlformats.org/officeDocument/2006/relationships/revisionLog" Target="revisionLog74.xml"/><Relationship Id="rId79" Type="http://schemas.openxmlformats.org/officeDocument/2006/relationships/revisionLog" Target="revisionLog79.xml"/><Relationship Id="rId102" Type="http://schemas.openxmlformats.org/officeDocument/2006/relationships/revisionLog" Target="revisionLog102.xml"/><Relationship Id="rId123" Type="http://schemas.openxmlformats.org/officeDocument/2006/relationships/revisionLog" Target="revisionLog123.xml"/><Relationship Id="rId128" Type="http://schemas.openxmlformats.org/officeDocument/2006/relationships/revisionLog" Target="revisionLog128.xml"/><Relationship Id="rId144" Type="http://schemas.openxmlformats.org/officeDocument/2006/relationships/revisionLog" Target="revisionLog144.xml"/><Relationship Id="rId149" Type="http://schemas.openxmlformats.org/officeDocument/2006/relationships/revisionLog" Target="revisionLog149.xml"/><Relationship Id="rId5" Type="http://schemas.openxmlformats.org/officeDocument/2006/relationships/revisionLog" Target="revisionLog5.xml"/><Relationship Id="rId90" Type="http://schemas.openxmlformats.org/officeDocument/2006/relationships/revisionLog" Target="revisionLog90.xml"/><Relationship Id="rId95" Type="http://schemas.openxmlformats.org/officeDocument/2006/relationships/revisionLog" Target="revisionLog95.xml"/><Relationship Id="rId160" Type="http://schemas.openxmlformats.org/officeDocument/2006/relationships/revisionLog" Target="revisionLog160.xml"/><Relationship Id="rId165" Type="http://schemas.openxmlformats.org/officeDocument/2006/relationships/revisionLog" Target="revisionLog165.xml"/><Relationship Id="rId22" Type="http://schemas.openxmlformats.org/officeDocument/2006/relationships/revisionLog" Target="revisionLog22.xml"/><Relationship Id="rId27" Type="http://schemas.openxmlformats.org/officeDocument/2006/relationships/revisionLog" Target="revisionLog27.xml"/><Relationship Id="rId43" Type="http://schemas.openxmlformats.org/officeDocument/2006/relationships/revisionLog" Target="revisionLog43.xml"/><Relationship Id="rId48" Type="http://schemas.openxmlformats.org/officeDocument/2006/relationships/revisionLog" Target="revisionLog48.xml"/><Relationship Id="rId64" Type="http://schemas.openxmlformats.org/officeDocument/2006/relationships/revisionLog" Target="revisionLog64.xml"/><Relationship Id="rId69" Type="http://schemas.openxmlformats.org/officeDocument/2006/relationships/revisionLog" Target="revisionLog69.xml"/><Relationship Id="rId113" Type="http://schemas.openxmlformats.org/officeDocument/2006/relationships/revisionLog" Target="revisionLog113.xml"/><Relationship Id="rId118" Type="http://schemas.openxmlformats.org/officeDocument/2006/relationships/revisionLog" Target="revisionLog118.xml"/><Relationship Id="rId134" Type="http://schemas.openxmlformats.org/officeDocument/2006/relationships/revisionLog" Target="revisionLog134.xml"/><Relationship Id="rId139" Type="http://schemas.openxmlformats.org/officeDocument/2006/relationships/revisionLog" Target="revisionLog139.xml"/><Relationship Id="rId80" Type="http://schemas.openxmlformats.org/officeDocument/2006/relationships/revisionLog" Target="revisionLog80.xml"/><Relationship Id="rId85" Type="http://schemas.openxmlformats.org/officeDocument/2006/relationships/revisionLog" Target="revisionLog85.xml"/><Relationship Id="rId150" Type="http://schemas.openxmlformats.org/officeDocument/2006/relationships/revisionLog" Target="revisionLog150.xml"/><Relationship Id="rId155" Type="http://schemas.openxmlformats.org/officeDocument/2006/relationships/revisionLog" Target="revisionLog155.xml"/><Relationship Id="rId171" Type="http://schemas.openxmlformats.org/officeDocument/2006/relationships/revisionLog" Target="revisionLog171.xml"/><Relationship Id="rId176" Type="http://schemas.openxmlformats.org/officeDocument/2006/relationships/revisionLog" Target="revisionLog176.xml"/><Relationship Id="rId12" Type="http://schemas.openxmlformats.org/officeDocument/2006/relationships/revisionLog" Target="revisionLog12.xml"/><Relationship Id="rId17" Type="http://schemas.openxmlformats.org/officeDocument/2006/relationships/revisionLog" Target="revisionLog17.xml"/><Relationship Id="rId33" Type="http://schemas.openxmlformats.org/officeDocument/2006/relationships/revisionLog" Target="revisionLog33.xml"/><Relationship Id="rId38" Type="http://schemas.openxmlformats.org/officeDocument/2006/relationships/revisionLog" Target="revisionLog38.xml"/><Relationship Id="rId59" Type="http://schemas.openxmlformats.org/officeDocument/2006/relationships/revisionLog" Target="revisionLog59.xml"/><Relationship Id="rId103" Type="http://schemas.openxmlformats.org/officeDocument/2006/relationships/revisionLog" Target="revisionLog103.xml"/><Relationship Id="rId108" Type="http://schemas.openxmlformats.org/officeDocument/2006/relationships/revisionLog" Target="revisionLog108.xml"/><Relationship Id="rId124" Type="http://schemas.openxmlformats.org/officeDocument/2006/relationships/revisionLog" Target="revisionLog124.xml"/><Relationship Id="rId129" Type="http://schemas.openxmlformats.org/officeDocument/2006/relationships/revisionLog" Target="revisionLog129.xml"/><Relationship Id="rId54" Type="http://schemas.openxmlformats.org/officeDocument/2006/relationships/revisionLog" Target="revisionLog54.xml"/><Relationship Id="rId70" Type="http://schemas.openxmlformats.org/officeDocument/2006/relationships/revisionLog" Target="revisionLog70.xml"/><Relationship Id="rId75" Type="http://schemas.openxmlformats.org/officeDocument/2006/relationships/revisionLog" Target="revisionLog75.xml"/><Relationship Id="rId91" Type="http://schemas.openxmlformats.org/officeDocument/2006/relationships/revisionLog" Target="revisionLog91.xml"/><Relationship Id="rId96" Type="http://schemas.openxmlformats.org/officeDocument/2006/relationships/revisionLog" Target="revisionLog96.xml"/><Relationship Id="rId140" Type="http://schemas.openxmlformats.org/officeDocument/2006/relationships/revisionLog" Target="revisionLog140.xml"/><Relationship Id="rId145" Type="http://schemas.openxmlformats.org/officeDocument/2006/relationships/revisionLog" Target="revisionLog145.xml"/><Relationship Id="rId161" Type="http://schemas.openxmlformats.org/officeDocument/2006/relationships/revisionLog" Target="revisionLog161.xml"/><Relationship Id="rId166" Type="http://schemas.openxmlformats.org/officeDocument/2006/relationships/revisionLog" Target="revisionLog166.xml"/><Relationship Id="rId1" Type="http://schemas.openxmlformats.org/officeDocument/2006/relationships/revisionLog" Target="revisionLog1.xml"/><Relationship Id="rId6" Type="http://schemas.openxmlformats.org/officeDocument/2006/relationships/revisionLog" Target="revisionLog6.xml"/><Relationship Id="rId23" Type="http://schemas.openxmlformats.org/officeDocument/2006/relationships/revisionLog" Target="revisionLog23.xml"/><Relationship Id="rId28" Type="http://schemas.openxmlformats.org/officeDocument/2006/relationships/revisionLog" Target="revisionLog28.xml"/><Relationship Id="rId49" Type="http://schemas.openxmlformats.org/officeDocument/2006/relationships/revisionLog" Target="revisionLog49.xml"/><Relationship Id="rId114" Type="http://schemas.openxmlformats.org/officeDocument/2006/relationships/revisionLog" Target="revisionLog114.xml"/><Relationship Id="rId119" Type="http://schemas.openxmlformats.org/officeDocument/2006/relationships/revisionLog" Target="revisionLog119.xml"/><Relationship Id="rId10" Type="http://schemas.openxmlformats.org/officeDocument/2006/relationships/revisionLog" Target="revisionLog10.xml"/><Relationship Id="rId31" Type="http://schemas.openxmlformats.org/officeDocument/2006/relationships/revisionLog" Target="revisionLog31.xml"/><Relationship Id="rId44" Type="http://schemas.openxmlformats.org/officeDocument/2006/relationships/revisionLog" Target="revisionLog44.xml"/><Relationship Id="rId52" Type="http://schemas.openxmlformats.org/officeDocument/2006/relationships/revisionLog" Target="revisionLog52.xml"/><Relationship Id="rId60" Type="http://schemas.openxmlformats.org/officeDocument/2006/relationships/revisionLog" Target="revisionLog60.xml"/><Relationship Id="rId65" Type="http://schemas.openxmlformats.org/officeDocument/2006/relationships/revisionLog" Target="revisionLog65.xml"/><Relationship Id="rId73" Type="http://schemas.openxmlformats.org/officeDocument/2006/relationships/revisionLog" Target="revisionLog73.xml"/><Relationship Id="rId78" Type="http://schemas.openxmlformats.org/officeDocument/2006/relationships/revisionLog" Target="revisionLog78.xml"/><Relationship Id="rId81" Type="http://schemas.openxmlformats.org/officeDocument/2006/relationships/revisionLog" Target="revisionLog81.xml"/><Relationship Id="rId86" Type="http://schemas.openxmlformats.org/officeDocument/2006/relationships/revisionLog" Target="revisionLog86.xml"/><Relationship Id="rId94" Type="http://schemas.openxmlformats.org/officeDocument/2006/relationships/revisionLog" Target="revisionLog94.xml"/><Relationship Id="rId99" Type="http://schemas.openxmlformats.org/officeDocument/2006/relationships/revisionLog" Target="revisionLog99.xml"/><Relationship Id="rId101" Type="http://schemas.openxmlformats.org/officeDocument/2006/relationships/revisionLog" Target="revisionLog101.xml"/><Relationship Id="rId122" Type="http://schemas.openxmlformats.org/officeDocument/2006/relationships/revisionLog" Target="revisionLog122.xml"/><Relationship Id="rId130" Type="http://schemas.openxmlformats.org/officeDocument/2006/relationships/revisionLog" Target="revisionLog130.xml"/><Relationship Id="rId135" Type="http://schemas.openxmlformats.org/officeDocument/2006/relationships/revisionLog" Target="revisionLog135.xml"/><Relationship Id="rId143" Type="http://schemas.openxmlformats.org/officeDocument/2006/relationships/revisionLog" Target="revisionLog143.xml"/><Relationship Id="rId148" Type="http://schemas.openxmlformats.org/officeDocument/2006/relationships/revisionLog" Target="revisionLog148.xml"/><Relationship Id="rId151" Type="http://schemas.openxmlformats.org/officeDocument/2006/relationships/revisionLog" Target="revisionLog151.xml"/><Relationship Id="rId156" Type="http://schemas.openxmlformats.org/officeDocument/2006/relationships/revisionLog" Target="revisionLog156.xml"/><Relationship Id="rId164" Type="http://schemas.openxmlformats.org/officeDocument/2006/relationships/revisionLog" Target="revisionLog164.xml"/><Relationship Id="rId169" Type="http://schemas.openxmlformats.org/officeDocument/2006/relationships/revisionLog" Target="revisionLog169.xml"/><Relationship Id="rId4" Type="http://schemas.openxmlformats.org/officeDocument/2006/relationships/revisionLog" Target="revisionLog4.xml"/><Relationship Id="rId9" Type="http://schemas.openxmlformats.org/officeDocument/2006/relationships/revisionLog" Target="revisionLog9.xml"/><Relationship Id="rId172" Type="http://schemas.openxmlformats.org/officeDocument/2006/relationships/revisionLog" Target="revisionLog172.xml"/><Relationship Id="rId13" Type="http://schemas.openxmlformats.org/officeDocument/2006/relationships/revisionLog" Target="revisionLog13.xml"/><Relationship Id="rId18" Type="http://schemas.openxmlformats.org/officeDocument/2006/relationships/revisionLog" Target="revisionLog18.xml"/><Relationship Id="rId39" Type="http://schemas.openxmlformats.org/officeDocument/2006/relationships/revisionLog" Target="revisionLog39.xml"/><Relationship Id="rId109" Type="http://schemas.openxmlformats.org/officeDocument/2006/relationships/revisionLog" Target="revisionLog109.xml"/><Relationship Id="rId34" Type="http://schemas.openxmlformats.org/officeDocument/2006/relationships/revisionLog" Target="revisionLog34.xml"/><Relationship Id="rId50" Type="http://schemas.openxmlformats.org/officeDocument/2006/relationships/revisionLog" Target="revisionLog50.xml"/><Relationship Id="rId55" Type="http://schemas.openxmlformats.org/officeDocument/2006/relationships/revisionLog" Target="revisionLog55.xml"/><Relationship Id="rId76" Type="http://schemas.openxmlformats.org/officeDocument/2006/relationships/revisionLog" Target="revisionLog76.xml"/><Relationship Id="rId97" Type="http://schemas.openxmlformats.org/officeDocument/2006/relationships/revisionLog" Target="revisionLog97.xml"/><Relationship Id="rId104" Type="http://schemas.openxmlformats.org/officeDocument/2006/relationships/revisionLog" Target="revisionLog104.xml"/><Relationship Id="rId120" Type="http://schemas.openxmlformats.org/officeDocument/2006/relationships/revisionLog" Target="revisionLog120.xml"/><Relationship Id="rId125" Type="http://schemas.openxmlformats.org/officeDocument/2006/relationships/revisionLog" Target="revisionLog125.xml"/><Relationship Id="rId141" Type="http://schemas.openxmlformats.org/officeDocument/2006/relationships/revisionLog" Target="revisionLog141.xml"/><Relationship Id="rId146" Type="http://schemas.openxmlformats.org/officeDocument/2006/relationships/revisionLog" Target="revisionLog146.xml"/><Relationship Id="rId167" Type="http://schemas.openxmlformats.org/officeDocument/2006/relationships/revisionLog" Target="revisionLog167.xml"/><Relationship Id="rId7" Type="http://schemas.openxmlformats.org/officeDocument/2006/relationships/revisionLog" Target="revisionLog7.xml"/><Relationship Id="rId71" Type="http://schemas.openxmlformats.org/officeDocument/2006/relationships/revisionLog" Target="revisionLog71.xml"/><Relationship Id="rId92" Type="http://schemas.openxmlformats.org/officeDocument/2006/relationships/revisionLog" Target="revisionLog92.xml"/><Relationship Id="rId162" Type="http://schemas.openxmlformats.org/officeDocument/2006/relationships/revisionLog" Target="revisionLog162.xml"/><Relationship Id="rId2" Type="http://schemas.openxmlformats.org/officeDocument/2006/relationships/revisionLog" Target="revisionLog2.xml"/><Relationship Id="rId29" Type="http://schemas.openxmlformats.org/officeDocument/2006/relationships/revisionLog" Target="revisionLog29.xml"/><Relationship Id="rId24" Type="http://schemas.openxmlformats.org/officeDocument/2006/relationships/revisionLog" Target="revisionLog24.xml"/><Relationship Id="rId40" Type="http://schemas.openxmlformats.org/officeDocument/2006/relationships/revisionLog" Target="revisionLog40.xml"/><Relationship Id="rId45" Type="http://schemas.openxmlformats.org/officeDocument/2006/relationships/revisionLog" Target="revisionLog45.xml"/><Relationship Id="rId66" Type="http://schemas.openxmlformats.org/officeDocument/2006/relationships/revisionLog" Target="revisionLog66.xml"/><Relationship Id="rId87" Type="http://schemas.openxmlformats.org/officeDocument/2006/relationships/revisionLog" Target="revisionLog87.xml"/><Relationship Id="rId110" Type="http://schemas.openxmlformats.org/officeDocument/2006/relationships/revisionLog" Target="revisionLog110.xml"/><Relationship Id="rId115" Type="http://schemas.openxmlformats.org/officeDocument/2006/relationships/revisionLog" Target="revisionLog115.xml"/><Relationship Id="rId131" Type="http://schemas.openxmlformats.org/officeDocument/2006/relationships/revisionLog" Target="revisionLog131.xml"/><Relationship Id="rId136" Type="http://schemas.openxmlformats.org/officeDocument/2006/relationships/revisionLog" Target="revisionLog136.xml"/><Relationship Id="rId157" Type="http://schemas.openxmlformats.org/officeDocument/2006/relationships/revisionLog" Target="revisionLog157.xml"/><Relationship Id="rId61" Type="http://schemas.openxmlformats.org/officeDocument/2006/relationships/revisionLog" Target="revisionLog61.xml"/><Relationship Id="rId82" Type="http://schemas.openxmlformats.org/officeDocument/2006/relationships/revisionLog" Target="revisionLog82.xml"/><Relationship Id="rId152" Type="http://schemas.openxmlformats.org/officeDocument/2006/relationships/revisionLog" Target="revisionLog152.xml"/><Relationship Id="rId173" Type="http://schemas.openxmlformats.org/officeDocument/2006/relationships/revisionLog" Target="revisionLog173.xml"/><Relationship Id="rId19" Type="http://schemas.openxmlformats.org/officeDocument/2006/relationships/revisionLog" Target="revisionLog19.xml"/><Relationship Id="rId14" Type="http://schemas.openxmlformats.org/officeDocument/2006/relationships/revisionLog" Target="revisionLog14.xml"/><Relationship Id="rId30" Type="http://schemas.openxmlformats.org/officeDocument/2006/relationships/revisionLog" Target="revisionLog30.xml"/><Relationship Id="rId35" Type="http://schemas.openxmlformats.org/officeDocument/2006/relationships/revisionLog" Target="revisionLog35.xml"/><Relationship Id="rId56" Type="http://schemas.openxmlformats.org/officeDocument/2006/relationships/revisionLog" Target="revisionLog56.xml"/><Relationship Id="rId77" Type="http://schemas.openxmlformats.org/officeDocument/2006/relationships/revisionLog" Target="revisionLog77.xml"/><Relationship Id="rId100" Type="http://schemas.openxmlformats.org/officeDocument/2006/relationships/revisionLog" Target="revisionLog100.xml"/><Relationship Id="rId105" Type="http://schemas.openxmlformats.org/officeDocument/2006/relationships/revisionLog" Target="revisionLog105.xml"/><Relationship Id="rId126" Type="http://schemas.openxmlformats.org/officeDocument/2006/relationships/revisionLog" Target="revisionLog126.xml"/><Relationship Id="rId147" Type="http://schemas.openxmlformats.org/officeDocument/2006/relationships/revisionLog" Target="revisionLog147.xml"/><Relationship Id="rId168" Type="http://schemas.openxmlformats.org/officeDocument/2006/relationships/revisionLog" Target="revisionLog168.xml"/><Relationship Id="rId8" Type="http://schemas.openxmlformats.org/officeDocument/2006/relationships/revisionLog" Target="revisionLog8.xml"/><Relationship Id="rId51" Type="http://schemas.openxmlformats.org/officeDocument/2006/relationships/revisionLog" Target="revisionLog51.xml"/><Relationship Id="rId72" Type="http://schemas.openxmlformats.org/officeDocument/2006/relationships/revisionLog" Target="revisionLog72.xml"/><Relationship Id="rId93" Type="http://schemas.openxmlformats.org/officeDocument/2006/relationships/revisionLog" Target="revisionLog93.xml"/><Relationship Id="rId98" Type="http://schemas.openxmlformats.org/officeDocument/2006/relationships/revisionLog" Target="revisionLog98.xml"/><Relationship Id="rId121" Type="http://schemas.openxmlformats.org/officeDocument/2006/relationships/revisionLog" Target="revisionLog121.xml"/><Relationship Id="rId142" Type="http://schemas.openxmlformats.org/officeDocument/2006/relationships/revisionLog" Target="revisionLog142.xml"/><Relationship Id="rId163" Type="http://schemas.openxmlformats.org/officeDocument/2006/relationships/revisionLog" Target="revisionLog163.xml"/><Relationship Id="rId3" Type="http://schemas.openxmlformats.org/officeDocument/2006/relationships/revisionLog" Target="revisionLog3.xml"/><Relationship Id="rId25" Type="http://schemas.openxmlformats.org/officeDocument/2006/relationships/revisionLog" Target="revisionLog25.xml"/><Relationship Id="rId46" Type="http://schemas.openxmlformats.org/officeDocument/2006/relationships/revisionLog" Target="revisionLog46.xml"/><Relationship Id="rId67" Type="http://schemas.openxmlformats.org/officeDocument/2006/relationships/revisionLog" Target="revisionLog67.xml"/><Relationship Id="rId116" Type="http://schemas.openxmlformats.org/officeDocument/2006/relationships/revisionLog" Target="revisionLog116.xml"/><Relationship Id="rId137" Type="http://schemas.openxmlformats.org/officeDocument/2006/relationships/revisionLog" Target="revisionLog137.xml"/><Relationship Id="rId158" Type="http://schemas.openxmlformats.org/officeDocument/2006/relationships/revisionLog" Target="revisionLog158.xml"/><Relationship Id="rId20" Type="http://schemas.openxmlformats.org/officeDocument/2006/relationships/revisionLog" Target="revisionLog20.xml"/><Relationship Id="rId41" Type="http://schemas.openxmlformats.org/officeDocument/2006/relationships/revisionLog" Target="revisionLog41.xml"/><Relationship Id="rId62" Type="http://schemas.openxmlformats.org/officeDocument/2006/relationships/revisionLog" Target="revisionLog62.xml"/><Relationship Id="rId83" Type="http://schemas.openxmlformats.org/officeDocument/2006/relationships/revisionLog" Target="revisionLog83.xml"/><Relationship Id="rId88" Type="http://schemas.openxmlformats.org/officeDocument/2006/relationships/revisionLog" Target="revisionLog88.xml"/><Relationship Id="rId111" Type="http://schemas.openxmlformats.org/officeDocument/2006/relationships/revisionLog" Target="revisionLog111.xml"/><Relationship Id="rId132" Type="http://schemas.openxmlformats.org/officeDocument/2006/relationships/revisionLog" Target="revisionLog132.xml"/><Relationship Id="rId153" Type="http://schemas.openxmlformats.org/officeDocument/2006/relationships/revisionLog" Target="revisionLog153.xml"/><Relationship Id="rId174" Type="http://schemas.openxmlformats.org/officeDocument/2006/relationships/revisionLog" Target="revisionLog174.xml"/><Relationship Id="rId15" Type="http://schemas.openxmlformats.org/officeDocument/2006/relationships/revisionLog" Target="revisionLog15.xml"/><Relationship Id="rId36" Type="http://schemas.openxmlformats.org/officeDocument/2006/relationships/revisionLog" Target="revisionLog36.xml"/><Relationship Id="rId57" Type="http://schemas.openxmlformats.org/officeDocument/2006/relationships/revisionLog" Target="revisionLog57.xml"/><Relationship Id="rId106" Type="http://schemas.openxmlformats.org/officeDocument/2006/relationships/revisionLog" Target="revisionLog106.xml"/><Relationship Id="rId127" Type="http://schemas.openxmlformats.org/officeDocument/2006/relationships/revisionLog" Target="revisionLog127.xml"/></Relationships>
</file>

<file path=xl/revisions/revisionHeaders.xml><?xml version="1.0" encoding="utf-8"?>
<head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guid="{D66C6253-FC4C-4E1A-86E4-AD7151E13D14}" diskRevisions="1" revisionId="4099" version="176">
  <header guid="{A19D737C-4C8C-4077-AA30-FD7D107EA193}" dateTime="2020-04-13T10:42:08" maxSheetId="12" userName="EXTERNAL Nguyen Tuan Duong (Ban Vien, RBVH/EPS45)" r:id="rId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FA64082-31A6-4B49-B710-74B359BF90D5}" dateTime="2020-04-13T10:56:28" maxSheetId="12" userName="EXTERNAL Ly Chung (Ban Vien, RBVH/EPS45)" r:id="rId2" minRId="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89E28DA-7FE4-4118-8318-10910F2DA4CC}" dateTime="2020-04-13T10:56:36" maxSheetId="12" userName="EXTERNAL Ly Chung (Ban Vien, RBVH/EPS45)" r:id="rId3" minRId="5" maxRId="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259629E-CA0B-4D7E-A766-330D8CF76371}" dateTime="2020-04-13T10:57:46" maxSheetId="12" userName="EXTERNAL Ly Chung (Ban Vien, RBVH/EPS45)" r:id="rId4" minRId="7" maxRId="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C7A1973-385C-42FA-A6BA-4BB3B29297E0}" dateTime="2020-04-13T10:59:09" maxSheetId="12" userName="EXTERNAL Ly Chung (Ban Vien, RBVH/EPS45)" r:id="rId5" minRId="31" maxRId="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4DDC000-22B3-408A-BFE7-82DE0E64F871}" dateTime="2020-04-13T11:06:45" maxSheetId="12" userName="EXTERNAL Ly Chung (Ban Vien, RBVH/EPS45)" r:id="rId6" minRId="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64AE4E7-AEB3-4216-972E-F66CEC98B502}" dateTime="2020-04-13T11:06:54" maxSheetId="12" userName="EXTERNAL Nguyen Tuan Duong (Ban Vien, RBVH/EPS45)" r:id="rId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70C27D7-3F44-4137-9796-262E5E429903}" dateTime="2020-04-13T11:12:35" maxSheetId="12" userName="EXTERNAL Nguyen Tuan Duong (Ban Vien, RBVH/EPS45)" r:id="rId8" minRId="45" maxRId="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C14EB88-FF1B-4884-AFE5-9DD175D2A16C}" dateTime="2020-04-13T11:13:36" maxSheetId="12" userName="EXTERNAL Nguyen Tuan Duong (Ban Vien, RBVH/EPS45)" r:id="rId9" minRId="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4B6AF7F-6A3F-415F-998D-3E3E50565820}" dateTime="2020-04-13T11:13:48" maxSheetId="12" userName="EXTERNAL Ly Chung (Ban Vien, RBVH/EPS45)" r:id="rId1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C21C77A-B6F2-40FC-A2E1-D9367F9253CA}" dateTime="2020-04-13T11:14:55" maxSheetId="12" userName="EXTERNAL Ly Chung (Ban Vien, RBVH/EPS45)" r:id="rId11" minRId="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65D0367-CA11-40A3-B810-25E2763D8EAC}" dateTime="2020-04-13T12:25:12" maxSheetId="12" userName="EXTERNAL Nguyen Tuan Duong (Ban Vien, RBVH/EPS45)" r:id="rId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83B031-86A0-4722-8011-D60F392B1B6D}" dateTime="2020-04-13T13:14:07" maxSheetId="12" userName="EXTERNAL Do Phu Loc (Ban Vien, RBVH/EPS45)" r:id="rId1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CD6C5B1-083A-4059-AF36-8F240D91A4E2}" dateTime="2020-04-13T13:40:02" maxSheetId="12" userName="EXTERNAL Nguyen Tuan Duong (Ban Vien, RBVH/EPS45)" r:id="rId14" minRId="66" maxRId="5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644F012-F223-4780-AF3C-A520C7260D37}" dateTime="2020-04-13T13:41:44" maxSheetId="12" userName="EXTERNAL Nguyen Kim Thanh (Ban Vien, RBVH/EPS45)" r:id="rId1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DE5C409-1B08-4663-A7DC-C050336A4F9C}" dateTime="2020-04-13T13:48:27" maxSheetId="12" userName="EXTERNAL Do Phu Loc (Ban Vien, RBVH/EPS45)" r:id="rId16" minRId="547" maxRId="5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F701648-C250-4FCB-980A-00C4DBE34488}" dateTime="2020-04-13T13:52:50" maxSheetId="12" userName="EXTERNAL Do Phu Loc (Ban Vien, RBVH/EPS45)" r:id="rId17" minRId="560" maxRId="5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5F3B17C-DC36-446B-96D0-EBA61F1B9AAD}" dateTime="2020-04-13T13:57:53" maxSheetId="12" userName="EXTERNAL Ly Chung (Ban Vien, RBVH/EPS45)" r:id="rId18" minRId="575" maxRId="58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A29772-5F98-4390-839B-EE27EDD7F228}" dateTime="2020-04-13T14:08:30" maxSheetId="12" userName="EXTERNAL Do Phu Loc (Ban Vien, RBVH/EPS45)" r:id="rId19" minRId="589" maxRId="5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F7AD0B9-F06D-4F2D-932E-55274A67B1DA}" dateTime="2020-04-13T14:18:35" maxSheetId="12" userName="EXTERNAL Nguyen Tuan Duong (Ban Vien, RBVH/EPS45)" r:id="rId20" minRId="603" maxRId="118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C76C1F6-89DB-403D-8A09-C16C1AD9E8CE}" dateTime="2020-04-13T14:19:13" maxSheetId="12" userName="EXTERNAL Nguyen Tuan Duong (Ban Vien, RBVH/EPS45)" r:id="rId21" minRId="1186" maxRId="12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6BB2ED6-7087-40D9-BF56-FE80FFA4D982}" dateTime="2020-04-13T14:19:52" maxSheetId="12" userName="EXTERNAL Nguyen Tuan Duong (Ban Vien, RBVH/EPS45)" r:id="rId22" minRId="1288" maxRId="14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1C6D903-F35A-4B03-B259-DF51BF5C34DC}" dateTime="2020-04-13T14:20:37" maxSheetId="12" userName="EXTERNAL Nguyen Tuan Duong (Ban Vien, RBVH/EPS45)" r:id="rId2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6D8DDF3-F2A3-4694-8573-9C3251FF5EC6}" dateTime="2020-04-13T14:26:35" maxSheetId="12" userName="EXTERNAL Do Phu Loc (Ban Vien, RBVH/EPS45)" r:id="rId24" minRId="1411" maxRId="14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2BD2585-4639-4C77-B79A-EF93288A7282}" dateTime="2020-04-13T14:59:24" maxSheetId="12" userName="EXTERNAL Do Phu Loc (Ban Vien, RBVH/EPS45)" r:id="rId25" minRId="1424" maxRId="143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B7609A1-CD47-43F0-8D69-01ADF3BD73DC}" dateTime="2020-04-13T15:01:15" maxSheetId="12" userName="EXTERNAL Nguyen Tuan Duong (Ban Vien, RBVH/EPS45)" r:id="rId26" minRId="1437" maxRId="14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7474BB9-46AD-4119-BC66-12792421F2F9}" dateTime="2020-04-13T15:25:02" maxSheetId="12" userName="EXTERNAL Do Phu Loc (Ban Vien, RBVH/EPS45)" r:id="rId27" minRId="1443" maxRId="145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916E210-C98F-4CCD-9558-58749D447850}" dateTime="2020-04-13T15:50:44" maxSheetId="12" userName="EXTERNAL Do Phu Loc (Ban Vien, RBVH/EPS45)" r:id="rId28" minRId="1456" maxRId="14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34B0DF3-03BE-44F1-B1DC-CFD81E8FDF8A}" dateTime="2020-04-13T15:59:52" maxSheetId="12" userName="EXTERNAL Do Phu Loc (Ban Vien, RBVH/EPS45)" r:id="rId29" minRId="1469" maxRId="14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051A83-C938-4999-849F-00F6F590E5F5}" dateTime="2020-04-13T16:10:12" maxSheetId="12" userName="EXTERNAL Do Phu Loc (Ban Vien, RBVH/EPS45)" r:id="rId30" minRId="1482" maxRId="149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2F0DBEC-7B42-46F0-A392-0BA8108DFFB9}" dateTime="2020-04-13T16:10:24" maxSheetId="12" userName="EXTERNAL Do Phu Loc (Ban Vien, RBVH/EPS45)" r:id="rId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1139694-CC7F-4ECE-90E8-37CF06FCE11A}" dateTime="2020-04-13T16:27:39" maxSheetId="12" userName="EXTERNAL Nguyen Kim Thanh (Ban Vien, RBVH/EPS45)" r:id="rId32" minRId="1495" maxRId="15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EF8590-2474-4931-8C76-85AC040AD32C}" dateTime="2020-04-13T16:27:46" maxSheetId="12" userName="EXTERNAL Nguyen Kim Thanh (Ban Vien, RBVH/EPS45)" r:id="rId3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3173A4-5E33-4764-AF66-5E2B88C247C1}" dateTime="2020-04-13T16:30:43" maxSheetId="12" userName="EXTERNAL Do Phu Loc (Ban Vien, RBVH/EPS45)" r:id="rId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0E780A-2B6A-4F2D-AC2E-830C71E9C75A}" dateTime="2020-04-13T16:31:28" maxSheetId="12" userName="EXTERNAL Do Phu Loc (Ban Vien, RBVH/EPS45)" r:id="rId35" minRId="1511" maxRId="15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0D04ABC-DD7B-467D-9F42-ECF10F987B73}" dateTime="2020-04-13T17:20:54" maxSheetId="12" userName="EXTERNAL Nguyen Tuan Duong (Ban Vien, RBVH/EPS45)" r:id="rId36" minRId="1524" maxRId="188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E52D966-CF9D-47AA-B996-58E51FE9566D}" dateTime="2020-04-13T17:22:20" maxSheetId="12" userName="EXTERNAL Nguyen Tuan Duong (Ban Vien, RBVH/EPS45)" r:id="rId37" minRId="1885" maxRId="188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79C6551-4D52-4F5B-BEB3-416C66EF819A}" dateTime="2020-04-13T17:22:32" maxSheetId="12" userName="EXTERNAL Nguyen Tuan Duong (Ban Vien, RBVH/EPS45)" r:id="rId38" minRId="1890" maxRId="21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EF462A-ECC5-4B5F-B323-87DBC6C45954}" dateTime="2020-04-13T17:22:46" maxSheetId="12" userName="EXTERNAL Nguyen Tuan Duong (Ban Vien, RBVH/EPS45)" r:id="rId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D75A200-36C8-494D-8BAB-9C95A9AD679D}" dateTime="2020-04-13T17:27:03" maxSheetId="12" userName="EXTERNAL Do Phu Loc (Ban Vien, RBVH/EPS45)" r:id="rId4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02173F9-F9E5-4713-AF96-53D180AF9F78}" dateTime="2020-04-13T17:27:25" maxSheetId="12" userName="EXTERNAL Do Phu Loc (Ban Vien, RBVH/EPS45)" r:id="rId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0D44AB1-332D-4178-AB30-4B5E2EBE511D}" dateTime="2020-04-13T17:35:29" maxSheetId="12" userName="EXTERNAL Do Phu Loc (Ban Vien, RBVH/EPS45)" r:id="rId42" minRId="2128" maxRId="21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AD014BB-B7F1-4D14-8E60-9FF50200BAA8}" dateTime="2020-04-13T18:04:23" maxSheetId="12" userName="EXTERNAL Nguyen Kim Thanh (Ban Vien, RBVH/EPS45)" r:id="rId43" minRId="2141" maxRId="21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A316AE8-5A75-455E-9E27-339B02A74A81}" dateTime="2020-04-14T09:24:19" maxSheetId="12" userName="EXTERNAL Nguyen Kim Thanh (Ban Vien, RBVH/EPS45)" r:id="rId44" minRId="21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255026F-D92F-44F9-842C-E59B03BEF0EA}" dateTime="2020-04-14T09:29:49" maxSheetId="12" userName="EXTERNAL Nguyen Tuan Duong (Ban Vien, RBVH/EPS45)" r:id="rId45" minRId="2158" maxRId="23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244AF7E-823D-4771-9B83-62C834207700}" dateTime="2020-04-14T09:36:19" maxSheetId="12" userName="EXTERNAL Nguyen Kim Thanh (Ban Vien, RBVH/EPS45)" r:id="rId46" minRId="2304" maxRId="231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CE4FE4-0EA1-4861-BD22-A18871195FFE}" dateTime="2020-04-14T09:38:06" maxSheetId="12" userName="EXTERNAL Nguyen Tuan Duong (Ban Vien, RBVH/EPS45)" r:id="rId47" minRId="2317" maxRId="240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0EDD08-475B-4DB5-961A-494AA11E4428}" dateTime="2020-04-14T10:48:17" maxSheetId="12" userName="EXTERNAL Nguyen Tuan Duong (Ban Vien, RBVH/EPS45)" r:id="rId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60CCAEC-C3F4-44DE-98BA-B098B6A64378}" dateTime="2020-04-14T10:49:51" maxSheetId="12" userName="EXTERNAL Nguyen Tuan Duong (Ban Vien, RBVH/EPS45)" r:id="rId49" minRId="2407" maxRId="241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C0394F4-F1D7-444A-8633-674D8F0BD4D9}" dateTime="2020-04-14T10:50:12" maxSheetId="12" userName="EXTERNAL Nguyen Tuan Duong (Ban Vien, RBVH/EPS45)" r:id="rId50" minRId="2420" maxRId="244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D2DCCEC-F5E0-4A9A-9E5C-B3C964FDE2B0}" dateTime="2020-04-14T10:51:56" maxSheetId="12" userName="EXTERNAL Nguyen Tuan Duong (Ban Vien, RBVH/EPS45)" r:id="rId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204A60-D54B-45B3-8138-2327608D047E}" dateTime="2020-04-14T10:57:37" maxSheetId="12" userName="EXTERNAL Do Phu Loc (Ban Vien, RBVH/EPS45)" r:id="rId52" minRId="2455" maxRId="24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DDCBE5E-5141-424C-B2FD-D3A25956C77C}" dateTime="2020-04-14T10:59:26" maxSheetId="12" userName="EXTERNAL Nguyen Tuan Duong (Ban Vien, RBVH/EPS45)" r:id="rId53" minRId="2466" maxRId="25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225B506-60D9-4E65-B932-C584A2EC42EE}" dateTime="2020-04-14T11:03:37" maxSheetId="12" userName="EXTERNAL Do Phu Loc (Ban Vien, RBVH/EPS45)" r:id="rId54" minRId="2577" maxRId="25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D9C2023-0F1C-4381-92AB-B893E109E4C6}" dateTime="2020-04-14T11:07:08" maxSheetId="12" userName="EXTERNAL Nguyen Tuan Duong (Ban Vien, RBVH/EPS45)" r:id="rId5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DCEF870-FA18-4DCD-9795-5E185A69CDFB}" dateTime="2020-04-14T11:23:52" maxSheetId="12" userName="EXTERNAL Nguyen Tuan Duong (Ban Vien, RBVH/EPS45)" r:id="rId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89CE9FC-CBCA-47E9-87FD-A7ED022D7D87}" dateTime="2020-04-14T11:28:26" maxSheetId="12" userName="EXTERNAL Nguyen Tuan Duong (Ban Vien, RBVH/EPS45)" r:id="rId57" minRId="2590" maxRId="272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7017065-1C6D-4C50-A62A-E7505A149BBD}" dateTime="2020-04-14T11:45:11" maxSheetId="12" userName="EXTERNAL Ly Chung (Ban Vien, RBVH/EPS45)" r:id="rId58" minRId="2729" maxRId="27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D45AEC-263F-425B-93CD-8601AE82F419}" dateTime="2020-04-14T12:32:45" maxSheetId="12" userName="EXTERNAL Do Phu Loc (Ban Vien, RBVH/EPS45)" r:id="rId5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2A0A1F0-391E-4183-8CEB-814D8E6BABBF}" dateTime="2020-04-14T13:07:43" maxSheetId="12" userName="EXTERNAL Nguyen Tuan Duong (Ban Vien, RBVH/EPS45)" r:id="rId60" minRId="2742" maxRId="28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45D9991-54BA-4880-9262-F5D32C6D351E}" dateTime="2020-04-14T13:37:24" maxSheetId="12" userName="EXTERNAL Nguyen Tuan Duong (Ban Vien, RBVH/EPS45)" r:id="rId6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501E262-9AB1-4077-B292-1236349886C1}" dateTime="2020-04-14T14:16:43" maxSheetId="12" userName="EXTERNAL Nguyen Kim Thanh (Ban Vien, RBVH/EPS45)" r:id="rId62" minRId="2844" maxRId="285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42DBDA2-3C9D-4E34-BCFE-A4BE903B4EA1}" dateTime="2020-04-14T14:23:54" maxSheetId="12" userName="EXTERNAL Do Phu Loc (Ban Vien, RBVH/EPS45)" r:id="rId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5ACD9FA-E09B-4AD8-B80F-C464DDC4E115}" dateTime="2020-04-14T14:24:12" maxSheetId="12" userName="EXTERNAL Do Phu Loc (Ban Vien, RBVH/EPS45)" r:id="rId6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6230015-41E9-4ACD-8BFE-DAC3BEDAA54A}" dateTime="2020-04-14T14:32:46" maxSheetId="12" userName="EXTERNAL Do Phu Loc (Ban Vien, RBVH/EPS45)" r:id="rId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EC53FF1-3078-4440-9DE6-496D8F9A2320}" dateTime="2020-04-14T14:34:26" maxSheetId="12" userName="EXTERNAL Nguyen Kim Thanh (Ban Vien, RBVH/EPS45)" r:id="rId66" minRId="2860" maxRId="286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AB2827F-BF69-40E6-A893-DDE545FDDF66}" dateTime="2020-04-14T14:34:35" maxSheetId="12" userName="EXTERNAL Nguyen Kim Thanh (Ban Vien, RBVH/EPS45)" r:id="rId67" minRId="2866" maxRId="287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2D25F06-3A8A-426F-9121-220AC9EF34E5}" dateTime="2020-04-14T14:39:24" maxSheetId="12" userName="EXTERNAL Nguyen Kim Thanh (Ban Vien, RBVH/EPS45)" r:id="rId68" minRId="2876" maxRId="287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9C6403A-890D-4574-8506-59F1B386CC12}" dateTime="2020-04-14T14:39:30" maxSheetId="12" userName="EXTERNAL Nguyen Kim Thanh (Ban Vien, RBVH/EPS45)" r:id="rId69" minRId="2882" maxRId="288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F233DC-9E2E-40EB-90CD-39E72B5F4D83}" dateTime="2020-04-14T14:51:41" maxSheetId="12" userName="EXTERNAL Nguyen Kim Thanh (Ban Vien, RBVH/EPS45)" r:id="rId70" minRId="2892" maxRId="290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CE20CDA-80B4-4E5C-A331-9175F53E2FC1}" dateTime="2020-04-14T14:54:47" maxSheetId="12" userName="EXTERNAL Nguyen Kim Thanh (Ban Vien, RBVH/EPS45)" r:id="rId71" minRId="2905" maxRId="291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467DFB1-C893-449D-9B61-32BBD4E803FF}" dateTime="2020-04-14T14:55:02" maxSheetId="12" userName="EXTERNAL Nguyen Kim Thanh (Ban Vien, RBVH/EPS45)" r:id="rId72" minRId="2918" maxRId="29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CF37F6-0CD3-44B4-B97B-C80147FFCF1A}" dateTime="2020-04-14T15:49:48" maxSheetId="12" userName="EXTERNAL Nguyen Kim Thanh (Ban Vien, RBVH/EPS45)" r:id="rId73" minRId="2925" maxRId="29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34302A6-9956-474A-9158-61E1597155A9}" dateTime="2020-04-14T15:49:53" maxSheetId="12" userName="EXTERNAL Nguyen Kim Thanh (Ban Vien, RBVH/EPS45)" r:id="rId74" minRId="2931" maxRId="29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42A4E98-BECE-4891-B03B-E54BD6696C99}" dateTime="2020-04-14T15:50:00" maxSheetId="12" userName="EXTERNAL Nguyen Kim Thanh (Ban Vien, RBVH/EPS45)" r:id="rId75" minRId="2942" maxRId="29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37CB42F-71A0-4A77-BAA9-918EC183BAE4}" dateTime="2020-04-14T15:52:23" maxSheetId="12" userName="EXTERNAL Nguyen Tuan Duong (Ban Vien, RBVH/EPS45)" r:id="rId76" minRId="2946" maxRId="296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7E5C3F4-9E69-4D75-B146-FFC64BB6FF64}" dateTime="2020-04-14T15:56:19" maxSheetId="12" userName="EXTERNAL Ly Chung (Ban Vien, RBVH/EPS45)" r:id="rId77" minRId="2973" maxRId="29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BE47444-DFE6-4D10-98E7-848655B6516B}" dateTime="2020-04-14T15:57:30" maxSheetId="12" userName="EXTERNAL Ly Chung (Ban Vien, RBVH/EPS45)" r:id="rId78" minRId="2987" maxRId="299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B23B7FC-4E4A-492B-BE89-2BEB6017450A}" dateTime="2020-04-14T16:27:48" maxSheetId="12" userName="EXTERNAL Ly Chung (Ban Vien, RBVH/EPS45)" r:id="rId79" minRId="2996" maxRId="30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299EA85-3339-43A6-B34A-0094170D559F}" dateTime="2020-04-14T16:28:04" maxSheetId="12" userName="EXTERNAL Ly Chung (Ban Vien, RBVH/EPS45)" r:id="rId80" minRId="3006" maxRId="30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27CD588-7FFC-4B16-AB20-0024867199DE}" dateTime="2020-04-14T17:02:48" maxSheetId="12" userName="EXTERNAL Do Phu Loc (Ban Vien, RBVH/EPS45)" r:id="rId81" minRId="30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40A6C5E-6FE7-46D0-BB49-8CE906EE7644}" dateTime="2020-04-14T17:03:49" maxSheetId="12" userName="EXTERNAL Do Phu Loc (Ban Vien, RBVH/EPS45)" r:id="rId82" minRId="3012" maxRId="302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AFCA04A-7C1C-47DB-B9CB-45EB590741F1}" dateTime="2020-04-14T17:04:05" maxSheetId="12" userName="EXTERNAL Do Phu Loc (Ban Vien, RBVH/EPS45)" r:id="rId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601979-5619-4D20-891F-55C18ACB8EA5}" dateTime="2020-04-14T17:06:32" maxSheetId="12" userName="EXTERNAL Do Phu Loc (Ban Vien, RBVH/EPS45)" r:id="rId84" minRId="3026" maxRId="302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B7ED361-A74C-4D33-9248-B00AC116378D}" dateTime="2020-04-14T17:23:09" maxSheetId="12" userName="EXTERNAL Ly Chung (Ban Vien, RBVH/EPS45)" r:id="rId85" minRId="3033" maxRId="304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057AE65-0642-45BE-9647-8BFB54A9D5E1}" dateTime="2020-04-14T17:58:43" maxSheetId="12" userName="EXTERNAL Nguyen Tuan Duong (Ban Vien, RBVH/EPS45)" r:id="rId86" minRId="3046" maxRId="306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2ABE991-D678-494A-B0A2-CA2B288696B4}" dateTime="2020-04-14T17:59:04" maxSheetId="12" userName="EXTERNAL Nguyen Tuan Duong (Ban Vien, RBVH/EPS45)" r:id="rId8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881FB3E-09C6-40C8-8355-2F1AA4607FDE}" dateTime="2020-04-15T08:05:47" maxSheetId="12" userName="EXTERNAL Nguyen Trung Hieu (Ban Vien, RBVH/EPS45)" r:id="rId88" minRId="307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6B51261-D8CB-4EDA-8B0D-6FA6EBCEF5DA}" dateTime="2020-04-15T09:42:40" maxSheetId="12" userName="EXTERNAL Ly Chung (Ban Vien, RBVH/EPS45)" r:id="rId89" minRId="3079" maxRId="308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820A73B-798A-46B4-9D9B-11CDC0079BE9}" dateTime="2020-04-15T09:58:50" maxSheetId="12" userName="EXTERNAL Nguyen Kim Thanh (Ban Vien, RBVH/EPS45)" r:id="rId90" minRId="3092" maxRId="31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15E88D7-9A25-4FE1-96B7-DEEE67487E11}" dateTime="2020-04-15T09:59:42" maxSheetId="12" userName="EXTERNAL Nguyen Kim Thanh (Ban Vien, RBVH/EPS45)" r:id="rId91" minRId="3106" maxRId="31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8E50C23-EE66-40E4-B1C7-9EA7237ACC36}" dateTime="2020-04-15T09:59:50" maxSheetId="12" userName="EXTERNAL Nguyen Kim Thanh (Ban Vien, RBVH/EPS45)" r:id="rId92" minRId="311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E60F7AA-BB0E-4CA9-8222-E41486CA9349}" dateTime="2020-04-15T10:28:28" maxSheetId="12" userName="EXTERNAL Nguyen Tuan Duong (Ban Vien, RBVH/EPS45)" r:id="rId93" minRId="3112" maxRId="311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75BE784-F9A0-4F24-988A-C8F651D80166}" dateTime="2020-04-15T10:30:50" maxSheetId="12" userName="EXTERNAL Ly Chung (Ban Vien, RBVH/EPS45)" r:id="rId94" minRId="3118" maxRId="312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2317CF-FBFB-4A57-9CD7-22734522D551}" dateTime="2020-04-15T11:21:41" maxSheetId="12" userName="EXTERNAL Ly Chung (Ban Vien, RBVH/EPS45)" r:id="rId95" minRId="31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CC4FE15-4062-4C9E-8F35-0BCF13B809AE}" dateTime="2020-04-15T11:56:18" maxSheetId="12" userName="EXTERNAL Nguyen Tuan Duong (Ban Vien, RBVH/EPS45)" r:id="rId96" minRId="3128" maxRId="313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8FA8431-FF43-4233-9879-D03480120834}" dateTime="2020-04-15T14:59:04" maxSheetId="12" userName="EXTERNAL Ly Chung (Ban Vien, RBVH/EPS45)" r:id="rId97" minRId="3144" maxRId="314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27B6949-135F-4AC5-AEEE-852FF2C4CBA0}" dateTime="2020-04-15T15:02:28" maxSheetId="12" userName="EXTERNAL Ly Chung (Ban Vien, RBVH/EPS45)" r:id="rId98" minRId="31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A255438-90F4-46C1-A0B7-DFF3DEA11A2E}" dateTime="2020-04-15T15:30:41" maxSheetId="12" userName="EXTERNAL Ly Chung (Ban Vien, RBVH/EPS45)" r:id="rId99" minRId="3155" maxRId="31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FFFF0F0-4790-45D1-962F-E5F8372BC5E4}" dateTime="2020-04-15T15:44:34" maxSheetId="12" userName="EXTERNAL Ly Chung (Ban Vien, RBVH/EPS45)" r:id="rId100" minRId="3167" maxRId="317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DB94B0F-A8A6-4384-A820-5529276B0D30}" dateTime="2020-04-15T17:13:01" maxSheetId="12" userName="EXTERNAL Nguyen Kim Thanh (Ban Vien, RBVH/EPS45)" r:id="rId101" minRId="3179" maxRId="318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107271B-B297-4C21-9845-D16EB4C3885C}" dateTime="2020-04-15T17:13:06" maxSheetId="12" userName="EXTERNAL Nguyen Kim Thanh (Ban Vien, RBVH/EPS45)" r:id="rId102" minRId="318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3D7E642-0EC5-4958-9B47-D7463D3910E0}" dateTime="2020-04-15T17:13:48" maxSheetId="12" userName="EXTERNAL Nguyen Kim Thanh (Ban Vien, RBVH/EPS45)" r:id="rId103" minRId="31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72C4A40-F0B7-4518-AD53-15B457F9248E}" dateTime="2020-04-15T17:14:10" maxSheetId="12" userName="EXTERNAL Nguyen Kim Thanh (Ban Vien, RBVH/EPS45)" r:id="rId104" minRId="31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6FEAED8-6428-4C53-8F11-C7BFCF267850}" dateTime="2020-04-15T18:00:04" maxSheetId="12" userName="EXTERNAL Nguyen Tuan Duong (Ban Vien, RBVH/EPS45)" r:id="rId105" minRId="3194" maxRId="32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B7C1A90-DA05-4E1F-8B06-316BAF65F96C}" dateTime="2020-04-15T18:04:10" maxSheetId="12" userName="EXTERNAL Nguyen Tuan Duong (Ban Vien, RBVH/EPS45)" r:id="rId106" minRId="3207" maxRId="321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CE3E80D-F35C-4304-AFEA-3E98C750B26E}" dateTime="2020-04-15T18:04:47" maxSheetId="12" userName="EXTERNAL Nguyen Tuan Duong (Ban Vien, RBVH/EPS45)" r:id="rId107" minRId="3221" maxRId="322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A03EA75-92B3-4D31-840F-B96CCBA54753}" dateTime="2020-04-15T18:37:40" maxSheetId="12" userName="EXTERNAL Nguyen Tuan Duong (Ban Vien, RBVH/EPS45)" r:id="rId10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B4A6AD8-ACB3-435C-A030-2227433F4087}" dateTime="2020-04-16T09:41:10" maxSheetId="12" userName="EXTERNAL Do Phu Loc (Ban Vien, RBVH/EPS45)" r:id="rId109" minRId="3227" maxRId="32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D9CA5AE-FB98-4FB1-AB0A-20D08F1074CD}" dateTime="2020-04-16T09:42:31" maxSheetId="12" userName="EXTERNAL Do Phu Loc (Ban Vien, RBVH/EPS45)" r:id="rId110" minRId="3239" maxRId="324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95E51AC-A31E-4EEA-8891-46CCF76F6DD0}" dateTime="2020-04-16T09:43:19" maxSheetId="12" userName="EXTERNAL Nguyen Tuan Duong (Ban Vien, RBVH/EPS45)" r:id="rId111" minRId="3248" maxRId="331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BEB74F6-F136-4677-B702-5B06A233C974}" dateTime="2020-04-16T09:46:26" maxSheetId="12" userName="EXTERNAL Nguyen Tuan Duong (Ban Vien, RBVH/EPS45)" r:id="rId112" minRId="3321" maxRId="354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474E885-47A9-4577-8F41-73BE68A91ABF}" dateTime="2020-04-16T09:48:11" maxSheetId="12" userName="EXTERNAL Nguyen Tuan Duong (Ban Vien, RBVH/EPS45)" r:id="rId113" minRId="3546" maxRId="35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F004EF9-C969-44E2-ACD8-38E5F6D5DE79}" dateTime="2020-04-16T09:49:08" maxSheetId="12" userName="EXTERNAL Nguyen Tuan Duong (Ban Vien, RBVH/EPS45)" r:id="rId114" minRId="3559" maxRId="35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A24D682-BAEA-4148-A43A-5465C5664D7D}" dateTime="2020-04-16T09:51:09" maxSheetId="12" userName="EXTERNAL Nguyen Tuan Duong (Ban Vien, RBVH/EPS45)" r:id="rId11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F8E9143-99EB-44E5-9E96-480F4FAC3585}" dateTime="2020-04-16T09:53:23" maxSheetId="12" userName="EXTERNAL Ly Chung (Ban Vien, RBVH/EPS45)" r:id="rId116" minRId="3568" maxRId="35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55BD181-35D9-4BC5-9D23-51E7F0A802F5}" dateTime="2020-04-16T09:55:55" maxSheetId="12" userName="EXTERNAL Do Phu Loc (Ban Vien, RBVH/EPS45)" r:id="rId117" minRId="358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5647DA5-591C-4557-A4C2-02F0EDC37544}" dateTime="2020-04-16T10:01:51" maxSheetId="12" userName="EXTERNAL Do Phu Loc (Ban Vien, RBVH/EPS45)" r:id="rId118" minRId="3581" maxRId="359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ADD17AE-1BAF-4D4B-8863-46A66661303E}" dateTime="2020-04-16T10:02:09" maxSheetId="12" userName="EXTERNAL Do Phu Loc (Ban Vien, RBVH/EPS45)" r:id="rId11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FE646B4-15C4-42BA-B384-DF4CE5A677A0}" dateTime="2020-04-16T10:10:25" maxSheetId="12" userName="EXTERNAL Nguyen Kim Thanh (Ban Vien, RBVH/EPS45)" r:id="rId120" minRId="3594" maxRId="360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CD010B2-87DF-4935-BC6F-64BDDCC4B554}" dateTime="2020-04-16T10:18:04" maxSheetId="12" userName="EXTERNAL Nguyen Tuan Duong (Ban Vien, RBVH/EPS45)" r:id="rId121" minRId="3608" maxRId="361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6D74F91-FCC7-4B87-9F41-B7B2D68AB7FD}" dateTime="2020-04-16T10:57:38" maxSheetId="12" userName="EXTERNAL Nguyen Kim Thanh (Ban Vien, RBVH/EPS45)" r:id="rId122" minRId="3623" maxRId="363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EBE93CD-1095-4223-BACE-D8DA8BEF56D1}" dateTime="2020-04-16T11:02:27" maxSheetId="12" userName="EXTERNAL Ly Chung (Ban Vien, RBVH/EPS45)" r:id="rId123" minRId="3638" maxRId="36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709F3D7-F575-4B76-B892-72F048790C2D}" dateTime="2020-04-16T11:21:16" maxSheetId="12" userName="EXTERNAL Nguyen Tuan Duong (Ban Vien, RBVH/EPS45)" r:id="rId124" minRId="3654" maxRId="365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C473E33-2B01-4F52-85FC-810567812958}" dateTime="2020-04-16T11:49:39" maxSheetId="12" userName="EXTERNAL Nguyen Kim Thanh (Ban Vien, RBVH/EPS45)" r:id="rId125" minRId="3662" maxRId="367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4DC30BB-6480-4976-938E-E8905AD9C096}" dateTime="2020-04-16T13:04:51" maxSheetId="12" userName="EXTERNAL Ly Chung (Ban Vien, RBVH/EPS45)" r:id="rId126" minRId="3675" maxRId="36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B250A60-A36E-4B92-B109-9DFBB83A6C5F}" dateTime="2020-04-16T13:05:35" maxSheetId="12" userName="EXTERNAL Ly Chung (Ban Vien, RBVH/EPS45)" r:id="rId127" minRId="368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33C33DA-848B-4DBA-8D28-87DA2550AC90}" dateTime="2020-04-16T13:15:19" maxSheetId="12" userName="EXTERNAL Nguyen Kim Thanh (Ban Vien, RBVH/EPS45)" r:id="rId128" minRId="3688" maxRId="36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A8BD08B-47DB-48E4-86BD-1D3B9108210F}" dateTime="2020-04-16T13:15:26" maxSheetId="12" userName="EXTERNAL Ly Chung (Ban Vien, RBVH/EPS45)" r:id="rId129" minRId="3693" maxRId="370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734CB62-EEC5-4EB5-90DB-FCA9F9337D13}" dateTime="2020-04-16T13:24:55" maxSheetId="12" userName="EXTERNAL Ly Chung (Ban Vien, RBVH/EPS45)" r:id="rId130" minRId="37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FC4C968-6466-4344-8E78-A58A14FBC5B6}" dateTime="2020-04-16T13:25:01" maxSheetId="12" userName="EXTERNAL Nguyen Kim Thanh (Ban Vien, RBVH/EPS45)" r:id="rId131" minRId="370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FFE01EE-3D06-4C74-9BC7-2FC5C862CAB6}" dateTime="2020-04-16T13:25:17" maxSheetId="12" userName="EXTERNAL Nguyen Kim Thanh (Ban Vien, RBVH/EPS45)" r:id="rId13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2089B9E-8D24-4388-833F-B183F79B5B91}" dateTime="2020-04-16T13:25:25" maxSheetId="12" userName="EXTERNAL Nguyen Kim Thanh (Ban Vien, RBVH/EPS45)" r:id="rId133" minRId="3714" maxRId="37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A073432-D11C-485C-A0FF-F8A81C37278B}" dateTime="2020-04-16T13:27:11" maxSheetId="12" userName="EXTERNAL Ly Chung (Ban Vien, RBVH/EPS45)" r:id="rId134" minRId="372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0DAE2A9-AF2F-47D1-B017-93867879E472}" dateTime="2020-04-16T13:27:15" maxSheetId="12" userName="EXTERNAL Nguyen Tuan Duong (Ban Vien, RBVH/EPS45)" r:id="rId13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CF11E3BE-9086-4FDD-A9E5-4906B3A82ACF}" dateTime="2020-04-16T13:27:18" maxSheetId="12" userName="EXTERNAL Nguyen Tuan Duong (Ban Vien, RBVH/EPS45)" r:id="rId136" minRId="372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65AD79E-602F-4E95-94C5-4F12B533B1E2}" dateTime="2020-04-16T13:27:22" maxSheetId="12" userName="EXTERNAL Nguyen Tuan Duong (Ban Vien, RBVH/EPS45)" r:id="rId137" minRId="3730" maxRId="373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05E2D1F-3E17-45FB-A4A4-E503C303D615}" dateTime="2020-04-16T13:45:27" maxSheetId="12" userName="EXTERNAL Nguyen Kim Thanh (Ban Vien, RBVH/EPS45)" r:id="rId138" minRId="3736" maxRId="374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5C6A103-E8BB-46F6-BA60-02A228F0F551}" dateTime="2020-04-16T13:46:40" maxSheetId="12" userName="EXTERNAL Do Phu Loc (Ban Vien, RBVH/EPS45)" r:id="rId139" minRId="3749" maxRId="37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2DB05883-9259-420D-AD48-5371D40F2597}" dateTime="2020-04-16T14:11:23" maxSheetId="12" userName="EXTERNAL Nguyen Kim Thanh (Ban Vien, RBVH/EPS45)" r:id="rId140" minRId="3758" maxRId="376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E021951-1E9C-413D-B37A-523474FACAF0}" dateTime="2020-04-16T14:11:39" maxSheetId="12" userName="EXTERNAL Nguyen Kim Thanh (Ban Vien, RBVH/EPS45)" r:id="rId141" minRId="3764" maxRId="37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0A2022B-2886-4DC6-9173-0630421D8479}" dateTime="2020-04-16T14:24:49" maxSheetId="12" userName="EXTERNAL Nguyen Kim Thanh (Ban Vien, RBVH/EPS45)" r:id="rId142" minRId="3774" maxRId="37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EE1E6DF-C6D9-4801-B97C-359C55A29E97}" dateTime="2020-04-16T14:30:10" maxSheetId="12" userName="EXTERNAL Nguyen Kim Thanh (Ban Vien, RBVH/EPS45)" r:id="rId143" minRId="3787" maxRId="378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AE6B25E-BF6D-49EE-8D12-145EE0FCE04C}" dateTime="2020-04-16T14:30:16" maxSheetId="12" userName="EXTERNAL Nguyen Kim Thanh (Ban Vien, RBVH/EPS45)" r:id="rId144" minRId="3793" maxRId="3799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9325871-2125-4654-B684-106ED9973E06}" dateTime="2020-04-16T14:40:06" maxSheetId="12" userName="EXTERNAL Nguyen Kim Thanh (Ban Vien, RBVH/EPS45)" r:id="rId145" minRId="3803" maxRId="380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60B4783-DEBE-4026-936E-13D685C8F200}" dateTime="2020-04-16T14:40:11" maxSheetId="12" userName="EXTERNAL Nguyen Kim Thanh (Ban Vien, RBVH/EPS45)" r:id="rId146" minRId="3809" maxRId="381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A8494BC-EF23-4A41-86DA-65095E9244C1}" dateTime="2020-04-16T15:02:36" maxSheetId="12" userName="EXTERNAL Nguyen Tuan Duong (Ban Vien, RBVH/EPS45)" r:id="rId147" minRId="3819" maxRId="382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10B1509-1B80-401C-AF92-1C1A0B64A58F}" dateTime="2020-04-16T15:10:42" maxSheetId="12" userName="EXTERNAL Do Phu Loc (Ban Vien, RBVH/EPS45)" r:id="rId148" minRId="3832" maxRId="3837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A7ECE18-DAC7-471E-AA84-61ADA9C17F8B}" dateTime="2020-04-16T15:11:40" maxSheetId="12" userName="EXTERNAL Do Phu Loc (Ban Vien, RBVH/EPS45)" r:id="rId149" minRId="3838" maxRId="384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390FD20-148E-41FE-B935-5B25EA235BF6}" dateTime="2020-04-16T15:23:11" maxSheetId="12" userName="EXTERNAL Do Phu Loc (Ban Vien, RBVH/EPS45)" r:id="rId15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B674EF1-DE4F-471F-8EF0-64201A6A14BA}" dateTime="2020-04-16T15:29:09" maxSheetId="12" userName="EXTERNAL Nguyen Tuan Duong (Ban Vien, RBVH/EPS45)" r:id="rId1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993FCA2-4206-427B-88BC-89030ECAB0FA}" dateTime="2020-04-16T15:37:10" maxSheetId="12" userName="EXTERNAL Do Phu Loc (Ban Vien, RBVH/EPS45)" r:id="rId152" minRId="3854" maxRId="389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17472A-BE8B-4404-BEA1-C3BA89F254CF}" dateTime="2020-04-16T15:41:37" maxSheetId="12" userName="EXTERNAL Do Phu Loc (Ban Vien, RBVH/EPS45)" r:id="rId153" minRId="3894" maxRId="389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8F743E0-93B7-4189-8696-0303C2CEFB3A}" dateTime="2020-04-16T15:42:00" maxSheetId="12" userName="EXTERNAL Do Phu Loc (Ban Vien, RBVH/EPS45)" r:id="rId15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CD9277A-A6A7-4687-BC00-1D306DEE9D0E}" dateTime="2020-04-16T15:46:01" maxSheetId="12" userName="EXTERNAL Nguyen Tuan Duong (Ban Vien, RBVH/EPS45)" r:id="rId155" minRId="3905" maxRId="390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919580B2-041C-483A-9F34-74BF1DB1E5BC}" dateTime="2020-04-16T15:52:51" maxSheetId="12" userName="EXTERNAL Do Phu Loc (Ban Vien, RBVH/EPS45)" r:id="rId156" minRId="3911" maxRId="392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96DD091-45AB-4704-8967-871ABA2F856F}" dateTime="2020-04-16T16:10:49" maxSheetId="12" userName="EXTERNAL Nguyen Kim Thanh (Ban Vien, RBVH/EPS45)" r:id="rId157" minRId="3924" maxRId="392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E229A15A-52E4-444B-9048-EC0ECA737DB0}" dateTime="2020-04-16T16:12:17" maxSheetId="12" userName="EXTERNAL Nguyen Kim Thanh (Ban Vien, RBVH/EPS45)" r:id="rId158" minRId="3930" maxRId="393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129F8A2-57D1-4413-AC35-82E959E7A481}" dateTime="2020-04-16T16:12:25" maxSheetId="12" userName="EXTERNAL Nguyen Tuan Duong (Ban Vien, RBVH/EPS45)" r:id="rId159" minRId="3940" maxRId="394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0F9CC264-6CC9-476E-BDEB-BFE464BCF13B}" dateTime="2020-04-16T16:31:12" maxSheetId="12" userName="EXTERNAL Nguyen Tuan Duong (Ban Vien, RBVH/EPS45)" r:id="rId160" minRId="3953" maxRId="395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1B015C55-BD38-454C-9B14-D1E93CAB441B}" dateTime="2020-04-16T16:31:51" maxSheetId="12" userName="EXTERNAL Do Phu Loc (Ban Vien, RBVH/EPS45)" r:id="rId161" minRId="3961" maxRId="3970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7F2DF20D-57F1-46AA-B267-C260D680972B}" dateTime="2020-04-16T16:35:11" maxSheetId="12" userName="EXTERNAL Nguyen Kim Thanh (Ban Vien, RBVH/EPS45)" r:id="rId162" minRId="3974" maxRId="398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F67D8D44-74E2-4485-ACE8-18718CC4BD1A}" dateTime="2020-04-16T17:02:30" maxSheetId="12" userName="EXTERNAL Do Phu Loc (Ban Vien, RBVH/EPS45)" r:id="rId163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6EB54014-FC89-4870-B114-3A7E4346CE79}" dateTime="2020-04-16T17:02:55" maxSheetId="12" userName="EXTERNAL Do Phu Loc (Ban Vien, RBVH/EPS45)" r:id="rId164" minRId="3987" maxRId="399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4F6FF6C-04EC-4496-8EC1-C3385F4B9312}" dateTime="2020-04-16T17:03:28" maxSheetId="12" userName="EXTERNAL Do Phu Loc (Ban Vien, RBVH/EPS45)" r:id="rId16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52BE2CF5-BBD1-481F-8567-ED61C7FAB499}" dateTime="2020-04-16T17:04:14" maxSheetId="12" userName="EXTERNAL Do Phu Loc (Ban Vien, RBVH/EPS45)" r:id="rId16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46D3D80-3369-4D52-8989-BAA11063FDDC}" dateTime="2020-04-16T17:14:06" maxSheetId="12" userName="EXTERNAL Nguyen Kim Thanh (Ban Vien, RBVH/EPS45)" r:id="rId167" minRId="4003" maxRId="4012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A3B542E6-7D33-451E-9C19-73FCC4E76C06}" dateTime="2020-04-16T17:44:01" maxSheetId="12" userName="EXTERNAL Do Phu Loc (Ban Vien, RBVH/EPS45)" r:id="rId168" minRId="4016" maxRId="402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E2613D1-158C-42AD-9E3B-82C9BFD8112A}" dateTime="2020-04-16T17:44:43" maxSheetId="12" userName="EXTERNAL Nguyen Kim Thanh (Ban Vien, RBVH/EPS45)" r:id="rId169" minRId="4029" maxRId="403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49BF2876-5741-4044-AB3C-5C12E78927F7}" dateTime="2020-04-16T18:11:35" maxSheetId="12" userName="EXTERNAL Do Phu Loc (Ban Vien, RBVH/EPS45)" r:id="rId170" minRId="4042" maxRId="4051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5DCF9AA-1443-42FA-A6A5-3E327179B662}" dateTime="2020-04-16T18:17:16" maxSheetId="12" userName="EXTERNAL Do Phu Loc (Ban Vien, RBVH/EPS45)" r:id="rId171" minRId="4055" maxRId="406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E87095E-6F50-4191-A937-4A8C371E0A39}" dateTime="2020-04-16T18:25:08" maxSheetId="12" userName="EXTERNAL Do Phu Loc (Ban Vien, RBVH/EPS45)" r:id="rId172" minRId="4068" maxRId="40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BEBE3087-38E1-4FB2-846D-3E7A21CF7C46}" dateTime="2020-04-16T18:39:46" maxSheetId="12" userName="EXTERNAL Do Phu Loc (Ban Vien, RBVH/EPS45)" r:id="rId173" minRId="4080" maxRId="4088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825BF199-B843-4A1F-94FC-8FC42E92167C}" dateTime="2020-04-16T18:41:17" maxSheetId="12" userName="EXTERNAL Do Phu Loc (Ban Vien, RBVH/EPS45)" r:id="rId174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349A0F9B-ED37-417E-B6B3-15D266BB6B5A}" dateTime="2020-04-16T19:00:22" maxSheetId="12" userName="EXTERNAL Nguyen Tuan Duong (Ban Vien, RBVH/EPS45)" r:id="rId175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  <header guid="{D66C6253-FC4C-4E1A-86E4-AD7151E13D14}" dateTime="2020-04-16T19:00:26" maxSheetId="12" userName="EXTERNAL Nguyen Tuan Duong (Ban Vien, RBVH/EPS45)" r:id="rId176">
    <sheetIdMap count="11">
      <sheetId val="1"/>
      <sheetId val="2"/>
      <sheetId val="3"/>
      <sheetId val="4"/>
      <sheetId val="5"/>
      <sheetId val="6"/>
      <sheetId val="7"/>
      <sheetId val="8"/>
      <sheetId val="9"/>
      <sheetId val="10"/>
      <sheetId val="11"/>
    </sheetIdMap>
  </header>
</headers>
</file>

<file path=xl/revisions/revisionLog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/>
</file>

<file path=xl/revisions/revisionLog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24">
    <dxf>
      <fill>
        <patternFill patternType="solid">
          <bgColor rgb="FFFF0000"/>
        </patternFill>
      </fill>
    </dxf>
  </rfmt>
  <rcc rId="1" sId="4">
    <oc r="S124">
      <f>R124</f>
    </oc>
    <nc r="S124">
      <f>R124 + 164 -R124</f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COEM_Package_20200401!$B$2:$AH$180</formula>
    <oldFormula>COEM_Package_20200401!$B$2:$AH$180</oldFormula>
  </rdn>
  <rcv guid="{60D2C030-4E31-4E07-8E1C-44D2EE84B177}" action="add"/>
</revisions>
</file>

<file path=xl/revisions/revisionLog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" sId="4">
    <nc r="T124">
      <f>S124</f>
    </nc>
  </rcc>
  <rcc rId="6" sId="4">
    <nc r="T125">
      <f>S125</f>
    </nc>
  </rcc>
</revisions>
</file>

<file path=xl/revisions/revisionLog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7" sId="4">
    <nc r="U124">
      <f>ROUNDDOWN(S124/HLOOKUP(D124,Table!$C$3:$D$4,2,0)*8,2)</f>
    </nc>
  </rcc>
  <rcc rId="8" sId="4">
    <nc r="U125">
      <f>ROUNDDOWN(S125/HLOOKUP(D125,Table!$C$3:$D$4,2,0)*8,2)</f>
    </nc>
  </rcc>
  <rcc rId="9" sId="4">
    <nc r="T126">
      <f>S126</f>
    </nc>
  </rcc>
  <rcc rId="10" sId="4">
    <nc r="U126">
      <f>ROUNDDOWN(S126/HLOOKUP(D126,Table!$C$3:$D$4,2,0)*8,2)</f>
    </nc>
  </rcc>
  <rcc rId="11" sId="4">
    <nc r="V124">
      <v>2</v>
    </nc>
  </rcc>
  <rcc rId="12" sId="4">
    <nc r="V125">
      <v>1</v>
    </nc>
  </rcc>
  <rcc rId="13" sId="4">
    <nc r="V126">
      <v>1</v>
    </nc>
  </rcc>
  <rcc rId="14" sId="4">
    <nc r="W124" t="inlineStr">
      <is>
        <t>Ready for review</t>
      </is>
    </nc>
  </rcc>
  <rcc rId="15" sId="4">
    <nc r="W125" t="inlineStr">
      <is>
        <t>Ready for review</t>
      </is>
    </nc>
  </rcc>
  <rcc rId="16" sId="4">
    <nc r="W126" t="inlineStr">
      <is>
        <t>Ready for review</t>
      </is>
    </nc>
  </rcc>
  <rcc rId="17" sId="4">
    <nc r="AB126" t="inlineStr">
      <is>
        <t>NG</t>
      </is>
    </nc>
  </rcc>
  <rcc rId="18" sId="4" odxf="1" dxf="1">
    <nc r="AB124" t="inlineStr">
      <is>
        <t>OK</t>
      </is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9" formatCode="m/d/yyyy"/>
    </ndxf>
  </rcc>
  <rcc rId="19" sId="4" odxf="1" dxf="1">
    <nc r="AB125" t="inlineStr">
      <is>
        <t>OK</t>
      </is>
    </nc>
    <odxf>
      <font>
        <color auto="1"/>
      </font>
      <numFmt numFmtId="0" formatCode="General"/>
    </odxf>
    <ndxf>
      <font>
        <sz val="11"/>
        <color theme="1"/>
        <name val="Calibri"/>
        <scheme val="minor"/>
      </font>
      <numFmt numFmtId="19" formatCode="m/d/yyyy"/>
    </ndxf>
  </rcc>
  <rcc rId="20" sId="4" odxf="1" dxf="1">
    <nc r="AC124">
      <v>100</v>
    </nc>
    <odxf>
      <font>
        <color auto="1"/>
      </font>
    </odxf>
    <ndxf>
      <font>
        <sz val="11"/>
        <color theme="1"/>
        <name val="Calibri"/>
        <scheme val="minor"/>
      </font>
    </ndxf>
  </rcc>
  <rcc rId="21" sId="4" odxf="1" dxf="1">
    <nc r="AD124">
      <v>100</v>
    </nc>
    <odxf>
      <font>
        <color auto="1"/>
      </font>
    </odxf>
    <ndxf>
      <font>
        <sz val="11"/>
        <color theme="1"/>
        <name val="Calibri"/>
        <scheme val="minor"/>
      </font>
    </ndxf>
  </rcc>
  <rcc rId="22" sId="4" odxf="1" dxf="1">
    <nc r="AE124">
      <v>100</v>
    </nc>
    <odxf>
      <font>
        <color auto="1"/>
      </font>
    </odxf>
    <ndxf>
      <font>
        <sz val="11"/>
        <color theme="1"/>
        <name val="Calibri"/>
        <scheme val="minor"/>
      </font>
    </ndxf>
  </rcc>
  <rcc rId="23" sId="4">
    <nc r="AF124" t="inlineStr">
      <is>
        <t>N/A</t>
      </is>
    </nc>
  </rcc>
  <rcc rId="24" sId="4" odxf="1" dxf="1">
    <nc r="AC125">
      <v>100</v>
    </nc>
    <odxf>
      <font>
        <color auto="1"/>
      </font>
    </odxf>
    <ndxf>
      <font>
        <sz val="11"/>
        <color theme="1"/>
        <name val="Calibri"/>
        <scheme val="minor"/>
      </font>
    </ndxf>
  </rcc>
  <rcc rId="25" sId="4" odxf="1" dxf="1">
    <nc r="AD125">
      <v>100</v>
    </nc>
    <odxf>
      <font>
        <color auto="1"/>
      </font>
    </odxf>
    <ndxf>
      <font>
        <sz val="11"/>
        <color theme="1"/>
        <name val="Calibri"/>
        <scheme val="minor"/>
      </font>
    </ndxf>
  </rcc>
  <rcc rId="26" sId="4" odxf="1" dxf="1">
    <nc r="AE125">
      <v>100</v>
    </nc>
    <odxf>
      <font>
        <color auto="1"/>
      </font>
    </odxf>
    <ndxf>
      <font>
        <sz val="11"/>
        <color theme="1"/>
        <name val="Calibri"/>
        <scheme val="minor"/>
      </font>
    </ndxf>
  </rcc>
  <rcc rId="27" sId="4">
    <nc r="AF125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COEM_Package_20200401!$B$2:$AH$180</formula>
    <oldFormula>COEM_Package_20200401!$B$2:$AH$180</oldFormula>
  </rdn>
  <rcv guid="{60D2C030-4E31-4E07-8E1C-44D2EE84B177}" action="add"/>
</revisions>
</file>

<file path=xl/revisions/revisionLog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" sId="4">
    <nc r="AF126" t="inlineStr">
      <is>
        <t>OPL</t>
      </is>
    </nc>
  </rcc>
  <rcc rId="32" sId="4">
    <nc r="AC126">
      <v>88</v>
    </nc>
  </rcc>
  <rcc rId="33" sId="4">
    <nc r="AD126">
      <v>68</v>
    </nc>
  </rcc>
  <rcc rId="34" sId="4">
    <nc r="AE126">
      <v>30</v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COEM_Package_20200401!$B$2:$AH$180</formula>
    <oldFormula>COEM_Package_20200401!$B$2:$AH$180</oldFormula>
  </rdn>
  <rcv guid="{60D2C030-4E31-4E07-8E1C-44D2EE84B177}" action="add"/>
</revisions>
</file>

<file path=xl/revisions/revisionLog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" sId="4" quotePrefix="1">
    <oc r="AG126" t="inlineStr">
      <is>
        <t>-</t>
      </is>
    </oc>
    <nc r="AG126" t="inlineStr">
      <is>
        <t xml:space="preserve">ignore 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COEM_Package_20200401!$B$2:$AH$180</formula>
    <oldFormula>COEM_Package_20200401!$B$2:$AH$180</oldFormula>
  </rdn>
  <rcv guid="{60D2C030-4E31-4E07-8E1C-44D2EE84B177}" action="add"/>
</revisions>
</file>

<file path=xl/revisions/revisionLog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COEM_Package_20200401!$B$2:$AH$180</formula>
    <oldFormula>COEM_Package_20200401!$B$2:$AH$180</oldFormula>
  </rdn>
  <rcv guid="{7E0EA425-A420-4443-B9E0-CDF0AA9E5D09}" action="add"/>
</revisions>
</file>

<file path=xl/revisions/revisionLog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5" sId="4">
    <oc r="O166" t="inlineStr">
      <is>
        <t>chung.ly</t>
      </is>
    </oc>
    <nc r="O166" t="inlineStr">
      <is>
        <t>duong.nguyen</t>
      </is>
    </nc>
  </rcc>
  <rcc rId="46" sId="4">
    <oc r="O172" t="inlineStr">
      <is>
        <t>chung.ly</t>
      </is>
    </oc>
    <nc r="O172" t="inlineStr">
      <is>
        <t>duong.nguyen</t>
      </is>
    </nc>
  </rcc>
  <rcc rId="47" sId="4">
    <oc r="O171" t="inlineStr">
      <is>
        <t>chung.ly</t>
      </is>
    </oc>
    <nc r="O171" t="inlineStr">
      <is>
        <t>duong.nguyen</t>
      </is>
    </nc>
  </rcc>
  <rcc rId="48" sId="4">
    <oc r="O170" t="inlineStr">
      <is>
        <t>chung.ly</t>
      </is>
    </oc>
    <nc r="O170" t="inlineStr">
      <is>
        <t>duong.nguyen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COEM_Package_20200401!$B$2:$AH$180</formula>
    <oldFormula>COEM_Package_20200401!$B$2:$AH$180</oldFormula>
  </rdn>
  <rcv guid="{7E0EA425-A420-4443-B9E0-CDF0AA9E5D09}" action="add"/>
</revisions>
</file>

<file path=xl/revisions/revisionLog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2" sId="4">
    <oc r="O154" t="inlineStr">
      <is>
        <t>duong.nguyen</t>
      </is>
    </oc>
    <nc r="O154" t="inlineStr">
      <is>
        <t>chung.ly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COEM_Package_20200401!$B$2:$AH$180</formula>
    <oldFormula>COEM_Package_20200401!$B$2:$AH$180</oldFormula>
  </rdn>
  <rcv guid="{7E0EA425-A420-4443-B9E0-CDF0AA9E5D09}" action="add"/>
</revisions>
</file>

<file path=xl/revisions/revisionLog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COEM_Package_20200401!$B$2:$AH$180</formula>
    <oldFormula>COEM_Package_20200401!$B$2:$AH$180</oldFormula>
  </rdn>
  <rcv guid="{60D2C030-4E31-4E07-8E1C-44D2EE84B177}" action="add"/>
</revisions>
</file>

<file path=xl/revisions/revisionLog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9" sId="4" xfDxf="1" dxf="1" quotePrefix="1">
    <oc r="F154" t="inlineStr">
      <is>
        <t>rb/as/twp/core/app/dcom/rbaplcust</t>
      </is>
    </oc>
    <nc r="F154" t="inlineStr">
      <is>
        <t>ABS_103_ME_SMC\rb\as\twp\core\app\dcom\RBAPLCust\src\SMC_MC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sqref="F154">
    <dxf>
      <fill>
        <patternFill patternType="solid">
          <bgColor rgb="FFFF0000"/>
        </patternFill>
      </fill>
    </dxf>
  </rfmt>
</revisions>
</file>

<file path=xl/revisions/revisionLog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COEM_Package_20200401!$B$2:$AH$180</formula>
    <oldFormula>COEM_Package_20200401!$B$2:$AH$180</oldFormula>
  </rdn>
  <rcv guid="{7E0EA425-A420-4443-B9E0-CDF0AA9E5D09}" action="add"/>
</revisions>
</file>

<file path=xl/revisions/revisionLog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28:H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fmt sheetId="4" sqref="H75:H7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COEM_Package_20200401!$B$2:$AH$180</formula>
    <oldFormula>COEM_Package_20200401!$B$2:$AH$180</oldFormula>
  </rdn>
  <rcv guid="{72A6EB0A-84D5-4B8A-AC51-54CCD061630B}" action="add"/>
</revisions>
</file>

<file path=xl/revisions/revisionLog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66" sId="4" ref="A178:XFD180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undo index="0" exp="area" ref3D="1" dr="$P$1:$Q$1048576" dn="Z_D1F7047B_CC2E_48BC_8022_C8013AE2B1E1_.wvu.Cols" sId="4"/>
  </rrc>
  <rfmt sheetId="4" sqref="B178" start="0" length="0">
    <dxf>
      <fill>
        <patternFill patternType="none">
          <bgColor indexed="65"/>
        </patternFill>
      </fill>
    </dxf>
  </rfmt>
  <rfmt sheetId="4" sqref="B179" start="0" length="0">
    <dxf>
      <fill>
        <patternFill patternType="none">
          <bgColor indexed="65"/>
        </patternFill>
      </fill>
    </dxf>
  </rfmt>
  <rfmt sheetId="4" sqref="B180" start="0" length="0">
    <dxf>
      <fill>
        <patternFill patternType="none">
          <bgColor indexed="65"/>
        </patternFill>
      </fill>
    </dxf>
  </rfmt>
  <rcc rId="67" sId="4" odxf="1" dxf="1">
    <nc r="B178">
      <f>B177+1</f>
    </nc>
    <ndxf>
      <fill>
        <patternFill patternType="solid">
          <bgColor theme="8" tint="0.59999389629810485"/>
        </patternFill>
      </fill>
    </ndxf>
  </rcc>
  <rfmt sheetId="4" sqref="B179" start="0" length="0">
    <dxf>
      <fill>
        <patternFill patternType="solid">
          <bgColor theme="8" tint="0.59999389629810485"/>
        </patternFill>
      </fill>
    </dxf>
  </rfmt>
  <rfmt sheetId="4" sqref="B180" start="0" length="0">
    <dxf>
      <fill>
        <patternFill patternType="solid">
          <bgColor theme="8" tint="0.59999389629810485"/>
        </patternFill>
      </fill>
    </dxf>
  </rfmt>
  <rfmt sheetId="4" sqref="B181" start="0" length="0">
    <dxf>
      <fill>
        <patternFill patternType="solid">
          <bgColor theme="8" tint="0.59999389629810485"/>
        </patternFill>
      </fill>
    </dxf>
  </rfmt>
  <rfmt sheetId="4" sqref="B182" start="0" length="0">
    <dxf>
      <fill>
        <patternFill patternType="solid">
          <bgColor theme="8" tint="0.59999389629810485"/>
        </patternFill>
      </fill>
    </dxf>
  </rfmt>
  <rfmt sheetId="4" sqref="B183" start="0" length="0">
    <dxf>
      <fill>
        <patternFill patternType="solid">
          <bgColor theme="8" tint="0.59999389629810485"/>
        </patternFill>
      </fill>
    </dxf>
  </rfmt>
  <rfmt sheetId="4" sqref="B178:B183">
    <dxf>
      <fill>
        <patternFill patternType="none">
          <bgColor auto="1"/>
        </patternFill>
      </fill>
    </dxf>
  </rfmt>
  <rrc rId="68" sId="4" ref="A179:XFD183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undo index="0" exp="area" ref3D="1" dr="$P$1:$Q$1048576" dn="Z_D1F7047B_CC2E_48BC_8022_C8013AE2B1E1_.wvu.Cols" sId="4"/>
  </rrc>
  <rrc rId="69" sId="4" ref="A179:XFD188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undo index="0" exp="area" ref3D="1" dr="$P$1:$Q$1048576" dn="Z_D1F7047B_CC2E_48BC_8022_C8013AE2B1E1_.wvu.Cols" sId="4"/>
  </rrc>
  <rrc rId="70" sId="4" ref="A179:XFD198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undo index="0" exp="area" ref3D="1" dr="$P$1:$Q$1048576" dn="Z_D1F7047B_CC2E_48BC_8022_C8013AE2B1E1_.wvu.Cols" sId="4"/>
  </rrc>
  <rcc rId="71" sId="4">
    <nc r="B179">
      <f>B178+1</f>
    </nc>
  </rcc>
  <rrc rId="72" sId="4" ref="A206:XFD218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undo index="0" exp="area" ref3D="1" dr="$P$1:$Q$1048576" dn="Z_D1F7047B_CC2E_48BC_8022_C8013AE2B1E1_.wvu.Cols" sId="4"/>
  </rrc>
  <rcc rId="73" sId="4">
    <nc r="B180">
      <f>B179+1</f>
    </nc>
  </rcc>
  <rcc rId="74" sId="4">
    <nc r="B181">
      <f>B180+1</f>
    </nc>
  </rcc>
  <rcc rId="75" sId="4">
    <nc r="B182">
      <f>B181+1</f>
    </nc>
  </rcc>
  <rcc rId="76" sId="4">
    <nc r="B183">
      <f>B182+1</f>
    </nc>
  </rcc>
  <rcc rId="77" sId="4">
    <nc r="B184">
      <f>B183+1</f>
    </nc>
  </rcc>
  <rcc rId="78" sId="4">
    <nc r="B185">
      <f>B184+1</f>
    </nc>
  </rcc>
  <rcc rId="79" sId="4">
    <nc r="B186">
      <f>B185+1</f>
    </nc>
  </rcc>
  <rcc rId="80" sId="4">
    <nc r="B187">
      <f>B186+1</f>
    </nc>
  </rcc>
  <rcc rId="81" sId="4">
    <nc r="B188">
      <f>B187+1</f>
    </nc>
  </rcc>
  <rcc rId="82" sId="4">
    <nc r="B189">
      <f>B188+1</f>
    </nc>
  </rcc>
  <rcc rId="83" sId="4">
    <nc r="B190">
      <f>B189+1</f>
    </nc>
  </rcc>
  <rcc rId="84" sId="4">
    <nc r="B191">
      <f>B190+1</f>
    </nc>
  </rcc>
  <rcc rId="85" sId="4">
    <nc r="B192">
      <f>B191+1</f>
    </nc>
  </rcc>
  <rcc rId="86" sId="4">
    <nc r="B193">
      <f>B192+1</f>
    </nc>
  </rcc>
  <rcc rId="87" sId="4">
    <nc r="B194">
      <f>B193+1</f>
    </nc>
  </rcc>
  <rcc rId="88" sId="4">
    <nc r="B195">
      <f>B194+1</f>
    </nc>
  </rcc>
  <rcc rId="89" sId="4">
    <nc r="B196">
      <f>B195+1</f>
    </nc>
  </rcc>
  <rcc rId="90" sId="4">
    <nc r="B197">
      <f>B196+1</f>
    </nc>
  </rcc>
  <rcc rId="91" sId="4">
    <nc r="B198">
      <f>B197+1</f>
    </nc>
  </rcc>
  <rcc rId="92" sId="4">
    <nc r="B199">
      <f>B198+1</f>
    </nc>
  </rcc>
  <rcc rId="93" sId="4">
    <nc r="B200">
      <f>B199+1</f>
    </nc>
  </rcc>
  <rcc rId="94" sId="4">
    <nc r="B201">
      <f>B200+1</f>
    </nc>
  </rcc>
  <rcc rId="95" sId="4">
    <nc r="B202">
      <f>B201+1</f>
    </nc>
  </rcc>
  <rcc rId="96" sId="4">
    <nc r="B203">
      <f>B202+1</f>
    </nc>
  </rcc>
  <rcc rId="97" sId="4">
    <nc r="B204">
      <f>B203+1</f>
    </nc>
  </rcc>
  <rcc rId="98" sId="4">
    <nc r="B205">
      <f>B204+1</f>
    </nc>
  </rcc>
  <rcc rId="99" sId="4">
    <nc r="B206">
      <f>B205+1</f>
    </nc>
  </rcc>
  <rcc rId="100" sId="4">
    <nc r="B207">
      <f>B206+1</f>
    </nc>
  </rcc>
  <rcc rId="101" sId="4">
    <nc r="B208">
      <f>B207+1</f>
    </nc>
  </rcc>
  <rcc rId="102" sId="4">
    <nc r="B209">
      <f>B208+1</f>
    </nc>
  </rcc>
  <rcc rId="103" sId="4">
    <nc r="B210">
      <f>B209+1</f>
    </nc>
  </rcc>
  <rcc rId="104" sId="4">
    <nc r="B211">
      <f>B210+1</f>
    </nc>
  </rcc>
  <rcc rId="105" sId="4">
    <nc r="B212">
      <f>B211+1</f>
    </nc>
  </rcc>
  <rcc rId="106" sId="4">
    <nc r="B213">
      <f>B212+1</f>
    </nc>
  </rcc>
  <rcc rId="107" sId="4">
    <nc r="B214">
      <f>B213+1</f>
    </nc>
  </rcc>
  <rcc rId="108" sId="4">
    <nc r="B215">
      <f>B214+1</f>
    </nc>
  </rcc>
  <rcc rId="109" sId="4">
    <nc r="B216">
      <f>B215+1</f>
    </nc>
  </rcc>
  <rcc rId="110" sId="4">
    <nc r="B217">
      <f>B216+1</f>
    </nc>
  </rcc>
  <rcc rId="111" sId="4">
    <nc r="B218">
      <f>B217+1</f>
    </nc>
  </rcc>
  <rcc rId="112" sId="4">
    <nc r="B219">
      <f>B218+1</f>
    </nc>
  </rcc>
  <rcc rId="113" sId="4">
    <nc r="B220">
      <f>B219+1</f>
    </nc>
  </rcc>
  <rcc rId="114" sId="4">
    <nc r="B221">
      <f>B220+1</f>
    </nc>
  </rcc>
  <rcc rId="115" sId="4">
    <nc r="B222">
      <f>B221+1</f>
    </nc>
  </rcc>
  <rrc rId="116" sId="4" ref="A223:XFD231" action="insertRow">
    <undo index="0" exp="area" ref3D="1" dr="$P$1:$Q$1048576" dn="Z_7E0EA425_A420_4443_B9E0_CDF0AA9E5D09_.wvu.Cols" sId="4"/>
    <undo index="0" exp="area" ref3D="1" dr="$M$1:$N$1048576" dn="Z_7ECC2B8E_6A82_42F5_8AB0_4A51C54EA5EC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undo index="0" exp="area" ref3D="1" dr="$P$1:$Q$1048576" dn="Z_D1F7047B_CC2E_48BC_8022_C8013AE2B1E1_.wvu.Cols" sId="4"/>
  </rrc>
  <rcc rId="117" sId="4">
    <nc r="B223">
      <f>B222+1</f>
    </nc>
  </rcc>
  <rcc rId="118" sId="4">
    <nc r="B224">
      <f>B223+1</f>
    </nc>
  </rcc>
  <rcc rId="119" sId="4">
    <nc r="B225">
      <f>B224+1</f>
    </nc>
  </rcc>
  <rcc rId="120" sId="4">
    <nc r="B226">
      <f>B225+1</f>
    </nc>
  </rcc>
  <rcc rId="121" sId="4">
    <nc r="B227">
      <f>B226+1</f>
    </nc>
  </rcc>
  <rcc rId="122" sId="4">
    <nc r="B228">
      <f>B227+1</f>
    </nc>
  </rcc>
  <rcc rId="123" sId="4">
    <nc r="B229">
      <f>B228+1</f>
    </nc>
  </rcc>
  <rcc rId="124" sId="4">
    <nc r="B230">
      <f>B229+1</f>
    </nc>
  </rcc>
  <rcc rId="125" sId="4">
    <nc r="B231">
      <f>B230+1</f>
    </nc>
  </rcc>
  <rcc rId="126" sId="4">
    <nc r="B232">
      <f>B231+1</f>
    </nc>
  </rcc>
  <rcc rId="127" sId="4">
    <nc r="B233">
      <f>B232+1</f>
    </nc>
  </rcc>
  <rcc rId="128" sId="4">
    <nc r="B234">
      <f>B233+1</f>
    </nc>
  </rcc>
  <rcc rId="129" sId="4">
    <nc r="B235">
      <f>B234+1</f>
    </nc>
  </rcc>
  <rcc rId="130" sId="4">
    <nc r="B236">
      <f>B235+1</f>
    </nc>
  </rcc>
  <rcc rId="131" sId="4">
    <nc r="B237">
      <f>B236+1</f>
    </nc>
  </rcc>
  <rcc rId="132" sId="4">
    <oc r="B238">
      <f>B177+1</f>
    </oc>
    <nc r="B238">
      <f>B237+1</f>
    </nc>
  </rcc>
  <rcc rId="133" sId="4">
    <oc r="B239">
      <f>B181+1</f>
    </oc>
    <nc r="B239">
      <f>B238+1</f>
    </nc>
  </rcc>
  <rcc rId="134" sId="4">
    <oc r="B240">
      <f>B182+1</f>
    </oc>
    <nc r="B240">
      <f>B239+1</f>
    </nc>
  </rcc>
  <rcc rId="135" sId="4">
    <nc r="C178">
      <v>20200413</v>
    </nc>
  </rcc>
  <rcc rId="136" sId="4">
    <nc r="C179">
      <v>20200413</v>
    </nc>
  </rcc>
  <rcc rId="137" sId="4">
    <nc r="C180">
      <v>20200413</v>
    </nc>
  </rcc>
  <rcc rId="138" sId="4">
    <nc r="C181">
      <v>20200413</v>
    </nc>
  </rcc>
  <rcc rId="139" sId="4">
    <nc r="C182">
      <v>20200413</v>
    </nc>
  </rcc>
  <rcc rId="140" sId="4">
    <nc r="C183">
      <v>20200413</v>
    </nc>
  </rcc>
  <rcc rId="141" sId="4">
    <nc r="C184">
      <v>20200413</v>
    </nc>
  </rcc>
  <rcc rId="142" sId="4">
    <nc r="C185">
      <v>20200413</v>
    </nc>
  </rcc>
  <rcc rId="143" sId="4">
    <nc r="C186">
      <v>20200413</v>
    </nc>
  </rcc>
  <rcc rId="144" sId="4">
    <nc r="C187">
      <v>20200413</v>
    </nc>
  </rcc>
  <rcc rId="145" sId="4">
    <nc r="C188">
      <v>20200413</v>
    </nc>
  </rcc>
  <rcc rId="146" sId="4">
    <nc r="C189">
      <v>20200413</v>
    </nc>
  </rcc>
  <rcc rId="147" sId="4">
    <nc r="C190">
      <v>20200413</v>
    </nc>
  </rcc>
  <rcc rId="148" sId="4">
    <nc r="C191">
      <v>20200413</v>
    </nc>
  </rcc>
  <rcc rId="149" sId="4">
    <nc r="C192">
      <v>20200413</v>
    </nc>
  </rcc>
  <rcc rId="150" sId="4">
    <nc r="C193">
      <v>20200413</v>
    </nc>
  </rcc>
  <rcc rId="151" sId="4">
    <nc r="C194">
      <v>20200413</v>
    </nc>
  </rcc>
  <rcc rId="152" sId="4">
    <nc r="C195">
      <v>20200413</v>
    </nc>
  </rcc>
  <rcc rId="153" sId="4">
    <nc r="C196">
      <v>20200413</v>
    </nc>
  </rcc>
  <rcc rId="154" sId="4">
    <nc r="C197">
      <v>20200413</v>
    </nc>
  </rcc>
  <rcc rId="155" sId="4">
    <nc r="C198">
      <v>20200413</v>
    </nc>
  </rcc>
  <rcc rId="156" sId="4">
    <nc r="C199">
      <v>20200413</v>
    </nc>
  </rcc>
  <rcc rId="157" sId="4">
    <nc r="C200">
      <v>20200413</v>
    </nc>
  </rcc>
  <rcc rId="158" sId="4">
    <nc r="C201">
      <v>20200413</v>
    </nc>
  </rcc>
  <rcc rId="159" sId="4">
    <nc r="C202">
      <v>20200413</v>
    </nc>
  </rcc>
  <rcc rId="160" sId="4">
    <nc r="C203">
      <v>20200413</v>
    </nc>
  </rcc>
  <rcc rId="161" sId="4">
    <nc r="C204">
      <v>20200413</v>
    </nc>
  </rcc>
  <rcc rId="162" sId="4">
    <nc r="C205">
      <v>20200413</v>
    </nc>
  </rcc>
  <rcc rId="163" sId="4">
    <nc r="C206">
      <v>20200413</v>
    </nc>
  </rcc>
  <rcc rId="164" sId="4">
    <nc r="C207">
      <v>20200413</v>
    </nc>
  </rcc>
  <rcc rId="165" sId="4">
    <nc r="C208">
      <v>20200413</v>
    </nc>
  </rcc>
  <rcc rId="166" sId="4">
    <nc r="C209">
      <v>20200413</v>
    </nc>
  </rcc>
  <rcc rId="167" sId="4">
    <nc r="C210">
      <v>20200413</v>
    </nc>
  </rcc>
  <rcc rId="168" sId="4">
    <nc r="C211">
      <v>20200413</v>
    </nc>
  </rcc>
  <rcc rId="169" sId="4">
    <nc r="C212">
      <v>20200413</v>
    </nc>
  </rcc>
  <rcc rId="170" sId="4">
    <nc r="C213">
      <v>20200413</v>
    </nc>
  </rcc>
  <rcc rId="171" sId="4">
    <nc r="C214">
      <v>20200413</v>
    </nc>
  </rcc>
  <rcc rId="172" sId="4">
    <nc r="C215">
      <v>20200413</v>
    </nc>
  </rcc>
  <rcc rId="173" sId="4">
    <nc r="C216">
      <v>20200413</v>
    </nc>
  </rcc>
  <rcc rId="174" sId="4">
    <nc r="C217">
      <v>20200413</v>
    </nc>
  </rcc>
  <rcc rId="175" sId="4">
    <nc r="C218">
      <v>20200413</v>
    </nc>
  </rcc>
  <rcc rId="176" sId="4">
    <nc r="C219">
      <v>20200413</v>
    </nc>
  </rcc>
  <rcc rId="177" sId="4">
    <nc r="C220">
      <v>20200413</v>
    </nc>
  </rcc>
  <rcc rId="178" sId="4">
    <nc r="C221">
      <v>20200413</v>
    </nc>
  </rcc>
  <rcc rId="179" sId="4">
    <nc r="C222">
      <v>20200413</v>
    </nc>
  </rcc>
  <rcc rId="180" sId="4">
    <nc r="C223">
      <v>20200413</v>
    </nc>
  </rcc>
  <rcc rId="181" sId="4">
    <nc r="C224">
      <v>20200413</v>
    </nc>
  </rcc>
  <rcc rId="182" sId="4">
    <nc r="C225">
      <v>20200413</v>
    </nc>
  </rcc>
  <rcc rId="183" sId="4">
    <nc r="C226">
      <v>20200413</v>
    </nc>
  </rcc>
  <rcc rId="184" sId="4">
    <nc r="C227">
      <v>20200413</v>
    </nc>
  </rcc>
  <rcc rId="185" sId="4">
    <nc r="C228">
      <v>20200413</v>
    </nc>
  </rcc>
  <rcc rId="186" sId="4">
    <nc r="C229">
      <v>20200413</v>
    </nc>
  </rcc>
  <rcc rId="187" sId="4">
    <nc r="C230">
      <v>20200413</v>
    </nc>
  </rcc>
  <rcc rId="188" sId="4">
    <nc r="C231">
      <v>20200413</v>
    </nc>
  </rcc>
  <rcc rId="189" sId="4">
    <nc r="C232">
      <v>20200413</v>
    </nc>
  </rcc>
  <rcc rId="190" sId="4">
    <nc r="C233">
      <v>20200413</v>
    </nc>
  </rcc>
  <rcc rId="191" sId="4">
    <nc r="C234">
      <v>20200413</v>
    </nc>
  </rcc>
  <rcc rId="192" sId="4">
    <nc r="C235">
      <v>20200413</v>
    </nc>
  </rcc>
  <rcc rId="193" sId="4">
    <nc r="D178" t="inlineStr">
      <is>
        <t>PSW</t>
      </is>
    </nc>
  </rcc>
  <rcc rId="194" sId="4">
    <nc r="D179" t="inlineStr">
      <is>
        <t>PSW</t>
      </is>
    </nc>
  </rcc>
  <rcc rId="195" sId="4">
    <nc r="D180" t="inlineStr">
      <is>
        <t>PSW</t>
      </is>
    </nc>
  </rcc>
  <rcc rId="196" sId="4">
    <nc r="D181" t="inlineStr">
      <is>
        <t>PSW</t>
      </is>
    </nc>
  </rcc>
  <rcc rId="197" sId="4">
    <nc r="D182" t="inlineStr">
      <is>
        <t>PSW</t>
      </is>
    </nc>
  </rcc>
  <rcc rId="198" sId="4">
    <nc r="D183" t="inlineStr">
      <is>
        <t>PSW</t>
      </is>
    </nc>
  </rcc>
  <rcc rId="199" sId="4">
    <nc r="D184" t="inlineStr">
      <is>
        <t>PSW</t>
      </is>
    </nc>
  </rcc>
  <rcc rId="200" sId="4">
    <nc r="D185" t="inlineStr">
      <is>
        <t>PSW</t>
      </is>
    </nc>
  </rcc>
  <rcc rId="201" sId="4">
    <nc r="D186" t="inlineStr">
      <is>
        <t>PSW</t>
      </is>
    </nc>
  </rcc>
  <rcc rId="202" sId="4">
    <nc r="D187" t="inlineStr">
      <is>
        <t>PSW</t>
      </is>
    </nc>
  </rcc>
  <rcc rId="203" sId="4">
    <nc r="D188" t="inlineStr">
      <is>
        <t>PSW</t>
      </is>
    </nc>
  </rcc>
  <rcc rId="204" sId="4">
    <nc r="D189" t="inlineStr">
      <is>
        <t>PSW</t>
      </is>
    </nc>
  </rcc>
  <rcc rId="205" sId="4">
    <nc r="D190" t="inlineStr">
      <is>
        <t>PSW</t>
      </is>
    </nc>
  </rcc>
  <rcc rId="206" sId="4">
    <nc r="D191" t="inlineStr">
      <is>
        <t>PSW</t>
      </is>
    </nc>
  </rcc>
  <rcc rId="207" sId="4">
    <nc r="D192" t="inlineStr">
      <is>
        <t>PSW</t>
      </is>
    </nc>
  </rcc>
  <rcc rId="208" sId="4">
    <nc r="D193" t="inlineStr">
      <is>
        <t>PSW</t>
      </is>
    </nc>
  </rcc>
  <rcc rId="209" sId="4">
    <nc r="D194" t="inlineStr">
      <is>
        <t>PSW</t>
      </is>
    </nc>
  </rcc>
  <rcc rId="210" sId="4">
    <nc r="D195" t="inlineStr">
      <is>
        <t>PSW</t>
      </is>
    </nc>
  </rcc>
  <rcc rId="211" sId="4">
    <nc r="D196" t="inlineStr">
      <is>
        <t>PSW</t>
      </is>
    </nc>
  </rcc>
  <rcc rId="212" sId="4">
    <nc r="D197" t="inlineStr">
      <is>
        <t>PSW</t>
      </is>
    </nc>
  </rcc>
  <rcc rId="213" sId="4">
    <nc r="D198" t="inlineStr">
      <is>
        <t>PSW</t>
      </is>
    </nc>
  </rcc>
  <rcc rId="214" sId="4">
    <nc r="D199" t="inlineStr">
      <is>
        <t>PSW</t>
      </is>
    </nc>
  </rcc>
  <rcc rId="215" sId="4">
    <nc r="D200" t="inlineStr">
      <is>
        <t>PSW</t>
      </is>
    </nc>
  </rcc>
  <rcc rId="216" sId="4">
    <nc r="D201" t="inlineStr">
      <is>
        <t>PSW</t>
      </is>
    </nc>
  </rcc>
  <rcc rId="217" sId="4">
    <nc r="D202" t="inlineStr">
      <is>
        <t>PSW</t>
      </is>
    </nc>
  </rcc>
  <rcc rId="218" sId="4">
    <nc r="D203" t="inlineStr">
      <is>
        <t>PSW</t>
      </is>
    </nc>
  </rcc>
  <rcc rId="219" sId="4">
    <nc r="D204" t="inlineStr">
      <is>
        <t>PSW</t>
      </is>
    </nc>
  </rcc>
  <rcc rId="220" sId="4">
    <nc r="D205" t="inlineStr">
      <is>
        <t>PSW</t>
      </is>
    </nc>
  </rcc>
  <rcc rId="221" sId="4">
    <nc r="D206" t="inlineStr">
      <is>
        <t>PSW</t>
      </is>
    </nc>
  </rcc>
  <rcc rId="222" sId="4">
    <nc r="D207" t="inlineStr">
      <is>
        <t>PSW</t>
      </is>
    </nc>
  </rcc>
  <rcc rId="223" sId="4">
    <nc r="D208" t="inlineStr">
      <is>
        <t>PSW</t>
      </is>
    </nc>
  </rcc>
  <rcc rId="224" sId="4">
    <nc r="D209" t="inlineStr">
      <is>
        <t>PSW</t>
      </is>
    </nc>
  </rcc>
  <rcc rId="225" sId="4">
    <nc r="D210" t="inlineStr">
      <is>
        <t>PSW</t>
      </is>
    </nc>
  </rcc>
  <rcc rId="226" sId="4">
    <nc r="D211" t="inlineStr">
      <is>
        <t>PSW</t>
      </is>
    </nc>
  </rcc>
  <rcc rId="227" sId="4">
    <nc r="D212" t="inlineStr">
      <is>
        <t>PSW</t>
      </is>
    </nc>
  </rcc>
  <rcc rId="228" sId="4">
    <nc r="D213" t="inlineStr">
      <is>
        <t>PSW</t>
      </is>
    </nc>
  </rcc>
  <rcc rId="229" sId="4">
    <nc r="D214" t="inlineStr">
      <is>
        <t>PSW</t>
      </is>
    </nc>
  </rcc>
  <rcc rId="230" sId="4">
    <nc r="D215" t="inlineStr">
      <is>
        <t>PSW</t>
      </is>
    </nc>
  </rcc>
  <rcc rId="231" sId="4">
    <nc r="D216" t="inlineStr">
      <is>
        <t>PSW</t>
      </is>
    </nc>
  </rcc>
  <rcc rId="232" sId="4">
    <nc r="D217" t="inlineStr">
      <is>
        <t>PSW</t>
      </is>
    </nc>
  </rcc>
  <rcc rId="233" sId="4">
    <nc r="D218" t="inlineStr">
      <is>
        <t>PSW</t>
      </is>
    </nc>
  </rcc>
  <rcc rId="234" sId="4">
    <nc r="D219" t="inlineStr">
      <is>
        <t>PSW</t>
      </is>
    </nc>
  </rcc>
  <rcc rId="235" sId="4">
    <nc r="D220" t="inlineStr">
      <is>
        <t>PSW</t>
      </is>
    </nc>
  </rcc>
  <rcc rId="236" sId="4">
    <nc r="D221" t="inlineStr">
      <is>
        <t>PSW</t>
      </is>
    </nc>
  </rcc>
  <rcc rId="237" sId="4">
    <nc r="D222" t="inlineStr">
      <is>
        <t>PSW</t>
      </is>
    </nc>
  </rcc>
  <rcc rId="238" sId="4">
    <nc r="D223" t="inlineStr">
      <is>
        <t>PSW</t>
      </is>
    </nc>
  </rcc>
  <rcc rId="239" sId="4">
    <nc r="D224" t="inlineStr">
      <is>
        <t>PSW</t>
      </is>
    </nc>
  </rcc>
  <rcc rId="240" sId="4">
    <nc r="D225" t="inlineStr">
      <is>
        <t>PSW</t>
      </is>
    </nc>
  </rcc>
  <rcc rId="241" sId="4">
    <nc r="D226" t="inlineStr">
      <is>
        <t>PSW</t>
      </is>
    </nc>
  </rcc>
  <rcc rId="242" sId="4">
    <nc r="D227" t="inlineStr">
      <is>
        <t>PSW</t>
      </is>
    </nc>
  </rcc>
  <rcc rId="243" sId="4">
    <nc r="D228" t="inlineStr">
      <is>
        <t>PSW</t>
      </is>
    </nc>
  </rcc>
  <rcc rId="244" sId="4">
    <nc r="D229" t="inlineStr">
      <is>
        <t>PSW</t>
      </is>
    </nc>
  </rcc>
  <rcc rId="245" sId="4">
    <nc r="D230" t="inlineStr">
      <is>
        <t>PSW</t>
      </is>
    </nc>
  </rcc>
  <rcc rId="246" sId="4">
    <nc r="D231" t="inlineStr">
      <is>
        <t>PSW</t>
      </is>
    </nc>
  </rcc>
  <rcc rId="247" sId="4">
    <nc r="D232" t="inlineStr">
      <is>
        <t>PSW</t>
      </is>
    </nc>
  </rcc>
  <rcc rId="248" sId="4">
    <nc r="D233" t="inlineStr">
      <is>
        <t>PSW</t>
      </is>
    </nc>
  </rcc>
  <rcc rId="249" sId="4">
    <nc r="D234" t="inlineStr">
      <is>
        <t>PSW</t>
      </is>
    </nc>
  </rcc>
  <rcc rId="250" sId="4">
    <nc r="D235" t="inlineStr">
      <is>
        <t>PSW</t>
      </is>
    </nc>
  </rcc>
  <rcc rId="251" sId="4" xfDxf="1" dxf="1">
    <nc r="E178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2" sId="4" xfDxf="1" dxf="1">
    <nc r="E179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3" sId="4" xfDxf="1" dxf="1">
    <nc r="E180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4" sId="4" xfDxf="1" dxf="1">
    <nc r="E181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5" sId="4" xfDxf="1" dxf="1">
    <nc r="E182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6" sId="4" xfDxf="1" dxf="1">
    <nc r="E183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7" sId="4" xfDxf="1" dxf="1">
    <nc r="E184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8" sId="4" xfDxf="1" dxf="1">
    <nc r="E185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" sId="4" xfDxf="1" dxf="1">
    <nc r="E186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" sId="4" xfDxf="1" dxf="1">
    <nc r="E187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" sId="4" xfDxf="1" dxf="1">
    <nc r="E188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" sId="4" xfDxf="1" dxf="1">
    <nc r="E189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3" sId="4" xfDxf="1" dxf="1">
    <nc r="E190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" sId="4" xfDxf="1" dxf="1">
    <nc r="E191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" sId="4" xfDxf="1" dxf="1">
    <nc r="E192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" sId="4" xfDxf="1" dxf="1">
    <nc r="E193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" sId="4" xfDxf="1" dxf="1">
    <nc r="E194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" sId="4" xfDxf="1" dxf="1">
    <nc r="E195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" sId="4" xfDxf="1" dxf="1">
    <nc r="E196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" sId="4" xfDxf="1" dxf="1">
    <nc r="E197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" sId="4" xfDxf="1" dxf="1">
    <nc r="E198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2" sId="4" xfDxf="1" dxf="1">
    <nc r="E199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3" sId="4" xfDxf="1" dxf="1">
    <nc r="E200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" sId="4" xfDxf="1" dxf="1">
    <nc r="E201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" sId="4" xfDxf="1" dxf="1">
    <nc r="E202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" sId="4" xfDxf="1" dxf="1">
    <nc r="E203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" sId="4" xfDxf="1" dxf="1">
    <nc r="E204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8" sId="4" xfDxf="1" dxf="1">
    <nc r="E205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" sId="4" xfDxf="1" dxf="1">
    <nc r="E206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" sId="4" xfDxf="1" dxf="1">
    <nc r="E207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" sId="4" xfDxf="1" dxf="1">
    <nc r="E208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" sId="4" xfDxf="1" dxf="1">
    <nc r="E209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3" sId="4" xfDxf="1" dxf="1">
    <nc r="E210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4" sId="4" xfDxf="1" dxf="1">
    <nc r="E211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5" sId="4" xfDxf="1" dxf="1">
    <nc r="E212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6" sId="4" xfDxf="1" dxf="1">
    <nc r="E213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7" sId="4" xfDxf="1" dxf="1">
    <nc r="E214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8" sId="4" xfDxf="1" dxf="1">
    <nc r="E215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9" sId="4" xfDxf="1" dxf="1">
    <nc r="E216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0" sId="4" xfDxf="1" dxf="1">
    <nc r="E217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1" sId="4" xfDxf="1" dxf="1">
    <nc r="E218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2" sId="4" xfDxf="1" dxf="1">
    <nc r="E219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3" sId="4" xfDxf="1" dxf="1">
    <nc r="E220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4" sId="4" xfDxf="1" dxf="1">
    <nc r="E221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5" sId="4" xfDxf="1" dxf="1">
    <nc r="E222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6" sId="4" xfDxf="1" dxf="1">
    <nc r="E223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7" sId="4" xfDxf="1" dxf="1">
    <nc r="E224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8" sId="4" xfDxf="1" dxf="1">
    <nc r="E225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99" sId="4" xfDxf="1" dxf="1">
    <nc r="E226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0" sId="4" xfDxf="1" dxf="1">
    <nc r="E227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1" sId="4" xfDxf="1" dxf="1">
    <nc r="E228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2" sId="4" xfDxf="1" dxf="1">
    <nc r="E229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3" sId="4" xfDxf="1" dxf="1">
    <nc r="E230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4" sId="4" xfDxf="1" dxf="1">
    <nc r="E231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5" sId="4" xfDxf="1" dxf="1">
    <nc r="E232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6" sId="4" xfDxf="1" dxf="1">
    <nc r="E233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7" sId="4" xfDxf="1" dxf="1">
    <nc r="E234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8" sId="4" xfDxf="1" dxf="1">
    <nc r="E235" t="inlineStr">
      <is>
        <t>BYD_Carbon_Mainstream_BL02spr02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sqref="B178:B235">
    <dxf>
      <fill>
        <patternFill patternType="solid">
          <bgColor theme="5"/>
        </patternFill>
      </fill>
    </dxf>
  </rfmt>
  <rcc rId="309" sId="4" xfDxf="1" dxf="1" quotePrefix="1">
    <nc r="F178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0" sId="4" xfDxf="1" dxf="1" quotePrefix="1">
    <nc r="F179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1" sId="4" xfDxf="1" dxf="1" quotePrefix="1">
    <nc r="F180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2" sId="4" xfDxf="1" dxf="1" quotePrefix="1">
    <nc r="F181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3" sId="4" xfDxf="1" dxf="1" quotePrefix="1">
    <nc r="F182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4" sId="4" xfDxf="1" dxf="1" quotePrefix="1">
    <nc r="F183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5" sId="4" xfDxf="1" dxf="1" quotePrefix="1">
    <nc r="F184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6" sId="4" xfDxf="1" dxf="1" quotePrefix="1">
    <nc r="F185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7" sId="4" xfDxf="1" dxf="1" quotePrefix="1">
    <nc r="F186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8" sId="4" xfDxf="1" dxf="1" quotePrefix="1">
    <nc r="F187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19" sId="4" xfDxf="1" dxf="1" quotePrefix="1">
    <nc r="F188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0" sId="4" xfDxf="1" dxf="1" quotePrefix="1">
    <nc r="F189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1" sId="4" xfDxf="1" dxf="1" quotePrefix="1">
    <nc r="F190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2" sId="4" xfDxf="1" dxf="1" quotePrefix="1">
    <nc r="F191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3" sId="4" xfDxf="1" dxf="1" quotePrefix="1">
    <nc r="F192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4" sId="4" xfDxf="1" dxf="1" quotePrefix="1">
    <nc r="F193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5" sId="4" xfDxf="1" dxf="1" quotePrefix="1">
    <nc r="F194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6" sId="4" xfDxf="1" dxf="1" quotePrefix="1">
    <nc r="F195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7" sId="4" xfDxf="1" dxf="1" quotePrefix="1">
    <nc r="F196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8" sId="4" xfDxf="1" dxf="1" quotePrefix="1">
    <nc r="F197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9" sId="4" xfDxf="1" dxf="1" quotePrefix="1">
    <nc r="F198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0" sId="4" xfDxf="1" dxf="1" quotePrefix="1">
    <nc r="F199" t="inlineStr">
      <is>
        <t>rb/as/byd/core/app/dcom/RBAPLCust/src/common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1" sId="4" xfDxf="1" dxf="1" quotePrefix="1">
    <nc r="F200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2" sId="4" xfDxf="1" dxf="1" quotePrefix="1">
    <nc r="F201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3" sId="4" xfDxf="1" dxf="1" quotePrefix="1">
    <nc r="F202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4" sId="4" xfDxf="1" dxf="1" quotePrefix="1">
    <nc r="F203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5" sId="4" xfDxf="1" dxf="1" quotePrefix="1">
    <nc r="F204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6" sId="4" xfDxf="1" dxf="1" quotePrefix="1">
    <nc r="F205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7" sId="4" xfDxf="1" dxf="1" quotePrefix="1">
    <nc r="F206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8" sId="4" xfDxf="1" dxf="1" quotePrefix="1">
    <nc r="F207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9" sId="4" xfDxf="1" dxf="1" quotePrefix="1">
    <nc r="F208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0" sId="4" xfDxf="1" dxf="1" quotePrefix="1">
    <nc r="F209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1" sId="4" xfDxf="1" dxf="1" quotePrefix="1">
    <nc r="F210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2" sId="4" xfDxf="1" dxf="1" quotePrefix="1">
    <nc r="F211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3" sId="4" xfDxf="1" dxf="1" quotePrefix="1">
    <nc r="F212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4" sId="4" xfDxf="1" dxf="1" quotePrefix="1">
    <nc r="F213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5" sId="4" xfDxf="1" dxf="1" quotePrefix="1">
    <nc r="F214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6" sId="4" xfDxf="1" dxf="1" quotePrefix="1">
    <nc r="F215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7" sId="4" xfDxf="1" dxf="1" quotePrefix="1">
    <nc r="F216" t="inlineStr">
      <is>
        <t>rb/as/byd/core/app/dcom/RBAPLCust/src/ESP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8" sId="4" xfDxf="1" dxf="1" quotePrefix="1">
    <nc r="F217" t="inlineStr">
      <is>
        <t>rb/as/byd/core/app/dcom/RBAPLCust/src/iBooster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49" sId="4" xfDxf="1" dxf="1" quotePrefix="1">
    <nc r="F218" t="inlineStr">
      <is>
        <t>rb/as/byd/core/app/dcom/RBAPLCust/src/iBooster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0" sId="4" xfDxf="1" dxf="1" quotePrefix="1">
    <nc r="F219" t="inlineStr">
      <is>
        <t>rb/as/byd/core/app/dcom/RBAPLCust/src/iBooster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1" sId="4" xfDxf="1" dxf="1" quotePrefix="1">
    <nc r="F220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2" sId="4" xfDxf="1" dxf="1" quotePrefix="1">
    <nc r="F221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" sId="4" xfDxf="1" dxf="1" quotePrefix="1">
    <nc r="F222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4" sId="4" xfDxf="1" dxf="1" quotePrefix="1">
    <nc r="F223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5" sId="4" xfDxf="1" dxf="1" quotePrefix="1">
    <nc r="F224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" sId="4" xfDxf="1" dxf="1" quotePrefix="1">
    <nc r="F225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7" sId="4" xfDxf="1" dxf="1" quotePrefix="1">
    <nc r="F226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8" sId="4" xfDxf="1" dxf="1" quotePrefix="1">
    <nc r="F227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9" sId="4" xfDxf="1" dxf="1" quotePrefix="1">
    <nc r="F228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0" sId="4" xfDxf="1" dxf="1" quotePrefix="1">
    <nc r="F229" t="inlineStr">
      <is>
        <t>rb/as/cnms_core/app/dcom/RBAPLCust/src/common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1" sId="4" xfDxf="1" dxf="1" quotePrefix="1">
    <nc r="F230" t="inlineStr">
      <is>
        <t>rb/as/cnms_core/app/dcom/RBAPLCust/src/ESP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2" sId="4" xfDxf="1" dxf="1" quotePrefix="1">
    <nc r="F231" t="inlineStr">
      <is>
        <t>rb/as/cnms_core/app/dcom/RBAPLCust/src/ESP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3" sId="4" xfDxf="1" dxf="1" quotePrefix="1">
    <nc r="F232" t="inlineStr">
      <is>
        <t>rb/as/cnms_core/app/dcom/RBAPLCust/src/ESP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4" sId="4" xfDxf="1" dxf="1" quotePrefix="1">
    <nc r="F233" t="inlineStr">
      <is>
        <t>rb/as/cnms_core/app/dcom/RBAPLCust/src/ESP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5" sId="4" xfDxf="1" dxf="1" quotePrefix="1">
    <nc r="F234" t="inlineStr">
      <is>
        <t>rb/as/cnms_core/app/dcom/RBAPLCust/src/ESP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6" sId="4" xfDxf="1" dxf="1" quotePrefix="1">
    <nc r="F235" t="inlineStr">
      <is>
        <t>rb/as/cnms_core/app/dcom/RBAPLCust/src/ESP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7" sId="4" xfDxf="1" dxf="1">
    <nc r="G178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8" sId="4" xfDxf="1" dxf="1">
    <nc r="G179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69" sId="4" xfDxf="1" dxf="1">
    <nc r="G180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0" sId="4" xfDxf="1" dxf="1">
    <nc r="G181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1" sId="4" xfDxf="1" dxf="1">
    <nc r="G182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2" sId="4" xfDxf="1" dxf="1">
    <nc r="G183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3" sId="4" xfDxf="1" dxf="1">
    <nc r="G184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4" sId="4" xfDxf="1" dxf="1">
    <nc r="G185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5" sId="4" xfDxf="1" dxf="1">
    <nc r="G186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6" sId="4" xfDxf="1" dxf="1">
    <nc r="G187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7" sId="4" xfDxf="1" dxf="1">
    <nc r="G188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8" sId="4" xfDxf="1" dxf="1">
    <nc r="G189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79" sId="4" xfDxf="1" dxf="1">
    <nc r="G190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0" sId="4" xfDxf="1" dxf="1">
    <nc r="G191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1" sId="4" xfDxf="1" dxf="1">
    <nc r="G192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2" sId="4" xfDxf="1" dxf="1">
    <nc r="G193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3" sId="4" xfDxf="1" dxf="1">
    <nc r="G194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4" sId="4" xfDxf="1" dxf="1">
    <nc r="G195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5" sId="4" xfDxf="1" dxf="1">
    <nc r="G196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6" sId="4" xfDxf="1" dxf="1">
    <nc r="G197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7" sId="4" xfDxf="1" dxf="1">
    <nc r="G198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8" sId="4" xfDxf="1" dxf="1">
    <nc r="G199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9" sId="4" xfDxf="1" dxf="1">
    <nc r="G200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0" sId="4" xfDxf="1" dxf="1">
    <nc r="G201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1" sId="4" xfDxf="1" dxf="1">
    <nc r="G202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2" sId="4" xfDxf="1" dxf="1">
    <nc r="G203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3" sId="4" xfDxf="1" dxf="1">
    <nc r="G204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4" sId="4" xfDxf="1" dxf="1">
    <nc r="G205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5" sId="4" xfDxf="1" dxf="1">
    <nc r="G206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6" sId="4" xfDxf="1" dxf="1">
    <nc r="G207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7" sId="4" xfDxf="1" dxf="1">
    <nc r="G208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8" sId="4" xfDxf="1" dxf="1">
    <nc r="G209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99" sId="4" xfDxf="1" dxf="1">
    <nc r="G210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0" sId="4" xfDxf="1" dxf="1">
    <nc r="G211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1" sId="4" xfDxf="1" dxf="1">
    <nc r="G212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2" sId="4" xfDxf="1" dxf="1">
    <nc r="G213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3" sId="4" xfDxf="1" dxf="1">
    <nc r="G214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4" sId="4" xfDxf="1" dxf="1">
    <nc r="G215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5" sId="4" xfDxf="1" dxf="1">
    <nc r="G216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6" sId="4" xfDxf="1" dxf="1">
    <nc r="G217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7" sId="4" xfDxf="1" dxf="1">
    <nc r="G218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8" sId="4" xfDxf="1" dxf="1">
    <nc r="G219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09" sId="4" xfDxf="1" dxf="1">
    <nc r="G220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0" sId="4" xfDxf="1" dxf="1">
    <nc r="G221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1" sId="4" xfDxf="1" dxf="1">
    <nc r="G222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2" sId="4" xfDxf="1" dxf="1">
    <nc r="G223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3" sId="4" xfDxf="1" dxf="1">
    <nc r="G224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4" sId="4" xfDxf="1" dxf="1">
    <nc r="G225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5" sId="4" xfDxf="1" dxf="1">
    <nc r="G226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6" sId="4" xfDxf="1" dxf="1">
    <nc r="G227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7" sId="4" xfDxf="1" dxf="1">
    <nc r="G228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8" sId="4" xfDxf="1" dxf="1">
    <nc r="G229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19" sId="4" xfDxf="1" dxf="1">
    <nc r="G230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0" sId="4" xfDxf="1" dxf="1">
    <nc r="G231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1" sId="4" xfDxf="1" dxf="1">
    <nc r="G232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2" sId="4" xfDxf="1" dxf="1">
    <nc r="G233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3" sId="4" xfDxf="1" dxf="1">
    <nc r="G234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4" sId="4" xfDxf="1" dxf="1">
    <nc r="G235">
      <v>1375671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5" sId="4" xfDxf="1" dxf="1">
    <nc r="H178" t="inlineStr">
      <is>
        <t>RBAPLCUST_BYD_RBDI_AnalogData.c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6" sId="4" xfDxf="1" dxf="1">
    <nc r="H179" t="inlineStr">
      <is>
        <t>RBAPLCUST_BYD_RBDI_BootSoftwareVersion.c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7" sId="4" xfDxf="1" dxf="1">
    <nc r="H180" t="inlineStr">
      <is>
        <t>RBAPLCUST_BYD_RBDI_DigitalData.c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8" sId="4" xfDxf="1" dxf="1">
    <nc r="H181" t="inlineStr">
      <is>
        <t>RBAPLCUST_BYD_RBDI_SpeedLimitMonitoring.c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29" sId="4" xfDxf="1" dxf="1">
    <nc r="H182" t="inlineStr">
      <is>
        <t>RBAPLCUST_BYD_RDBI_NVMData.c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0" sId="4" xfDxf="1" dxf="1">
    <nc r="H183" t="inlineStr">
      <is>
        <t>RBAPLCUST_BYD_RDBI_SpeedInfo.c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1" sId="4" xfDxf="1" dxf="1">
    <nc r="H184" t="inlineStr">
      <is>
        <t>RBAPLCUST_BYD_RDBI_TPMS.c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2" sId="4" xfDxf="1" dxf="1">
    <nc r="H185" t="inlineStr">
      <is>
        <t>RBAPLCUST_BYD_WDBI_NVMData.c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3" sId="4" xfDxf="1" dxf="1">
    <nc r="H186" t="inlineStr">
      <is>
        <t>RBAPLCUST_BYD_WDBI_TPMS.c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4" sId="4" xfDxf="1" dxf="1">
    <nc r="H187" t="inlineStr">
      <is>
        <t>RBAPLCUST_ClearDiagnosticInformation_CheckFnc.c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5" sId="4" xfDxf="1" dxf="1">
    <nc r="H188" t="inlineStr">
      <is>
        <t>RBAPLCUST_CNMSCORE_CallbackFun.c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6" sId="4" xfDxf="1" dxf="1">
    <nc r="H189" t="inlineStr">
      <is>
        <t>RBAPLCUST_DiagnosticSessionControl.c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7" sId="4" xfDxf="1" dxf="1">
    <nc r="H190" t="inlineStr">
      <is>
        <t>RBAPLCUST_ProjectSpecific_Routines.c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8" sId="4" xfDxf="1" dxf="1">
    <nc r="H191" t="inlineStr">
      <is>
        <t>RBAPLCUST_RBDI_NVMData.c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39" sId="4" xfDxf="1" dxf="1">
    <nc r="H192" t="inlineStr">
      <is>
        <t>RBAPLCUST_RBDI_VariandCode.c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0" sId="4" xfDxf="1" dxf="1">
    <nc r="H193" t="inlineStr">
      <is>
        <t>RBAPLCUST_RDBI_BatteryVoltage.c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1" sId="4" xfDxf="1" dxf="1">
    <nc r="H194" t="inlineStr">
      <is>
        <t>RBAPLCUST_RDBI_InputData.c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2" sId="4" xfDxf="1" dxf="1">
    <nc r="H195" t="inlineStr">
      <is>
        <t>RBAPLCUST_RoutineControl.c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3" sId="4" xfDxf="1" dxf="1">
    <nc r="H196" t="inlineStr">
      <is>
        <t>RBAPLCUST_RoutineControl_PedalTravelSensorCalibration.c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4" sId="4" xfDxf="1" dxf="1">
    <nc r="H197" t="inlineStr">
      <is>
        <t>RBAPLCUST_RoutineControl_TPMSReset.c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5" sId="4" xfDxf="1" dxf="1">
    <nc r="H198" t="inlineStr">
      <is>
        <t>RBAPLCUST_SecurityAccess.c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6" sId="4" xfDxf="1" dxf="1">
    <nc r="H199" t="inlineStr">
      <is>
        <t>RBAPLCUST_VariandCode.c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7" sId="4" xfDxf="1" dxf="1">
    <nc r="H200" t="inlineStr">
      <is>
        <t>RBAPLCUST_InputOutputControl.c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8" sId="4" xfDxf="1" dxf="1">
    <nc r="H201" t="inlineStr">
      <is>
        <t>RBAPLCUST_InputOutputControl_GeneralFunctions.c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49" sId="4" xfDxf="1" dxf="1">
    <nc r="H202" t="inlineStr">
      <is>
        <t>RBAPLCUST_RDBI_ActuationState.c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0" sId="4" xfDxf="1" dxf="1">
    <nc r="H203" t="inlineStr">
      <is>
        <t>RBAPLCUST_RDBI_IOCtrlState.c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1" sId="4" xfDxf="1" dxf="1">
    <nc r="H204" t="inlineStr">
      <is>
        <t>RBAPLCUST_RDBI_PBC.c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2" sId="4" xfDxf="1" dxf="1">
    <nc r="H205" t="inlineStr">
      <is>
        <t>RBAPLCUST_RDBI_SystemSensor.c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3" sId="4" xfDxf="1" dxf="1">
    <nc r="H206" t="inlineStr">
      <is>
        <t>RBAPLCUST_RoutineControl_ActuatorTest.c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4" sId="4" xfDxf="1" dxf="1">
    <nc r="H207" t="inlineStr">
      <is>
        <t>RBAPLCUST_RoutineControl_APBMi.c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5" sId="4" xfDxf="1" dxf="1">
    <nc r="H208" t="inlineStr">
      <is>
        <t>RBAPLCUST_RoutineControl_ConditionCheck.c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6" sId="4" xfDxf="1" dxf="1">
    <nc r="H209" t="inlineStr">
      <is>
        <t>RBAPLCUST_RoutineControl_DelayControl.c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7" sId="4" xfDxf="1" dxf="1">
    <nc r="H210" t="inlineStr">
      <is>
        <t>RBAPLCUST_RoutineControl_DynamicTest.c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8" sId="4" xfDxf="1" dxf="1">
    <nc r="H211" t="inlineStr">
      <is>
        <t>RBAPLCUST_RoutineControl_EvacAndFill.c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59" sId="4" xfDxf="1" dxf="1">
    <nc r="H212" t="inlineStr">
      <is>
        <t>RBAPLCUST_RoutineControl_INSCalibration.c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0" sId="4" xfDxf="1" dxf="1">
    <nc r="H213" t="inlineStr">
      <is>
        <t>RBAPLCUST_RoutineControl_RepairBleeding.c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1" sId="4" xfDxf="1" dxf="1">
    <nc r="H214" t="inlineStr">
      <is>
        <t>RBAPLCUST_RoutineControl_SteeringAngleSensorCalibration.c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2" sId="4" xfDxf="1" dxf="1">
    <nc r="H215" t="inlineStr">
      <is>
        <t>RBAPLCUST_RoutineControl_WheelSpeedSensorTest.c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3" sId="4" xfDxf="1" dxf="1">
    <nc r="H216" t="inlineStr">
      <is>
        <t>RBAPLCUST_ValvesToggling.c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4" sId="4" xfDxf="1" dxf="1">
    <nc r="H217" t="inlineStr">
      <is>
        <t>RBAPLCUST_RDBI_AnalogData.c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5" sId="4" xfDxf="1" dxf="1">
    <nc r="H218" t="inlineStr">
      <is>
        <t>RBAPLCUST_RDBI_StatusInformation.c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6" sId="4" xfDxf="1" dxf="1">
    <nc r="H219" t="inlineStr">
      <is>
        <t>RBAPLCUST_RoutineControl_iBoosterActuatorTest.c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7" sId="4" xfDxf="1" dxf="1">
    <nc r="H220" t="inlineStr">
      <is>
        <t>RBAPLCUST_ClearDiagnosticInformation.c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8" sId="4" xfDxf="1" dxf="1">
    <nc r="H221" t="inlineStr">
      <is>
        <t>RBAPLCUST_ControlIDTCSetting.c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69" sId="4" xfDxf="1" dxf="1">
    <nc r="H222" t="inlineStr">
      <is>
        <t>RBAPLCUST_ConversionSignalParam.c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0" sId="4" xfDxf="1" dxf="1">
    <nc r="H223" t="inlineStr">
      <is>
        <t>RBAPLCUST_EcuReset.c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1" sId="4" xfDxf="1" dxf="1">
    <nc r="H224" t="inlineStr">
      <is>
        <t>RBAPLCUST_GeneralFunctions.c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2" sId="4" xfDxf="1" dxf="1">
    <nc r="H225" t="inlineStr">
      <is>
        <t>RBAPLCUST_NVMGeneric.c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3" sId="4" xfDxf="1" dxf="1">
    <nc r="H226" t="inlineStr">
      <is>
        <t>RBAPLCUST_RBDI_NVMData_Common.c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4" sId="4" xfDxf="1" dxf="1">
    <nc r="H227" t="inlineStr">
      <is>
        <t>RBAPLCUST_RBDI_SWVersionNumber.c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5" sId="4" xfDxf="1" dxf="1">
    <nc r="H228" t="inlineStr">
      <is>
        <t>RBAPLCUST_RDBI_SpeedInfo.c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6" sId="4" xfDxf="1" dxf="1">
    <nc r="H229" t="inlineStr">
      <is>
        <t>RBAPLCUST_WDBI_NVMData.c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7" sId="4" xfDxf="1" dxf="1">
    <nc r="H230" t="inlineStr">
      <is>
        <t>RBAPLCUST_EOLDelayCtrlOrAPBMi.c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8" sId="4" xfDxf="1" dxf="1">
    <nc r="H231" t="inlineStr">
      <is>
        <t>RBAPLCUST_RBDI_NVMData_ESP.c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79" sId="4" xfDxf="1" dxf="1">
    <nc r="H232" t="inlineStr">
      <is>
        <t>RBAPLCUST_RoutineControl_EOLTable.c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0" sId="4" xfDxf="1" dxf="1">
    <nc r="H233" t="inlineStr">
      <is>
        <t>RBAPLCUST_RoutineControl_LTCResetProcessYRS.c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1" sId="4" xfDxf="1" dxf="1">
    <nc r="H234" t="inlineStr">
      <is>
        <t>RBAPLCUST_RoutineControl_SpeedLimit.c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2" sId="4" xfDxf="1" dxf="1">
    <nc r="H235" t="inlineStr">
      <is>
        <t>RBAPLCUST_RoutineControl_VRShutdown.c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483" sId="4">
    <nc r="I178" t="inlineStr">
      <is>
        <t>Auto</t>
      </is>
    </nc>
  </rcc>
  <rcc rId="484" sId="4">
    <nc r="I179" t="inlineStr">
      <is>
        <t>Auto</t>
      </is>
    </nc>
  </rcc>
  <rcc rId="485" sId="4">
    <nc r="I180" t="inlineStr">
      <is>
        <t>Auto</t>
      </is>
    </nc>
  </rcc>
  <rcc rId="486" sId="4">
    <nc r="I181" t="inlineStr">
      <is>
        <t>Auto</t>
      </is>
    </nc>
  </rcc>
  <rcc rId="487" sId="4">
    <nc r="I182" t="inlineStr">
      <is>
        <t>Auto</t>
      </is>
    </nc>
  </rcc>
  <rcc rId="488" sId="4">
    <nc r="I183" t="inlineStr">
      <is>
        <t>Auto</t>
      </is>
    </nc>
  </rcc>
  <rcc rId="489" sId="4">
    <nc r="I184" t="inlineStr">
      <is>
        <t>Auto</t>
      </is>
    </nc>
  </rcc>
  <rcc rId="490" sId="4">
    <nc r="I185" t="inlineStr">
      <is>
        <t>Auto</t>
      </is>
    </nc>
  </rcc>
  <rcc rId="491" sId="4">
    <nc r="I186" t="inlineStr">
      <is>
        <t>Auto</t>
      </is>
    </nc>
  </rcc>
  <rcc rId="492" sId="4">
    <nc r="I187" t="inlineStr">
      <is>
        <t>Auto</t>
      </is>
    </nc>
  </rcc>
  <rcc rId="493" sId="4">
    <nc r="I188" t="inlineStr">
      <is>
        <t>Auto</t>
      </is>
    </nc>
  </rcc>
  <rcc rId="494" sId="4">
    <nc r="I189" t="inlineStr">
      <is>
        <t>Auto</t>
      </is>
    </nc>
  </rcc>
  <rcc rId="495" sId="4">
    <nc r="I190" t="inlineStr">
      <is>
        <t>Auto</t>
      </is>
    </nc>
  </rcc>
  <rcc rId="496" sId="4">
    <nc r="I191" t="inlineStr">
      <is>
        <t>Auto</t>
      </is>
    </nc>
  </rcc>
  <rcc rId="497" sId="4">
    <nc r="I192" t="inlineStr">
      <is>
        <t>Auto</t>
      </is>
    </nc>
  </rcc>
  <rcc rId="498" sId="4">
    <nc r="I193" t="inlineStr">
      <is>
        <t>Auto</t>
      </is>
    </nc>
  </rcc>
  <rcc rId="499" sId="4">
    <nc r="I194" t="inlineStr">
      <is>
        <t>Auto</t>
      </is>
    </nc>
  </rcc>
  <rcc rId="500" sId="4">
    <nc r="I195" t="inlineStr">
      <is>
        <t>Auto</t>
      </is>
    </nc>
  </rcc>
  <rcc rId="501" sId="4">
    <nc r="I196" t="inlineStr">
      <is>
        <t>Auto</t>
      </is>
    </nc>
  </rcc>
  <rcc rId="502" sId="4">
    <nc r="I197" t="inlineStr">
      <is>
        <t>Auto</t>
      </is>
    </nc>
  </rcc>
  <rcc rId="503" sId="4">
    <nc r="I198" t="inlineStr">
      <is>
        <t>Auto</t>
      </is>
    </nc>
  </rcc>
  <rcc rId="504" sId="4">
    <nc r="I199" t="inlineStr">
      <is>
        <t>Auto</t>
      </is>
    </nc>
  </rcc>
  <rcc rId="505" sId="4">
    <nc r="I200" t="inlineStr">
      <is>
        <t>Auto</t>
      </is>
    </nc>
  </rcc>
  <rcc rId="506" sId="4">
    <nc r="I201" t="inlineStr">
      <is>
        <t>Auto</t>
      </is>
    </nc>
  </rcc>
  <rcc rId="507" sId="4">
    <nc r="I202" t="inlineStr">
      <is>
        <t>Auto</t>
      </is>
    </nc>
  </rcc>
  <rcc rId="508" sId="4">
    <nc r="I203" t="inlineStr">
      <is>
        <t>Auto</t>
      </is>
    </nc>
  </rcc>
  <rcc rId="509" sId="4">
    <nc r="I204" t="inlineStr">
      <is>
        <t>Auto</t>
      </is>
    </nc>
  </rcc>
  <rcc rId="510" sId="4">
    <nc r="I205" t="inlineStr">
      <is>
        <t>Auto</t>
      </is>
    </nc>
  </rcc>
  <rcc rId="511" sId="4">
    <nc r="I206" t="inlineStr">
      <is>
        <t>Auto</t>
      </is>
    </nc>
  </rcc>
  <rcc rId="512" sId="4">
    <nc r="I207" t="inlineStr">
      <is>
        <t>Auto</t>
      </is>
    </nc>
  </rcc>
  <rcc rId="513" sId="4">
    <nc r="I208" t="inlineStr">
      <is>
        <t>Auto</t>
      </is>
    </nc>
  </rcc>
  <rcc rId="514" sId="4">
    <nc r="I209" t="inlineStr">
      <is>
        <t>Auto</t>
      </is>
    </nc>
  </rcc>
  <rcc rId="515" sId="4">
    <nc r="I210" t="inlineStr">
      <is>
        <t>Auto</t>
      </is>
    </nc>
  </rcc>
  <rcc rId="516" sId="4">
    <nc r="I211" t="inlineStr">
      <is>
        <t>Auto</t>
      </is>
    </nc>
  </rcc>
  <rcc rId="517" sId="4">
    <nc r="I212" t="inlineStr">
      <is>
        <t>Auto</t>
      </is>
    </nc>
  </rcc>
  <rcc rId="518" sId="4">
    <nc r="I213" t="inlineStr">
      <is>
        <t>Auto</t>
      </is>
    </nc>
  </rcc>
  <rcc rId="519" sId="4">
    <nc r="I214" t="inlineStr">
      <is>
        <t>Auto</t>
      </is>
    </nc>
  </rcc>
  <rcc rId="520" sId="4">
    <nc r="I215" t="inlineStr">
      <is>
        <t>Auto</t>
      </is>
    </nc>
  </rcc>
  <rcc rId="521" sId="4">
    <nc r="I216" t="inlineStr">
      <is>
        <t>Auto</t>
      </is>
    </nc>
  </rcc>
  <rcc rId="522" sId="4">
    <nc r="I217" t="inlineStr">
      <is>
        <t>Auto</t>
      </is>
    </nc>
  </rcc>
  <rcc rId="523" sId="4">
    <nc r="I218" t="inlineStr">
      <is>
        <t>Auto</t>
      </is>
    </nc>
  </rcc>
  <rcc rId="524" sId="4">
    <nc r="I219" t="inlineStr">
      <is>
        <t>Auto</t>
      </is>
    </nc>
  </rcc>
  <rcc rId="525" sId="4">
    <nc r="I220" t="inlineStr">
      <is>
        <t>Auto</t>
      </is>
    </nc>
  </rcc>
  <rcc rId="526" sId="4">
    <nc r="I221" t="inlineStr">
      <is>
        <t>Auto</t>
      </is>
    </nc>
  </rcc>
  <rcc rId="527" sId="4">
    <nc r="I222" t="inlineStr">
      <is>
        <t>Auto</t>
      </is>
    </nc>
  </rcc>
  <rcc rId="528" sId="4">
    <nc r="I223" t="inlineStr">
      <is>
        <t>Auto</t>
      </is>
    </nc>
  </rcc>
  <rcc rId="529" sId="4">
    <nc r="I224" t="inlineStr">
      <is>
        <t>Auto</t>
      </is>
    </nc>
  </rcc>
  <rcc rId="530" sId="4">
    <nc r="I225" t="inlineStr">
      <is>
        <t>Auto</t>
      </is>
    </nc>
  </rcc>
  <rcc rId="531" sId="4">
    <nc r="I226" t="inlineStr">
      <is>
        <t>Auto</t>
      </is>
    </nc>
  </rcc>
  <rcc rId="532" sId="4">
    <nc r="I227" t="inlineStr">
      <is>
        <t>Auto</t>
      </is>
    </nc>
  </rcc>
  <rcc rId="533" sId="4">
    <nc r="I228" t="inlineStr">
      <is>
        <t>Auto</t>
      </is>
    </nc>
  </rcc>
  <rcc rId="534" sId="4">
    <nc r="I229" t="inlineStr">
      <is>
        <t>Auto</t>
      </is>
    </nc>
  </rcc>
  <rcc rId="535" sId="4">
    <nc r="I230" t="inlineStr">
      <is>
        <t>Auto</t>
      </is>
    </nc>
  </rcc>
  <rcc rId="536" sId="4">
    <nc r="I231" t="inlineStr">
      <is>
        <t>Auto</t>
      </is>
    </nc>
  </rcc>
  <rcc rId="537" sId="4">
    <nc r="I232" t="inlineStr">
      <is>
        <t>Auto</t>
      </is>
    </nc>
  </rcc>
  <rcc rId="538" sId="4">
    <nc r="I233" t="inlineStr">
      <is>
        <t>Auto</t>
      </is>
    </nc>
  </rcc>
  <rcc rId="539" sId="4">
    <nc r="I234" t="inlineStr">
      <is>
        <t>Auto</t>
      </is>
    </nc>
  </rcc>
  <rcc rId="540" sId="4">
    <nc r="I235" t="inlineStr">
      <is>
        <t>Auto</t>
      </is>
    </nc>
  </rcc>
  <rcmt sheetId="4" cell="A178" guid="{7170884F-04F1-40A3-BBC4-28F3D5F9401A}" author="EXTERNAL Nguyen Tuan Duong (Ban Vien, RBVH/EPS45)" newLength="84"/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COEM_Package_20200401!$B$2:$AH$240</formula>
    <oldFormula>COEM_Package_20200401!$B$2:$AH$240</oldFormula>
  </rdn>
  <rcv guid="{7E0EA425-A420-4443-B9E0-CDF0AA9E5D09}" action="add"/>
</revisions>
</file>

<file path=xl/revisions/revisionLog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COEM_Package_20200401!$O$2:$O$269</formula>
    <oldFormula>COEM_Package_20200401!$O$2:$O$269</oldFormula>
  </rdn>
  <rcv guid="{4E06BDBF-2CED-473B-850B-2A6C7311FF41}" action="add"/>
</revisions>
</file>

<file path=xl/revisions/revisionLog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fmt sheetId="4" sqref="T128" start="0" length="0">
    <dxf>
      <font>
        <sz val="11"/>
        <color rgb="FFFF0000"/>
        <name val="Calibri"/>
        <scheme val="minor"/>
      </font>
      <alignment horizontal="general" vertical="bottom" readingOrder="0"/>
    </dxf>
  </rfmt>
  <rfmt sheetId="4" sqref="T129" start="0" length="0">
    <dxf>
      <alignment horizontal="general" vertical="bottom" readingOrder="0"/>
    </dxf>
  </rfmt>
  <rfmt sheetId="4" sqref="T130" start="0" length="0">
    <dxf>
      <font>
        <sz val="11"/>
        <color rgb="FFFF0000"/>
        <name val="Calibri"/>
        <scheme val="minor"/>
      </font>
      <alignment horizontal="general" vertical="bottom" readingOrder="0"/>
    </dxf>
  </rfmt>
  <rfmt sheetId="4" sqref="T131" start="0" length="0">
    <dxf>
      <alignment horizontal="general" vertical="bottom" readingOrder="0"/>
    </dxf>
  </rfmt>
  <rfmt sheetId="4" sqref="T132" start="0" length="0">
    <dxf>
      <alignment horizontal="general" vertical="bottom" readingOrder="0"/>
    </dxf>
  </rfmt>
  <rfmt sheetId="4" sqref="T133" start="0" length="0">
    <dxf>
      <alignment horizontal="general" vertical="bottom" readingOrder="0"/>
    </dxf>
  </rfmt>
  <rfmt sheetId="4" sqref="T134" start="0" length="0">
    <dxf>
      <font>
        <sz val="11"/>
        <color rgb="FFFF0000"/>
        <name val="Calibri"/>
        <scheme val="minor"/>
      </font>
      <alignment horizontal="general" vertical="bottom" readingOrder="0"/>
    </dxf>
  </rfmt>
  <rfmt sheetId="4" sqref="T135" start="0" length="0">
    <dxf>
      <alignment horizontal="general" vertical="bottom" readingOrder="0"/>
    </dxf>
  </rfmt>
  <rfmt sheetId="4" sqref="T136" start="0" length="0">
    <dxf>
      <alignment horizontal="general" vertical="bottom" readingOrder="0"/>
    </dxf>
  </rfmt>
  <rfmt sheetId="4" sqref="T137" start="0" length="0">
    <dxf>
      <alignment horizontal="general" vertical="bottom" readingOrder="0"/>
    </dxf>
  </rfmt>
  <rfmt sheetId="4" sqref="T138" start="0" length="0">
    <dxf>
      <alignment horizontal="general" vertical="bottom" readingOrder="0"/>
    </dxf>
  </rfmt>
  <rfmt sheetId="4" sqref="T139" start="0" length="0">
    <dxf>
      <alignment horizontal="general" vertical="bottom" readingOrder="0"/>
    </dxf>
  </rfmt>
  <rcc rId="547" sId="4">
    <nc r="T139">
      <f>S139</f>
    </nc>
  </rcc>
  <rcc rId="548" sId="4">
    <nc r="V139">
      <v>4</v>
    </nc>
  </rcc>
  <rcc rId="549" sId="4">
    <nc r="W139" t="inlineStr">
      <is>
        <t>Ready for review</t>
      </is>
    </nc>
  </rcc>
  <rcc rId="550" sId="4" numFmtId="19">
    <nc r="Z139">
      <v>43934</v>
    </nc>
  </rcc>
  <rcc rId="551" sId="4" numFmtId="19">
    <nc r="AA139">
      <v>43934</v>
    </nc>
  </rcc>
  <rcc rId="552" sId="4">
    <nc r="AB139" t="inlineStr">
      <is>
        <t>OK</t>
      </is>
    </nc>
  </rcc>
  <rcc rId="553" sId="4" odxf="1" dxf="1">
    <nc r="AC13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54" sId="4" odxf="1" dxf="1">
    <nc r="AD13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55" sId="4" odxf="1" dxf="1">
    <nc r="AE13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56" sId="4" odxf="1" dxf="1">
    <nc r="AF13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COEM_Package_20200401!$B$2:$AH$240</formula>
    <oldFormula>COEM_Package_20200401!$B$2:$AH$240</oldFormula>
  </rdn>
  <rcv guid="{72A6EB0A-84D5-4B8A-AC51-54CCD061630B}" action="add"/>
</revisions>
</file>

<file path=xl/revisions/revisionLog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60" sId="4">
    <nc r="U128">
      <f>ROUNDDOWN(S128/HLOOKUP(D128,Table!$C$3:$D$4,2,0)*8,2)</f>
    </nc>
  </rcc>
  <rcc rId="561" sId="4">
    <nc r="U129">
      <f>ROUNDDOWN(S129/HLOOKUP(D129,Table!$C$3:$D$4,2,0)*8,2)</f>
    </nc>
  </rcc>
  <rcc rId="562" sId="4">
    <nc r="U130">
      <f>ROUNDDOWN(S130/HLOOKUP(D130,Table!$C$3:$D$4,2,0)*8,2)</f>
    </nc>
  </rcc>
  <rcc rId="563" sId="4">
    <nc r="U131">
      <f>ROUNDDOWN(S131/HLOOKUP(D131,Table!$C$3:$D$4,2,0)*8,2)</f>
    </nc>
  </rcc>
  <rcc rId="564" sId="4">
    <nc r="U132">
      <f>ROUNDDOWN(S132/HLOOKUP(D132,Table!$C$3:$D$4,2,0)*8,2)</f>
    </nc>
  </rcc>
  <rcc rId="565" sId="4">
    <nc r="U133">
      <f>ROUNDDOWN(S133/HLOOKUP(D133,Table!$C$3:$D$4,2,0)*8,2)</f>
    </nc>
  </rcc>
  <rcc rId="566" sId="4">
    <nc r="U134">
      <f>ROUNDDOWN(S134/HLOOKUP(D134,Table!$C$3:$D$4,2,0)*8,2)</f>
    </nc>
  </rcc>
  <rcc rId="567" sId="4">
    <nc r="U135">
      <f>ROUNDDOWN(S135/HLOOKUP(D135,Table!$C$3:$D$4,2,0)*8,2)</f>
    </nc>
  </rcc>
  <rcc rId="568" sId="4">
    <nc r="U136">
      <f>ROUNDDOWN(S136/HLOOKUP(D136,Table!$C$3:$D$4,2,0)*8,2)</f>
    </nc>
  </rcc>
  <rcc rId="569" sId="4">
    <nc r="U137">
      <f>ROUNDDOWN(S137/HLOOKUP(D137,Table!$C$3:$D$4,2,0)*8,2)</f>
    </nc>
  </rcc>
  <rcc rId="570" sId="4">
    <nc r="U138">
      <f>ROUNDDOWN(S138/HLOOKUP(D138,Table!$C$3:$D$4,2,0)*8,2)</f>
    </nc>
  </rcc>
  <rcc rId="571" sId="4">
    <nc r="U139">
      <f>ROUNDDOWN(S139/HLOOKUP(D139,Table!$C$3:$D$4,2,0)*8,2)</f>
    </nc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COEM_Package_20200401!$B$2:$AH$240</formula>
    <oldFormula>COEM_Package_20200401!$B$2:$AH$240</oldFormula>
  </rdn>
  <rcv guid="{72A6EB0A-84D5-4B8A-AC51-54CCD061630B}" action="add"/>
</revisions>
</file>

<file path=xl/revisions/revisionLog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575" sId="4">
    <nc r="T154">
      <f>S154</f>
    </nc>
  </rcc>
  <rcc rId="576" sId="4" odxf="1" dxf="1">
    <nc r="U154">
      <f>ROUNDDOWN(S154/HLOOKUP(D154,Table!$C$3:$D$4,2,0)*8,2)</f>
    </nc>
    <odxf/>
    <ndxf/>
  </rcc>
  <rcc rId="577" sId="4">
    <nc r="V154">
      <v>2</v>
    </nc>
  </rcc>
  <rcc rId="578" sId="4">
    <nc r="W154" t="inlineStr">
      <is>
        <t>Ready for review</t>
      </is>
    </nc>
  </rcc>
  <rcc rId="579" sId="4" numFmtId="19">
    <nc r="Z154">
      <v>43934</v>
    </nc>
  </rcc>
  <rcc rId="580" sId="4" numFmtId="19">
    <nc r="AA154">
      <v>43934</v>
    </nc>
  </rcc>
  <rcc rId="581" sId="4">
    <nc r="AB154" t="inlineStr">
      <is>
        <t>NG</t>
      </is>
    </nc>
  </rcc>
  <rcc rId="582" sId="4">
    <nc r="AC154">
      <v>100</v>
    </nc>
  </rcc>
  <rcc rId="583" sId="4">
    <nc r="AD154">
      <v>100</v>
    </nc>
  </rcc>
  <rcc rId="584" sId="4">
    <nc r="AE154">
      <v>85</v>
    </nc>
  </rcc>
  <rcc rId="585" sId="4">
    <nc r="AF154" t="inlineStr">
      <is>
        <t>OPL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COEM_Package_20200302!$B$2:$AG$225</formula>
    <oldFormula>COEM_Package_20200302!$B$2:$AG$225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COEM_Package_20200401!$B$2:$AH$240</formula>
    <oldFormula>COEM_Package_20200401!$B$2:$AH$240</oldFormula>
  </rdn>
  <rcv guid="{60D2C030-4E31-4E07-8E1C-44D2EE84B177}" action="add"/>
</revisions>
</file>

<file path=xl/revisions/revisionLog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fmt sheetId="4" sqref="T128" start="0" length="0">
    <dxf>
      <font>
        <sz val="11"/>
        <color theme="1"/>
        <name val="Calibri"/>
        <scheme val="minor"/>
      </font>
      <alignment horizontal="left" vertical="top" readingOrder="0"/>
    </dxf>
  </rfmt>
  <rfmt sheetId="4" sqref="T129" start="0" length="0">
    <dxf>
      <alignment horizontal="left" vertical="top" readingOrder="0"/>
    </dxf>
  </rfmt>
  <rfmt sheetId="4" sqref="T130" start="0" length="0">
    <dxf>
      <font>
        <sz val="11"/>
        <color theme="1"/>
        <name val="Calibri"/>
        <scheme val="minor"/>
      </font>
      <alignment horizontal="left" vertical="top" readingOrder="0"/>
    </dxf>
  </rfmt>
  <rfmt sheetId="4" sqref="T131" start="0" length="0">
    <dxf>
      <alignment horizontal="left" vertical="top" readingOrder="0"/>
    </dxf>
  </rfmt>
  <rfmt sheetId="4" sqref="T132" start="0" length="0">
    <dxf>
      <alignment horizontal="left" vertical="top" readingOrder="0"/>
    </dxf>
  </rfmt>
  <rfmt sheetId="4" sqref="T133" start="0" length="0">
    <dxf>
      <alignment horizontal="left" vertical="top" readingOrder="0"/>
    </dxf>
  </rfmt>
  <rfmt sheetId="4" sqref="T134" start="0" length="0">
    <dxf>
      <font>
        <sz val="11"/>
        <color theme="1"/>
        <name val="Calibri"/>
        <scheme val="minor"/>
      </font>
      <alignment horizontal="left" vertical="top" readingOrder="0"/>
    </dxf>
  </rfmt>
  <rfmt sheetId="4" sqref="T135" start="0" length="0">
    <dxf>
      <alignment horizontal="left" vertical="top" readingOrder="0"/>
    </dxf>
  </rfmt>
  <rfmt sheetId="4" sqref="T136" start="0" length="0">
    <dxf>
      <alignment horizontal="left" vertical="top" readingOrder="0"/>
    </dxf>
  </rfmt>
  <rfmt sheetId="4" sqref="T137" start="0" length="0">
    <dxf>
      <alignment horizontal="left" vertical="top" readingOrder="0"/>
    </dxf>
  </rfmt>
  <rcc rId="589" sId="4" odxf="1" dxf="1">
    <nc r="T138">
      <f>S138</f>
    </nc>
    <ndxf>
      <alignment horizontal="left" vertical="top" readingOrder="0"/>
    </ndxf>
  </rcc>
  <rcc rId="590" sId="4" odxf="1" dxf="1">
    <oc r="T139">
      <f>S139</f>
    </oc>
    <nc r="T139">
      <f>S139</f>
    </nc>
    <ndxf>
      <alignment horizontal="left" vertical="top" readingOrder="0"/>
    </ndxf>
  </rcc>
  <rcc rId="591" sId="4">
    <nc r="V138">
      <v>4</v>
    </nc>
  </rcc>
  <rcc rId="592" sId="4">
    <nc r="W138" t="inlineStr">
      <is>
        <t>Ready for review</t>
      </is>
    </nc>
  </rcc>
  <rcc rId="593" sId="4" numFmtId="19">
    <nc r="Z138">
      <v>43934</v>
    </nc>
  </rcc>
  <rcc rId="594" sId="4" numFmtId="19">
    <nc r="AA138">
      <v>43934</v>
    </nc>
  </rcc>
  <rcc rId="595" sId="4">
    <nc r="AB138" t="inlineStr">
      <is>
        <t>OK</t>
      </is>
    </nc>
  </rcc>
  <rcc rId="596" sId="4" odxf="1" dxf="1">
    <nc r="AC13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97" sId="4" odxf="1" dxf="1">
    <nc r="AD13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98" sId="4" odxf="1" dxf="1">
    <nc r="AE13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599" sId="4" odxf="1" dxf="1">
    <nc r="AF13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COEM_Package_20200401!$B$2:$AH$240</formula>
    <oldFormula>COEM_Package_20200401!$B$2:$AH$240</oldFormula>
  </rdn>
  <rcv guid="{72A6EB0A-84D5-4B8A-AC51-54CCD061630B}" action="add"/>
</revisions>
</file>

<file path=xl/revisions/revisionLog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xfDxf="1" sqref="J17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7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0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1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4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5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7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8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0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1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4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5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7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19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0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1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4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5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7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0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0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1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4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5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7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1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0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1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4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5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7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2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30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31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3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3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34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J235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603" sId="4" xfDxf="1" dxf="1">
    <nc r="J178">
      <v>81728</v>
    </nc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04" sId="4">
    <nc r="J179">
      <v>81728</v>
    </nc>
  </rcc>
  <rcc rId="605" sId="4">
    <nc r="J180">
      <v>81728</v>
    </nc>
  </rcc>
  <rcc rId="606" sId="4">
    <nc r="J181">
      <v>81728</v>
    </nc>
  </rcc>
  <rcc rId="607" sId="4">
    <nc r="J182">
      <v>81728</v>
    </nc>
  </rcc>
  <rcc rId="608" sId="4">
    <nc r="J183">
      <v>81728</v>
    </nc>
  </rcc>
  <rcc rId="609" sId="4">
    <nc r="J184">
      <v>81728</v>
    </nc>
  </rcc>
  <rcc rId="610" sId="4">
    <nc r="J185">
      <v>81728</v>
    </nc>
  </rcc>
  <rcc rId="611" sId="4">
    <nc r="J186">
      <v>81728</v>
    </nc>
  </rcc>
  <rcc rId="612" sId="4">
    <nc r="J187">
      <v>81728</v>
    </nc>
  </rcc>
  <rcc rId="613" sId="4">
    <nc r="J188">
      <v>81728</v>
    </nc>
  </rcc>
  <rcc rId="614" sId="4">
    <nc r="J189">
      <v>81728</v>
    </nc>
  </rcc>
  <rcc rId="615" sId="4">
    <nc r="J190">
      <v>81728</v>
    </nc>
  </rcc>
  <rcc rId="616" sId="4">
    <nc r="J191">
      <v>81728</v>
    </nc>
  </rcc>
  <rcc rId="617" sId="4">
    <nc r="J192">
      <v>81728</v>
    </nc>
  </rcc>
  <rcc rId="618" sId="4">
    <nc r="J193">
      <v>81728</v>
    </nc>
  </rcc>
  <rcc rId="619" sId="4">
    <nc r="J194">
      <v>81728</v>
    </nc>
  </rcc>
  <rcc rId="620" sId="4">
    <nc r="J195">
      <v>81728</v>
    </nc>
  </rcc>
  <rcc rId="621" sId="4">
    <nc r="J196">
      <v>81728</v>
    </nc>
  </rcc>
  <rcc rId="622" sId="4">
    <nc r="J197">
      <v>81728</v>
    </nc>
  </rcc>
  <rcc rId="623" sId="4">
    <nc r="J198">
      <v>81728</v>
    </nc>
  </rcc>
  <rcc rId="624" sId="4">
    <nc r="J199">
      <v>81728</v>
    </nc>
  </rcc>
  <rcc rId="625" sId="4">
    <nc r="J200">
      <v>81728</v>
    </nc>
  </rcc>
  <rcc rId="626" sId="4">
    <nc r="J201">
      <v>81728</v>
    </nc>
  </rcc>
  <rcc rId="627" sId="4">
    <nc r="J202">
      <v>81728</v>
    </nc>
  </rcc>
  <rcc rId="628" sId="4">
    <nc r="J203">
      <v>81728</v>
    </nc>
  </rcc>
  <rcc rId="629" sId="4">
    <nc r="J204">
      <v>81728</v>
    </nc>
  </rcc>
  <rcc rId="630" sId="4">
    <nc r="J205">
      <v>81728</v>
    </nc>
  </rcc>
  <rcc rId="631" sId="4">
    <nc r="J206">
      <v>81728</v>
    </nc>
  </rcc>
  <rcc rId="632" sId="4">
    <nc r="J207">
      <v>81728</v>
    </nc>
  </rcc>
  <rcc rId="633" sId="4">
    <nc r="J208">
      <v>81728</v>
    </nc>
  </rcc>
  <rcc rId="634" sId="4">
    <nc r="J209">
      <v>81728</v>
    </nc>
  </rcc>
  <rcc rId="635" sId="4">
    <nc r="J210">
      <v>81728</v>
    </nc>
  </rcc>
  <rcc rId="636" sId="4">
    <nc r="J211">
      <v>81728</v>
    </nc>
  </rcc>
  <rcc rId="637" sId="4">
    <nc r="J212">
      <v>81728</v>
    </nc>
  </rcc>
  <rcc rId="638" sId="4">
    <nc r="J213">
      <v>81728</v>
    </nc>
  </rcc>
  <rcc rId="639" sId="4">
    <nc r="J214">
      <v>81728</v>
    </nc>
  </rcc>
  <rcc rId="640" sId="4">
    <nc r="J215">
      <v>81728</v>
    </nc>
  </rcc>
  <rcc rId="641" sId="4">
    <nc r="J216">
      <v>81728</v>
    </nc>
  </rcc>
  <rcc rId="642" sId="4">
    <nc r="J217">
      <v>81728</v>
    </nc>
  </rcc>
  <rcc rId="643" sId="4">
    <nc r="J218">
      <v>81728</v>
    </nc>
  </rcc>
  <rcc rId="644" sId="4">
    <nc r="J219">
      <v>81728</v>
    </nc>
  </rcc>
  <rcc rId="645" sId="4">
    <nc r="J220">
      <v>81728</v>
    </nc>
  </rcc>
  <rcc rId="646" sId="4">
    <nc r="J221">
      <v>81728</v>
    </nc>
  </rcc>
  <rcc rId="647" sId="4">
    <nc r="J222">
      <v>81728</v>
    </nc>
  </rcc>
  <rcc rId="648" sId="4">
    <nc r="J223">
      <v>81728</v>
    </nc>
  </rcc>
  <rcc rId="649" sId="4">
    <nc r="J224">
      <v>81728</v>
    </nc>
  </rcc>
  <rcc rId="650" sId="4">
    <nc r="J225">
      <v>81728</v>
    </nc>
  </rcc>
  <rcc rId="651" sId="4">
    <nc r="J226">
      <v>81728</v>
    </nc>
  </rcc>
  <rcc rId="652" sId="4">
    <nc r="J227">
      <v>81728</v>
    </nc>
  </rcc>
  <rcc rId="653" sId="4">
    <nc r="J228">
      <v>81728</v>
    </nc>
  </rcc>
  <rcc rId="654" sId="4">
    <nc r="J229">
      <v>81728</v>
    </nc>
  </rcc>
  <rcc rId="655" sId="4">
    <nc r="J230">
      <v>81728</v>
    </nc>
  </rcc>
  <rcc rId="656" sId="4">
    <nc r="J231">
      <v>81728</v>
    </nc>
  </rcc>
  <rcc rId="657" sId="4">
    <nc r="J232">
      <v>81728</v>
    </nc>
  </rcc>
  <rcc rId="658" sId="4">
    <nc r="J233">
      <v>81728</v>
    </nc>
  </rcc>
  <rcc rId="659" sId="4">
    <nc r="J234">
      <v>81728</v>
    </nc>
  </rcc>
  <rcc rId="660" sId="4">
    <nc r="J235">
      <v>81728</v>
    </nc>
  </rcc>
  <rcc rId="661" sId="4" xfDxf="1" dxf="1">
    <nc r="K178" t="inlineStr">
      <is>
        <t>BYD_Carbon_ESP93_Int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662" sId="4">
    <nc r="K179" t="inlineStr">
      <is>
        <t>BYD_Carbon_ESP93_Int</t>
      </is>
    </nc>
  </rcc>
  <rcc rId="663" sId="4">
    <nc r="K180" t="inlineStr">
      <is>
        <t>BYD_Carbon_ESP93_Int</t>
      </is>
    </nc>
  </rcc>
  <rcc rId="664" sId="4">
    <nc r="K181" t="inlineStr">
      <is>
        <t>BYD_Carbon_ESP93_Int</t>
      </is>
    </nc>
  </rcc>
  <rcc rId="665" sId="4">
    <nc r="K182" t="inlineStr">
      <is>
        <t>BYD_Carbon_ESP93_Int</t>
      </is>
    </nc>
  </rcc>
  <rcc rId="666" sId="4">
    <nc r="K183" t="inlineStr">
      <is>
        <t>BYD_Carbon_ESP93_Int</t>
      </is>
    </nc>
  </rcc>
  <rcc rId="667" sId="4">
    <nc r="K184" t="inlineStr">
      <is>
        <t>BYD_Carbon_ESP93_Int</t>
      </is>
    </nc>
  </rcc>
  <rcc rId="668" sId="4">
    <nc r="K185" t="inlineStr">
      <is>
        <t>BYD_Carbon_ESP93_Int</t>
      </is>
    </nc>
  </rcc>
  <rcc rId="669" sId="4">
    <nc r="K186" t="inlineStr">
      <is>
        <t>BYD_Carbon_ESP93_Int</t>
      </is>
    </nc>
  </rcc>
  <rcc rId="670" sId="4">
    <nc r="K187" t="inlineStr">
      <is>
        <t>BYD_Carbon_ESP93_Int</t>
      </is>
    </nc>
  </rcc>
  <rcc rId="671" sId="4">
    <nc r="K188" t="inlineStr">
      <is>
        <t>BYD_Carbon_ESP93_Int</t>
      </is>
    </nc>
  </rcc>
  <rcc rId="672" sId="4">
    <nc r="K189" t="inlineStr">
      <is>
        <t>BYD_Carbon_ESP93_Int</t>
      </is>
    </nc>
  </rcc>
  <rcc rId="673" sId="4">
    <nc r="K190" t="inlineStr">
      <is>
        <t>BYD_Carbon_ESP93_Int</t>
      </is>
    </nc>
  </rcc>
  <rcc rId="674" sId="4">
    <nc r="K191" t="inlineStr">
      <is>
        <t>BYD_Carbon_ESP93_Int</t>
      </is>
    </nc>
  </rcc>
  <rcc rId="675" sId="4">
    <nc r="K192" t="inlineStr">
      <is>
        <t>BYD_Carbon_ESP93_Int</t>
      </is>
    </nc>
  </rcc>
  <rcc rId="676" sId="4">
    <nc r="K193" t="inlineStr">
      <is>
        <t>BYD_Carbon_ESP93_Int</t>
      </is>
    </nc>
  </rcc>
  <rcc rId="677" sId="4">
    <nc r="K194" t="inlineStr">
      <is>
        <t>BYD_Carbon_ESP93_Int</t>
      </is>
    </nc>
  </rcc>
  <rcc rId="678" sId="4">
    <nc r="K195" t="inlineStr">
      <is>
        <t>BYD_Carbon_ESP93_Int</t>
      </is>
    </nc>
  </rcc>
  <rcc rId="679" sId="4">
    <nc r="K196" t="inlineStr">
      <is>
        <t>BYD_Carbon_ESP93_Int</t>
      </is>
    </nc>
  </rcc>
  <rcc rId="680" sId="4">
    <nc r="K197" t="inlineStr">
      <is>
        <t>BYD_Carbon_ESP93_Int</t>
      </is>
    </nc>
  </rcc>
  <rcc rId="681" sId="4">
    <nc r="K198" t="inlineStr">
      <is>
        <t>BYD_Carbon_ESP93_Int</t>
      </is>
    </nc>
  </rcc>
  <rcc rId="682" sId="4">
    <nc r="K199" t="inlineStr">
      <is>
        <t>BYD_Carbon_ESP93_Int</t>
      </is>
    </nc>
  </rcc>
  <rcc rId="683" sId="4">
    <nc r="K200" t="inlineStr">
      <is>
        <t>BYD_Carbon_ESP93_Int</t>
      </is>
    </nc>
  </rcc>
  <rcc rId="684" sId="4">
    <nc r="K201" t="inlineStr">
      <is>
        <t>BYD_Carbon_ESP93_Int</t>
      </is>
    </nc>
  </rcc>
  <rcc rId="685" sId="4">
    <nc r="K202" t="inlineStr">
      <is>
        <t>BYD_Carbon_ESP93_Int</t>
      </is>
    </nc>
  </rcc>
  <rcc rId="686" sId="4">
    <nc r="K203" t="inlineStr">
      <is>
        <t>BYD_Carbon_ESP93_Int</t>
      </is>
    </nc>
  </rcc>
  <rcc rId="687" sId="4">
    <nc r="K204" t="inlineStr">
      <is>
        <t>BYD_Carbon_ESP93_Int</t>
      </is>
    </nc>
  </rcc>
  <rcc rId="688" sId="4">
    <nc r="K205" t="inlineStr">
      <is>
        <t>BYD_Carbon_ESP93_Int</t>
      </is>
    </nc>
  </rcc>
  <rcc rId="689" sId="4">
    <nc r="K206" t="inlineStr">
      <is>
        <t>BYD_Carbon_ESP93_Int</t>
      </is>
    </nc>
  </rcc>
  <rcc rId="690" sId="4">
    <nc r="K207" t="inlineStr">
      <is>
        <t>BYD_Carbon_ESP93_Int</t>
      </is>
    </nc>
  </rcc>
  <rcc rId="691" sId="4">
    <nc r="K208" t="inlineStr">
      <is>
        <t>BYD_Carbon_ESP93_Int</t>
      </is>
    </nc>
  </rcc>
  <rcc rId="692" sId="4">
    <nc r="K209" t="inlineStr">
      <is>
        <t>BYD_Carbon_ESP93_Int</t>
      </is>
    </nc>
  </rcc>
  <rcc rId="693" sId="4">
    <nc r="K210" t="inlineStr">
      <is>
        <t>BYD_Carbon_ESP93_Int</t>
      </is>
    </nc>
  </rcc>
  <rcc rId="694" sId="4">
    <nc r="K211" t="inlineStr">
      <is>
        <t>BYD_Carbon_ESP93_Int</t>
      </is>
    </nc>
  </rcc>
  <rcc rId="695" sId="4">
    <nc r="K212" t="inlineStr">
      <is>
        <t>BYD_Carbon_ESP93_Int</t>
      </is>
    </nc>
  </rcc>
  <rcc rId="696" sId="4">
    <nc r="K213" t="inlineStr">
      <is>
        <t>BYD_Carbon_ESP93_Int</t>
      </is>
    </nc>
  </rcc>
  <rcc rId="697" sId="4">
    <nc r="K214" t="inlineStr">
      <is>
        <t>BYD_Carbon_ESP93_Int</t>
      </is>
    </nc>
  </rcc>
  <rcc rId="698" sId="4">
    <nc r="K215" t="inlineStr">
      <is>
        <t>BYD_Carbon_ESP93_Int</t>
      </is>
    </nc>
  </rcc>
  <rcc rId="699" sId="4">
    <nc r="K216" t="inlineStr">
      <is>
        <t>BYD_Carbon_ESP93_Int</t>
      </is>
    </nc>
  </rcc>
  <rcc rId="700" sId="4">
    <nc r="K217" t="inlineStr">
      <is>
        <t>BYD_Carbon_ESP93_Int</t>
      </is>
    </nc>
  </rcc>
  <rcc rId="701" sId="4">
    <nc r="K218" t="inlineStr">
      <is>
        <t>BYD_Carbon_ESP93_Int</t>
      </is>
    </nc>
  </rcc>
  <rcc rId="702" sId="4">
    <nc r="K219" t="inlineStr">
      <is>
        <t>BYD_Carbon_ESP93_Int</t>
      </is>
    </nc>
  </rcc>
  <rcc rId="703" sId="4">
    <nc r="K220" t="inlineStr">
      <is>
        <t>BYD_Carbon_ESP93_Int</t>
      </is>
    </nc>
  </rcc>
  <rcc rId="704" sId="4">
    <nc r="K221" t="inlineStr">
      <is>
        <t>BYD_Carbon_ESP93_Int</t>
      </is>
    </nc>
  </rcc>
  <rcc rId="705" sId="4">
    <nc r="K222" t="inlineStr">
      <is>
        <t>BYD_Carbon_ESP93_Int</t>
      </is>
    </nc>
  </rcc>
  <rcc rId="706" sId="4">
    <nc r="K223" t="inlineStr">
      <is>
        <t>BYD_Carbon_ESP93_Int</t>
      </is>
    </nc>
  </rcc>
  <rcc rId="707" sId="4">
    <nc r="K224" t="inlineStr">
      <is>
        <t>BYD_Carbon_ESP93_Int</t>
      </is>
    </nc>
  </rcc>
  <rcc rId="708" sId="4">
    <nc r="K225" t="inlineStr">
      <is>
        <t>BYD_Carbon_ESP93_Int</t>
      </is>
    </nc>
  </rcc>
  <rcc rId="709" sId="4">
    <nc r="K226" t="inlineStr">
      <is>
        <t>BYD_Carbon_ESP93_Int</t>
      </is>
    </nc>
  </rcc>
  <rcc rId="710" sId="4">
    <nc r="K227" t="inlineStr">
      <is>
        <t>BYD_Carbon_ESP93_Int</t>
      </is>
    </nc>
  </rcc>
  <rcc rId="711" sId="4">
    <nc r="K228" t="inlineStr">
      <is>
        <t>BYD_Carbon_ESP93_Int</t>
      </is>
    </nc>
  </rcc>
  <rcc rId="712" sId="4">
    <nc r="K229" t="inlineStr">
      <is>
        <t>BYD_Carbon_ESP93_Int</t>
      </is>
    </nc>
  </rcc>
  <rcc rId="713" sId="4">
    <nc r="K230" t="inlineStr">
      <is>
        <t>BYD_Carbon_ESP93_Int</t>
      </is>
    </nc>
  </rcc>
  <rcc rId="714" sId="4">
    <nc r="K231" t="inlineStr">
      <is>
        <t>BYD_Carbon_ESP93_Int</t>
      </is>
    </nc>
  </rcc>
  <rcc rId="715" sId="4">
    <nc r="K232" t="inlineStr">
      <is>
        <t>BYD_Carbon_ESP93_Int</t>
      </is>
    </nc>
  </rcc>
  <rcc rId="716" sId="4">
    <nc r="K233" t="inlineStr">
      <is>
        <t>BYD_Carbon_ESP93_Int</t>
      </is>
    </nc>
  </rcc>
  <rcc rId="717" sId="4">
    <nc r="K234" t="inlineStr">
      <is>
        <t>BYD_Carbon_ESP93_Int</t>
      </is>
    </nc>
  </rcc>
  <rcc rId="718" sId="4">
    <nc r="K235" t="inlineStr">
      <is>
        <t>BYD_Carbon_ESP93_Int</t>
      </is>
    </nc>
  </rcc>
  <rcc rId="719" sId="4" quotePrefix="1">
    <nc r="L178" t="inlineStr">
      <is>
        <t>-</t>
      </is>
    </nc>
  </rcc>
  <rcc rId="720" sId="4" quotePrefix="1">
    <nc r="L179" t="inlineStr">
      <is>
        <t>-</t>
      </is>
    </nc>
  </rcc>
  <rcc rId="721" sId="4" quotePrefix="1">
    <nc r="L180" t="inlineStr">
      <is>
        <t>-</t>
      </is>
    </nc>
  </rcc>
  <rcc rId="722" sId="4" quotePrefix="1">
    <nc r="L181" t="inlineStr">
      <is>
        <t>-</t>
      </is>
    </nc>
  </rcc>
  <rcc rId="723" sId="4" quotePrefix="1">
    <nc r="L182" t="inlineStr">
      <is>
        <t>-</t>
      </is>
    </nc>
  </rcc>
  <rcc rId="724" sId="4" quotePrefix="1">
    <nc r="L183" t="inlineStr">
      <is>
        <t>-</t>
      </is>
    </nc>
  </rcc>
  <rcc rId="725" sId="4" quotePrefix="1">
    <nc r="L184" t="inlineStr">
      <is>
        <t>-</t>
      </is>
    </nc>
  </rcc>
  <rcc rId="726" sId="4" quotePrefix="1">
    <nc r="L185" t="inlineStr">
      <is>
        <t>-</t>
      </is>
    </nc>
  </rcc>
  <rcc rId="727" sId="4" quotePrefix="1">
    <nc r="L186" t="inlineStr">
      <is>
        <t>-</t>
      </is>
    </nc>
  </rcc>
  <rcc rId="728" sId="4" quotePrefix="1">
    <nc r="L187" t="inlineStr">
      <is>
        <t>-</t>
      </is>
    </nc>
  </rcc>
  <rcc rId="729" sId="4" quotePrefix="1">
    <nc r="L188" t="inlineStr">
      <is>
        <t>-</t>
      </is>
    </nc>
  </rcc>
  <rcc rId="730" sId="4" quotePrefix="1">
    <nc r="L189" t="inlineStr">
      <is>
        <t>-</t>
      </is>
    </nc>
  </rcc>
  <rcc rId="731" sId="4" quotePrefix="1">
    <nc r="L190" t="inlineStr">
      <is>
        <t>-</t>
      </is>
    </nc>
  </rcc>
  <rcc rId="732" sId="4" quotePrefix="1">
    <nc r="L191" t="inlineStr">
      <is>
        <t>-</t>
      </is>
    </nc>
  </rcc>
  <rcc rId="733" sId="4" quotePrefix="1">
    <nc r="L192" t="inlineStr">
      <is>
        <t>-</t>
      </is>
    </nc>
  </rcc>
  <rcc rId="734" sId="4" quotePrefix="1">
    <nc r="L193" t="inlineStr">
      <is>
        <t>-</t>
      </is>
    </nc>
  </rcc>
  <rcc rId="735" sId="4" quotePrefix="1">
    <nc r="L194" t="inlineStr">
      <is>
        <t>-</t>
      </is>
    </nc>
  </rcc>
  <rcc rId="736" sId="4" quotePrefix="1">
    <nc r="L195" t="inlineStr">
      <is>
        <t>-</t>
      </is>
    </nc>
  </rcc>
  <rcc rId="737" sId="4" quotePrefix="1">
    <nc r="L196" t="inlineStr">
      <is>
        <t>-</t>
      </is>
    </nc>
  </rcc>
  <rcc rId="738" sId="4" quotePrefix="1">
    <nc r="L197" t="inlineStr">
      <is>
        <t>-</t>
      </is>
    </nc>
  </rcc>
  <rcc rId="739" sId="4" quotePrefix="1">
    <nc r="L198" t="inlineStr">
      <is>
        <t>-</t>
      </is>
    </nc>
  </rcc>
  <rcc rId="740" sId="4" quotePrefix="1">
    <nc r="L199" t="inlineStr">
      <is>
        <t>-</t>
      </is>
    </nc>
  </rcc>
  <rcc rId="741" sId="4" quotePrefix="1">
    <nc r="L200" t="inlineStr">
      <is>
        <t>-</t>
      </is>
    </nc>
  </rcc>
  <rcc rId="742" sId="4" quotePrefix="1">
    <nc r="L201" t="inlineStr">
      <is>
        <t>-</t>
      </is>
    </nc>
  </rcc>
  <rcc rId="743" sId="4" quotePrefix="1">
    <nc r="L202" t="inlineStr">
      <is>
        <t>-</t>
      </is>
    </nc>
  </rcc>
  <rcc rId="744" sId="4" quotePrefix="1">
    <nc r="L203" t="inlineStr">
      <is>
        <t>-</t>
      </is>
    </nc>
  </rcc>
  <rcc rId="745" sId="4" quotePrefix="1">
    <nc r="L204" t="inlineStr">
      <is>
        <t>-</t>
      </is>
    </nc>
  </rcc>
  <rcc rId="746" sId="4" quotePrefix="1">
    <nc r="L205" t="inlineStr">
      <is>
        <t>-</t>
      </is>
    </nc>
  </rcc>
  <rcc rId="747" sId="4" quotePrefix="1">
    <nc r="L206" t="inlineStr">
      <is>
        <t>-</t>
      </is>
    </nc>
  </rcc>
  <rcc rId="748" sId="4" quotePrefix="1">
    <nc r="L207" t="inlineStr">
      <is>
        <t>-</t>
      </is>
    </nc>
  </rcc>
  <rcc rId="749" sId="4" quotePrefix="1">
    <nc r="L208" t="inlineStr">
      <is>
        <t>-</t>
      </is>
    </nc>
  </rcc>
  <rcc rId="750" sId="4" quotePrefix="1">
    <nc r="L209" t="inlineStr">
      <is>
        <t>-</t>
      </is>
    </nc>
  </rcc>
  <rcc rId="751" sId="4" quotePrefix="1">
    <nc r="L210" t="inlineStr">
      <is>
        <t>-</t>
      </is>
    </nc>
  </rcc>
  <rcc rId="752" sId="4" quotePrefix="1">
    <nc r="L211" t="inlineStr">
      <is>
        <t>-</t>
      </is>
    </nc>
  </rcc>
  <rcc rId="753" sId="4" quotePrefix="1">
    <nc r="L212" t="inlineStr">
      <is>
        <t>-</t>
      </is>
    </nc>
  </rcc>
  <rcc rId="754" sId="4" quotePrefix="1">
    <nc r="L213" t="inlineStr">
      <is>
        <t>-</t>
      </is>
    </nc>
  </rcc>
  <rcc rId="755" sId="4" quotePrefix="1">
    <nc r="L214" t="inlineStr">
      <is>
        <t>-</t>
      </is>
    </nc>
  </rcc>
  <rcc rId="756" sId="4" quotePrefix="1">
    <nc r="L215" t="inlineStr">
      <is>
        <t>-</t>
      </is>
    </nc>
  </rcc>
  <rcc rId="757" sId="4" quotePrefix="1">
    <nc r="L216" t="inlineStr">
      <is>
        <t>-</t>
      </is>
    </nc>
  </rcc>
  <rcc rId="758" sId="4" quotePrefix="1">
    <nc r="L217" t="inlineStr">
      <is>
        <t>-</t>
      </is>
    </nc>
  </rcc>
  <rcc rId="759" sId="4" quotePrefix="1">
    <nc r="L218" t="inlineStr">
      <is>
        <t>-</t>
      </is>
    </nc>
  </rcc>
  <rcc rId="760" sId="4" quotePrefix="1">
    <nc r="L219" t="inlineStr">
      <is>
        <t>-</t>
      </is>
    </nc>
  </rcc>
  <rcc rId="761" sId="4" quotePrefix="1">
    <nc r="L220" t="inlineStr">
      <is>
        <t>-</t>
      </is>
    </nc>
  </rcc>
  <rcc rId="762" sId="4" quotePrefix="1">
    <nc r="L221" t="inlineStr">
      <is>
        <t>-</t>
      </is>
    </nc>
  </rcc>
  <rcc rId="763" sId="4" quotePrefix="1">
    <nc r="L222" t="inlineStr">
      <is>
        <t>-</t>
      </is>
    </nc>
  </rcc>
  <rcc rId="764" sId="4" quotePrefix="1">
    <nc r="L223" t="inlineStr">
      <is>
        <t>-</t>
      </is>
    </nc>
  </rcc>
  <rcc rId="765" sId="4" quotePrefix="1">
    <nc r="L224" t="inlineStr">
      <is>
        <t>-</t>
      </is>
    </nc>
  </rcc>
  <rcc rId="766" sId="4" quotePrefix="1">
    <nc r="L225" t="inlineStr">
      <is>
        <t>-</t>
      </is>
    </nc>
  </rcc>
  <rcc rId="767" sId="4" quotePrefix="1">
    <nc r="L226" t="inlineStr">
      <is>
        <t>-</t>
      </is>
    </nc>
  </rcc>
  <rcc rId="768" sId="4" quotePrefix="1">
    <nc r="L227" t="inlineStr">
      <is>
        <t>-</t>
      </is>
    </nc>
  </rcc>
  <rcc rId="769" sId="4" quotePrefix="1">
    <nc r="L228" t="inlineStr">
      <is>
        <t>-</t>
      </is>
    </nc>
  </rcc>
  <rcc rId="770" sId="4" quotePrefix="1">
    <nc r="L229" t="inlineStr">
      <is>
        <t>-</t>
      </is>
    </nc>
  </rcc>
  <rcc rId="771" sId="4" quotePrefix="1">
    <nc r="L230" t="inlineStr">
      <is>
        <t>-</t>
      </is>
    </nc>
  </rcc>
  <rcc rId="772" sId="4" quotePrefix="1">
    <nc r="L231" t="inlineStr">
      <is>
        <t>-</t>
      </is>
    </nc>
  </rcc>
  <rcc rId="773" sId="4" quotePrefix="1">
    <nc r="L232" t="inlineStr">
      <is>
        <t>-</t>
      </is>
    </nc>
  </rcc>
  <rcc rId="774" sId="4" quotePrefix="1">
    <nc r="L233" t="inlineStr">
      <is>
        <t>-</t>
      </is>
    </nc>
  </rcc>
  <rcc rId="775" sId="4" quotePrefix="1">
    <nc r="L234" t="inlineStr">
      <is>
        <t>-</t>
      </is>
    </nc>
  </rcc>
  <rcc rId="776" sId="4" quotePrefix="1">
    <nc r="L235" t="inlineStr">
      <is>
        <t>-</t>
      </is>
    </nc>
  </rcc>
  <rcc rId="777" sId="4" xfDxf="1" dxf="1" quotePrefix="1">
    <nc r="M178" t="inlineStr">
      <is>
        <t>MA Python (CC-AS/EVA-SW31-CN)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778" sId="4" quotePrefix="1">
    <nc r="M179" t="inlineStr">
      <is>
        <t>MA Python (CC-AS/EVA-SW31-CN)</t>
      </is>
    </nc>
  </rcc>
  <rcc rId="779" sId="4" quotePrefix="1">
    <nc r="M180" t="inlineStr">
      <is>
        <t>MA Python (CC-AS/EVA-SW31-CN)</t>
      </is>
    </nc>
  </rcc>
  <rcc rId="780" sId="4" quotePrefix="1">
    <nc r="M181" t="inlineStr">
      <is>
        <t>MA Python (CC-AS/EVA-SW31-CN)</t>
      </is>
    </nc>
  </rcc>
  <rcc rId="781" sId="4" quotePrefix="1">
    <nc r="M182" t="inlineStr">
      <is>
        <t>MA Python (CC-AS/EVA-SW31-CN)</t>
      </is>
    </nc>
  </rcc>
  <rcc rId="782" sId="4" quotePrefix="1">
    <nc r="M183" t="inlineStr">
      <is>
        <t>MA Python (CC-AS/EVA-SW31-CN)</t>
      </is>
    </nc>
  </rcc>
  <rcc rId="783" sId="4" quotePrefix="1">
    <nc r="M184" t="inlineStr">
      <is>
        <t>MA Python (CC-AS/EVA-SW31-CN)</t>
      </is>
    </nc>
  </rcc>
  <rcc rId="784" sId="4" quotePrefix="1">
    <nc r="M185" t="inlineStr">
      <is>
        <t>MA Python (CC-AS/EVA-SW31-CN)</t>
      </is>
    </nc>
  </rcc>
  <rcc rId="785" sId="4" quotePrefix="1">
    <nc r="M186" t="inlineStr">
      <is>
        <t>MA Python (CC-AS/EVA-SW31-CN)</t>
      </is>
    </nc>
  </rcc>
  <rcc rId="786" sId="4" quotePrefix="1">
    <nc r="M187" t="inlineStr">
      <is>
        <t>MA Python (CC-AS/EVA-SW31-CN)</t>
      </is>
    </nc>
  </rcc>
  <rcc rId="787" sId="4" quotePrefix="1">
    <nc r="M188" t="inlineStr">
      <is>
        <t>MA Python (CC-AS/EVA-SW31-CN)</t>
      </is>
    </nc>
  </rcc>
  <rcc rId="788" sId="4" quotePrefix="1">
    <nc r="M189" t="inlineStr">
      <is>
        <t>MA Python (CC-AS/EVA-SW31-CN)</t>
      </is>
    </nc>
  </rcc>
  <rcc rId="789" sId="4" quotePrefix="1">
    <nc r="M190" t="inlineStr">
      <is>
        <t>MA Python (CC-AS/EVA-SW31-CN)</t>
      </is>
    </nc>
  </rcc>
  <rcc rId="790" sId="4" quotePrefix="1">
    <nc r="M191" t="inlineStr">
      <is>
        <t>MA Python (CC-AS/EVA-SW31-CN)</t>
      </is>
    </nc>
  </rcc>
  <rcc rId="791" sId="4" quotePrefix="1">
    <nc r="M192" t="inlineStr">
      <is>
        <t>MA Python (CC-AS/EVA-SW31-CN)</t>
      </is>
    </nc>
  </rcc>
  <rcc rId="792" sId="4" quotePrefix="1">
    <nc r="M193" t="inlineStr">
      <is>
        <t>MA Python (CC-AS/EVA-SW31-CN)</t>
      </is>
    </nc>
  </rcc>
  <rcc rId="793" sId="4" quotePrefix="1">
    <nc r="M194" t="inlineStr">
      <is>
        <t>MA Python (CC-AS/EVA-SW31-CN)</t>
      </is>
    </nc>
  </rcc>
  <rcc rId="794" sId="4" quotePrefix="1">
    <nc r="M195" t="inlineStr">
      <is>
        <t>MA Python (CC-AS/EVA-SW31-CN)</t>
      </is>
    </nc>
  </rcc>
  <rcc rId="795" sId="4" quotePrefix="1">
    <nc r="M196" t="inlineStr">
      <is>
        <t>MA Python (CC-AS/EVA-SW31-CN)</t>
      </is>
    </nc>
  </rcc>
  <rcc rId="796" sId="4" quotePrefix="1">
    <nc r="M197" t="inlineStr">
      <is>
        <t>MA Python (CC-AS/EVA-SW31-CN)</t>
      </is>
    </nc>
  </rcc>
  <rcc rId="797" sId="4" quotePrefix="1">
    <nc r="M198" t="inlineStr">
      <is>
        <t>MA Python (CC-AS/EVA-SW31-CN)</t>
      </is>
    </nc>
  </rcc>
  <rcc rId="798" sId="4" quotePrefix="1">
    <nc r="M199" t="inlineStr">
      <is>
        <t>MA Python (CC-AS/EVA-SW31-CN)</t>
      </is>
    </nc>
  </rcc>
  <rcc rId="799" sId="4" quotePrefix="1">
    <nc r="M200" t="inlineStr">
      <is>
        <t>MA Python (CC-AS/EVA-SW31-CN)</t>
      </is>
    </nc>
  </rcc>
  <rcc rId="800" sId="4" quotePrefix="1">
    <nc r="M201" t="inlineStr">
      <is>
        <t>MA Python (CC-AS/EVA-SW31-CN)</t>
      </is>
    </nc>
  </rcc>
  <rcc rId="801" sId="4" quotePrefix="1">
    <nc r="M202" t="inlineStr">
      <is>
        <t>MA Python (CC-AS/EVA-SW31-CN)</t>
      </is>
    </nc>
  </rcc>
  <rcc rId="802" sId="4" quotePrefix="1">
    <nc r="M203" t="inlineStr">
      <is>
        <t>MA Python (CC-AS/EVA-SW31-CN)</t>
      </is>
    </nc>
  </rcc>
  <rcc rId="803" sId="4" quotePrefix="1">
    <nc r="M204" t="inlineStr">
      <is>
        <t>MA Python (CC-AS/EVA-SW31-CN)</t>
      </is>
    </nc>
  </rcc>
  <rcc rId="804" sId="4" quotePrefix="1">
    <nc r="M205" t="inlineStr">
      <is>
        <t>MA Python (CC-AS/EVA-SW31-CN)</t>
      </is>
    </nc>
  </rcc>
  <rcc rId="805" sId="4" quotePrefix="1">
    <nc r="M206" t="inlineStr">
      <is>
        <t>MA Python (CC-AS/EVA-SW31-CN)</t>
      </is>
    </nc>
  </rcc>
  <rcc rId="806" sId="4" quotePrefix="1">
    <nc r="M207" t="inlineStr">
      <is>
        <t>MA Python (CC-AS/EVA-SW31-CN)</t>
      </is>
    </nc>
  </rcc>
  <rcc rId="807" sId="4" quotePrefix="1">
    <nc r="M208" t="inlineStr">
      <is>
        <t>MA Python (CC-AS/EVA-SW31-CN)</t>
      </is>
    </nc>
  </rcc>
  <rcc rId="808" sId="4" quotePrefix="1">
    <nc r="M209" t="inlineStr">
      <is>
        <t>MA Python (CC-AS/EVA-SW31-CN)</t>
      </is>
    </nc>
  </rcc>
  <rcc rId="809" sId="4" quotePrefix="1">
    <nc r="M210" t="inlineStr">
      <is>
        <t>MA Python (CC-AS/EVA-SW31-CN)</t>
      </is>
    </nc>
  </rcc>
  <rcc rId="810" sId="4" quotePrefix="1">
    <nc r="M211" t="inlineStr">
      <is>
        <t>MA Python (CC-AS/EVA-SW31-CN)</t>
      </is>
    </nc>
  </rcc>
  <rcc rId="811" sId="4" quotePrefix="1">
    <nc r="M212" t="inlineStr">
      <is>
        <t>MA Python (CC-AS/EVA-SW31-CN)</t>
      </is>
    </nc>
  </rcc>
  <rcc rId="812" sId="4" quotePrefix="1">
    <nc r="M213" t="inlineStr">
      <is>
        <t>MA Python (CC-AS/EVA-SW31-CN)</t>
      </is>
    </nc>
  </rcc>
  <rcc rId="813" sId="4" quotePrefix="1">
    <nc r="M214" t="inlineStr">
      <is>
        <t>MA Python (CC-AS/EVA-SW31-CN)</t>
      </is>
    </nc>
  </rcc>
  <rcc rId="814" sId="4" quotePrefix="1">
    <nc r="M215" t="inlineStr">
      <is>
        <t>MA Python (CC-AS/EVA-SW31-CN)</t>
      </is>
    </nc>
  </rcc>
  <rcc rId="815" sId="4" quotePrefix="1">
    <nc r="M216" t="inlineStr">
      <is>
        <t>MA Python (CC-AS/EVA-SW31-CN)</t>
      </is>
    </nc>
  </rcc>
  <rcc rId="816" sId="4" quotePrefix="1">
    <nc r="M217" t="inlineStr">
      <is>
        <t>MA Python (CC-AS/EVA-SW31-CN)</t>
      </is>
    </nc>
  </rcc>
  <rcc rId="817" sId="4" quotePrefix="1">
    <nc r="M218" t="inlineStr">
      <is>
        <t>MA Python (CC-AS/EVA-SW31-CN)</t>
      </is>
    </nc>
  </rcc>
  <rcc rId="818" sId="4" quotePrefix="1">
    <nc r="M219" t="inlineStr">
      <is>
        <t>MA Python (CC-AS/EVA-SW31-CN)</t>
      </is>
    </nc>
  </rcc>
  <rcc rId="819" sId="4" quotePrefix="1">
    <nc r="M220" t="inlineStr">
      <is>
        <t>MA Python (CC-AS/EVA-SW31-CN)</t>
      </is>
    </nc>
  </rcc>
  <rcc rId="820" sId="4" quotePrefix="1">
    <nc r="M221" t="inlineStr">
      <is>
        <t>MA Python (CC-AS/EVA-SW31-CN)</t>
      </is>
    </nc>
  </rcc>
  <rcc rId="821" sId="4" quotePrefix="1">
    <nc r="M222" t="inlineStr">
      <is>
        <t>MA Python (CC-AS/EVA-SW31-CN)</t>
      </is>
    </nc>
  </rcc>
  <rcc rId="822" sId="4" quotePrefix="1">
    <nc r="M223" t="inlineStr">
      <is>
        <t>MA Python (CC-AS/EVA-SW31-CN)</t>
      </is>
    </nc>
  </rcc>
  <rcc rId="823" sId="4" quotePrefix="1">
    <nc r="M224" t="inlineStr">
      <is>
        <t>MA Python (CC-AS/EVA-SW31-CN)</t>
      </is>
    </nc>
  </rcc>
  <rcc rId="824" sId="4" quotePrefix="1">
    <nc r="M225" t="inlineStr">
      <is>
        <t>MA Python (CC-AS/EVA-SW31-CN)</t>
      </is>
    </nc>
  </rcc>
  <rcc rId="825" sId="4" quotePrefix="1">
    <nc r="M226" t="inlineStr">
      <is>
        <t>MA Python (CC-AS/EVA-SW31-CN)</t>
      </is>
    </nc>
  </rcc>
  <rcc rId="826" sId="4" quotePrefix="1">
    <nc r="M227" t="inlineStr">
      <is>
        <t>MA Python (CC-AS/EVA-SW31-CN)</t>
      </is>
    </nc>
  </rcc>
  <rcc rId="827" sId="4" quotePrefix="1">
    <nc r="M228" t="inlineStr">
      <is>
        <t>MA Python (CC-AS/EVA-SW31-CN)</t>
      </is>
    </nc>
  </rcc>
  <rcc rId="828" sId="4" quotePrefix="1">
    <nc r="M229" t="inlineStr">
      <is>
        <t>MA Python (CC-AS/EVA-SW31-CN)</t>
      </is>
    </nc>
  </rcc>
  <rcc rId="829" sId="4" quotePrefix="1">
    <nc r="M230" t="inlineStr">
      <is>
        <t>MA Python (CC-AS/EVA-SW31-CN)</t>
      </is>
    </nc>
  </rcc>
  <rcc rId="830" sId="4" quotePrefix="1">
    <nc r="M231" t="inlineStr">
      <is>
        <t>MA Python (CC-AS/EVA-SW31-CN)</t>
      </is>
    </nc>
  </rcc>
  <rcc rId="831" sId="4" quotePrefix="1">
    <nc r="M232" t="inlineStr">
      <is>
        <t>MA Python (CC-AS/EVA-SW31-CN)</t>
      </is>
    </nc>
  </rcc>
  <rcc rId="832" sId="4" quotePrefix="1">
    <nc r="M233" t="inlineStr">
      <is>
        <t>MA Python (CC-AS/EVA-SW31-CN)</t>
      </is>
    </nc>
  </rcc>
  <rcc rId="833" sId="4" quotePrefix="1">
    <nc r="M234" t="inlineStr">
      <is>
        <t>MA Python (CC-AS/EVA-SW31-CN)</t>
      </is>
    </nc>
  </rcc>
  <rcc rId="834" sId="4" quotePrefix="1">
    <nc r="M235" t="inlineStr">
      <is>
        <t>MA Python (CC-AS/EVA-SW31-CN)</t>
      </is>
    </nc>
  </rcc>
  <rcc rId="835" sId="4">
    <nc r="N178" t="inlineStr">
      <is>
        <t>T_C-393</t>
      </is>
    </nc>
  </rcc>
  <rcc rId="836" sId="4">
    <nc r="N179" t="inlineStr">
      <is>
        <t>T_C-394</t>
      </is>
    </nc>
  </rcc>
  <rcc rId="837" sId="4">
    <nc r="N180" t="inlineStr">
      <is>
        <t>T_C-395</t>
      </is>
    </nc>
  </rcc>
  <rcc rId="838" sId="4">
    <nc r="N181" t="inlineStr">
      <is>
        <t>T_C-396</t>
      </is>
    </nc>
  </rcc>
  <rcc rId="839" sId="4">
    <nc r="N182" t="inlineStr">
      <is>
        <t>T_C-397</t>
      </is>
    </nc>
  </rcc>
  <rcc rId="840" sId="4">
    <nc r="N183" t="inlineStr">
      <is>
        <t>T_C-398</t>
      </is>
    </nc>
  </rcc>
  <rcc rId="841" sId="4">
    <nc r="N184" t="inlineStr">
      <is>
        <t>T_C-399</t>
      </is>
    </nc>
  </rcc>
  <rcc rId="842" sId="4">
    <nc r="N185" t="inlineStr">
      <is>
        <t>T_C-400</t>
      </is>
    </nc>
  </rcc>
  <rcc rId="843" sId="4">
    <nc r="N186" t="inlineStr">
      <is>
        <t>T_C-401</t>
      </is>
    </nc>
  </rcc>
  <rcc rId="844" sId="4">
    <nc r="N187" t="inlineStr">
      <is>
        <t>T_C-402</t>
      </is>
    </nc>
  </rcc>
  <rcc rId="845" sId="4">
    <nc r="N188" t="inlineStr">
      <is>
        <t>T_C-403</t>
      </is>
    </nc>
  </rcc>
  <rcc rId="846" sId="4">
    <nc r="N189" t="inlineStr">
      <is>
        <t>T_C-404</t>
      </is>
    </nc>
  </rcc>
  <rcc rId="847" sId="4">
    <nc r="N190" t="inlineStr">
      <is>
        <t>T_C-405</t>
      </is>
    </nc>
  </rcc>
  <rcc rId="848" sId="4">
    <nc r="N191" t="inlineStr">
      <is>
        <t>T_C-406</t>
      </is>
    </nc>
  </rcc>
  <rcc rId="849" sId="4">
    <nc r="N192" t="inlineStr">
      <is>
        <t>T_C-407</t>
      </is>
    </nc>
  </rcc>
  <rcc rId="850" sId="4">
    <nc r="N193" t="inlineStr">
      <is>
        <t>T_C-408</t>
      </is>
    </nc>
  </rcc>
  <rcc rId="851" sId="4">
    <nc r="N194" t="inlineStr">
      <is>
        <t>T_C-409</t>
      </is>
    </nc>
  </rcc>
  <rcc rId="852" sId="4">
    <nc r="N195" t="inlineStr">
      <is>
        <t>T_C-410</t>
      </is>
    </nc>
  </rcc>
  <rcc rId="853" sId="4">
    <nc r="N196" t="inlineStr">
      <is>
        <t>T_C-411</t>
      </is>
    </nc>
  </rcc>
  <rcc rId="854" sId="4">
    <nc r="N197" t="inlineStr">
      <is>
        <t>T_C-412</t>
      </is>
    </nc>
  </rcc>
  <rcc rId="855" sId="4">
    <nc r="N198" t="inlineStr">
      <is>
        <t>T_C-413</t>
      </is>
    </nc>
  </rcc>
  <rcc rId="856" sId="4">
    <nc r="N199" t="inlineStr">
      <is>
        <t>T_C-414</t>
      </is>
    </nc>
  </rcc>
  <rcc rId="857" sId="4">
    <nc r="N200" t="inlineStr">
      <is>
        <t>T_C-415</t>
      </is>
    </nc>
  </rcc>
  <rcc rId="858" sId="4">
    <nc r="N201" t="inlineStr">
      <is>
        <t>T_C-416</t>
      </is>
    </nc>
  </rcc>
  <rcc rId="859" sId="4">
    <nc r="N202" t="inlineStr">
      <is>
        <t>T_C-417</t>
      </is>
    </nc>
  </rcc>
  <rcc rId="860" sId="4">
    <nc r="N203" t="inlineStr">
      <is>
        <t>T_C-418</t>
      </is>
    </nc>
  </rcc>
  <rcc rId="861" sId="4">
    <nc r="N204" t="inlineStr">
      <is>
        <t>T_C-419</t>
      </is>
    </nc>
  </rcc>
  <rcc rId="862" sId="4">
    <nc r="N205" t="inlineStr">
      <is>
        <t>T_C-420</t>
      </is>
    </nc>
  </rcc>
  <rcc rId="863" sId="4">
    <nc r="N206" t="inlineStr">
      <is>
        <t>T_C-421</t>
      </is>
    </nc>
  </rcc>
  <rcc rId="864" sId="4">
    <nc r="N207" t="inlineStr">
      <is>
        <t>T_C-422</t>
      </is>
    </nc>
  </rcc>
  <rcc rId="865" sId="4">
    <nc r="N208" t="inlineStr">
      <is>
        <t>T_C-423</t>
      </is>
    </nc>
  </rcc>
  <rcc rId="866" sId="4">
    <nc r="N209" t="inlineStr">
      <is>
        <t>T_C-424</t>
      </is>
    </nc>
  </rcc>
  <rcc rId="867" sId="4">
    <nc r="N210" t="inlineStr">
      <is>
        <t>T_C-425</t>
      </is>
    </nc>
  </rcc>
  <rcc rId="868" sId="4">
    <nc r="N211" t="inlineStr">
      <is>
        <t>T_C-426</t>
      </is>
    </nc>
  </rcc>
  <rcc rId="869" sId="4">
    <nc r="N212" t="inlineStr">
      <is>
        <t>T_C-427</t>
      </is>
    </nc>
  </rcc>
  <rcc rId="870" sId="4">
    <nc r="N213" t="inlineStr">
      <is>
        <t>T_C-428</t>
      </is>
    </nc>
  </rcc>
  <rcc rId="871" sId="4">
    <nc r="N214" t="inlineStr">
      <is>
        <t>T_C-429</t>
      </is>
    </nc>
  </rcc>
  <rcc rId="872" sId="4">
    <nc r="N215" t="inlineStr">
      <is>
        <t>T_C-430</t>
      </is>
    </nc>
  </rcc>
  <rcc rId="873" sId="4">
    <nc r="N216" t="inlineStr">
      <is>
        <t>T_C-431</t>
      </is>
    </nc>
  </rcc>
  <rcc rId="874" sId="4">
    <nc r="N217" t="inlineStr">
      <is>
        <t>T_C-432</t>
      </is>
    </nc>
  </rcc>
  <rcc rId="875" sId="4">
    <nc r="N218" t="inlineStr">
      <is>
        <t>T_C-433</t>
      </is>
    </nc>
  </rcc>
  <rcc rId="876" sId="4">
    <nc r="N219" t="inlineStr">
      <is>
        <t>T_C-434</t>
      </is>
    </nc>
  </rcc>
  <rcc rId="877" sId="4">
    <nc r="N220" t="inlineStr">
      <is>
        <t>T_C-435</t>
      </is>
    </nc>
  </rcc>
  <rcc rId="878" sId="4">
    <nc r="N221" t="inlineStr">
      <is>
        <t>T_C-436</t>
      </is>
    </nc>
  </rcc>
  <rcc rId="879" sId="4">
    <nc r="N222" t="inlineStr">
      <is>
        <t>T_C-437</t>
      </is>
    </nc>
  </rcc>
  <rcc rId="880" sId="4">
    <nc r="N223" t="inlineStr">
      <is>
        <t>T_C-438</t>
      </is>
    </nc>
  </rcc>
  <rcc rId="881" sId="4">
    <nc r="N224" t="inlineStr">
      <is>
        <t>T_C-439</t>
      </is>
    </nc>
  </rcc>
  <rcc rId="882" sId="4">
    <nc r="N225" t="inlineStr">
      <is>
        <t>T_C-440</t>
      </is>
    </nc>
  </rcc>
  <rcc rId="883" sId="4">
    <nc r="N226" t="inlineStr">
      <is>
        <t>T_C-441</t>
      </is>
    </nc>
  </rcc>
  <rcc rId="884" sId="4">
    <nc r="N227" t="inlineStr">
      <is>
        <t>T_C-442</t>
      </is>
    </nc>
  </rcc>
  <rcc rId="885" sId="4">
    <nc r="N228" t="inlineStr">
      <is>
        <t>T_C-443</t>
      </is>
    </nc>
  </rcc>
  <rcc rId="886" sId="4">
    <nc r="N229" t="inlineStr">
      <is>
        <t>T_C-444</t>
      </is>
    </nc>
  </rcc>
  <rcc rId="887" sId="4">
    <nc r="N230" t="inlineStr">
      <is>
        <t>T_C-445</t>
      </is>
    </nc>
  </rcc>
  <rcc rId="888" sId="4">
    <nc r="N231" t="inlineStr">
      <is>
        <t>T_C-446</t>
      </is>
    </nc>
  </rcc>
  <rcc rId="889" sId="4">
    <nc r="N232" t="inlineStr">
      <is>
        <t>T_C-447</t>
      </is>
    </nc>
  </rcc>
  <rcc rId="890" sId="4">
    <nc r="N233" t="inlineStr">
      <is>
        <t>T_C-448</t>
      </is>
    </nc>
  </rcc>
  <rcc rId="891" sId="4">
    <nc r="N234" t="inlineStr">
      <is>
        <t>T_C-449</t>
      </is>
    </nc>
  </rcc>
  <rcc rId="892" sId="4">
    <nc r="N235" t="inlineStr">
      <is>
        <t>T_C-450</t>
      </is>
    </nc>
  </rcc>
  <rcc rId="893" sId="4" numFmtId="19">
    <nc r="X178">
      <v>43934</v>
    </nc>
  </rcc>
  <rcc rId="894" sId="4" numFmtId="19">
    <nc r="X179">
      <v>43934</v>
    </nc>
  </rcc>
  <rcc rId="895" sId="4" numFmtId="19">
    <nc r="X180">
      <v>43934</v>
    </nc>
  </rcc>
  <rcc rId="896" sId="4" numFmtId="19">
    <nc r="X181">
      <v>43934</v>
    </nc>
  </rcc>
  <rcc rId="897" sId="4" numFmtId="19">
    <nc r="X182">
      <v>43934</v>
    </nc>
  </rcc>
  <rcc rId="898" sId="4" numFmtId="19">
    <nc r="X183">
      <v>43934</v>
    </nc>
  </rcc>
  <rcc rId="899" sId="4" numFmtId="19">
    <nc r="X184">
      <v>43934</v>
    </nc>
  </rcc>
  <rcc rId="900" sId="4" numFmtId="19">
    <nc r="X185">
      <v>43934</v>
    </nc>
  </rcc>
  <rcc rId="901" sId="4" numFmtId="19">
    <nc r="X186">
      <v>43934</v>
    </nc>
  </rcc>
  <rcc rId="902" sId="4" numFmtId="19">
    <nc r="X187">
      <v>43934</v>
    </nc>
  </rcc>
  <rcc rId="903" sId="4" numFmtId="19">
    <nc r="X188">
      <v>43934</v>
    </nc>
  </rcc>
  <rcc rId="904" sId="4" numFmtId="19">
    <nc r="X189">
      <v>43934</v>
    </nc>
  </rcc>
  <rcc rId="905" sId="4" numFmtId="19">
    <nc r="X190">
      <v>43934</v>
    </nc>
  </rcc>
  <rcc rId="906" sId="4" numFmtId="19">
    <nc r="X191">
      <v>43934</v>
    </nc>
  </rcc>
  <rcc rId="907" sId="4" numFmtId="19">
    <nc r="X192">
      <v>43934</v>
    </nc>
  </rcc>
  <rcc rId="908" sId="4" numFmtId="19">
    <nc r="X193">
      <v>43934</v>
    </nc>
  </rcc>
  <rcc rId="909" sId="4" numFmtId="19">
    <nc r="X194">
      <v>43934</v>
    </nc>
  </rcc>
  <rcc rId="910" sId="4" numFmtId="19">
    <nc r="X195">
      <v>43934</v>
    </nc>
  </rcc>
  <rcc rId="911" sId="4" numFmtId="19">
    <nc r="X196">
      <v>43934</v>
    </nc>
  </rcc>
  <rcc rId="912" sId="4" numFmtId="19">
    <nc r="X197">
      <v>43934</v>
    </nc>
  </rcc>
  <rcc rId="913" sId="4" numFmtId="19">
    <nc r="X198">
      <v>43934</v>
    </nc>
  </rcc>
  <rcc rId="914" sId="4" numFmtId="19">
    <nc r="X199">
      <v>43934</v>
    </nc>
  </rcc>
  <rcc rId="915" sId="4" numFmtId="19">
    <nc r="X200">
      <v>43934</v>
    </nc>
  </rcc>
  <rcc rId="916" sId="4" numFmtId="19">
    <nc r="X201">
      <v>43934</v>
    </nc>
  </rcc>
  <rcc rId="917" sId="4" numFmtId="19">
    <nc r="X202">
      <v>43934</v>
    </nc>
  </rcc>
  <rcc rId="918" sId="4" numFmtId="19">
    <nc r="X203">
      <v>43934</v>
    </nc>
  </rcc>
  <rcc rId="919" sId="4" numFmtId="19">
    <nc r="X204">
      <v>43934</v>
    </nc>
  </rcc>
  <rcc rId="920" sId="4" numFmtId="19">
    <nc r="X205">
      <v>43934</v>
    </nc>
  </rcc>
  <rcc rId="921" sId="4" numFmtId="19">
    <nc r="X206">
      <v>43934</v>
    </nc>
  </rcc>
  <rcc rId="922" sId="4" numFmtId="19">
    <nc r="X207">
      <v>43934</v>
    </nc>
  </rcc>
  <rcc rId="923" sId="4" numFmtId="19">
    <nc r="X208">
      <v>43934</v>
    </nc>
  </rcc>
  <rcc rId="924" sId="4" numFmtId="19">
    <nc r="X209">
      <v>43934</v>
    </nc>
  </rcc>
  <rcc rId="925" sId="4" numFmtId="19">
    <nc r="X210">
      <v>43934</v>
    </nc>
  </rcc>
  <rcc rId="926" sId="4" numFmtId="19">
    <nc r="X211">
      <v>43934</v>
    </nc>
  </rcc>
  <rcc rId="927" sId="4" numFmtId="19">
    <nc r="X212">
      <v>43934</v>
    </nc>
  </rcc>
  <rcc rId="928" sId="4" numFmtId="19">
    <nc r="X213">
      <v>43934</v>
    </nc>
  </rcc>
  <rcc rId="929" sId="4" numFmtId="19">
    <nc r="X214">
      <v>43934</v>
    </nc>
  </rcc>
  <rcc rId="930" sId="4" numFmtId="19">
    <nc r="X215">
      <v>43934</v>
    </nc>
  </rcc>
  <rcc rId="931" sId="4" numFmtId="19">
    <nc r="X216">
      <v>43934</v>
    </nc>
  </rcc>
  <rcc rId="932" sId="4" numFmtId="19">
    <nc r="X217">
      <v>43934</v>
    </nc>
  </rcc>
  <rcc rId="933" sId="4" numFmtId="19">
    <nc r="X218">
      <v>43934</v>
    </nc>
  </rcc>
  <rcc rId="934" sId="4" numFmtId="19">
    <nc r="X219">
      <v>43934</v>
    </nc>
  </rcc>
  <rcc rId="935" sId="4" numFmtId="19">
    <nc r="X220">
      <v>43934</v>
    </nc>
  </rcc>
  <rcc rId="936" sId="4" numFmtId="19">
    <nc r="X221">
      <v>43934</v>
    </nc>
  </rcc>
  <rcc rId="937" sId="4" numFmtId="19">
    <nc r="X222">
      <v>43934</v>
    </nc>
  </rcc>
  <rcc rId="938" sId="4" numFmtId="19">
    <nc r="X223">
      <v>43934</v>
    </nc>
  </rcc>
  <rcc rId="939" sId="4" numFmtId="19">
    <nc r="X224">
      <v>43934</v>
    </nc>
  </rcc>
  <rcc rId="940" sId="4" numFmtId="19">
    <nc r="X225">
      <v>43934</v>
    </nc>
  </rcc>
  <rcc rId="941" sId="4" numFmtId="19">
    <nc r="X226">
      <v>43934</v>
    </nc>
  </rcc>
  <rcc rId="942" sId="4" numFmtId="19">
    <nc r="X227">
      <v>43934</v>
    </nc>
  </rcc>
  <rcc rId="943" sId="4" numFmtId="19">
    <nc r="X228">
      <v>43934</v>
    </nc>
  </rcc>
  <rcc rId="944" sId="4" numFmtId="19">
    <nc r="X229">
      <v>43934</v>
    </nc>
  </rcc>
  <rcc rId="945" sId="4" numFmtId="19">
    <nc r="X230">
      <v>43934</v>
    </nc>
  </rcc>
  <rcc rId="946" sId="4" numFmtId="19">
    <nc r="X231">
      <v>43934</v>
    </nc>
  </rcc>
  <rcc rId="947" sId="4" numFmtId="19">
    <nc r="X232">
      <v>43934</v>
    </nc>
  </rcc>
  <rcc rId="948" sId="4" numFmtId="19">
    <nc r="X233">
      <v>43934</v>
    </nc>
  </rcc>
  <rcc rId="949" sId="4" numFmtId="19">
    <nc r="X234">
      <v>43934</v>
    </nc>
  </rcc>
  <rcc rId="950" sId="4" numFmtId="19">
    <nc r="X235">
      <v>43934</v>
    </nc>
  </rcc>
  <rcc rId="951" sId="4" numFmtId="19">
    <nc r="Y178">
      <v>43950</v>
    </nc>
  </rcc>
  <rcc rId="952" sId="4" numFmtId="19">
    <nc r="Y179">
      <v>43950</v>
    </nc>
  </rcc>
  <rcc rId="953" sId="4" numFmtId="19">
    <nc r="Y180">
      <v>43950</v>
    </nc>
  </rcc>
  <rcc rId="954" sId="4" numFmtId="19">
    <nc r="Y181">
      <v>43950</v>
    </nc>
  </rcc>
  <rcc rId="955" sId="4" numFmtId="19">
    <nc r="Y182">
      <v>43950</v>
    </nc>
  </rcc>
  <rcc rId="956" sId="4" numFmtId="19">
    <nc r="Y183">
      <v>43950</v>
    </nc>
  </rcc>
  <rcc rId="957" sId="4" numFmtId="19">
    <nc r="Y184">
      <v>43950</v>
    </nc>
  </rcc>
  <rcc rId="958" sId="4" numFmtId="19">
    <nc r="Y185">
      <v>43950</v>
    </nc>
  </rcc>
  <rcc rId="959" sId="4" numFmtId="19">
    <nc r="Y186">
      <v>43950</v>
    </nc>
  </rcc>
  <rcc rId="960" sId="4" numFmtId="19">
    <nc r="Y187">
      <v>43950</v>
    </nc>
  </rcc>
  <rcc rId="961" sId="4" numFmtId="19">
    <nc r="Y188">
      <v>43950</v>
    </nc>
  </rcc>
  <rcc rId="962" sId="4" numFmtId="19">
    <nc r="Y189">
      <v>43950</v>
    </nc>
  </rcc>
  <rcc rId="963" sId="4" numFmtId="19">
    <nc r="Y190">
      <v>43950</v>
    </nc>
  </rcc>
  <rcc rId="964" sId="4" numFmtId="19">
    <nc r="Y191">
      <v>43950</v>
    </nc>
  </rcc>
  <rcc rId="965" sId="4" numFmtId="19">
    <nc r="Y192">
      <v>43950</v>
    </nc>
  </rcc>
  <rcc rId="966" sId="4" numFmtId="19">
    <nc r="Y193">
      <v>43950</v>
    </nc>
  </rcc>
  <rcc rId="967" sId="4" numFmtId="19">
    <nc r="Y194">
      <v>43950</v>
    </nc>
  </rcc>
  <rcc rId="968" sId="4" numFmtId="19">
    <nc r="Y195">
      <v>43950</v>
    </nc>
  </rcc>
  <rcc rId="969" sId="4" numFmtId="19">
    <nc r="Y196">
      <v>43950</v>
    </nc>
  </rcc>
  <rcc rId="970" sId="4" numFmtId="19">
    <nc r="Y197">
      <v>43950</v>
    </nc>
  </rcc>
  <rcc rId="971" sId="4" numFmtId="19">
    <nc r="Y198">
      <v>43950</v>
    </nc>
  </rcc>
  <rcc rId="972" sId="4" numFmtId="19">
    <nc r="Y199">
      <v>43950</v>
    </nc>
  </rcc>
  <rcc rId="973" sId="4" numFmtId="19">
    <nc r="Y200">
      <v>43950</v>
    </nc>
  </rcc>
  <rcc rId="974" sId="4" numFmtId="19">
    <nc r="Y201">
      <v>43950</v>
    </nc>
  </rcc>
  <rcc rId="975" sId="4" numFmtId="19">
    <nc r="Y202">
      <v>43950</v>
    </nc>
  </rcc>
  <rcc rId="976" sId="4" numFmtId="19">
    <nc r="Y203">
      <v>43950</v>
    </nc>
  </rcc>
  <rcc rId="977" sId="4" numFmtId="19">
    <nc r="Y204">
      <v>43950</v>
    </nc>
  </rcc>
  <rcc rId="978" sId="4" numFmtId="19">
    <nc r="Y205">
      <v>43950</v>
    </nc>
  </rcc>
  <rcc rId="979" sId="4" numFmtId="19">
    <nc r="Y206">
      <v>43950</v>
    </nc>
  </rcc>
  <rcc rId="980" sId="4" numFmtId="19">
    <nc r="Y207">
      <v>43950</v>
    </nc>
  </rcc>
  <rcc rId="981" sId="4" numFmtId="19">
    <nc r="Y208">
      <v>43950</v>
    </nc>
  </rcc>
  <rcc rId="982" sId="4" numFmtId="19">
    <nc r="Y209">
      <v>43950</v>
    </nc>
  </rcc>
  <rcc rId="983" sId="4" numFmtId="19">
    <nc r="Y210">
      <v>43950</v>
    </nc>
  </rcc>
  <rcc rId="984" sId="4" numFmtId="19">
    <nc r="Y211">
      <v>43950</v>
    </nc>
  </rcc>
  <rcc rId="985" sId="4" numFmtId="19">
    <nc r="Y212">
      <v>43950</v>
    </nc>
  </rcc>
  <rcc rId="986" sId="4" numFmtId="19">
    <nc r="Y213">
      <v>43950</v>
    </nc>
  </rcc>
  <rcc rId="987" sId="4" numFmtId="19">
    <nc r="Y214">
      <v>43950</v>
    </nc>
  </rcc>
  <rcc rId="988" sId="4" numFmtId="19">
    <nc r="Y215">
      <v>43950</v>
    </nc>
  </rcc>
  <rcc rId="989" sId="4" numFmtId="19">
    <nc r="Y216">
      <v>43950</v>
    </nc>
  </rcc>
  <rcc rId="990" sId="4" numFmtId="19">
    <nc r="Y217">
      <v>43950</v>
    </nc>
  </rcc>
  <rcc rId="991" sId="4" numFmtId="19">
    <nc r="Y218">
      <v>43950</v>
    </nc>
  </rcc>
  <rcc rId="992" sId="4" numFmtId="19">
    <nc r="Y219">
      <v>43950</v>
    </nc>
  </rcc>
  <rcc rId="993" sId="4" numFmtId="19">
    <nc r="Y220">
      <v>43950</v>
    </nc>
  </rcc>
  <rcc rId="994" sId="4" numFmtId="19">
    <nc r="Y221">
      <v>43950</v>
    </nc>
  </rcc>
  <rcc rId="995" sId="4" numFmtId="19">
    <nc r="Y222">
      <v>43950</v>
    </nc>
  </rcc>
  <rcc rId="996" sId="4" numFmtId="19">
    <nc r="Y223">
      <v>43950</v>
    </nc>
  </rcc>
  <rcc rId="997" sId="4" numFmtId="19">
    <nc r="Y224">
      <v>43950</v>
    </nc>
  </rcc>
  <rcc rId="998" sId="4" numFmtId="19">
    <nc r="Y225">
      <v>43950</v>
    </nc>
  </rcc>
  <rcc rId="999" sId="4" numFmtId="19">
    <nc r="Y226">
      <v>43950</v>
    </nc>
  </rcc>
  <rcc rId="1000" sId="4" numFmtId="19">
    <nc r="Y227">
      <v>43950</v>
    </nc>
  </rcc>
  <rcc rId="1001" sId="4" numFmtId="19">
    <nc r="Y228">
      <v>43950</v>
    </nc>
  </rcc>
  <rcc rId="1002" sId="4" numFmtId="19">
    <nc r="Y229">
      <v>43950</v>
    </nc>
  </rcc>
  <rcc rId="1003" sId="4" numFmtId="19">
    <nc r="Y230">
      <v>43950</v>
    </nc>
  </rcc>
  <rcc rId="1004" sId="4" numFmtId="19">
    <nc r="Y231">
      <v>43950</v>
    </nc>
  </rcc>
  <rcc rId="1005" sId="4" numFmtId="19">
    <nc r="Y232">
      <v>43950</v>
    </nc>
  </rcc>
  <rcc rId="1006" sId="4" numFmtId="19">
    <nc r="Y233">
      <v>43950</v>
    </nc>
  </rcc>
  <rcc rId="1007" sId="4" numFmtId="19">
    <nc r="Y234">
      <v>43950</v>
    </nc>
  </rcc>
  <rcc rId="1008" sId="4" numFmtId="19">
    <nc r="Y235">
      <v>43950</v>
    </nc>
  </rcc>
  <rcc rId="1009" sId="4" xfDxf="1" dxf="1">
    <nc r="R178">
      <v>52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0" sId="4" xfDxf="1" dxf="1">
    <nc r="R179">
      <v>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1" sId="4" xfDxf="1" dxf="1">
    <nc r="R180">
      <v>81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2" sId="4" xfDxf="1" dxf="1">
    <nc r="R181">
      <v>18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3" sId="4" xfDxf="1" dxf="1">
    <nc r="R182">
      <v>101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4" sId="4" xfDxf="1" dxf="1">
    <nc r="R183">
      <v>72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5" sId="4" xfDxf="1" dxf="1">
    <nc r="R184">
      <v>82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6" sId="4" xfDxf="1" dxf="1">
    <nc r="R185">
      <v>31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7" sId="4" xfDxf="1" dxf="1">
    <nc r="R186">
      <v>38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8" sId="4" xfDxf="1" dxf="1">
    <nc r="R187">
      <v>28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19" sId="4" xfDxf="1" dxf="1">
    <nc r="R188">
      <v>35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0" sId="4" xfDxf="1" dxf="1">
    <nc r="R189">
      <v>259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1" sId="4" xfDxf="1" dxf="1">
    <nc r="R190">
      <v>67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2" sId="4" xfDxf="1" dxf="1">
    <nc r="R191">
      <v>11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3" sId="4" xfDxf="1" dxf="1">
    <nc r="R192">
      <v>148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4" sId="4" xfDxf="1" dxf="1">
    <nc r="R193">
      <v>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5" sId="4" xfDxf="1" dxf="1">
    <nc r="R194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6" sId="4" xfDxf="1" dxf="1">
    <nc r="R195">
      <v>132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7" sId="4" xfDxf="1" dxf="1">
    <nc r="R196">
      <v>116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8" sId="4" xfDxf="1" dxf="1">
    <nc r="R197">
      <v>134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29" sId="4" xfDxf="1" dxf="1">
    <nc r="R198">
      <v>257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0" sId="4" xfDxf="1" dxf="1">
    <nc r="R199">
      <v>132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1" sId="4" xfDxf="1" dxf="1">
    <nc r="R200">
      <v>630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2" sId="4" xfDxf="1" dxf="1">
    <nc r="R201">
      <v>109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3" sId="4" xfDxf="1" dxf="1">
    <nc r="R202">
      <v>100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4" sId="4" xfDxf="1" dxf="1">
    <nc r="R203">
      <v>160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5" sId="4" xfDxf="1" dxf="1">
    <nc r="R204">
      <v>23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6" sId="4" xfDxf="1" dxf="1">
    <nc r="R205">
      <v>169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7" sId="4" xfDxf="1" dxf="1">
    <nc r="R206">
      <v>187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8" sId="4" xfDxf="1" dxf="1">
    <nc r="R207">
      <v>390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39" sId="4" xfDxf="1" dxf="1">
    <nc r="R208">
      <v>61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0" sId="4" xfDxf="1" dxf="1">
    <nc r="R209">
      <v>130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1" sId="4" xfDxf="1" dxf="1">
    <nc r="R210">
      <v>196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2" sId="4" xfDxf="1" dxf="1">
    <nc r="R211">
      <v>173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3" sId="4" xfDxf="1" dxf="1">
    <nc r="R212">
      <v>119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4" sId="4" xfDxf="1" dxf="1">
    <nc r="R213">
      <v>176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5" sId="4" xfDxf="1" dxf="1">
    <nc r="R214">
      <v>116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6" sId="4" xfDxf="1" dxf="1">
    <nc r="R215">
      <v>268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7" sId="4" xfDxf="1" dxf="1">
    <nc r="R216">
      <v>237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8" sId="4" xfDxf="1" dxf="1">
    <nc r="R217">
      <v>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49" sId="4" xfDxf="1" dxf="1">
    <nc r="R218">
      <v>44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0" sId="4" xfDxf="1" dxf="1">
    <nc r="R219">
      <v>200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1" sId="4" xfDxf="1" dxf="1">
    <nc r="R220">
      <v>34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2" sId="4" xfDxf="1" dxf="1">
    <nc r="R221">
      <v>33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3" sId="4" xfDxf="1" dxf="1">
    <nc r="R222">
      <v>21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4" sId="4" xfDxf="1" dxf="1">
    <nc r="R223">
      <v>54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5" sId="4" xfDxf="1" dxf="1">
    <nc r="R224">
      <v>65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6" sId="4" xfDxf="1" dxf="1">
    <nc r="R225">
      <v>149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7" sId="4" xfDxf="1" dxf="1">
    <nc r="R226">
      <v>200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8" sId="4" xfDxf="1" dxf="1">
    <nc r="R227">
      <v>25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59" sId="4" xfDxf="1" dxf="1">
    <nc r="R228">
      <v>82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0" sId="4" xfDxf="1" dxf="1">
    <nc r="R229">
      <v>46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1" sId="4" xfDxf="1" dxf="1">
    <nc r="R230">
      <v>441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2" sId="4" xfDxf="1" dxf="1">
    <nc r="R231">
      <v>29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3" sId="4" xfDxf="1" dxf="1">
    <nc r="R232">
      <v>124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4" sId="4" xfDxf="1" dxf="1">
    <nc r="R233">
      <v>61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5" sId="4" xfDxf="1" dxf="1">
    <nc r="R234">
      <v>42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6" sId="4" xfDxf="1" dxf="1">
    <nc r="R235">
      <v>40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067" sId="4">
    <nc r="S178">
      <f>R178</f>
    </nc>
  </rcc>
  <rcc rId="1068" sId="4">
    <nc r="S179">
      <f>R179</f>
    </nc>
  </rcc>
  <rcc rId="1069" sId="4">
    <nc r="S180">
      <f>R180</f>
    </nc>
  </rcc>
  <rcc rId="1070" sId="4">
    <nc r="S181">
      <f>R181</f>
    </nc>
  </rcc>
  <rcc rId="1071" sId="4">
    <nc r="S182">
      <f>R182</f>
    </nc>
  </rcc>
  <rcc rId="1072" sId="4">
    <nc r="S183">
      <f>R183</f>
    </nc>
  </rcc>
  <rcc rId="1073" sId="4">
    <nc r="S184">
      <f>R184</f>
    </nc>
  </rcc>
  <rcc rId="1074" sId="4">
    <nc r="S185">
      <f>R185</f>
    </nc>
  </rcc>
  <rcc rId="1075" sId="4">
    <nc r="S186">
      <f>R186</f>
    </nc>
  </rcc>
  <rcc rId="1076" sId="4">
    <nc r="S187">
      <f>R187</f>
    </nc>
  </rcc>
  <rcc rId="1077" sId="4">
    <nc r="S188">
      <f>R188</f>
    </nc>
  </rcc>
  <rcc rId="1078" sId="4">
    <nc r="S189">
      <f>R189</f>
    </nc>
  </rcc>
  <rcc rId="1079" sId="4">
    <nc r="S190">
      <f>R190</f>
    </nc>
  </rcc>
  <rcc rId="1080" sId="4">
    <nc r="S191">
      <f>R191</f>
    </nc>
  </rcc>
  <rcc rId="1081" sId="4">
    <nc r="S192">
      <f>R192</f>
    </nc>
  </rcc>
  <rcc rId="1082" sId="4">
    <nc r="S193">
      <f>R193</f>
    </nc>
  </rcc>
  <rcc rId="1083" sId="4">
    <nc r="S194">
      <f>R194</f>
    </nc>
  </rcc>
  <rcc rId="1084" sId="4">
    <nc r="S195">
      <f>R195</f>
    </nc>
  </rcc>
  <rcc rId="1085" sId="4">
    <nc r="S196">
      <f>R196</f>
    </nc>
  </rcc>
  <rcc rId="1086" sId="4">
    <nc r="S197">
      <f>R197</f>
    </nc>
  </rcc>
  <rcc rId="1087" sId="4">
    <nc r="S198">
      <f>R198</f>
    </nc>
  </rcc>
  <rcc rId="1088" sId="4">
    <nc r="S199">
      <f>R199</f>
    </nc>
  </rcc>
  <rcc rId="1089" sId="4">
    <nc r="S200">
      <f>R200</f>
    </nc>
  </rcc>
  <rcc rId="1090" sId="4">
    <nc r="S201">
      <f>R201</f>
    </nc>
  </rcc>
  <rcc rId="1091" sId="4">
    <nc r="S202">
      <f>R202</f>
    </nc>
  </rcc>
  <rcc rId="1092" sId="4">
    <nc r="S203">
      <f>R203</f>
    </nc>
  </rcc>
  <rcc rId="1093" sId="4">
    <nc r="S204">
      <f>R204</f>
    </nc>
  </rcc>
  <rcc rId="1094" sId="4">
    <nc r="S205">
      <f>R205</f>
    </nc>
  </rcc>
  <rcc rId="1095" sId="4">
    <nc r="S206">
      <f>R206</f>
    </nc>
  </rcc>
  <rcc rId="1096" sId="4">
    <nc r="S207">
      <f>R207</f>
    </nc>
  </rcc>
  <rcc rId="1097" sId="4">
    <nc r="S208">
      <f>R208</f>
    </nc>
  </rcc>
  <rcc rId="1098" sId="4">
    <nc r="S209">
      <f>R209</f>
    </nc>
  </rcc>
  <rcc rId="1099" sId="4">
    <nc r="S210">
      <f>R210</f>
    </nc>
  </rcc>
  <rcc rId="1100" sId="4">
    <nc r="S211">
      <f>R211</f>
    </nc>
  </rcc>
  <rcc rId="1101" sId="4">
    <nc r="S212">
      <f>R212</f>
    </nc>
  </rcc>
  <rcc rId="1102" sId="4">
    <nc r="S213">
      <f>R213</f>
    </nc>
  </rcc>
  <rcc rId="1103" sId="4">
    <nc r="S214">
      <f>R214</f>
    </nc>
  </rcc>
  <rcc rId="1104" sId="4">
    <nc r="S215">
      <f>R215</f>
    </nc>
  </rcc>
  <rcc rId="1105" sId="4">
    <nc r="S216">
      <f>R216</f>
    </nc>
  </rcc>
  <rcc rId="1106" sId="4">
    <nc r="S217">
      <f>R217</f>
    </nc>
  </rcc>
  <rcc rId="1107" sId="4">
    <nc r="S218">
      <f>R218</f>
    </nc>
  </rcc>
  <rcc rId="1108" sId="4">
    <nc r="S219">
      <f>R219</f>
    </nc>
  </rcc>
  <rcc rId="1109" sId="4">
    <nc r="S220">
      <f>R220</f>
    </nc>
  </rcc>
  <rcc rId="1110" sId="4">
    <nc r="S221">
      <f>R221</f>
    </nc>
  </rcc>
  <rcc rId="1111" sId="4">
    <nc r="S222">
      <f>R222</f>
    </nc>
  </rcc>
  <rcc rId="1112" sId="4">
    <nc r="S223">
      <f>R223</f>
    </nc>
  </rcc>
  <rcc rId="1113" sId="4">
    <nc r="S224">
      <f>R224</f>
    </nc>
  </rcc>
  <rcc rId="1114" sId="4">
    <nc r="S225">
      <f>R225</f>
    </nc>
  </rcc>
  <rcc rId="1115" sId="4">
    <nc r="S226">
      <f>R226</f>
    </nc>
  </rcc>
  <rcc rId="1116" sId="4">
    <nc r="S227">
      <f>R227</f>
    </nc>
  </rcc>
  <rcc rId="1117" sId="4">
    <nc r="S228">
      <f>R228</f>
    </nc>
  </rcc>
  <rcc rId="1118" sId="4">
    <nc r="S229">
      <f>R229</f>
    </nc>
  </rcc>
  <rcc rId="1119" sId="4">
    <nc r="S230">
      <f>R230</f>
    </nc>
  </rcc>
  <rcc rId="1120" sId="4">
    <nc r="S231">
      <f>R231</f>
    </nc>
  </rcc>
  <rcc rId="1121" sId="4">
    <nc r="S232">
      <f>R232</f>
    </nc>
  </rcc>
  <rcc rId="1122" sId="4">
    <nc r="S233">
      <f>R233</f>
    </nc>
  </rcc>
  <rcc rId="1123" sId="4">
    <nc r="S234">
      <f>R234</f>
    </nc>
  </rcc>
  <rcc rId="1124" sId="4">
    <nc r="S235">
      <f>R235</f>
    </nc>
  </rcc>
  <rcc rId="1125" sId="4">
    <nc r="O178" t="inlineStr">
      <is>
        <t>loc.do-phu</t>
      </is>
    </nc>
  </rcc>
  <rcc rId="1126" sId="4">
    <nc r="O179" t="inlineStr">
      <is>
        <t>loc.do-phu</t>
      </is>
    </nc>
  </rcc>
  <rcc rId="1127" sId="4">
    <nc r="O180" t="inlineStr">
      <is>
        <t>loc.do-phu</t>
      </is>
    </nc>
  </rcc>
  <rcc rId="1128" sId="4">
    <nc r="O181" t="inlineStr">
      <is>
        <t>loc.do-phu</t>
      </is>
    </nc>
  </rcc>
  <rcc rId="1129" sId="4">
    <nc r="O182" t="inlineStr">
      <is>
        <t>loc.do-phu</t>
      </is>
    </nc>
  </rcc>
  <rcc rId="1130" sId="4">
    <nc r="O204" t="inlineStr">
      <is>
        <t>duong.nguyen</t>
      </is>
    </nc>
  </rcc>
  <rcc rId="1131" sId="4">
    <nc r="O206" t="inlineStr">
      <is>
        <t>duong.nguyen</t>
      </is>
    </nc>
  </rcc>
  <rcc rId="1132" sId="4">
    <nc r="O207" t="inlineStr">
      <is>
        <t>duong.nguyen</t>
      </is>
    </nc>
  </rcc>
  <rcc rId="1133" sId="4">
    <nc r="O208" t="inlineStr">
      <is>
        <t>duong.nguyen</t>
      </is>
    </nc>
  </rcc>
  <rcc rId="1134" sId="4">
    <nc r="O209" t="inlineStr">
      <is>
        <t>duong.nguyen</t>
      </is>
    </nc>
  </rcc>
  <rcc rId="1135" sId="4">
    <nc r="O200" t="inlineStr">
      <is>
        <t>thanh.nguyen-kim</t>
      </is>
    </nc>
  </rcc>
  <rcc rId="1136" sId="4">
    <nc r="O201" t="inlineStr">
      <is>
        <t>thanh.nguyen-kim</t>
      </is>
    </nc>
  </rcc>
  <rcc rId="1137" sId="4">
    <nc r="O202" t="inlineStr">
      <is>
        <t>thanh.nguyen-kim</t>
      </is>
    </nc>
  </rcc>
  <rcc rId="1138" sId="4">
    <nc r="O203" t="inlineStr">
      <is>
        <t>thanh.nguyen-kim</t>
      </is>
    </nc>
  </rcc>
  <rcc rId="1139" sId="4">
    <nc r="O210" t="inlineStr">
      <is>
        <t>duong.nguyen</t>
      </is>
    </nc>
  </rcc>
  <rcc rId="1140" sId="4">
    <nc r="O211" t="inlineStr">
      <is>
        <t>duong.nguyen</t>
      </is>
    </nc>
  </rcc>
  <rcc rId="1141" sId="4">
    <nc r="O212" t="inlineStr">
      <is>
        <t>duong.nguyen</t>
      </is>
    </nc>
  </rcc>
  <rcc rId="1142" sId="4">
    <nc r="O213" t="inlineStr">
      <is>
        <t>duong.nguyen</t>
      </is>
    </nc>
  </rcc>
  <rcc rId="1143" sId="4">
    <nc r="O214" t="inlineStr">
      <is>
        <t>duong.nguyen</t>
      </is>
    </nc>
  </rcc>
  <rcc rId="1144" sId="4">
    <nc r="O215" t="inlineStr">
      <is>
        <t>chung.ly</t>
      </is>
    </nc>
  </rcc>
  <rcc rId="1145" sId="4">
    <nc r="O216" t="inlineStr">
      <is>
        <t>chung.ly</t>
      </is>
    </nc>
  </rcc>
  <rcc rId="1146" sId="4">
    <nc r="O217" t="inlineStr">
      <is>
        <t>chung.ly</t>
      </is>
    </nc>
  </rcc>
  <rcc rId="1147" sId="4">
    <nc r="O218" t="inlineStr">
      <is>
        <t>chung.ly</t>
      </is>
    </nc>
  </rcc>
  <rcc rId="1148" sId="4">
    <nc r="O219" t="inlineStr">
      <is>
        <t>chung.ly</t>
      </is>
    </nc>
  </rcc>
  <rcc rId="1149" sId="4">
    <nc r="O183" t="inlineStr">
      <is>
        <t>thanh.nguyen-kim</t>
      </is>
    </nc>
  </rcc>
  <rcc rId="1150" sId="4">
    <nc r="O184" t="inlineStr">
      <is>
        <t>thanh.nguyen-kim</t>
      </is>
    </nc>
  </rcc>
  <rcc rId="1151" sId="4">
    <nc r="O185" t="inlineStr">
      <is>
        <t>thanh.nguyen-kim</t>
      </is>
    </nc>
  </rcc>
  <rcc rId="1152" sId="4">
    <nc r="O186" t="inlineStr">
      <is>
        <t>thanh.nguyen-kim</t>
      </is>
    </nc>
  </rcc>
  <rcc rId="1153" sId="4">
    <nc r="O187" t="inlineStr">
      <is>
        <t>duong.nguyen</t>
      </is>
    </nc>
  </rcc>
  <rcc rId="1154" sId="4">
    <nc r="O188" t="inlineStr">
      <is>
        <t>duong.nguyen</t>
      </is>
    </nc>
  </rcc>
  <rcc rId="1155" sId="4">
    <nc r="O189" t="inlineStr">
      <is>
        <t>duong.nguyen</t>
      </is>
    </nc>
  </rcc>
  <rcc rId="1156" sId="4">
    <nc r="O190" t="inlineStr">
      <is>
        <t>duong.nguyen</t>
      </is>
    </nc>
  </rcc>
  <rcc rId="1157" sId="4">
    <nc r="O191" t="inlineStr">
      <is>
        <t>chung.ly</t>
      </is>
    </nc>
  </rcc>
  <rcc rId="1158" sId="4">
    <nc r="O192" t="inlineStr">
      <is>
        <t>chung.ly</t>
      </is>
    </nc>
  </rcc>
  <rcc rId="1159" sId="4">
    <nc r="O193" t="inlineStr">
      <is>
        <t>chung.ly</t>
      </is>
    </nc>
  </rcc>
  <rcc rId="1160" sId="4">
    <nc r="O194" t="inlineStr">
      <is>
        <t>chung.ly</t>
      </is>
    </nc>
  </rcc>
  <rcc rId="1161" sId="4">
    <nc r="O195" t="inlineStr">
      <is>
        <t>loc.do-phu</t>
      </is>
    </nc>
  </rcc>
  <rcc rId="1162" sId="4">
    <nc r="O196" t="inlineStr">
      <is>
        <t>loc.do-phu</t>
      </is>
    </nc>
  </rcc>
  <rcc rId="1163" sId="4">
    <nc r="O197" t="inlineStr">
      <is>
        <t>loc.do-phu</t>
      </is>
    </nc>
  </rcc>
  <rcc rId="1164" sId="4">
    <nc r="O198" t="inlineStr">
      <is>
        <t>loc.do-phu</t>
      </is>
    </nc>
  </rcc>
  <rcc rId="1165" sId="4">
    <nc r="O199" t="inlineStr">
      <is>
        <t>loc.do-phu</t>
      </is>
    </nc>
  </rcc>
  <rcc rId="1166" sId="4">
    <nc r="O220" t="inlineStr">
      <is>
        <t>loc.do-phu</t>
      </is>
    </nc>
  </rcc>
  <rcc rId="1167" sId="4">
    <nc r="O223" t="inlineStr">
      <is>
        <t>thanh.nguyen-kim</t>
      </is>
    </nc>
  </rcc>
  <rcc rId="1168" sId="4">
    <nc r="O221" t="inlineStr">
      <is>
        <t>thanh.nguyen-kim</t>
      </is>
    </nc>
  </rcc>
  <rcc rId="1169" sId="4">
    <nc r="O222" t="inlineStr">
      <is>
        <t>duong.nguyen</t>
      </is>
    </nc>
  </rcc>
  <rcc rId="1170" sId="4">
    <nc r="O224" t="inlineStr">
      <is>
        <t>chung.ly</t>
      </is>
    </nc>
  </rcc>
  <rcc rId="1171" sId="4">
    <nc r="O227" t="inlineStr">
      <is>
        <t>duong.nguyen</t>
      </is>
    </nc>
  </rcc>
  <rcc rId="1172" sId="4">
    <nc r="O228" t="inlineStr">
      <is>
        <t>loc.do-phu</t>
      </is>
    </nc>
  </rcc>
  <rcc rId="1173" sId="4">
    <nc r="O229" t="inlineStr">
      <is>
        <t>thanh.nguyen-kim</t>
      </is>
    </nc>
  </rcc>
  <rcc rId="1174" sId="4">
    <nc r="O231" t="inlineStr">
      <is>
        <t>chung.ly</t>
      </is>
    </nc>
  </rcc>
  <rcc rId="1175" sId="4">
    <nc r="O232" t="inlineStr">
      <is>
        <t>loc.do-phu</t>
      </is>
    </nc>
  </rcc>
  <rcc rId="1176" sId="4">
    <nc r="O233" t="inlineStr">
      <is>
        <t>duong.nguyen</t>
      </is>
    </nc>
  </rcc>
  <rcc rId="1177" sId="4">
    <nc r="O234" t="inlineStr">
      <is>
        <t>thanh.nguyen-kim</t>
      </is>
    </nc>
  </rcc>
  <rcc rId="1178" sId="4">
    <nc r="O235" t="inlineStr">
      <is>
        <t>thanh.nguyen-kim</t>
      </is>
    </nc>
  </rcc>
  <rcc rId="1179" sId="4">
    <nc r="O225" t="inlineStr">
      <is>
        <t>chung.ly</t>
      </is>
    </nc>
  </rcc>
  <rcc rId="1180" sId="4">
    <nc r="O226" t="inlineStr">
      <is>
        <t>chung.ly</t>
      </is>
    </nc>
  </rcc>
  <rcc rId="1181" sId="4">
    <nc r="O230" t="inlineStr">
      <is>
        <t>thanh.nguyen-kim</t>
      </is>
    </nc>
  </rcc>
  <rcc rId="1182" sId="4">
    <nc r="O205" t="inlineStr">
      <is>
        <t>loc.do-phu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COEM_Package_20200401!$B$2:$AH$240</formula>
    <oldFormula>COEM_Package_20200401!$B$2:$AH$240</oldFormula>
  </rdn>
  <rcv guid="{7E0EA425-A420-4443-B9E0-CDF0AA9E5D09}" action="add"/>
</revisions>
</file>

<file path=xl/revisions/revisionLog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186" sId="4" ref="A238:XFD238" action="deleteRow">
    <undo index="0" exp="ref" v="1" dr="B238" r="B239" sId="4"/>
    <undo index="0" exp="area" ref3D="1" dr="$M$1:$N$1048576" dn="Z_7ECC2B8E_6A82_42F5_8AB0_4A51C54EA5EC_.wvu.Cols" sId="4"/>
    <undo index="0" exp="area" ref3D="1" dr="$P$1:$Q$1048576" dn="Z_D1F7047B_CC2E_48BC_8022_C8013AE2B1E1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rfmt sheetId="4" xfDxf="1" sqref="A238:XFD238" start="0" length="0"/>
    <rcc rId="0" sId="4" dxf="1">
      <nc r="B238">
        <f>B237+1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C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D23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E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F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G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I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J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K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L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M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N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O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P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Q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S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T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U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V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W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X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Y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Z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A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B23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C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D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E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F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 quotePrefix="1">
      <nc r="AG23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AH23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rc rId="1187" sId="4" ref="A238:XFD238" action="deleteRow">
    <undo index="0" exp="ref" v="1" dr="B238" r="B239" sId="4"/>
    <undo index="0" exp="area" ref3D="1" dr="$M$1:$N$1048576" dn="Z_7ECC2B8E_6A82_42F5_8AB0_4A51C54EA5EC_.wvu.Cols" sId="4"/>
    <undo index="0" exp="area" ref3D="1" dr="$P$1:$Q$1048576" dn="Z_D1F7047B_CC2E_48BC_8022_C8013AE2B1E1_.wvu.Cols" sId="4"/>
    <undo index="0" exp="area" ref3D="1" dr="$P$1:$Q$1048576" dn="Z_7E0EA425_A420_4443_B9E0_CDF0AA9E5D09_.wvu.Cols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P$1:$Q$1048576" dn="Z_4E06BDBF_2CED_473B_850B_2A6C7311FF41_.wvu.Cols" sId="4"/>
    <rfmt sheetId="4" xfDxf="1" sqref="A238:XFD238" start="0" length="0"/>
    <rcc rId="0" sId="4" dxf="1">
      <nc r="B238">
        <f>#REF!+1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C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D23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E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F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G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I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J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K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L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M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N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O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P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Q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S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T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U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V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W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X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Y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Z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A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B23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C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D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E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F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 quotePrefix="1">
      <nc r="AG23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AH23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rc rId="1188" sId="4" ref="A238:XFD238" action="deleteRow">
    <undo index="2" exp="area" ref3D="1" dr="O3:O238" r="F30" sId="6"/>
    <undo index="0" exp="area" ref3D="1" dr="AF3:AF238" r="F30" sId="6"/>
    <undo index="2" exp="area" ref3D="1" dr="O3:O238" r="E30" sId="6"/>
    <undo index="0" exp="area" ref3D="1" dr="AF3:AF238" r="E30" sId="6"/>
    <undo index="2" exp="area" ref3D="1" dr="O3:O238" r="F29" sId="6"/>
    <undo index="0" exp="area" ref3D="1" dr="AF3:AF238" r="F29" sId="6"/>
    <undo index="2" exp="area" ref3D="1" dr="O3:O238" r="E29" sId="6"/>
    <undo index="0" exp="area" ref3D="1" dr="AF3:AF238" r="E29" sId="6"/>
    <undo index="2" exp="area" ref3D="1" dr="O3:O238" r="F28" sId="6"/>
    <undo index="0" exp="area" ref3D="1" dr="AF3:AF238" r="F28" sId="6"/>
    <undo index="2" exp="area" ref3D="1" dr="O3:O238" r="E28" sId="6"/>
    <undo index="0" exp="area" ref3D="1" dr="AF3:AF238" r="E28" sId="6"/>
    <undo index="2" exp="area" ref3D="1" dr="O3:O238" r="F27" sId="6"/>
    <undo index="0" exp="area" ref3D="1" dr="AF3:AF238" r="F27" sId="6"/>
    <undo index="2" exp="area" ref3D="1" dr="O3:O238" r="E27" sId="6"/>
    <undo index="0" exp="area" ref3D="1" dr="AF3:AF238" r="E27" sId="6"/>
    <undo index="10" exp="area" dr="$W$3:$W$238" r="F258" sId="4"/>
    <undo index="8" exp="area" dr="$D$3:$D$238" r="F258" sId="4"/>
    <undo index="7" exp="area" dr="$V$3:$V$238" r="F258" sId="4"/>
    <undo index="4" exp="area" dr="$D$3:$D$238" r="F258" sId="4"/>
    <undo index="3" exp="area" dr="$V$3:$V$238" r="F258" sId="4"/>
    <undo index="7" exp="area" dr="$W$3:$W$238" r="E258" sId="4"/>
    <undo index="5" exp="area" dr="$D$3:$D$238" r="E258" sId="4"/>
    <undo index="4" exp="area" dr="$T$3:$T$238" r="E258" sId="4"/>
    <undo index="1" exp="area" dr="$D$3:$D$238" r="E258" sId="4"/>
    <undo index="0" exp="area" dr="$T$3:$T$238" r="E258" sId="4"/>
    <undo index="1" exp="area" dr="$D$3:$D$238" r="D258" sId="4"/>
    <undo index="0" exp="area" dr="$S$3:$S$238" r="D258" sId="4"/>
    <undo index="14" exp="area" dr="$W$3:$W$238" r="F257" sId="4"/>
    <undo index="12" exp="area" dr="$O$3:$O$238" r="F257" sId="4"/>
    <undo index="10" exp="area" dr="$D$3:$D$238" r="F257" sId="4"/>
    <undo index="9" exp="area" dr="$V$3:$V$238" r="F257" sId="4"/>
    <undo index="6" exp="area" dr="$O$3:$O$238" r="F257" sId="4"/>
    <undo index="4" exp="area" dr="$D$3:$D$238" r="F257" sId="4"/>
    <undo index="3" exp="area" dr="$V$3:$V$238" r="F257" sId="4"/>
    <undo index="11" exp="area" dr="$W$3:$W$238" r="E257" sId="4"/>
    <undo index="9" exp="area" dr="$O$3:$O$238" r="E257" sId="4"/>
    <undo index="7" exp="area" dr="$D$3:$D$238" r="E257" sId="4"/>
    <undo index="6" exp="area" dr="$S$3:$S$238" r="E257" sId="4"/>
    <undo index="3" exp="area" dr="$O$3:$O$238" r="E257" sId="4"/>
    <undo index="1" exp="area" dr="$D$3:$D$238" r="E257" sId="4"/>
    <undo index="0" exp="area" dr="$S$3:$S$238" r="E257" sId="4"/>
    <undo index="3" exp="area" dr="$O$3:$O$238" r="D257" sId="4"/>
    <undo index="1" exp="area" dr="$D$3:$D$238" r="D257" sId="4"/>
    <undo index="0" exp="area" dr="$S$3:$S$238" r="D257" sId="4"/>
    <undo index="14" exp="area" dr="$W$3:$W$238" r="F256" sId="4"/>
    <undo index="12" exp="area" dr="$O$3:$O$238" r="F256" sId="4"/>
    <undo index="10" exp="area" dr="$D$3:$D$238" r="F256" sId="4"/>
    <undo index="9" exp="area" dr="$V$3:$V$238" r="F256" sId="4"/>
    <undo index="6" exp="area" dr="$O$3:$O$238" r="F256" sId="4"/>
    <undo index="4" exp="area" dr="$D$3:$D$238" r="F256" sId="4"/>
    <undo index="3" exp="area" dr="$V$3:$V$238" r="F256" sId="4"/>
    <undo index="11" exp="area" dr="$W$3:$W$238" r="E256" sId="4"/>
    <undo index="9" exp="area" dr="$O$3:$O$238" r="E256" sId="4"/>
    <undo index="7" exp="area" dr="$D$3:$D$238" r="E256" sId="4"/>
    <undo index="6" exp="area" dr="$S$3:$S$238" r="E256" sId="4"/>
    <undo index="3" exp="area" dr="$O$3:$O$238" r="E256" sId="4"/>
    <undo index="1" exp="area" dr="$D$3:$D$238" r="E256" sId="4"/>
    <undo index="0" exp="area" dr="$S$3:$S$238" r="E256" sId="4"/>
    <undo index="3" exp="area" dr="$O$3:$O$238" r="D256" sId="4"/>
    <undo index="1" exp="area" dr="$D$3:$D$238" r="D256" sId="4"/>
    <undo index="0" exp="area" dr="$S$3:$S$238" r="D256" sId="4"/>
    <undo index="14" exp="area" dr="$W$3:$W$238" r="F255" sId="4"/>
    <undo index="12" exp="area" dr="$O$3:$O$238" r="F255" sId="4"/>
    <undo index="10" exp="area" dr="$D$3:$D$238" r="F255" sId="4"/>
    <undo index="9" exp="area" dr="$V$3:$V$238" r="F255" sId="4"/>
    <undo index="6" exp="area" dr="$O$3:$O$238" r="F255" sId="4"/>
    <undo index="4" exp="area" dr="$D$3:$D$238" r="F255" sId="4"/>
    <undo index="3" exp="area" dr="$V$3:$V$238" r="F255" sId="4"/>
    <undo index="11" exp="area" dr="$W$3:$W$238" r="E255" sId="4"/>
    <undo index="9" exp="area" dr="$O$3:$O$238" r="E255" sId="4"/>
    <undo index="7" exp="area" dr="$D$3:$D$238" r="E255" sId="4"/>
    <undo index="6" exp="area" dr="$S$3:$S$238" r="E255" sId="4"/>
    <undo index="3" exp="area" dr="$O$3:$O$238" r="E255" sId="4"/>
    <undo index="1" exp="area" dr="$D$3:$D$238" r="E255" sId="4"/>
    <undo index="0" exp="area" dr="$S$3:$S$238" r="E255" sId="4"/>
    <undo index="3" exp="area" dr="$O$3:$O$238" r="D255" sId="4"/>
    <undo index="1" exp="area" dr="$D$3:$D$238" r="D255" sId="4"/>
    <undo index="0" exp="area" dr="$S$3:$S$238" r="D255" sId="4"/>
    <undo index="14" exp="area" dr="$W$3:$W$238" r="F254" sId="4"/>
    <undo index="12" exp="area" dr="$O$3:$O$238" r="F254" sId="4"/>
    <undo index="10" exp="area" dr="$D$3:$D$238" r="F254" sId="4"/>
    <undo index="9" exp="area" dr="$V$3:$V$238" r="F254" sId="4"/>
    <undo index="6" exp="area" dr="$O$3:$O$238" r="F254" sId="4"/>
    <undo index="4" exp="area" dr="$D$3:$D$238" r="F254" sId="4"/>
    <undo index="3" exp="area" dr="$V$3:$V$238" r="F254" sId="4"/>
    <undo index="11" exp="area" dr="$W$3:$W$238" r="E254" sId="4"/>
    <undo index="9" exp="area" dr="$O$3:$O$238" r="E254" sId="4"/>
    <undo index="7" exp="area" dr="$D$3:$D$238" r="E254" sId="4"/>
    <undo index="6" exp="area" dr="$S$3:$S$238" r="E254" sId="4"/>
    <undo index="3" exp="area" dr="$O$3:$O$238" r="E254" sId="4"/>
    <undo index="1" exp="area" dr="$D$3:$D$238" r="E254" sId="4"/>
    <undo index="0" exp="area" dr="$S$3:$S$238" r="E254" sId="4"/>
    <undo index="3" exp="area" dr="$O$3:$O$238" r="D254" sId="4"/>
    <undo index="1" exp="area" dr="$D$3:$D$238" r="D254" sId="4"/>
    <undo index="0" exp="area" dr="$S$3:$S$238" r="D254" sId="4"/>
    <undo index="14" exp="area" dr="$W$3:$W$238" r="F253" sId="4"/>
    <undo index="12" exp="area" dr="$O$3:$O$238" r="F253" sId="4"/>
    <undo index="10" exp="area" dr="$D$3:$D$238" r="F253" sId="4"/>
    <undo index="9" exp="area" dr="$V$3:$V$238" r="F253" sId="4"/>
    <undo index="6" exp="area" dr="$O$3:$O$238" r="F253" sId="4"/>
    <undo index="4" exp="area" dr="$D$3:$D$238" r="F253" sId="4"/>
    <undo index="3" exp="area" dr="$V$3:$V$238" r="F253" sId="4"/>
    <undo index="11" exp="area" dr="$W$3:$W$238" r="E253" sId="4"/>
    <undo index="9" exp="area" dr="$O$3:$O$238" r="E253" sId="4"/>
    <undo index="7" exp="area" dr="$D$3:$D$238" r="E253" sId="4"/>
    <undo index="6" exp="area" dr="$S$3:$S$238" r="E253" sId="4"/>
    <undo index="3" exp="area" dr="$O$3:$O$238" r="E253" sId="4"/>
    <undo index="1" exp="area" dr="$D$3:$D$238" r="E253" sId="4"/>
    <undo index="0" exp="area" dr="$S$3:$S$238" r="E253" sId="4"/>
    <undo index="3" exp="area" dr="$O$3:$O$238" r="D253" sId="4"/>
    <undo index="1" exp="area" dr="$D$3:$D$238" r="D253" sId="4"/>
    <undo index="0" exp="area" dr="$S$3:$S$238" r="D253" sId="4"/>
    <undo index="14" exp="area" dr="$W$3:$W$238" r="F252" sId="4"/>
    <undo index="12" exp="area" dr="$O$3:$O$238" r="F252" sId="4"/>
    <undo index="10" exp="area" dr="$D$3:$D$238" r="F252" sId="4"/>
    <undo index="9" exp="area" dr="$V$3:$V$238" r="F252" sId="4"/>
    <undo index="6" exp="area" dr="$O$3:$O$238" r="F252" sId="4"/>
    <undo index="4" exp="area" dr="$D$3:$D$238" r="F252" sId="4"/>
    <undo index="3" exp="area" dr="$V$3:$V$238" r="F252" sId="4"/>
    <undo index="11" exp="area" dr="$W$3:$W$238" r="E252" sId="4"/>
    <undo index="9" exp="area" dr="$O$3:$O$238" r="E252" sId="4"/>
    <undo index="7" exp="area" dr="$D$3:$D$238" r="E252" sId="4"/>
    <undo index="6" exp="area" dr="$S$3:$S$238" r="E252" sId="4"/>
    <undo index="3" exp="area" dr="$O$3:$O$238" r="E252" sId="4"/>
    <undo index="1" exp="area" dr="$D$3:$D$238" r="E252" sId="4"/>
    <undo index="0" exp="area" dr="$S$3:$S$238" r="E252" sId="4"/>
    <undo index="3" exp="area" dr="$O$3:$O$238" r="D252" sId="4"/>
    <undo index="1" exp="area" dr="$D$3:$D$238" r="D252" sId="4"/>
    <undo index="0" exp="area" dr="$S$3:$S$238" r="D252" sId="4"/>
    <undo index="10" exp="area" dr="$W$3:$W$238" r="F247" sId="4"/>
    <undo index="8" exp="area" dr="$D$3:$D$238" r="F247" sId="4"/>
    <undo index="7" exp="area" dr="$V$3:$V$238" r="F247" sId="4"/>
    <undo index="4" exp="area" dr="$D$3:$D$238" r="F247" sId="4"/>
    <undo index="3" exp="area" dr="$V$3:$V$238" r="F247" sId="4"/>
    <undo index="7" exp="area" dr="$W$3:$W$238" r="E247" sId="4"/>
    <undo index="5" exp="area" dr="$D$3:$D$238" r="E247" sId="4"/>
    <undo index="4" exp="area" dr="$T$3:$T$238" r="E247" sId="4"/>
    <undo index="1" exp="area" dr="$D$3:$D$238" r="E247" sId="4"/>
    <undo index="0" exp="area" dr="$T$3:$T$238" r="E247" sId="4"/>
    <undo index="1" exp="area" dr="$D$3:$D$238" r="D247" sId="4"/>
    <undo index="0" exp="area" dr="$S$3:$S$238" r="D247" sId="4"/>
    <undo index="14" exp="area" dr="$W$3:$W$238" r="F246" sId="4"/>
    <undo index="12" exp="area" dr="$O$3:$O$238" r="F246" sId="4"/>
    <undo index="10" exp="area" dr="$D$3:$D$238" r="F246" sId="4"/>
    <undo index="9" exp="area" dr="$V$3:$V$238" r="F246" sId="4"/>
    <undo index="6" exp="area" dr="$O$3:$O$238" r="F246" sId="4"/>
    <undo index="4" exp="area" dr="$D$3:$D$238" r="F246" sId="4"/>
    <undo index="3" exp="area" dr="$V$3:$V$238" r="F246" sId="4"/>
    <undo index="11" exp="area" dr="$W$3:$W$238" r="E246" sId="4"/>
    <undo index="9" exp="area" dr="$O$3:$O$238" r="E246" sId="4"/>
    <undo index="7" exp="area" dr="$D$3:$D$238" r="E246" sId="4"/>
    <undo index="6" exp="area" dr="$T$3:$T$238" r="E246" sId="4"/>
    <undo index="3" exp="area" dr="$O$3:$O$238" r="E246" sId="4"/>
    <undo index="1" exp="area" dr="$D$3:$D$238" r="E246" sId="4"/>
    <undo index="0" exp="area" dr="$T$3:$T$238" r="E246" sId="4"/>
    <undo index="3" exp="area" dr="$O$3:$O$238" r="D246" sId="4"/>
    <undo index="1" exp="area" dr="$D$3:$D$238" r="D246" sId="4"/>
    <undo index="0" exp="area" dr="$S$3:$S$238" r="D246" sId="4"/>
    <undo index="14" exp="area" dr="$W$3:$W$238" r="F245" sId="4"/>
    <undo index="12" exp="area" dr="$O$3:$O$238" r="F245" sId="4"/>
    <undo index="10" exp="area" dr="$D$3:$D$238" r="F245" sId="4"/>
    <undo index="9" exp="area" dr="$V$3:$V$238" r="F245" sId="4"/>
    <undo index="6" exp="area" dr="$O$3:$O$238" r="F245" sId="4"/>
    <undo index="4" exp="area" dr="$D$3:$D$238" r="F245" sId="4"/>
    <undo index="3" exp="area" dr="$V$3:$V$238" r="F245" sId="4"/>
    <undo index="11" exp="area" dr="$W$3:$W$238" r="E245" sId="4"/>
    <undo index="9" exp="area" dr="$O$3:$O$238" r="E245" sId="4"/>
    <undo index="7" exp="area" dr="$D$3:$D$238" r="E245" sId="4"/>
    <undo index="6" exp="area" dr="$T$3:$T$238" r="E245" sId="4"/>
    <undo index="3" exp="area" dr="$O$3:$O$238" r="E245" sId="4"/>
    <undo index="1" exp="area" dr="$D$3:$D$238" r="E245" sId="4"/>
    <undo index="0" exp="area" dr="$T$3:$T$238" r="E245" sId="4"/>
    <undo index="3" exp="area" dr="$O$3:$O$238" r="D245" sId="4"/>
    <undo index="1" exp="area" dr="$D$3:$D$238" r="D245" sId="4"/>
    <undo index="0" exp="area" dr="$S$3:$S$238" r="D245" sId="4"/>
    <undo index="14" exp="area" dr="$W$3:$W$238" r="F244" sId="4"/>
    <undo index="12" exp="area" dr="$O$3:$O$238" r="F244" sId="4"/>
    <undo index="10" exp="area" dr="$D$3:$D$238" r="F244" sId="4"/>
    <undo index="9" exp="area" dr="$V$3:$V$238" r="F244" sId="4"/>
    <undo index="6" exp="area" dr="$O$3:$O$238" r="F244" sId="4"/>
    <undo index="4" exp="area" dr="$D$3:$D$238" r="F244" sId="4"/>
    <undo index="3" exp="area" dr="$V$3:$V$238" r="F244" sId="4"/>
    <undo index="11" exp="area" dr="$W$3:$W$238" r="E244" sId="4"/>
    <undo index="9" exp="area" dr="$O$3:$O$238" r="E244" sId="4"/>
    <undo index="7" exp="area" dr="$D$3:$D$238" r="E244" sId="4"/>
    <undo index="6" exp="area" dr="$T$3:$T$238" r="E244" sId="4"/>
    <undo index="3" exp="area" dr="$O$3:$O$238" r="E244" sId="4"/>
    <undo index="1" exp="area" dr="$D$3:$D$238" r="E244" sId="4"/>
    <undo index="0" exp="area" dr="$T$3:$T$238" r="E244" sId="4"/>
    <undo index="3" exp="area" dr="$O$3:$O$238" r="D244" sId="4"/>
    <undo index="1" exp="area" dr="$D$3:$D$238" r="D244" sId="4"/>
    <undo index="0" exp="area" dr="$S$3:$S$238" r="D244" sId="4"/>
    <undo index="14" exp="area" dr="$W$3:$W$238" r="F243" sId="4"/>
    <undo index="12" exp="area" dr="$O$3:$O$238" r="F243" sId="4"/>
    <undo index="10" exp="area" dr="$D$3:$D$238" r="F243" sId="4"/>
    <undo index="9" exp="area" dr="$V$3:$V$238" r="F243" sId="4"/>
    <undo index="6" exp="area" dr="$O$3:$O$238" r="F243" sId="4"/>
    <undo index="4" exp="area" dr="$D$3:$D$238" r="F243" sId="4"/>
    <undo index="3" exp="area" dr="$V$3:$V$238" r="F243" sId="4"/>
    <undo index="11" exp="area" dr="$W$3:$W$238" r="E243" sId="4"/>
    <undo index="9" exp="area" dr="$O$3:$O$238" r="E243" sId="4"/>
    <undo index="7" exp="area" dr="$D$3:$D$238" r="E243" sId="4"/>
    <undo index="6" exp="area" dr="$T$3:$T$238" r="E243" sId="4"/>
    <undo index="3" exp="area" dr="$O$3:$O$238" r="E243" sId="4"/>
    <undo index="1" exp="area" dr="$D$3:$D$238" r="E243" sId="4"/>
    <undo index="0" exp="area" dr="$T$3:$T$238" r="E243" sId="4"/>
    <undo index="3" exp="area" dr="$O$3:$O$238" r="D243" sId="4"/>
    <undo index="1" exp="area" dr="$D$3:$D$238" r="D243" sId="4"/>
    <undo index="0" exp="area" dr="$S$3:$S$238" r="D243" sId="4"/>
    <undo index="0" exp="area" ref3D="1" dr="$B$2:$AH$238" dn="Z_BC3C5311_6A75_4A0E_91A2_B3B621C4B757_.wvu.FilterData" sId="4"/>
    <undo index="0" exp="area" ref3D="1" dr="$A$2:$AH$238" dn="Z_C4BC5062_8F38_4A96_A004_5659583461FE_.wvu.FilterData" sId="4"/>
    <undo index="0" exp="area" ref3D="1" dr="$B$2:$AH$238" dn="Z_C11121DB_E106_4AA2_B5FF_59AD4E125A4C_.wvu.FilterData" sId="4"/>
    <undo index="0" exp="area" ref3D="1" dr="$A$2:$AH$238" dn="Z_C42196FB_05E2_43D7_B266_92F73D8A5D75_.wvu.FilterData" sId="4"/>
    <undo index="0" exp="area" ref3D="1" dr="$B$2:$AH$238" dn="Z_C3465E76_0042_4664_9CC1_8B8B9206C040_.wvu.FilterData" sId="4"/>
    <undo index="0" exp="area" ref3D="1" dr="$A$2:$AH$238" dn="Z_C2903E39_3C94_4EB6_A3CC_96D0BE27A109_.wvu.FilterData" sId="4"/>
    <undo index="0" exp="area" ref3D="1" dr="$B$2:$AH$238" dn="Z_BF6030AA_D1CA_4D5C_8CFB_69427E72B945_.wvu.FilterData" sId="4"/>
    <undo index="0" exp="area" ref3D="1" dr="$B$2:$AG$238" dn="Z_A239C479_B2DC_4DCA_A930_634A835634B0_.wvu.FilterData" sId="4"/>
    <undo index="0" exp="area" ref3D="1" dr="$B$2:$AH$238" dn="Z_B5F61057_864A_4A05_A2A3_DE47041B609F_.wvu.FilterData" sId="4"/>
    <undo index="0" exp="area" ref3D="1" dr="$B$2:$AH$238" dn="Z_AF3A0642_5B32_4501_B577_DEF23756F296_.wvu.FilterData" sId="4"/>
    <undo index="0" exp="area" ref3D="1" dr="$B$2:$AH$238" dn="Z_A84B0235_6417_4C5C_8DC6_6866A08E4BA5_.wvu.FilterData" sId="4"/>
    <undo index="0" exp="area" ref3D="1" dr="$B$2:$AH$238" dn="Z_AC9F3C77_6251_4EA1_8492_F9EE3AF2E860_.wvu.FilterData" sId="4"/>
    <undo index="0" exp="area" ref3D="1" dr="$B$2:$AH$238" dn="Z_B9DC22AF_7F7D_40B8_8A57_B4FF34A5FEFD_.wvu.FilterData" sId="4"/>
    <undo index="0" exp="area" ref3D="1" dr="$B$2:$AH$238" dn="Z_BB8AAD79_297D_4B1B_A758_DD8485F2DD4C_.wvu.FilterData" sId="4"/>
    <undo index="0" exp="area" ref3D="1" dr="$A$2:$AH$238" dn="Z_ACD49FC7_935A_41EE_92F2_C7EE22A85C5A_.wvu.FilterData" sId="4"/>
    <undo index="0" exp="area" ref3D="1" dr="$B$2:$AH$238" dn="Z_A9348308_BC55_49A4_8208_2434A4A6D1C9_.wvu.FilterData" sId="4"/>
    <undo index="0" exp="area" ref3D="1" dr="$B$2:$AH$238" dn="Z_BC3B5475_529F_43D1_84B4_27DD4352C85B_.wvu.FilterData" sId="4"/>
    <undo index="0" exp="area" ref3D="1" dr="$B$2:$AG$238" dn="Z_BBAE6BD0_8958_494E_83AF_3471AF879750_.wvu.FilterData" sId="4"/>
    <undo index="0" exp="area" ref3D="1" dr="$B$2:$AH$238" dn="Z_A2E0FBA7_CFB4_4914_B100_23A9162A3A70_.wvu.FilterData" sId="4"/>
    <undo index="0" exp="area" ref3D="1" dr="$B$2:$AH$238" dn="Z_A93054B1_70A8_486D_AF37_59F1C2DEFCA3_.wvu.FilterData" sId="4"/>
    <undo index="0" exp="area" ref3D="1" dr="$A$2:$AH$238" dn="Z_A496F5E6_8AE3_45F0_9591_4622E0FA0969_.wvu.FilterData" sId="4"/>
    <undo index="0" exp="area" ref3D="1" dr="$B$2:$AH$238" dn="Z_B90DB7C2_E51D_4CF2_8FD5_1F2A71149B77_.wvu.FilterData" sId="4"/>
    <undo index="0" exp="area" ref3D="1" dr="$A$2:$AH$238" dn="Z_B57EF6F3_E59D_434B_9336_7B5B5B3634A8_.wvu.FilterData" sId="4"/>
    <undo index="0" exp="area" ref3D="1" dr="$B$2:$AH$238" dn="Z_B156AFFA_16DF_4425_86DA_8148471DAEFC_.wvu.FilterData" sId="4"/>
    <undo index="0" exp="area" ref3D="1" dr="$B$2:$AH$238" dn="Z_AECDC39D_B5FD_4DD6_A717_CD2987A585E9_.wvu.FilterData" sId="4"/>
    <undo index="0" exp="area" ref3D="1" dr="$B$2:$AH$238" dn="Z_AEAF4D71_0127_4869_AEFB_E66F1C078419_.wvu.FilterData" sId="4"/>
    <undo index="0" exp="area" ref3D="1" dr="$B$2:$AH$238" dn="Z_AC440245_29E4_475F_A2AB_22CC73720F95_.wvu.FilterData" sId="4"/>
    <undo index="0" exp="area" ref3D="1" dr="$A$2:$AH$238" dn="Z_9D98A458_8FF5_4B71_8A8B_EE0D8BF161E6_.wvu.FilterData" sId="4"/>
    <undo index="0" exp="area" ref3D="1" dr="$A$2:$AH$238" dn="Z_9B66F7EE_F031_4C71_8C98_51E05F7F8BB3_.wvu.FilterData" sId="4"/>
    <undo index="0" exp="area" ref3D="1" dr="$B$2:$AH$238" dn="Z_98819C79_F849_43BF_931F_D6F742BBA675_.wvu.FilterData" sId="4"/>
    <undo index="0" exp="area" ref3D="1" dr="$B$2:$AH$238" dn="Z_9AB53BE4_5009_47C5_8741_484ED42BD04A_.wvu.FilterData" sId="4"/>
    <undo index="0" exp="area" ref3D="1" dr="$B$2:$AG$238" dn="Z_9BBC5FBB_CEC7_4B7E_8FC1_DC9F240B7B1A_.wvu.FilterData" sId="4"/>
    <undo index="0" exp="area" ref3D="1" dr="$A$2:$AH$238" dn="Z_925FB698_D7FE_42C7_AA05_C2908FECE4B8_.wvu.FilterData" sId="4"/>
    <undo index="0" exp="area" ref3D="1" dr="$B$2:$AH$238" dn="Z_8D033CB5_99FC_4DAA_B0A4_21859EBD9D92_.wvu.FilterData" sId="4"/>
    <undo index="0" exp="area" ref3D="1" dr="$A$2:$AH$238" dn="Z_906FB9A6_0BB7_413C_A628_192CC46EA33D_.wvu.FilterData" sId="4"/>
    <undo index="0" exp="area" ref3D="1" dr="$A$3:$AH$238" dn="Z_8285EB99_59BB_4F35_93B9_861616B51559_.wvu.FilterData" sId="4"/>
    <undo index="0" exp="area" ref3D="1" dr="$B$2:$AH$238" dn="Z_8FEFE928_94D1_44D7_84F8_55FFEA01DDA3_.wvu.FilterData" sId="4"/>
    <undo index="0" exp="area" ref3D="1" dr="$M$1:$N$1048576" dn="Z_7ECC2B8E_6A82_42F5_8AB0_4A51C54EA5EC_.wvu.Cols" sId="4"/>
    <undo index="0" exp="area" ref3D="1" dr="$B$2:$AH$238" dn="Z_81D68B78_6C90_4E62_A9A0_FE3F984DF787_.wvu.FilterData" sId="4"/>
    <undo index="0" exp="area" ref3D="1" dr="$B$2:$AH$238" dn="Z_8666B3DA_5A6C_4D9E_8757_08180744F52F_.wvu.FilterData" sId="4"/>
    <undo index="0" exp="area" ref3D="1" dr="$A$2:$AH$238" dn="Z_60AF476A_0248_4AA2_AE15_DC04C7E32858_.wvu.FilterData" sId="4"/>
    <undo index="0" exp="area" ref3D="1" dr="$B$2:$AH$238" dn="Z_6A105B8F_5BC5_43CB_A586_248CB47BBA9F_.wvu.FilterData" sId="4"/>
    <undo index="0" exp="area" ref3D="1" dr="$B$2:$AH$238" dn="Z_59E59F6B_2599_43D1_B9BD_FC6B6842D97D_.wvu.FilterData" sId="4"/>
    <undo index="0" exp="area" ref3D="1" dr="$B$2:$AH$238" dn="Z_75078333_AA44_4520_8C14_4FAFDE61B0CA_.wvu.FilterData" sId="4"/>
    <undo index="0" exp="area" ref3D="1" dr="$B$2:$AH$238" dn="Z_5F96D9B1_B13C_4F03_948F_0B571D63E9B7_.wvu.FilterData" sId="4"/>
    <undo index="0" exp="area" ref3D="1" dr="$B$2:$AH$238" dn="Z_72BC4F42_68AA_4143_BCCA_20A8ECEBEA18_.wvu.FilterData" sId="4"/>
    <undo index="0" exp="area" ref3D="1" dr="$B$2:$AH$238" dn="Z_5D0FF689_E822_48DE_8E54_0CBEE6E4BFF9_.wvu.FilterData" sId="4"/>
    <undo index="0" exp="area" ref3D="1" dr="$B$2:$AH$238" dn="Z_7341A8CD_FBA6_4B2D_8E4A_3A0E9AF8C404_.wvu.FilterData" sId="4"/>
    <undo index="0" exp="area" ref3D="1" dr="$A$2:$AH$238" dn="Z_7C5EA105_2752_453D_88BA_A08BD8FF34E5_.wvu.FilterData" sId="4"/>
    <undo index="0" exp="area" ref3D="1" dr="$B$2:$AH$238" dn="Z_77E3614A_168A_4B25_8CA6_16542FFB62CD_.wvu.FilterData" sId="4"/>
    <undo index="0" exp="area" ref3D="1" dr="$B$2:$AH$238" dn="Z_7A2ABC1B_BBED_4700_958B_A7B390790674_.wvu.FilterData" sId="4"/>
    <undo index="0" exp="area" ref3D="1" dr="$B$2:$AH$238" dn="Z_75EBBE3D_6BBB_4DA6_9D69_395330ADF817_.wvu.FilterData" sId="4"/>
    <undo index="0" exp="area" ref3D="1" dr="$B$2:$AH$238" dn="Z_5A69BDDC_69D1_4C06_9FA2_5E7FFAF1DD5D_.wvu.FilterData" sId="4"/>
    <undo index="0" exp="area" ref3D="1" dr="$B$2:$AH$238" dn="Z_67823219_E5F6_4230_86E0_7EF8352BE893_.wvu.FilterData" sId="4"/>
    <undo index="0" exp="area" ref3D="1" dr="$A$2:$AH$238" dn="Z_52DECCB7_0796_4506_B3E5_D75747700B63_.wvu.FilterData" sId="4"/>
    <undo index="0" exp="area" ref3D="1" dr="$B$2:$AH$238" dn="Z_4F6B6366_6556_4C13_BC52_5D21D13A6BBD_.wvu.FilterData" sId="4"/>
    <undo index="0" exp="area" ref3D="1" dr="$B$2:$AH$238" dn="Z_493DAEBC_2C67_49B9_AD13_A1DBD6E07EA2_.wvu.FilterData" sId="4"/>
    <undo index="0" exp="area" ref3D="1" dr="$B$2:$AH$238" dn="Z_41B1B4D1_A075_484C_97B9_D2394E82262D_.wvu.FilterData" sId="4"/>
    <undo index="0" exp="area" ref3D="1" dr="$A$2:$AH$238" dn="Z_51B33DD2_3A4F_4ED6_8425_E4D47FE10114_.wvu.FilterData" sId="4"/>
    <undo index="0" exp="area" ref3D="1" dr="$B$2:$AH$238" dn="Z_50EAB4AE_AC44_4222_AA9B_B307C2966377_.wvu.FilterData" sId="4"/>
    <undo index="0" exp="area" ref3D="1" dr="$A$2:$AH$238" dn="Z_4559A19F_8862_4382_B831_23064F006456_.wvu.FilterData" sId="4"/>
    <undo index="0" exp="area" ref3D="1" dr="$A$2:$AH$238" dn="Z_40C2C641_E735_404F_AD62_31E9BAD1216F_.wvu.FilterData" sId="4"/>
    <undo index="0" exp="area" ref3D="1" dr="$A$2:$AH$238" dn="Z_41E0E866_DA86_4AEB_BF76_E491B63B8D67_.wvu.FilterData" sId="4"/>
    <undo index="0" exp="area" ref3D="1" dr="$A$2:$AH$238" dn="Z_4273BB64_909A_4779_AF1B_C6A535984875_.wvu.FilterData" sId="4"/>
    <undo index="0" exp="area" ref3D="1" dr="$B$2:$AH$238" dn="Z_594856DB_1796_41BA_9D27_B22FF73A30E5_.wvu.FilterData" sId="4"/>
    <undo index="0" exp="area" ref3D="1" dr="$B$2:$AH$238" dn="Z_582D1C0D_4848_4429_A801_7AE90E99F8E8_.wvu.FilterData" sId="4"/>
    <undo index="0" exp="area" ref3D="1" dr="$B$2:$AH$238" dn="Z_56BE0167_3075_466C_AEE9_46C5DC701D64_.wvu.FilterData" sId="4"/>
    <undo index="0" exp="area" ref3D="1" dr="$B$2:$AH$238" dn="Z_4FB3B41F_CA28_4DD6_8996_D23358E75053_.wvu.FilterData" sId="4"/>
    <undo index="0" exp="area" ref3D="1" dr="$B$2:$AH$238" dn="Z_531D8BB1_1EA1_41B2_896B_A69A6024C4FA_.wvu.FilterData" sId="4"/>
    <undo index="0" exp="area" ref3D="1" dr="$A$2:$AH$238" dn="Z_531A45AE_CB7E_48BC_80BF_D6DD27FCC565_.wvu.FilterData" sId="4"/>
    <undo index="0" exp="area" ref3D="1" dr="$A$2:$AH$238" dn="Z_3A83DD4B_D5BC_46AA_9637_066A6F10C0C7_.wvu.FilterData" sId="4"/>
    <undo index="0" exp="area" ref3D="1" dr="$A$2:$AH$238" dn="Z_400DF9EB_0384_48D4_A67E_686556C1B492_.wvu.FilterData" sId="4"/>
    <undo index="0" exp="area" ref3D="1" dr="$B$2:$AH$238" dn="Z_382D887A_F8D5_4E00_A4D1_AE3B77523470_.wvu.FilterData" sId="4"/>
    <undo index="0" exp="area" ref3D="1" dr="$A$2:$AH$238" dn="Z_3209B137_0A1A_4F2D_BBCA_FE6D9DBDF35B_.wvu.FilterData" sId="4"/>
    <undo index="0" exp="area" ref3D="1" dr="$A$2:$AH$238" dn="Z_2995490B_49AE_4FB9_A673_71F3589EA65B_.wvu.FilterData" sId="4"/>
    <undo index="0" exp="area" ref3D="1" dr="$B$2:$AH$238" dn="Z_3EE173E3_F30C_4123_BA68_472D213EF7CF_.wvu.FilterData" sId="4"/>
    <undo index="0" exp="area" ref3D="1" dr="$A$2:$AH$238" dn="Z_3AB52AB1_CE4B_4E65_9B66_3B1B58BC84F6_.wvu.FilterData" sId="4"/>
    <undo index="0" exp="area" ref3D="1" dr="$A$2:$AH$238" dn="Z_36B29EBA_BA12_49AB_A275_F6A1D6C8C11A_.wvu.FilterData" sId="4"/>
    <undo index="0" exp="area" ref3D="1" dr="$B$2:$AH$238" dn="Z_35B0B6AE_086F_4F08_9CA9_A72BF8F13B9D_.wvu.FilterData" sId="4"/>
    <undo index="0" exp="area" ref3D="1" dr="$B$2:$AH$238" dn="Z_250A96BD_283B_4529_9CB6_3A77A173C150_.wvu.FilterData" sId="4"/>
    <undo index="0" exp="area" ref3D="1" dr="$B$2:$AH$238" dn="Z_329A45A7_EE28_42D8_95BD_0598B318B5B1_.wvu.FilterData" sId="4"/>
    <undo index="0" exp="area" ref3D="1" dr="$A$2:$AH$238" dn="Z_2162F9F4_DB3B_406E_9B5C_FA4E58EE84AC_.wvu.FilterData" sId="4"/>
    <undo index="0" exp="area" ref3D="1" dr="$B$2:$AG$238" dn="Z_2796A872_74B9_41A6_AD05_2D7FFBF27D76_.wvu.FilterData" sId="4"/>
    <undo index="0" exp="area" ref3D="1" dr="$A$2:$AH$238" dn="Z_250915DF_0B97_45D7_B29D_7EED4C89C1C1_.wvu.FilterData" sId="4"/>
    <undo index="0" exp="area" ref3D="1" dr="$B$2:$AH$238" dn="Z_2ACBFFC8_47AC_4A7F_9EFE_5F7FC40A9488_.wvu.FilterData" sId="4"/>
    <undo index="0" exp="area" ref3D="1" dr="$B$2:$AH$238" dn="Z_26F0CF54_2BEC_4A3E_B524_8BD11975426B_.wvu.FilterData" sId="4"/>
    <undo index="0" exp="area" ref3D="1" dr="$B$2:$AH$238" dn="Z_25EF079F_DF06_4059_AB6D_9927AC1C30CA_.wvu.FilterData" sId="4"/>
    <undo index="0" exp="area" ref3D="1" dr="$B$2:$AH$238" dn="Z_326844B4_1665_4191_A4F8_5A0604445A1E_.wvu.FilterData" sId="4"/>
    <undo index="0" exp="area" ref3D="1" dr="$B$2:$AH$238" dn="Z_077A2E00_58CD_4F09_B211_1A515A8A141F_.wvu.FilterData" sId="4"/>
    <undo index="0" exp="area" ref3D="1" dr="$B$2:$AH$238" dn="Z_2050022B_86AE_4EC1_9C92_6C8DD4BC2669_.wvu.FilterData" sId="4"/>
    <undo index="0" exp="area" ref3D="1" dr="$B$2:$AG$238" dn="Z_17568297_DE94_42DB_A62D_8B9302C2B85A_.wvu.FilterData" sId="4"/>
    <undo index="0" exp="area" ref3D="1" dr="$B$2:$AH$238" dn="Z_12ECA52F_E1F6_4C62_BB28_211497D1C61B_.wvu.FilterData" sId="4"/>
    <undo index="0" exp="area" ref3D="1" dr="$B$2:$AH$238" dn="Z_1DE6F7DD_DE3B_4CA7_AE91_64F76D2513F8_.wvu.FilterData" sId="4"/>
    <undo index="0" exp="area" ref3D="1" dr="$A$2:$AH$238" dn="Z_176CD623_4DF1_4454_BE73_44811274886F_.wvu.FilterData" sId="4"/>
    <undo index="0" exp="area" ref3D="1" dr="$B$2:$AH$238" dn="Z_1688F1F8_7FFB_4A1C_8908_5BDE7EC108C6_.wvu.FilterData" sId="4"/>
    <undo index="0" exp="area" ref3D="1" dr="$B$2:$AH$238" dn="Z_0B50C99A_4F8B_4D04_B153_9175FBB2D1A1_.wvu.FilterData" sId="4"/>
    <undo index="0" exp="area" ref3D="1" dr="$A$2:$AH$238" dn="Z_0531E02C_D0F9_496B_B9D8_D7DCB56FE423_.wvu.FilterData" sId="4"/>
    <undo index="0" exp="area" ref3D="1" dr="$B$2:$AH$238" dn="Z_1FC6DB17_57A9_4CA3_9851_22FCB52C25D0_.wvu.FilterData" sId="4"/>
    <undo index="0" exp="area" ref3D="1" dr="$B$2:$AH$238" dn="Z_1AF4D0EA_ACCE_4629_B4C6_B97043B42328_.wvu.FilterData" sId="4"/>
    <undo index="0" exp="area" ref3D="1" dr="$B$2:$AH$238" dn="Z_16D9BD5C_5EEF_45B8_83B1_4358C26FEEAA_.wvu.FilterData" sId="4"/>
    <undo index="0" exp="area" ref3D="1" dr="$A$2:$AH$238" dn="Z_189DD86A_197E_4AEE_A3E6_5814482A22F6_.wvu.FilterData" sId="4"/>
    <undo index="0" exp="area" ref3D="1" dr="$B$2:$AH$238" dn="Z_09D01E11_5602_4BFB_B258_BB045597F741_.wvu.FilterData" sId="4"/>
    <undo index="0" exp="area" ref3D="1" dr="$B$2:$AH$238" dn="Z_031BAD48_C5FC_4FB8_8C76_2ADBAD8E3C29_.wvu.FilterData" sId="4"/>
    <undo index="0" exp="area" ref3D="1" dr="$A$2:$AH$238" dn="Z_08AD05A3_5E62_433E_8087_DE4F8055323F_.wvu.FilterData" sId="4"/>
    <undo index="0" exp="area" ref3D="1" dr="$A$2:$AH$238" dn="Z_11411C9A_0810_4019_A59C_236DBD1519E0_.wvu.FilterData" sId="4"/>
    <undo index="0" exp="area" ref3D="1" dr="$A$2:$AH$238" dn="Z_0CA04276_5960_4E09_A4E8_0B181FA5A0A9_.wvu.FilterData" sId="4"/>
    <undo index="0" exp="area" ref3D="1" dr="$B$2:$AH$238" dn="Z_0C7A99AF_AA65_4D1D_A80F_49DA45D471F1_.wvu.FilterData" sId="4"/>
    <undo index="0" exp="area" ref3D="1" dr="$A$2:$AH$238" dn="Z_00B4488D_95A4_4856_B7E0_BFC3373F6C87_.wvu.FilterData" sId="4"/>
    <undo index="0" exp="area" ref3D="1" dr="$A$2:$AH$238" dn="Z_01EDE723_52E9_40B7_9054_DC526F36A118_.wvu.FilterData" sId="4"/>
    <undo index="0" exp="area" ref3D="1" dr="$A$2:$AH$238" dn="Z_E5EEA525_3367_48FE_9E5F_ADB0EC9D430F_.wvu.FilterData" sId="4"/>
    <undo index="0" exp="area" ref3D="1" dr="$A$2:$AH$238" dn="Z_EC0B8CCD_915D_49CD_ACCB_A918B8A65D1A_.wvu.FilterData" sId="4"/>
    <undo index="0" exp="area" ref3D="1" dr="$B$2:$AH$238" dn="Z_EB5E7E9A_951B_45B6_B0A1_60DAF7FD2DBC_.wvu.FilterData" sId="4"/>
    <undo index="0" exp="area" ref3D="1" dr="$A$2:$AH$238" dn="Z_E812050A_1B97_4FAB_80D7_B16A7EC3293F_.wvu.FilterData" sId="4"/>
    <undo index="0" exp="area" ref3D="1" dr="$B$2:$AH$238" dn="Z_FE85FDB3_1026_44EF_AEC2_56D86B964711_.wvu.FilterData" sId="4"/>
    <undo index="0" exp="area" ref3D="1" dr="$A$2:$AH$238" dn="Z_F93920D1_8A54_4156_8F64_4987EBB7BAC5_.wvu.FilterData" sId="4"/>
    <undo index="0" exp="area" ref3D="1" dr="$B$2:$AH$238" dn="Z_F43A1B6C_8557_4EE4_B220_B0CDF8649464_.wvu.FilterData" sId="4"/>
    <undo index="0" exp="area" ref3D="1" dr="$A$2:$AH$238" dn="Z_F84E6DFB_7743_4811_A5D0_FDD3F126A30C_.wvu.FilterData" sId="4"/>
    <undo index="0" exp="area" ref3D="1" dr="$B$2:$AH$238" dn="Z_F20FFF1E_3733_4E0A_901D_022160F37FC7_.wvu.FilterData" sId="4"/>
    <undo index="0" exp="area" ref3D="1" dr="$B$2:$AH$238" dn="Z_F82A2A8D_FA65_4AB1_9408_3B060B3C5FDD_.wvu.FilterData" sId="4"/>
    <undo index="0" exp="area" ref3D="1" dr="$B$2:$AH$238" dn="Z_ECA9A2E5_B2D8_42C2_9A8E_42E77118B0CC_.wvu.FilterData" sId="4"/>
    <undo index="0" exp="area" ref3D="1" dr="$B$2:$AH$238" dn="Z_D1F7047B_CC2E_48BC_8022_C8013AE2B1E1_.wvu.FilterData" sId="4"/>
    <undo index="0" exp="area" ref3D="1" dr="$A$2:$AH$238" dn="Z_C81A18B8_F373_4EA5_8BEE_9CCD78D9B614_.wvu.FilterData" sId="4"/>
    <undo index="0" exp="area" ref3D="1" dr="$B$2:$AH$238" dn="Z_E5802D48_ABA7_43D5_925C_3A155CB2DA37_.wvu.FilterData" sId="4"/>
    <undo index="0" exp="area" ref3D="1" dr="$A$2:$AH$238" dn="Z_DDF827EC_E1F1_48B8_B7DB_C164C61411CF_.wvu.FilterData" sId="4"/>
    <undo index="0" exp="area" ref3D="1" dr="$B$2:$AH$238" dn="Z_D3C27057_82FD_4B65_B62E_707A2F121BDE_.wvu.FilterData" sId="4"/>
    <undo index="0" exp="area" ref3D="1" dr="$A$2:$AH$238" dn="Z_E3A26F30_0277_4A5E_993E_C53D19254B8A_.wvu.FilterData" sId="4"/>
    <undo index="0" exp="area" ref3D="1" dr="$A$2:$AH$238" dn="Z_E37D5B95_51DD_42C5_B085_60C100330042_.wvu.FilterData" sId="4"/>
    <undo index="0" exp="area" ref3D="1" dr="$A$2:$AH$238" dn="Z_E30F7C3C_88AD_4DA8_91E9_12528CA3533B_.wvu.FilterData" sId="4"/>
    <undo index="0" exp="area" ref3D="1" dr="$A$2:$AH$238" dn="Z_CF7D8FA3_D125_4EB9_A053_2F4A0FE3836A_.wvu.FilterData" sId="4"/>
    <undo index="0" exp="area" ref3D="1" dr="$B$2:$AH$238" dn="Z_DAD7BB38_0E1F_419E_B884_7AE8DE7DB88D_.wvu.FilterData" sId="4"/>
    <undo index="0" exp="area" ref3D="1" dr="$B$2:$AH$238" dn="Z_DCCFDF96_A2B0_4317_A5B6_111D31103E37_.wvu.FilterData" sId="4"/>
    <undo index="0" exp="area" ref3D="1" dr="$A$2:$AH$238" dn="Z_CBEF51E1_FAD6_43D8_BBFD_6C1B32E55B4B_.wvu.FilterData" sId="4"/>
    <undo index="0" exp="area" ref3D="1" dr="$A$2:$AH$238" dn="Z_CB28C596_9F9E_494B_B56D_ECD6004C6E89_.wvu.FilterData" sId="4"/>
    <undo index="0" exp="area" ref3D="1" dr="$A$2:$AH$238" dn="Z_D71C8170_5CF8_45BB_885E_2E519DB4B102_.wvu.FilterData" sId="4"/>
    <undo index="0" exp="area" ref3D="1" dr="$B$2:$AH$238" dn="Z_D1C51C0E_AD66_47FF_BB4B_92BFDC038388_.wvu.FilterData" sId="4"/>
    <undo index="0" exp="area" ref3D="1" dr="$A$2:$AH$238" dn="Z_D64A1F39_2F26_414B_BFD8_5E15BACEFD82_.wvu.FilterData" sId="4"/>
    <undo index="0" exp="area" ref3D="1" dr="$P$1:$Q$1048576" dn="Z_D1F7047B_CC2E_48BC_8022_C8013AE2B1E1_.wvu.Cols" sId="4"/>
    <undo index="0" exp="area" ref3D="1" dr="$B$2:$AH$238" dn="Z_2AFE13F4_A545_4F85_B198_794C017802D7_.wvu.FilterData" sId="4"/>
    <undo index="0" exp="area" ref3D="1" dr="$B$2:$AH$238" dn="_FilterDatabase" sId="4"/>
    <undo index="0" exp="area" ref3D="1" dr="$P$1:$Q$1048576" dn="Z_7E0EA425_A420_4443_B9E0_CDF0AA9E5D09_.wvu.Cols" sId="4"/>
    <undo index="0" exp="area" ref3D="1" dr="$B$2:$AH$238" dn="Z_7E0EA425_A420_4443_B9E0_CDF0AA9E5D09_.wvu.FilterData" sId="4"/>
    <undo index="0" exp="area" ref3D="1" dr="$B$2:$AH$238" dn="Z_72A6EB0A_84D5_4B8A_AC51_54CCD061630B_.wvu.FilterData" sId="4"/>
    <undo index="0" exp="area" ref3D="1" dr="$P$1:$Q$1048576" dn="Z_60D2C030_4E31_4E07_8E1C_44D2EE84B177_.wvu.Cols" sId="4"/>
    <undo index="0" exp="area" ref3D="1" dr="$P$1:$Q$1048576" dn="Z_72A6EB0A_84D5_4B8A_AC51_54CCD061630B_.wvu.Cols" sId="4"/>
    <undo index="0" exp="area" ref3D="1" dr="$B$2:$AH$238" dn="Z_60D2C030_4E31_4E07_8E1C_44D2EE84B177_.wvu.FilterData" sId="4"/>
    <undo index="0" exp="area" ref3D="1" dr="$P$1:$Q$1048576" dn="Z_4E06BDBF_2CED_473B_850B_2A6C7311FF41_.wvu.Cols" sId="4"/>
    <undo index="0" exp="area" ref3D="1" dr="$B$2:$AH$238" dn="Z_E35FA899_FB55_49DC_9B29_6EDAF2FFD028_.wvu.FilterData" sId="4"/>
    <rfmt sheetId="4" xfDxf="1" sqref="A238:XFD238" start="0" length="0"/>
    <rcc rId="0" sId="4" dxf="1">
      <nc r="B238">
        <f>#REF!+1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C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D238" start="0" length="0">
      <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E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F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G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H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I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J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K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L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M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N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O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P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Q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R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S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T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U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V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W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X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Y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Z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A23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B238" start="0" length="0">
      <dxf>
        <numFmt numFmtId="19" formatCode="m/d/yyyy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C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D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E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AF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 quotePrefix="1">
      <nc r="AG23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AH238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cc rId="1189" sId="4">
    <nc r="U140">
      <f>ROUNDDOWN(S140/HLOOKUP(D140,Table!$C$3:$D$4,2,0)*8,2)</f>
    </nc>
  </rcc>
  <rcc rId="1190" sId="4">
    <nc r="U141">
      <f>ROUNDDOWN(S141/HLOOKUP(D141,Table!$C$3:$D$4,2,0)*8,2)</f>
    </nc>
  </rcc>
  <rcc rId="1191" sId="4">
    <nc r="U142">
      <f>ROUNDDOWN(S142/HLOOKUP(D142,Table!$C$3:$D$4,2,0)*8,2)</f>
    </nc>
  </rcc>
  <rcc rId="1192" sId="4">
    <nc r="U143">
      <f>ROUNDDOWN(S143/HLOOKUP(D143,Table!$C$3:$D$4,2,0)*8,2)</f>
    </nc>
  </rcc>
  <rcc rId="1193" sId="4">
    <nc r="U144">
      <f>ROUNDDOWN(S144/HLOOKUP(D144,Table!$C$3:$D$4,2,0)*8,2)</f>
    </nc>
  </rcc>
  <rcc rId="1194" sId="4">
    <nc r="U145">
      <f>ROUNDDOWN(S145/HLOOKUP(D145,Table!$C$3:$D$4,2,0)*8,2)</f>
    </nc>
  </rcc>
  <rcc rId="1195" sId="4">
    <nc r="U146">
      <f>ROUNDDOWN(S146/HLOOKUP(D146,Table!$C$3:$D$4,2,0)*8,2)</f>
    </nc>
  </rcc>
  <rcc rId="1196" sId="4">
    <nc r="U147">
      <f>ROUNDDOWN(S147/HLOOKUP(D147,Table!$C$3:$D$4,2,0)*8,2)</f>
    </nc>
  </rcc>
  <rcc rId="1197" sId="4">
    <nc r="U148">
      <f>ROUNDDOWN(S148/HLOOKUP(D148,Table!$C$3:$D$4,2,0)*8,2)</f>
    </nc>
  </rcc>
  <rcc rId="1198" sId="4">
    <nc r="U149">
      <f>ROUNDDOWN(S149/HLOOKUP(D149,Table!$C$3:$D$4,2,0)*8,2)</f>
    </nc>
  </rcc>
  <rcc rId="1199" sId="4">
    <nc r="U150">
      <f>ROUNDDOWN(S150/HLOOKUP(D150,Table!$C$3:$D$4,2,0)*8,2)</f>
    </nc>
  </rcc>
  <rcc rId="1200" sId="4">
    <nc r="U151">
      <f>ROUNDDOWN(S151/HLOOKUP(D151,Table!$C$3:$D$4,2,0)*8,2)</f>
    </nc>
  </rcc>
  <rcc rId="1201" sId="4">
    <nc r="U152">
      <f>ROUNDDOWN(S152/HLOOKUP(D152,Table!$C$3:$D$4,2,0)*8,2)</f>
    </nc>
  </rcc>
  <rcc rId="1202" sId="4">
    <nc r="U153">
      <f>ROUNDDOWN(S153/HLOOKUP(D153,Table!$C$3:$D$4,2,0)*8,2)</f>
    </nc>
  </rcc>
  <rcc rId="1203" sId="4">
    <nc r="U127">
      <f>ROUNDDOWN(S127/HLOOKUP(D127,Table!$C$3:$D$4,2,0)*8,2)</f>
    </nc>
  </rcc>
  <rcc rId="1204" sId="4">
    <nc r="U155">
      <f>ROUNDDOWN(S155/HLOOKUP(D155,Table!$C$3:$D$4,2,0)*8,2)</f>
    </nc>
  </rcc>
  <rcc rId="1205" sId="4">
    <nc r="U156">
      <f>ROUNDDOWN(S156/HLOOKUP(D156,Table!$C$3:$D$4,2,0)*8,2)</f>
    </nc>
  </rcc>
  <rcc rId="1206" sId="4">
    <nc r="U157">
      <f>ROUNDDOWN(S157/HLOOKUP(D157,Table!$C$3:$D$4,2,0)*8,2)</f>
    </nc>
  </rcc>
  <rcc rId="1207" sId="4">
    <nc r="U158">
      <f>ROUNDDOWN(S158/HLOOKUP(D158,Table!$C$3:$D$4,2,0)*8,2)</f>
    </nc>
  </rcc>
  <rcc rId="1208" sId="4">
    <nc r="U159">
      <f>ROUNDDOWN(S159/HLOOKUP(D159,Table!$C$3:$D$4,2,0)*8,2)</f>
    </nc>
  </rcc>
  <rcc rId="1209" sId="4">
    <nc r="U160">
      <f>ROUNDDOWN(S160/HLOOKUP(D160,Table!$C$3:$D$4,2,0)*8,2)</f>
    </nc>
  </rcc>
  <rcc rId="1210" sId="4">
    <nc r="U161">
      <f>ROUNDDOWN(S161/HLOOKUP(D161,Table!$C$3:$D$4,2,0)*8,2)</f>
    </nc>
  </rcc>
  <rcc rId="1211" sId="4">
    <nc r="U162">
      <f>ROUNDDOWN(S162/HLOOKUP(D162,Table!$C$3:$D$4,2,0)*8,2)</f>
    </nc>
  </rcc>
  <rcc rId="1212" sId="4">
    <nc r="U163">
      <f>ROUNDDOWN(S163/HLOOKUP(D163,Table!$C$3:$D$4,2,0)*8,2)</f>
    </nc>
  </rcc>
  <rcc rId="1213" sId="4">
    <nc r="U164">
      <f>ROUNDDOWN(S164/HLOOKUP(D164,Table!$C$3:$D$4,2,0)*8,2)</f>
    </nc>
  </rcc>
  <rcc rId="1214" sId="4">
    <nc r="U165">
      <f>ROUNDDOWN(S165/HLOOKUP(D165,Table!$C$3:$D$4,2,0)*8,2)</f>
    </nc>
  </rcc>
  <rcc rId="1215" sId="4">
    <nc r="U166">
      <f>ROUNDDOWN(S166/HLOOKUP(D166,Table!$C$3:$D$4,2,0)*8,2)</f>
    </nc>
  </rcc>
  <rcc rId="1216" sId="4">
    <nc r="U167">
      <f>ROUNDDOWN(S167/HLOOKUP(D167,Table!$C$3:$D$4,2,0)*8,2)</f>
    </nc>
  </rcc>
  <rcc rId="1217" sId="4">
    <nc r="U168">
      <f>ROUNDDOWN(S168/HLOOKUP(D168,Table!$C$3:$D$4,2,0)*8,2)</f>
    </nc>
  </rcc>
  <rcc rId="1218" sId="4">
    <nc r="U169">
      <f>ROUNDDOWN(S169/HLOOKUP(D169,Table!$C$3:$D$4,2,0)*8,2)</f>
    </nc>
  </rcc>
  <rcc rId="1219" sId="4">
    <nc r="U170">
      <f>ROUNDDOWN(S170/HLOOKUP(D170,Table!$C$3:$D$4,2,0)*8,2)</f>
    </nc>
  </rcc>
  <rcc rId="1220" sId="4">
    <nc r="U171">
      <f>ROUNDDOWN(S171/HLOOKUP(D171,Table!$C$3:$D$4,2,0)*8,2)</f>
    </nc>
  </rcc>
  <rcc rId="1221" sId="4">
    <nc r="U172">
      <f>ROUNDDOWN(S172/HLOOKUP(D172,Table!$C$3:$D$4,2,0)*8,2)</f>
    </nc>
  </rcc>
  <rcc rId="1222" sId="4">
    <nc r="U173">
      <f>ROUNDDOWN(S173/HLOOKUP(D173,Table!$C$3:$D$4,2,0)*8,2)</f>
    </nc>
  </rcc>
  <rcc rId="1223" sId="4">
    <nc r="U174">
      <f>ROUNDDOWN(S174/HLOOKUP(D174,Table!$C$3:$D$4,2,0)*8,2)</f>
    </nc>
  </rcc>
  <rcc rId="1224" sId="4">
    <nc r="U175">
      <f>ROUNDDOWN(S175/HLOOKUP(D175,Table!$C$3:$D$4,2,0)*8,2)</f>
    </nc>
  </rcc>
  <rcc rId="1225" sId="4">
    <nc r="U176">
      <f>ROUNDDOWN(S176/HLOOKUP(D176,Table!$C$3:$D$4,2,0)*8,2)</f>
    </nc>
  </rcc>
  <rcc rId="1226" sId="4">
    <nc r="U177">
      <f>ROUNDDOWN(S177/HLOOKUP(D177,Table!$C$3:$D$4,2,0)*8,2)</f>
    </nc>
  </rcc>
  <rcc rId="1227" sId="4">
    <nc r="U178">
      <f>ROUNDDOWN(S178/HLOOKUP(D178,Table!$C$3:$D$4,2,0)*8,2)</f>
    </nc>
  </rcc>
  <rcc rId="1228" sId="4">
    <nc r="U179">
      <f>ROUNDDOWN(S179/HLOOKUP(D179,Table!$C$3:$D$4,2,0)*8,2)</f>
    </nc>
  </rcc>
  <rcc rId="1229" sId="4">
    <nc r="U180">
      <f>ROUNDDOWN(S180/HLOOKUP(D180,Table!$C$3:$D$4,2,0)*8,2)</f>
    </nc>
  </rcc>
  <rcc rId="1230" sId="4">
    <nc r="U181">
      <f>ROUNDDOWN(S181/HLOOKUP(D181,Table!$C$3:$D$4,2,0)*8,2)</f>
    </nc>
  </rcc>
  <rcc rId="1231" sId="4">
    <nc r="U182">
      <f>ROUNDDOWN(S182/HLOOKUP(D182,Table!$C$3:$D$4,2,0)*8,2)</f>
    </nc>
  </rcc>
  <rcc rId="1232" sId="4">
    <nc r="U183">
      <f>ROUNDDOWN(S183/HLOOKUP(D183,Table!$C$3:$D$4,2,0)*8,2)</f>
    </nc>
  </rcc>
  <rcc rId="1233" sId="4">
    <nc r="U184">
      <f>ROUNDDOWN(S184/HLOOKUP(D184,Table!$C$3:$D$4,2,0)*8,2)</f>
    </nc>
  </rcc>
  <rcc rId="1234" sId="4">
    <nc r="U185">
      <f>ROUNDDOWN(S185/HLOOKUP(D185,Table!$C$3:$D$4,2,0)*8,2)</f>
    </nc>
  </rcc>
  <rcc rId="1235" sId="4">
    <nc r="U186">
      <f>ROUNDDOWN(S186/HLOOKUP(D186,Table!$C$3:$D$4,2,0)*8,2)</f>
    </nc>
  </rcc>
  <rcc rId="1236" sId="4">
    <nc r="U187">
      <f>ROUNDDOWN(S187/HLOOKUP(D187,Table!$C$3:$D$4,2,0)*8,2)</f>
    </nc>
  </rcc>
  <rcc rId="1237" sId="4">
    <nc r="U188">
      <f>ROUNDDOWN(S188/HLOOKUP(D188,Table!$C$3:$D$4,2,0)*8,2)</f>
    </nc>
  </rcc>
  <rcc rId="1238" sId="4">
    <nc r="U189">
      <f>ROUNDDOWN(S189/HLOOKUP(D189,Table!$C$3:$D$4,2,0)*8,2)</f>
    </nc>
  </rcc>
  <rcc rId="1239" sId="4">
    <nc r="U190">
      <f>ROUNDDOWN(S190/HLOOKUP(D190,Table!$C$3:$D$4,2,0)*8,2)</f>
    </nc>
  </rcc>
  <rcc rId="1240" sId="4">
    <nc r="U191">
      <f>ROUNDDOWN(S191/HLOOKUP(D191,Table!$C$3:$D$4,2,0)*8,2)</f>
    </nc>
  </rcc>
  <rcc rId="1241" sId="4">
    <nc r="U192">
      <f>ROUNDDOWN(S192/HLOOKUP(D192,Table!$C$3:$D$4,2,0)*8,2)</f>
    </nc>
  </rcc>
  <rcc rId="1242" sId="4">
    <nc r="U193">
      <f>ROUNDDOWN(S193/HLOOKUP(D193,Table!$C$3:$D$4,2,0)*8,2)</f>
    </nc>
  </rcc>
  <rcc rId="1243" sId="4">
    <nc r="U194">
      <f>ROUNDDOWN(S194/HLOOKUP(D194,Table!$C$3:$D$4,2,0)*8,2)</f>
    </nc>
  </rcc>
  <rcc rId="1244" sId="4">
    <nc r="U195">
      <f>ROUNDDOWN(S195/HLOOKUP(D195,Table!$C$3:$D$4,2,0)*8,2)</f>
    </nc>
  </rcc>
  <rcc rId="1245" sId="4">
    <nc r="U196">
      <f>ROUNDDOWN(S196/HLOOKUP(D196,Table!$C$3:$D$4,2,0)*8,2)</f>
    </nc>
  </rcc>
  <rcc rId="1246" sId="4">
    <nc r="U197">
      <f>ROUNDDOWN(S197/HLOOKUP(D197,Table!$C$3:$D$4,2,0)*8,2)</f>
    </nc>
  </rcc>
  <rcc rId="1247" sId="4">
    <nc r="U198">
      <f>ROUNDDOWN(S198/HLOOKUP(D198,Table!$C$3:$D$4,2,0)*8,2)</f>
    </nc>
  </rcc>
  <rcc rId="1248" sId="4">
    <nc r="U199">
      <f>ROUNDDOWN(S199/HLOOKUP(D199,Table!$C$3:$D$4,2,0)*8,2)</f>
    </nc>
  </rcc>
  <rcc rId="1249" sId="4">
    <nc r="U200">
      <f>ROUNDDOWN(S200/HLOOKUP(D200,Table!$C$3:$D$4,2,0)*8,2)</f>
    </nc>
  </rcc>
  <rcc rId="1250" sId="4">
    <nc r="U201">
      <f>ROUNDDOWN(S201/HLOOKUP(D201,Table!$C$3:$D$4,2,0)*8,2)</f>
    </nc>
  </rcc>
  <rcc rId="1251" sId="4">
    <nc r="U202">
      <f>ROUNDDOWN(S202/HLOOKUP(D202,Table!$C$3:$D$4,2,0)*8,2)</f>
    </nc>
  </rcc>
  <rcc rId="1252" sId="4">
    <nc r="U203">
      <f>ROUNDDOWN(S203/HLOOKUP(D203,Table!$C$3:$D$4,2,0)*8,2)</f>
    </nc>
  </rcc>
  <rcc rId="1253" sId="4">
    <nc r="U204">
      <f>ROUNDDOWN(S204/HLOOKUP(D204,Table!$C$3:$D$4,2,0)*8,2)</f>
    </nc>
  </rcc>
  <rcc rId="1254" sId="4">
    <nc r="U205">
      <f>ROUNDDOWN(S205/HLOOKUP(D205,Table!$C$3:$D$4,2,0)*8,2)</f>
    </nc>
  </rcc>
  <rcc rId="1255" sId="4">
    <nc r="U206">
      <f>ROUNDDOWN(S206/HLOOKUP(D206,Table!$C$3:$D$4,2,0)*8,2)</f>
    </nc>
  </rcc>
  <rcc rId="1256" sId="4">
    <nc r="U207">
      <f>ROUNDDOWN(S207/HLOOKUP(D207,Table!$C$3:$D$4,2,0)*8,2)</f>
    </nc>
  </rcc>
  <rcc rId="1257" sId="4">
    <nc r="U208">
      <f>ROUNDDOWN(S208/HLOOKUP(D208,Table!$C$3:$D$4,2,0)*8,2)</f>
    </nc>
  </rcc>
  <rcc rId="1258" sId="4">
    <nc r="U209">
      <f>ROUNDDOWN(S209/HLOOKUP(D209,Table!$C$3:$D$4,2,0)*8,2)</f>
    </nc>
  </rcc>
  <rcc rId="1259" sId="4">
    <nc r="U210">
      <f>ROUNDDOWN(S210/HLOOKUP(D210,Table!$C$3:$D$4,2,0)*8,2)</f>
    </nc>
  </rcc>
  <rcc rId="1260" sId="4">
    <nc r="U211">
      <f>ROUNDDOWN(S211/HLOOKUP(D211,Table!$C$3:$D$4,2,0)*8,2)</f>
    </nc>
  </rcc>
  <rcc rId="1261" sId="4">
    <nc r="U212">
      <f>ROUNDDOWN(S212/HLOOKUP(D212,Table!$C$3:$D$4,2,0)*8,2)</f>
    </nc>
  </rcc>
  <rcc rId="1262" sId="4">
    <nc r="U213">
      <f>ROUNDDOWN(S213/HLOOKUP(D213,Table!$C$3:$D$4,2,0)*8,2)</f>
    </nc>
  </rcc>
  <rcc rId="1263" sId="4">
    <nc r="U214">
      <f>ROUNDDOWN(S214/HLOOKUP(D214,Table!$C$3:$D$4,2,0)*8,2)</f>
    </nc>
  </rcc>
  <rcc rId="1264" sId="4">
    <nc r="U215">
      <f>ROUNDDOWN(S215/HLOOKUP(D215,Table!$C$3:$D$4,2,0)*8,2)</f>
    </nc>
  </rcc>
  <rcc rId="1265" sId="4">
    <nc r="U216">
      <f>ROUNDDOWN(S216/HLOOKUP(D216,Table!$C$3:$D$4,2,0)*8,2)</f>
    </nc>
  </rcc>
  <rcc rId="1266" sId="4">
    <nc r="U217">
      <f>ROUNDDOWN(S217/HLOOKUP(D217,Table!$C$3:$D$4,2,0)*8,2)</f>
    </nc>
  </rcc>
  <rcc rId="1267" sId="4">
    <nc r="U218">
      <f>ROUNDDOWN(S218/HLOOKUP(D218,Table!$C$3:$D$4,2,0)*8,2)</f>
    </nc>
  </rcc>
  <rcc rId="1268" sId="4">
    <nc r="U219">
      <f>ROUNDDOWN(S219/HLOOKUP(D219,Table!$C$3:$D$4,2,0)*8,2)</f>
    </nc>
  </rcc>
  <rcc rId="1269" sId="4">
    <nc r="U220">
      <f>ROUNDDOWN(S220/HLOOKUP(D220,Table!$C$3:$D$4,2,0)*8,2)</f>
    </nc>
  </rcc>
  <rcc rId="1270" sId="4">
    <nc r="U221">
      <f>ROUNDDOWN(S221/HLOOKUP(D221,Table!$C$3:$D$4,2,0)*8,2)</f>
    </nc>
  </rcc>
  <rcc rId="1271" sId="4">
    <nc r="U222">
      <f>ROUNDDOWN(S222/HLOOKUP(D222,Table!$C$3:$D$4,2,0)*8,2)</f>
    </nc>
  </rcc>
  <rcc rId="1272" sId="4">
    <nc r="U223">
      <f>ROUNDDOWN(S223/HLOOKUP(D223,Table!$C$3:$D$4,2,0)*8,2)</f>
    </nc>
  </rcc>
  <rcc rId="1273" sId="4">
    <nc r="U224">
      <f>ROUNDDOWN(S224/HLOOKUP(D224,Table!$C$3:$D$4,2,0)*8,2)</f>
    </nc>
  </rcc>
  <rcc rId="1274" sId="4">
    <nc r="U225">
      <f>ROUNDDOWN(S225/HLOOKUP(D225,Table!$C$3:$D$4,2,0)*8,2)</f>
    </nc>
  </rcc>
  <rcc rId="1275" sId="4">
    <nc r="U226">
      <f>ROUNDDOWN(S226/HLOOKUP(D226,Table!$C$3:$D$4,2,0)*8,2)</f>
    </nc>
  </rcc>
  <rcc rId="1276" sId="4">
    <nc r="U227">
      <f>ROUNDDOWN(S227/HLOOKUP(D227,Table!$C$3:$D$4,2,0)*8,2)</f>
    </nc>
  </rcc>
  <rcc rId="1277" sId="4">
    <nc r="U228">
      <f>ROUNDDOWN(S228/HLOOKUP(D228,Table!$C$3:$D$4,2,0)*8,2)</f>
    </nc>
  </rcc>
  <rcc rId="1278" sId="4">
    <nc r="U229">
      <f>ROUNDDOWN(S229/HLOOKUP(D229,Table!$C$3:$D$4,2,0)*8,2)</f>
    </nc>
  </rcc>
  <rcc rId="1279" sId="4">
    <nc r="U230">
      <f>ROUNDDOWN(S230/HLOOKUP(D230,Table!$C$3:$D$4,2,0)*8,2)</f>
    </nc>
  </rcc>
  <rcc rId="1280" sId="4">
    <nc r="U231">
      <f>ROUNDDOWN(S231/HLOOKUP(D231,Table!$C$3:$D$4,2,0)*8,2)</f>
    </nc>
  </rcc>
  <rcc rId="1281" sId="4">
    <nc r="U232">
      <f>ROUNDDOWN(S232/HLOOKUP(D232,Table!$C$3:$D$4,2,0)*8,2)</f>
    </nc>
  </rcc>
  <rcc rId="1282" sId="4">
    <nc r="U233">
      <f>ROUNDDOWN(S233/HLOOKUP(D233,Table!$C$3:$D$4,2,0)*8,2)</f>
    </nc>
  </rcc>
  <rcc rId="1283" sId="4">
    <nc r="U234">
      <f>ROUNDDOWN(S234/HLOOKUP(D234,Table!$C$3:$D$4,2,0)*8,2)</f>
    </nc>
  </rcc>
  <rcc rId="1284" sId="4">
    <nc r="U235">
      <f>ROUNDDOWN(S235/HLOOKUP(D235,Table!$C$3:$D$4,2,0)*8,2)</f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COEM_Package_20200401!$B$2:$AH$237</formula>
    <oldFormula>COEM_Package_20200401!$B$2:$AH$237</oldFormula>
  </rdn>
  <rcv guid="{7E0EA425-A420-4443-B9E0-CDF0AA9E5D09}" action="add"/>
</revisions>
</file>

<file path=xl/revisions/revisionLog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288" sId="4" quotePrefix="1">
    <nc r="AG178" t="inlineStr">
      <is>
        <t>-</t>
      </is>
    </nc>
  </rcc>
  <rcc rId="1289" sId="4" quotePrefix="1">
    <nc r="AH178" t="inlineStr">
      <is>
        <t>-</t>
      </is>
    </nc>
  </rcc>
  <rcc rId="1290" sId="4" quotePrefix="1">
    <nc r="AG179" t="inlineStr">
      <is>
        <t>-</t>
      </is>
    </nc>
  </rcc>
  <rcc rId="1291" sId="4" quotePrefix="1">
    <nc r="AH179" t="inlineStr">
      <is>
        <t>-</t>
      </is>
    </nc>
  </rcc>
  <rcc rId="1292" sId="4" quotePrefix="1">
    <nc r="AG180" t="inlineStr">
      <is>
        <t>-</t>
      </is>
    </nc>
  </rcc>
  <rcc rId="1293" sId="4" quotePrefix="1">
    <nc r="AH180" t="inlineStr">
      <is>
        <t>-</t>
      </is>
    </nc>
  </rcc>
  <rcc rId="1294" sId="4" quotePrefix="1">
    <nc r="AG181" t="inlineStr">
      <is>
        <t>-</t>
      </is>
    </nc>
  </rcc>
  <rcc rId="1295" sId="4" quotePrefix="1">
    <nc r="AH181" t="inlineStr">
      <is>
        <t>-</t>
      </is>
    </nc>
  </rcc>
  <rcc rId="1296" sId="4" quotePrefix="1">
    <nc r="AG182" t="inlineStr">
      <is>
        <t>-</t>
      </is>
    </nc>
  </rcc>
  <rcc rId="1297" sId="4" quotePrefix="1">
    <nc r="AH182" t="inlineStr">
      <is>
        <t>-</t>
      </is>
    </nc>
  </rcc>
  <rcc rId="1298" sId="4" quotePrefix="1">
    <nc r="AG183" t="inlineStr">
      <is>
        <t>-</t>
      </is>
    </nc>
  </rcc>
  <rcc rId="1299" sId="4" quotePrefix="1">
    <nc r="AH183" t="inlineStr">
      <is>
        <t>-</t>
      </is>
    </nc>
  </rcc>
  <rcc rId="1300" sId="4" quotePrefix="1">
    <nc r="AG184" t="inlineStr">
      <is>
        <t>-</t>
      </is>
    </nc>
  </rcc>
  <rcc rId="1301" sId="4" quotePrefix="1">
    <nc r="AH184" t="inlineStr">
      <is>
        <t>-</t>
      </is>
    </nc>
  </rcc>
  <rcc rId="1302" sId="4" quotePrefix="1">
    <nc r="AG185" t="inlineStr">
      <is>
        <t>-</t>
      </is>
    </nc>
  </rcc>
  <rcc rId="1303" sId="4" quotePrefix="1">
    <nc r="AH185" t="inlineStr">
      <is>
        <t>-</t>
      </is>
    </nc>
  </rcc>
  <rcc rId="1304" sId="4" quotePrefix="1">
    <nc r="AG186" t="inlineStr">
      <is>
        <t>-</t>
      </is>
    </nc>
  </rcc>
  <rcc rId="1305" sId="4" quotePrefix="1">
    <nc r="AH186" t="inlineStr">
      <is>
        <t>-</t>
      </is>
    </nc>
  </rcc>
  <rcc rId="1306" sId="4" quotePrefix="1">
    <nc r="AG187" t="inlineStr">
      <is>
        <t>-</t>
      </is>
    </nc>
  </rcc>
  <rcc rId="1307" sId="4" quotePrefix="1">
    <nc r="AH187" t="inlineStr">
      <is>
        <t>-</t>
      </is>
    </nc>
  </rcc>
  <rcc rId="1308" sId="4" quotePrefix="1">
    <nc r="AG188" t="inlineStr">
      <is>
        <t>-</t>
      </is>
    </nc>
  </rcc>
  <rcc rId="1309" sId="4" quotePrefix="1">
    <nc r="AH188" t="inlineStr">
      <is>
        <t>-</t>
      </is>
    </nc>
  </rcc>
  <rcc rId="1310" sId="4" quotePrefix="1">
    <nc r="AG189" t="inlineStr">
      <is>
        <t>-</t>
      </is>
    </nc>
  </rcc>
  <rcc rId="1311" sId="4" quotePrefix="1">
    <nc r="AH189" t="inlineStr">
      <is>
        <t>-</t>
      </is>
    </nc>
  </rcc>
  <rcc rId="1312" sId="4" quotePrefix="1">
    <nc r="AG190" t="inlineStr">
      <is>
        <t>-</t>
      </is>
    </nc>
  </rcc>
  <rcc rId="1313" sId="4" quotePrefix="1">
    <nc r="AH190" t="inlineStr">
      <is>
        <t>-</t>
      </is>
    </nc>
  </rcc>
  <rcc rId="1314" sId="4" quotePrefix="1">
    <nc r="AG191" t="inlineStr">
      <is>
        <t>-</t>
      </is>
    </nc>
  </rcc>
  <rcc rId="1315" sId="4" quotePrefix="1">
    <nc r="AH191" t="inlineStr">
      <is>
        <t>-</t>
      </is>
    </nc>
  </rcc>
  <rcc rId="1316" sId="4" quotePrefix="1">
    <nc r="AG192" t="inlineStr">
      <is>
        <t>-</t>
      </is>
    </nc>
  </rcc>
  <rcc rId="1317" sId="4" quotePrefix="1">
    <nc r="AH192" t="inlineStr">
      <is>
        <t>-</t>
      </is>
    </nc>
  </rcc>
  <rcc rId="1318" sId="4" quotePrefix="1">
    <nc r="AG193" t="inlineStr">
      <is>
        <t>-</t>
      </is>
    </nc>
  </rcc>
  <rcc rId="1319" sId="4" quotePrefix="1">
    <nc r="AH193" t="inlineStr">
      <is>
        <t>-</t>
      </is>
    </nc>
  </rcc>
  <rcc rId="1320" sId="4" quotePrefix="1">
    <nc r="AG194" t="inlineStr">
      <is>
        <t>-</t>
      </is>
    </nc>
  </rcc>
  <rcc rId="1321" sId="4" quotePrefix="1">
    <nc r="AH194" t="inlineStr">
      <is>
        <t>-</t>
      </is>
    </nc>
  </rcc>
  <rcc rId="1322" sId="4" quotePrefix="1">
    <nc r="AG195" t="inlineStr">
      <is>
        <t>-</t>
      </is>
    </nc>
  </rcc>
  <rcc rId="1323" sId="4" quotePrefix="1">
    <nc r="AH195" t="inlineStr">
      <is>
        <t>-</t>
      </is>
    </nc>
  </rcc>
  <rcc rId="1324" sId="4" quotePrefix="1">
    <nc r="AG196" t="inlineStr">
      <is>
        <t>-</t>
      </is>
    </nc>
  </rcc>
  <rcc rId="1325" sId="4" quotePrefix="1">
    <nc r="AH196" t="inlineStr">
      <is>
        <t>-</t>
      </is>
    </nc>
  </rcc>
  <rcc rId="1326" sId="4" quotePrefix="1">
    <nc r="AG197" t="inlineStr">
      <is>
        <t>-</t>
      </is>
    </nc>
  </rcc>
  <rcc rId="1327" sId="4" quotePrefix="1">
    <nc r="AH197" t="inlineStr">
      <is>
        <t>-</t>
      </is>
    </nc>
  </rcc>
  <rcc rId="1328" sId="4" quotePrefix="1">
    <nc r="AG198" t="inlineStr">
      <is>
        <t>-</t>
      </is>
    </nc>
  </rcc>
  <rcc rId="1329" sId="4" quotePrefix="1">
    <nc r="AH198" t="inlineStr">
      <is>
        <t>-</t>
      </is>
    </nc>
  </rcc>
  <rcc rId="1330" sId="4" quotePrefix="1">
    <nc r="AG199" t="inlineStr">
      <is>
        <t>-</t>
      </is>
    </nc>
  </rcc>
  <rcc rId="1331" sId="4" quotePrefix="1">
    <nc r="AH199" t="inlineStr">
      <is>
        <t>-</t>
      </is>
    </nc>
  </rcc>
  <rcc rId="1332" sId="4" quotePrefix="1">
    <nc r="AG200" t="inlineStr">
      <is>
        <t>-</t>
      </is>
    </nc>
  </rcc>
  <rcc rId="1333" sId="4" quotePrefix="1">
    <nc r="AH200" t="inlineStr">
      <is>
        <t>-</t>
      </is>
    </nc>
  </rcc>
  <rcc rId="1334" sId="4" quotePrefix="1">
    <nc r="AG201" t="inlineStr">
      <is>
        <t>-</t>
      </is>
    </nc>
  </rcc>
  <rcc rId="1335" sId="4" quotePrefix="1">
    <nc r="AH201" t="inlineStr">
      <is>
        <t>-</t>
      </is>
    </nc>
  </rcc>
  <rcc rId="1336" sId="4" quotePrefix="1">
    <nc r="AG202" t="inlineStr">
      <is>
        <t>-</t>
      </is>
    </nc>
  </rcc>
  <rcc rId="1337" sId="4" quotePrefix="1">
    <nc r="AH202" t="inlineStr">
      <is>
        <t>-</t>
      </is>
    </nc>
  </rcc>
  <rcc rId="1338" sId="4" quotePrefix="1">
    <nc r="AG203" t="inlineStr">
      <is>
        <t>-</t>
      </is>
    </nc>
  </rcc>
  <rcc rId="1339" sId="4" quotePrefix="1">
    <nc r="AH203" t="inlineStr">
      <is>
        <t>-</t>
      </is>
    </nc>
  </rcc>
  <rcc rId="1340" sId="4" quotePrefix="1">
    <nc r="AG204" t="inlineStr">
      <is>
        <t>-</t>
      </is>
    </nc>
  </rcc>
  <rcc rId="1341" sId="4" quotePrefix="1">
    <nc r="AH204" t="inlineStr">
      <is>
        <t>-</t>
      </is>
    </nc>
  </rcc>
  <rcc rId="1342" sId="4" quotePrefix="1">
    <nc r="AG205" t="inlineStr">
      <is>
        <t>-</t>
      </is>
    </nc>
  </rcc>
  <rcc rId="1343" sId="4" quotePrefix="1">
    <nc r="AH205" t="inlineStr">
      <is>
        <t>-</t>
      </is>
    </nc>
  </rcc>
  <rcc rId="1344" sId="4" quotePrefix="1">
    <nc r="AG206" t="inlineStr">
      <is>
        <t>-</t>
      </is>
    </nc>
  </rcc>
  <rcc rId="1345" sId="4" quotePrefix="1">
    <nc r="AH206" t="inlineStr">
      <is>
        <t>-</t>
      </is>
    </nc>
  </rcc>
  <rcc rId="1346" sId="4" quotePrefix="1">
    <nc r="AG207" t="inlineStr">
      <is>
        <t>-</t>
      </is>
    </nc>
  </rcc>
  <rcc rId="1347" sId="4" quotePrefix="1">
    <nc r="AH207" t="inlineStr">
      <is>
        <t>-</t>
      </is>
    </nc>
  </rcc>
  <rcc rId="1348" sId="4" quotePrefix="1">
    <nc r="AG208" t="inlineStr">
      <is>
        <t>-</t>
      </is>
    </nc>
  </rcc>
  <rcc rId="1349" sId="4" quotePrefix="1">
    <nc r="AH208" t="inlineStr">
      <is>
        <t>-</t>
      </is>
    </nc>
  </rcc>
  <rcc rId="1350" sId="4" quotePrefix="1">
    <nc r="AG209" t="inlineStr">
      <is>
        <t>-</t>
      </is>
    </nc>
  </rcc>
  <rcc rId="1351" sId="4" quotePrefix="1">
    <nc r="AH209" t="inlineStr">
      <is>
        <t>-</t>
      </is>
    </nc>
  </rcc>
  <rcc rId="1352" sId="4" quotePrefix="1">
    <nc r="AG210" t="inlineStr">
      <is>
        <t>-</t>
      </is>
    </nc>
  </rcc>
  <rcc rId="1353" sId="4" quotePrefix="1">
    <nc r="AH210" t="inlineStr">
      <is>
        <t>-</t>
      </is>
    </nc>
  </rcc>
  <rcc rId="1354" sId="4" quotePrefix="1">
    <nc r="AG211" t="inlineStr">
      <is>
        <t>-</t>
      </is>
    </nc>
  </rcc>
  <rcc rId="1355" sId="4" quotePrefix="1">
    <nc r="AH211" t="inlineStr">
      <is>
        <t>-</t>
      </is>
    </nc>
  </rcc>
  <rcc rId="1356" sId="4" quotePrefix="1">
    <nc r="AG212" t="inlineStr">
      <is>
        <t>-</t>
      </is>
    </nc>
  </rcc>
  <rcc rId="1357" sId="4" quotePrefix="1">
    <nc r="AH212" t="inlineStr">
      <is>
        <t>-</t>
      </is>
    </nc>
  </rcc>
  <rcc rId="1358" sId="4" quotePrefix="1">
    <nc r="AG213" t="inlineStr">
      <is>
        <t>-</t>
      </is>
    </nc>
  </rcc>
  <rcc rId="1359" sId="4" quotePrefix="1">
    <nc r="AH213" t="inlineStr">
      <is>
        <t>-</t>
      </is>
    </nc>
  </rcc>
  <rcc rId="1360" sId="4" quotePrefix="1">
    <nc r="AG214" t="inlineStr">
      <is>
        <t>-</t>
      </is>
    </nc>
  </rcc>
  <rcc rId="1361" sId="4" quotePrefix="1">
    <nc r="AH214" t="inlineStr">
      <is>
        <t>-</t>
      </is>
    </nc>
  </rcc>
  <rcc rId="1362" sId="4" quotePrefix="1">
    <nc r="AG215" t="inlineStr">
      <is>
        <t>-</t>
      </is>
    </nc>
  </rcc>
  <rcc rId="1363" sId="4" quotePrefix="1">
    <nc r="AH215" t="inlineStr">
      <is>
        <t>-</t>
      </is>
    </nc>
  </rcc>
  <rcc rId="1364" sId="4" quotePrefix="1">
    <nc r="AG216" t="inlineStr">
      <is>
        <t>-</t>
      </is>
    </nc>
  </rcc>
  <rcc rId="1365" sId="4" quotePrefix="1">
    <nc r="AH216" t="inlineStr">
      <is>
        <t>-</t>
      </is>
    </nc>
  </rcc>
  <rcc rId="1366" sId="4" quotePrefix="1">
    <nc r="AG217" t="inlineStr">
      <is>
        <t>-</t>
      </is>
    </nc>
  </rcc>
  <rcc rId="1367" sId="4" quotePrefix="1">
    <nc r="AH217" t="inlineStr">
      <is>
        <t>-</t>
      </is>
    </nc>
  </rcc>
  <rcc rId="1368" sId="4" quotePrefix="1">
    <nc r="AG218" t="inlineStr">
      <is>
        <t>-</t>
      </is>
    </nc>
  </rcc>
  <rcc rId="1369" sId="4" quotePrefix="1">
    <nc r="AH218" t="inlineStr">
      <is>
        <t>-</t>
      </is>
    </nc>
  </rcc>
  <rcc rId="1370" sId="4" quotePrefix="1">
    <nc r="AG219" t="inlineStr">
      <is>
        <t>-</t>
      </is>
    </nc>
  </rcc>
  <rcc rId="1371" sId="4" quotePrefix="1">
    <nc r="AH219" t="inlineStr">
      <is>
        <t>-</t>
      </is>
    </nc>
  </rcc>
  <rcc rId="1372" sId="4" quotePrefix="1">
    <nc r="AG220" t="inlineStr">
      <is>
        <t>-</t>
      </is>
    </nc>
  </rcc>
  <rcc rId="1373" sId="4" quotePrefix="1">
    <nc r="AH220" t="inlineStr">
      <is>
        <t>-</t>
      </is>
    </nc>
  </rcc>
  <rcc rId="1374" sId="4" quotePrefix="1">
    <nc r="AG221" t="inlineStr">
      <is>
        <t>-</t>
      </is>
    </nc>
  </rcc>
  <rcc rId="1375" sId="4" quotePrefix="1">
    <nc r="AH221" t="inlineStr">
      <is>
        <t>-</t>
      </is>
    </nc>
  </rcc>
  <rcc rId="1376" sId="4" quotePrefix="1">
    <nc r="AG222" t="inlineStr">
      <is>
        <t>-</t>
      </is>
    </nc>
  </rcc>
  <rcc rId="1377" sId="4" quotePrefix="1">
    <nc r="AH222" t="inlineStr">
      <is>
        <t>-</t>
      </is>
    </nc>
  </rcc>
  <rcc rId="1378" sId="4" quotePrefix="1">
    <nc r="AG223" t="inlineStr">
      <is>
        <t>-</t>
      </is>
    </nc>
  </rcc>
  <rcc rId="1379" sId="4" quotePrefix="1">
    <nc r="AH223" t="inlineStr">
      <is>
        <t>-</t>
      </is>
    </nc>
  </rcc>
  <rcc rId="1380" sId="4" quotePrefix="1">
    <nc r="AG224" t="inlineStr">
      <is>
        <t>-</t>
      </is>
    </nc>
  </rcc>
  <rcc rId="1381" sId="4" quotePrefix="1">
    <nc r="AH224" t="inlineStr">
      <is>
        <t>-</t>
      </is>
    </nc>
  </rcc>
  <rcc rId="1382" sId="4" quotePrefix="1">
    <nc r="AG225" t="inlineStr">
      <is>
        <t>-</t>
      </is>
    </nc>
  </rcc>
  <rcc rId="1383" sId="4" quotePrefix="1">
    <nc r="AH225" t="inlineStr">
      <is>
        <t>-</t>
      </is>
    </nc>
  </rcc>
  <rcc rId="1384" sId="4" quotePrefix="1">
    <nc r="AG226" t="inlineStr">
      <is>
        <t>-</t>
      </is>
    </nc>
  </rcc>
  <rcc rId="1385" sId="4" quotePrefix="1">
    <nc r="AH226" t="inlineStr">
      <is>
        <t>-</t>
      </is>
    </nc>
  </rcc>
  <rcc rId="1386" sId="4" quotePrefix="1">
    <nc r="AG227" t="inlineStr">
      <is>
        <t>-</t>
      </is>
    </nc>
  </rcc>
  <rcc rId="1387" sId="4" quotePrefix="1">
    <nc r="AH227" t="inlineStr">
      <is>
        <t>-</t>
      </is>
    </nc>
  </rcc>
  <rcc rId="1388" sId="4" quotePrefix="1">
    <nc r="AG228" t="inlineStr">
      <is>
        <t>-</t>
      </is>
    </nc>
  </rcc>
  <rcc rId="1389" sId="4" quotePrefix="1">
    <nc r="AH228" t="inlineStr">
      <is>
        <t>-</t>
      </is>
    </nc>
  </rcc>
  <rcc rId="1390" sId="4" quotePrefix="1">
    <nc r="AG229" t="inlineStr">
      <is>
        <t>-</t>
      </is>
    </nc>
  </rcc>
  <rcc rId="1391" sId="4" quotePrefix="1">
    <nc r="AH229" t="inlineStr">
      <is>
        <t>-</t>
      </is>
    </nc>
  </rcc>
  <rcc rId="1392" sId="4" quotePrefix="1">
    <nc r="AG230" t="inlineStr">
      <is>
        <t>-</t>
      </is>
    </nc>
  </rcc>
  <rcc rId="1393" sId="4" quotePrefix="1">
    <nc r="AH230" t="inlineStr">
      <is>
        <t>-</t>
      </is>
    </nc>
  </rcc>
  <rcc rId="1394" sId="4" quotePrefix="1">
    <nc r="AG231" t="inlineStr">
      <is>
        <t>-</t>
      </is>
    </nc>
  </rcc>
  <rcc rId="1395" sId="4" quotePrefix="1">
    <nc r="AH231" t="inlineStr">
      <is>
        <t>-</t>
      </is>
    </nc>
  </rcc>
  <rcc rId="1396" sId="4" quotePrefix="1">
    <nc r="AG232" t="inlineStr">
      <is>
        <t>-</t>
      </is>
    </nc>
  </rcc>
  <rcc rId="1397" sId="4" quotePrefix="1">
    <nc r="AH232" t="inlineStr">
      <is>
        <t>-</t>
      </is>
    </nc>
  </rcc>
  <rcc rId="1398" sId="4" quotePrefix="1">
    <nc r="AG233" t="inlineStr">
      <is>
        <t>-</t>
      </is>
    </nc>
  </rcc>
  <rcc rId="1399" sId="4" quotePrefix="1">
    <nc r="AH233" t="inlineStr">
      <is>
        <t>-</t>
      </is>
    </nc>
  </rcc>
  <rcc rId="1400" sId="4" quotePrefix="1">
    <nc r="AG234" t="inlineStr">
      <is>
        <t>-</t>
      </is>
    </nc>
  </rcc>
  <rcc rId="1401" sId="4" quotePrefix="1">
    <nc r="AH234" t="inlineStr">
      <is>
        <t>-</t>
      </is>
    </nc>
  </rcc>
  <rcc rId="1402" sId="4" quotePrefix="1">
    <nc r="AG235" t="inlineStr">
      <is>
        <t>-</t>
      </is>
    </nc>
  </rcc>
  <rcc rId="1403" sId="4" quotePrefix="1">
    <nc r="AH235" t="inlineStr">
      <is>
        <t>-</t>
      </is>
    </nc>
  </rcc>
  <rcc rId="1404" sId="4" quotePrefix="1">
    <nc r="AG236" t="inlineStr">
      <is>
        <t>-</t>
      </is>
    </nc>
  </rcc>
  <rcc rId="1405" sId="4" quotePrefix="1">
    <nc r="AH236" t="inlineStr">
      <is>
        <t>-</t>
      </is>
    </nc>
  </rcc>
  <rcc rId="1406" sId="4" quotePrefix="1">
    <nc r="AG237" t="inlineStr">
      <is>
        <t>-</t>
      </is>
    </nc>
  </rcc>
  <rcc rId="1407" sId="4" quotePrefix="1">
    <nc r="AH237" t="inlineStr">
      <is>
        <t>-</t>
      </is>
    </nc>
  </rcc>
</revisions>
</file>

<file path=xl/revisions/revisionLog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COEM_Package_20200401!$B$2:$AH$237</formula>
    <oldFormula>COEM_Package_20200401!$B$2:$AH$237</oldFormula>
  </rdn>
  <rcv guid="{7E0EA425-A420-4443-B9E0-CDF0AA9E5D09}" action="add"/>
</revisions>
</file>

<file path=xl/revisions/revisionLog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411" sId="4">
    <nc r="T137">
      <f>S137</f>
    </nc>
  </rcc>
  <rcc rId="1412" sId="4">
    <nc r="V137">
      <v>1</v>
    </nc>
  </rcc>
  <rcc rId="1413" sId="4">
    <nc r="W137" t="inlineStr">
      <is>
        <t>Ready for review</t>
      </is>
    </nc>
  </rcc>
  <rcc rId="1414" sId="4" numFmtId="19">
    <nc r="Z137">
      <v>43934</v>
    </nc>
  </rcc>
  <rcc rId="1415" sId="4" numFmtId="19">
    <nc r="AA137">
      <v>43934</v>
    </nc>
  </rcc>
  <rcc rId="1416" sId="4">
    <nc r="AB137" t="inlineStr">
      <is>
        <t>OK</t>
      </is>
    </nc>
  </rcc>
  <rcc rId="1417" sId="4" odxf="1" dxf="1">
    <nc r="AC13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18" sId="4" odxf="1" dxf="1">
    <nc r="AD13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19" sId="4" odxf="1" dxf="1">
    <nc r="AE13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20" sId="4" odxf="1" dxf="1">
    <nc r="AF13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COEM_Package_20200401!$B$2:$AH$237</formula>
    <oldFormula>COEM_Package_20200401!$B$2:$AH$237</oldFormula>
  </rdn>
  <rcv guid="{72A6EB0A-84D5-4B8A-AC51-54CCD061630B}" action="add"/>
</revisions>
</file>

<file path=xl/revisions/revisionLog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424" sId="4">
    <nc r="T136">
      <f>S136</f>
    </nc>
  </rcc>
  <rcc rId="1425" sId="4">
    <nc r="V136">
      <v>1</v>
    </nc>
  </rcc>
  <rcc rId="1426" sId="4">
    <nc r="W136" t="inlineStr">
      <is>
        <t>Ready for review</t>
      </is>
    </nc>
  </rcc>
  <rcc rId="1427" sId="4" numFmtId="19">
    <nc r="Z136">
      <v>43934</v>
    </nc>
  </rcc>
  <rcc rId="1428" sId="4" numFmtId="19">
    <nc r="AA136">
      <v>43934</v>
    </nc>
  </rcc>
  <rcc rId="1429" sId="4">
    <nc r="AB136" t="inlineStr">
      <is>
        <t>OK</t>
      </is>
    </nc>
  </rcc>
  <rcc rId="1430" sId="4" odxf="1" dxf="1">
    <nc r="AC13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31" sId="4" odxf="1" dxf="1">
    <nc r="AD13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32" sId="4" odxf="1" dxf="1">
    <nc r="AE13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33" sId="4" odxf="1" dxf="1">
    <nc r="AF13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COEM_Package_20200401!$B$2:$AH$237</formula>
    <oldFormula>COEM_Package_20200401!$B$2:$AH$237</oldFormula>
  </rdn>
  <rcv guid="{72A6EB0A-84D5-4B8A-AC51-54CCD061630B}" action="add"/>
</revisions>
</file>

<file path=xl/revisions/revisionLog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37" sId="4">
    <oc r="W124" t="inlineStr">
      <is>
        <t>Ready for review</t>
      </is>
    </oc>
    <nc r="W124" t="inlineStr">
      <is>
        <t>Ready for PLC</t>
      </is>
    </nc>
  </rcc>
  <rcc rId="1438" sId="4">
    <oc r="W125" t="inlineStr">
      <is>
        <t>Ready for review</t>
      </is>
    </oc>
    <nc r="W125" t="inlineStr">
      <is>
        <t>Ready for PLC</t>
      </is>
    </nc>
  </rcc>
  <rcc rId="1439" sId="4">
    <oc r="W126" t="inlineStr">
      <is>
        <t>Ready for review</t>
      </is>
    </oc>
    <nc r="W126" t="inlineStr">
      <is>
        <t>Ready for PLC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COEM_Package_20200401!$B$2:$AH$237</formula>
    <oldFormula>COEM_Package_20200401!$B$2:$AH$237</oldFormula>
  </rdn>
  <rcv guid="{7E0EA425-A420-4443-B9E0-CDF0AA9E5D09}" action="add"/>
</revisions>
</file>

<file path=xl/revisions/revisionLog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443" sId="4">
    <nc r="T135">
      <f>S135</f>
    </nc>
  </rcc>
  <rcc rId="1444" sId="4">
    <nc r="V135">
      <v>1</v>
    </nc>
  </rcc>
  <rcc rId="1445" sId="4">
    <nc r="W135" t="inlineStr">
      <is>
        <t>Ready for review</t>
      </is>
    </nc>
  </rcc>
  <rcc rId="1446" sId="4" numFmtId="19">
    <nc r="Z135">
      <v>43934</v>
    </nc>
  </rcc>
  <rcc rId="1447" sId="4" numFmtId="19">
    <nc r="AA135">
      <v>43934</v>
    </nc>
  </rcc>
  <rcc rId="1448" sId="4">
    <nc r="AB135" t="inlineStr">
      <is>
        <t>OK</t>
      </is>
    </nc>
  </rcc>
  <rcc rId="1449" sId="4" odxf="1" dxf="1">
    <nc r="AC13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50" sId="4" odxf="1" dxf="1">
    <nc r="AD13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51" sId="4" odxf="1" dxf="1">
    <nc r="AE13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52" sId="4" odxf="1" dxf="1">
    <nc r="AF135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COEM_Package_20200401!$B$2:$AH$237</formula>
    <oldFormula>COEM_Package_20200401!$B$2:$AH$237</oldFormula>
  </rdn>
  <rcv guid="{72A6EB0A-84D5-4B8A-AC51-54CCD061630B}" action="add"/>
</revisions>
</file>

<file path=xl/revisions/revisionLog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456" sId="4">
    <nc r="T134">
      <f>S134</f>
    </nc>
  </rcc>
  <rcc rId="1457" sId="4">
    <nc r="V134">
      <v>1</v>
    </nc>
  </rcc>
  <rcc rId="1458" sId="4">
    <nc r="W134" t="inlineStr">
      <is>
        <t>Ready for review</t>
      </is>
    </nc>
  </rcc>
  <rcc rId="1459" sId="4" numFmtId="19">
    <nc r="Z134">
      <v>43934</v>
    </nc>
  </rcc>
  <rcc rId="1460" sId="4" numFmtId="19">
    <nc r="AA134">
      <v>43934</v>
    </nc>
  </rcc>
  <rcc rId="1461" sId="4">
    <nc r="AB134" t="inlineStr">
      <is>
        <t>OK</t>
      </is>
    </nc>
  </rcc>
  <rcc rId="1462" sId="4" odxf="1" dxf="1">
    <nc r="AC1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3" sId="4" odxf="1" dxf="1">
    <nc r="AD1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4" sId="4" odxf="1" dxf="1">
    <nc r="AE1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65" sId="4" odxf="1" dxf="1">
    <nc r="AF13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COEM_Package_20200401!$B$2:$AH$237</formula>
    <oldFormula>COEM_Package_20200401!$B$2:$AH$237</oldFormula>
  </rdn>
  <rcv guid="{72A6EB0A-84D5-4B8A-AC51-54CCD061630B}" action="add"/>
</revisions>
</file>

<file path=xl/revisions/revisionLog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469" sId="4">
    <nc r="T133">
      <f>S133</f>
    </nc>
  </rcc>
  <rcc rId="1470" sId="4">
    <nc r="V133">
      <v>1</v>
    </nc>
  </rcc>
  <rcc rId="1471" sId="4">
    <nc r="W133" t="inlineStr">
      <is>
        <t>Ready for review</t>
      </is>
    </nc>
  </rcc>
  <rcc rId="1472" sId="4" numFmtId="19">
    <nc r="Z133">
      <v>43934</v>
    </nc>
  </rcc>
  <rcc rId="1473" sId="4" numFmtId="19">
    <nc r="AA133">
      <v>43934</v>
    </nc>
  </rcc>
  <rcc rId="1474" sId="4">
    <nc r="AB133" t="inlineStr">
      <is>
        <t>OK</t>
      </is>
    </nc>
  </rcc>
  <rcc rId="1475" sId="4" odxf="1" dxf="1">
    <nc r="AC13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76" sId="4" odxf="1" dxf="1">
    <nc r="AD13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77" sId="4" odxf="1" dxf="1">
    <nc r="AE13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78" sId="4" odxf="1" dxf="1">
    <nc r="AF133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COEM_Package_20200401!$B$2:$AH$237</formula>
    <oldFormula>COEM_Package_20200401!$B$2:$AH$237</oldFormula>
  </rdn>
  <rcv guid="{72A6EB0A-84D5-4B8A-AC51-54CCD061630B}" action="add"/>
</revisions>
</file>

<file path=xl/revisions/revisionLog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1482" sId="4">
    <nc r="T132">
      <f>S132</f>
    </nc>
  </rcc>
  <rcc rId="1483" sId="4">
    <nc r="V132">
      <v>1</v>
    </nc>
  </rcc>
  <rcc rId="1484" sId="4">
    <nc r="W132" t="inlineStr">
      <is>
        <t>Ready for review</t>
      </is>
    </nc>
  </rcc>
  <rcc rId="1485" sId="4" numFmtId="19">
    <nc r="Z132">
      <v>43934</v>
    </nc>
  </rcc>
  <rcc rId="1486" sId="4" numFmtId="19">
    <nc r="AA132">
      <v>43934</v>
    </nc>
  </rcc>
  <rcc rId="1487" sId="4">
    <nc r="AB132" t="inlineStr">
      <is>
        <t>OK</t>
      </is>
    </nc>
  </rcc>
  <rcc rId="1488" sId="4" odxf="1" dxf="1">
    <nc r="AC1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89" sId="4" odxf="1" dxf="1">
    <nc r="AD1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0" sId="4" odxf="1" dxf="1">
    <nc r="AE1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491" sId="4" odxf="1" dxf="1">
    <nc r="AF132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COEM_Package_20200401!$B$2:$AH$237</formula>
    <oldFormula>COEM_Package_20200401!$B$2:$AH$237</oldFormula>
  </rdn>
  <rcv guid="{72A6EB0A-84D5-4B8A-AC51-54CCD061630B}" action="add"/>
</revisions>
</file>

<file path=xl/revisions/revisionLog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4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5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7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8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9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</revisions>
</file>

<file path=xl/revisions/revisionLog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495" sId="4">
    <nc r="T118">
      <f>S118</f>
    </nc>
  </rcc>
  <rcc rId="1496" sId="4">
    <nc r="V118">
      <v>5</v>
    </nc>
  </rcc>
  <rcc rId="1497" sId="4">
    <nc r="W118" t="inlineStr">
      <is>
        <t>Ready for review</t>
      </is>
    </nc>
  </rcc>
  <rcc rId="1498" sId="4" numFmtId="19">
    <nc r="Z118">
      <v>43934</v>
    </nc>
  </rcc>
  <rcc rId="1499" sId="4" numFmtId="19">
    <nc r="AA118">
      <v>43934</v>
    </nc>
  </rcc>
  <rcc rId="1500" sId="4" odxf="1" dxf="1">
    <nc r="AB118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1501" sId="4" odxf="1" dxf="1">
    <nc r="AC1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02" sId="4" odxf="1" dxf="1">
    <nc r="AD1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03" sId="4" odxf="1" dxf="1">
    <nc r="AE11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04" sId="4" odxf="1" dxf="1">
    <nc r="AF11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COEM_Package_20200401!$O$2:$O$266</formula>
    <oldFormula>COEM_Package_20200401!$O$2:$O$266</oldFormula>
  </rdn>
  <rcv guid="{4E06BDBF-2CED-473B-850B-2A6C7311FF41}" action="add"/>
</revisions>
</file>

<file path=xl/revisions/revisionLog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COEM_Package_20200401!$O$2:$O$266</formula>
    <oldFormula>COEM_Package_20200401!$O$2:$O$266</oldFormula>
  </rdn>
  <rcv guid="{4E06BDBF-2CED-473B-850B-2A6C7311FF41}" action="add"/>
</revisions>
</file>

<file path=xl/revisions/revisionLog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</revisions>
</file>

<file path=xl/revisions/revisionLog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511" sId="4">
    <nc r="T131">
      <f>S131</f>
    </nc>
  </rcc>
  <rcc rId="1512" sId="4">
    <nc r="V131">
      <v>1</v>
    </nc>
  </rcc>
  <rcc rId="1513" sId="4">
    <nc r="W131" t="inlineStr">
      <is>
        <t>Ready for review</t>
      </is>
    </nc>
  </rcc>
  <rcc rId="1514" sId="4" numFmtId="19">
    <nc r="Z131">
      <v>43934</v>
    </nc>
  </rcc>
  <rcc rId="1515" sId="4" numFmtId="19">
    <nc r="AA131">
      <v>43934</v>
    </nc>
  </rcc>
  <rcc rId="1516" sId="4">
    <nc r="AB131" t="inlineStr">
      <is>
        <t>OK</t>
      </is>
    </nc>
  </rcc>
  <rcc rId="1517" sId="4" odxf="1" dxf="1">
    <nc r="AC13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18" sId="4" odxf="1" dxf="1">
    <nc r="AD13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19" sId="4" odxf="1" dxf="1">
    <nc r="AE13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1520" sId="4" odxf="1" dxf="1">
    <nc r="AF131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COEM_Package_20200401!$B$2:$AH$237</formula>
    <oldFormula>COEM_Package_20200401!$B$2:$AH$237</oldFormula>
  </rdn>
  <rcv guid="{72A6EB0A-84D5-4B8A-AC51-54CCD061630B}" action="add"/>
</revisions>
</file>

<file path=xl/revisions/revisionLog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1524" sId="4" ref="A3:XFD3" action="insertRow"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7E0EA425_A420_4443_B9E0_CDF0AA9E5D09_.wvu.Cols" sId="4"/>
    <undo index="0" exp="area" ref3D="1" dr="$P$1:$Q$1048576" dn="Z_D1F7047B_CC2E_48BC_8022_C8013AE2B1E1_.wvu.Cols" sId="4"/>
  </rrc>
  <rrc rId="1525" sId="4" ref="A3:XFD3" action="insertRow"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7E0EA425_A420_4443_B9E0_CDF0AA9E5D09_.wvu.Cols" sId="4"/>
    <undo index="0" exp="area" ref3D="1" dr="$P$1:$Q$1048576" dn="Z_D1F7047B_CC2E_48BC_8022_C8013AE2B1E1_.wvu.Cols" sId="4"/>
  </rrc>
  <rcc rId="1526" sId="4" odxf="1" dxf="1">
    <nc r="B3">
      <v>1</v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527" sId="4" odxf="1" dxf="1">
    <nc r="B4">
      <v>2</v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528" sId="4">
    <oc r="B7">
      <f>B6+1</f>
    </oc>
    <nc r="B7">
      <f>B6+1</f>
    </nc>
  </rcc>
  <rcc rId="1529" sId="4">
    <oc r="B8">
      <f>B7+1</f>
    </oc>
    <nc r="B8">
      <f>B7+1</f>
    </nc>
  </rcc>
  <rcc rId="1530" sId="4">
    <oc r="B9">
      <f>B8+1</f>
    </oc>
    <nc r="B9">
      <f>B8+1</f>
    </nc>
  </rcc>
  <rcc rId="1531" sId="4">
    <oc r="B10">
      <f>B9+1</f>
    </oc>
    <nc r="B10">
      <f>B9+1</f>
    </nc>
  </rcc>
  <rcc rId="1532" sId="4">
    <oc r="B11">
      <f>B10+1</f>
    </oc>
    <nc r="B11">
      <f>B10+1</f>
    </nc>
  </rcc>
  <rcc rId="1533" sId="4">
    <oc r="B12">
      <f>B11+1</f>
    </oc>
    <nc r="B12">
      <f>B11+1</f>
    </nc>
  </rcc>
  <rcc rId="1534" sId="4">
    <oc r="B13">
      <f>B12+1</f>
    </oc>
    <nc r="B13">
      <f>B12+1</f>
    </nc>
  </rcc>
  <rcc rId="1535" sId="4">
    <oc r="B14">
      <f>B13+1</f>
    </oc>
    <nc r="B14">
      <f>B13+1</f>
    </nc>
  </rcc>
  <rcc rId="1536" sId="4">
    <oc r="B15">
      <f>B14+1</f>
    </oc>
    <nc r="B15">
      <f>B14+1</f>
    </nc>
  </rcc>
  <rcc rId="1537" sId="4">
    <oc r="B16">
      <f>B15+1</f>
    </oc>
    <nc r="B16">
      <f>B15+1</f>
    </nc>
  </rcc>
  <rcc rId="1538" sId="4">
    <oc r="B17">
      <f>B16+1</f>
    </oc>
    <nc r="B17">
      <f>B16+1</f>
    </nc>
  </rcc>
  <rcc rId="1539" sId="4">
    <oc r="B18">
      <f>B17+1</f>
    </oc>
    <nc r="B18">
      <f>B17+1</f>
    </nc>
  </rcc>
  <rcc rId="1540" sId="4">
    <oc r="B19">
      <f>B18+1</f>
    </oc>
    <nc r="B19">
      <f>B18+1</f>
    </nc>
  </rcc>
  <rcc rId="1541" sId="4">
    <oc r="B20">
      <f>B19+1</f>
    </oc>
    <nc r="B20">
      <f>B19+1</f>
    </nc>
  </rcc>
  <rcc rId="1542" sId="4">
    <oc r="B21">
      <f>B20+1</f>
    </oc>
    <nc r="B21">
      <f>B20+1</f>
    </nc>
  </rcc>
  <rcc rId="1543" sId="4">
    <oc r="B22">
      <f>B21+1</f>
    </oc>
    <nc r="B22">
      <f>B21+1</f>
    </nc>
  </rcc>
  <rcc rId="1544" sId="4">
    <oc r="B23">
      <f>B22+1</f>
    </oc>
    <nc r="B23">
      <f>B22+1</f>
    </nc>
  </rcc>
  <rcc rId="1545" sId="4">
    <oc r="B24">
      <f>B23+1</f>
    </oc>
    <nc r="B24">
      <f>B23+1</f>
    </nc>
  </rcc>
  <rcc rId="1546" sId="4">
    <oc r="B25">
      <f>B24+1</f>
    </oc>
    <nc r="B25">
      <f>B24+1</f>
    </nc>
  </rcc>
  <rcc rId="1547" sId="4">
    <oc r="B26">
      <f>B25+1</f>
    </oc>
    <nc r="B26">
      <f>B25+1</f>
    </nc>
  </rcc>
  <rcc rId="1548" sId="4">
    <oc r="B27">
      <f>B26+1</f>
    </oc>
    <nc r="B27">
      <f>B26+1</f>
    </nc>
  </rcc>
  <rcc rId="1549" sId="4">
    <oc r="B28">
      <f>B27+1</f>
    </oc>
    <nc r="B28">
      <f>B27+1</f>
    </nc>
  </rcc>
  <rcc rId="1550" sId="4">
    <oc r="B29">
      <f>B28+1</f>
    </oc>
    <nc r="B29">
      <f>B28+1</f>
    </nc>
  </rcc>
  <rcc rId="1551" sId="4">
    <oc r="B30">
      <f>B29+1</f>
    </oc>
    <nc r="B30">
      <f>B29+1</f>
    </nc>
  </rcc>
  <rcc rId="1552" sId="4">
    <oc r="B31">
      <f>B30+1</f>
    </oc>
    <nc r="B31">
      <f>B30+1</f>
    </nc>
  </rcc>
  <rcc rId="1553" sId="4">
    <oc r="B32">
      <f>B31+1</f>
    </oc>
    <nc r="B32">
      <f>B31+1</f>
    </nc>
  </rcc>
  <rcc rId="1554" sId="4">
    <oc r="B33">
      <f>B32+1</f>
    </oc>
    <nc r="B33">
      <f>B32+1</f>
    </nc>
  </rcc>
  <rcc rId="1555" sId="4">
    <oc r="B34">
      <f>B33+1</f>
    </oc>
    <nc r="B34">
      <f>B33+1</f>
    </nc>
  </rcc>
  <rcc rId="1556" sId="4">
    <oc r="B35">
      <f>B34+1</f>
    </oc>
    <nc r="B35">
      <f>B34+1</f>
    </nc>
  </rcc>
  <rcc rId="1557" sId="4">
    <oc r="B36">
      <f>B35+1</f>
    </oc>
    <nc r="B36">
      <f>B35+1</f>
    </nc>
  </rcc>
  <rcc rId="1558" sId="4">
    <oc r="B37">
      <f>B36+1</f>
    </oc>
    <nc r="B37">
      <f>B36+1</f>
    </nc>
  </rcc>
  <rcc rId="1559" sId="4">
    <oc r="B38">
      <f>B37+1</f>
    </oc>
    <nc r="B38">
      <f>B37+1</f>
    </nc>
  </rcc>
  <rcc rId="1560" sId="4">
    <oc r="B39">
      <f>B38+1</f>
    </oc>
    <nc r="B39">
      <f>B38+1</f>
    </nc>
  </rcc>
  <rcc rId="1561" sId="4">
    <oc r="B40">
      <f>B39+1</f>
    </oc>
    <nc r="B40">
      <f>B39+1</f>
    </nc>
  </rcc>
  <rcc rId="1562" sId="4">
    <oc r="B41">
      <f>B40+1</f>
    </oc>
    <nc r="B41">
      <f>B40+1</f>
    </nc>
  </rcc>
  <rcc rId="1563" sId="4">
    <oc r="B42">
      <f>B41+1</f>
    </oc>
    <nc r="B42">
      <f>B41+1</f>
    </nc>
  </rcc>
  <rcc rId="1564" sId="4">
    <oc r="B43">
      <f>B42+1</f>
    </oc>
    <nc r="B43">
      <f>B42+1</f>
    </nc>
  </rcc>
  <rcc rId="1565" sId="4">
    <oc r="B44">
      <f>B43+1</f>
    </oc>
    <nc r="B44">
      <f>B43+1</f>
    </nc>
  </rcc>
  <rcc rId="1566" sId="4">
    <oc r="B45">
      <f>B44+1</f>
    </oc>
    <nc r="B45">
      <f>B44+1</f>
    </nc>
  </rcc>
  <rcc rId="1567" sId="4">
    <oc r="B46">
      <f>B45+1</f>
    </oc>
    <nc r="B46">
      <f>B45+1</f>
    </nc>
  </rcc>
  <rcc rId="1568" sId="4">
    <oc r="B47">
      <f>B46+1</f>
    </oc>
    <nc r="B47">
      <f>B46+1</f>
    </nc>
  </rcc>
  <rcc rId="1569" sId="4">
    <oc r="B48">
      <f>B47+1</f>
    </oc>
    <nc r="B48">
      <f>B47+1</f>
    </nc>
  </rcc>
  <rcc rId="1570" sId="4">
    <oc r="B49">
      <f>B48+1</f>
    </oc>
    <nc r="B49">
      <f>B48+1</f>
    </nc>
  </rcc>
  <rcc rId="1571" sId="4">
    <oc r="B50">
      <f>B49+1</f>
    </oc>
    <nc r="B50">
      <f>B49+1</f>
    </nc>
  </rcc>
  <rcc rId="1572" sId="4">
    <oc r="B51">
      <f>B50+1</f>
    </oc>
    <nc r="B51">
      <f>B50+1</f>
    </nc>
  </rcc>
  <rcc rId="1573" sId="4">
    <oc r="B52">
      <f>B51+1</f>
    </oc>
    <nc r="B52">
      <f>B51+1</f>
    </nc>
  </rcc>
  <rcc rId="1574" sId="4">
    <oc r="B53">
      <f>B52+1</f>
    </oc>
    <nc r="B53">
      <f>B52+1</f>
    </nc>
  </rcc>
  <rcc rId="1575" sId="4">
    <oc r="B54">
      <f>B53+1</f>
    </oc>
    <nc r="B54">
      <f>B53+1</f>
    </nc>
  </rcc>
  <rcc rId="1576" sId="4">
    <oc r="B55">
      <f>B54+1</f>
    </oc>
    <nc r="B55">
      <f>B54+1</f>
    </nc>
  </rcc>
  <rcc rId="1577" sId="4">
    <oc r="B56">
      <f>B55+1</f>
    </oc>
    <nc r="B56">
      <f>B55+1</f>
    </nc>
  </rcc>
  <rcc rId="1578" sId="4">
    <oc r="B57">
      <f>B56+1</f>
    </oc>
    <nc r="B57">
      <f>B56+1</f>
    </nc>
  </rcc>
  <rcc rId="1579" sId="4">
    <oc r="B58">
      <f>B57+1</f>
    </oc>
    <nc r="B58">
      <f>B57+1</f>
    </nc>
  </rcc>
  <rcc rId="1580" sId="4">
    <oc r="B59">
      <f>B58+1</f>
    </oc>
    <nc r="B59">
      <f>B58+1</f>
    </nc>
  </rcc>
  <rcc rId="1581" sId="4">
    <oc r="B60">
      <f>B59+1</f>
    </oc>
    <nc r="B60">
      <f>B59+1</f>
    </nc>
  </rcc>
  <rcc rId="1582" sId="4">
    <oc r="B61">
      <f>B60+1</f>
    </oc>
    <nc r="B61">
      <f>B60+1</f>
    </nc>
  </rcc>
  <rcc rId="1583" sId="4">
    <oc r="B62">
      <f>B61+1</f>
    </oc>
    <nc r="B62">
      <f>B61+1</f>
    </nc>
  </rcc>
  <rcc rId="1584" sId="4">
    <oc r="B63">
      <f>B62+1</f>
    </oc>
    <nc r="B63">
      <f>B62+1</f>
    </nc>
  </rcc>
  <rcc rId="1585" sId="4">
    <oc r="B64">
      <f>B63+1</f>
    </oc>
    <nc r="B64">
      <f>B63+1</f>
    </nc>
  </rcc>
  <rcc rId="1586" sId="4">
    <oc r="B65">
      <f>B64+1</f>
    </oc>
    <nc r="B65">
      <f>B64+1</f>
    </nc>
  </rcc>
  <rcc rId="1587" sId="4">
    <oc r="B66">
      <f>B65+1</f>
    </oc>
    <nc r="B66">
      <f>B65+1</f>
    </nc>
  </rcc>
  <rcc rId="1588" sId="4">
    <oc r="B67">
      <f>B66+1</f>
    </oc>
    <nc r="B67">
      <f>B66+1</f>
    </nc>
  </rcc>
  <rcc rId="1589" sId="4">
    <oc r="B68">
      <f>B67+1</f>
    </oc>
    <nc r="B68">
      <f>B67+1</f>
    </nc>
  </rcc>
  <rcc rId="1590" sId="4">
    <oc r="B69">
      <f>B68+1</f>
    </oc>
    <nc r="B69">
      <f>B68+1</f>
    </nc>
  </rcc>
  <rcc rId="1591" sId="4">
    <oc r="B70">
      <f>B69+1</f>
    </oc>
    <nc r="B70">
      <f>B69+1</f>
    </nc>
  </rcc>
  <rcc rId="1592" sId="4">
    <oc r="B71">
      <f>B70+1</f>
    </oc>
    <nc r="B71">
      <f>B70+1</f>
    </nc>
  </rcc>
  <rcc rId="1593" sId="4">
    <oc r="B72">
      <f>B71+1</f>
    </oc>
    <nc r="B72">
      <f>B71+1</f>
    </nc>
  </rcc>
  <rcc rId="1594" sId="4">
    <oc r="B73">
      <f>B72+1</f>
    </oc>
    <nc r="B73">
      <f>B72+1</f>
    </nc>
  </rcc>
  <rcc rId="1595" sId="4">
    <oc r="B74">
      <f>B73+1</f>
    </oc>
    <nc r="B74">
      <f>B73+1</f>
    </nc>
  </rcc>
  <rcc rId="1596" sId="4">
    <oc r="B75">
      <f>B74+1</f>
    </oc>
    <nc r="B75">
      <f>B74+1</f>
    </nc>
  </rcc>
  <rcc rId="1597" sId="4">
    <oc r="B76">
      <f>B75+1</f>
    </oc>
    <nc r="B76">
      <f>B75+1</f>
    </nc>
  </rcc>
  <rcc rId="1598" sId="4">
    <oc r="B77">
      <f>B76+1</f>
    </oc>
    <nc r="B77">
      <f>B76+1</f>
    </nc>
  </rcc>
  <rcc rId="1599" sId="4">
    <oc r="B78">
      <f>B77+1</f>
    </oc>
    <nc r="B78">
      <f>B77+1</f>
    </nc>
  </rcc>
  <rcc rId="1600" sId="4">
    <oc r="B79">
      <f>B78+1</f>
    </oc>
    <nc r="B79">
      <f>B78+1</f>
    </nc>
  </rcc>
  <rcc rId="1601" sId="4">
    <oc r="B80">
      <f>B79+1</f>
    </oc>
    <nc r="B80">
      <f>B79+1</f>
    </nc>
  </rcc>
  <rcc rId="1602" sId="4">
    <oc r="B81">
      <f>B80+1</f>
    </oc>
    <nc r="B81">
      <f>B80+1</f>
    </nc>
  </rcc>
  <rcc rId="1603" sId="4">
    <oc r="B82">
      <f>B81+1</f>
    </oc>
    <nc r="B82">
      <f>B81+1</f>
    </nc>
  </rcc>
  <rcc rId="1604" sId="4">
    <oc r="B83">
      <f>B82+1</f>
    </oc>
    <nc r="B83">
      <f>B82+1</f>
    </nc>
  </rcc>
  <rcc rId="1605" sId="4">
    <oc r="B84">
      <f>B83+1</f>
    </oc>
    <nc r="B84">
      <f>B83+1</f>
    </nc>
  </rcc>
  <rcc rId="1606" sId="4">
    <oc r="B85">
      <f>B84+1</f>
    </oc>
    <nc r="B85">
      <f>B84+1</f>
    </nc>
  </rcc>
  <rcc rId="1607" sId="4">
    <oc r="B86">
      <f>B85+1</f>
    </oc>
    <nc r="B86">
      <f>B85+1</f>
    </nc>
  </rcc>
  <rcc rId="1608" sId="4">
    <oc r="B87">
      <f>B86+1</f>
    </oc>
    <nc r="B87">
      <f>B86+1</f>
    </nc>
  </rcc>
  <rcc rId="1609" sId="4">
    <oc r="B88">
      <f>B87+1</f>
    </oc>
    <nc r="B88">
      <f>B87+1</f>
    </nc>
  </rcc>
  <rcc rId="1610" sId="4">
    <oc r="B89">
      <f>B88+1</f>
    </oc>
    <nc r="B89">
      <f>B88+1</f>
    </nc>
  </rcc>
  <rcc rId="1611" sId="4">
    <oc r="B90">
      <f>B89+1</f>
    </oc>
    <nc r="B90">
      <f>B89+1</f>
    </nc>
  </rcc>
  <rcc rId="1612" sId="4">
    <oc r="B91">
      <f>B90+1</f>
    </oc>
    <nc r="B91">
      <f>B90+1</f>
    </nc>
  </rcc>
  <rcc rId="1613" sId="4">
    <oc r="B92">
      <f>B91+1</f>
    </oc>
    <nc r="B92">
      <f>B91+1</f>
    </nc>
  </rcc>
  <rcc rId="1614" sId="4">
    <oc r="B93">
      <f>B92+1</f>
    </oc>
    <nc r="B93">
      <f>B92+1</f>
    </nc>
  </rcc>
  <rcc rId="1615" sId="4">
    <oc r="B94">
      <f>B93+1</f>
    </oc>
    <nc r="B94">
      <f>B93+1</f>
    </nc>
  </rcc>
  <rcc rId="1616" sId="4">
    <oc r="B95">
      <f>B94+1</f>
    </oc>
    <nc r="B95">
      <f>B94+1</f>
    </nc>
  </rcc>
  <rcc rId="1617" sId="4">
    <oc r="B96">
      <f>B95+1</f>
    </oc>
    <nc r="B96">
      <f>B95+1</f>
    </nc>
  </rcc>
  <rcc rId="1618" sId="4">
    <oc r="B97">
      <f>B96+1</f>
    </oc>
    <nc r="B97">
      <f>B96+1</f>
    </nc>
  </rcc>
  <rcc rId="1619" sId="4">
    <oc r="B98">
      <f>B97+1</f>
    </oc>
    <nc r="B98">
      <f>B97+1</f>
    </nc>
  </rcc>
  <rcc rId="1620" sId="4">
    <oc r="B99">
      <f>B98+1</f>
    </oc>
    <nc r="B99">
      <f>B98+1</f>
    </nc>
  </rcc>
  <rcc rId="1621" sId="4">
    <oc r="B100">
      <f>B99+1</f>
    </oc>
    <nc r="B100">
      <f>B99+1</f>
    </nc>
  </rcc>
  <rcc rId="1622" sId="4">
    <oc r="B101">
      <f>B100+1</f>
    </oc>
    <nc r="B101">
      <f>B100+1</f>
    </nc>
  </rcc>
  <rcc rId="1623" sId="4">
    <oc r="B102">
      <f>B101+1</f>
    </oc>
    <nc r="B102">
      <f>B101+1</f>
    </nc>
  </rcc>
  <rcc rId="1624" sId="4">
    <oc r="B103">
      <f>B102+1</f>
    </oc>
    <nc r="B103">
      <f>B102+1</f>
    </nc>
  </rcc>
  <rcc rId="1625" sId="4">
    <oc r="B104">
      <f>B103+1</f>
    </oc>
    <nc r="B104">
      <f>B103+1</f>
    </nc>
  </rcc>
  <rcc rId="1626" sId="4">
    <oc r="B105">
      <f>B104+1</f>
    </oc>
    <nc r="B105">
      <f>B104+1</f>
    </nc>
  </rcc>
  <rcc rId="1627" sId="4">
    <oc r="B106">
      <f>B105+1</f>
    </oc>
    <nc r="B106">
      <f>B105+1</f>
    </nc>
  </rcc>
  <rcc rId="1628" sId="4">
    <oc r="B107">
      <f>B106+1</f>
    </oc>
    <nc r="B107">
      <f>B106+1</f>
    </nc>
  </rcc>
  <rcc rId="1629" sId="4">
    <oc r="B108">
      <f>B107+1</f>
    </oc>
    <nc r="B108">
      <f>B107+1</f>
    </nc>
  </rcc>
  <rcc rId="1630" sId="4">
    <oc r="B109">
      <f>B108+1</f>
    </oc>
    <nc r="B109">
      <f>B108+1</f>
    </nc>
  </rcc>
  <rcc rId="1631" sId="4">
    <oc r="B110">
      <f>B109+1</f>
    </oc>
    <nc r="B110">
      <f>B109+1</f>
    </nc>
  </rcc>
  <rcc rId="1632" sId="4">
    <oc r="B111">
      <f>B110+1</f>
    </oc>
    <nc r="B111">
      <f>B110+1</f>
    </nc>
  </rcc>
  <rcc rId="1633" sId="4">
    <oc r="B112">
      <f>B111+1</f>
    </oc>
    <nc r="B112">
      <f>B111+1</f>
    </nc>
  </rcc>
  <rcc rId="1634" sId="4">
    <oc r="B113">
      <f>B112+1</f>
    </oc>
    <nc r="B113">
      <f>B112+1</f>
    </nc>
  </rcc>
  <rcc rId="1635" sId="4">
    <oc r="B114">
      <f>B113+1</f>
    </oc>
    <nc r="B114">
      <f>B113+1</f>
    </nc>
  </rcc>
  <rcc rId="1636" sId="4">
    <oc r="B115">
      <f>B114+1</f>
    </oc>
    <nc r="B115">
      <f>B114+1</f>
    </nc>
  </rcc>
  <rcc rId="1637" sId="4">
    <oc r="B116">
      <f>B115+1</f>
    </oc>
    <nc r="B116">
      <f>B115+1</f>
    </nc>
  </rcc>
  <rcc rId="1638" sId="4">
    <oc r="B117">
      <f>B116+1</f>
    </oc>
    <nc r="B117">
      <f>B116+1</f>
    </nc>
  </rcc>
  <rcc rId="1639" sId="4">
    <oc r="B118">
      <f>B117+1</f>
    </oc>
    <nc r="B118">
      <f>B117+1</f>
    </nc>
  </rcc>
  <rcc rId="1640" sId="4">
    <oc r="B119">
      <f>B118+1</f>
    </oc>
    <nc r="B119">
      <f>B118+1</f>
    </nc>
  </rcc>
  <rcc rId="1641" sId="4">
    <oc r="B120">
      <f>B119+1</f>
    </oc>
    <nc r="B120">
      <f>B119+1</f>
    </nc>
  </rcc>
  <rcc rId="1642" sId="4">
    <oc r="B121">
      <f>B120+1</f>
    </oc>
    <nc r="B121">
      <f>B120+1</f>
    </nc>
  </rcc>
  <rcc rId="1643" sId="4">
    <oc r="B122">
      <f>B121+1</f>
    </oc>
    <nc r="B122">
      <f>B121+1</f>
    </nc>
  </rcc>
  <rcc rId="1644" sId="4">
    <oc r="B123">
      <f>B122+1</f>
    </oc>
    <nc r="B123">
      <f>B122+1</f>
    </nc>
  </rcc>
  <rcc rId="1645" sId="4">
    <oc r="B124">
      <f>B123+1</f>
    </oc>
    <nc r="B124">
      <f>B123+1</f>
    </nc>
  </rcc>
  <rcc rId="1646" sId="4">
    <oc r="B125">
      <f>B124+1</f>
    </oc>
    <nc r="B125">
      <f>B124+1</f>
    </nc>
  </rcc>
  <rcc rId="1647" sId="4">
    <oc r="B126">
      <f>B125+1</f>
    </oc>
    <nc r="B126">
      <f>B125+1</f>
    </nc>
  </rcc>
  <rcc rId="1648" sId="4">
    <oc r="B127">
      <f>B126+1</f>
    </oc>
    <nc r="B127">
      <f>B126+1</f>
    </nc>
  </rcc>
  <rcc rId="1649" sId="4">
    <oc r="B128">
      <f>B127+1</f>
    </oc>
    <nc r="B128">
      <f>B127+1</f>
    </nc>
  </rcc>
  <rcc rId="1650" sId="4">
    <oc r="B129">
      <f>B128+1</f>
    </oc>
    <nc r="B129">
      <f>B128+1</f>
    </nc>
  </rcc>
  <rcc rId="1651" sId="4">
    <oc r="B130">
      <f>B129+1</f>
    </oc>
    <nc r="B130">
      <f>B129+1</f>
    </nc>
  </rcc>
  <rcc rId="1652" sId="4">
    <oc r="B131">
      <f>B130+1</f>
    </oc>
    <nc r="B131">
      <f>B130+1</f>
    </nc>
  </rcc>
  <rcc rId="1653" sId="4">
    <oc r="B132">
      <f>B131+1</f>
    </oc>
    <nc r="B132">
      <f>B131+1</f>
    </nc>
  </rcc>
  <rcc rId="1654" sId="4">
    <oc r="B133">
      <f>B132+1</f>
    </oc>
    <nc r="B133">
      <f>B132+1</f>
    </nc>
  </rcc>
  <rcc rId="1655" sId="4">
    <oc r="B134">
      <f>B133+1</f>
    </oc>
    <nc r="B134">
      <f>B133+1</f>
    </nc>
  </rcc>
  <rcc rId="1656" sId="4">
    <oc r="B135">
      <f>B134+1</f>
    </oc>
    <nc r="B135">
      <f>B134+1</f>
    </nc>
  </rcc>
  <rcc rId="1657" sId="4">
    <oc r="B136">
      <f>B135+1</f>
    </oc>
    <nc r="B136">
      <f>B135+1</f>
    </nc>
  </rcc>
  <rcc rId="1658" sId="4">
    <oc r="B137">
      <f>B136+1</f>
    </oc>
    <nc r="B137">
      <f>B136+1</f>
    </nc>
  </rcc>
  <rcc rId="1659" sId="4">
    <oc r="B138">
      <f>B137+1</f>
    </oc>
    <nc r="B138">
      <f>B137+1</f>
    </nc>
  </rcc>
  <rcc rId="1660" sId="4">
    <oc r="B139">
      <f>B138+1</f>
    </oc>
    <nc r="B139">
      <f>B138+1</f>
    </nc>
  </rcc>
  <rcc rId="1661" sId="4">
    <oc r="B140">
      <f>B139+1</f>
    </oc>
    <nc r="B140">
      <f>B139+1</f>
    </nc>
  </rcc>
  <rcc rId="1662" sId="4">
    <oc r="B141">
      <f>B140+1</f>
    </oc>
    <nc r="B141">
      <f>B140+1</f>
    </nc>
  </rcc>
  <rcc rId="1663" sId="4">
    <oc r="B142">
      <f>B141+1</f>
    </oc>
    <nc r="B142">
      <f>B141+1</f>
    </nc>
  </rcc>
  <rcc rId="1664" sId="4">
    <oc r="B143">
      <f>B142+1</f>
    </oc>
    <nc r="B143">
      <f>B142+1</f>
    </nc>
  </rcc>
  <rcc rId="1665" sId="4">
    <oc r="B144">
      <f>B143+1</f>
    </oc>
    <nc r="B144">
      <f>B143+1</f>
    </nc>
  </rcc>
  <rcc rId="1666" sId="4">
    <oc r="B145">
      <f>B144+1</f>
    </oc>
    <nc r="B145">
      <f>B144+1</f>
    </nc>
  </rcc>
  <rcc rId="1667" sId="4">
    <oc r="B146">
      <f>B145+1</f>
    </oc>
    <nc r="B146">
      <f>B145+1</f>
    </nc>
  </rcc>
  <rcc rId="1668" sId="4">
    <oc r="B147">
      <f>B146+1</f>
    </oc>
    <nc r="B147">
      <f>B146+1</f>
    </nc>
  </rcc>
  <rcc rId="1669" sId="4">
    <oc r="B148">
      <f>B147+1</f>
    </oc>
    <nc r="B148">
      <f>B147+1</f>
    </nc>
  </rcc>
  <rcc rId="1670" sId="4">
    <oc r="B149">
      <f>B148+1</f>
    </oc>
    <nc r="B149">
      <f>B148+1</f>
    </nc>
  </rcc>
  <rcc rId="1671" sId="4">
    <oc r="B150">
      <f>B149+1</f>
    </oc>
    <nc r="B150">
      <f>B149+1</f>
    </nc>
  </rcc>
  <rcc rId="1672" sId="4">
    <oc r="B151">
      <f>B150+1</f>
    </oc>
    <nc r="B151">
      <f>B150+1</f>
    </nc>
  </rcc>
  <rcc rId="1673" sId="4">
    <oc r="B152">
      <f>B151+1</f>
    </oc>
    <nc r="B152">
      <f>B151+1</f>
    </nc>
  </rcc>
  <rcc rId="1674" sId="4">
    <oc r="B153">
      <f>B152+1</f>
    </oc>
    <nc r="B153">
      <f>B152+1</f>
    </nc>
  </rcc>
  <rcc rId="1675" sId="4">
    <oc r="B154">
      <f>B153+1</f>
    </oc>
    <nc r="B154">
      <f>B153+1</f>
    </nc>
  </rcc>
  <rcc rId="1676" sId="4">
    <oc r="B155">
      <f>B154+1</f>
    </oc>
    <nc r="B155">
      <f>B154+1</f>
    </nc>
  </rcc>
  <rcc rId="1677" sId="4">
    <oc r="B156">
      <f>B155+1</f>
    </oc>
    <nc r="B156">
      <f>B155+1</f>
    </nc>
  </rcc>
  <rcc rId="1678" sId="4">
    <oc r="B157">
      <f>B156+1</f>
    </oc>
    <nc r="B157">
      <f>B156+1</f>
    </nc>
  </rcc>
  <rcc rId="1679" sId="4">
    <oc r="B158">
      <f>B157+1</f>
    </oc>
    <nc r="B158">
      <f>B157+1</f>
    </nc>
  </rcc>
  <rcc rId="1680" sId="4">
    <oc r="B159">
      <f>B158+1</f>
    </oc>
    <nc r="B159">
      <f>B158+1</f>
    </nc>
  </rcc>
  <rcc rId="1681" sId="4">
    <oc r="B160">
      <f>B159+1</f>
    </oc>
    <nc r="B160">
      <f>B159+1</f>
    </nc>
  </rcc>
  <rcc rId="1682" sId="4">
    <oc r="B161">
      <f>B160+1</f>
    </oc>
    <nc r="B161">
      <f>B160+1</f>
    </nc>
  </rcc>
  <rcc rId="1683" sId="4">
    <oc r="B162">
      <f>B161+1</f>
    </oc>
    <nc r="B162">
      <f>B161+1</f>
    </nc>
  </rcc>
  <rcc rId="1684" sId="4">
    <oc r="B163">
      <f>B162+1</f>
    </oc>
    <nc r="B163">
      <f>B162+1</f>
    </nc>
  </rcc>
  <rcc rId="1685" sId="4">
    <oc r="B164">
      <f>B163+1</f>
    </oc>
    <nc r="B164">
      <f>B163+1</f>
    </nc>
  </rcc>
  <rcc rId="1686" sId="4">
    <oc r="B165">
      <f>B164+1</f>
    </oc>
    <nc r="B165">
      <f>B164+1</f>
    </nc>
  </rcc>
  <rcc rId="1687" sId="4">
    <oc r="B166">
      <f>B165+1</f>
    </oc>
    <nc r="B166">
      <f>B165+1</f>
    </nc>
  </rcc>
  <rcc rId="1688" sId="4">
    <oc r="B167">
      <f>B166+1</f>
    </oc>
    <nc r="B167">
      <f>B166+1</f>
    </nc>
  </rcc>
  <rcc rId="1689" sId="4">
    <oc r="B168">
      <f>B167+1</f>
    </oc>
    <nc r="B168">
      <f>B167+1</f>
    </nc>
  </rcc>
  <rcc rId="1690" sId="4">
    <oc r="B169">
      <f>B168+1</f>
    </oc>
    <nc r="B169">
      <f>B168+1</f>
    </nc>
  </rcc>
  <rcc rId="1691" sId="4">
    <oc r="B170">
      <f>B169+1</f>
    </oc>
    <nc r="B170">
      <f>B169+1</f>
    </nc>
  </rcc>
  <rcc rId="1692" sId="4">
    <oc r="B171">
      <f>B170+1</f>
    </oc>
    <nc r="B171">
      <f>B170+1</f>
    </nc>
  </rcc>
  <rcc rId="1693" sId="4">
    <oc r="B172">
      <f>B171+1</f>
    </oc>
    <nc r="B172">
      <f>B171+1</f>
    </nc>
  </rcc>
  <rcc rId="1694" sId="4">
    <oc r="B173">
      <f>B172+1</f>
    </oc>
    <nc r="B173">
      <f>B172+1</f>
    </nc>
  </rcc>
  <rcc rId="1695" sId="4">
    <oc r="B174">
      <f>B173+1</f>
    </oc>
    <nc r="B174">
      <f>B173+1</f>
    </nc>
  </rcc>
  <rcc rId="1696" sId="4">
    <oc r="B175">
      <f>B174+1</f>
    </oc>
    <nc r="B175">
      <f>B174+1</f>
    </nc>
  </rcc>
  <rcc rId="1697" sId="4">
    <oc r="B176">
      <f>B175+1</f>
    </oc>
    <nc r="B176">
      <f>B175+1</f>
    </nc>
  </rcc>
  <rcc rId="1698" sId="4">
    <oc r="B177">
      <f>B176+1</f>
    </oc>
    <nc r="B177">
      <f>B176+1</f>
    </nc>
  </rcc>
  <rcc rId="1699" sId="4">
    <oc r="B178">
      <f>B177+1</f>
    </oc>
    <nc r="B178">
      <f>B177+1</f>
    </nc>
  </rcc>
  <rcc rId="1700" sId="4">
    <oc r="B179">
      <f>B178+1</f>
    </oc>
    <nc r="B179">
      <f>B178+1</f>
    </nc>
  </rcc>
  <rcc rId="1701" sId="4">
    <oc r="B180">
      <f>B179+1</f>
    </oc>
    <nc r="B180">
      <f>B179+1</f>
    </nc>
  </rcc>
  <rcc rId="1702" sId="4">
    <oc r="B181">
      <f>B180+1</f>
    </oc>
    <nc r="B181">
      <f>B180+1</f>
    </nc>
  </rcc>
  <rcc rId="1703" sId="4">
    <oc r="B182">
      <f>B181+1</f>
    </oc>
    <nc r="B182">
      <f>B181+1</f>
    </nc>
  </rcc>
  <rcc rId="1704" sId="4">
    <oc r="B183">
      <f>B182+1</f>
    </oc>
    <nc r="B183">
      <f>B182+1</f>
    </nc>
  </rcc>
  <rcc rId="1705" sId="4">
    <oc r="B184">
      <f>B183+1</f>
    </oc>
    <nc r="B184">
      <f>B183+1</f>
    </nc>
  </rcc>
  <rcc rId="1706" sId="4">
    <oc r="B185">
      <f>B184+1</f>
    </oc>
    <nc r="B185">
      <f>B184+1</f>
    </nc>
  </rcc>
  <rcc rId="1707" sId="4">
    <oc r="B186">
      <f>B185+1</f>
    </oc>
    <nc r="B186">
      <f>B185+1</f>
    </nc>
  </rcc>
  <rcc rId="1708" sId="4">
    <oc r="B187">
      <f>B186+1</f>
    </oc>
    <nc r="B187">
      <f>B186+1</f>
    </nc>
  </rcc>
  <rcc rId="1709" sId="4">
    <oc r="B188">
      <f>B187+1</f>
    </oc>
    <nc r="B188">
      <f>B187+1</f>
    </nc>
  </rcc>
  <rcc rId="1710" sId="4">
    <oc r="B189">
      <f>B188+1</f>
    </oc>
    <nc r="B189">
      <f>B188+1</f>
    </nc>
  </rcc>
  <rcc rId="1711" sId="4">
    <oc r="B190">
      <f>B189+1</f>
    </oc>
    <nc r="B190">
      <f>B189+1</f>
    </nc>
  </rcc>
  <rcc rId="1712" sId="4">
    <oc r="B191">
      <f>B190+1</f>
    </oc>
    <nc r="B191">
      <f>B190+1</f>
    </nc>
  </rcc>
  <rcc rId="1713" sId="4">
    <oc r="B192">
      <f>B191+1</f>
    </oc>
    <nc r="B192">
      <f>B191+1</f>
    </nc>
  </rcc>
  <rcc rId="1714" sId="4">
    <oc r="B193">
      <f>B192+1</f>
    </oc>
    <nc r="B193">
      <f>B192+1</f>
    </nc>
  </rcc>
  <rcc rId="1715" sId="4">
    <oc r="B194">
      <f>B193+1</f>
    </oc>
    <nc r="B194">
      <f>B193+1</f>
    </nc>
  </rcc>
  <rcc rId="1716" sId="4">
    <oc r="B195">
      <f>B194+1</f>
    </oc>
    <nc r="B195">
      <f>B194+1</f>
    </nc>
  </rcc>
  <rcc rId="1717" sId="4">
    <oc r="B196">
      <f>B195+1</f>
    </oc>
    <nc r="B196">
      <f>B195+1</f>
    </nc>
  </rcc>
  <rcc rId="1718" sId="4">
    <oc r="B197">
      <f>B196+1</f>
    </oc>
    <nc r="B197">
      <f>B196+1</f>
    </nc>
  </rcc>
  <rcc rId="1719" sId="4">
    <oc r="B198">
      <f>B197+1</f>
    </oc>
    <nc r="B198">
      <f>B197+1</f>
    </nc>
  </rcc>
  <rcc rId="1720" sId="4">
    <oc r="B199">
      <f>B198+1</f>
    </oc>
    <nc r="B199">
      <f>B198+1</f>
    </nc>
  </rcc>
  <rcc rId="1721" sId="4">
    <oc r="B200">
      <f>B199+1</f>
    </oc>
    <nc r="B200">
      <f>B199+1</f>
    </nc>
  </rcc>
  <rcc rId="1722" sId="4">
    <oc r="B201">
      <f>B200+1</f>
    </oc>
    <nc r="B201">
      <f>B200+1</f>
    </nc>
  </rcc>
  <rcc rId="1723" sId="4">
    <oc r="B202">
      <f>B201+1</f>
    </oc>
    <nc r="B202">
      <f>B201+1</f>
    </nc>
  </rcc>
  <rcc rId="1724" sId="4">
    <oc r="B203">
      <f>B202+1</f>
    </oc>
    <nc r="B203">
      <f>B202+1</f>
    </nc>
  </rcc>
  <rcc rId="1725" sId="4">
    <oc r="B204">
      <f>B203+1</f>
    </oc>
    <nc r="B204">
      <f>B203+1</f>
    </nc>
  </rcc>
  <rcc rId="1726" sId="4">
    <oc r="B205">
      <f>B204+1</f>
    </oc>
    <nc r="B205">
      <f>B204+1</f>
    </nc>
  </rcc>
  <rcc rId="1727" sId="4">
    <oc r="B206">
      <f>B205+1</f>
    </oc>
    <nc r="B206">
      <f>B205+1</f>
    </nc>
  </rcc>
  <rcc rId="1728" sId="4">
    <oc r="B207">
      <f>B206+1</f>
    </oc>
    <nc r="B207">
      <f>B206+1</f>
    </nc>
  </rcc>
  <rcc rId="1729" sId="4">
    <oc r="B208">
      <f>B207+1</f>
    </oc>
    <nc r="B208">
      <f>B207+1</f>
    </nc>
  </rcc>
  <rcc rId="1730" sId="4">
    <oc r="B209">
      <f>B208+1</f>
    </oc>
    <nc r="B209">
      <f>B208+1</f>
    </nc>
  </rcc>
  <rcc rId="1731" sId="4">
    <oc r="B210">
      <f>B209+1</f>
    </oc>
    <nc r="B210">
      <f>B209+1</f>
    </nc>
  </rcc>
  <rcc rId="1732" sId="4">
    <oc r="B211">
      <f>B210+1</f>
    </oc>
    <nc r="B211">
      <f>B210+1</f>
    </nc>
  </rcc>
  <rcc rId="1733" sId="4">
    <oc r="B212">
      <f>B211+1</f>
    </oc>
    <nc r="B212">
      <f>B211+1</f>
    </nc>
  </rcc>
  <rcc rId="1734" sId="4">
    <oc r="B213">
      <f>B212+1</f>
    </oc>
    <nc r="B213">
      <f>B212+1</f>
    </nc>
  </rcc>
  <rcc rId="1735" sId="4">
    <oc r="B214">
      <f>B213+1</f>
    </oc>
    <nc r="B214">
      <f>B213+1</f>
    </nc>
  </rcc>
  <rcc rId="1736" sId="4">
    <oc r="B215">
      <f>B214+1</f>
    </oc>
    <nc r="B215">
      <f>B214+1</f>
    </nc>
  </rcc>
  <rcc rId="1737" sId="4">
    <oc r="B216">
      <f>B215+1</f>
    </oc>
    <nc r="B216">
      <f>B215+1</f>
    </nc>
  </rcc>
  <rcc rId="1738" sId="4">
    <oc r="B217">
      <f>B216+1</f>
    </oc>
    <nc r="B217">
      <f>B216+1</f>
    </nc>
  </rcc>
  <rcc rId="1739" sId="4">
    <oc r="B218">
      <f>B217+1</f>
    </oc>
    <nc r="B218">
      <f>B217+1</f>
    </nc>
  </rcc>
  <rcc rId="1740" sId="4">
    <oc r="B219">
      <f>B218+1</f>
    </oc>
    <nc r="B219">
      <f>B218+1</f>
    </nc>
  </rcc>
  <rcc rId="1741" sId="4">
    <oc r="B220">
      <f>B219+1</f>
    </oc>
    <nc r="B220">
      <f>B219+1</f>
    </nc>
  </rcc>
  <rcc rId="1742" sId="4">
    <oc r="B221">
      <f>B220+1</f>
    </oc>
    <nc r="B221">
      <f>B220+1</f>
    </nc>
  </rcc>
  <rcc rId="1743" sId="4">
    <oc r="B222">
      <f>B221+1</f>
    </oc>
    <nc r="B222">
      <f>B221+1</f>
    </nc>
  </rcc>
  <rcc rId="1744" sId="4">
    <oc r="B223">
      <f>B222+1</f>
    </oc>
    <nc r="B223">
      <f>B222+1</f>
    </nc>
  </rcc>
  <rcc rId="1745" sId="4">
    <oc r="B224">
      <f>B223+1</f>
    </oc>
    <nc r="B224">
      <f>B223+1</f>
    </nc>
  </rcc>
  <rcc rId="1746" sId="4">
    <oc r="B225">
      <f>B224+1</f>
    </oc>
    <nc r="B225">
      <f>B224+1</f>
    </nc>
  </rcc>
  <rcc rId="1747" sId="4">
    <oc r="B226">
      <f>B225+1</f>
    </oc>
    <nc r="B226">
      <f>B225+1</f>
    </nc>
  </rcc>
  <rcc rId="1748" sId="4">
    <oc r="B227">
      <f>B226+1</f>
    </oc>
    <nc r="B227">
      <f>B226+1</f>
    </nc>
  </rcc>
  <rcc rId="1749" sId="4">
    <oc r="B228">
      <f>B227+1</f>
    </oc>
    <nc r="B228">
      <f>B227+1</f>
    </nc>
  </rcc>
  <rcc rId="1750" sId="4">
    <oc r="B229">
      <f>B228+1</f>
    </oc>
    <nc r="B229">
      <f>B228+1</f>
    </nc>
  </rcc>
  <rcc rId="1751" sId="4">
    <oc r="B230">
      <f>B229+1</f>
    </oc>
    <nc r="B230">
      <f>B229+1</f>
    </nc>
  </rcc>
  <rcc rId="1752" sId="4">
    <oc r="B231">
      <f>B230+1</f>
    </oc>
    <nc r="B231">
      <f>B230+1</f>
    </nc>
  </rcc>
  <rcc rId="1753" sId="4">
    <oc r="B232">
      <f>B231+1</f>
    </oc>
    <nc r="B232">
      <f>B231+1</f>
    </nc>
  </rcc>
  <rcc rId="1754" sId="4">
    <oc r="B233">
      <f>B232+1</f>
    </oc>
    <nc r="B233">
      <f>B232+1</f>
    </nc>
  </rcc>
  <rcc rId="1755" sId="4">
    <oc r="B234">
      <f>B233+1</f>
    </oc>
    <nc r="B234">
      <f>B233+1</f>
    </nc>
  </rcc>
  <rcc rId="1756" sId="4">
    <oc r="B235">
      <f>B234+1</f>
    </oc>
    <nc r="B235">
      <f>B234+1</f>
    </nc>
  </rcc>
  <rcc rId="1757" sId="4">
    <oc r="B236">
      <f>B235+1</f>
    </oc>
    <nc r="B236">
      <f>B235+1</f>
    </nc>
  </rcc>
  <rcc rId="1758" sId="4">
    <oc r="B237">
      <f>B236+1</f>
    </oc>
    <nc r="B237">
      <f>B236+1</f>
    </nc>
  </rcc>
  <rcc rId="1759" sId="4">
    <oc r="B238">
      <f>B237+1</f>
    </oc>
    <nc r="B238">
      <f>B237+1</f>
    </nc>
  </rcc>
  <rcc rId="1760" sId="4">
    <oc r="B239">
      <f>B238+1</f>
    </oc>
    <nc r="B239">
      <f>B238+1</f>
    </nc>
  </rcc>
  <rfmt sheetId="4" sqref="C3" start="0" length="0">
    <dxf>
      <font>
        <b val="0"/>
        <sz val="11"/>
        <color theme="1"/>
        <name val="Calibri"/>
        <scheme val="minor"/>
      </font>
      <alignment horizontal="left" vertical="top" readingOrder="0"/>
    </dxf>
  </rfmt>
  <rcc rId="1761" sId="4">
    <nc r="C3">
      <v>20200323</v>
    </nc>
  </rcc>
  <rcc rId="1762" sId="4" odxf="1" dxf="1">
    <nc r="C4">
      <v>20200323</v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fmt sheetId="4" sqref="D3" start="0" length="0">
    <dxf>
      <font>
        <b val="0"/>
        <sz val="11"/>
        <color theme="1"/>
        <name val="Calibri"/>
        <scheme val="minor"/>
      </font>
      <alignment horizontal="left" vertical="top" readingOrder="0"/>
    </dxf>
  </rfmt>
  <rfmt sheetId="4" sqref="D4" start="0" length="0">
    <dxf>
      <font>
        <b val="0"/>
        <sz val="11"/>
        <color theme="1"/>
        <name val="Calibri"/>
        <scheme val="minor"/>
      </font>
      <alignment horizontal="left" vertical="top" readingOrder="0"/>
    </dxf>
  </rfmt>
  <rcc rId="1763" sId="4">
    <nc r="D3" t="inlineStr">
      <is>
        <t>ASW</t>
      </is>
    </nc>
  </rcc>
  <rcc rId="1764" sId="4">
    <nc r="D4" t="inlineStr">
      <is>
        <t>ASW</t>
      </is>
    </nc>
  </rcc>
  <rcc rId="1765" sId="4" odxf="1" dxf="1">
    <nc r="E3" t="inlineStr">
      <is>
        <t>BYD_IPB_SW_Mainstream_BL05_SP10</t>
      </is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766" sId="4" odxf="1" dxf="1">
    <nc r="E4" t="inlineStr">
      <is>
        <t>BYD_IPB_SW_Mainstream_BL05_SP10</t>
      </is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767" sId="4" odxf="1" dxf="1" quotePrefix="1">
    <nc r="F3" t="inlineStr">
      <is>
        <t>-</t>
      </is>
    </nc>
    <odxf/>
    <ndxf/>
  </rcc>
  <rcc rId="1768" sId="4" odxf="1" dxf="1" quotePrefix="1">
    <nc r="F4" t="inlineStr">
      <is>
        <t>-</t>
      </is>
    </nc>
    <odxf/>
    <ndxf/>
  </rcc>
  <rfmt sheetId="4" sqref="F4" start="0" length="0">
    <dxf>
      <border>
        <bottom style="thin">
          <color indexed="64"/>
        </bottom>
      </border>
    </dxf>
  </rfmt>
  <rfmt sheetId="4" sqref="F3:F4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fmt sheetId="4" xfDxf="1" sqref="G3" start="0" length="0">
    <dxf>
      <font>
        <b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69" sId="4" odxf="1" dxf="1">
    <nc r="G3">
      <v>1369164</v>
    </nc>
    <ndxf>
      <font>
        <b val="0"/>
        <sz val="11"/>
        <color theme="1"/>
        <name val="Calibri"/>
        <scheme val="minor"/>
      </font>
      <alignment horizontal="left" vertical="top" readingOrder="0"/>
    </ndxf>
  </rcc>
  <rfmt sheetId="4" sqref="G4" start="0" length="0">
    <dxf>
      <font>
        <b val="0"/>
        <sz val="11"/>
        <color theme="1"/>
        <name val="Calibri"/>
        <scheme val="minor"/>
      </font>
      <alignment horizontal="left" vertical="top" readingOrder="0"/>
    </dxf>
  </rfmt>
  <rcc rId="1770" sId="4">
    <nc r="G4">
      <v>1369164</v>
    </nc>
  </rcc>
  <rfmt sheetId="4" xfDxf="1" sqref="H3" start="0" length="0">
    <dxf>
      <font>
        <b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H4" start="0" length="0">
    <dxf>
      <font>
        <b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1771" sId="4" odxf="1" dxf="1">
    <nc r="H3" t="inlineStr">
      <is>
        <t>APA_ApbRequest</t>
      </is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772" sId="4" odxf="1" dxf="1">
    <nc r="H4" t="inlineStr">
      <is>
        <t>APA_TransStateMachine</t>
      </is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773" sId="4" odxf="1" dxf="1" quotePrefix="1">
    <nc r="I3" t="inlineStr">
      <is>
        <t>-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74" sId="4" odxf="1" dxf="1" quotePrefix="1">
    <nc r="I4" t="inlineStr">
      <is>
        <t>-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75" sId="4" odxf="1" dxf="1" quotePrefix="1">
    <nc r="J3" t="inlineStr">
      <is>
        <t>-</t>
      </is>
    </nc>
    <odxf>
      <font>
        <b/>
      </font>
    </odxf>
    <ndxf>
      <font>
        <b val="0"/>
        <sz val="11"/>
        <color theme="1"/>
        <name val="Calibri"/>
        <scheme val="minor"/>
      </font>
    </ndxf>
  </rcc>
  <rcc rId="1776" sId="4" odxf="1" dxf="1" quotePrefix="1">
    <nc r="J4" t="inlineStr">
      <is>
        <t>-</t>
      </is>
    </nc>
    <odxf>
      <font>
        <b/>
      </font>
    </odxf>
    <ndxf>
      <font>
        <b val="0"/>
        <sz val="11"/>
        <color theme="1"/>
        <name val="Calibri"/>
        <scheme val="minor"/>
      </font>
    </ndxf>
  </rcc>
  <rcc rId="1777" sId="4" xfDxf="1" dxf="1">
    <nc r="L3" t="inlineStr">
      <is>
        <t>1.1.147303.1.301.0</t>
      </is>
    </nc>
    <ndxf>
      <font>
        <b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778" sId="4" xfDxf="1" dxf="1">
    <nc r="L4" t="inlineStr">
      <is>
        <t>1.11.147301.2</t>
      </is>
    </nc>
    <ndxf>
      <font>
        <b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sqref="L3:L4" start="0" length="2147483647">
    <dxf>
      <font>
        <b val="0"/>
      </font>
    </dxf>
  </rfmt>
  <rcc rId="1779" sId="4" xfDxf="1" dxf="1">
    <nc r="M3" t="inlineStr">
      <is>
        <t>ZHANG Allen (CC-AS/EVA-SW2-CN)</t>
      </is>
    </nc>
    <ndxf>
      <font>
        <b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sqref="M3" start="0" length="2147483647">
    <dxf>
      <font>
        <b val="0"/>
      </font>
    </dxf>
  </rfmt>
  <rcc rId="1780" sId="4" odxf="1" dxf="1">
    <nc r="M4" t="inlineStr">
      <is>
        <t>ZHANG Allen (CC-AS/EVA-SW2-CN)</t>
      </is>
    </nc>
    <odxf>
      <font>
        <b/>
      </font>
    </odxf>
    <ndxf>
      <font>
        <b val="0"/>
        <sz val="11"/>
        <color theme="1"/>
        <name val="Calibri"/>
        <scheme val="minor"/>
      </font>
    </ndxf>
  </rcc>
  <rfmt sheetId="4" sqref="O3" start="0" length="0">
    <dxf>
      <font>
        <b val="0"/>
        <sz val="11"/>
        <color theme="1"/>
        <name val="Calibri"/>
        <scheme val="minor"/>
      </font>
      <alignment horizontal="left" vertical="top" readingOrder="0"/>
    </dxf>
  </rfmt>
  <rcc rId="1781" sId="4" odxf="1" dxf="1">
    <nc r="O4" t="inlineStr">
      <is>
        <t>duong.nguyen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82" sId="4" odxf="1" dxf="1">
    <nc r="O3" t="inlineStr">
      <is>
        <t>thanh.nguyen-kim</t>
      </is>
    </nc>
    <ndxf>
      <font>
        <sz val="11"/>
        <color auto="1"/>
        <name val="Calibri"/>
        <scheme val="minor"/>
      </font>
    </ndxf>
  </rcc>
  <rcc rId="1783" sId="4" odxf="1" dxf="1">
    <nc r="R3">
      <v>98</v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784" sId="4" odxf="1" dxf="1">
    <nc r="R4">
      <v>98</v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785" sId="4" odxf="1" dxf="1">
    <nc r="S3">
      <v>98</v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86" sId="4" odxf="1" dxf="1">
    <nc r="S4">
      <v>98</v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87" sId="4" odxf="1" dxf="1">
    <nc r="T3">
      <v>98</v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88" sId="4" odxf="1" dxf="1">
    <nc r="T4">
      <v>98</v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89" sId="4" odxf="1" dxf="1">
    <nc r="U3">
      <f>ROUNDDOWN(S3/HLOOKUP(D3,Table!$C$3:$D$4,2,0)*8,2)</f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90" sId="4" odxf="1" dxf="1">
    <nc r="U4">
      <f>ROUNDDOWN(S4/HLOOKUP(D4,Table!$C$3:$D$4,2,0)*8,2)</f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91" sId="4">
    <nc r="V3">
      <v>6</v>
    </nc>
  </rcc>
  <rcc rId="1792" sId="4">
    <nc r="V4">
      <v>6</v>
    </nc>
  </rcc>
  <rfmt sheetId="4" sqref="V3:V4" start="0" length="2147483647">
    <dxf>
      <font>
        <b val="0"/>
      </font>
    </dxf>
  </rfmt>
  <rfmt sheetId="4" sqref="V3:V4">
    <dxf>
      <alignment horizontal="left" readingOrder="0"/>
    </dxf>
  </rfmt>
  <rcc rId="1793" sId="4" odxf="1" dxf="1">
    <nc r="W3" t="inlineStr">
      <is>
        <t>Ready for PLC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794" sId="4" odxf="1" dxf="1">
    <nc r="W4" t="inlineStr">
      <is>
        <t>Ready for PLC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fmt sheetId="4" sqref="X3" start="0" length="0">
    <dxf>
      <numFmt numFmtId="19" formatCode="m/d/yyyy"/>
    </dxf>
  </rfmt>
  <rfmt sheetId="4" sqref="X4" start="0" length="0">
    <dxf>
      <numFmt numFmtId="19" formatCode="m/d/yyyy"/>
    </dxf>
  </rfmt>
  <rfmt sheetId="4" sqref="Y3" start="0" length="0">
    <dxf>
      <numFmt numFmtId="19" formatCode="m/d/yyyy"/>
    </dxf>
  </rfmt>
  <rfmt sheetId="4" sqref="Y4" start="0" length="0">
    <dxf>
      <numFmt numFmtId="19" formatCode="m/d/yyyy"/>
    </dxf>
  </rfmt>
  <rcc rId="1795" sId="4" odxf="1" dxf="1" numFmtId="19">
    <nc r="X3">
      <v>43931</v>
    </nc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796" sId="4" odxf="1" dxf="1" numFmtId="19">
    <nc r="Y3">
      <v>43934</v>
    </nc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797" sId="4" odxf="1" dxf="1" numFmtId="19">
    <nc r="X4">
      <v>43931</v>
    </nc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798" sId="4" odxf="1" dxf="1" numFmtId="19">
    <nc r="Y4">
      <v>43934</v>
    </nc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799" sId="4" odxf="1" dxf="1" numFmtId="19">
    <nc r="Z3">
      <v>43931</v>
    </nc>
    <odxf>
      <font>
        <b/>
      </font>
      <numFmt numFmtId="0" formatCode="General"/>
      <alignment horizontal="general" vertical="bottom" readingOrder="0"/>
    </odxf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800" sId="4" odxf="1" dxf="1" numFmtId="19">
    <nc r="AA3">
      <v>43934</v>
    </nc>
    <odxf>
      <font>
        <b/>
      </font>
      <numFmt numFmtId="0" formatCode="General"/>
      <alignment horizontal="general" vertical="bottom" readingOrder="0"/>
    </odxf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801" sId="4" odxf="1" dxf="1" numFmtId="19">
    <nc r="Z4">
      <v>43931</v>
    </nc>
    <odxf>
      <font>
        <b/>
      </font>
      <numFmt numFmtId="0" formatCode="General"/>
      <alignment horizontal="general" vertical="bottom" readingOrder="0"/>
    </odxf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802" sId="4" odxf="1" dxf="1" numFmtId="19">
    <nc r="AA4">
      <v>43934</v>
    </nc>
    <odxf>
      <font>
        <b/>
      </font>
      <numFmt numFmtId="0" formatCode="General"/>
      <alignment horizontal="general" vertical="bottom" readingOrder="0"/>
    </odxf>
    <ndxf>
      <font>
        <b val="0"/>
        <sz val="11"/>
        <color theme="1"/>
        <name val="Calibri"/>
        <scheme val="minor"/>
      </font>
      <numFmt numFmtId="164" formatCode="[$-409]d\-mmm\-yyyy;@"/>
      <alignment horizontal="left" vertical="top" readingOrder="0"/>
    </ndxf>
  </rcc>
  <rcc rId="1803" sId="4" odxf="1" dxf="1">
    <nc r="AB3" t="inlineStr">
      <is>
        <t>OK</t>
      </is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04" sId="4" odxf="1" dxf="1">
    <nc r="AC3">
      <v>100</v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05" sId="4" odxf="1" dxf="1">
    <nc r="AD3">
      <v>100</v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06" sId="4" odxf="1" dxf="1">
    <nc r="AE3">
      <v>100</v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07" sId="4" odxf="1" dxf="1">
    <nc r="AF3" t="inlineStr">
      <is>
        <t>N/A</t>
      </is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08" sId="4" odxf="1" dxf="1" quotePrefix="1">
    <nc r="AG3" t="inlineStr">
      <is>
        <t>-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809" sId="4" odxf="1" dxf="1">
    <nc r="AB4" t="inlineStr">
      <is>
        <t>OK</t>
      </is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10" sId="4" odxf="1" dxf="1">
    <nc r="AC4">
      <v>100</v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11" sId="4" odxf="1" dxf="1">
    <nc r="AD4">
      <v>100</v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12" sId="4" odxf="1" dxf="1">
    <nc r="AE4">
      <v>100</v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13" sId="4" odxf="1" dxf="1">
    <nc r="AF4" t="inlineStr">
      <is>
        <t>N/A</t>
      </is>
    </nc>
    <odxf>
      <font>
        <b/>
      </font>
      <alignment horizontal="general" vertical="bottom" readingOrder="0"/>
    </odxf>
    <ndxf>
      <font>
        <b val="0"/>
        <color auto="1"/>
      </font>
      <alignment horizontal="left" vertical="top" readingOrder="0"/>
    </ndxf>
  </rcc>
  <rcc rId="1814" sId="4" odxf="1" dxf="1" quotePrefix="1">
    <nc r="AG4" t="inlineStr">
      <is>
        <t>-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815" sId="4" odxf="1" dxf="1" quotePrefix="1">
    <nc r="AH3" t="inlineStr">
      <is>
        <t>-</t>
      </is>
    </nc>
    <odxf/>
    <ndxf/>
  </rcc>
  <rcc rId="1816" sId="4" odxf="1" dxf="1" quotePrefix="1">
    <nc r="AH4" t="inlineStr">
      <is>
        <t>-</t>
      </is>
    </nc>
    <odxf/>
    <ndxf/>
  </rcc>
  <rrc rId="1817" sId="4" ref="A6:XFD6" action="insertRow"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7E0EA425_A420_4443_B9E0_CDF0AA9E5D09_.wvu.Cols" sId="4"/>
    <undo index="0" exp="area" ref3D="1" dr="$P$1:$Q$1048576" dn="Z_D1F7047B_CC2E_48BC_8022_C8013AE2B1E1_.wvu.Cols" sId="4"/>
  </rrc>
  <rrc rId="1818" sId="4" ref="A6:XFD6" action="insertRow"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7E0EA425_A420_4443_B9E0_CDF0AA9E5D09_.wvu.Cols" sId="4"/>
    <undo index="0" exp="area" ref3D="1" dr="$P$1:$Q$1048576" dn="Z_D1F7047B_CC2E_48BC_8022_C8013AE2B1E1_.wvu.Cols" sId="4"/>
  </rrc>
  <rcc rId="1819" sId="4">
    <nc r="C6">
      <v>20200323</v>
    </nc>
  </rcc>
  <rcc rId="1820" sId="4">
    <nc r="C7">
      <v>20200323</v>
    </nc>
  </rcc>
  <rcc rId="1821" sId="4">
    <nc r="D6" t="inlineStr">
      <is>
        <t>ASW</t>
      </is>
    </nc>
  </rcc>
  <rcc rId="1822" sId="4">
    <nc r="D7" t="inlineStr">
      <is>
        <t>ASW</t>
      </is>
    </nc>
  </rcc>
  <rcc rId="1823" sId="4">
    <nc r="E6" t="inlineStr">
      <is>
        <t>BYD_IPB_SW_Mainstream_BL05_SP10</t>
      </is>
    </nc>
  </rcc>
  <rcc rId="1824" sId="4">
    <nc r="E7" t="inlineStr">
      <is>
        <t>BYD_IPB_SW_Mainstream_BL05_SP10</t>
      </is>
    </nc>
  </rcc>
  <rcc rId="1825" sId="4" odxf="1" dxf="1" quotePrefix="1">
    <nc r="F6" t="inlineStr">
      <is>
        <t>-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26" sId="4">
    <nc r="G6">
      <v>1369164</v>
    </nc>
  </rcc>
  <rcc rId="1827" sId="4" odxf="1" dxf="1">
    <nc r="H6" t="inlineStr">
      <is>
        <t>APA_ApbRequest</t>
      </is>
    </nc>
    <odxf/>
    <ndxf/>
  </rcc>
  <rcc rId="1828" sId="4" quotePrefix="1">
    <nc r="I6" t="inlineStr">
      <is>
        <t>-</t>
      </is>
    </nc>
  </rcc>
  <rcc rId="1829" sId="4" quotePrefix="1">
    <nc r="J6" t="inlineStr">
      <is>
        <t>-</t>
      </is>
    </nc>
  </rcc>
  <rfmt sheetId="4" sqref="K6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cc rId="1830" sId="4" odxf="1" dxf="1" quotePrefix="1">
    <nc r="F7" t="inlineStr">
      <is>
        <t>-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1831" sId="4">
    <nc r="G7">
      <v>1369164</v>
    </nc>
  </rcc>
  <rcc rId="1832" sId="4" odxf="1" dxf="1">
    <nc r="H7" t="inlineStr">
      <is>
        <t>APA_TransStateMachine</t>
      </is>
    </nc>
    <odxf/>
    <ndxf/>
  </rcc>
  <rcc rId="1833" sId="4" quotePrefix="1">
    <nc r="I7" t="inlineStr">
      <is>
        <t>-</t>
      </is>
    </nc>
  </rcc>
  <rcc rId="1834" sId="4" quotePrefix="1">
    <nc r="J7" t="inlineStr">
      <is>
        <t>-</t>
      </is>
    </nc>
  </rcc>
  <rfmt sheetId="4" sqref="K7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cc rId="1835" sId="4" odxf="1" dxf="1">
    <nc r="L6" t="inlineStr">
      <is>
        <t>1.1.147303.1.301.0</t>
      </is>
    </nc>
    <odxf>
      <alignment horizontal="left" vertical="top" readingOrder="0"/>
    </odxf>
    <ndxf>
      <alignment horizontal="general" vertical="bottom" readingOrder="0"/>
    </ndxf>
  </rcc>
  <rcc rId="1836" sId="4" odxf="1" dxf="1">
    <nc r="M6" t="inlineStr">
      <is>
        <t>ZHANG Allen (CC-AS/EVA-SW2-CN)</t>
      </is>
    </nc>
    <odxf>
      <alignment horizontal="left" vertical="top" readingOrder="0"/>
    </odxf>
    <ndxf>
      <alignment horizontal="general" vertical="bottom" readingOrder="0"/>
    </ndxf>
  </rcc>
  <rfmt sheetId="4" sqref="N6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cc rId="1837" sId="4" odxf="1" dxf="1">
    <nc r="O6" t="inlineStr">
      <is>
        <t>thanh.nguyen-kim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fmt sheetId="4" sqref="P6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fmt sheetId="4" sqref="Q6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cc rId="1838" sId="4">
    <nc r="R6">
      <v>98</v>
    </nc>
  </rcc>
  <rcc rId="1839" sId="4">
    <nc r="S6">
      <v>98</v>
    </nc>
  </rcc>
  <rcc rId="1840" sId="4">
    <nc r="T6">
      <v>98</v>
    </nc>
  </rcc>
  <rcc rId="1841" sId="4">
    <nc r="U6">
      <f>ROUNDDOWN(S6/HLOOKUP(D6,Table!$C$3:$D$4,2,0)*8,2)</f>
    </nc>
  </rcc>
  <rcc rId="1842" sId="4" odxf="1" dxf="1">
    <nc r="V6">
      <v>6</v>
    </nc>
    <odxf/>
    <ndxf/>
  </rcc>
  <rcc rId="1843" sId="4">
    <nc r="W6" t="inlineStr">
      <is>
        <t>Ready for PLC</t>
      </is>
    </nc>
  </rcc>
  <rcc rId="1844" sId="4" numFmtId="19">
    <nc r="X6">
      <v>43931</v>
    </nc>
  </rcc>
  <rcc rId="1845" sId="4" numFmtId="19">
    <nc r="Y6">
      <v>43934</v>
    </nc>
  </rcc>
  <rcc rId="1846" sId="4" numFmtId="19">
    <nc r="Z6">
      <v>43931</v>
    </nc>
  </rcc>
  <rcc rId="1847" sId="4" numFmtId="19">
    <nc r="AA6">
      <v>43934</v>
    </nc>
  </rcc>
  <rcc rId="1848" sId="4">
    <nc r="AB6" t="inlineStr">
      <is>
        <t>OK</t>
      </is>
    </nc>
  </rcc>
  <rcc rId="1849" sId="4">
    <nc r="AC6">
      <v>100</v>
    </nc>
  </rcc>
  <rcc rId="1850" sId="4">
    <nc r="AD6">
      <v>100</v>
    </nc>
  </rcc>
  <rcc rId="1851" sId="4">
    <nc r="AE6">
      <v>100</v>
    </nc>
  </rcc>
  <rcc rId="1852" sId="4">
    <nc r="AF6" t="inlineStr">
      <is>
        <t>N/A</t>
      </is>
    </nc>
  </rcc>
  <rcc rId="1853" sId="4" odxf="1" dxf="1">
    <nc r="L7" t="inlineStr">
      <is>
        <t>1.11.147301.2</t>
      </is>
    </nc>
    <odxf>
      <alignment horizontal="left" vertical="top" readingOrder="0"/>
    </odxf>
    <ndxf>
      <alignment horizontal="general" vertical="bottom" readingOrder="0"/>
    </ndxf>
  </rcc>
  <rcc rId="1854" sId="4" odxf="1" dxf="1">
    <nc r="M7" t="inlineStr">
      <is>
        <t>ZHANG Allen (CC-AS/EVA-SW2-CN)</t>
      </is>
    </nc>
    <odxf>
      <alignment horizontal="left" vertical="top" readingOrder="0"/>
    </odxf>
    <ndxf>
      <alignment horizontal="general" vertical="bottom" readingOrder="0"/>
    </ndxf>
  </rcc>
  <rfmt sheetId="4" sqref="N7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cc rId="1855" sId="4">
    <nc r="O7" t="inlineStr">
      <is>
        <t>duong.nguyen</t>
      </is>
    </nc>
  </rcc>
  <rfmt sheetId="4" sqref="P7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fmt sheetId="4" sqref="Q7" start="0" length="0">
    <dxf>
      <font>
        <b/>
        <sz val="11"/>
        <color theme="1"/>
        <name val="Calibri"/>
        <scheme val="minor"/>
      </font>
      <alignment horizontal="general" vertical="bottom" readingOrder="0"/>
    </dxf>
  </rfmt>
  <rcc rId="1856" sId="4">
    <nc r="R7">
      <v>98</v>
    </nc>
  </rcc>
  <rcc rId="1857" sId="4">
    <nc r="S7">
      <v>98</v>
    </nc>
  </rcc>
  <rcc rId="1858" sId="4">
    <nc r="T7">
      <v>98</v>
    </nc>
  </rcc>
  <rcc rId="1859" sId="4">
    <nc r="U7">
      <f>ROUNDDOWN(S7/HLOOKUP(D7,Table!$C$3:$D$4,2,0)*8,2)</f>
    </nc>
  </rcc>
  <rcc rId="1860" sId="4" odxf="1" dxf="1">
    <nc r="V7">
      <v>6</v>
    </nc>
    <odxf/>
    <ndxf/>
  </rcc>
  <rcc rId="1861" sId="4">
    <nc r="W7" t="inlineStr">
      <is>
        <t>Ready for PLC</t>
      </is>
    </nc>
  </rcc>
  <rcc rId="1862" sId="4" numFmtId="19">
    <nc r="X7">
      <v>43931</v>
    </nc>
  </rcc>
  <rcc rId="1863" sId="4" numFmtId="19">
    <nc r="Y7">
      <v>43934</v>
    </nc>
  </rcc>
  <rcc rId="1864" sId="4" numFmtId="19">
    <nc r="Z7">
      <v>43931</v>
    </nc>
  </rcc>
  <rcc rId="1865" sId="4" numFmtId="19">
    <nc r="AA7">
      <v>43934</v>
    </nc>
  </rcc>
  <rcc rId="1866" sId="4">
    <nc r="AB7" t="inlineStr">
      <is>
        <t>OK</t>
      </is>
    </nc>
  </rcc>
  <rcc rId="1867" sId="4">
    <nc r="AC7">
      <v>100</v>
    </nc>
  </rcc>
  <rcc rId="1868" sId="4">
    <nc r="AD7">
      <v>100</v>
    </nc>
  </rcc>
  <rcc rId="1869" sId="4">
    <nc r="AE7">
      <v>100</v>
    </nc>
  </rcc>
  <rcc rId="1870" sId="4">
    <nc r="AF7" t="inlineStr">
      <is>
        <t>N/A</t>
      </is>
    </nc>
  </rcc>
  <rcc rId="1871" sId="4" quotePrefix="1">
    <nc r="AG6" t="inlineStr">
      <is>
        <t>-</t>
      </is>
    </nc>
  </rcc>
  <rcc rId="1872" sId="4" quotePrefix="1">
    <nc r="AH6" t="inlineStr">
      <is>
        <t>-</t>
      </is>
    </nc>
  </rcc>
  <rrc rId="1873" sId="4" ref="A3:XFD3" action="deleteRow"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7E0EA425_A420_4443_B9E0_CDF0AA9E5D09_.wvu.Cols" sId="4"/>
    <undo index="0" exp="area" ref3D="1" dr="$P$1:$Q$1048576" dn="Z_D1F7047B_CC2E_48BC_8022_C8013AE2B1E1_.wvu.Cols" sId="4"/>
    <rfmt sheetId="4" xfDxf="1" sqref="A3:XFD3" start="0" length="0"/>
    <rcc rId="0" sId="4" dxf="1">
      <nc r="B3">
        <v>1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C3">
        <v>20200323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D3" t="inlineStr">
        <is>
          <t>ASW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E3" t="inlineStr">
        <is>
          <t>BYD_IPB_SW_Mainstream_BL05_SP10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F3" t="inlineStr">
        <is>
          <t>-</t>
        </is>
      </nc>
      <n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G3">
        <v>1369164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H3" t="inlineStr">
        <is>
          <t>APA_ApbRequest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I3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J3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K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>
      <nc r="L3" t="inlineStr">
        <is>
          <t>1.1.147303.1.301.0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M3" t="inlineStr">
        <is>
          <t>ZHANG Allen (CC-AS/EVA-SW2-CN)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N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>
      <nc r="O3" t="inlineStr">
        <is>
          <t>thanh.nguyen-kim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P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Q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>
      <nc r="R3">
        <v>98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S3">
        <v>98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T3">
        <v>98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U3">
        <f>ROUNDDOWN(S3/HLOOKUP(D3,Table!$C$3:$D$4,2,0)*8,2)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V3">
        <v>6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W3" t="inlineStr">
        <is>
          <t>Ready for PLC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X3">
        <v>43931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Y3">
        <v>43934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Z3">
        <v>43931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AA3">
        <v>43934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B3" t="inlineStr">
        <is>
          <t>OK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C3">
        <v>100</v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D3">
        <v>100</v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E3">
        <v>100</v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F3" t="inlineStr">
        <is>
          <t>N/A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AG3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AH3" t="inlineStr">
        <is>
          <t>-</t>
        </is>
      </nc>
      <n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rc rId="1874" sId="4" ref="A3:XFD3" action="deleteRow">
    <undo index="0" exp="ref" v="1" dr="B3" r="B4" sId="4"/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7E0EA425_A420_4443_B9E0_CDF0AA9E5D09_.wvu.Cols" sId="4"/>
    <undo index="0" exp="area" ref3D="1" dr="$P$1:$Q$1048576" dn="Z_D1F7047B_CC2E_48BC_8022_C8013AE2B1E1_.wvu.Cols" sId="4"/>
    <rfmt sheetId="4" xfDxf="1" sqref="A3:XFD3" start="0" length="0"/>
    <rcc rId="0" sId="4" dxf="1">
      <nc r="B3">
        <v>2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C3">
        <v>20200323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D3" t="inlineStr">
        <is>
          <t>ASW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E3" t="inlineStr">
        <is>
          <t>BYD_IPB_SW_Mainstream_BL05_SP10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F3" t="inlineStr">
        <is>
          <t>-</t>
        </is>
      </nc>
      <n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G3">
        <v>1369164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H3" t="inlineStr">
        <is>
          <t>APA_TransStateMachine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I3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J3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K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>
      <nc r="L3" t="inlineStr">
        <is>
          <t>1.11.147301.2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M3" t="inlineStr">
        <is>
          <t>ZHANG Allen (CC-AS/EVA-SW2-CN)</t>
        </is>
      </nc>
      <ndxf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N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>
      <nc r="O3" t="inlineStr">
        <is>
          <t>duong.nguyen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4" sqref="P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Q3" start="0" length="0">
      <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cc rId="0" sId="4" dxf="1">
      <nc r="R3">
        <v>98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S3">
        <v>98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T3">
        <v>98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U3">
        <f>ROUNDDOWN(S3/HLOOKUP(D3,Table!$C$3:$D$4,2,0)*8,2)</f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V3">
        <v>6</v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W3" t="inlineStr">
        <is>
          <t>Ready for PLC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X3">
        <v>43931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Y3">
        <v>43934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Z3">
        <v>43931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numFmtId="19">
      <nc r="AA3">
        <v>43934</v>
      </nc>
      <n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B3" t="inlineStr">
        <is>
          <t>OK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C3">
        <v>100</v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D3">
        <v>100</v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E3">
        <v>100</v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>
      <nc r="AF3" t="inlineStr">
        <is>
          <t>N/A</t>
        </is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AG3" t="inlineStr">
        <is>
          <t>-</t>
        </is>
      </nc>
      <n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cc rId="0" sId="4" dxf="1" quotePrefix="1">
      <nc r="AH3" t="inlineStr">
        <is>
          <t>-</t>
        </is>
      </nc>
      <ndxf>
        <font>
          <b/>
          <sz val="11"/>
          <color theme="1"/>
          <name val="Calibri"/>
          <scheme val="minor"/>
        </font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</rrc>
  <rcc rId="1875" sId="4">
    <nc r="B4">
      <v>2</v>
    </nc>
  </rcc>
  <rcc rId="1876" sId="4">
    <nc r="B5">
      <v>3</v>
    </nc>
  </rcc>
  <rcc rId="1877" sId="4">
    <oc r="B6">
      <f>B5+1</f>
    </oc>
    <nc r="B6">
      <f>B5+1</f>
    </nc>
  </rcc>
  <rcc rId="1878" sId="4" odxf="1" dxf="1">
    <nc r="K4" t="inlineStr">
      <is>
        <t>1369164.zip</t>
      </is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879" sId="4" odxf="1" dxf="1">
    <nc r="K5" t="inlineStr">
      <is>
        <t>1369164.zip</t>
      </is>
    </nc>
    <ndxf>
      <font>
        <b val="0"/>
        <sz val="11"/>
        <color theme="1"/>
        <name val="Calibri"/>
        <scheme val="minor"/>
      </font>
      <alignment horizontal="left" vertical="top" readingOrder="0"/>
    </ndxf>
  </rcc>
  <rcc rId="1880" sId="4" quotePrefix="1">
    <nc r="AG5" t="inlineStr">
      <is>
        <t>-</t>
      </is>
    </nc>
  </rcc>
  <rcc rId="1881" sId="4" quotePrefix="1">
    <nc r="AH5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85" sId="4" odxf="1" dxf="1">
    <nc r="N4" t="inlineStr">
      <is>
        <t>T_C-219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c rId="1886" sId="4" odxf="1" dxf="1">
    <nc r="N5" t="inlineStr">
      <is>
        <t>T_C-220</t>
      </is>
    </nc>
    <odxf>
      <font>
        <b/>
      </font>
      <alignment horizontal="general" vertical="bottom" readingOrder="0"/>
    </odxf>
    <ndxf>
      <font>
        <b val="0"/>
        <sz val="11"/>
        <color theme="1"/>
        <name val="Calibri"/>
        <scheme val="minor"/>
      </font>
      <alignment horizontal="left" vertical="top" readingOrder="0"/>
    </ndxf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1890" sId="4">
    <oc r="N6" t="inlineStr">
      <is>
        <t>T_C-219</t>
      </is>
    </oc>
    <nc r="N6" t="inlineStr">
      <is>
        <t>T_C-221</t>
      </is>
    </nc>
  </rcc>
  <rcc rId="1891" sId="4">
    <oc r="N7" t="inlineStr">
      <is>
        <t>T_C-220</t>
      </is>
    </oc>
    <nc r="N7" t="inlineStr">
      <is>
        <t>T_C-222</t>
      </is>
    </nc>
  </rcc>
  <rcc rId="1892" sId="4">
    <oc r="N8" t="inlineStr">
      <is>
        <t>T_C-221</t>
      </is>
    </oc>
    <nc r="N8" t="inlineStr">
      <is>
        <t>T_C-223</t>
      </is>
    </nc>
  </rcc>
  <rcc rId="1893" sId="4">
    <oc r="N9" t="inlineStr">
      <is>
        <t>T_C-222</t>
      </is>
    </oc>
    <nc r="N9" t="inlineStr">
      <is>
        <t>T_C-224</t>
      </is>
    </nc>
  </rcc>
  <rcc rId="1894" sId="4">
    <oc r="N10" t="inlineStr">
      <is>
        <t>T_C-223</t>
      </is>
    </oc>
    <nc r="N10" t="inlineStr">
      <is>
        <t>T_C-225</t>
      </is>
    </nc>
  </rcc>
  <rcc rId="1895" sId="4">
    <oc r="N11" t="inlineStr">
      <is>
        <t>T_C-224</t>
      </is>
    </oc>
    <nc r="N11" t="inlineStr">
      <is>
        <t>T_C-226</t>
      </is>
    </nc>
  </rcc>
  <rcc rId="1896" sId="4">
    <oc r="N12" t="inlineStr">
      <is>
        <t>T_C-225</t>
      </is>
    </oc>
    <nc r="N12" t="inlineStr">
      <is>
        <t>T_C-227</t>
      </is>
    </nc>
  </rcc>
  <rcc rId="1897" sId="4">
    <oc r="N13" t="inlineStr">
      <is>
        <t>T_C-226</t>
      </is>
    </oc>
    <nc r="N13" t="inlineStr">
      <is>
        <t>T_C-228</t>
      </is>
    </nc>
  </rcc>
  <rcc rId="1898" sId="4">
    <oc r="N14" t="inlineStr">
      <is>
        <t>T_C-227</t>
      </is>
    </oc>
    <nc r="N14" t="inlineStr">
      <is>
        <t>T_C-229</t>
      </is>
    </nc>
  </rcc>
  <rcc rId="1899" sId="4">
    <oc r="N15" t="inlineStr">
      <is>
        <t>T_C-228</t>
      </is>
    </oc>
    <nc r="N15" t="inlineStr">
      <is>
        <t>T_C-230</t>
      </is>
    </nc>
  </rcc>
  <rcc rId="1900" sId="4">
    <oc r="N16" t="inlineStr">
      <is>
        <t>T_C-229</t>
      </is>
    </oc>
    <nc r="N16" t="inlineStr">
      <is>
        <t>T_C-231</t>
      </is>
    </nc>
  </rcc>
  <rcc rId="1901" sId="4">
    <oc r="N17" t="inlineStr">
      <is>
        <t>T_C-230</t>
      </is>
    </oc>
    <nc r="N17" t="inlineStr">
      <is>
        <t>T_C-232</t>
      </is>
    </nc>
  </rcc>
  <rcc rId="1902" sId="4">
    <oc r="N18" t="inlineStr">
      <is>
        <t>T_C-231</t>
      </is>
    </oc>
    <nc r="N18" t="inlineStr">
      <is>
        <t>T_C-233</t>
      </is>
    </nc>
  </rcc>
  <rcc rId="1903" sId="4">
    <oc r="N19" t="inlineStr">
      <is>
        <t>T_C-232</t>
      </is>
    </oc>
    <nc r="N19" t="inlineStr">
      <is>
        <t>T_C-234</t>
      </is>
    </nc>
  </rcc>
  <rcc rId="1904" sId="4">
    <oc r="N20" t="inlineStr">
      <is>
        <t>T_C-233</t>
      </is>
    </oc>
    <nc r="N20" t="inlineStr">
      <is>
        <t>T_C-235</t>
      </is>
    </nc>
  </rcc>
  <rcc rId="1905" sId="4">
    <oc r="N21" t="inlineStr">
      <is>
        <t>T_C-234</t>
      </is>
    </oc>
    <nc r="N21" t="inlineStr">
      <is>
        <t>T_C-236</t>
      </is>
    </nc>
  </rcc>
  <rcc rId="1906" sId="4">
    <oc r="N22" t="inlineStr">
      <is>
        <t>T_C-235</t>
      </is>
    </oc>
    <nc r="N22" t="inlineStr">
      <is>
        <t>T_C-237</t>
      </is>
    </nc>
  </rcc>
  <rcc rId="1907" sId="4">
    <oc r="N23" t="inlineStr">
      <is>
        <t>T_C-236</t>
      </is>
    </oc>
    <nc r="N23" t="inlineStr">
      <is>
        <t>T_C-238</t>
      </is>
    </nc>
  </rcc>
  <rcc rId="1908" sId="4">
    <oc r="N24" t="inlineStr">
      <is>
        <t>T_C-237</t>
      </is>
    </oc>
    <nc r="N24" t="inlineStr">
      <is>
        <t>T_C-239</t>
      </is>
    </nc>
  </rcc>
  <rcc rId="1909" sId="4">
    <oc r="N25" t="inlineStr">
      <is>
        <t>T_C-238</t>
      </is>
    </oc>
    <nc r="N25" t="inlineStr">
      <is>
        <t>T_C-240</t>
      </is>
    </nc>
  </rcc>
  <rcc rId="1910" sId="4">
    <oc r="N26" t="inlineStr">
      <is>
        <t>T_C-239</t>
      </is>
    </oc>
    <nc r="N26" t="inlineStr">
      <is>
        <t>T_C-241</t>
      </is>
    </nc>
  </rcc>
  <rcc rId="1911" sId="4">
    <oc r="N27" t="inlineStr">
      <is>
        <t>T_C-240</t>
      </is>
    </oc>
    <nc r="N27" t="inlineStr">
      <is>
        <t>T_C-242</t>
      </is>
    </nc>
  </rcc>
  <rcc rId="1912" sId="4">
    <oc r="N28" t="inlineStr">
      <is>
        <t>T_C-241</t>
      </is>
    </oc>
    <nc r="N28" t="inlineStr">
      <is>
        <t>T_C-243</t>
      </is>
    </nc>
  </rcc>
  <rcc rId="1913" sId="4">
    <oc r="N29" t="inlineStr">
      <is>
        <t>T_C-242</t>
      </is>
    </oc>
    <nc r="N29" t="inlineStr">
      <is>
        <t>T_C-244</t>
      </is>
    </nc>
  </rcc>
  <rcc rId="1914" sId="4">
    <oc r="N30" t="inlineStr">
      <is>
        <t>T_C-243</t>
      </is>
    </oc>
    <nc r="N30" t="inlineStr">
      <is>
        <t>T_C-245</t>
      </is>
    </nc>
  </rcc>
  <rcc rId="1915" sId="4">
    <oc r="N31" t="inlineStr">
      <is>
        <t>T_C-244</t>
      </is>
    </oc>
    <nc r="N31" t="inlineStr">
      <is>
        <t>T_C-246</t>
      </is>
    </nc>
  </rcc>
  <rcc rId="1916" sId="4">
    <oc r="N32" t="inlineStr">
      <is>
        <t>T_C-245</t>
      </is>
    </oc>
    <nc r="N32" t="inlineStr">
      <is>
        <t>T_C-247</t>
      </is>
    </nc>
  </rcc>
  <rcc rId="1917" sId="4">
    <oc r="N33" t="inlineStr">
      <is>
        <t>T_C-246</t>
      </is>
    </oc>
    <nc r="N33" t="inlineStr">
      <is>
        <t>T_C-248</t>
      </is>
    </nc>
  </rcc>
  <rcc rId="1918" sId="4">
    <oc r="N34" t="inlineStr">
      <is>
        <t>T_C-247</t>
      </is>
    </oc>
    <nc r="N34" t="inlineStr">
      <is>
        <t>T_C-249</t>
      </is>
    </nc>
  </rcc>
  <rcc rId="1919" sId="4">
    <oc r="N35" t="inlineStr">
      <is>
        <t>T_C-248</t>
      </is>
    </oc>
    <nc r="N35" t="inlineStr">
      <is>
        <t>T_C-250</t>
      </is>
    </nc>
  </rcc>
  <rcc rId="1920" sId="4">
    <oc r="N36" t="inlineStr">
      <is>
        <t>T_C-249</t>
      </is>
    </oc>
    <nc r="N36" t="inlineStr">
      <is>
        <t>T_C-251</t>
      </is>
    </nc>
  </rcc>
  <rcc rId="1921" sId="4">
    <oc r="N37" t="inlineStr">
      <is>
        <t>T_C-250</t>
      </is>
    </oc>
    <nc r="N37" t="inlineStr">
      <is>
        <t>T_C-252</t>
      </is>
    </nc>
  </rcc>
  <rcc rId="1922" sId="4">
    <oc r="N38" t="inlineStr">
      <is>
        <t>T_C-251</t>
      </is>
    </oc>
    <nc r="N38" t="inlineStr">
      <is>
        <t>T_C-253</t>
      </is>
    </nc>
  </rcc>
  <rcc rId="1923" sId="4">
    <oc r="N39" t="inlineStr">
      <is>
        <t>T_C-252</t>
      </is>
    </oc>
    <nc r="N39" t="inlineStr">
      <is>
        <t>T_C-254</t>
      </is>
    </nc>
  </rcc>
  <rcc rId="1924" sId="4">
    <oc r="N40" t="inlineStr">
      <is>
        <t>T_C-253</t>
      </is>
    </oc>
    <nc r="N40" t="inlineStr">
      <is>
        <t>T_C-255</t>
      </is>
    </nc>
  </rcc>
  <rcc rId="1925" sId="4">
    <oc r="N41" t="inlineStr">
      <is>
        <t>T_C-254</t>
      </is>
    </oc>
    <nc r="N41" t="inlineStr">
      <is>
        <t>T_C-256</t>
      </is>
    </nc>
  </rcc>
  <rcc rId="1926" sId="4">
    <oc r="N42" t="inlineStr">
      <is>
        <t>T_C-255</t>
      </is>
    </oc>
    <nc r="N42" t="inlineStr">
      <is>
        <t>T_C-257</t>
      </is>
    </nc>
  </rcc>
  <rcc rId="1927" sId="4">
    <oc r="N43" t="inlineStr">
      <is>
        <t>T_C-256</t>
      </is>
    </oc>
    <nc r="N43" t="inlineStr">
      <is>
        <t>T_C-258</t>
      </is>
    </nc>
  </rcc>
  <rcc rId="1928" sId="4">
    <oc r="N44" t="inlineStr">
      <is>
        <t>T_C-257</t>
      </is>
    </oc>
    <nc r="N44" t="inlineStr">
      <is>
        <t>T_C-259</t>
      </is>
    </nc>
  </rcc>
  <rcc rId="1929" sId="4">
    <oc r="N45" t="inlineStr">
      <is>
        <t>T_C-258</t>
      </is>
    </oc>
    <nc r="N45" t="inlineStr">
      <is>
        <t>T_C-260</t>
      </is>
    </nc>
  </rcc>
  <rcc rId="1930" sId="4">
    <oc r="N46" t="inlineStr">
      <is>
        <t>T_C-259</t>
      </is>
    </oc>
    <nc r="N46" t="inlineStr">
      <is>
        <t>T_C-261</t>
      </is>
    </nc>
  </rcc>
  <rcc rId="1931" sId="4">
    <oc r="N47" t="inlineStr">
      <is>
        <t>T_C-260</t>
      </is>
    </oc>
    <nc r="N47" t="inlineStr">
      <is>
        <t>T_C-262</t>
      </is>
    </nc>
  </rcc>
  <rcc rId="1932" sId="4">
    <oc r="N48" t="inlineStr">
      <is>
        <t>T_C-261</t>
      </is>
    </oc>
    <nc r="N48" t="inlineStr">
      <is>
        <t>T_C-263</t>
      </is>
    </nc>
  </rcc>
  <rcc rId="1933" sId="4">
    <oc r="N49" t="inlineStr">
      <is>
        <t>T_C-262</t>
      </is>
    </oc>
    <nc r="N49" t="inlineStr">
      <is>
        <t>T_C-264</t>
      </is>
    </nc>
  </rcc>
  <rcc rId="1934" sId="4">
    <oc r="N50" t="inlineStr">
      <is>
        <t>T_C-263</t>
      </is>
    </oc>
    <nc r="N50" t="inlineStr">
      <is>
        <t>T_C-265</t>
      </is>
    </nc>
  </rcc>
  <rcc rId="1935" sId="4">
    <oc r="N51" t="inlineStr">
      <is>
        <t>T_C-264</t>
      </is>
    </oc>
    <nc r="N51" t="inlineStr">
      <is>
        <t>T_C-266</t>
      </is>
    </nc>
  </rcc>
  <rcc rId="1936" sId="4">
    <oc r="N52" t="inlineStr">
      <is>
        <t>T_C-265</t>
      </is>
    </oc>
    <nc r="N52" t="inlineStr">
      <is>
        <t>T_C-267</t>
      </is>
    </nc>
  </rcc>
  <rcc rId="1937" sId="4">
    <oc r="N53" t="inlineStr">
      <is>
        <t>T_C-266</t>
      </is>
    </oc>
    <nc r="N53" t="inlineStr">
      <is>
        <t>T_C-268</t>
      </is>
    </nc>
  </rcc>
  <rcc rId="1938" sId="4">
    <oc r="N54" t="inlineStr">
      <is>
        <t>T_C-267</t>
      </is>
    </oc>
    <nc r="N54" t="inlineStr">
      <is>
        <t>T_C-269</t>
      </is>
    </nc>
  </rcc>
  <rcc rId="1939" sId="4">
    <oc r="N55" t="inlineStr">
      <is>
        <t>T_C-268</t>
      </is>
    </oc>
    <nc r="N55" t="inlineStr">
      <is>
        <t>T_C-270</t>
      </is>
    </nc>
  </rcc>
  <rcc rId="1940" sId="4">
    <oc r="N56" t="inlineStr">
      <is>
        <t>T_C-269</t>
      </is>
    </oc>
    <nc r="N56" t="inlineStr">
      <is>
        <t>T_C-271</t>
      </is>
    </nc>
  </rcc>
  <rcc rId="1941" sId="4">
    <oc r="N57" t="inlineStr">
      <is>
        <t>T_C-270</t>
      </is>
    </oc>
    <nc r="N57" t="inlineStr">
      <is>
        <t>T_C-272</t>
      </is>
    </nc>
  </rcc>
  <rcc rId="1942" sId="4">
    <oc r="N58" t="inlineStr">
      <is>
        <t>T_C-271</t>
      </is>
    </oc>
    <nc r="N58" t="inlineStr">
      <is>
        <t>T_C-273</t>
      </is>
    </nc>
  </rcc>
  <rcc rId="1943" sId="4">
    <oc r="N59" t="inlineStr">
      <is>
        <t>T_C-272</t>
      </is>
    </oc>
    <nc r="N59" t="inlineStr">
      <is>
        <t>T_C-274</t>
      </is>
    </nc>
  </rcc>
  <rcc rId="1944" sId="4">
    <oc r="N60" t="inlineStr">
      <is>
        <t>T_C-273</t>
      </is>
    </oc>
    <nc r="N60" t="inlineStr">
      <is>
        <t>T_C-275</t>
      </is>
    </nc>
  </rcc>
  <rcc rId="1945" sId="4">
    <oc r="N61" t="inlineStr">
      <is>
        <t>T_C-274</t>
      </is>
    </oc>
    <nc r="N61" t="inlineStr">
      <is>
        <t>T_C-276</t>
      </is>
    </nc>
  </rcc>
  <rcc rId="1946" sId="4">
    <oc r="N62" t="inlineStr">
      <is>
        <t>T_C-275</t>
      </is>
    </oc>
    <nc r="N62" t="inlineStr">
      <is>
        <t>T_C-277</t>
      </is>
    </nc>
  </rcc>
  <rcc rId="1947" sId="4">
    <oc r="N63" t="inlineStr">
      <is>
        <t>T_C-276</t>
      </is>
    </oc>
    <nc r="N63" t="inlineStr">
      <is>
        <t>T_C-278</t>
      </is>
    </nc>
  </rcc>
  <rcc rId="1948" sId="4">
    <oc r="N64" t="inlineStr">
      <is>
        <t>T_C-277</t>
      </is>
    </oc>
    <nc r="N64" t="inlineStr">
      <is>
        <t>T_C-279</t>
      </is>
    </nc>
  </rcc>
  <rcc rId="1949" sId="4">
    <oc r="N65" t="inlineStr">
      <is>
        <t>T_C-278</t>
      </is>
    </oc>
    <nc r="N65" t="inlineStr">
      <is>
        <t>T_C-280</t>
      </is>
    </nc>
  </rcc>
  <rcc rId="1950" sId="4">
    <oc r="N66" t="inlineStr">
      <is>
        <t>T_C-279</t>
      </is>
    </oc>
    <nc r="N66" t="inlineStr">
      <is>
        <t>T_C-281</t>
      </is>
    </nc>
  </rcc>
  <rcc rId="1951" sId="4">
    <oc r="N67" t="inlineStr">
      <is>
        <t>T_C-280</t>
      </is>
    </oc>
    <nc r="N67" t="inlineStr">
      <is>
        <t>T_C-282</t>
      </is>
    </nc>
  </rcc>
  <rcc rId="1952" sId="4">
    <oc r="N68" t="inlineStr">
      <is>
        <t>T_C-281</t>
      </is>
    </oc>
    <nc r="N68" t="inlineStr">
      <is>
        <t>T_C-283</t>
      </is>
    </nc>
  </rcc>
  <rcc rId="1953" sId="4">
    <oc r="N69" t="inlineStr">
      <is>
        <t>T_C-282</t>
      </is>
    </oc>
    <nc r="N69" t="inlineStr">
      <is>
        <t>T_C-284</t>
      </is>
    </nc>
  </rcc>
  <rcc rId="1954" sId="4">
    <oc r="N70" t="inlineStr">
      <is>
        <t>T_C-283</t>
      </is>
    </oc>
    <nc r="N70" t="inlineStr">
      <is>
        <t>T_C-285</t>
      </is>
    </nc>
  </rcc>
  <rcc rId="1955" sId="4">
    <oc r="N71" t="inlineStr">
      <is>
        <t>T_C-284</t>
      </is>
    </oc>
    <nc r="N71" t="inlineStr">
      <is>
        <t>T_C-286</t>
      </is>
    </nc>
  </rcc>
  <rcc rId="1956" sId="4">
    <oc r="N72" t="inlineStr">
      <is>
        <t>T_C-285</t>
      </is>
    </oc>
    <nc r="N72" t="inlineStr">
      <is>
        <t>T_C-287</t>
      </is>
    </nc>
  </rcc>
  <rcc rId="1957" sId="4">
    <oc r="N73" t="inlineStr">
      <is>
        <t>T_C-286</t>
      </is>
    </oc>
    <nc r="N73" t="inlineStr">
      <is>
        <t>T_C-288</t>
      </is>
    </nc>
  </rcc>
  <rcc rId="1958" sId="4">
    <oc r="N74" t="inlineStr">
      <is>
        <t>T_C-287</t>
      </is>
    </oc>
    <nc r="N74" t="inlineStr">
      <is>
        <t>T_C-289</t>
      </is>
    </nc>
  </rcc>
  <rcc rId="1959" sId="4">
    <oc r="N75" t="inlineStr">
      <is>
        <t>T_C-288</t>
      </is>
    </oc>
    <nc r="N75" t="inlineStr">
      <is>
        <t>T_C-290</t>
      </is>
    </nc>
  </rcc>
  <rcc rId="1960" sId="4">
    <oc r="N76" t="inlineStr">
      <is>
        <t>T_C-289</t>
      </is>
    </oc>
    <nc r="N76" t="inlineStr">
      <is>
        <t>T_C-291</t>
      </is>
    </nc>
  </rcc>
  <rcc rId="1961" sId="4">
    <oc r="N77" t="inlineStr">
      <is>
        <t>T_C-290</t>
      </is>
    </oc>
    <nc r="N77" t="inlineStr">
      <is>
        <t>T_C-292</t>
      </is>
    </nc>
  </rcc>
  <rcc rId="1962" sId="4">
    <oc r="N78" t="inlineStr">
      <is>
        <t>T_C-291</t>
      </is>
    </oc>
    <nc r="N78" t="inlineStr">
      <is>
        <t>T_C-293</t>
      </is>
    </nc>
  </rcc>
  <rcc rId="1963" sId="4">
    <oc r="N79" t="inlineStr">
      <is>
        <t>T_C-292</t>
      </is>
    </oc>
    <nc r="N79" t="inlineStr">
      <is>
        <t>T_C-294</t>
      </is>
    </nc>
  </rcc>
  <rcc rId="1964" sId="4">
    <oc r="N80" t="inlineStr">
      <is>
        <t>T_C-293</t>
      </is>
    </oc>
    <nc r="N80" t="inlineStr">
      <is>
        <t>T_C-295</t>
      </is>
    </nc>
  </rcc>
  <rcc rId="1965" sId="4">
    <oc r="N81" t="inlineStr">
      <is>
        <t>T_C-294</t>
      </is>
    </oc>
    <nc r="N81" t="inlineStr">
      <is>
        <t>T_C-296</t>
      </is>
    </nc>
  </rcc>
  <rcc rId="1966" sId="4">
    <oc r="N82" t="inlineStr">
      <is>
        <t>T_C-295</t>
      </is>
    </oc>
    <nc r="N82" t="inlineStr">
      <is>
        <t>T_C-297</t>
      </is>
    </nc>
  </rcc>
  <rcc rId="1967" sId="4">
    <oc r="N83" t="inlineStr">
      <is>
        <t>T_C-296</t>
      </is>
    </oc>
    <nc r="N83" t="inlineStr">
      <is>
        <t>T_C-298</t>
      </is>
    </nc>
  </rcc>
  <rcc rId="1968" sId="4">
    <oc r="N84" t="inlineStr">
      <is>
        <t>T_C-297</t>
      </is>
    </oc>
    <nc r="N84" t="inlineStr">
      <is>
        <t>T_C-299</t>
      </is>
    </nc>
  </rcc>
  <rcc rId="1969" sId="4">
    <oc r="N85" t="inlineStr">
      <is>
        <t>T_C-298</t>
      </is>
    </oc>
    <nc r="N85" t="inlineStr">
      <is>
        <t>T_C-300</t>
      </is>
    </nc>
  </rcc>
  <rcc rId="1970" sId="4">
    <oc r="N86" t="inlineStr">
      <is>
        <t>T_C-299</t>
      </is>
    </oc>
    <nc r="N86" t="inlineStr">
      <is>
        <t>T_C-301</t>
      </is>
    </nc>
  </rcc>
  <rcc rId="1971" sId="4">
    <oc r="N87" t="inlineStr">
      <is>
        <t>T_C-300</t>
      </is>
    </oc>
    <nc r="N87" t="inlineStr">
      <is>
        <t>T_C-302</t>
      </is>
    </nc>
  </rcc>
  <rcc rId="1972" sId="4">
    <oc r="N88" t="inlineStr">
      <is>
        <t>T_C-301</t>
      </is>
    </oc>
    <nc r="N88" t="inlineStr">
      <is>
        <t>T_C-303</t>
      </is>
    </nc>
  </rcc>
  <rcc rId="1973" sId="4">
    <oc r="N89" t="inlineStr">
      <is>
        <t>T_C-302</t>
      </is>
    </oc>
    <nc r="N89" t="inlineStr">
      <is>
        <t>T_C-304</t>
      </is>
    </nc>
  </rcc>
  <rcc rId="1974" sId="4">
    <oc r="N90" t="inlineStr">
      <is>
        <t>T_C-303</t>
      </is>
    </oc>
    <nc r="N90" t="inlineStr">
      <is>
        <t>T_C-305</t>
      </is>
    </nc>
  </rcc>
  <rcc rId="1975" sId="4">
    <oc r="N91" t="inlineStr">
      <is>
        <t>T_C-304</t>
      </is>
    </oc>
    <nc r="N91" t="inlineStr">
      <is>
        <t>T_C-306</t>
      </is>
    </nc>
  </rcc>
  <rcc rId="1976" sId="4">
    <oc r="N92" t="inlineStr">
      <is>
        <t>T_C-305</t>
      </is>
    </oc>
    <nc r="N92" t="inlineStr">
      <is>
        <t>T_C-307</t>
      </is>
    </nc>
  </rcc>
  <rcc rId="1977" sId="4">
    <oc r="N93" t="inlineStr">
      <is>
        <t>T_C-306</t>
      </is>
    </oc>
    <nc r="N93" t="inlineStr">
      <is>
        <t>T_C-308</t>
      </is>
    </nc>
  </rcc>
  <rcc rId="1978" sId="4">
    <oc r="N94" t="inlineStr">
      <is>
        <t>T_C-307</t>
      </is>
    </oc>
    <nc r="N94" t="inlineStr">
      <is>
        <t>T_C-309</t>
      </is>
    </nc>
  </rcc>
  <rcc rId="1979" sId="4">
    <oc r="N95" t="inlineStr">
      <is>
        <t>T_C-308</t>
      </is>
    </oc>
    <nc r="N95" t="inlineStr">
      <is>
        <t>T_C-310</t>
      </is>
    </nc>
  </rcc>
  <rcc rId="1980" sId="4">
    <oc r="N96" t="inlineStr">
      <is>
        <t>T_C-309</t>
      </is>
    </oc>
    <nc r="N96" t="inlineStr">
      <is>
        <t>T_C-311</t>
      </is>
    </nc>
  </rcc>
  <rcc rId="1981" sId="4">
    <oc r="N97" t="inlineStr">
      <is>
        <t>T_C-310</t>
      </is>
    </oc>
    <nc r="N97" t="inlineStr">
      <is>
        <t>T_C-312</t>
      </is>
    </nc>
  </rcc>
  <rcc rId="1982" sId="4">
    <oc r="N98" t="inlineStr">
      <is>
        <t>T_C-311</t>
      </is>
    </oc>
    <nc r="N98" t="inlineStr">
      <is>
        <t>T_C-313</t>
      </is>
    </nc>
  </rcc>
  <rcc rId="1983" sId="4">
    <oc r="N99" t="inlineStr">
      <is>
        <t>T_C-312</t>
      </is>
    </oc>
    <nc r="N99" t="inlineStr">
      <is>
        <t>T_C-314</t>
      </is>
    </nc>
  </rcc>
  <rcc rId="1984" sId="4">
    <oc r="N100" t="inlineStr">
      <is>
        <t>T_C-313</t>
      </is>
    </oc>
    <nc r="N100" t="inlineStr">
      <is>
        <t>T_C-315</t>
      </is>
    </nc>
  </rcc>
  <rcc rId="1985" sId="4">
    <oc r="N101" t="inlineStr">
      <is>
        <t>T_C-314</t>
      </is>
    </oc>
    <nc r="N101" t="inlineStr">
      <is>
        <t>T_C-316</t>
      </is>
    </nc>
  </rcc>
  <rcc rId="1986" sId="4">
    <oc r="N102" t="inlineStr">
      <is>
        <t>T_C-315</t>
      </is>
    </oc>
    <nc r="N102" t="inlineStr">
      <is>
        <t>T_C-317</t>
      </is>
    </nc>
  </rcc>
  <rcc rId="1987" sId="4">
    <oc r="N103" t="inlineStr">
      <is>
        <t>T_C-316</t>
      </is>
    </oc>
    <nc r="N103" t="inlineStr">
      <is>
        <t>T_C-318</t>
      </is>
    </nc>
  </rcc>
  <rcc rId="1988" sId="4">
    <oc r="N104" t="inlineStr">
      <is>
        <t>T_C-317</t>
      </is>
    </oc>
    <nc r="N104" t="inlineStr">
      <is>
        <t>T_C-319</t>
      </is>
    </nc>
  </rcc>
  <rcc rId="1989" sId="4">
    <oc r="N105" t="inlineStr">
      <is>
        <t>T_C-318</t>
      </is>
    </oc>
    <nc r="N105" t="inlineStr">
      <is>
        <t>T_C-320</t>
      </is>
    </nc>
  </rcc>
  <rcc rId="1990" sId="4">
    <oc r="N106" t="inlineStr">
      <is>
        <t>T_C-319</t>
      </is>
    </oc>
    <nc r="N106" t="inlineStr">
      <is>
        <t>T_C-321</t>
      </is>
    </nc>
  </rcc>
  <rcc rId="1991" sId="4">
    <oc r="N107" t="inlineStr">
      <is>
        <t>T_C-320</t>
      </is>
    </oc>
    <nc r="N107" t="inlineStr">
      <is>
        <t>T_C-322</t>
      </is>
    </nc>
  </rcc>
  <rcc rId="1992" sId="4">
    <oc r="N108" t="inlineStr">
      <is>
        <t>T_C-321</t>
      </is>
    </oc>
    <nc r="N108" t="inlineStr">
      <is>
        <t>T_C-323</t>
      </is>
    </nc>
  </rcc>
  <rcc rId="1993" sId="4">
    <oc r="N109" t="inlineStr">
      <is>
        <t>T_C-322</t>
      </is>
    </oc>
    <nc r="N109" t="inlineStr">
      <is>
        <t>T_C-324</t>
      </is>
    </nc>
  </rcc>
  <rcc rId="1994" sId="4">
    <oc r="N110" t="inlineStr">
      <is>
        <t>T_C-323</t>
      </is>
    </oc>
    <nc r="N110" t="inlineStr">
      <is>
        <t>T_C-325</t>
      </is>
    </nc>
  </rcc>
  <rcc rId="1995" sId="4">
    <oc r="N111" t="inlineStr">
      <is>
        <t>T_C-324</t>
      </is>
    </oc>
    <nc r="N111" t="inlineStr">
      <is>
        <t>T_C-326</t>
      </is>
    </nc>
  </rcc>
  <rcc rId="1996" sId="4">
    <oc r="N112" t="inlineStr">
      <is>
        <t>T_C-325</t>
      </is>
    </oc>
    <nc r="N112" t="inlineStr">
      <is>
        <t>T_C-327</t>
      </is>
    </nc>
  </rcc>
  <rcc rId="1997" sId="4">
    <oc r="N113" t="inlineStr">
      <is>
        <t>T_C-326</t>
      </is>
    </oc>
    <nc r="N113" t="inlineStr">
      <is>
        <t>T_C-328</t>
      </is>
    </nc>
  </rcc>
  <rcc rId="1998" sId="4">
    <oc r="N114" t="inlineStr">
      <is>
        <t>T_C-327</t>
      </is>
    </oc>
    <nc r="N114" t="inlineStr">
      <is>
        <t>T_C-329</t>
      </is>
    </nc>
  </rcc>
  <rcc rId="1999" sId="4">
    <oc r="N115" t="inlineStr">
      <is>
        <t>T_C-328</t>
      </is>
    </oc>
    <nc r="N115" t="inlineStr">
      <is>
        <t>T_C-330</t>
      </is>
    </nc>
  </rcc>
  <rcc rId="2000" sId="4">
    <oc r="N116" t="inlineStr">
      <is>
        <t>T_C-329</t>
      </is>
    </oc>
    <nc r="N116" t="inlineStr">
      <is>
        <t>T_C-331</t>
      </is>
    </nc>
  </rcc>
  <rcc rId="2001" sId="4">
    <oc r="N117" t="inlineStr">
      <is>
        <t>T_C-330</t>
      </is>
    </oc>
    <nc r="N117" t="inlineStr">
      <is>
        <t>T_C-332</t>
      </is>
    </nc>
  </rcc>
  <rcc rId="2002" sId="4">
    <oc r="N118" t="inlineStr">
      <is>
        <t>T_C-331</t>
      </is>
    </oc>
    <nc r="N118" t="inlineStr">
      <is>
        <t>T_C-333</t>
      </is>
    </nc>
  </rcc>
  <rcc rId="2003" sId="4">
    <oc r="N119" t="inlineStr">
      <is>
        <t>T_C-332</t>
      </is>
    </oc>
    <nc r="N119" t="inlineStr">
      <is>
        <t>T_C-334</t>
      </is>
    </nc>
  </rcc>
  <rcc rId="2004" sId="4">
    <oc r="N120" t="inlineStr">
      <is>
        <t>T_C-333</t>
      </is>
    </oc>
    <nc r="N120" t="inlineStr">
      <is>
        <t>T_C-335</t>
      </is>
    </nc>
  </rcc>
  <rcc rId="2005" sId="4">
    <oc r="N121" t="inlineStr">
      <is>
        <t>T_C-334</t>
      </is>
    </oc>
    <nc r="N121" t="inlineStr">
      <is>
        <t>T_C-336</t>
      </is>
    </nc>
  </rcc>
  <rcc rId="2006" sId="4">
    <oc r="N122" t="inlineStr">
      <is>
        <t>T_C-335</t>
      </is>
    </oc>
    <nc r="N122" t="inlineStr">
      <is>
        <t>T_C-337</t>
      </is>
    </nc>
  </rcc>
  <rcc rId="2007" sId="4">
    <oc r="N123" t="inlineStr">
      <is>
        <t>T_C-336</t>
      </is>
    </oc>
    <nc r="N123" t="inlineStr">
      <is>
        <t>T_C-338</t>
      </is>
    </nc>
  </rcc>
  <rcc rId="2008" sId="4">
    <oc r="N124" t="inlineStr">
      <is>
        <t>T_C-337</t>
      </is>
    </oc>
    <nc r="N124" t="inlineStr">
      <is>
        <t>T_C-339</t>
      </is>
    </nc>
  </rcc>
  <rcc rId="2009" sId="4">
    <oc r="N125" t="inlineStr">
      <is>
        <t>T_C-338</t>
      </is>
    </oc>
    <nc r="N125" t="inlineStr">
      <is>
        <t>T_C-340</t>
      </is>
    </nc>
  </rcc>
  <rcc rId="2010" sId="4">
    <oc r="N126" t="inlineStr">
      <is>
        <t>T_C-339</t>
      </is>
    </oc>
    <nc r="N126" t="inlineStr">
      <is>
        <t>T_C-341</t>
      </is>
    </nc>
  </rcc>
  <rcc rId="2011" sId="4">
    <oc r="N127" t="inlineStr">
      <is>
        <t>T_C-340</t>
      </is>
    </oc>
    <nc r="N127" t="inlineStr">
      <is>
        <t>T_C-342</t>
      </is>
    </nc>
  </rcc>
  <rcc rId="2012" sId="4">
    <oc r="N128" t="inlineStr">
      <is>
        <t>T_C-341</t>
      </is>
    </oc>
    <nc r="N128" t="inlineStr">
      <is>
        <t>T_C-343</t>
      </is>
    </nc>
  </rcc>
  <rcc rId="2013" sId="4">
    <oc r="N129" t="inlineStr">
      <is>
        <t>T_C-342</t>
      </is>
    </oc>
    <nc r="N129" t="inlineStr">
      <is>
        <t>T_C-344</t>
      </is>
    </nc>
  </rcc>
  <rcc rId="2014" sId="4">
    <oc r="N130" t="inlineStr">
      <is>
        <t>T_C-343</t>
      </is>
    </oc>
    <nc r="N130" t="inlineStr">
      <is>
        <t>T_C-345</t>
      </is>
    </nc>
  </rcc>
  <rcc rId="2015" sId="4">
    <oc r="N131" t="inlineStr">
      <is>
        <t>T_C-344</t>
      </is>
    </oc>
    <nc r="N131" t="inlineStr">
      <is>
        <t>T_C-346</t>
      </is>
    </nc>
  </rcc>
  <rcc rId="2016" sId="4">
    <oc r="N132" t="inlineStr">
      <is>
        <t>T_C-345</t>
      </is>
    </oc>
    <nc r="N132" t="inlineStr">
      <is>
        <t>T_C-347</t>
      </is>
    </nc>
  </rcc>
  <rcc rId="2017" sId="4">
    <oc r="N133" t="inlineStr">
      <is>
        <t>T_C-346</t>
      </is>
    </oc>
    <nc r="N133" t="inlineStr">
      <is>
        <t>T_C-348</t>
      </is>
    </nc>
  </rcc>
  <rcc rId="2018" sId="4">
    <oc r="N134" t="inlineStr">
      <is>
        <t>T_C-347</t>
      </is>
    </oc>
    <nc r="N134" t="inlineStr">
      <is>
        <t>T_C-349</t>
      </is>
    </nc>
  </rcc>
  <rcc rId="2019" sId="4">
    <oc r="N135" t="inlineStr">
      <is>
        <t>T_C-348</t>
      </is>
    </oc>
    <nc r="N135" t="inlineStr">
      <is>
        <t>T_C-350</t>
      </is>
    </nc>
  </rcc>
  <rcc rId="2020" sId="4">
    <oc r="N136" t="inlineStr">
      <is>
        <t>T_C-349</t>
      </is>
    </oc>
    <nc r="N136" t="inlineStr">
      <is>
        <t>T_C-351</t>
      </is>
    </nc>
  </rcc>
  <rcc rId="2021" sId="4">
    <oc r="N137" t="inlineStr">
      <is>
        <t>T_C-350</t>
      </is>
    </oc>
    <nc r="N137" t="inlineStr">
      <is>
        <t>T_C-352</t>
      </is>
    </nc>
  </rcc>
  <rcc rId="2022" sId="4">
    <oc r="N138" t="inlineStr">
      <is>
        <t>T_C-351</t>
      </is>
    </oc>
    <nc r="N138" t="inlineStr">
      <is>
        <t>T_C-353</t>
      </is>
    </nc>
  </rcc>
  <rcc rId="2023" sId="4">
    <oc r="N139" t="inlineStr">
      <is>
        <t>T_C-352</t>
      </is>
    </oc>
    <nc r="N139" t="inlineStr">
      <is>
        <t>T_C-354</t>
      </is>
    </nc>
  </rcc>
  <rcc rId="2024" sId="4">
    <oc r="N140" t="inlineStr">
      <is>
        <t>T_C-353</t>
      </is>
    </oc>
    <nc r="N140" t="inlineStr">
      <is>
        <t>T_C-355</t>
      </is>
    </nc>
  </rcc>
  <rcc rId="2025" sId="4">
    <oc r="N141" t="inlineStr">
      <is>
        <t>T_C-354</t>
      </is>
    </oc>
    <nc r="N141" t="inlineStr">
      <is>
        <t>T_C-356</t>
      </is>
    </nc>
  </rcc>
  <rcc rId="2026" sId="4">
    <oc r="N142" t="inlineStr">
      <is>
        <t>T_C-355</t>
      </is>
    </oc>
    <nc r="N142" t="inlineStr">
      <is>
        <t>T_C-357</t>
      </is>
    </nc>
  </rcc>
  <rcc rId="2027" sId="4">
    <oc r="N143" t="inlineStr">
      <is>
        <t>T_C-356</t>
      </is>
    </oc>
    <nc r="N143" t="inlineStr">
      <is>
        <t>T_C-358</t>
      </is>
    </nc>
  </rcc>
  <rcc rId="2028" sId="4">
    <oc r="N144" t="inlineStr">
      <is>
        <t>T_C-357</t>
      </is>
    </oc>
    <nc r="N144" t="inlineStr">
      <is>
        <t>T_C-359</t>
      </is>
    </nc>
  </rcc>
  <rcc rId="2029" sId="4">
    <oc r="N145" t="inlineStr">
      <is>
        <t>T_C-358</t>
      </is>
    </oc>
    <nc r="N145" t="inlineStr">
      <is>
        <t>T_C-360</t>
      </is>
    </nc>
  </rcc>
  <rcc rId="2030" sId="4">
    <oc r="N146" t="inlineStr">
      <is>
        <t>T_C-359</t>
      </is>
    </oc>
    <nc r="N146" t="inlineStr">
      <is>
        <t>T_C-361</t>
      </is>
    </nc>
  </rcc>
  <rcc rId="2031" sId="4">
    <oc r="N147" t="inlineStr">
      <is>
        <t>T_C-360</t>
      </is>
    </oc>
    <nc r="N147" t="inlineStr">
      <is>
        <t>T_C-362</t>
      </is>
    </nc>
  </rcc>
  <rcc rId="2032" sId="4">
    <oc r="N148" t="inlineStr">
      <is>
        <t>T_C-361</t>
      </is>
    </oc>
    <nc r="N148" t="inlineStr">
      <is>
        <t>T_C-363</t>
      </is>
    </nc>
  </rcc>
  <rcc rId="2033" sId="4">
    <oc r="N149" t="inlineStr">
      <is>
        <t>T_C-362</t>
      </is>
    </oc>
    <nc r="N149" t="inlineStr">
      <is>
        <t>T_C-364</t>
      </is>
    </nc>
  </rcc>
  <rcc rId="2034" sId="4">
    <oc r="N150" t="inlineStr">
      <is>
        <t>T_C-363</t>
      </is>
    </oc>
    <nc r="N150" t="inlineStr">
      <is>
        <t>T_C-365</t>
      </is>
    </nc>
  </rcc>
  <rcc rId="2035" sId="4">
    <oc r="N151" t="inlineStr">
      <is>
        <t>T_C-364</t>
      </is>
    </oc>
    <nc r="N151" t="inlineStr">
      <is>
        <t>T_C-366</t>
      </is>
    </nc>
  </rcc>
  <rcc rId="2036" sId="4">
    <oc r="N152" t="inlineStr">
      <is>
        <t>T_C-365</t>
      </is>
    </oc>
    <nc r="N152" t="inlineStr">
      <is>
        <t>T_C-367</t>
      </is>
    </nc>
  </rcc>
  <rcc rId="2037" sId="4">
    <oc r="N153" t="inlineStr">
      <is>
        <t>T_C-366</t>
      </is>
    </oc>
    <nc r="N153" t="inlineStr">
      <is>
        <t>T_C-368</t>
      </is>
    </nc>
  </rcc>
  <rcc rId="2038" sId="4">
    <oc r="N154" t="inlineStr">
      <is>
        <t>T_C-367</t>
      </is>
    </oc>
    <nc r="N154" t="inlineStr">
      <is>
        <t>T_C-369</t>
      </is>
    </nc>
  </rcc>
  <rcc rId="2039" sId="4">
    <oc r="N155" t="inlineStr">
      <is>
        <t>T_C-368</t>
      </is>
    </oc>
    <nc r="N155" t="inlineStr">
      <is>
        <t>T_C-370</t>
      </is>
    </nc>
  </rcc>
  <rcc rId="2040" sId="4">
    <oc r="N156" t="inlineStr">
      <is>
        <t>T_C-369</t>
      </is>
    </oc>
    <nc r="N156" t="inlineStr">
      <is>
        <t>T_C-371</t>
      </is>
    </nc>
  </rcc>
  <rcc rId="2041" sId="4">
    <oc r="N157" t="inlineStr">
      <is>
        <t>T_C-370</t>
      </is>
    </oc>
    <nc r="N157" t="inlineStr">
      <is>
        <t>T_C-372</t>
      </is>
    </nc>
  </rcc>
  <rcc rId="2042" sId="4">
    <oc r="N158" t="inlineStr">
      <is>
        <t>T_C-371</t>
      </is>
    </oc>
    <nc r="N158" t="inlineStr">
      <is>
        <t>T_C-373</t>
      </is>
    </nc>
  </rcc>
  <rcc rId="2043" sId="4">
    <oc r="N159" t="inlineStr">
      <is>
        <t>T_C-372</t>
      </is>
    </oc>
    <nc r="N159" t="inlineStr">
      <is>
        <t>T_C-374</t>
      </is>
    </nc>
  </rcc>
  <rcc rId="2044" sId="4">
    <oc r="N160" t="inlineStr">
      <is>
        <t>T_C-373</t>
      </is>
    </oc>
    <nc r="N160" t="inlineStr">
      <is>
        <t>T_C-375</t>
      </is>
    </nc>
  </rcc>
  <rcc rId="2045" sId="4">
    <oc r="N161" t="inlineStr">
      <is>
        <t>T_C-374</t>
      </is>
    </oc>
    <nc r="N161" t="inlineStr">
      <is>
        <t>T_C-376</t>
      </is>
    </nc>
  </rcc>
  <rcc rId="2046" sId="4">
    <oc r="N162" t="inlineStr">
      <is>
        <t>T_C-375</t>
      </is>
    </oc>
    <nc r="N162" t="inlineStr">
      <is>
        <t>T_C-377</t>
      </is>
    </nc>
  </rcc>
  <rcc rId="2047" sId="4">
    <oc r="N163" t="inlineStr">
      <is>
        <t>T_C-376</t>
      </is>
    </oc>
    <nc r="N163" t="inlineStr">
      <is>
        <t>T_C-378</t>
      </is>
    </nc>
  </rcc>
  <rcc rId="2048" sId="4">
    <oc r="N164" t="inlineStr">
      <is>
        <t>T_C-377</t>
      </is>
    </oc>
    <nc r="N164" t="inlineStr">
      <is>
        <t>T_C-379</t>
      </is>
    </nc>
  </rcc>
  <rcc rId="2049" sId="4">
    <oc r="N165" t="inlineStr">
      <is>
        <t>T_C-378</t>
      </is>
    </oc>
    <nc r="N165" t="inlineStr">
      <is>
        <t>T_C-380</t>
      </is>
    </nc>
  </rcc>
  <rcc rId="2050" sId="4">
    <oc r="N166" t="inlineStr">
      <is>
        <t>T_C-379</t>
      </is>
    </oc>
    <nc r="N166" t="inlineStr">
      <is>
        <t>T_C-381</t>
      </is>
    </nc>
  </rcc>
  <rcc rId="2051" sId="4">
    <oc r="N167" t="inlineStr">
      <is>
        <t>T_C-380</t>
      </is>
    </oc>
    <nc r="N167" t="inlineStr">
      <is>
        <t>T_C-382</t>
      </is>
    </nc>
  </rcc>
  <rcc rId="2052" sId="4">
    <oc r="N168" t="inlineStr">
      <is>
        <t>T_C-381</t>
      </is>
    </oc>
    <nc r="N168" t="inlineStr">
      <is>
        <t>T_C-383</t>
      </is>
    </nc>
  </rcc>
  <rcc rId="2053" sId="4">
    <oc r="N169" t="inlineStr">
      <is>
        <t>T_C-382</t>
      </is>
    </oc>
    <nc r="N169" t="inlineStr">
      <is>
        <t>T_C-384</t>
      </is>
    </nc>
  </rcc>
  <rcc rId="2054" sId="4">
    <oc r="N170" t="inlineStr">
      <is>
        <t>T_C-383</t>
      </is>
    </oc>
    <nc r="N170" t="inlineStr">
      <is>
        <t>T_C-385</t>
      </is>
    </nc>
  </rcc>
  <rcc rId="2055" sId="4">
    <oc r="N171" t="inlineStr">
      <is>
        <t>T_C-384</t>
      </is>
    </oc>
    <nc r="N171" t="inlineStr">
      <is>
        <t>T_C-386</t>
      </is>
    </nc>
  </rcc>
  <rcc rId="2056" sId="4">
    <oc r="N172" t="inlineStr">
      <is>
        <t>T_C-385</t>
      </is>
    </oc>
    <nc r="N172" t="inlineStr">
      <is>
        <t>T_C-387</t>
      </is>
    </nc>
  </rcc>
  <rcc rId="2057" sId="4">
    <oc r="N173" t="inlineStr">
      <is>
        <t>T_C-386</t>
      </is>
    </oc>
    <nc r="N173" t="inlineStr">
      <is>
        <t>T_C-388</t>
      </is>
    </nc>
  </rcc>
  <rcc rId="2058" sId="4">
    <oc r="N174" t="inlineStr">
      <is>
        <t>T_C-387</t>
      </is>
    </oc>
    <nc r="N174" t="inlineStr">
      <is>
        <t>T_C-389</t>
      </is>
    </nc>
  </rcc>
  <rcc rId="2059" sId="4">
    <oc r="N175" t="inlineStr">
      <is>
        <t>T_C-388</t>
      </is>
    </oc>
    <nc r="N175" t="inlineStr">
      <is>
        <t>T_C-390</t>
      </is>
    </nc>
  </rcc>
  <rcc rId="2060" sId="4">
    <oc r="N176" t="inlineStr">
      <is>
        <t>T_C-389</t>
      </is>
    </oc>
    <nc r="N176" t="inlineStr">
      <is>
        <t>T_C-391</t>
      </is>
    </nc>
  </rcc>
  <rcc rId="2061" sId="4">
    <oc r="N177" t="inlineStr">
      <is>
        <t>T_C-390</t>
      </is>
    </oc>
    <nc r="N177" t="inlineStr">
      <is>
        <t>T_C-392</t>
      </is>
    </nc>
  </rcc>
  <rcc rId="2062" sId="4">
    <oc r="N178" t="inlineStr">
      <is>
        <t>T_C-391</t>
      </is>
    </oc>
    <nc r="N178" t="inlineStr">
      <is>
        <t>T_C-393</t>
      </is>
    </nc>
  </rcc>
  <rcc rId="2063" sId="4">
    <oc r="N179" t="inlineStr">
      <is>
        <t>T_C-392</t>
      </is>
    </oc>
    <nc r="N179" t="inlineStr">
      <is>
        <t>T_C-394</t>
      </is>
    </nc>
  </rcc>
  <rcc rId="2064" sId="4">
    <oc r="N180" t="inlineStr">
      <is>
        <t>T_C-393</t>
      </is>
    </oc>
    <nc r="N180" t="inlineStr">
      <is>
        <t>T_C-395</t>
      </is>
    </nc>
  </rcc>
  <rcc rId="2065" sId="4">
    <oc r="N181" t="inlineStr">
      <is>
        <t>T_C-394</t>
      </is>
    </oc>
    <nc r="N181" t="inlineStr">
      <is>
        <t>T_C-396</t>
      </is>
    </nc>
  </rcc>
  <rcc rId="2066" sId="4">
    <oc r="N182" t="inlineStr">
      <is>
        <t>T_C-395</t>
      </is>
    </oc>
    <nc r="N182" t="inlineStr">
      <is>
        <t>T_C-397</t>
      </is>
    </nc>
  </rcc>
  <rcc rId="2067" sId="4">
    <oc r="N183" t="inlineStr">
      <is>
        <t>T_C-396</t>
      </is>
    </oc>
    <nc r="N183" t="inlineStr">
      <is>
        <t>T_C-398</t>
      </is>
    </nc>
  </rcc>
  <rcc rId="2068" sId="4">
    <oc r="N184" t="inlineStr">
      <is>
        <t>T_C-397</t>
      </is>
    </oc>
    <nc r="N184" t="inlineStr">
      <is>
        <t>T_C-399</t>
      </is>
    </nc>
  </rcc>
  <rcc rId="2069" sId="4">
    <oc r="N185" t="inlineStr">
      <is>
        <t>T_C-398</t>
      </is>
    </oc>
    <nc r="N185" t="inlineStr">
      <is>
        <t>T_C-400</t>
      </is>
    </nc>
  </rcc>
  <rcc rId="2070" sId="4">
    <oc r="N186" t="inlineStr">
      <is>
        <t>T_C-399</t>
      </is>
    </oc>
    <nc r="N186" t="inlineStr">
      <is>
        <t>T_C-401</t>
      </is>
    </nc>
  </rcc>
  <rcc rId="2071" sId="4">
    <oc r="N187" t="inlineStr">
      <is>
        <t>T_C-400</t>
      </is>
    </oc>
    <nc r="N187" t="inlineStr">
      <is>
        <t>T_C-402</t>
      </is>
    </nc>
  </rcc>
  <rcc rId="2072" sId="4">
    <oc r="N188" t="inlineStr">
      <is>
        <t>T_C-401</t>
      </is>
    </oc>
    <nc r="N188" t="inlineStr">
      <is>
        <t>T_C-403</t>
      </is>
    </nc>
  </rcc>
  <rcc rId="2073" sId="4">
    <oc r="N189" t="inlineStr">
      <is>
        <t>T_C-402</t>
      </is>
    </oc>
    <nc r="N189" t="inlineStr">
      <is>
        <t>T_C-404</t>
      </is>
    </nc>
  </rcc>
  <rcc rId="2074" sId="4">
    <oc r="N190" t="inlineStr">
      <is>
        <t>T_C-403</t>
      </is>
    </oc>
    <nc r="N190" t="inlineStr">
      <is>
        <t>T_C-405</t>
      </is>
    </nc>
  </rcc>
  <rcc rId="2075" sId="4">
    <oc r="N191" t="inlineStr">
      <is>
        <t>T_C-404</t>
      </is>
    </oc>
    <nc r="N191" t="inlineStr">
      <is>
        <t>T_C-406</t>
      </is>
    </nc>
  </rcc>
  <rcc rId="2076" sId="4">
    <oc r="N192" t="inlineStr">
      <is>
        <t>T_C-405</t>
      </is>
    </oc>
    <nc r="N192" t="inlineStr">
      <is>
        <t>T_C-407</t>
      </is>
    </nc>
  </rcc>
  <rcc rId="2077" sId="4">
    <oc r="N193" t="inlineStr">
      <is>
        <t>T_C-406</t>
      </is>
    </oc>
    <nc r="N193" t="inlineStr">
      <is>
        <t>T_C-408</t>
      </is>
    </nc>
  </rcc>
  <rcc rId="2078" sId="4">
    <oc r="N194" t="inlineStr">
      <is>
        <t>T_C-407</t>
      </is>
    </oc>
    <nc r="N194" t="inlineStr">
      <is>
        <t>T_C-409</t>
      </is>
    </nc>
  </rcc>
  <rcc rId="2079" sId="4">
    <oc r="N195" t="inlineStr">
      <is>
        <t>T_C-408</t>
      </is>
    </oc>
    <nc r="N195" t="inlineStr">
      <is>
        <t>T_C-410</t>
      </is>
    </nc>
  </rcc>
  <rcc rId="2080" sId="4">
    <oc r="N196" t="inlineStr">
      <is>
        <t>T_C-409</t>
      </is>
    </oc>
    <nc r="N196" t="inlineStr">
      <is>
        <t>T_C-411</t>
      </is>
    </nc>
  </rcc>
  <rcc rId="2081" sId="4">
    <oc r="N197" t="inlineStr">
      <is>
        <t>T_C-410</t>
      </is>
    </oc>
    <nc r="N197" t="inlineStr">
      <is>
        <t>T_C-412</t>
      </is>
    </nc>
  </rcc>
  <rcc rId="2082" sId="4">
    <oc r="N198" t="inlineStr">
      <is>
        <t>T_C-411</t>
      </is>
    </oc>
    <nc r="N198" t="inlineStr">
      <is>
        <t>T_C-413</t>
      </is>
    </nc>
  </rcc>
  <rcc rId="2083" sId="4">
    <oc r="N199" t="inlineStr">
      <is>
        <t>T_C-412</t>
      </is>
    </oc>
    <nc r="N199" t="inlineStr">
      <is>
        <t>T_C-414</t>
      </is>
    </nc>
  </rcc>
  <rcc rId="2084" sId="4">
    <oc r="N200" t="inlineStr">
      <is>
        <t>T_C-413</t>
      </is>
    </oc>
    <nc r="N200" t="inlineStr">
      <is>
        <t>T_C-415</t>
      </is>
    </nc>
  </rcc>
  <rcc rId="2085" sId="4">
    <oc r="N201" t="inlineStr">
      <is>
        <t>T_C-414</t>
      </is>
    </oc>
    <nc r="N201" t="inlineStr">
      <is>
        <t>T_C-416</t>
      </is>
    </nc>
  </rcc>
  <rcc rId="2086" sId="4">
    <oc r="N202" t="inlineStr">
      <is>
        <t>T_C-415</t>
      </is>
    </oc>
    <nc r="N202" t="inlineStr">
      <is>
        <t>T_C-417</t>
      </is>
    </nc>
  </rcc>
  <rcc rId="2087" sId="4">
    <oc r="N203" t="inlineStr">
      <is>
        <t>T_C-416</t>
      </is>
    </oc>
    <nc r="N203" t="inlineStr">
      <is>
        <t>T_C-418</t>
      </is>
    </nc>
  </rcc>
  <rcc rId="2088" sId="4">
    <oc r="N204" t="inlineStr">
      <is>
        <t>T_C-417</t>
      </is>
    </oc>
    <nc r="N204" t="inlineStr">
      <is>
        <t>T_C-419</t>
      </is>
    </nc>
  </rcc>
  <rcc rId="2089" sId="4">
    <oc r="N205" t="inlineStr">
      <is>
        <t>T_C-418</t>
      </is>
    </oc>
    <nc r="N205" t="inlineStr">
      <is>
        <t>T_C-420</t>
      </is>
    </nc>
  </rcc>
  <rcc rId="2090" sId="4">
    <oc r="N206" t="inlineStr">
      <is>
        <t>T_C-419</t>
      </is>
    </oc>
    <nc r="N206" t="inlineStr">
      <is>
        <t>T_C-421</t>
      </is>
    </nc>
  </rcc>
  <rcc rId="2091" sId="4">
    <oc r="N207" t="inlineStr">
      <is>
        <t>T_C-420</t>
      </is>
    </oc>
    <nc r="N207" t="inlineStr">
      <is>
        <t>T_C-422</t>
      </is>
    </nc>
  </rcc>
  <rcc rId="2092" sId="4">
    <oc r="N208" t="inlineStr">
      <is>
        <t>T_C-421</t>
      </is>
    </oc>
    <nc r="N208" t="inlineStr">
      <is>
        <t>T_C-423</t>
      </is>
    </nc>
  </rcc>
  <rcc rId="2093" sId="4">
    <oc r="N209" t="inlineStr">
      <is>
        <t>T_C-422</t>
      </is>
    </oc>
    <nc r="N209" t="inlineStr">
      <is>
        <t>T_C-424</t>
      </is>
    </nc>
  </rcc>
  <rcc rId="2094" sId="4">
    <oc r="N210" t="inlineStr">
      <is>
        <t>T_C-423</t>
      </is>
    </oc>
    <nc r="N210" t="inlineStr">
      <is>
        <t>T_C-425</t>
      </is>
    </nc>
  </rcc>
  <rcc rId="2095" sId="4">
    <oc r="N211" t="inlineStr">
      <is>
        <t>T_C-424</t>
      </is>
    </oc>
    <nc r="N211" t="inlineStr">
      <is>
        <t>T_C-426</t>
      </is>
    </nc>
  </rcc>
  <rcc rId="2096" sId="4">
    <oc r="N212" t="inlineStr">
      <is>
        <t>T_C-425</t>
      </is>
    </oc>
    <nc r="N212" t="inlineStr">
      <is>
        <t>T_C-427</t>
      </is>
    </nc>
  </rcc>
  <rcc rId="2097" sId="4">
    <oc r="N213" t="inlineStr">
      <is>
        <t>T_C-426</t>
      </is>
    </oc>
    <nc r="N213" t="inlineStr">
      <is>
        <t>T_C-428</t>
      </is>
    </nc>
  </rcc>
  <rcc rId="2098" sId="4">
    <oc r="N214" t="inlineStr">
      <is>
        <t>T_C-427</t>
      </is>
    </oc>
    <nc r="N214" t="inlineStr">
      <is>
        <t>T_C-429</t>
      </is>
    </nc>
  </rcc>
  <rcc rId="2099" sId="4">
    <oc r="N215" t="inlineStr">
      <is>
        <t>T_C-428</t>
      </is>
    </oc>
    <nc r="N215" t="inlineStr">
      <is>
        <t>T_C-430</t>
      </is>
    </nc>
  </rcc>
  <rcc rId="2100" sId="4">
    <oc r="N216" t="inlineStr">
      <is>
        <t>T_C-429</t>
      </is>
    </oc>
    <nc r="N216" t="inlineStr">
      <is>
        <t>T_C-431</t>
      </is>
    </nc>
  </rcc>
  <rcc rId="2101" sId="4">
    <oc r="N217" t="inlineStr">
      <is>
        <t>T_C-430</t>
      </is>
    </oc>
    <nc r="N217" t="inlineStr">
      <is>
        <t>T_C-432</t>
      </is>
    </nc>
  </rcc>
  <rcc rId="2102" sId="4">
    <oc r="N218" t="inlineStr">
      <is>
        <t>T_C-431</t>
      </is>
    </oc>
    <nc r="N218" t="inlineStr">
      <is>
        <t>T_C-433</t>
      </is>
    </nc>
  </rcc>
  <rcc rId="2103" sId="4">
    <oc r="N219" t="inlineStr">
      <is>
        <t>T_C-432</t>
      </is>
    </oc>
    <nc r="N219" t="inlineStr">
      <is>
        <t>T_C-434</t>
      </is>
    </nc>
  </rcc>
  <rcc rId="2104" sId="4">
    <oc r="N220" t="inlineStr">
      <is>
        <t>T_C-433</t>
      </is>
    </oc>
    <nc r="N220" t="inlineStr">
      <is>
        <t>T_C-435</t>
      </is>
    </nc>
  </rcc>
  <rcc rId="2105" sId="4">
    <oc r="N221" t="inlineStr">
      <is>
        <t>T_C-434</t>
      </is>
    </oc>
    <nc r="N221" t="inlineStr">
      <is>
        <t>T_C-436</t>
      </is>
    </nc>
  </rcc>
  <rcc rId="2106" sId="4">
    <oc r="N222" t="inlineStr">
      <is>
        <t>T_C-435</t>
      </is>
    </oc>
    <nc r="N222" t="inlineStr">
      <is>
        <t>T_C-437</t>
      </is>
    </nc>
  </rcc>
  <rcc rId="2107" sId="4">
    <oc r="N223" t="inlineStr">
      <is>
        <t>T_C-436</t>
      </is>
    </oc>
    <nc r="N223" t="inlineStr">
      <is>
        <t>T_C-438</t>
      </is>
    </nc>
  </rcc>
  <rcc rId="2108" sId="4">
    <oc r="N224" t="inlineStr">
      <is>
        <t>T_C-437</t>
      </is>
    </oc>
    <nc r="N224" t="inlineStr">
      <is>
        <t>T_C-439</t>
      </is>
    </nc>
  </rcc>
  <rcc rId="2109" sId="4">
    <oc r="N225" t="inlineStr">
      <is>
        <t>T_C-438</t>
      </is>
    </oc>
    <nc r="N225" t="inlineStr">
      <is>
        <t>T_C-440</t>
      </is>
    </nc>
  </rcc>
  <rcc rId="2110" sId="4">
    <oc r="N226" t="inlineStr">
      <is>
        <t>T_C-439</t>
      </is>
    </oc>
    <nc r="N226" t="inlineStr">
      <is>
        <t>T_C-441</t>
      </is>
    </nc>
  </rcc>
  <rcc rId="2111" sId="4">
    <oc r="N227" t="inlineStr">
      <is>
        <t>T_C-440</t>
      </is>
    </oc>
    <nc r="N227" t="inlineStr">
      <is>
        <t>T_C-442</t>
      </is>
    </nc>
  </rcc>
  <rcc rId="2112" sId="4">
    <oc r="N228" t="inlineStr">
      <is>
        <t>T_C-441</t>
      </is>
    </oc>
    <nc r="N228" t="inlineStr">
      <is>
        <t>T_C-443</t>
      </is>
    </nc>
  </rcc>
  <rcc rId="2113" sId="4">
    <oc r="N229" t="inlineStr">
      <is>
        <t>T_C-442</t>
      </is>
    </oc>
    <nc r="N229" t="inlineStr">
      <is>
        <t>T_C-444</t>
      </is>
    </nc>
  </rcc>
  <rcc rId="2114" sId="4">
    <oc r="N230" t="inlineStr">
      <is>
        <t>T_C-443</t>
      </is>
    </oc>
    <nc r="N230" t="inlineStr">
      <is>
        <t>T_C-445</t>
      </is>
    </nc>
  </rcc>
  <rcc rId="2115" sId="4">
    <oc r="N231" t="inlineStr">
      <is>
        <t>T_C-444</t>
      </is>
    </oc>
    <nc r="N231" t="inlineStr">
      <is>
        <t>T_C-446</t>
      </is>
    </nc>
  </rcc>
  <rcc rId="2116" sId="4">
    <oc r="N232" t="inlineStr">
      <is>
        <t>T_C-445</t>
      </is>
    </oc>
    <nc r="N232" t="inlineStr">
      <is>
        <t>T_C-447</t>
      </is>
    </nc>
  </rcc>
  <rcc rId="2117" sId="4">
    <oc r="N233" t="inlineStr">
      <is>
        <t>T_C-446</t>
      </is>
    </oc>
    <nc r="N233" t="inlineStr">
      <is>
        <t>T_C-448</t>
      </is>
    </nc>
  </rcc>
  <rcc rId="2118" sId="4">
    <oc r="N234" t="inlineStr">
      <is>
        <t>T_C-447</t>
      </is>
    </oc>
    <nc r="N234" t="inlineStr">
      <is>
        <t>T_C-449</t>
      </is>
    </nc>
  </rcc>
  <rcc rId="2119" sId="4">
    <oc r="N235" t="inlineStr">
      <is>
        <t>T_C-448</t>
      </is>
    </oc>
    <nc r="N235" t="inlineStr">
      <is>
        <t>T_C-450</t>
      </is>
    </nc>
  </rcc>
  <rcc rId="2120" sId="4">
    <oc r="N236" t="inlineStr">
      <is>
        <t>T_C-449</t>
      </is>
    </oc>
    <nc r="N236" t="inlineStr">
      <is>
        <t>T_C-451</t>
      </is>
    </nc>
  </rcc>
  <rcc rId="2121" sId="4">
    <oc r="N237" t="inlineStr">
      <is>
        <t>T_C-450</t>
      </is>
    </oc>
    <nc r="N237" t="inlineStr">
      <is>
        <t>T_C-452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FilterData" hidden="1" oldHidden="1">
    <formula>COEM_Package_20200302!$A$2:$AG$225</formula>
    <oldFormula>COEM_Package_20200302!$A$2:$AG$225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9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</revisions>
</file>

<file path=xl/revisions/revisionLog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98 H1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</revisions>
</file>

<file path=xl/revisions/revisionLog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2128" sId="4">
    <nc r="T132">
      <f>S132</f>
    </nc>
  </rcc>
  <rcc rId="2129" sId="4">
    <nc r="V132">
      <v>1</v>
    </nc>
  </rcc>
  <rcc rId="2130" sId="4">
    <nc r="W132" t="inlineStr">
      <is>
        <t>Ready for review</t>
      </is>
    </nc>
  </rcc>
  <rcc rId="2131" sId="4" numFmtId="19">
    <nc r="Z132">
      <v>43934</v>
    </nc>
  </rcc>
  <rcc rId="2132" sId="4" numFmtId="19">
    <nc r="AA132">
      <v>43934</v>
    </nc>
  </rcc>
  <rcc rId="2133" sId="4">
    <nc r="AB132" t="inlineStr">
      <is>
        <t>OK</t>
      </is>
    </nc>
  </rcc>
  <rcc rId="2134" sId="4" odxf="1" dxf="1">
    <nc r="AC1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35" sId="4" odxf="1" dxf="1">
    <nc r="AD1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36" sId="4" odxf="1" dxf="1">
    <nc r="AE13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37" sId="4" odxf="1" dxf="1">
    <nc r="AF132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COEM_Package_20200302!$A$2:$AG$225</formula>
    <oldFormula>COEM_Package_20200302!$A$2:$AG$225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41" sId="4">
    <nc r="T129">
      <f>S129</f>
    </nc>
  </rcc>
  <rcc rId="2142" sId="4">
    <nc r="V129">
      <v>3</v>
    </nc>
  </rcc>
  <rcc rId="2143" sId="4">
    <nc r="W129" t="inlineStr">
      <is>
        <t>Ready for review</t>
      </is>
    </nc>
  </rcc>
  <rcc rId="2144" sId="4" numFmtId="19">
    <nc r="Z129">
      <v>43934</v>
    </nc>
  </rcc>
  <rcc rId="2145" sId="4" numFmtId="19">
    <nc r="AA129">
      <v>43934</v>
    </nc>
  </rcc>
  <rcc rId="2146" sId="4" odxf="1" dxf="1">
    <nc r="AB12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2147" sId="4" odxf="1" dxf="1">
    <nc r="AC12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8" sId="4" odxf="1" dxf="1">
    <nc r="AD12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49" sId="4" odxf="1" dxf="1">
    <nc r="AE12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150" sId="4" odxf="1" dxf="1">
    <nc r="AF12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154" sId="4">
    <oc r="S115">
      <f>R115</f>
    </oc>
    <nc r="S115">
      <f>R115</f>
    </nc>
  </rcc>
  <rcv guid="{4E06BDBF-2CED-473B-850B-2A6C7311FF41}" action="delete"/>
  <rdn rId="0" localSheetId="1" customView="1" name="Z_4E06BDBF_2CED_473B_850B_2A6C7311FF41_.wvu.FilterData" hidden="1" oldHidden="1">
    <formula>COEM_Package_20200302!$A$2:$AG$225</formula>
    <oldFormula>COEM_Package_20200302!$A$2:$AG$225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158" sId="1" ref="A123:XFD123" action="insertRow">
    <undo index="0" exp="area" ref3D="1" dr="$M$1:$N$1048576" dn="Z_7ECC2B8E_6A82_42F5_8AB0_4A51C54EA5EC_.wvu.Cols" sId="1"/>
  </rrc>
  <rrc rId="2159" sId="1" ref="A123:XFD123" action="insertRow">
    <undo index="0" exp="area" ref3D="1" dr="$M$1:$N$1048576" dn="Z_7ECC2B8E_6A82_42F5_8AB0_4A51C54EA5EC_.wvu.Cols" sId="1"/>
  </rrc>
  <rrc rId="2160" sId="1" ref="A123:XFD124" action="insertRow">
    <undo index="0" exp="area" ref3D="1" dr="$M$1:$N$1048576" dn="Z_7ECC2B8E_6A82_42F5_8AB0_4A51C54EA5EC_.wvu.Cols" sId="1"/>
  </rrc>
  <rrc rId="2161" sId="1" ref="A125:XFD126" action="insertRow">
    <undo index="0" exp="area" ref3D="1" dr="$M$1:$N$1048576" dn="Z_7ECC2B8E_6A82_42F5_8AB0_4A51C54EA5EC_.wvu.Cols" sId="1"/>
  </rrc>
  <rfmt sheetId="1" sqref="B123:B128">
    <dxf>
      <fill>
        <patternFill>
          <bgColor theme="8" tint="0.39997558519241921"/>
        </patternFill>
      </fill>
    </dxf>
  </rfmt>
  <rcc rId="2162" sId="1">
    <nc r="C123">
      <v>20200313</v>
    </nc>
  </rcc>
  <rcc rId="2163" sId="1">
    <nc r="C124">
      <v>20200313</v>
    </nc>
  </rcc>
  <rcc rId="2164" sId="1">
    <nc r="C125">
      <v>20200313</v>
    </nc>
  </rcc>
  <rcc rId="2165" sId="1">
    <nc r="C126">
      <v>20200313</v>
    </nc>
  </rcc>
  <rcc rId="2166" sId="1">
    <nc r="C127">
      <v>20200313</v>
    </nc>
  </rcc>
  <rcc rId="2167" sId="1">
    <nc r="C128">
      <v>20200313</v>
    </nc>
  </rcc>
  <rcc rId="2168" sId="1">
    <nc r="B123">
      <f>B122+1</f>
    </nc>
  </rcc>
  <rcc rId="2169" sId="1">
    <nc r="B124">
      <f>B123+1</f>
    </nc>
  </rcc>
  <rcc rId="2170" sId="1">
    <nc r="B125">
      <f>B124+1</f>
    </nc>
  </rcc>
  <rcc rId="2171" sId="1">
    <nc r="B126">
      <f>B125+1</f>
    </nc>
  </rcc>
  <rcc rId="2172" sId="1">
    <nc r="B127">
      <f>B126+1</f>
    </nc>
  </rcc>
  <rcc rId="2173" sId="1">
    <nc r="B128">
      <f>B127+1</f>
    </nc>
  </rcc>
  <rcc rId="2174" sId="1">
    <oc r="B129">
      <f>B122+1</f>
    </oc>
    <nc r="B129">
      <f>B128+1</f>
    </nc>
  </rcc>
  <rcc rId="2175" sId="1">
    <oc r="B130">
      <f>B129+1</f>
    </oc>
    <nc r="B130">
      <f>B129+1</f>
    </nc>
  </rcc>
  <rcc rId="2176" sId="1">
    <oc r="B131">
      <f>B130+1</f>
    </oc>
    <nc r="B131">
      <f>B130+1</f>
    </nc>
  </rcc>
  <rcc rId="2177" sId="1">
    <oc r="B132">
      <f>B131+1</f>
    </oc>
    <nc r="B132">
      <f>B131+1</f>
    </nc>
  </rcc>
  <rcc rId="2178" sId="1">
    <oc r="B133">
      <f>B132+1</f>
    </oc>
    <nc r="B133">
      <f>B132+1</f>
    </nc>
  </rcc>
  <rcc rId="2179" sId="1">
    <oc r="B134">
      <f>B133+1</f>
    </oc>
    <nc r="B134">
      <f>B133+1</f>
    </nc>
  </rcc>
  <rcc rId="2180" sId="1">
    <oc r="B135">
      <f>B134+1</f>
    </oc>
    <nc r="B135">
      <f>B134+1</f>
    </nc>
  </rcc>
  <rcc rId="2181" sId="1">
    <oc r="B136">
      <f>B135+1</f>
    </oc>
    <nc r="B136">
      <f>B135+1</f>
    </nc>
  </rcc>
  <rcc rId="2182" sId="1">
    <oc r="B137">
      <f>B136+1</f>
    </oc>
    <nc r="B137">
      <f>B136+1</f>
    </nc>
  </rcc>
  <rcc rId="2183" sId="1">
    <oc r="B138">
      <f>B137+1</f>
    </oc>
    <nc r="B138">
      <f>B137+1</f>
    </nc>
  </rcc>
  <rcc rId="2184" sId="1">
    <oc r="B139">
      <f>B138+1</f>
    </oc>
    <nc r="B139">
      <f>B138+1</f>
    </nc>
  </rcc>
  <rcc rId="2185" sId="1">
    <oc r="B140">
      <f>B139+1</f>
    </oc>
    <nc r="B140">
      <f>B139+1</f>
    </nc>
  </rcc>
  <rcc rId="2186" sId="1">
    <oc r="B141">
      <f>B140+1</f>
    </oc>
    <nc r="B141">
      <f>B140+1</f>
    </nc>
  </rcc>
  <rcc rId="2187" sId="1">
    <oc r="B142">
      <f>B141+1</f>
    </oc>
    <nc r="B142">
      <f>B141+1</f>
    </nc>
  </rcc>
  <rcc rId="2188" sId="1">
    <oc r="B143">
      <f>B142+1</f>
    </oc>
    <nc r="B143">
      <f>B142+1</f>
    </nc>
  </rcc>
  <rcc rId="2189" sId="1">
    <oc r="B144">
      <f>B143+1</f>
    </oc>
    <nc r="B144">
      <f>B143+1</f>
    </nc>
  </rcc>
  <rcc rId="2190" sId="1">
    <oc r="B145">
      <f>B144+1</f>
    </oc>
    <nc r="B145">
      <f>B144+1</f>
    </nc>
  </rcc>
  <rcc rId="2191" sId="1">
    <oc r="B146">
      <f>B145+1</f>
    </oc>
    <nc r="B146">
      <f>B145+1</f>
    </nc>
  </rcc>
  <rcc rId="2192" sId="1">
    <oc r="B147">
      <f>B146+1</f>
    </oc>
    <nc r="B147">
      <f>B146+1</f>
    </nc>
  </rcc>
  <rcc rId="2193" sId="1">
    <oc r="B148">
      <f>B147+1</f>
    </oc>
    <nc r="B148">
      <f>B147+1</f>
    </nc>
  </rcc>
  <rcc rId="2194" sId="1">
    <oc r="B149">
      <f>B148+1</f>
    </oc>
    <nc r="B149">
      <f>B148+1</f>
    </nc>
  </rcc>
  <rcc rId="2195" sId="1">
    <oc r="B150">
      <f>B149+1</f>
    </oc>
    <nc r="B150">
      <f>B149+1</f>
    </nc>
  </rcc>
  <rcc rId="2196" sId="1">
    <oc r="B151">
      <f>B150+1</f>
    </oc>
    <nc r="B151">
      <f>B150+1</f>
    </nc>
  </rcc>
  <rcc rId="2197" sId="1">
    <oc r="B152">
      <f>B151+1</f>
    </oc>
    <nc r="B152">
      <f>B151+1</f>
    </nc>
  </rcc>
  <rcc rId="2198" sId="1">
    <oc r="B153">
      <f>B152+1</f>
    </oc>
    <nc r="B153">
      <f>B152+1</f>
    </nc>
  </rcc>
  <rcc rId="2199" sId="1">
    <oc r="B154">
      <f>B153+1</f>
    </oc>
    <nc r="B154">
      <f>B153+1</f>
    </nc>
  </rcc>
  <rcc rId="2200" sId="1">
    <oc r="B155">
      <f>B154+1</f>
    </oc>
    <nc r="B155">
      <f>B154+1</f>
    </nc>
  </rcc>
  <rcc rId="2201" sId="1">
    <oc r="B156">
      <f>B155+1</f>
    </oc>
    <nc r="B156">
      <f>B155+1</f>
    </nc>
  </rcc>
  <rcc rId="2202" sId="1">
    <oc r="B157">
      <f>B156+1</f>
    </oc>
    <nc r="B157">
      <f>B156+1</f>
    </nc>
  </rcc>
  <rcc rId="2203" sId="1">
    <oc r="B158">
      <f>B157+1</f>
    </oc>
    <nc r="B158">
      <f>B157+1</f>
    </nc>
  </rcc>
  <rcc rId="2204" sId="1">
    <oc r="B159">
      <f>B158+1</f>
    </oc>
    <nc r="B159">
      <f>B158+1</f>
    </nc>
  </rcc>
  <rcc rId="2205" sId="1">
    <oc r="B160">
      <f>B159+1</f>
    </oc>
    <nc r="B160">
      <f>B159+1</f>
    </nc>
  </rcc>
  <rcc rId="2206" sId="1">
    <oc r="B161">
      <f>B160+1</f>
    </oc>
    <nc r="B161">
      <f>B160+1</f>
    </nc>
  </rcc>
  <rcc rId="2207" sId="1">
    <oc r="B162">
      <f>B161+1</f>
    </oc>
    <nc r="B162">
      <f>B161+1</f>
    </nc>
  </rcc>
  <rcc rId="2208" sId="1">
    <oc r="B163">
      <f>B162+1</f>
    </oc>
    <nc r="B163">
      <f>B162+1</f>
    </nc>
  </rcc>
  <rcc rId="2209" sId="1">
    <oc r="B164">
      <f>B163+1</f>
    </oc>
    <nc r="B164">
      <f>B163+1</f>
    </nc>
  </rcc>
  <rcc rId="2210" sId="1">
    <oc r="B165">
      <f>B164+1</f>
    </oc>
    <nc r="B165">
      <f>B164+1</f>
    </nc>
  </rcc>
  <rcc rId="2211" sId="1">
    <oc r="B166">
      <f>B165+1</f>
    </oc>
    <nc r="B166">
      <f>B165+1</f>
    </nc>
  </rcc>
  <rcc rId="2212" sId="1">
    <oc r="B167">
      <f>B166+1</f>
    </oc>
    <nc r="B167">
      <f>B166+1</f>
    </nc>
  </rcc>
  <rcc rId="2213" sId="1">
    <oc r="B168">
      <f>B167+1</f>
    </oc>
    <nc r="B168">
      <f>B167+1</f>
    </nc>
  </rcc>
  <rcc rId="2214" sId="1">
    <oc r="B169">
      <f>B168+1</f>
    </oc>
    <nc r="B169">
      <f>B168+1</f>
    </nc>
  </rcc>
  <rcc rId="2215" sId="1">
    <oc r="B170">
      <f>B169+1</f>
    </oc>
    <nc r="B170">
      <f>B169+1</f>
    </nc>
  </rcc>
  <rcc rId="2216" sId="1">
    <oc r="B171">
      <f>B170+1</f>
    </oc>
    <nc r="B171">
      <f>B170+1</f>
    </nc>
  </rcc>
  <rcc rId="2217" sId="1">
    <oc r="B172">
      <f>B171+1</f>
    </oc>
    <nc r="B172">
      <f>B171+1</f>
    </nc>
  </rcc>
  <rcc rId="2218" sId="1">
    <oc r="B173">
      <f>B172+1</f>
    </oc>
    <nc r="B173">
      <f>B172+1</f>
    </nc>
  </rcc>
  <rcc rId="2219" sId="1">
    <oc r="B174">
      <f>B173+1</f>
    </oc>
    <nc r="B174">
      <f>B173+1</f>
    </nc>
  </rcc>
  <rcc rId="2220" sId="1">
    <oc r="B175">
      <f>B174+1</f>
    </oc>
    <nc r="B175">
      <f>B174+1</f>
    </nc>
  </rcc>
  <rcc rId="2221" sId="1">
    <oc r="B176">
      <f>B175+1</f>
    </oc>
    <nc r="B176">
      <f>B175+1</f>
    </nc>
  </rcc>
  <rcc rId="2222" sId="1">
    <oc r="B177">
      <f>B176+1</f>
    </oc>
    <nc r="B177">
      <f>B176+1</f>
    </nc>
  </rcc>
  <rcc rId="2223" sId="1">
    <oc r="B178">
      <f>B177+1</f>
    </oc>
    <nc r="B178">
      <f>B177+1</f>
    </nc>
  </rcc>
  <rcc rId="2224" sId="1">
    <oc r="B179">
      <f>B178+1</f>
    </oc>
    <nc r="B179">
      <f>B178+1</f>
    </nc>
  </rcc>
  <rcc rId="2225" sId="1">
    <oc r="B180">
      <f>B179+1</f>
    </oc>
    <nc r="B180">
      <f>B179+1</f>
    </nc>
  </rcc>
  <rcc rId="2226" sId="1">
    <oc r="B181">
      <f>B180+1</f>
    </oc>
    <nc r="B181">
      <f>B180+1</f>
    </nc>
  </rcc>
  <rcc rId="2227" sId="1">
    <oc r="B182">
      <f>B181+1</f>
    </oc>
    <nc r="B182">
      <f>B181+1</f>
    </nc>
  </rcc>
  <rcc rId="2228" sId="1">
    <oc r="B183">
      <f>B182+1</f>
    </oc>
    <nc r="B183">
      <f>B182+1</f>
    </nc>
  </rcc>
  <rcc rId="2229" sId="1">
    <oc r="B184">
      <f>B183+1</f>
    </oc>
    <nc r="B184">
      <f>B183+1</f>
    </nc>
  </rcc>
  <rcc rId="2230" sId="1">
    <oc r="B185">
      <f>B184+1</f>
    </oc>
    <nc r="B185">
      <f>B184+1</f>
    </nc>
  </rcc>
  <rcc rId="2231" sId="1">
    <oc r="B186">
      <f>B185+1</f>
    </oc>
    <nc r="B186">
      <f>B185+1</f>
    </nc>
  </rcc>
  <rcc rId="2232" sId="1">
    <oc r="B187">
      <f>B186+1</f>
    </oc>
    <nc r="B187">
      <f>B186+1</f>
    </nc>
  </rcc>
  <rcc rId="2233" sId="1">
    <oc r="B188">
      <f>B187+1</f>
    </oc>
    <nc r="B188">
      <f>B187+1</f>
    </nc>
  </rcc>
  <rcc rId="2234" sId="1">
    <oc r="B189">
      <f>B188+1</f>
    </oc>
    <nc r="B189">
      <f>B188+1</f>
    </nc>
  </rcc>
  <rcc rId="2235" sId="1">
    <oc r="B190">
      <f>B189+1</f>
    </oc>
    <nc r="B190">
      <f>B189+1</f>
    </nc>
  </rcc>
  <rcc rId="2236" sId="1">
    <oc r="B191">
      <f>B190+1</f>
    </oc>
    <nc r="B191">
      <f>B190+1</f>
    </nc>
  </rcc>
  <rcc rId="2237" sId="1">
    <oc r="B192">
      <f>B191+1</f>
    </oc>
    <nc r="B192">
      <f>B191+1</f>
    </nc>
  </rcc>
  <rcc rId="2238" sId="1">
    <oc r="B193">
      <f>B192+1</f>
    </oc>
    <nc r="B193">
      <f>B192+1</f>
    </nc>
  </rcc>
  <rcc rId="2239" sId="1">
    <oc r="B194">
      <f>B193+1</f>
    </oc>
    <nc r="B194">
      <f>B193+1</f>
    </nc>
  </rcc>
  <rcc rId="2240" sId="1">
    <oc r="B195">
      <f>B194+1</f>
    </oc>
    <nc r="B195">
      <f>B194+1</f>
    </nc>
  </rcc>
  <rcc rId="2241" sId="1">
    <oc r="B196">
      <f>B195+1</f>
    </oc>
    <nc r="B196">
      <f>B195+1</f>
    </nc>
  </rcc>
  <rcc rId="2242" sId="1">
    <oc r="B197">
      <f>B196+1</f>
    </oc>
    <nc r="B197">
      <f>B196+1</f>
    </nc>
  </rcc>
  <rcc rId="2243" sId="1">
    <oc r="B198">
      <f>B197+1</f>
    </oc>
    <nc r="B198">
      <f>B197+1</f>
    </nc>
  </rcc>
  <rcc rId="2244" sId="1">
    <oc r="B199">
      <f>B198+1</f>
    </oc>
    <nc r="B199">
      <f>B198+1</f>
    </nc>
  </rcc>
  <rcc rId="2245" sId="1">
    <oc r="B200">
      <f>B199+1</f>
    </oc>
    <nc r="B200">
      <f>B199+1</f>
    </nc>
  </rcc>
  <rcc rId="2246" sId="1">
    <oc r="B201">
      <f>B200+1</f>
    </oc>
    <nc r="B201">
      <f>B200+1</f>
    </nc>
  </rcc>
  <rcc rId="2247" sId="1">
    <oc r="B202">
      <f>B201+1</f>
    </oc>
    <nc r="B202">
      <f>B201+1</f>
    </nc>
  </rcc>
  <rcc rId="2248" sId="1">
    <oc r="B203">
      <f>B202+1</f>
    </oc>
    <nc r="B203">
      <f>B202+1</f>
    </nc>
  </rcc>
  <rcc rId="2249" sId="1">
    <oc r="B204">
      <f>B203+1</f>
    </oc>
    <nc r="B204">
      <f>B203+1</f>
    </nc>
  </rcc>
  <rcc rId="2250" sId="1">
    <oc r="B205">
      <f>B204+1</f>
    </oc>
    <nc r="B205">
      <f>B204+1</f>
    </nc>
  </rcc>
  <rcc rId="2251" sId="1">
    <oc r="B206">
      <f>B205+1</f>
    </oc>
    <nc r="B206">
      <f>B205+1</f>
    </nc>
  </rcc>
  <rcc rId="2252" sId="1">
    <oc r="B207">
      <f>B206+1</f>
    </oc>
    <nc r="B207">
      <f>B206+1</f>
    </nc>
  </rcc>
  <rcc rId="2253" sId="1">
    <oc r="B208">
      <f>B207+1</f>
    </oc>
    <nc r="B208">
      <f>B207+1</f>
    </nc>
  </rcc>
  <rcc rId="2254" sId="1">
    <oc r="B209">
      <f>B208+1</f>
    </oc>
    <nc r="B209">
      <f>B208+1</f>
    </nc>
  </rcc>
  <rcc rId="2255" sId="1">
    <oc r="B210">
      <f>B209+1</f>
    </oc>
    <nc r="B210">
      <f>B209+1</f>
    </nc>
  </rcc>
  <rcc rId="2256" sId="1">
    <oc r="B211">
      <f>B210+1</f>
    </oc>
    <nc r="B211">
      <f>B210+1</f>
    </nc>
  </rcc>
  <rcc rId="2257" sId="1">
    <oc r="B212">
      <f>B211+1</f>
    </oc>
    <nc r="B212">
      <f>B211+1</f>
    </nc>
  </rcc>
  <rcc rId="2258" sId="1">
    <oc r="B213">
      <f>B212+1</f>
    </oc>
    <nc r="B213">
      <f>B212+1</f>
    </nc>
  </rcc>
  <rcc rId="2259" sId="1">
    <oc r="B214">
      <f>B213+1</f>
    </oc>
    <nc r="B214">
      <f>B213+1</f>
    </nc>
  </rcc>
  <rcc rId="2260" sId="1">
    <oc r="B215">
      <f>B214+1</f>
    </oc>
    <nc r="B215">
      <f>B214+1</f>
    </nc>
  </rcc>
  <rcc rId="2261" sId="1">
    <oc r="B216">
      <f>B215+1</f>
    </oc>
    <nc r="B216">
      <f>B215+1</f>
    </nc>
  </rcc>
  <rcc rId="2262" sId="1">
    <oc r="B217">
      <f>B216+1</f>
    </oc>
    <nc r="B217">
      <f>B216+1</f>
    </nc>
  </rcc>
  <rcc rId="2263" sId="1">
    <oc r="B218">
      <f>B217+1</f>
    </oc>
    <nc r="B218">
      <f>B217+1</f>
    </nc>
  </rcc>
  <rcc rId="2264" sId="1">
    <oc r="B219">
      <f>B218+1</f>
    </oc>
    <nc r="B219">
      <f>B218+1</f>
    </nc>
  </rcc>
  <rcc rId="2265" sId="1">
    <oc r="B220">
      <f>B219+1</f>
    </oc>
    <nc r="B220">
      <f>B219+1</f>
    </nc>
  </rcc>
  <rcc rId="2266" sId="1">
    <oc r="B221">
      <f>B220+1</f>
    </oc>
    <nc r="B221">
      <f>B220+1</f>
    </nc>
  </rcc>
  <rcc rId="2267" sId="1">
    <oc r="B222">
      <f>B221+1</f>
    </oc>
    <nc r="B222">
      <f>B221+1</f>
    </nc>
  </rcc>
  <rcc rId="2268" sId="1">
    <oc r="B223">
      <f>B222+1</f>
    </oc>
    <nc r="B223">
      <f>B222+1</f>
    </nc>
  </rcc>
  <rcc rId="2269" sId="1">
    <oc r="B224">
      <f>B223+1</f>
    </oc>
    <nc r="B224">
      <f>B223+1</f>
    </nc>
  </rcc>
  <rcc rId="2270" sId="1">
    <oc r="B225">
      <f>B224+1</f>
    </oc>
    <nc r="B225">
      <f>B224+1</f>
    </nc>
  </rcc>
  <rcc rId="2271" sId="1">
    <oc r="B226">
      <f>B225+1</f>
    </oc>
    <nc r="B226">
      <f>B225+1</f>
    </nc>
  </rcc>
  <rcc rId="2272" sId="1">
    <oc r="B227">
      <f>B226+1</f>
    </oc>
    <nc r="B227">
      <f>B226+1</f>
    </nc>
  </rcc>
  <rcc rId="2273" sId="1">
    <oc r="B228">
      <f>B227+1</f>
    </oc>
    <nc r="B228">
      <f>B227+1</f>
    </nc>
  </rcc>
  <rcc rId="2274" sId="1">
    <oc r="B229">
      <f>B228+1</f>
    </oc>
    <nc r="B229">
      <f>B228+1</f>
    </nc>
  </rcc>
  <rcc rId="2275" sId="1">
    <oc r="B230">
      <f>B229+1</f>
    </oc>
    <nc r="B230">
      <f>B229+1</f>
    </nc>
  </rcc>
  <rcc rId="2276" sId="1">
    <oc r="B231">
      <f>B230+1</f>
    </oc>
    <nc r="B231">
      <f>B230+1</f>
    </nc>
  </rcc>
  <rcc rId="2277" sId="1" odxf="1" dxf="1">
    <nc r="D123" t="inlineStr">
      <is>
        <t>ASW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278" sId="1" odxf="1" dxf="1">
    <nc r="D124" t="inlineStr">
      <is>
        <t>ASW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279" sId="1" odxf="1" dxf="1">
    <nc r="D125" t="inlineStr">
      <is>
        <t>ASW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280" sId="1" odxf="1" dxf="1">
    <nc r="D126" t="inlineStr">
      <is>
        <t>ASW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281" sId="1" odxf="1" dxf="1">
    <nc r="D127" t="inlineStr">
      <is>
        <t>ASW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282" sId="1" odxf="1" dxf="1">
    <nc r="D128" t="inlineStr">
      <is>
        <t>ASW</t>
      </is>
    </nc>
    <odxf>
      <fill>
        <patternFill patternType="none">
          <bgColor indexed="65"/>
        </patternFill>
      </fill>
    </odxf>
    <ndxf>
      <fill>
        <patternFill patternType="solid">
          <bgColor rgb="FFFF0000"/>
        </patternFill>
      </fill>
    </ndxf>
  </rcc>
  <rcc rId="2283" sId="1" odxf="1" dxf="1" quotePrefix="1">
    <nc r="E123" t="inlineStr">
      <is>
        <t>-</t>
      </is>
    </nc>
    <odxf/>
    <ndxf/>
  </rcc>
  <rcc rId="2284" sId="1" odxf="1" dxf="1" quotePrefix="1">
    <nc r="E124" t="inlineStr">
      <is>
        <t>-</t>
      </is>
    </nc>
    <odxf/>
    <ndxf/>
  </rcc>
  <rcc rId="2285" sId="1" odxf="1" dxf="1" quotePrefix="1">
    <nc r="E125" t="inlineStr">
      <is>
        <t>-</t>
      </is>
    </nc>
    <odxf/>
    <ndxf/>
  </rcc>
  <rcc rId="2286" sId="1" odxf="1" dxf="1" quotePrefix="1">
    <nc r="E126" t="inlineStr">
      <is>
        <t>-</t>
      </is>
    </nc>
    <odxf/>
    <ndxf/>
  </rcc>
  <rcc rId="2287" sId="1" odxf="1" dxf="1" quotePrefix="1">
    <nc r="E127" t="inlineStr">
      <is>
        <t>-</t>
      </is>
    </nc>
    <odxf/>
    <ndxf/>
  </rcc>
  <rcc rId="2288" sId="1" odxf="1" dxf="1" quotePrefix="1">
    <nc r="E128" t="inlineStr">
      <is>
        <t>-</t>
      </is>
    </nc>
    <odxf/>
    <ndxf/>
  </rcc>
  <rcc rId="2289" sId="1" xfDxf="1" dxf="1">
    <nc r="G123">
      <v>1373523</v>
    </nc>
    <ndxf>
      <font/>
      <fill>
        <patternFill patternType="solid">
          <bgColor rgb="FF92D05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0" sId="1" xfDxf="1" dxf="1">
    <nc r="G124">
      <v>1373523</v>
    </nc>
    <ndxf>
      <font/>
      <fill>
        <patternFill patternType="solid">
          <bgColor rgb="FF92D05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1" sId="1" xfDxf="1" dxf="1">
    <nc r="G125">
      <v>1373523</v>
    </nc>
    <ndxf>
      <font/>
      <fill>
        <patternFill patternType="solid">
          <bgColor rgb="FF92D05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2" sId="1" xfDxf="1" dxf="1">
    <nc r="G126">
      <v>1373481</v>
    </nc>
    <ndxf>
      <font/>
      <fill>
        <patternFill patternType="solid">
          <bgColor rgb="FF92D05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3" sId="1" xfDxf="1" dxf="1">
    <nc r="G127">
      <v>1373481</v>
    </nc>
    <ndxf>
      <font/>
      <fill>
        <patternFill patternType="solid">
          <bgColor rgb="FF92D05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4" sId="1" xfDxf="1" dxf="1">
    <nc r="G128">
      <v>1373481</v>
    </nc>
    <ndxf>
      <font/>
      <fill>
        <patternFill patternType="solid">
          <bgColor rgb="FF92D05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295" sId="1" quotePrefix="1">
    <nc r="F123" t="inlineStr">
      <is>
        <t>-</t>
      </is>
    </nc>
  </rcc>
  <rcc rId="2296" sId="1" quotePrefix="1">
    <nc r="F124" t="inlineStr">
      <is>
        <t>-</t>
      </is>
    </nc>
  </rcc>
  <rcc rId="2297" sId="1" quotePrefix="1">
    <nc r="F125" t="inlineStr">
      <is>
        <t>-</t>
      </is>
    </nc>
  </rcc>
  <rcc rId="2298" sId="1" quotePrefix="1">
    <nc r="F126" t="inlineStr">
      <is>
        <t>-</t>
      </is>
    </nc>
  </rcc>
  <rcc rId="2299" sId="1" quotePrefix="1">
    <nc r="F127" t="inlineStr">
      <is>
        <t>-</t>
      </is>
    </nc>
  </rcc>
  <rcc rId="2300" sId="1" quotePrefix="1">
    <nc r="F128" t="inlineStr">
      <is>
        <t>-</t>
      </is>
    </nc>
  </rcc>
  <rcv guid="{7E0EA425-A420-4443-B9E0-CDF0AA9E5D09}" action="delete"/>
  <rdn rId="0" localSheetId="1" customView="1" name="Z_7E0EA425_A420_4443_B9E0_CDF0AA9E5D09_.wvu.FilterData" hidden="1" oldHidden="1">
    <formula>COEM_Package_20200302!$A$2:$AG$231</formula>
    <oldFormula>COEM_Package_20200302!$A$2:$AG$231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COEM_Package_20200401!$O$2:$O$268</formula>
    <oldFormula>COEM_Package_20200401!$B$2:$AH$239</oldFormula>
  </rdn>
  <rcv guid="{7E0EA425-A420-4443-B9E0-CDF0AA9E5D09}" action="add"/>
</revisions>
</file>

<file path=xl/revisions/revisionLog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04" sId="4">
    <nc r="T142">
      <f>S142</f>
    </nc>
  </rcc>
  <rcc rId="2305" sId="4">
    <nc r="V142">
      <v>1</v>
    </nc>
  </rcc>
  <rcc rId="2306" sId="4">
    <nc r="W142" t="inlineStr">
      <is>
        <t>Ready for review</t>
      </is>
    </nc>
  </rcc>
  <rcc rId="2307" sId="4" numFmtId="19">
    <nc r="Z142">
      <v>43935</v>
    </nc>
  </rcc>
  <rcc rId="2308" sId="4" numFmtId="19">
    <nc r="AA142">
      <v>43935</v>
    </nc>
  </rcc>
  <rcc rId="2309" sId="4">
    <nc r="AB142" t="inlineStr">
      <is>
        <t>OK</t>
      </is>
    </nc>
  </rcc>
  <rcc rId="2310" sId="4" odxf="1" dxf="1">
    <nc r="AC14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311" sId="4" odxf="1" dxf="1">
    <nc r="AD14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312" sId="4" odxf="1" dxf="1">
    <nc r="AE14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313" sId="4" odxf="1" dxf="1">
    <nc r="AF142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COEM_Package_20200302!$A$2:$AG$231</formula>
    <oldFormula>COEM_Package_20200302!$A$2:$AG$231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317" sId="1" xfDxf="1" dxf="1">
    <nc r="H123" t="inlineStr">
      <is>
        <t>AxQualify_for_BJEV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I123" start="0" length="0">
    <dxf>
      <fill>
        <patternFill patternType="solid">
          <bgColor rgb="FFFF000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318" sId="1" xfDxf="1" dxf="1">
    <nc r="H124" t="inlineStr">
      <is>
        <t>HMI_ApbErrorLamp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I124" start="0" length="0">
    <dxf>
      <fill>
        <patternFill patternType="solid">
          <bgColor rgb="FFFF000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319" sId="1" xfDxf="1" dxf="1">
    <nc r="H125" t="inlineStr">
      <is>
        <t>HMI_ApbFunctionLamp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I125" start="0" length="0">
    <dxf>
      <fill>
        <patternFill patternType="solid">
          <bgColor rgb="FFFF000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320" sId="1" xfDxf="1" dxf="1">
    <nc r="H126" t="inlineStr">
      <is>
        <t>RDA_VlcMainReq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I126" start="0" length="0">
    <dxf>
      <fill>
        <patternFill patternType="solid">
          <bgColor rgb="FFFF000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321" sId="1" xfDxf="1" dxf="1">
    <nc r="H127" t="inlineStr">
      <is>
        <t>RDA_VlcTarAx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I127" start="0" length="0">
    <dxf>
      <fill>
        <patternFill patternType="solid">
          <bgColor rgb="FFFF000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322" sId="1" xfDxf="1" dxf="1">
    <nc r="H128" t="inlineStr">
      <is>
        <t>ApbRequest_for_BJEV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I128" start="0" length="0">
    <dxf>
      <fill>
        <patternFill patternType="solid">
          <bgColor rgb="FFFF0000"/>
        </patternFill>
      </fill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323" sId="1" odxf="1" dxf="1" quotePrefix="1">
    <nc r="I123" t="inlineStr">
      <is>
        <t>-</t>
      </is>
    </nc>
    <ndxf>
      <fill>
        <patternFill patternType="none">
          <bgColor indexed="65"/>
        </patternFill>
      </fill>
    </ndxf>
  </rcc>
  <rcc rId="2324" sId="1" odxf="1" dxf="1" quotePrefix="1">
    <nc r="I124" t="inlineStr">
      <is>
        <t>-</t>
      </is>
    </nc>
    <ndxf>
      <fill>
        <patternFill patternType="none">
          <bgColor indexed="65"/>
        </patternFill>
      </fill>
    </ndxf>
  </rcc>
  <rcc rId="2325" sId="1" odxf="1" dxf="1" quotePrefix="1">
    <nc r="I125" t="inlineStr">
      <is>
        <t>-</t>
      </is>
    </nc>
    <ndxf>
      <fill>
        <patternFill patternType="none">
          <bgColor indexed="65"/>
        </patternFill>
      </fill>
    </ndxf>
  </rcc>
  <rcc rId="2326" sId="1" odxf="1" dxf="1" quotePrefix="1">
    <nc r="I126" t="inlineStr">
      <is>
        <t>-</t>
      </is>
    </nc>
    <ndxf>
      <fill>
        <patternFill patternType="none">
          <bgColor indexed="65"/>
        </patternFill>
      </fill>
    </ndxf>
  </rcc>
  <rcc rId="2327" sId="1" odxf="1" dxf="1" quotePrefix="1">
    <nc r="I127" t="inlineStr">
      <is>
        <t>-</t>
      </is>
    </nc>
    <ndxf>
      <fill>
        <patternFill patternType="none">
          <bgColor indexed="65"/>
        </patternFill>
      </fill>
    </ndxf>
  </rcc>
  <rcc rId="2328" sId="1" odxf="1" dxf="1" quotePrefix="1">
    <nc r="I128" t="inlineStr">
      <is>
        <t>-</t>
      </is>
    </nc>
    <ndxf>
      <fill>
        <patternFill patternType="none">
          <bgColor indexed="65"/>
        </patternFill>
      </fill>
    </ndxf>
  </rcc>
  <rcc rId="2329" sId="1" quotePrefix="1">
    <nc r="J123" t="inlineStr">
      <is>
        <t>-</t>
      </is>
    </nc>
  </rcc>
  <rcc rId="2330" sId="1" quotePrefix="1">
    <nc r="J124" t="inlineStr">
      <is>
        <t>-</t>
      </is>
    </nc>
  </rcc>
  <rcc rId="2331" sId="1" quotePrefix="1">
    <nc r="J125" t="inlineStr">
      <is>
        <t>-</t>
      </is>
    </nc>
  </rcc>
  <rcc rId="2332" sId="1" quotePrefix="1">
    <nc r="J126" t="inlineStr">
      <is>
        <t>-</t>
      </is>
    </nc>
  </rcc>
  <rcc rId="2333" sId="1" quotePrefix="1">
    <nc r="J127" t="inlineStr">
      <is>
        <t>-</t>
      </is>
    </nc>
  </rcc>
  <rcc rId="2334" sId="1" quotePrefix="1">
    <nc r="J128" t="inlineStr">
      <is>
        <t>-</t>
      </is>
    </nc>
  </rcc>
  <rcc rId="2335" sId="1" xfDxf="1" dxf="1">
    <nc r="K123" t="inlineStr">
      <is>
        <t>ApbMiGen2hevX_ECU_CSW_BB97468.axl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L123" start="0" length="0">
    <dxf>
      <alignment horizontal="left" vertical="top" readingOrder="0"/>
    </dxf>
  </rfmt>
  <rcc rId="2336" sId="1" xfDxf="1" dxf="1">
    <nc r="K124" t="inlineStr">
      <is>
        <t>ApbMiGen2hevX_ECU_CSW_BB97468.axl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L124" start="0" length="0">
    <dxf>
      <alignment horizontal="left" vertical="top" readingOrder="0"/>
    </dxf>
  </rfmt>
  <rcc rId="2337" sId="1" xfDxf="1" dxf="1">
    <nc r="K125" t="inlineStr">
      <is>
        <t>ApbMiGen2hevX_ECU_CSW_BB97468.axl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L125" start="0" length="0">
    <dxf>
      <alignment horizontal="left" vertical="top" readingOrder="0"/>
    </dxf>
  </rfmt>
  <rcc rId="2338" sId="1" xfDxf="1" dxf="1">
    <nc r="K126" t="inlineStr">
      <is>
        <t>RPAESPHevXEncapSWCust_ECU_CSW_BB99704.axl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L126" start="0" length="0">
    <dxf>
      <alignment horizontal="left" vertical="top" readingOrder="0"/>
    </dxf>
  </rfmt>
  <rcc rId="2339" sId="1" xfDxf="1" dxf="1">
    <nc r="K127" t="inlineStr">
      <is>
        <t>RPAESPHevXEncapSWCust_ECU_CSW_BB99704.axl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L127" start="0" length="0">
    <dxf>
      <alignment horizontal="left" vertical="top" readingOrder="0"/>
    </dxf>
  </rfmt>
  <rcc rId="2340" sId="1" xfDxf="1" dxf="1">
    <nc r="K128" t="inlineStr">
      <is>
        <t>RPAESPHevXEncapSWCust_ECU_CSW_BB99704.axl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1" xfDxf="1" sqref="L128" start="0" length="0">
    <dxf>
      <alignment horizontal="left" vertical="top" readingOrder="0"/>
    </dxf>
  </rfmt>
  <rfmt sheetId="1" xfDxf="1" sqref="L123" start="0" length="0">
    <dxf>
      <alignment horizontal="left" vertical="top" readingOrder="0"/>
    </dxf>
  </rfmt>
  <rfmt sheetId="1" xfDxf="1" sqref="M123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xfDxf="1" sqref="L124" start="0" length="0">
    <dxf>
      <alignment horizontal="left" vertical="top" readingOrder="0"/>
    </dxf>
  </rfmt>
  <rfmt sheetId="1" xfDxf="1" sqref="M124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xfDxf="1" sqref="L125" start="0" length="0">
    <dxf>
      <alignment horizontal="left" vertical="top" readingOrder="0"/>
    </dxf>
  </rfmt>
  <rfmt sheetId="1" xfDxf="1" sqref="M125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xfDxf="1" sqref="L126" start="0" length="0">
    <dxf>
      <alignment horizontal="left" vertical="top" readingOrder="0"/>
    </dxf>
  </rfmt>
  <rfmt sheetId="1" xfDxf="1" sqref="M126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xfDxf="1" sqref="L127" start="0" length="0">
    <dxf>
      <alignment horizontal="left" vertical="top" readingOrder="0"/>
    </dxf>
  </rfmt>
  <rfmt sheetId="1" xfDxf="1" sqref="M127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xfDxf="1" sqref="L128" start="0" length="0">
    <dxf>
      <alignment horizontal="left" vertical="top" readingOrder="0"/>
    </dxf>
  </rfmt>
  <rfmt sheetId="1" xfDxf="1" sqref="M12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341" sId="1" quotePrefix="1">
    <nc r="L123" t="inlineStr">
      <is>
        <t>1.0</t>
      </is>
    </nc>
  </rcc>
  <rcc rId="2342" sId="1" quotePrefix="1">
    <nc r="L124" t="inlineStr">
      <is>
        <t>1.4.146310.0</t>
      </is>
    </nc>
  </rcc>
  <rcc rId="2343" sId="1" quotePrefix="1">
    <nc r="L125" t="inlineStr">
      <is>
        <t>2.0.146310.0</t>
      </is>
    </nc>
  </rcc>
  <rcc rId="2344" sId="1" quotePrefix="1">
    <nc r="L126" t="inlineStr">
      <is>
        <t>1.0</t>
      </is>
    </nc>
  </rcc>
  <rcc rId="2345" sId="1" quotePrefix="1">
    <nc r="L127" t="inlineStr">
      <is>
        <t>1.0</t>
      </is>
    </nc>
  </rcc>
  <rcc rId="2346" sId="1" quotePrefix="1">
    <nc r="L128" t="inlineStr">
      <is>
        <t>1.1</t>
      </is>
    </nc>
  </rcc>
  <rfmt sheetId="1" sqref="L128" start="0" length="0">
    <dxf>
      <border>
        <bottom style="thin">
          <color indexed="64"/>
        </bottom>
      </border>
    </dxf>
  </rfmt>
  <rfmt sheetId="1" sqref="L123:L128"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</rfmt>
  <rcc rId="2347" sId="1" xfDxf="1" dxf="1" quotePrefix="1">
    <nc r="M123" t="inlineStr">
      <is>
        <t>ZHONG Yan (CC-AS/EVA-SW2-CN)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48" sId="1" quotePrefix="1">
    <nc r="M124" t="inlineStr">
      <is>
        <t>ZHONG Yan (CC-AS/EVA-SW2-CN)</t>
      </is>
    </nc>
  </rcc>
  <rcc rId="2349" sId="1" quotePrefix="1">
    <nc r="M125" t="inlineStr">
      <is>
        <t>ZHONG Yan (CC-AS/EVA-SW2-CN)</t>
      </is>
    </nc>
  </rcc>
  <rcc rId="2350" sId="1" quotePrefix="1">
    <nc r="M126" t="inlineStr">
      <is>
        <t>ZHONG Yan (CC-AS/EVA-SW2-CN)</t>
      </is>
    </nc>
  </rcc>
  <rcc rId="2351" sId="1" quotePrefix="1">
    <nc r="M127" t="inlineStr">
      <is>
        <t>ZHONG Yan (CC-AS/EVA-SW2-CN)</t>
      </is>
    </nc>
  </rcc>
  <rcc rId="2352" sId="1" quotePrefix="1">
    <nc r="M128" t="inlineStr">
      <is>
        <t>ZHONG Yan (CC-AS/EVA-SW2-CN)</t>
      </is>
    </nc>
  </rcc>
  <rcc rId="2353" sId="1">
    <nc r="O123" t="inlineStr">
      <is>
        <t>duong.nguyen</t>
      </is>
    </nc>
  </rcc>
  <rcc rId="2354" sId="1">
    <nc r="O124" t="inlineStr">
      <is>
        <t>duong.nguyen</t>
      </is>
    </nc>
  </rcc>
  <rcc rId="2355" sId="1">
    <nc r="O125" t="inlineStr">
      <is>
        <t>duong.nguyen</t>
      </is>
    </nc>
  </rcc>
  <rcc rId="2356" sId="1">
    <nc r="O126" t="inlineStr">
      <is>
        <t>loc.do-phu</t>
      </is>
    </nc>
  </rcc>
  <rcc rId="2357" sId="1">
    <nc r="O127" t="inlineStr">
      <is>
        <t>duong.nguyen</t>
      </is>
    </nc>
  </rcc>
  <rcc rId="2358" sId="1">
    <nc r="O128" t="inlineStr">
      <is>
        <t>thanh.nguyen-kim</t>
      </is>
    </nc>
  </rcc>
  <rcc rId="2359" sId="1" xfDxf="1" dxf="1">
    <nc r="R123">
      <v>17</v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0" sId="1" xfDxf="1" dxf="1">
    <nc r="R124">
      <v>30</v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1" sId="1" xfDxf="1" dxf="1">
    <nc r="R125">
      <v>30</v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2" sId="1" xfDxf="1" dxf="1">
    <nc r="R126">
      <v>12</v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3" sId="1" xfDxf="1" dxf="1">
    <nc r="R127">
      <v>12</v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4" sId="1" xfDxf="1" dxf="1">
    <nc r="R128">
      <v>22</v>
    </nc>
    <ndxf>
      <font/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365" sId="1">
    <nc r="S123">
      <f>R123</f>
    </nc>
  </rcc>
  <rcc rId="2366" sId="1">
    <nc r="S124">
      <f>R124</f>
    </nc>
  </rcc>
  <rcc rId="2367" sId="1">
    <nc r="S125">
      <f>R125</f>
    </nc>
  </rcc>
  <rcc rId="2368" sId="1">
    <nc r="S126">
      <f>R126</f>
    </nc>
  </rcc>
  <rcc rId="2369" sId="1">
    <nc r="S127">
      <f>R127</f>
    </nc>
  </rcc>
  <rcc rId="2370" sId="1">
    <nc r="S128">
      <f>R128</f>
    </nc>
  </rcc>
  <rcc rId="2371" sId="1">
    <nc r="U123">
      <f>ROUNDDOWN(S123/HLOOKUP(D123,Table!$C$3:$D$4,2,0)*8,2)</f>
    </nc>
  </rcc>
  <rcc rId="2372" sId="1">
    <nc r="U124">
      <f>ROUNDDOWN(S124/HLOOKUP(D124,Table!$C$3:$D$4,2,0)*8,2)</f>
    </nc>
  </rcc>
  <rcc rId="2373" sId="1">
    <nc r="U125">
      <f>ROUNDDOWN(S125/HLOOKUP(D125,Table!$C$3:$D$4,2,0)*8,2)</f>
    </nc>
  </rcc>
  <rcc rId="2374" sId="1">
    <nc r="U126">
      <f>ROUNDDOWN(S126/HLOOKUP(D126,Table!$C$3:$D$4,2,0)*8,2)</f>
    </nc>
  </rcc>
  <rcc rId="2375" sId="1">
    <nc r="U127">
      <f>ROUNDDOWN(S127/HLOOKUP(D127,Table!$C$3:$D$4,2,0)*8,2)</f>
    </nc>
  </rcc>
  <rcc rId="2376" sId="1">
    <nc r="U128">
      <f>ROUNDDOWN(S128/HLOOKUP(D128,Table!$C$3:$D$4,2,0)*8,2)</f>
    </nc>
  </rcc>
  <rcc rId="2377" sId="1" numFmtId="19">
    <nc r="X123">
      <v>43935</v>
    </nc>
  </rcc>
  <rcc rId="2378" sId="1" numFmtId="19">
    <nc r="X124">
      <v>43935</v>
    </nc>
  </rcc>
  <rcc rId="2379" sId="1" numFmtId="19">
    <nc r="X125">
      <v>43935</v>
    </nc>
  </rcc>
  <rcc rId="2380" sId="1" numFmtId="19">
    <nc r="X126">
      <v>43935</v>
    </nc>
  </rcc>
  <rcc rId="2381" sId="1" numFmtId="19">
    <nc r="X127">
      <v>43935</v>
    </nc>
  </rcc>
  <rcc rId="2382" sId="1" numFmtId="19">
    <nc r="X128">
      <v>43935</v>
    </nc>
  </rcc>
  <rcc rId="2383" sId="1" numFmtId="19">
    <nc r="Y123">
      <v>43935</v>
    </nc>
  </rcc>
  <rcc rId="2384" sId="1" numFmtId="19">
    <nc r="Z123">
      <v>43935</v>
    </nc>
  </rcc>
  <rcc rId="2385" sId="1" numFmtId="19">
    <nc r="AA123">
      <v>43935</v>
    </nc>
  </rcc>
  <rcc rId="2386" sId="1" numFmtId="19">
    <nc r="Y124">
      <v>43935</v>
    </nc>
  </rcc>
  <rcc rId="2387" sId="1" numFmtId="19">
    <nc r="Z124">
      <v>43935</v>
    </nc>
  </rcc>
  <rcc rId="2388" sId="1" numFmtId="19">
    <nc r="AA124">
      <v>43935</v>
    </nc>
  </rcc>
  <rcc rId="2389" sId="1" numFmtId="19">
    <nc r="Y125">
      <v>43935</v>
    </nc>
  </rcc>
  <rcc rId="2390" sId="1" numFmtId="19">
    <nc r="Z125">
      <v>43935</v>
    </nc>
  </rcc>
  <rcc rId="2391" sId="1" numFmtId="19">
    <nc r="AA125">
      <v>43935</v>
    </nc>
  </rcc>
  <rcc rId="2392" sId="1" numFmtId="19">
    <nc r="Y126">
      <v>43935</v>
    </nc>
  </rcc>
  <rcc rId="2393" sId="1" numFmtId="19">
    <nc r="Z126">
      <v>43935</v>
    </nc>
  </rcc>
  <rcc rId="2394" sId="1" numFmtId="19">
    <nc r="AA126">
      <v>43935</v>
    </nc>
  </rcc>
  <rcc rId="2395" sId="1" numFmtId="19">
    <nc r="Y127">
      <v>43935</v>
    </nc>
  </rcc>
  <rcc rId="2396" sId="1" numFmtId="19">
    <nc r="Z127">
      <v>43935</v>
    </nc>
  </rcc>
  <rcc rId="2397" sId="1" numFmtId="19">
    <nc r="AA127">
      <v>43935</v>
    </nc>
  </rcc>
  <rcc rId="2398" sId="1" numFmtId="19">
    <nc r="Y128">
      <v>43935</v>
    </nc>
  </rcc>
  <rcc rId="2399" sId="1" numFmtId="19">
    <nc r="Z128">
      <v>43935</v>
    </nc>
  </rcc>
  <rcc rId="2400" sId="1" numFmtId="19">
    <nc r="AA128">
      <v>43935</v>
    </nc>
  </rcc>
  <rcv guid="{7E0EA425-A420-4443-B9E0-CDF0AA9E5D09}" action="delete"/>
  <rdn rId="0" localSheetId="1" customView="1" name="Z_7E0EA425_A420_4443_B9E0_CDF0AA9E5D09_.wvu.FilterData" hidden="1" oldHidden="1">
    <formula>COEM_Package_20200302!$A$2:$AG$231</formula>
    <oldFormula>COEM_Package_20200302!$A$2:$AG$231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COEM_Package_20200401!$O$2:$O$268</formula>
    <oldFormula>COEM_Package_20200401!$O$2:$O$268</oldFormula>
  </rdn>
  <rcv guid="{7E0EA425-A420-4443-B9E0-CDF0AA9E5D09}" action="add"/>
</revisions>
</file>

<file path=xl/revisions/revisionLog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H13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32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33" start="0" length="0">
    <dxf>
      <font>
        <sz val="11"/>
        <color theme="1"/>
        <name val="Calibri"/>
        <scheme val="minor"/>
      </font>
    </dxf>
  </rfmt>
  <rfmt sheetId="1" sqref="H134" start="0" length="0">
    <dxf/>
  </rfmt>
  <rfmt sheetId="1" sqref="H135" start="0" length="0">
    <dxf/>
  </rfmt>
  <rfmt sheetId="1" sqref="H13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37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38" start="0" length="0">
    <dxf>
      <font>
        <sz val="11"/>
        <color theme="1"/>
        <name val="Calibri"/>
        <scheme val="minor"/>
      </font>
    </dxf>
  </rfmt>
  <rfmt sheetId="1" sqref="H139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40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4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42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43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44" start="0" length="0">
    <dxf>
      <fill>
        <patternFill patternType="none">
          <bgColor indexed="65"/>
        </patternFill>
      </fill>
    </dxf>
  </rfmt>
  <rfmt sheetId="1" sqref="H145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46" start="0" length="0">
    <dxf>
      <fill>
        <patternFill patternType="none">
          <bgColor indexed="65"/>
        </patternFill>
      </fill>
    </dxf>
  </rfmt>
  <rfmt sheetId="1" sqref="H150" start="0" length="0">
    <dxf>
      <fill>
        <patternFill patternType="none">
          <bgColor indexed="65"/>
        </patternFill>
      </fill>
    </dxf>
  </rfmt>
  <rfmt sheetId="1" sqref="H152" start="0" length="0">
    <dxf>
      <fill>
        <patternFill patternType="none">
          <bgColor indexed="65"/>
        </patternFill>
      </fill>
    </dxf>
  </rfmt>
  <rfmt sheetId="1" sqref="H157" start="0" length="0">
    <dxf>
      <fill>
        <patternFill patternType="none">
          <bgColor indexed="65"/>
        </patternFill>
      </fill>
    </dxf>
  </rfmt>
  <rfmt sheetId="1" sqref="H158" start="0" length="0">
    <dxf>
      <fill>
        <patternFill patternType="none">
          <bgColor indexed="65"/>
        </patternFill>
      </fill>
    </dxf>
  </rfmt>
  <rfmt sheetId="1" sqref="G120" start="0" length="0">
    <dxf>
      <fill>
        <patternFill patternType="none">
          <bgColor indexed="65"/>
        </patternFill>
      </fill>
    </dxf>
  </rfmt>
  <rfmt sheetId="1" sqref="G121" start="0" length="0">
    <dxf>
      <fill>
        <patternFill patternType="none">
          <bgColor indexed="65"/>
        </patternFill>
      </fill>
    </dxf>
  </rfmt>
  <rfmt sheetId="1" sqref="G122" start="0" length="0">
    <dxf>
      <fill>
        <patternFill patternType="none">
          <bgColor indexed="65"/>
        </patternFill>
      </fill>
    </dxf>
  </rfmt>
  <rfmt sheetId="1" sqref="G123" start="0" length="0">
    <dxf>
      <fill>
        <patternFill patternType="none">
          <bgColor indexed="65"/>
        </patternFill>
      </fill>
    </dxf>
  </rfmt>
  <rfmt sheetId="1" sqref="G124" start="0" length="0">
    <dxf>
      <fill>
        <patternFill patternType="none">
          <bgColor indexed="65"/>
        </patternFill>
      </fill>
    </dxf>
  </rfmt>
  <rfmt sheetId="1" sqref="G125" start="0" length="0">
    <dxf>
      <fill>
        <patternFill patternType="none">
          <bgColor indexed="65"/>
        </patternFill>
      </fill>
    </dxf>
  </rfmt>
  <rfmt sheetId="1" sqref="G126" start="0" length="0">
    <dxf>
      <fill>
        <patternFill patternType="none">
          <bgColor indexed="65"/>
        </patternFill>
      </fill>
    </dxf>
  </rfmt>
  <rfmt sheetId="1" sqref="G127" start="0" length="0">
    <dxf>
      <fill>
        <patternFill patternType="none">
          <bgColor indexed="65"/>
        </patternFill>
      </fill>
    </dxf>
  </rfmt>
  <rfmt sheetId="1" sqref="G128" start="0" length="0">
    <dxf>
      <fill>
        <patternFill patternType="none">
          <bgColor indexed="65"/>
        </patternFill>
      </fill>
    </dxf>
  </rfmt>
  <rfmt sheetId="1" sqref="G129" start="0" length="0">
    <dxf>
      <font>
        <sz val="11"/>
        <color theme="1"/>
        <name val="Calibri"/>
        <scheme val="minor"/>
      </font>
    </dxf>
  </rfmt>
  <rfmt sheetId="1" sqref="G131" start="0" length="0">
    <dxf>
      <font>
        <sz val="10"/>
        <color auto="1"/>
        <name val="Arial"/>
        <scheme val="minor"/>
      </font>
    </dxf>
  </rfmt>
  <rfmt sheetId="1" sqref="G133" start="0" length="0">
    <dxf/>
  </rfmt>
  <rfmt sheetId="1" sqref="G135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3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37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38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39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40" start="0" length="0">
    <dxf>
      <font/>
    </dxf>
  </rfmt>
  <rfmt sheetId="1" sqref="G141" start="0" length="0">
    <dxf>
      <font/>
    </dxf>
  </rfmt>
  <rfmt sheetId="1" sqref="G142" start="0" length="0">
    <dxf>
      <font/>
    </dxf>
  </rfmt>
  <rfmt sheetId="1" sqref="G143" start="0" length="0">
    <dxf>
      <font/>
    </dxf>
  </rfmt>
  <rfmt sheetId="1" sqref="G144" start="0" length="0">
    <dxf>
      <font>
        <sz val="11"/>
        <color theme="1"/>
        <name val="Calibri"/>
        <scheme val="minor"/>
      </font>
    </dxf>
  </rfmt>
  <rfmt sheetId="1" sqref="G145" start="0" length="0">
    <dxf>
      <font/>
    </dxf>
  </rfmt>
  <rfmt sheetId="1" sqref="G146" start="0" length="0">
    <dxf>
      <font>
        <sz val="11"/>
        <color theme="1"/>
        <name val="Calibri"/>
        <scheme val="minor"/>
      </font>
    </dxf>
  </rfmt>
  <rfmt sheetId="1" sqref="G147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48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49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50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5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52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G153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97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98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199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200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20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202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1" sqref="H203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cv guid="{7E0EA425-A420-4443-B9E0-CDF0AA9E5D09}" action="delete"/>
  <rdn rId="0" localSheetId="1" customView="1" name="Z_7E0EA425_A420_4443_B9E0_CDF0AA9E5D09_.wvu.FilterData" hidden="1" oldHidden="1">
    <formula>COEM_Package_20200302!$A$2:$AG$231</formula>
    <oldFormula>COEM_Package_20200302!$A$2:$AG$231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COEM_Package_20200401!$O$2:$O$268</formula>
    <oldFormula>COEM_Package_20200401!$O$2:$O$268</oldFormula>
  </rdn>
  <rcv guid="{7E0EA425-A420-4443-B9E0-CDF0AA9E5D09}" action="add"/>
</revisions>
</file>

<file path=xl/revisions/revisionLog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407" sId="1">
    <nc r="T123">
      <f>S123</f>
    </nc>
  </rcc>
  <rcc rId="2408" sId="1">
    <nc r="T124">
      <f>S124</f>
    </nc>
  </rcc>
  <rcc rId="2409" sId="1">
    <nc r="T125">
      <f>S125</f>
    </nc>
  </rcc>
  <rcc rId="2410" sId="1">
    <nc r="T126">
      <f>S126</f>
    </nc>
  </rcc>
  <rcc rId="2411" sId="1">
    <nc r="T127">
      <f>S127</f>
    </nc>
  </rcc>
  <rcc rId="2412" sId="1">
    <nc r="T128">
      <f>S128</f>
    </nc>
  </rcc>
  <rcc rId="2413" sId="1">
    <nc r="V123">
      <v>1</v>
    </nc>
  </rcc>
  <rcc rId="2414" sId="1">
    <nc r="V124">
      <v>2</v>
    </nc>
  </rcc>
  <rcc rId="2415" sId="1">
    <nc r="V125">
      <v>2</v>
    </nc>
  </rcc>
  <rcv guid="{7E0EA425-A420-4443-B9E0-CDF0AA9E5D09}" action="delete"/>
  <rdn rId="0" localSheetId="1" customView="1" name="Z_7E0EA425_A420_4443_B9E0_CDF0AA9E5D09_.wvu.Cols" hidden="1" oldHidden="1">
    <formula>COEM_Package_20200302!$P:$Q</formula>
  </rdn>
  <rdn rId="0" localSheetId="1" customView="1" name="Z_7E0EA425_A420_4443_B9E0_CDF0AA9E5D09_.wvu.FilterData" hidden="1" oldHidden="1">
    <formula>COEM_Package_20200302!$A$2:$AG$231</formula>
    <oldFormula>COEM_Package_20200302!$A$2:$AG$231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COEM_Package_20200401!$O$2:$O$268</formula>
    <oldFormula>COEM_Package_20200401!$O$2:$O$268</oldFormula>
  </rdn>
  <rcv guid="{7E0EA425-A420-4443-B9E0-CDF0AA9E5D09}" action="add"/>
</revisions>
</file>

<file path=xl/revisions/revisionLog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420" sId="1">
    <nc r="W123" t="inlineStr">
      <is>
        <t>Ready for PLC</t>
      </is>
    </nc>
  </rcc>
  <rcc rId="2421" sId="1">
    <nc r="W124" t="inlineStr">
      <is>
        <t>Ready for PLC</t>
      </is>
    </nc>
  </rcc>
  <rcc rId="2422" sId="1">
    <nc r="W125" t="inlineStr">
      <is>
        <t>Ready for PLC</t>
      </is>
    </nc>
  </rcc>
  <rcc rId="2423" sId="1">
    <nc r="AB123" t="inlineStr">
      <is>
        <t>OK</t>
      </is>
    </nc>
  </rcc>
  <rcc rId="2424" sId="1">
    <nc r="AC123">
      <v>100</v>
    </nc>
  </rcc>
  <rcc rId="2425" sId="1">
    <nc r="AD123">
      <v>100</v>
    </nc>
  </rcc>
  <rcc rId="2426" sId="1">
    <nc r="AE123">
      <v>100</v>
    </nc>
  </rcc>
  <rcc rId="2427" sId="1">
    <nc r="AB124" t="inlineStr">
      <is>
        <t>OK</t>
      </is>
    </nc>
  </rcc>
  <rcc rId="2428" sId="1">
    <nc r="AC124">
      <v>100</v>
    </nc>
  </rcc>
  <rcc rId="2429" sId="1">
    <nc r="AD124">
      <v>100</v>
    </nc>
  </rcc>
  <rcc rId="2430" sId="1">
    <nc r="AE124">
      <v>100</v>
    </nc>
  </rcc>
  <rcc rId="2431" sId="1">
    <nc r="AB125" t="inlineStr">
      <is>
        <t>OK</t>
      </is>
    </nc>
  </rcc>
  <rcc rId="2432" sId="1">
    <nc r="AC125">
      <v>100</v>
    </nc>
  </rcc>
  <rcc rId="2433" sId="1">
    <nc r="AD125">
      <v>100</v>
    </nc>
  </rcc>
  <rcc rId="2434" sId="1">
    <nc r="AE125">
      <v>100</v>
    </nc>
  </rcc>
  <rcc rId="2435" sId="1" quotePrefix="1">
    <nc r="AF123" t="inlineStr">
      <is>
        <t>-</t>
      </is>
    </nc>
  </rcc>
  <rcc rId="2436" sId="1" quotePrefix="1">
    <nc r="AG123" t="inlineStr">
      <is>
        <t>-</t>
      </is>
    </nc>
  </rcc>
  <rcc rId="2437" sId="1" quotePrefix="1">
    <nc r="AF124" t="inlineStr">
      <is>
        <t>-</t>
      </is>
    </nc>
  </rcc>
  <rcc rId="2438" sId="1" quotePrefix="1">
    <nc r="AG124" t="inlineStr">
      <is>
        <t>-</t>
      </is>
    </nc>
  </rcc>
  <rcc rId="2439" sId="1" quotePrefix="1">
    <nc r="AF125" t="inlineStr">
      <is>
        <t>-</t>
      </is>
    </nc>
  </rcc>
  <rcc rId="2440" sId="1" quotePrefix="1">
    <nc r="AG125" t="inlineStr">
      <is>
        <t>-</t>
      </is>
    </nc>
  </rcc>
  <rcc rId="2441" sId="1" quotePrefix="1">
    <nc r="AF126" t="inlineStr">
      <is>
        <t>-</t>
      </is>
    </nc>
  </rcc>
  <rcc rId="2442" sId="1" quotePrefix="1">
    <nc r="AG126" t="inlineStr">
      <is>
        <t>-</t>
      </is>
    </nc>
  </rcc>
  <rcc rId="2443" sId="1" quotePrefix="1">
    <nc r="AF127" t="inlineStr">
      <is>
        <t>-</t>
      </is>
    </nc>
  </rcc>
  <rcc rId="2444" sId="1" quotePrefix="1">
    <nc r="AG127" t="inlineStr">
      <is>
        <t>-</t>
      </is>
    </nc>
  </rcc>
  <rcc rId="2445" sId="1" quotePrefix="1">
    <nc r="AF128" t="inlineStr">
      <is>
        <t>-</t>
      </is>
    </nc>
  </rcc>
  <rcc rId="2446" sId="1" quotePrefix="1">
    <nc r="AG128" t="inlineStr">
      <is>
        <t>-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COEM_Package_20200302!$A$2:$AG$231</formula>
    <oldFormula>COEM_Package_20200302!$A$2:$AG$231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COEM_Package_20200401!$O$2:$O$268</formula>
    <oldFormula>COEM_Package_20200401!$O$2:$O$268</oldFormula>
  </rdn>
  <rcv guid="{7E0EA425-A420-4443-B9E0-CDF0AA9E5D09}" action="add"/>
</revisions>
</file>

<file path=xl/revisions/revisionLog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COEM_Package_20200302!$A$2:$AG$231</formula>
    <oldFormula>COEM_Package_20200302!$A$2:$AG$231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COEM_Package_20200401!$O$2:$O$268</formula>
    <oldFormula>COEM_Package_20200401!$O$2:$O$268</oldFormula>
  </rdn>
  <rcv guid="{7E0EA425-A420-4443-B9E0-CDF0AA9E5D09}" action="add"/>
</revisions>
</file>

<file path=xl/revisions/revisionLog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455" sId="4" quotePrefix="1">
    <oc r="AG131" t="inlineStr">
      <is>
        <t>-</t>
      </is>
    </oc>
    <nc r="AG131" t="inlineStr">
      <is>
        <t>-Tool error at line #272: Catata can't discriminate whether we call Dem_EvMemGetEventMemStatus at condition 1 or 2</t>
      </is>
    </nc>
  </rcc>
  <rcc rId="2456" sId="4" numFmtId="19">
    <nc r="Z131">
      <v>43935</v>
    </nc>
  </rcc>
  <rcc rId="2457" sId="4" numFmtId="19">
    <nc r="AA131">
      <v>43935</v>
    </nc>
  </rcc>
  <rcc rId="2458" sId="4">
    <nc r="AB131" t="inlineStr">
      <is>
        <t>NG</t>
      </is>
    </nc>
  </rcc>
  <rcc rId="2459" sId="4">
    <nc r="AC131">
      <v>100</v>
    </nc>
  </rcc>
  <rcc rId="2460" sId="4">
    <nc r="AD131">
      <v>100</v>
    </nc>
  </rcc>
  <rcc rId="2461" sId="4">
    <nc r="AE131">
      <v>100</v>
    </nc>
  </rcc>
  <rcc rId="2462" sId="4">
    <nc r="AF131" t="inlineStr">
      <is>
        <t>N/A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COEM_Package_20200302!$A$2:$AG$231</formula>
    <oldFormula>COEM_Package_20200302!$A$2:$AG$231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rc rId="2466" sId="1" ref="A228:XFD228" action="deleteRow">
    <undo index="0" exp="ref" v="1" dr="B228" r="B229" sId="1"/>
    <undo index="0" exp="area" ref3D="1" dr="$P$1:$Q$1048576" dn="Z_7E0EA425_A420_4443_B9E0_CDF0AA9E5D09_.wvu.Cols" sId="1"/>
    <undo index="0" exp="area" ref3D="1" dr="$M$1:$N$1048576" dn="Z_7ECC2B8E_6A82_42F5_8AB0_4A51C54EA5EC_.wvu.Cols" sId="1"/>
    <rfmt sheetId="1" xfDxf="1" sqref="A228:XFD228" start="0" length="0"/>
    <rcc rId="0" sId="1" dxf="1">
      <nc r="B228">
        <f>B227+1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2467" sId="1" ref="A228:XFD228" action="deleteRow">
    <undo index="0" exp="ref" v="1" dr="B228" r="B229" sId="1"/>
    <undo index="0" exp="area" ref3D="1" dr="$P$1:$Q$1048576" dn="Z_7E0EA425_A420_4443_B9E0_CDF0AA9E5D09_.wvu.Cols" sId="1"/>
    <undo index="0" exp="area" ref3D="1" dr="$M$1:$N$1048576" dn="Z_7ECC2B8E_6A82_42F5_8AB0_4A51C54EA5EC_.wvu.Cols" sId="1"/>
    <rfmt sheetId="1" xfDxf="1" sqref="A228:XFD228" start="0" length="0"/>
    <rcc rId="0" sId="1" dxf="1">
      <nc r="B228">
        <f>#REF!+1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2468" sId="1" ref="A228:XFD228" action="deleteRow">
    <undo index="0" exp="ref" v="1" dr="B228" r="B229" sId="1"/>
    <undo index="0" exp="area" ref3D="1" dr="$P$1:$Q$1048576" dn="Z_7E0EA425_A420_4443_B9E0_CDF0AA9E5D09_.wvu.Cols" sId="1"/>
    <undo index="0" exp="area" ref3D="1" dr="$M$1:$N$1048576" dn="Z_7ECC2B8E_6A82_42F5_8AB0_4A51C54EA5EC_.wvu.Cols" sId="1"/>
    <rfmt sheetId="1" xfDxf="1" sqref="A228:XFD228" start="0" length="0"/>
    <rcc rId="0" sId="1" dxf="1">
      <nc r="B228">
        <f>#REF!+1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rc rId="2469" sId="1" ref="A228:XFD228" action="deleteRow">
    <undo index="0" exp="area" ref3D="1" dr="$P$1:$Q$1048576" dn="Z_7E0EA425_A420_4443_B9E0_CDF0AA9E5D09_.wvu.Cols" sId="1"/>
    <undo index="0" exp="area" ref3D="1" dr="$A$2:$AG$228" dn="Z_D7052A08_90FA_48CA_82A8_5EA9416A6CAA_.wvu.FilterData" sId="1"/>
    <undo index="0" exp="area" ref3D="1" dr="$A$2:$AG$228" dn="Z_D1F7047B_CC2E_48BC_8022_C8013AE2B1E1_.wvu.FilterData" sId="1"/>
    <undo index="0" exp="area" ref3D="1" dr="$M$1:$N$1048576" dn="Z_7ECC2B8E_6A82_42F5_8AB0_4A51C54EA5EC_.wvu.Cols" sId="1"/>
    <undo index="0" exp="area" ref3D="1" dr="$A$2:$AG$228" dn="Z_72A6EB0A_84D5_4B8A_AC51_54CCD061630B_.wvu.FilterData" sId="1"/>
    <undo index="0" exp="area" ref3D="1" dr="$B$2:$AG$228" dn="Z_60D2C030_4E31_4E07_8E1C_44D2EE84B177_.wvu.FilterData" sId="1"/>
    <undo index="0" exp="area" ref3D="1" dr="$A$2:$AG$228" dn="Z_7E0EA425_A420_4443_B9E0_CDF0AA9E5D09_.wvu.FilterData" sId="1"/>
    <undo index="0" exp="area" ref3D="1" dr="$A$2:$AG$228" dn="Z_4E06BDBF_2CED_473B_850B_2A6C7311FF41_.wvu.FilterData" sId="1"/>
    <undo index="0" exp="area" ref3D="1" dr="$A$2:$AG$228" dn="Z_0B50C99A_4F8B_4D04_B153_9175FBB2D1A1_.wvu.FilterData" sId="1"/>
    <undo index="0" exp="area" ref3D="1" dr="$A$2:$AG$228" dn="_FilterDatabase" sId="1"/>
    <rfmt sheetId="1" xfDxf="1" sqref="A228:XFD228" start="0" length="0"/>
    <rcc rId="0" sId="1" dxf="1">
      <nc r="B228">
        <f>#REF!+1</f>
      </nc>
      <ndxf>
        <font>
          <sz val="11"/>
          <color auto="1"/>
          <name val="Calibri"/>
          <scheme val="minor"/>
        </font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ndxf>
    </rcc>
    <rfmt sheetId="1" sqref="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H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I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J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K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L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M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N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O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P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Q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R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S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T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U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V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W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X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Y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Z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A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B228" start="0" length="0">
      <dxf>
        <numFmt numFmtId="164" formatCode="[$-409]d\-mmm\-yyyy;@"/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C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D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E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F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1" sqref="AG22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rc>
  <rfmt sheetId="1" sqref="N108" start="0" length="0">
    <dxf>
      <font>
        <sz val="11"/>
        <color theme="1"/>
        <name val="Calibri"/>
        <scheme val="minor"/>
      </font>
    </dxf>
  </rfmt>
  <rfmt sheetId="1" sqref="N111" start="0" length="0">
    <dxf>
      <font>
        <sz val="11"/>
        <color theme="1"/>
        <name val="Calibri"/>
        <scheme val="minor"/>
      </font>
    </dxf>
  </rfmt>
  <rfmt sheetId="1" sqref="N112" start="0" length="0">
    <dxf>
      <font>
        <sz val="11"/>
        <color theme="1"/>
        <name val="Calibri"/>
        <scheme val="minor"/>
      </font>
    </dxf>
  </rfmt>
  <rfmt sheetId="1" sqref="N113" start="0" length="0">
    <dxf>
      <font>
        <sz val="11"/>
        <color theme="1"/>
        <name val="Calibri"/>
        <scheme val="minor"/>
      </font>
    </dxf>
  </rfmt>
  <rfmt sheetId="1" sqref="N115" start="0" length="0">
    <dxf>
      <font>
        <sz val="11"/>
        <color theme="1"/>
        <name val="Calibri"/>
        <scheme val="minor"/>
      </font>
    </dxf>
  </rfmt>
  <rfmt sheetId="1" sqref="N117" start="0" length="0">
    <dxf>
      <font>
        <sz val="11"/>
        <color theme="1"/>
        <name val="Calibri"/>
        <scheme val="minor"/>
      </font>
    </dxf>
  </rfmt>
  <rcc rId="2470" sId="1">
    <nc r="N123" t="inlineStr">
      <is>
        <t>T_C-121</t>
      </is>
    </nc>
  </rcc>
  <rcc rId="2471" sId="1">
    <nc r="N124" t="inlineStr">
      <is>
        <t>T_C-122</t>
      </is>
    </nc>
  </rcc>
  <rcc rId="2472" sId="1">
    <nc r="N125" t="inlineStr">
      <is>
        <t>T_C-123</t>
      </is>
    </nc>
  </rcc>
  <rcc rId="2473" sId="1">
    <nc r="N126" t="inlineStr">
      <is>
        <t>T_C-124</t>
      </is>
    </nc>
  </rcc>
  <rcc rId="2474" sId="1">
    <nc r="N127" t="inlineStr">
      <is>
        <t>T_C-125</t>
      </is>
    </nc>
  </rcc>
  <rcc rId="2475" sId="1">
    <nc r="N128" t="inlineStr">
      <is>
        <t>T_C-126</t>
      </is>
    </nc>
  </rcc>
  <rcc rId="2476" sId="1">
    <oc r="N129" t="inlineStr">
      <is>
        <t>T_C-121</t>
      </is>
    </oc>
    <nc r="N129" t="inlineStr">
      <is>
        <t>T_C-127</t>
      </is>
    </nc>
  </rcc>
  <rcc rId="2477" sId="1">
    <oc r="N130" t="inlineStr">
      <is>
        <t>T_C-122</t>
      </is>
    </oc>
    <nc r="N130" t="inlineStr">
      <is>
        <t>T_C-128</t>
      </is>
    </nc>
  </rcc>
  <rcc rId="2478" sId="1" odxf="1" dxf="1">
    <oc r="N131" t="inlineStr">
      <is>
        <t>T_C-123</t>
      </is>
    </oc>
    <nc r="N131" t="inlineStr">
      <is>
        <t>T_C-129</t>
      </is>
    </nc>
    <odxf>
      <font/>
    </odxf>
    <ndxf>
      <font>
        <sz val="11"/>
        <color theme="1"/>
        <name val="Calibri"/>
        <scheme val="minor"/>
      </font>
    </ndxf>
  </rcc>
  <rcc rId="2479" sId="1">
    <oc r="N132" t="inlineStr">
      <is>
        <t>T_C-124</t>
      </is>
    </oc>
    <nc r="N132" t="inlineStr">
      <is>
        <t>T_C-130</t>
      </is>
    </nc>
  </rcc>
  <rcc rId="2480" sId="1">
    <oc r="N133" t="inlineStr">
      <is>
        <t>T_C-125</t>
      </is>
    </oc>
    <nc r="N133" t="inlineStr">
      <is>
        <t>T_C-131</t>
      </is>
    </nc>
  </rcc>
  <rcc rId="2481" sId="1">
    <oc r="N134" t="inlineStr">
      <is>
        <t>T_C-126</t>
      </is>
    </oc>
    <nc r="N134" t="inlineStr">
      <is>
        <t>T_C-132</t>
      </is>
    </nc>
  </rcc>
  <rcc rId="2482" sId="1">
    <oc r="N135" t="inlineStr">
      <is>
        <t>T_C-127</t>
      </is>
    </oc>
    <nc r="N135" t="inlineStr">
      <is>
        <t>T_C-133</t>
      </is>
    </nc>
  </rcc>
  <rcc rId="2483" sId="1">
    <oc r="N136" t="inlineStr">
      <is>
        <t>T_C-128</t>
      </is>
    </oc>
    <nc r="N136" t="inlineStr">
      <is>
        <t>T_C-134</t>
      </is>
    </nc>
  </rcc>
  <rcc rId="2484" sId="1">
    <oc r="N137" t="inlineStr">
      <is>
        <t>T_C-129</t>
      </is>
    </oc>
    <nc r="N137" t="inlineStr">
      <is>
        <t>T_C-135</t>
      </is>
    </nc>
  </rcc>
  <rcc rId="2485" sId="1">
    <oc r="N138" t="inlineStr">
      <is>
        <t>T_C-130</t>
      </is>
    </oc>
    <nc r="N138" t="inlineStr">
      <is>
        <t>T_C-136</t>
      </is>
    </nc>
  </rcc>
  <rcc rId="2486" sId="1">
    <oc r="N139" t="inlineStr">
      <is>
        <t>T_C-131</t>
      </is>
    </oc>
    <nc r="N139" t="inlineStr">
      <is>
        <t>T_C-137</t>
      </is>
    </nc>
  </rcc>
  <rcc rId="2487" sId="1" odxf="1" dxf="1">
    <oc r="N140" t="inlineStr">
      <is>
        <t>T_C-132</t>
      </is>
    </oc>
    <nc r="N140" t="inlineStr">
      <is>
        <t>T_C-138</t>
      </is>
    </nc>
    <odxf>
      <font/>
    </odxf>
    <ndxf>
      <font>
        <sz val="11"/>
        <color theme="1"/>
        <name val="Calibri"/>
        <scheme val="minor"/>
      </font>
    </ndxf>
  </rcc>
  <rcc rId="2488" sId="1" odxf="1" dxf="1">
    <oc r="N141" t="inlineStr">
      <is>
        <t>T_C-133</t>
      </is>
    </oc>
    <nc r="N141" t="inlineStr">
      <is>
        <t>T_C-139</t>
      </is>
    </nc>
    <odxf>
      <font/>
    </odxf>
    <ndxf>
      <font>
        <sz val="11"/>
        <color theme="1"/>
        <name val="Calibri"/>
        <scheme val="minor"/>
      </font>
    </ndxf>
  </rcc>
  <rcc rId="2489" sId="1" odxf="1" dxf="1">
    <oc r="N142" t="inlineStr">
      <is>
        <t>T_C-134</t>
      </is>
    </oc>
    <nc r="N142" t="inlineStr">
      <is>
        <t>T_C-140</t>
      </is>
    </nc>
    <odxf>
      <font/>
    </odxf>
    <ndxf>
      <font>
        <sz val="11"/>
        <color theme="1"/>
        <name val="Calibri"/>
        <scheme val="minor"/>
      </font>
    </ndxf>
  </rcc>
  <rcc rId="2490" sId="1" odxf="1" dxf="1">
    <oc r="N143" t="inlineStr">
      <is>
        <t>T_C-135</t>
      </is>
    </oc>
    <nc r="N143" t="inlineStr">
      <is>
        <t>T_C-141</t>
      </is>
    </nc>
    <odxf>
      <font/>
    </odxf>
    <ndxf>
      <font>
        <sz val="11"/>
        <color theme="1"/>
        <name val="Calibri"/>
        <scheme val="minor"/>
      </font>
    </ndxf>
  </rcc>
  <rcc rId="2491" sId="1">
    <oc r="N144" t="inlineStr">
      <is>
        <t>T_C-136</t>
      </is>
    </oc>
    <nc r="N144" t="inlineStr">
      <is>
        <t>T_C-142</t>
      </is>
    </nc>
  </rcc>
  <rcc rId="2492" sId="1" odxf="1" dxf="1">
    <oc r="N145" t="inlineStr">
      <is>
        <t>T_C-137</t>
      </is>
    </oc>
    <nc r="N145" t="inlineStr">
      <is>
        <t>T_C-143</t>
      </is>
    </nc>
    <odxf>
      <font/>
    </odxf>
    <ndxf>
      <font>
        <sz val="11"/>
        <color theme="1"/>
        <name val="Calibri"/>
        <scheme val="minor"/>
      </font>
    </ndxf>
  </rcc>
  <rcc rId="2493" sId="1">
    <oc r="N146" t="inlineStr">
      <is>
        <t>T_C-138</t>
      </is>
    </oc>
    <nc r="N146" t="inlineStr">
      <is>
        <t>T_C-144</t>
      </is>
    </nc>
  </rcc>
  <rcc rId="2494" sId="1">
    <oc r="N147" t="inlineStr">
      <is>
        <t>T_C-139</t>
      </is>
    </oc>
    <nc r="N147" t="inlineStr">
      <is>
        <t>T_C-145</t>
      </is>
    </nc>
  </rcc>
  <rcc rId="2495" sId="1">
    <oc r="N148" t="inlineStr">
      <is>
        <t>T_C-140</t>
      </is>
    </oc>
    <nc r="N148" t="inlineStr">
      <is>
        <t>T_C-146</t>
      </is>
    </nc>
  </rcc>
  <rcc rId="2496" sId="1">
    <oc r="N149" t="inlineStr">
      <is>
        <t>T_C-141</t>
      </is>
    </oc>
    <nc r="N149" t="inlineStr">
      <is>
        <t>T_C-147</t>
      </is>
    </nc>
  </rcc>
  <rcc rId="2497" sId="1">
    <oc r="N150" t="inlineStr">
      <is>
        <t>T_C-142</t>
      </is>
    </oc>
    <nc r="N150" t="inlineStr">
      <is>
        <t>T_C-148</t>
      </is>
    </nc>
  </rcc>
  <rcc rId="2498" sId="1">
    <oc r="N151" t="inlineStr">
      <is>
        <t>T_C-143</t>
      </is>
    </oc>
    <nc r="N151" t="inlineStr">
      <is>
        <t>T_C-149</t>
      </is>
    </nc>
  </rcc>
  <rcc rId="2499" sId="1">
    <oc r="N152" t="inlineStr">
      <is>
        <t>T_C-144</t>
      </is>
    </oc>
    <nc r="N152" t="inlineStr">
      <is>
        <t>T_C-150</t>
      </is>
    </nc>
  </rcc>
  <rcc rId="2500" sId="1">
    <oc r="N153" t="inlineStr">
      <is>
        <t>T_C-145</t>
      </is>
    </oc>
    <nc r="N153" t="inlineStr">
      <is>
        <t>T_C-151</t>
      </is>
    </nc>
  </rcc>
  <rcc rId="2501" sId="1">
    <oc r="N154" t="inlineStr">
      <is>
        <t>T_C-146</t>
      </is>
    </oc>
    <nc r="N154" t="inlineStr">
      <is>
        <t>T_C-152</t>
      </is>
    </nc>
  </rcc>
  <rcc rId="2502" sId="1">
    <oc r="N155" t="inlineStr">
      <is>
        <t>T_C-147</t>
      </is>
    </oc>
    <nc r="N155" t="inlineStr">
      <is>
        <t>T_C-153</t>
      </is>
    </nc>
  </rcc>
  <rcc rId="2503" sId="1">
    <oc r="N156" t="inlineStr">
      <is>
        <t>T_C-148</t>
      </is>
    </oc>
    <nc r="N156" t="inlineStr">
      <is>
        <t>T_C-154</t>
      </is>
    </nc>
  </rcc>
  <rcc rId="2504" sId="1">
    <oc r="N157" t="inlineStr">
      <is>
        <t>T_C-149</t>
      </is>
    </oc>
    <nc r="N157" t="inlineStr">
      <is>
        <t>T_C-155</t>
      </is>
    </nc>
  </rcc>
  <rcc rId="2505" sId="1">
    <oc r="N158" t="inlineStr">
      <is>
        <t>T_C-150</t>
      </is>
    </oc>
    <nc r="N158" t="inlineStr">
      <is>
        <t>T_C-156</t>
      </is>
    </nc>
  </rcc>
  <rcc rId="2506" sId="1">
    <oc r="N159" t="inlineStr">
      <is>
        <t>T_C-151</t>
      </is>
    </oc>
    <nc r="N159" t="inlineStr">
      <is>
        <t>T_C-157</t>
      </is>
    </nc>
  </rcc>
  <rcc rId="2507" sId="1">
    <oc r="N160" t="inlineStr">
      <is>
        <t>T_C-152</t>
      </is>
    </oc>
    <nc r="N160" t="inlineStr">
      <is>
        <t>T_C-158</t>
      </is>
    </nc>
  </rcc>
  <rcc rId="2508" sId="1">
    <oc r="N161" t="inlineStr">
      <is>
        <t>T_C-153</t>
      </is>
    </oc>
    <nc r="N161" t="inlineStr">
      <is>
        <t>T_C-159</t>
      </is>
    </nc>
  </rcc>
  <rcc rId="2509" sId="1">
    <oc r="N162" t="inlineStr">
      <is>
        <t>T_C-154</t>
      </is>
    </oc>
    <nc r="N162" t="inlineStr">
      <is>
        <t>T_C-160</t>
      </is>
    </nc>
  </rcc>
  <rcc rId="2510" sId="1">
    <oc r="N163" t="inlineStr">
      <is>
        <t>T_C-155</t>
      </is>
    </oc>
    <nc r="N163" t="inlineStr">
      <is>
        <t>T_C-161</t>
      </is>
    </nc>
  </rcc>
  <rcc rId="2511" sId="1">
    <oc r="N164" t="inlineStr">
      <is>
        <t>T_C-156</t>
      </is>
    </oc>
    <nc r="N164" t="inlineStr">
      <is>
        <t>T_C-162</t>
      </is>
    </nc>
  </rcc>
  <rcc rId="2512" sId="1">
    <oc r="N165" t="inlineStr">
      <is>
        <t>T_C-157</t>
      </is>
    </oc>
    <nc r="N165" t="inlineStr">
      <is>
        <t>T_C-163</t>
      </is>
    </nc>
  </rcc>
  <rcc rId="2513" sId="1">
    <oc r="N166" t="inlineStr">
      <is>
        <t>T_C-158</t>
      </is>
    </oc>
    <nc r="N166" t="inlineStr">
      <is>
        <t>T_C-164</t>
      </is>
    </nc>
  </rcc>
  <rcc rId="2514" sId="1">
    <oc r="N167" t="inlineStr">
      <is>
        <t>T_C-159</t>
      </is>
    </oc>
    <nc r="N167" t="inlineStr">
      <is>
        <t>T_C-165</t>
      </is>
    </nc>
  </rcc>
  <rcc rId="2515" sId="1">
    <oc r="N168" t="inlineStr">
      <is>
        <t>T_C-160</t>
      </is>
    </oc>
    <nc r="N168" t="inlineStr">
      <is>
        <t>T_C-166</t>
      </is>
    </nc>
  </rcc>
  <rcc rId="2516" sId="1">
    <oc r="N169" t="inlineStr">
      <is>
        <t>T_C-161</t>
      </is>
    </oc>
    <nc r="N169" t="inlineStr">
      <is>
        <t>T_C-167</t>
      </is>
    </nc>
  </rcc>
  <rcc rId="2517" sId="1">
    <oc r="N170" t="inlineStr">
      <is>
        <t>T_C-162</t>
      </is>
    </oc>
    <nc r="N170" t="inlineStr">
      <is>
        <t>T_C-168</t>
      </is>
    </nc>
  </rcc>
  <rcc rId="2518" sId="1">
    <oc r="N171" t="inlineStr">
      <is>
        <t>T_C-163</t>
      </is>
    </oc>
    <nc r="N171" t="inlineStr">
      <is>
        <t>T_C-169</t>
      </is>
    </nc>
  </rcc>
  <rcc rId="2519" sId="1">
    <oc r="N172" t="inlineStr">
      <is>
        <t>T_C-164</t>
      </is>
    </oc>
    <nc r="N172" t="inlineStr">
      <is>
        <t>T_C-170</t>
      </is>
    </nc>
  </rcc>
  <rcc rId="2520" sId="1">
    <oc r="N173" t="inlineStr">
      <is>
        <t>T_C-165</t>
      </is>
    </oc>
    <nc r="N173" t="inlineStr">
      <is>
        <t>T_C-171</t>
      </is>
    </nc>
  </rcc>
  <rcc rId="2521" sId="1">
    <oc r="N174" t="inlineStr">
      <is>
        <t>T_C-166</t>
      </is>
    </oc>
    <nc r="N174" t="inlineStr">
      <is>
        <t>T_C-172</t>
      </is>
    </nc>
  </rcc>
  <rcc rId="2522" sId="1">
    <oc r="N175" t="inlineStr">
      <is>
        <t>T_C-167</t>
      </is>
    </oc>
    <nc r="N175" t="inlineStr">
      <is>
        <t>T_C-173</t>
      </is>
    </nc>
  </rcc>
  <rcc rId="2523" sId="1">
    <oc r="N176" t="inlineStr">
      <is>
        <t>T_C-168</t>
      </is>
    </oc>
    <nc r="N176" t="inlineStr">
      <is>
        <t>T_C-174</t>
      </is>
    </nc>
  </rcc>
  <rcc rId="2524" sId="1">
    <oc r="N177" t="inlineStr">
      <is>
        <t>T_C-169</t>
      </is>
    </oc>
    <nc r="N177" t="inlineStr">
      <is>
        <t>T_C-175</t>
      </is>
    </nc>
  </rcc>
  <rcc rId="2525" sId="1">
    <oc r="N178" t="inlineStr">
      <is>
        <t>T_C-170</t>
      </is>
    </oc>
    <nc r="N178" t="inlineStr">
      <is>
        <t>T_C-176</t>
      </is>
    </nc>
  </rcc>
  <rcc rId="2526" sId="1">
    <oc r="N179" t="inlineStr">
      <is>
        <t>T_C-171</t>
      </is>
    </oc>
    <nc r="N179" t="inlineStr">
      <is>
        <t>T_C-177</t>
      </is>
    </nc>
  </rcc>
  <rcc rId="2527" sId="1">
    <oc r="N180" t="inlineStr">
      <is>
        <t>T_C-172</t>
      </is>
    </oc>
    <nc r="N180" t="inlineStr">
      <is>
        <t>T_C-178</t>
      </is>
    </nc>
  </rcc>
  <rcc rId="2528" sId="1">
    <oc r="N181" t="inlineStr">
      <is>
        <t>T_C-173</t>
      </is>
    </oc>
    <nc r="N181" t="inlineStr">
      <is>
        <t>T_C-179</t>
      </is>
    </nc>
  </rcc>
  <rcc rId="2529" sId="1">
    <oc r="N182" t="inlineStr">
      <is>
        <t>T_C-174</t>
      </is>
    </oc>
    <nc r="N182" t="inlineStr">
      <is>
        <t>T_C-180</t>
      </is>
    </nc>
  </rcc>
  <rcc rId="2530" sId="1">
    <oc r="N183" t="inlineStr">
      <is>
        <t>T_C-175</t>
      </is>
    </oc>
    <nc r="N183" t="inlineStr">
      <is>
        <t>T_C-181</t>
      </is>
    </nc>
  </rcc>
  <rcc rId="2531" sId="1">
    <oc r="N184" t="inlineStr">
      <is>
        <t>T_C-176</t>
      </is>
    </oc>
    <nc r="N184" t="inlineStr">
      <is>
        <t>T_C-182</t>
      </is>
    </nc>
  </rcc>
  <rcc rId="2532" sId="1">
    <oc r="N185" t="inlineStr">
      <is>
        <t>T_C-177</t>
      </is>
    </oc>
    <nc r="N185" t="inlineStr">
      <is>
        <t>T_C-183</t>
      </is>
    </nc>
  </rcc>
  <rcc rId="2533" sId="1">
    <oc r="N186" t="inlineStr">
      <is>
        <t>T_C-178</t>
      </is>
    </oc>
    <nc r="N186" t="inlineStr">
      <is>
        <t>T_C-184</t>
      </is>
    </nc>
  </rcc>
  <rcc rId="2534" sId="1">
    <oc r="N187" t="inlineStr">
      <is>
        <t>T_C-179</t>
      </is>
    </oc>
    <nc r="N187" t="inlineStr">
      <is>
        <t>T_C-185</t>
      </is>
    </nc>
  </rcc>
  <rcc rId="2535" sId="1">
    <oc r="N188" t="inlineStr">
      <is>
        <t>T_C-180</t>
      </is>
    </oc>
    <nc r="N188" t="inlineStr">
      <is>
        <t>T_C-186</t>
      </is>
    </nc>
  </rcc>
  <rcc rId="2536" sId="1">
    <oc r="N189" t="inlineStr">
      <is>
        <t>T_C-181</t>
      </is>
    </oc>
    <nc r="N189" t="inlineStr">
      <is>
        <t>T_C-187</t>
      </is>
    </nc>
  </rcc>
  <rcc rId="2537" sId="1">
    <oc r="N190" t="inlineStr">
      <is>
        <t>T_C-182</t>
      </is>
    </oc>
    <nc r="N190" t="inlineStr">
      <is>
        <t>T_C-188</t>
      </is>
    </nc>
  </rcc>
  <rcc rId="2538" sId="1">
    <oc r="N191" t="inlineStr">
      <is>
        <t>T_C-183</t>
      </is>
    </oc>
    <nc r="N191" t="inlineStr">
      <is>
        <t>T_C-189</t>
      </is>
    </nc>
  </rcc>
  <rcc rId="2539" sId="1">
    <oc r="N192" t="inlineStr">
      <is>
        <t>T_C-184</t>
      </is>
    </oc>
    <nc r="N192" t="inlineStr">
      <is>
        <t>T_C-190</t>
      </is>
    </nc>
  </rcc>
  <rcc rId="2540" sId="1">
    <oc r="N193" t="inlineStr">
      <is>
        <t>T_C-185</t>
      </is>
    </oc>
    <nc r="N193" t="inlineStr">
      <is>
        <t>T_C-191</t>
      </is>
    </nc>
  </rcc>
  <rcc rId="2541" sId="1">
    <oc r="N194" t="inlineStr">
      <is>
        <t>T_C-186</t>
      </is>
    </oc>
    <nc r="N194" t="inlineStr">
      <is>
        <t>T_C-192</t>
      </is>
    </nc>
  </rcc>
  <rcc rId="2542" sId="1">
    <oc r="N195" t="inlineStr">
      <is>
        <t>T_C-187</t>
      </is>
    </oc>
    <nc r="N195" t="inlineStr">
      <is>
        <t>T_C-193</t>
      </is>
    </nc>
  </rcc>
  <rcc rId="2543" sId="1">
    <oc r="N196" t="inlineStr">
      <is>
        <t>T_C-188</t>
      </is>
    </oc>
    <nc r="N196" t="inlineStr">
      <is>
        <t>T_C-194</t>
      </is>
    </nc>
  </rcc>
  <rcc rId="2544" sId="1">
    <oc r="N197" t="inlineStr">
      <is>
        <t>T_C-189</t>
      </is>
    </oc>
    <nc r="N197" t="inlineStr">
      <is>
        <t>T_C-195</t>
      </is>
    </nc>
  </rcc>
  <rcc rId="2545" sId="1">
    <oc r="N198" t="inlineStr">
      <is>
        <t>T_C-190</t>
      </is>
    </oc>
    <nc r="N198" t="inlineStr">
      <is>
        <t>T_C-196</t>
      </is>
    </nc>
  </rcc>
  <rcc rId="2546" sId="1">
    <oc r="N199" t="inlineStr">
      <is>
        <t>T_C-191</t>
      </is>
    </oc>
    <nc r="N199" t="inlineStr">
      <is>
        <t>T_C-197</t>
      </is>
    </nc>
  </rcc>
  <rcc rId="2547" sId="1">
    <oc r="N200" t="inlineStr">
      <is>
        <t>T_C-192</t>
      </is>
    </oc>
    <nc r="N200" t="inlineStr">
      <is>
        <t>T_C-198</t>
      </is>
    </nc>
  </rcc>
  <rcc rId="2548" sId="1">
    <oc r="N201" t="inlineStr">
      <is>
        <t>T_C-193</t>
      </is>
    </oc>
    <nc r="N201" t="inlineStr">
      <is>
        <t>T_C-199</t>
      </is>
    </nc>
  </rcc>
  <rcc rId="2549" sId="1">
    <oc r="N202" t="inlineStr">
      <is>
        <t>T_C-194</t>
      </is>
    </oc>
    <nc r="N202" t="inlineStr">
      <is>
        <t>T_C-200</t>
      </is>
    </nc>
  </rcc>
  <rcc rId="2550" sId="1">
    <oc r="N203" t="inlineStr">
      <is>
        <t>T_C-195</t>
      </is>
    </oc>
    <nc r="N203" t="inlineStr">
      <is>
        <t>T_C-201</t>
      </is>
    </nc>
  </rcc>
  <rcc rId="2551" sId="1">
    <oc r="N204" t="inlineStr">
      <is>
        <t>T_C-196</t>
      </is>
    </oc>
    <nc r="N204" t="inlineStr">
      <is>
        <t>T_C-202</t>
      </is>
    </nc>
  </rcc>
  <rcc rId="2552" sId="1">
    <oc r="N205" t="inlineStr">
      <is>
        <t>T_C-197</t>
      </is>
    </oc>
    <nc r="N205" t="inlineStr">
      <is>
        <t>T_C-203</t>
      </is>
    </nc>
  </rcc>
  <rcc rId="2553" sId="1">
    <oc r="N206" t="inlineStr">
      <is>
        <t>T_C-198</t>
      </is>
    </oc>
    <nc r="N206" t="inlineStr">
      <is>
        <t>T_C-204</t>
      </is>
    </nc>
  </rcc>
  <rcc rId="2554" sId="1">
    <oc r="N207" t="inlineStr">
      <is>
        <t>T_C-199</t>
      </is>
    </oc>
    <nc r="N207" t="inlineStr">
      <is>
        <t>T_C-205</t>
      </is>
    </nc>
  </rcc>
  <rcc rId="2555" sId="1">
    <oc r="N208" t="inlineStr">
      <is>
        <t>T_C-200</t>
      </is>
    </oc>
    <nc r="N208" t="inlineStr">
      <is>
        <t>T_C-206</t>
      </is>
    </nc>
  </rcc>
  <rcc rId="2556" sId="1">
    <oc r="N209" t="inlineStr">
      <is>
        <t>T_C-201</t>
      </is>
    </oc>
    <nc r="N209" t="inlineStr">
      <is>
        <t>T_C-207</t>
      </is>
    </nc>
  </rcc>
  <rcc rId="2557" sId="1">
    <oc r="N210" t="inlineStr">
      <is>
        <t>T_C-202</t>
      </is>
    </oc>
    <nc r="N210" t="inlineStr">
      <is>
        <t>T_C-208</t>
      </is>
    </nc>
  </rcc>
  <rcc rId="2558" sId="1">
    <oc r="N211" t="inlineStr">
      <is>
        <t>T_C-203</t>
      </is>
    </oc>
    <nc r="N211" t="inlineStr">
      <is>
        <t>T_C-209</t>
      </is>
    </nc>
  </rcc>
  <rcc rId="2559" sId="1">
    <oc r="N212" t="inlineStr">
      <is>
        <t>T_C-204</t>
      </is>
    </oc>
    <nc r="N212" t="inlineStr">
      <is>
        <t>T_C-210</t>
      </is>
    </nc>
  </rcc>
  <rcc rId="2560" sId="1">
    <oc r="N213" t="inlineStr">
      <is>
        <t>T_C-205</t>
      </is>
    </oc>
    <nc r="N213" t="inlineStr">
      <is>
        <t>T_C-211</t>
      </is>
    </nc>
  </rcc>
  <rcc rId="2561" sId="1">
    <oc r="N214" t="inlineStr">
      <is>
        <t>T_C-206</t>
      </is>
    </oc>
    <nc r="N214" t="inlineStr">
      <is>
        <t>T_C-212</t>
      </is>
    </nc>
  </rcc>
  <rcc rId="2562" sId="1">
    <oc r="N215" t="inlineStr">
      <is>
        <t>T_C-207</t>
      </is>
    </oc>
    <nc r="N215" t="inlineStr">
      <is>
        <t>T_C-213</t>
      </is>
    </nc>
  </rcc>
  <rcc rId="2563" sId="1">
    <oc r="N216" t="inlineStr">
      <is>
        <t>T_C-208</t>
      </is>
    </oc>
    <nc r="N216" t="inlineStr">
      <is>
        <t>T_C-214</t>
      </is>
    </nc>
  </rcc>
  <rcc rId="2564" sId="1">
    <oc r="N217" t="inlineStr">
      <is>
        <t>T_C-209</t>
      </is>
    </oc>
    <nc r="N217" t="inlineStr">
      <is>
        <t>T_C-215</t>
      </is>
    </nc>
  </rcc>
  <rcc rId="2565" sId="1">
    <oc r="N218" t="inlineStr">
      <is>
        <t>T_C-210</t>
      </is>
    </oc>
    <nc r="N218" t="inlineStr">
      <is>
        <t>T_C-216</t>
      </is>
    </nc>
  </rcc>
  <rcc rId="2566" sId="1">
    <oc r="N219" t="inlineStr">
      <is>
        <t>T_C-211</t>
      </is>
    </oc>
    <nc r="N219" t="inlineStr">
      <is>
        <t>T_C-217</t>
      </is>
    </nc>
  </rcc>
  <rcc rId="2567" sId="1">
    <oc r="N220" t="inlineStr">
      <is>
        <t>T_C-212</t>
      </is>
    </oc>
    <nc r="N220" t="inlineStr">
      <is>
        <t>T_C-218</t>
      </is>
    </nc>
  </rcc>
  <rcc rId="2568" sId="1">
    <oc r="N221" t="inlineStr">
      <is>
        <t>T_C-213</t>
      </is>
    </oc>
    <nc r="N221" t="inlineStr">
      <is>
        <t>T_C-219</t>
      </is>
    </nc>
  </rcc>
  <rcc rId="2569" sId="1">
    <oc r="N222" t="inlineStr">
      <is>
        <t>T_C-214</t>
      </is>
    </oc>
    <nc r="N222" t="inlineStr">
      <is>
        <t>T_C-220</t>
      </is>
    </nc>
  </rcc>
  <rcc rId="2570" sId="1">
    <oc r="N223" t="inlineStr">
      <is>
        <t>T_C-215</t>
      </is>
    </oc>
    <nc r="N223" t="inlineStr">
      <is>
        <t>T_C-221</t>
      </is>
    </nc>
  </rcc>
  <rcc rId="2571" sId="1">
    <oc r="N224" t="inlineStr">
      <is>
        <t>T_C-216</t>
      </is>
    </oc>
    <nc r="N224" t="inlineStr">
      <is>
        <t>T_C-222</t>
      </is>
    </nc>
  </rcc>
  <rcc rId="2572" sId="1">
    <oc r="N225" t="inlineStr">
      <is>
        <t>T_C-217</t>
      </is>
    </oc>
    <nc r="N225" t="inlineStr">
      <is>
        <t>T_C-223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COEM_Package_20200401!$O$2:$O$268</formula>
    <oldFormula>COEM_Package_20200401!$O$2:$O$268</oldFormula>
  </rdn>
  <rcv guid="{7E0EA425-A420-4443-B9E0-CDF0AA9E5D09}" action="add"/>
</revisions>
</file>

<file path=xl/revisions/revisionLog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77" sId="4">
    <nc r="V131">
      <v>2</v>
    </nc>
  </rcc>
  <rcc rId="2578" sId="4">
    <nc r="W131" t="inlineStr">
      <is>
        <t>Ready for review</t>
      </is>
    </nc>
  </rcc>
  <rfmt sheetId="4" sqref="H13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mt sheetId="1" cell="K69" guid="{00000000-0000-0000-0000-000000000000}" action="delete" author="EXTERNAL Nguyen Tuan Duong (Ban Vien, RBVH/EPS45)"/>
  <rcmt sheetId="1" cell="K74" guid="{00000000-0000-0000-0000-000000000000}" action="delete" author="EXTERNAL Nguyen Tuan Duong (Ban Vien, RBVH/EPS45)"/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COEM_Package_20200401!$O$2:$O$268</oldFormula>
  </rdn>
  <rcv guid="{7E0EA425-A420-4443-B9E0-CDF0AA9E5D09}" action="add"/>
</revisions>
</file>

<file path=xl/revisions/revisionLog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590" sId="5" odxf="1" dxf="1">
    <nc r="B218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5" sqref="C218" start="0" length="0">
    <dxf>
      <font>
        <b/>
        <sz val="11"/>
        <color theme="1"/>
        <name val="Calibri"/>
        <scheme val="minor"/>
      </font>
    </dxf>
  </rfmt>
  <rcc rId="2591" sId="5" odxf="1" dxf="1">
    <nc r="B219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592" sId="5" odxf="1">
    <nc r="C219">
      <f>SUM(G225:G226)</f>
    </nc>
    <odxf/>
  </rcc>
  <rcc rId="2593" sId="5">
    <nc r="D219" t="inlineStr">
      <is>
        <t>days</t>
      </is>
    </nc>
  </rcc>
  <rcc rId="2594" sId="5" odxf="1" dxf="1">
    <nc r="B220" t="inlineStr">
      <is>
        <t>Duration (Plan)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5" sId="5" odxf="1" dxf="1">
    <nc r="C220">
      <f>SUM(INT((WEEKDAY(F220-{2,3,4,5,6}) +H220-F220)/7))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6" sId="5" odxf="1" dxf="1">
    <nc r="D220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597" sId="5" odxf="1" dxf="1">
    <nc r="E220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20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598" sId="5" odxf="1" dxf="1">
    <nc r="G220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20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599" sId="5" odxf="1" dxf="1">
    <nc r="B221" t="inlineStr">
      <is>
        <t>Duration (Actual)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0" sId="5" odxf="1" dxf="1">
    <nc r="C221">
      <f>SUM(INT((WEEKDAY(F221-{2,3,4,5,6}) +H221-F221)/7))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1" sId="5" odxf="1" dxf="1">
    <nc r="D221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2" sId="5" odxf="1" dxf="1">
    <nc r="E221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21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03" sId="5" odxf="1" dxf="1">
    <nc r="G221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21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04" sId="5" odxf="1" dxf="1">
    <nc r="B222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605" sId="5">
    <nc r="C222">
      <f>IF(SUM(H225:H226)&gt;SUM(G225:G226),"Delayed",IF(SUM(H225:H226)&lt;SUM(G225:G226),"InAdvanced","Ontime"))</f>
    </nc>
  </rcc>
  <rcc rId="2606" sId="5" odxf="1" dxf="1">
    <nc r="C224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7" sId="5" odxf="1" dxf="1">
    <nc r="D224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8" sId="5" odxf="1" dxf="1">
    <nc r="E224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09" sId="5" odxf="1" dxf="1">
    <nc r="F224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0" sId="5" odxf="1" dxf="1">
    <nc r="G224" t="inlineStr">
      <is>
        <t>Estimate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1" sId="5" odxf="1" dxf="1">
    <nc r="H224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2" sId="5" odxf="1" dxf="1">
    <nc r="I224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3" sId="5" odxf="1" dxf="1">
    <nc r="C225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4" sId="5" odxf="1" dxf="1">
    <nc r="D225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5" sId="5" odxf="1" dxf="1">
    <nc r="E225">
      <f>SUMIFS(COEM_Package_20200401!$S$3:$S$313,COEM_Package_20200401!$D$3:$D$313,Table!$D$3,COEM_Package_20200401!$C$3:$C$313,Report_For_Each_Project!C218)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6" sId="5" odxf="1" dxf="1">
    <nc r="F225">
      <f>SUMIFS(COEM_Package_20200401!$T$3:$T$313,COEM_Package_20200401!$D$3:$D$313,Table!$D$3,COEM_Package_20200401!$C$3:$C$313,Report_For_Each_Project!C218)-SUM(SUMIFS(COEM_Package_20200401!$T$3:$T$313,COEM_Package_20200401!$D$3:$D$313,Table!$D$3,COEM_Package_20200401!$W$3:$W$313,{"Ongoing","N/A",""},COEM_Package_20200401!$C$3:$C$313,Report_For_Each_Project!C218)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7" sId="5" odxf="1" dxf="1">
    <nc r="G225">
      <f>E225/Table!$D$4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8" sId="5" odxf="1" dxf="1">
    <nc r="H225">
      <f>1/8*(SUMIFS(COEM_Package_20200401!$V$3:$V$313,COEM_Package_20200401!$D$3:$D$313,Table!$D$3,COEM_Package_20200401!$C$3:$C$313,Report_For_Each_Project!C218)-SUM(SUMIFS(COEM_Package_20200401!$V$3:$V$313,COEM_Package_20200401!$D$3:$D$313,Table!$D$3,COEM_Package_20200401!$W$3:$W$313,{"Ongoing","N/A",""},COEM_Package_20200401!$C$3:$C$313,Report_For_Each_Project!C218)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19" sId="5" odxf="1" dxf="1">
    <nc r="I225">
      <f>IF(E225=0,"N/A",F225/E225)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0" sId="5" odxf="1" dxf="1">
    <nc r="C226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1" sId="5" odxf="1" dxf="1">
    <nc r="D226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2" sId="5" odxf="1" dxf="1">
    <nc r="E226">
      <f>SUMIFS(COEM_Package_20200401!$S$3:$S$313,COEM_Package_20200401!$D$3:$D$313,Table!$C$3,COEM_Package_20200401!$C$3:$C$313,Report_For_Each_Project!C218)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3" sId="5" odxf="1" dxf="1">
    <nc r="F226">
      <f>SUMIFS(COEM_Package_20200401!$T$3:$T$313,COEM_Package_20200401!$D$3:$D$313,Table!$C$3,COEM_Package_20200401!$C$3:$C$313,Report_For_Each_Project!C218)-SUM(SUMIFS(COEM_Package_20200401!$T$3:$T$313,COEM_Package_20200401!$D$3:$D$313,Table!$C$3,COEM_Package_20200401!$W$3:$W$313,{"Ongoing","N/A",""},COEM_Package_20200401!$C$3:$C$313,Report_For_Each_Project!C218)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4" sId="5" odxf="1" dxf="1">
    <nc r="G226">
      <f>E226/Table!$C$4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5" sId="5" odxf="1" dxf="1">
    <nc r="H226">
      <f>1/8*(SUMIFS(COEM_Package_20200401!$V$3:$V$313,COEM_Package_20200401!$D$3:$D$313,Table!$C$3,COEM_Package_20200401!$C$3:$C$313,Report_For_Each_Project!C218)-SUM(SUMIFS(COEM_Package_20200401!$V$3:$V$313,COEM_Package_20200401!$D$3:$D$313,Table!$C$3,COEM_Package_20200401!$W$3:$W$313,{"Ongoing","N/A",""},COEM_Package_20200401!$C$3:$C$313,Report_For_Each_Project!C218)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6" sId="5" odxf="1" dxf="1">
    <nc r="I226">
      <f>IF(E226=0,"N/A",F226/E226)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27" sId="5">
    <nc r="C228" t="inlineStr">
      <is>
        <t>Brief Description:</t>
      </is>
    </nc>
  </rcc>
  <rcc rId="2628" sId="5">
    <nc r="E228" t="inlineStr">
      <is>
        <t>N/A</t>
      </is>
    </nc>
  </rcc>
  <rcc rId="2629" sId="5">
    <nc r="A218">
      <v>19</v>
    </nc>
  </rcc>
  <rcc rId="2630" sId="5">
    <nc r="C218">
      <v>20200407</v>
    </nc>
  </rcc>
  <rcc rId="2631" sId="5" numFmtId="19">
    <nc r="F221">
      <v>43929</v>
    </nc>
  </rcc>
  <rcc rId="2632" sId="5" numFmtId="19">
    <nc r="H221">
      <v>43930</v>
    </nc>
  </rcc>
  <rcc rId="2633" sId="5" numFmtId="19">
    <nc r="F220">
      <v>43928</v>
    </nc>
  </rcc>
  <rcc rId="2634" sId="5" numFmtId="19">
    <nc r="H220">
      <v>43934</v>
    </nc>
  </rcc>
  <rcc rId="2635" sId="5">
    <nc r="A230">
      <v>19</v>
    </nc>
  </rcc>
  <rcc rId="2636" sId="5" odxf="1" dxf="1">
    <nc r="B230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5" sqref="C230" start="0" length="0">
    <dxf>
      <font>
        <b/>
        <sz val="11"/>
        <color theme="1"/>
        <name val="Calibri"/>
        <scheme val="minor"/>
      </font>
    </dxf>
  </rfmt>
  <rcc rId="2637" sId="5" odxf="1" dxf="1">
    <nc r="B231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638" sId="5" odxf="1">
    <nc r="C231">
      <f>SUM(G237:G238)</f>
    </nc>
    <odxf/>
  </rcc>
  <rcc rId="2639" sId="5">
    <nc r="D231" t="inlineStr">
      <is>
        <t>days</t>
      </is>
    </nc>
  </rcc>
  <rcc rId="2640" sId="5" odxf="1" dxf="1">
    <nc r="B232" t="inlineStr">
      <is>
        <t>Duration (Plan)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1" sId="5" odxf="1" dxf="1">
    <nc r="C232">
      <f>SUM(INT((WEEKDAY(F232-{2,3,4,5,6}) +H232-F232)/7))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2" sId="5" odxf="1" dxf="1">
    <nc r="D232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3" sId="5" odxf="1" dxf="1">
    <nc r="E232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32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44" sId="5" odxf="1" dxf="1">
    <nc r="G232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32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45" sId="5" odxf="1" dxf="1">
    <nc r="B233" t="inlineStr">
      <is>
        <t>Duration (Actual)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6" sId="5" odxf="1" dxf="1">
    <nc r="C233">
      <f>SUM(INT((WEEKDAY(F233-{2,3,4,5,6}) +H233-F233)/7))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7" sId="5" odxf="1" dxf="1">
    <nc r="D233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48" sId="5" odxf="1" dxf="1">
    <nc r="E233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33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49" sId="5" odxf="1" dxf="1">
    <nc r="G233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33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50" sId="5" odxf="1" dxf="1">
    <nc r="B234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651" sId="5">
    <nc r="C234">
      <f>IF(SUM(H237:H238)&gt;SUM(G237:G238),"Delayed",IF(SUM(H237:H238)&lt;SUM(G237:G238),"InAdvanced","Ontime"))</f>
    </nc>
  </rcc>
  <rcc rId="2652" sId="5" odxf="1" dxf="1">
    <nc r="C236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3" sId="5" odxf="1" dxf="1">
    <nc r="D236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4" sId="5" odxf="1" dxf="1">
    <nc r="E236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5" sId="5" odxf="1" dxf="1">
    <nc r="F236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6" sId="5" odxf="1" dxf="1">
    <nc r="G236" t="inlineStr">
      <is>
        <t>Estimate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7" sId="5" odxf="1" dxf="1">
    <nc r="H236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8" sId="5" odxf="1" dxf="1">
    <nc r="I236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59" sId="5" odxf="1" dxf="1">
    <nc r="C237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0" sId="5" odxf="1" dxf="1">
    <nc r="D237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1" sId="5" odxf="1" dxf="1">
    <nc r="E237">
      <f>SUMIFS(COEM_Package_20200401!$S$3:$S$313,COEM_Package_20200401!$D$3:$D$313,Table!$D$3,COEM_Package_20200401!$C$3:$C$313,Report_For_Each_Project!C230)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2" sId="5" odxf="1" dxf="1">
    <nc r="F237">
      <f>SUMIFS(COEM_Package_20200401!$T$3:$T$313,COEM_Package_20200401!$D$3:$D$313,Table!$D$3,COEM_Package_20200401!$C$3:$C$313,Report_For_Each_Project!C230)-SUM(SUMIFS(COEM_Package_20200401!$T$3:$T$313,COEM_Package_20200401!$D$3:$D$313,Table!$D$3,COEM_Package_20200401!$W$3:$W$313,{"Ongoing","N/A",""},COEM_Package_20200401!$C$3:$C$313,Report_For_Each_Project!C230)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3" sId="5" odxf="1" dxf="1">
    <nc r="G237">
      <f>E237/Table!$D$4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4" sId="5" odxf="1" dxf="1">
    <nc r="H237">
      <f>1/8*(SUMIFS(COEM_Package_20200401!$V$3:$V$313,COEM_Package_20200401!$D$3:$D$313,Table!$D$3,COEM_Package_20200401!$C$3:$C$313,Report_For_Each_Project!C230)-SUM(SUMIFS(COEM_Package_20200401!$V$3:$V$313,COEM_Package_20200401!$D$3:$D$313,Table!$D$3,COEM_Package_20200401!$W$3:$W$313,{"Ongoing","N/A",""},COEM_Package_20200401!$C$3:$C$313,Report_For_Each_Project!C230)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5" sId="5" odxf="1" dxf="1">
    <nc r="I237">
      <f>IF(E237=0,"N/A",F237/E237)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6" sId="5" odxf="1" dxf="1">
    <nc r="C238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7" sId="5" odxf="1" dxf="1">
    <nc r="D238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8" sId="5" odxf="1" dxf="1">
    <nc r="E238">
      <f>SUMIFS(COEM_Package_20200401!$S$3:$S$313,COEM_Package_20200401!$D$3:$D$313,Table!$C$3,COEM_Package_20200401!$C$3:$C$313,Report_For_Each_Project!C230)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69" sId="5" odxf="1" dxf="1">
    <nc r="F238">
      <f>SUMIFS(COEM_Package_20200401!$T$3:$T$313,COEM_Package_20200401!$D$3:$D$313,Table!$C$3,COEM_Package_20200401!$C$3:$C$313,Report_For_Each_Project!C230)-SUM(SUMIFS(COEM_Package_20200401!$T$3:$T$313,COEM_Package_20200401!$D$3:$D$313,Table!$C$3,COEM_Package_20200401!$W$3:$W$313,{"Ongoing","N/A",""},COEM_Package_20200401!$C$3:$C$313,Report_For_Each_Project!C230)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0" sId="5" odxf="1" dxf="1">
    <nc r="G238">
      <f>E238/Table!$C$4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1" sId="5" odxf="1" dxf="1">
    <nc r="H238">
      <f>1/8*(SUMIFS(COEM_Package_20200401!$V$3:$V$313,COEM_Package_20200401!$D$3:$D$313,Table!$C$3,COEM_Package_20200401!$C$3:$C$313,Report_For_Each_Project!C230)-SUM(SUMIFS(COEM_Package_20200401!$V$3:$V$313,COEM_Package_20200401!$D$3:$D$313,Table!$C$3,COEM_Package_20200401!$W$3:$W$313,{"Ongoing","N/A",""},COEM_Package_20200401!$C$3:$C$313,Report_For_Each_Project!C230)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2" sId="5" odxf="1" dxf="1">
    <nc r="I238">
      <f>IF(E238=0,"N/A",F238/E238)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73" sId="5">
    <nc r="C240" t="inlineStr">
      <is>
        <t>Brief Description:</t>
      </is>
    </nc>
  </rcc>
  <rcc rId="2674" sId="5">
    <nc r="E240" t="inlineStr">
      <is>
        <t>N/A</t>
      </is>
    </nc>
  </rcc>
  <rcc rId="2675" sId="5">
    <nc r="C230">
      <v>20200408</v>
    </nc>
  </rcc>
  <rcc rId="2676" sId="5" numFmtId="19">
    <nc r="F232">
      <v>43934</v>
    </nc>
  </rcc>
  <rcc rId="2677" sId="5" numFmtId="19">
    <nc r="H232">
      <v>43941</v>
    </nc>
  </rcc>
  <rcc rId="2678" sId="5" numFmtId="19">
    <nc r="F233">
      <v>43934</v>
    </nc>
  </rcc>
  <rcc rId="2679" sId="5" numFmtId="19">
    <nc r="H233">
      <v>43938</v>
    </nc>
  </rcc>
  <rcc rId="2680" sId="5" odxf="1" dxf="1">
    <nc r="B242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5" sqref="C242" start="0" length="0">
    <dxf>
      <font>
        <b/>
        <sz val="11"/>
        <color theme="1"/>
        <name val="Calibri"/>
        <scheme val="minor"/>
      </font>
    </dxf>
  </rfmt>
  <rcc rId="2681" sId="5" odxf="1" dxf="1">
    <nc r="B243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682" sId="5" odxf="1">
    <nc r="C243">
      <f>SUM(G249:G250)</f>
    </nc>
    <odxf/>
  </rcc>
  <rcc rId="2683" sId="5">
    <nc r="D243" t="inlineStr">
      <is>
        <t>days</t>
      </is>
    </nc>
  </rcc>
  <rcc rId="2684" sId="5" odxf="1" dxf="1">
    <nc r="B244" t="inlineStr">
      <is>
        <t>Duration (Plan)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5" sId="5" odxf="1" dxf="1">
    <nc r="C244">
      <f>SUM(INT((WEEKDAY(F244-{2,3,4,5,6}) +H244-F244)/7))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6" sId="5" odxf="1" dxf="1">
    <nc r="D244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87" sId="5" odxf="1" dxf="1">
    <nc r="E244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44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88" sId="5" odxf="1" dxf="1">
    <nc r="G244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44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89" sId="5" odxf="1" dxf="1">
    <nc r="B245" t="inlineStr">
      <is>
        <t>Duration (Actual)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0" sId="5" odxf="1" dxf="1">
    <nc r="C245">
      <f>SUM(INT((WEEKDAY(F245-{2,3,4,5,6}) +H245-F245)/7))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1" sId="5" odxf="1" dxf="1">
    <nc r="D245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2" sId="5" odxf="1" dxf="1">
    <nc r="E245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45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93" sId="5" odxf="1" dxf="1">
    <nc r="G245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45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694" sId="5" odxf="1" dxf="1">
    <nc r="B246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695" sId="5">
    <nc r="C246">
      <f>IF(SUM(H249:H250)&gt;SUM(G249:G250),"Delayed",IF(SUM(H249:H250)&lt;SUM(G249:G250),"InAdvanced","Ontime"))</f>
    </nc>
  </rcc>
  <rcc rId="2696" sId="5" odxf="1" dxf="1">
    <nc r="C248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7" sId="5" odxf="1" dxf="1">
    <nc r="D248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8" sId="5" odxf="1" dxf="1">
    <nc r="E248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699" sId="5" odxf="1" dxf="1">
    <nc r="F248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0" sId="5" odxf="1" dxf="1">
    <nc r="G248" t="inlineStr">
      <is>
        <t>Estimate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1" sId="5" odxf="1" dxf="1">
    <nc r="H248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2" sId="5" odxf="1" dxf="1">
    <nc r="I248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3" sId="5" odxf="1" dxf="1">
    <nc r="C249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4" sId="5" odxf="1" dxf="1">
    <nc r="D249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5" sId="5" odxf="1" dxf="1">
    <nc r="E249">
      <f>SUMIFS(COEM_Package_20200401!$S$3:$S$313,COEM_Package_20200401!$D$3:$D$313,Table!$D$3,COEM_Package_20200401!$C$3:$C$313,Report_For_Each_Project!C242)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6" sId="5" odxf="1" dxf="1">
    <nc r="F249">
      <f>SUMIFS(COEM_Package_20200401!$T$3:$T$313,COEM_Package_20200401!$D$3:$D$313,Table!$D$3,COEM_Package_20200401!$C$3:$C$313,Report_For_Each_Project!C242)-SUM(SUMIFS(COEM_Package_20200401!$T$3:$T$313,COEM_Package_20200401!$D$3:$D$313,Table!$D$3,COEM_Package_20200401!$W$3:$W$313,{"Ongoing","N/A",""},COEM_Package_20200401!$C$3:$C$313,Report_For_Each_Project!C242)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7" sId="5" odxf="1" dxf="1">
    <nc r="G249">
      <f>E249/Table!$D$4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8" sId="5" odxf="1" dxf="1">
    <nc r="H249">
      <f>1/8*(SUMIFS(COEM_Package_20200401!$V$3:$V$313,COEM_Package_20200401!$D$3:$D$313,Table!$D$3,COEM_Package_20200401!$C$3:$C$313,Report_For_Each_Project!C242)-SUM(SUMIFS(COEM_Package_20200401!$V$3:$V$313,COEM_Package_20200401!$D$3:$D$313,Table!$D$3,COEM_Package_20200401!$W$3:$W$313,{"Ongoing","N/A",""},COEM_Package_20200401!$C$3:$C$313,Report_For_Each_Project!C242)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09" sId="5" odxf="1" dxf="1">
    <nc r="I249">
      <f>IF(E249=0,"N/A",F249/E249)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0" sId="5" odxf="1" dxf="1">
    <nc r="C250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1" sId="5" odxf="1" dxf="1">
    <nc r="D250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2" sId="5" odxf="1" dxf="1">
    <nc r="E250">
      <f>SUMIFS(COEM_Package_20200401!$S$3:$S$313,COEM_Package_20200401!$D$3:$D$313,Table!$C$3,COEM_Package_20200401!$C$3:$C$313,Report_For_Each_Project!C242)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3" sId="5" odxf="1" dxf="1">
    <nc r="F250">
      <f>SUMIFS(COEM_Package_20200401!$T$3:$T$313,COEM_Package_20200401!$D$3:$D$313,Table!$C$3,COEM_Package_20200401!$C$3:$C$313,Report_For_Each_Project!C242)-SUM(SUMIFS(COEM_Package_20200401!$T$3:$T$313,COEM_Package_20200401!$D$3:$D$313,Table!$C$3,COEM_Package_20200401!$W$3:$W$313,{"Ongoing","N/A",""},COEM_Package_20200401!$C$3:$C$313,Report_For_Each_Project!C242)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4" sId="5" odxf="1" dxf="1">
    <nc r="G250">
      <f>E250/Table!$C$4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5" sId="5" odxf="1" dxf="1">
    <nc r="H250">
      <f>1/8*(SUMIFS(COEM_Package_20200401!$V$3:$V$313,COEM_Package_20200401!$D$3:$D$313,Table!$C$3,COEM_Package_20200401!$C$3:$C$313,Report_For_Each_Project!C242)-SUM(SUMIFS(COEM_Package_20200401!$V$3:$V$313,COEM_Package_20200401!$D$3:$D$313,Table!$C$3,COEM_Package_20200401!$W$3:$W$313,{"Ongoing","N/A",""},COEM_Package_20200401!$C$3:$C$313,Report_For_Each_Project!C242)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6" sId="5" odxf="1" dxf="1">
    <nc r="I250">
      <f>IF(E250=0,"N/A",F250/E250)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17" sId="5">
    <nc r="C252" t="inlineStr">
      <is>
        <t>Brief Description:</t>
      </is>
    </nc>
  </rcc>
  <rcc rId="2718" sId="5">
    <nc r="E252" t="inlineStr">
      <is>
        <t>N/A</t>
      </is>
    </nc>
  </rcc>
  <rcc rId="2719" sId="5">
    <nc r="A242">
      <v>20</v>
    </nc>
  </rcc>
  <rcc rId="2720" sId="5">
    <nc r="C242">
      <v>20200409</v>
    </nc>
  </rcc>
  <rcc rId="2721" sId="5" numFmtId="19">
    <nc r="F244">
      <v>43929</v>
    </nc>
  </rcc>
  <rcc rId="2722" sId="5" numFmtId="19">
    <nc r="H244">
      <v>43930</v>
    </nc>
  </rcc>
  <rcc rId="2723" sId="5" numFmtId="19">
    <nc r="F245">
      <v>43929</v>
    </nc>
  </rcc>
  <rcc rId="2724" sId="5" numFmtId="19">
    <nc r="H245">
      <v>43930</v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29" sId="4">
    <nc r="T165">
      <f>S165</f>
    </nc>
  </rcc>
  <rcc rId="2730" sId="4">
    <nc r="V165">
      <v>4</v>
    </nc>
  </rcc>
  <rcc rId="2731" sId="4">
    <nc r="W165" t="inlineStr">
      <is>
        <t>Ready for review</t>
      </is>
    </nc>
  </rcc>
  <rcc rId="2732" sId="4" numFmtId="19">
    <nc r="Z165">
      <v>43935</v>
    </nc>
  </rcc>
  <rcc rId="2733" sId="4" numFmtId="19">
    <nc r="AA165">
      <v>43935</v>
    </nc>
  </rcc>
  <rcc rId="2734" sId="4">
    <nc r="AB165" t="inlineStr">
      <is>
        <t>OK</t>
      </is>
    </nc>
  </rcc>
  <rcc rId="2735" sId="4">
    <nc r="AC165">
      <v>100</v>
    </nc>
  </rcc>
  <rcc rId="2736" sId="4">
    <nc r="AD165">
      <v>100</v>
    </nc>
  </rcc>
  <rcc rId="2737" sId="4">
    <nc r="AE165">
      <v>100</v>
    </nc>
  </rcc>
  <rcc rId="2738" sId="4">
    <nc r="AF165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H126:P1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</revisions>
</file>

<file path=xl/revisions/revisionLog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742" sId="5" odxf="1" dxf="1">
    <nc r="B254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5" sqref="C254" start="0" length="0">
    <dxf>
      <font>
        <b/>
        <sz val="11"/>
        <color theme="1"/>
        <name val="Calibri"/>
        <scheme val="minor"/>
      </font>
    </dxf>
  </rfmt>
  <rcc rId="2743" sId="5" odxf="1" dxf="1">
    <nc r="B255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744" sId="5" odxf="1">
    <nc r="C255">
      <f>SUM(G261:G262)</f>
    </nc>
    <odxf/>
  </rcc>
  <rcc rId="2745" sId="5">
    <nc r="D255" t="inlineStr">
      <is>
        <t>days</t>
      </is>
    </nc>
  </rcc>
  <rcc rId="2746" sId="5" odxf="1" dxf="1">
    <nc r="B256" t="inlineStr">
      <is>
        <t>Duration (Plan)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7" sId="5" odxf="1" dxf="1">
    <nc r="C256">
      <f>SUM(INT((WEEKDAY(F256-{2,3,4,5,6}) +H256-F256)/7))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8" sId="5" odxf="1" dxf="1">
    <nc r="D256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49" sId="5" odxf="1" dxf="1">
    <nc r="E256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56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750" sId="5" odxf="1" dxf="1">
    <nc r="G256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56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751" sId="5" odxf="1" dxf="1">
    <nc r="B257" t="inlineStr">
      <is>
        <t>Duration (Actual)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2" sId="5" odxf="1" dxf="1">
    <nc r="C257">
      <f>SUM(INT((WEEKDAY(F257-{2,3,4,5,6}) +H257-F257)/7))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3" sId="5" odxf="1" dxf="1">
    <nc r="D257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4" sId="5" odxf="1" dxf="1">
    <nc r="E257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F257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755" sId="5" odxf="1" dxf="1">
    <nc r="G257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57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756" sId="5" odxf="1" dxf="1">
    <nc r="B258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757" sId="5">
    <nc r="C258">
      <f>IF(SUM(H261:H262)&gt;SUM(G261:G262),"Delayed",IF(SUM(H261:H262)&lt;SUM(G261:G262),"InAdvanced","Ontime"))</f>
    </nc>
  </rcc>
  <rcc rId="2758" sId="5" odxf="1" dxf="1">
    <nc r="C260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59" sId="5" odxf="1" dxf="1">
    <nc r="D260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0" sId="5" odxf="1" dxf="1">
    <nc r="E260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1" sId="5" odxf="1" dxf="1">
    <nc r="F260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2" sId="5" odxf="1" dxf="1">
    <nc r="G260" t="inlineStr">
      <is>
        <t>Estimate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3" sId="5" odxf="1" dxf="1">
    <nc r="H260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4" sId="5" odxf="1" dxf="1">
    <nc r="I260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5" sId="5" odxf="1" dxf="1">
    <nc r="C261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6" sId="5" odxf="1" dxf="1">
    <nc r="D261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7" sId="5" odxf="1" dxf="1">
    <nc r="E261">
      <f>SUMIFS(COEM_Package_20200401!$S$3:$S$313,COEM_Package_20200401!$D$3:$D$313,Table!$D$3,COEM_Package_20200401!$C$3:$C$313,Report_For_Each_Project!C254)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8" sId="5" odxf="1" dxf="1">
    <nc r="F261">
      <f>SUMIFS(COEM_Package_20200401!$T$3:$T$313,COEM_Package_20200401!$D$3:$D$313,Table!$D$3,COEM_Package_20200401!$C$3:$C$313,Report_For_Each_Project!C254)-SUM(SUMIFS(COEM_Package_20200401!$T$3:$T$313,COEM_Package_20200401!$D$3:$D$313,Table!$D$3,COEM_Package_20200401!$W$3:$W$313,{"Ongoing","N/A",""},COEM_Package_20200401!$C$3:$C$313,Report_For_Each_Project!C254)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69" sId="5" odxf="1" dxf="1">
    <nc r="G261">
      <f>E261/Table!$D$4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0" sId="5" odxf="1" dxf="1">
    <nc r="H261">
      <f>1/8*(SUMIFS(COEM_Package_20200401!$V$3:$V$313,COEM_Package_20200401!$D$3:$D$313,Table!$D$3,COEM_Package_20200401!$C$3:$C$313,Report_For_Each_Project!C254)-SUM(SUMIFS(COEM_Package_20200401!$V$3:$V$313,COEM_Package_20200401!$D$3:$D$313,Table!$D$3,COEM_Package_20200401!$W$3:$W$313,{"Ongoing","N/A",""},COEM_Package_20200401!$C$3:$C$313,Report_For_Each_Project!C254)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1" sId="5" odxf="1" dxf="1">
    <nc r="I261">
      <f>IF(E261=0,"N/A",F261/E261)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2" sId="5" odxf="1" dxf="1">
    <nc r="C262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3" sId="5" odxf="1" dxf="1">
    <nc r="D262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4" sId="5" odxf="1" dxf="1">
    <nc r="E262">
      <f>SUMIFS(COEM_Package_20200401!$S$3:$S$313,COEM_Package_20200401!$D$3:$D$313,Table!$C$3,COEM_Package_20200401!$C$3:$C$313,Report_For_Each_Project!C254)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5" sId="5" odxf="1" dxf="1">
    <nc r="F262">
      <f>SUMIFS(COEM_Package_20200401!$T$3:$T$313,COEM_Package_20200401!$D$3:$D$313,Table!$C$3,COEM_Package_20200401!$C$3:$C$313,Report_For_Each_Project!C254)-SUM(SUMIFS(COEM_Package_20200401!$T$3:$T$313,COEM_Package_20200401!$D$3:$D$313,Table!$C$3,COEM_Package_20200401!$W$3:$W$313,{"Ongoing","N/A",""},COEM_Package_20200401!$C$3:$C$313,Report_For_Each_Project!C254)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6" sId="5" odxf="1" dxf="1">
    <nc r="G262">
      <f>E262/Table!$C$4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7" sId="5" odxf="1" dxf="1">
    <nc r="H262">
      <f>1/8*(SUMIFS(COEM_Package_20200401!$V$3:$V$313,COEM_Package_20200401!$D$3:$D$313,Table!$C$3,COEM_Package_20200401!$C$3:$C$313,Report_For_Each_Project!C254)-SUM(SUMIFS(COEM_Package_20200401!$V$3:$V$313,COEM_Package_20200401!$D$3:$D$313,Table!$C$3,COEM_Package_20200401!$W$3:$W$313,{"Ongoing","N/A",""},COEM_Package_20200401!$C$3:$C$313,Report_For_Each_Project!C254)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8" sId="5" odxf="1" dxf="1">
    <nc r="I262">
      <f>IF(E262=0,"N/A",F262/E262)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79" sId="5">
    <nc r="C264" t="inlineStr">
      <is>
        <t>Brief Description:</t>
      </is>
    </nc>
  </rcc>
  <rcc rId="2780" sId="5">
    <nc r="E264" t="inlineStr">
      <is>
        <t>N/A</t>
      </is>
    </nc>
  </rcc>
  <rcc rId="2781" sId="5">
    <nc r="C254">
      <v>20200410</v>
    </nc>
  </rcc>
  <rcc rId="2782" sId="5">
    <nc r="A254">
      <v>21</v>
    </nc>
  </rcc>
  <rcc rId="2783" sId="5" numFmtId="19">
    <nc r="F256">
      <v>43934</v>
    </nc>
  </rcc>
  <rcc rId="2784" sId="5" numFmtId="19">
    <nc r="H256">
      <v>43941</v>
    </nc>
  </rcc>
  <rcc rId="2785" sId="5" numFmtId="19">
    <nc r="F257">
      <v>43934</v>
    </nc>
  </rcc>
  <rcc rId="2786" sId="5" numFmtId="19">
    <nc r="H257">
      <v>43935</v>
    </nc>
  </rcc>
  <rcc rId="2787" sId="5" odxf="1" dxf="1">
    <nc r="B266" t="inlineStr">
      <is>
        <t>Project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fmt sheetId="5" sqref="C266" start="0" length="0">
    <dxf>
      <font>
        <b/>
        <sz val="11"/>
        <color theme="1"/>
        <name val="Calibri"/>
        <scheme val="minor"/>
      </font>
    </dxf>
  </rfmt>
  <rcc rId="2788" sId="5" odxf="1" dxf="1">
    <nc r="B267" t="inlineStr">
      <is>
        <t>Time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789" sId="5" odxf="1">
    <nc r="C267">
      <f>SUM(G273:G274)</f>
    </nc>
    <odxf/>
  </rcc>
  <rcc rId="2790" sId="5">
    <nc r="D267" t="inlineStr">
      <is>
        <t>days</t>
      </is>
    </nc>
  </rcc>
  <rcc rId="2791" sId="5" odxf="1" dxf="1">
    <nc r="B268" t="inlineStr">
      <is>
        <t>Duration (Plan)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2" sId="5" odxf="1" dxf="1">
    <nc r="C268">
      <f>SUM(INT((WEEKDAY(F268-{2,3,4,5,6}) +H268-F268)/7))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3" sId="5" odxf="1" dxf="1">
    <nc r="D268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4" sId="5" odxf="1" dxf="1">
    <nc r="E268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5" sId="5" odxf="1" dxf="1" numFmtId="19">
    <nc r="F268">
      <v>43934</v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6" sId="5" odxf="1" dxf="1">
    <nc r="G268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68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797" sId="5" odxf="1" dxf="1">
    <nc r="B269" t="inlineStr">
      <is>
        <t>Duration (Actual)</t>
      </is>
    </nc>
    <odxf>
      <font>
        <b val="0"/>
        <sz val="11"/>
        <color theme="1"/>
        <name val="Calibri"/>
        <scheme val="minor"/>
      </font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8" sId="5" odxf="1" dxf="1">
    <nc r="C269">
      <f>SUM(INT((WEEKDAY(F269-{2,3,4,5,6}) +H269-F269)/7))</f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799" sId="5" odxf="1" dxf="1">
    <nc r="D269" t="inlineStr">
      <is>
        <t>days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0" sId="5" odxf="1" dxf="1">
    <nc r="E269" t="inlineStr">
      <is>
        <t>12h00</t>
      </is>
    </nc>
    <odxf>
      <border outline="0">
        <left/>
        <right/>
        <top/>
        <bottom/>
      </border>
    </odxf>
    <n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1" sId="5" odxf="1" dxf="1" numFmtId="19">
    <nc r="F269">
      <v>43934</v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2" sId="5" odxf="1" dxf="1">
    <nc r="G269" t="inlineStr">
      <is>
        <t>18h00</t>
      </is>
    </nc>
    <odxf>
      <numFmt numFmtId="0" formatCode="General"/>
      <border outline="0">
        <left/>
        <right/>
        <top/>
        <bottom/>
      </border>
    </odxf>
    <n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5" sqref="H269" start="0" length="0">
    <dxf>
      <numFmt numFmtId="19" formatCode="m/d/yyyy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2803" sId="5" odxf="1" dxf="1">
    <nc r="B270" t="inlineStr">
      <is>
        <t>Status</t>
      </is>
    </nc>
    <odxf>
      <font>
        <b val="0"/>
        <sz val="11"/>
        <color theme="1"/>
        <name val="Calibri"/>
        <scheme val="minor"/>
      </font>
    </odxf>
    <ndxf>
      <font>
        <b/>
        <sz val="11"/>
        <color theme="1"/>
        <name val="Calibri"/>
        <scheme val="minor"/>
      </font>
    </ndxf>
  </rcc>
  <rcc rId="2804" sId="5">
    <nc r="C270">
      <f>IF(SUM(H273:H274)&gt;SUM(G273:G274),"Delayed",IF(SUM(H273:H274)&lt;SUM(G273:G274),"InAdvanced","Ontime"))</f>
    </nc>
  </rcc>
  <rcc rId="2805" sId="5" odxf="1" dxf="1">
    <nc r="C272" t="inlineStr">
      <is>
        <t>#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6" sId="5" odxf="1" dxf="1">
    <nc r="D272" t="inlineStr">
      <is>
        <t>Types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7" sId="5" odxf="1" dxf="1">
    <nc r="E272" t="inlineStr">
      <is>
        <t>Assigned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8" sId="5" odxf="1" dxf="1">
    <nc r="F272" t="inlineStr">
      <is>
        <t>Completed
ELOCs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09" sId="5" odxf="1" dxf="1">
    <nc r="G272" t="inlineStr">
      <is>
        <t>Estimate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0" sId="5" odxf="1" dxf="1">
    <nc r="H272" t="inlineStr">
      <is>
        <t>Actual Effort
(days)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1" sId="5" odxf="1" dxf="1">
    <nc r="I272" t="inlineStr">
      <is>
        <t>Status (%)
(Completed/Assigned)</t>
      </is>
    </nc>
    <odxf>
      <font>
        <b val="0"/>
        <sz val="11"/>
        <color theme="1"/>
        <name val="Calibri"/>
        <scheme val="minor"/>
      </font>
      <fill>
        <patternFill patternType="none">
          <bgColor indexed="65"/>
        </patternFill>
      </fill>
      <alignment horizontal="general" vertical="bottom" wrapText="0" readingOrder="0"/>
      <border outline="0">
        <left/>
        <right/>
        <top/>
        <bottom/>
      </border>
    </odxf>
    <ndxf>
      <font>
        <b/>
        <sz val="11"/>
        <color theme="1"/>
        <name val="Calibri"/>
        <scheme val="minor"/>
      </font>
      <fill>
        <patternFill patternType="solid">
          <bgColor rgb="FFFFFF00"/>
        </patternFill>
      </fill>
      <alignment horizontal="center" vertical="center" wrapText="1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2" sId="5" odxf="1" dxf="1">
    <nc r="C273">
      <v>1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3" sId="5" odxf="1" dxf="1">
    <nc r="D273" t="inlineStr">
      <is>
        <t>PSW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4" sId="5" odxf="1" dxf="1">
    <nc r="E273">
      <f>SUMIFS(COEM_Package_20200401!$S$3:$S$313,COEM_Package_20200401!$D$3:$D$313,Table!$D$3,COEM_Package_20200401!$C$3:$C$313,Report_For_Each_Project!C266)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5" sId="5" odxf="1" dxf="1">
    <nc r="F273">
      <f>SUMIFS(COEM_Package_20200401!$T$3:$T$313,COEM_Package_20200401!$D$3:$D$313,Table!$D$3,COEM_Package_20200401!$C$3:$C$313,Report_For_Each_Project!C266)-SUM(SUMIFS(COEM_Package_20200401!$T$3:$T$313,COEM_Package_20200401!$D$3:$D$313,Table!$D$3,COEM_Package_20200401!$W$3:$W$313,{"Ongoing","N/A",""},COEM_Package_20200401!$C$3:$C$313,Report_For_Each_Project!C266)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6" sId="5" odxf="1" dxf="1">
    <nc r="G273">
      <f>E273/Table!$D$4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7" sId="5" odxf="1" dxf="1">
    <nc r="H273">
      <f>1/8*(SUMIFS(COEM_Package_20200401!$V$3:$V$313,COEM_Package_20200401!$D$3:$D$313,Table!$D$3,COEM_Package_20200401!$C$3:$C$313,Report_For_Each_Project!C266)-SUM(SUMIFS(COEM_Package_20200401!$V$3:$V$313,COEM_Package_20200401!$D$3:$D$313,Table!$D$3,COEM_Package_20200401!$W$3:$W$313,{"Ongoing","N/A",""},COEM_Package_20200401!$C$3:$C$313,Report_For_Each_Project!C266)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8" sId="5" odxf="1" dxf="1">
    <nc r="I273">
      <f>IF(E273=0,"N/A",F273/E273)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19" sId="5" odxf="1" dxf="1">
    <nc r="C274">
      <v>2</v>
    </nc>
    <odxf>
      <alignment horizontal="general" vertical="bottom" readingOrder="0"/>
      <border outline="0">
        <left/>
        <right/>
        <top/>
        <bottom/>
      </border>
    </odxf>
    <ndxf>
      <alignment horizontal="right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0" sId="5" odxf="1" dxf="1">
    <nc r="D274" t="inlineStr">
      <is>
        <t>ASW</t>
      </is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1" sId="5" odxf="1" dxf="1">
    <nc r="E274">
      <f>SUMIFS(COEM_Package_20200401!$S$3:$S$313,COEM_Package_20200401!$D$3:$D$313,Table!$C$3,COEM_Package_20200401!$C$3:$C$313,Report_For_Each_Project!C266)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2" sId="5" odxf="1" dxf="1">
    <nc r="F274">
      <f>SUMIFS(COEM_Package_20200401!$T$3:$T$313,COEM_Package_20200401!$D$3:$D$313,Table!$C$3,COEM_Package_20200401!$C$3:$C$313,Report_For_Each_Project!C266)-SUM(SUMIFS(COEM_Package_20200401!$T$3:$T$313,COEM_Package_20200401!$D$3:$D$313,Table!$C$3,COEM_Package_20200401!$W$3:$W$313,{"Ongoing","N/A",""},COEM_Package_20200401!$C$3:$C$313,Report_For_Each_Project!C266)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3" sId="5" odxf="1" dxf="1">
    <nc r="G274">
      <f>E274/Table!$C$4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4" sId="5" odxf="1" dxf="1">
    <nc r="H274">
      <f>1/8*(SUMIFS(COEM_Package_20200401!$V$3:$V$313,COEM_Package_20200401!$D$3:$D$313,Table!$C$3,COEM_Package_20200401!$C$3:$C$313,Report_For_Each_Project!C266)-SUM(SUMIFS(COEM_Package_20200401!$V$3:$V$313,COEM_Package_20200401!$D$3:$D$313,Table!$C$3,COEM_Package_20200401!$W$3:$W$313,{"Ongoing","N/A",""},COEM_Package_20200401!$C$3:$C$313,Report_For_Each_Project!C266)))</f>
    </nc>
    <odxf>
      <alignment horizontal="general" vertical="bottom" readingOrder="0"/>
      <border outline="0">
        <left/>
        <right/>
        <top/>
        <bottom/>
      </border>
    </odxf>
    <ndxf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5" sId="5" odxf="1" dxf="1">
    <nc r="I274">
      <f>IF(E274=0,"N/A",F274/E274)</f>
    </nc>
    <odxf>
      <numFmt numFmtId="0" formatCode="General"/>
      <alignment horizontal="general" vertical="bottom" readingOrder="0"/>
      <border outline="0">
        <left/>
        <right/>
        <top/>
        <bottom/>
      </border>
    </odxf>
    <ndxf>
      <numFmt numFmtId="14" formatCode="0.00%"/>
      <alignment horizontal="center" vertical="center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2826" sId="5">
    <nc r="C276" t="inlineStr">
      <is>
        <t>Brief Description:</t>
      </is>
    </nc>
  </rcc>
  <rcc rId="2827" sId="5">
    <nc r="E276" t="inlineStr">
      <is>
        <t>N/A</t>
      </is>
    </nc>
  </rcc>
  <rcc rId="2828" sId="5">
    <nc r="A266">
      <v>22</v>
    </nc>
  </rcc>
  <rcc rId="2829" sId="5">
    <nc r="C266">
      <v>20200413</v>
    </nc>
  </rcc>
  <rcc rId="2830" sId="5" numFmtId="19">
    <nc r="H268">
      <v>43950</v>
    </nc>
  </rcc>
  <rcc rId="2831" sId="5" numFmtId="19">
    <nc r="H269">
      <v>43935</v>
    </nc>
  </rcc>
  <rcc rId="2832" sId="4">
    <oc r="W98" t="inlineStr">
      <is>
        <t>Ready for review</t>
      </is>
    </oc>
    <nc r="W98" t="inlineStr">
      <is>
        <t>Complete &amp; Closed</t>
      </is>
    </nc>
  </rcc>
  <rcc rId="2833" sId="4">
    <oc r="W99" t="inlineStr">
      <is>
        <t>Ready for review</t>
      </is>
    </oc>
    <nc r="W99" t="inlineStr">
      <is>
        <t>Complete &amp; Closed</t>
      </is>
    </nc>
  </rcc>
  <rcc rId="2834" sId="4">
    <oc r="W100" t="inlineStr">
      <is>
        <t>Ready for review</t>
      </is>
    </oc>
    <nc r="W100" t="inlineStr">
      <is>
        <t>Complete &amp; Closed</t>
      </is>
    </nc>
  </rcc>
  <rcc rId="2835" sId="4">
    <oc r="W101" t="inlineStr">
      <is>
        <t>Ready for review</t>
      </is>
    </oc>
    <nc r="W101" t="inlineStr">
      <is>
        <t>Complete &amp; Closed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44" sId="4">
    <nc r="T144">
      <f>S144</f>
    </nc>
  </rcc>
  <rcc rId="2845" sId="4">
    <nc r="V144">
      <v>1</v>
    </nc>
  </rcc>
  <rcc rId="2846" sId="4">
    <nc r="W144" t="inlineStr">
      <is>
        <t>Ready for review</t>
      </is>
    </nc>
  </rcc>
  <rcc rId="2847" sId="4" numFmtId="19">
    <nc r="Z144">
      <v>43935</v>
    </nc>
  </rcc>
  <rcc rId="2848" sId="4" numFmtId="19">
    <nc r="AA144">
      <v>43935</v>
    </nc>
  </rcc>
  <rcc rId="2849" sId="4">
    <nc r="AB144" t="inlineStr">
      <is>
        <t>OK</t>
      </is>
    </nc>
  </rcc>
  <rcc rId="2850" sId="4" odxf="1" dxf="1">
    <nc r="AC14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51" sId="4" odxf="1" dxf="1">
    <nc r="AD14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52" sId="4" odxf="1" dxf="1">
    <nc r="AE14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53" sId="4" odxf="1" dxf="1">
    <nc r="AF14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H126:P1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1" sqref="H126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I12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J12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K126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L126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M12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1" sqref="N126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</revisions>
</file>

<file path=xl/revisions/revisionLog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  <rfmt sheetId="4" sqref="H84 H89:H9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6100"/>
        <name val="Arial"/>
        <scheme val="none"/>
      </font>
      <fill>
        <patternFill patternType="solid">
          <fgColor indexed="65"/>
          <bgColor rgb="FFC6EFCE"/>
        </patternFill>
      </fill>
    </dxf>
  </rfmt>
</revisions>
</file>

<file path=xl/revisions/revisionLog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60" sId="4">
    <nc r="T145">
      <f>S145</f>
    </nc>
  </rcc>
  <rcc rId="2861" sId="4">
    <nc r="V145">
      <v>1</v>
    </nc>
  </rcc>
  <rcc rId="2862" sId="4">
    <nc r="W145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66" sId="4" numFmtId="19">
    <nc r="Z145">
      <v>43935</v>
    </nc>
  </rcc>
  <rcc rId="2867" sId="4" numFmtId="19">
    <nc r="AA145">
      <v>43935</v>
    </nc>
  </rcc>
  <rcc rId="2868" sId="4">
    <nc r="AB145" t="inlineStr">
      <is>
        <t>OK</t>
      </is>
    </nc>
  </rcc>
  <rcc rId="2869" sId="4" odxf="1" dxf="1">
    <nc r="AC14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70" sId="4" odxf="1" dxf="1">
    <nc r="AD14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71" sId="4" odxf="1" dxf="1">
    <nc r="AE14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72" sId="4" odxf="1" dxf="1">
    <nc r="AF145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76" sId="4">
    <nc r="T146">
      <f>S146</f>
    </nc>
  </rcc>
  <rcc rId="2877" sId="4">
    <nc r="V146">
      <v>0.5</v>
    </nc>
  </rcc>
  <rcc rId="2878" sId="4">
    <nc r="W146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82" sId="4" numFmtId="19">
    <nc r="Z146">
      <v>43935</v>
    </nc>
  </rcc>
  <rcc rId="2883" sId="4" numFmtId="19">
    <nc r="AA146">
      <v>43935</v>
    </nc>
  </rcc>
  <rcc rId="2884" sId="4">
    <nc r="AB146" t="inlineStr">
      <is>
        <t>OK</t>
      </is>
    </nc>
  </rcc>
  <rcc rId="2885" sId="4" odxf="1" dxf="1">
    <nc r="AC14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86" sId="4" odxf="1" dxf="1">
    <nc r="AD14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87" sId="4" odxf="1" dxf="1">
    <nc r="AE146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88" sId="4" odxf="1" dxf="1">
    <nc r="AF146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892" sId="4">
    <nc r="T147">
      <f>S147</f>
    </nc>
  </rcc>
  <rcc rId="2893" sId="4">
    <nc r="V147">
      <v>0.2</v>
    </nc>
  </rcc>
  <rcc rId="2894" sId="4">
    <nc r="W147" t="inlineStr">
      <is>
        <t>Ready for review</t>
      </is>
    </nc>
  </rcc>
  <rcc rId="2895" sId="4" numFmtId="19">
    <nc r="Z147">
      <v>43935</v>
    </nc>
  </rcc>
  <rcc rId="2896" sId="4" numFmtId="19">
    <nc r="AA147">
      <v>43935</v>
    </nc>
  </rcc>
  <rcc rId="2897" sId="4">
    <nc r="AB147" t="inlineStr">
      <is>
        <t>OK</t>
      </is>
    </nc>
  </rcc>
  <rcc rId="2898" sId="4" odxf="1" dxf="1">
    <nc r="AC1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899" sId="4" odxf="1" dxf="1">
    <nc r="AD1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0" sId="4" odxf="1" dxf="1">
    <nc r="AE14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01" sId="4" odxf="1" dxf="1">
    <nc r="AF14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05" sId="4">
    <nc r="T148">
      <f>S148</f>
    </nc>
  </rcc>
  <rcc rId="2906" sId="4">
    <nc r="V148">
      <v>0.5</v>
    </nc>
  </rcc>
  <rcc rId="2907" sId="4">
    <nc r="W148" t="inlineStr">
      <is>
        <t>Ready for review</t>
      </is>
    </nc>
  </rcc>
  <rcc rId="2908" sId="4" numFmtId="19">
    <nc r="Z148">
      <v>43935</v>
    </nc>
  </rcc>
  <rcc rId="2909" sId="4" numFmtId="19">
    <nc r="AA148">
      <v>43935</v>
    </nc>
  </rcc>
  <rcc rId="2910" sId="4">
    <nc r="AB148" t="inlineStr">
      <is>
        <t>OK</t>
      </is>
    </nc>
  </rcc>
  <rcc rId="2911" sId="4" odxf="1" dxf="1">
    <nc r="AC14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12" sId="4" odxf="1" dxf="1">
    <nc r="AD14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13" sId="4" odxf="1" dxf="1">
    <nc r="AE14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14" sId="4" odxf="1" dxf="1">
    <nc r="AF14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18" sId="4" odxf="1" dxf="1">
    <oc r="AC148">
      <v>100</v>
    </oc>
    <nc r="AC148" t="inlineStr">
      <is>
        <t>-</t>
      </is>
    </nc>
    <odxf>
      <font>
        <color auto="1"/>
      </font>
    </odxf>
    <ndxf>
      <font>
        <color auto="1"/>
      </font>
    </ndxf>
  </rcc>
  <rcc rId="2919" sId="4" odxf="1" dxf="1">
    <oc r="AD148">
      <v>100</v>
    </oc>
    <nc r="AD148" t="inlineStr">
      <is>
        <t>-</t>
      </is>
    </nc>
    <odxf>
      <font>
        <color auto="1"/>
      </font>
    </odxf>
    <ndxf>
      <font>
        <color auto="1"/>
      </font>
    </ndxf>
  </rcc>
  <rcc rId="2920" sId="4" odxf="1" dxf="1">
    <oc r="AE148">
      <v>100</v>
    </oc>
    <nc r="AE148" t="inlineStr">
      <is>
        <t>-</t>
      </is>
    </nc>
    <odxf>
      <font>
        <color auto="1"/>
      </font>
    </odxf>
    <ndxf>
      <font>
        <color auto="1"/>
      </font>
    </ndxf>
  </rcc>
  <rfmt sheetId="4" sqref="AF148" start="0" length="0">
    <dxf>
      <font>
        <sz val="11"/>
        <color theme="1"/>
        <name val="Calibri"/>
        <scheme val="minor"/>
      </font>
    </dxf>
  </rfmt>
  <rcc rId="2921" sId="4" quotePrefix="1">
    <oc r="AG148" t="inlineStr">
      <is>
        <t>-</t>
      </is>
    </oc>
    <nc r="AG148" t="inlineStr">
      <is>
        <t>-Don't have function for test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COEM_Package_20200401!$O$2:$O$268</formula>
    <oldFormula>COEM_Package_20200401!$O$2:$O$268</oldFormula>
  </rdn>
  <rcv guid="{4E06BDBF-2CED-473B-850B-2A6C7311FF41}" action="add"/>
</revisions>
</file>

<file path=xl/revisions/revisionLog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25" sId="4">
    <nc r="T149">
      <f>S149</f>
    </nc>
  </rcc>
  <rcc rId="2926" sId="4">
    <nc r="V149">
      <v>2</v>
    </nc>
  </rcc>
  <rcc rId="2927" sId="4">
    <nc r="W149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COEM_Package_20200401!$B$2:$AH$239</formula>
    <oldFormula>COEM_Package_20200401!$O$2:$O$268</oldFormula>
  </rdn>
  <rcv guid="{4E06BDBF-2CED-473B-850B-2A6C7311FF41}" action="add"/>
</revisions>
</file>

<file path=xl/revisions/revisionLog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31" sId="4" numFmtId="19">
    <nc r="Z149">
      <v>43935</v>
    </nc>
  </rcc>
  <rcc rId="2932" sId="4" numFmtId="19">
    <nc r="AA149">
      <v>43935</v>
    </nc>
  </rcc>
  <rcc rId="2933" sId="4">
    <nc r="AB149" t="inlineStr">
      <is>
        <t>OK</t>
      </is>
    </nc>
  </rcc>
  <rcc rId="2934" sId="4" odxf="1" dxf="1">
    <nc r="AC149" t="inlineStr">
      <is>
        <t>-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35" sId="4" odxf="1" dxf="1">
    <nc r="AD149" t="inlineStr">
      <is>
        <t>-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36" sId="4" odxf="1" dxf="1">
    <nc r="AE149" t="inlineStr">
      <is>
        <t>-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2937" sId="4">
    <nc r="AF149" t="inlineStr">
      <is>
        <t>N/A</t>
      </is>
    </nc>
  </rcc>
  <rcc rId="2938" sId="4" quotePrefix="1">
    <oc r="AG149" t="inlineStr">
      <is>
        <t>-</t>
      </is>
    </oc>
    <nc r="AG149" t="inlineStr">
      <is>
        <t>-Don't have function for test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COEM_Package_20200401!$B$2:$AH$239</formula>
    <oldFormula>COEM_Package_20200401!$B$2:$AH$239</oldFormula>
  </rdn>
  <rcv guid="{4E06BDBF-2CED-473B-850B-2A6C7311FF41}" action="add"/>
</revisions>
</file>

<file path=xl/revisions/revisionLog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42" sId="4" odxf="1" dxf="1">
    <oc r="AC149" t="inlineStr">
      <is>
        <t>-</t>
      </is>
    </oc>
    <nc r="AC149">
      <v>100</v>
    </nc>
    <odxf>
      <font>
        <color auto="1"/>
      </font>
    </odxf>
    <ndxf>
      <font>
        <color auto="1"/>
      </font>
    </ndxf>
  </rcc>
  <rcc rId="2943" sId="4" odxf="1" dxf="1">
    <oc r="AD149" t="inlineStr">
      <is>
        <t>-</t>
      </is>
    </oc>
    <nc r="AD149">
      <v>100</v>
    </nc>
    <odxf>
      <font>
        <color auto="1"/>
      </font>
    </odxf>
    <ndxf>
      <font>
        <color auto="1"/>
      </font>
    </ndxf>
  </rcc>
  <rcc rId="2944" sId="4" odxf="1" dxf="1">
    <oc r="AE149" t="inlineStr">
      <is>
        <t>-</t>
      </is>
    </oc>
    <nc r="AE149">
      <v>100</v>
    </nc>
    <odxf>
      <font>
        <color auto="1"/>
      </font>
    </odxf>
    <ndxf>
      <font>
        <color auto="1"/>
      </font>
    </ndxf>
  </rcc>
  <rfmt sheetId="4" sqref="AF149" start="0" length="0">
    <dxf>
      <font>
        <sz val="11"/>
        <color auto="1"/>
        <name val="Calibri"/>
        <scheme val="minor"/>
      </font>
    </dxf>
  </rfmt>
  <rcc rId="2945" sId="4" quotePrefix="1">
    <oc r="AG149" t="inlineStr">
      <is>
        <t>-Don't have function for test</t>
      </is>
    </oc>
    <nc r="AG149" t="inlineStr">
      <is>
        <t>-</t>
      </is>
    </nc>
  </rcc>
</revisions>
</file>

<file path=xl/revisions/revisionLog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46" sId="4">
    <oc r="W66" t="inlineStr">
      <is>
        <t>Ready for review</t>
      </is>
    </oc>
    <nc r="W66" t="inlineStr">
      <is>
        <t>Complete &amp; Closed</t>
      </is>
    </nc>
  </rcc>
  <rcc rId="2947" sId="4">
    <oc r="W64" t="inlineStr">
      <is>
        <t>Ready for review</t>
      </is>
    </oc>
    <nc r="W64" t="inlineStr">
      <is>
        <t>Ready for PLC</t>
      </is>
    </nc>
  </rcc>
  <rcc rId="2948" sId="4">
    <oc r="W65" t="inlineStr">
      <is>
        <t>Ready for review</t>
      </is>
    </oc>
    <nc r="W65" t="inlineStr">
      <is>
        <t>Ready for PLC</t>
      </is>
    </nc>
  </rcc>
  <rcc rId="2949" sId="4">
    <oc r="W67" t="inlineStr">
      <is>
        <t>Ready for review</t>
      </is>
    </oc>
    <nc r="W67" t="inlineStr">
      <is>
        <t>Ready for PLC</t>
      </is>
    </nc>
  </rcc>
  <rcc rId="2950" sId="4">
    <oc r="W68" t="inlineStr">
      <is>
        <t>Ready for review</t>
      </is>
    </oc>
    <nc r="W68" t="inlineStr">
      <is>
        <t>Ready for PLC</t>
      </is>
    </nc>
  </rcc>
  <rcc rId="2951" sId="4">
    <oc r="W76" t="inlineStr">
      <is>
        <t>Ready for review</t>
      </is>
    </oc>
    <nc r="W76" t="inlineStr">
      <is>
        <t>Complete &amp; Closed</t>
      </is>
    </nc>
  </rcc>
  <rcc rId="2952" sId="4">
    <oc r="W77" t="inlineStr">
      <is>
        <t>Ready for review</t>
      </is>
    </oc>
    <nc r="W77" t="inlineStr">
      <is>
        <t>Complete &amp; Closed</t>
      </is>
    </nc>
  </rcc>
  <rcc rId="2953" sId="4">
    <oc r="W78" t="inlineStr">
      <is>
        <t>Ready for review</t>
      </is>
    </oc>
    <nc r="W78" t="inlineStr">
      <is>
        <t>Complete &amp; Closed</t>
      </is>
    </nc>
  </rcc>
  <rcc rId="2954" sId="4">
    <oc r="W79" t="inlineStr">
      <is>
        <t>Ready for review</t>
      </is>
    </oc>
    <nc r="W79" t="inlineStr">
      <is>
        <t>Complete &amp; Closed</t>
      </is>
    </nc>
  </rcc>
  <rcc rId="2955" sId="4">
    <oc r="W80" t="inlineStr">
      <is>
        <t>Ready for review</t>
      </is>
    </oc>
    <nc r="W80" t="inlineStr">
      <is>
        <t>Complete &amp; Closed</t>
      </is>
    </nc>
  </rcc>
  <rcc rId="2956" sId="4">
    <oc r="W81" t="inlineStr">
      <is>
        <t>Ready for review</t>
      </is>
    </oc>
    <nc r="W81" t="inlineStr">
      <is>
        <t>Complete &amp; Closed</t>
      </is>
    </nc>
  </rcc>
  <rcc rId="2957" sId="4">
    <oc r="W82" t="inlineStr">
      <is>
        <t>Ready for review</t>
      </is>
    </oc>
    <nc r="W82" t="inlineStr">
      <is>
        <t>Complete &amp; Closed</t>
      </is>
    </nc>
  </rcc>
  <rcc rId="2958" sId="4">
    <oc r="W83" t="inlineStr">
      <is>
        <t>Ready for review</t>
      </is>
    </oc>
    <nc r="W83" t="inlineStr">
      <is>
        <t>Complete &amp; Closed</t>
      </is>
    </nc>
  </rcc>
  <rcc rId="2959" sId="4">
    <oc r="W84" t="inlineStr">
      <is>
        <t>Ready for review</t>
      </is>
    </oc>
    <nc r="W84" t="inlineStr">
      <is>
        <t>Complete &amp; Closed</t>
      </is>
    </nc>
  </rcc>
  <rcc rId="2960" sId="4">
    <oc r="W85" t="inlineStr">
      <is>
        <t>Ready for review</t>
      </is>
    </oc>
    <nc r="W85" t="inlineStr">
      <is>
        <t>Complete &amp; Closed</t>
      </is>
    </nc>
  </rcc>
  <rcc rId="2961" sId="4">
    <oc r="W86" t="inlineStr">
      <is>
        <t>Ready for review</t>
      </is>
    </oc>
    <nc r="W86" t="inlineStr">
      <is>
        <t>Complete &amp; Closed</t>
      </is>
    </nc>
  </rcc>
  <rcc rId="2962" sId="4">
    <oc r="W87" t="inlineStr">
      <is>
        <t>Ready for review</t>
      </is>
    </oc>
    <nc r="W87" t="inlineStr">
      <is>
        <t>Complete &amp; Closed</t>
      </is>
    </nc>
  </rcc>
  <rcc rId="2963" sId="4">
    <oc r="W88" t="inlineStr">
      <is>
        <t>Ready for review</t>
      </is>
    </oc>
    <nc r="W88" t="inlineStr">
      <is>
        <t>Complete &amp; Closed</t>
      </is>
    </nc>
  </rcc>
  <rcc rId="2964" sId="4">
    <oc r="W89" t="inlineStr">
      <is>
        <t>Ready for review</t>
      </is>
    </oc>
    <nc r="W89" t="inlineStr">
      <is>
        <t>Complete &amp; Closed</t>
      </is>
    </nc>
  </rcc>
  <rcc rId="2965" sId="4">
    <oc r="W90" t="inlineStr">
      <is>
        <t>Ready for review</t>
      </is>
    </oc>
    <nc r="W90" t="inlineStr">
      <is>
        <t>Complete &amp; Closed</t>
      </is>
    </nc>
  </rcc>
  <rcc rId="2966" sId="4">
    <oc r="W91" t="inlineStr">
      <is>
        <t>Ready for review</t>
      </is>
    </oc>
    <nc r="W91" t="inlineStr">
      <is>
        <t>Complete &amp; Closed</t>
      </is>
    </nc>
  </rcc>
  <rcc rId="2967" sId="4">
    <oc r="W92" t="inlineStr">
      <is>
        <t>Ready for review</t>
      </is>
    </oc>
    <nc r="W92" t="inlineStr">
      <is>
        <t>Complete &amp; Closed</t>
      </is>
    </nc>
  </rcc>
  <rcc rId="2968" sId="4">
    <oc r="W93" t="inlineStr">
      <is>
        <t>Ready for review</t>
      </is>
    </oc>
    <nc r="W93" t="inlineStr">
      <is>
        <t>Complete &amp; Closed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7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73" sId="4">
    <nc r="T166">
      <f>S166</f>
    </nc>
  </rcc>
  <rm rId="2974" sheetId="4" source="U249" destination="J249" sourceSheetId="4">
    <rfmt sheetId="4" sqref="J249" start="0" length="0">
      <dxf>
        <alignment horizontal="left" vertical="top" readingOrder="0"/>
      </dxf>
    </rfmt>
  </rm>
  <rcc rId="2975" sId="4">
    <nc r="V166">
      <v>4.5</v>
    </nc>
  </rcc>
  <rcc rId="2976" sId="4">
    <nc r="W166" t="inlineStr">
      <is>
        <t>Ready for review</t>
      </is>
    </nc>
  </rcc>
  <rcc rId="2977" sId="4" numFmtId="19">
    <nc r="Z166">
      <v>43935</v>
    </nc>
  </rcc>
  <rcc rId="2978" sId="4" numFmtId="19">
    <nc r="AA166">
      <v>43935</v>
    </nc>
  </rcc>
  <rcc rId="2979" sId="4">
    <nc r="AB166" t="inlineStr">
      <is>
        <t>OK</t>
      </is>
    </nc>
  </rcc>
  <rcc rId="2980" sId="4">
    <nc r="AC166">
      <v>100</v>
    </nc>
  </rcc>
  <rcc rId="2981" sId="4">
    <nc r="AD166">
      <v>100</v>
    </nc>
  </rcc>
  <rcc rId="2982" sId="4">
    <nc r="AE166">
      <v>100</v>
    </nc>
  </rcc>
  <rcc rId="2983" sId="4">
    <nc r="AF166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7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87" sId="4">
    <nc r="T176">
      <f>S176</f>
    </nc>
  </rcc>
  <rcc rId="2988" sId="4">
    <nc r="T167">
      <f>S167</f>
    </nc>
  </rcc>
  <rcc rId="2989" sId="4">
    <nc r="T169">
      <f>S169</f>
    </nc>
  </rcc>
  <rcc rId="2990" sId="4">
    <nc r="T170">
      <f>S170</f>
    </nc>
  </rcc>
  <rcc rId="2991" sId="4">
    <nc r="T171">
      <f>S171</f>
    </nc>
  </rcc>
  <rcc rId="2992" sId="4">
    <nc r="T175">
      <f>S175</f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7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2996" sId="4" numFmtId="19">
    <nc r="Z167">
      <v>43935</v>
    </nc>
  </rcc>
  <rcc rId="2997" sId="4" numFmtId="19">
    <nc r="AA167">
      <v>43935</v>
    </nc>
  </rcc>
  <rcc rId="2998" sId="4">
    <nc r="AB167" t="inlineStr">
      <is>
        <t>NG</t>
      </is>
    </nc>
  </rcc>
  <rcc rId="2999" sId="4">
    <nc r="AC167" t="inlineStr">
      <is>
        <t>-</t>
      </is>
    </nc>
  </rcc>
  <rcc rId="3000" sId="4">
    <nc r="AD167" t="inlineStr">
      <is>
        <t>-</t>
      </is>
    </nc>
  </rcc>
  <rcc rId="3001" sId="4">
    <nc r="AE167" t="inlineStr">
      <is>
        <t>-</t>
      </is>
    </nc>
  </rcc>
  <rcc rId="3002" sId="4">
    <nc r="AF167" t="inlineStr">
      <is>
        <t>OPL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8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06" sId="4">
    <nc r="V167">
      <v>0.5</v>
    </nc>
  </rcc>
  <rcc rId="3007" sId="4">
    <nc r="W167" t="inlineStr">
      <is>
        <t>Ongoing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8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11" sId="4">
    <nc r="AF130" t="inlineStr">
      <is>
        <t>OPL</t>
      </is>
    </nc>
  </rcc>
  <rfmt sheetId="4" sqref="H1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</revisions>
</file>

<file path=xl/revisions/revisionLog8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12" sId="4">
    <nc r="T130">
      <f>S130</f>
    </nc>
  </rcc>
  <rcc rId="3013" sId="4">
    <nc r="T131">
      <f>S131</f>
    </nc>
  </rcc>
  <rcc rId="3014" sId="4">
    <nc r="V130">
      <v>2</v>
    </nc>
  </rcc>
  <rcc rId="3015" sId="4">
    <nc r="W130" t="inlineStr">
      <is>
        <t>Ready for review</t>
      </is>
    </nc>
  </rcc>
  <rcc rId="3016" sId="4" numFmtId="19">
    <nc r="Z130">
      <v>43930</v>
    </nc>
  </rcc>
  <rcc rId="3017" sId="4" numFmtId="19">
    <nc r="AA130">
      <v>43930</v>
    </nc>
  </rcc>
  <rcc rId="3018" sId="4" odxf="1" dxf="1">
    <nc r="AC13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19" sId="4" odxf="1" dxf="1">
    <nc r="AD13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20" sId="4" odxf="1" dxf="1">
    <nc r="AE13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21" sId="4">
    <nc r="AB130" t="inlineStr">
      <is>
        <t>NG</t>
      </is>
    </nc>
  </rcc>
  <rcc rId="3022" sId="4" quotePrefix="1">
    <oc r="AG130" t="inlineStr">
      <is>
        <t>-</t>
      </is>
    </oc>
    <nc r="AG130" t="inlineStr">
      <is>
        <t>-g_FFD_Info_ST[l_RecID_u8].FFD_CrankAxisTorque_u16 is a un-sign object but it’s assigned by a sign object at line #172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8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30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1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2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33" start="0" length="0">
    <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</revisions>
</file>

<file path=xl/revisions/revisionLog8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26" sId="4">
    <oc r="V139">
      <v>1</v>
    </oc>
    <nc r="V139">
      <v>2</v>
    </nc>
  </rcc>
  <rcc rId="3027" sId="4">
    <oc r="V138">
      <v>1</v>
    </oc>
    <nc r="V138">
      <v>2</v>
    </nc>
  </rcc>
  <rcc rId="3028" sId="4">
    <oc r="V137">
      <v>1</v>
    </oc>
    <nc r="V137">
      <v>2</v>
    </nc>
  </rcc>
  <rcc rId="3029" sId="4">
    <oc r="V136">
      <v>1</v>
    </oc>
    <nc r="V136">
      <v>2</v>
    </nc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8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3033" sheetId="4" source="O257" destination="F240" sourceSheetId="4">
    <rfmt sheetId="4" sqref="F240" start="0" length="0">
      <dxf>
        <alignment horizontal="left" vertical="top" readingOrder="0"/>
      </dxf>
    </rfmt>
  </rm>
  <rcc rId="3034" sId="4">
    <nc r="V169">
      <v>1</v>
    </nc>
  </rcc>
  <rcc rId="3035" sId="4">
    <nc r="W169" t="inlineStr">
      <is>
        <t>Ready for review</t>
      </is>
    </nc>
  </rcc>
  <rcc rId="3036" sId="4" numFmtId="19">
    <nc r="Z169">
      <v>43935</v>
    </nc>
  </rcc>
  <rcc rId="3037" sId="4" numFmtId="19">
    <nc r="AA169">
      <v>43935</v>
    </nc>
  </rcc>
  <rcc rId="3038" sId="4">
    <nc r="AB169" t="inlineStr">
      <is>
        <t>NG</t>
      </is>
    </nc>
  </rcc>
  <rcc rId="3039" sId="4">
    <nc r="AC169">
      <v>40</v>
    </nc>
  </rcc>
  <rcc rId="3040" sId="4">
    <nc r="AD169">
      <v>31</v>
    </nc>
  </rcc>
  <rcc rId="3041" sId="4">
    <nc r="AE169">
      <v>100</v>
    </nc>
  </rcc>
  <rcc rId="3042" sId="4">
    <nc r="AF169" t="inlineStr">
      <is>
        <t>OPL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8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46" sId="4">
    <nc r="T103">
      <f>S103</f>
    </nc>
  </rcc>
  <rcc rId="3047" sId="4">
    <nc r="T105">
      <f>S105</f>
    </nc>
  </rcc>
  <rcc rId="3048" sId="4">
    <nc r="V103">
      <v>1</v>
    </nc>
  </rcc>
  <rcc rId="3049" sId="4">
    <nc r="V105">
      <v>1</v>
    </nc>
  </rcc>
  <rcc rId="3050" sId="4">
    <nc r="W103" t="inlineStr">
      <is>
        <t>Ready for review</t>
      </is>
    </nc>
  </rcc>
  <rcc rId="3051" sId="4">
    <nc r="W105" t="inlineStr">
      <is>
        <t>Ready for review</t>
      </is>
    </nc>
  </rcc>
  <rcc rId="3052" sId="4" numFmtId="19">
    <nc r="Z103">
      <v>43935</v>
    </nc>
  </rcc>
  <rcc rId="3053" sId="4" numFmtId="19">
    <nc r="AA103">
      <v>43935</v>
    </nc>
  </rcc>
  <rcc rId="3054" sId="4" numFmtId="19">
    <nc r="Z105">
      <v>43935</v>
    </nc>
  </rcc>
  <rcc rId="3055" sId="4" numFmtId="19">
    <nc r="AA105">
      <v>43935</v>
    </nc>
  </rcc>
  <rcc rId="3056" sId="4" odxf="1" dxf="1" quotePrefix="1">
    <nc r="AG96" t="inlineStr">
      <is>
        <t>-</t>
      </is>
    </nc>
    <odxf>
      <font>
        <name val="Bosch Office Sans"/>
        <scheme val="none"/>
      </font>
      <alignment horizontal="general" vertical="bottom" readingOrder="0"/>
      <border outline="0">
        <left/>
        <right/>
        <top/>
        <bottom/>
      </border>
    </odxf>
    <ndxf>
      <font>
        <sz val="11"/>
        <color theme="1"/>
        <name val="Calibri"/>
        <scheme val="minor"/>
      </font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057" sId="4" odxf="1" dxf="1">
    <nc r="AB103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058" sId="4" odxf="1" dxf="1">
    <nc r="AC10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59" sId="4" odxf="1" dxf="1">
    <nc r="AD10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0" sId="4" odxf="1" dxf="1">
    <nc r="AE10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1" sId="4" odxf="1" dxf="1">
    <nc r="AF103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2" sId="4" odxf="1" dxf="1">
    <nc r="AB105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063" sId="4" odxf="1" dxf="1">
    <nc r="AC10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4" sId="4" odxf="1" dxf="1">
    <nc r="AD10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5" sId="4" odxf="1" dxf="1">
    <nc r="AE10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066" sId="4" odxf="1" dxf="1">
    <nc r="AF105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8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8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075" sId="7">
    <oc r="B35" t="inlineStr">
      <is>
        <t>Type of Comment</t>
      </is>
    </oc>
    <nc r="B35" t="inlineStr">
      <is>
        <t>Type of OPL/Defect</t>
      </is>
    </nc>
  </rcc>
  <rcv guid="{250915DF-0B97-45D7-B29D-7EED4C89C1C1}" action="delete"/>
  <rdn rId="0" localSheetId="1" customView="1" name="Z_250915DF_0B97_45D7_B29D_7EED4C89C1C1_.wvu.FilterData" hidden="1" oldHidden="1">
    <formula>COEM_Package_20200302!$A$2:$AG$227</formula>
    <oldFormula>COEM_Package_20200302!$A$2:$AG$225</oldFormula>
  </rdn>
  <rdn rId="0" localSheetId="4" customView="1" name="Z_250915DF_0B97_45D7_B29D_7EED4C89C1C1_.wvu.Cols" hidden="1" oldHidden="1">
    <formula>COEM_Package_20200401!$P:$Q</formula>
  </rdn>
  <rdn rId="0" localSheetId="4" customView="1" name="Z_250915DF_0B97_45D7_B29D_7EED4C89C1C1_.wvu.FilterData" hidden="1" oldHidden="1">
    <formula>COEM_Package_20200401!$B$2:$AH$239</formula>
    <oldFormula>COEM_Package_20200401!$A$2:$AH$239</oldFormula>
  </rdn>
  <rcv guid="{250915DF-0B97-45D7-B29D-7EED4C89C1C1}" action="add"/>
</revisions>
</file>

<file path=xl/revisions/revisionLog8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m rId="3079" sheetId="4" source="L249:S253" destination="V250:AC254" sourceSheetId="4"/>
  <rcc rId="3080" sId="4">
    <nc r="V170">
      <v>1</v>
    </nc>
  </rcc>
  <rcc rId="3081" sId="4">
    <nc r="W170" t="inlineStr">
      <is>
        <t>Ready for review</t>
      </is>
    </nc>
  </rcc>
  <rcc rId="3082" sId="4" numFmtId="19">
    <nc r="Z170">
      <v>43936</v>
    </nc>
  </rcc>
  <rcc rId="3083" sId="4" numFmtId="19">
    <nc r="AA170">
      <v>43936</v>
    </nc>
  </rcc>
  <rcc rId="3084" sId="4">
    <nc r="AB170" t="inlineStr">
      <is>
        <t>OK</t>
      </is>
    </nc>
  </rcc>
  <rcc rId="3085" sId="4">
    <nc r="AC170">
      <v>100</v>
    </nc>
  </rcc>
  <rcc rId="3086" sId="4">
    <nc r="AD170">
      <v>100</v>
    </nc>
  </rcc>
  <rcc rId="3087" sId="4">
    <nc r="AE170">
      <v>100</v>
    </nc>
  </rcc>
  <rcc rId="3088" sId="4">
    <nc r="AF170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9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A150:XFD150">
    <dxf>
      <fill>
        <patternFill>
          <bgColor rgb="FFFFC000"/>
        </patternFill>
      </fill>
    </dxf>
  </rfmt>
  <rfmt sheetId="4" sqref="Z150" start="0" length="0">
    <dxf>
      <fill>
        <patternFill patternType="none">
          <bgColor indexed="65"/>
        </patternFill>
      </fill>
    </dxf>
  </rfmt>
  <rcc rId="3092" sId="4" odxf="1" dxf="1" numFmtId="19">
    <nc r="Z150">
      <v>43935</v>
    </nc>
    <ndxf>
      <fill>
        <patternFill patternType="solid">
          <bgColor rgb="FFFFC000"/>
        </patternFill>
      </fill>
    </ndxf>
  </rcc>
  <rcc rId="3093" sId="4" numFmtId="19">
    <nc r="AA150">
      <v>43936</v>
    </nc>
  </rcc>
  <rcc rId="3094" sId="4">
    <nc r="AB150" t="inlineStr">
      <is>
        <t>OK</t>
      </is>
    </nc>
  </rcc>
  <rcc rId="3095" sId="4">
    <nc r="AC150">
      <v>100</v>
    </nc>
  </rcc>
  <rcc rId="3096" sId="4">
    <nc r="AD150">
      <v>100</v>
    </nc>
  </rcc>
  <rcc rId="3097" sId="4">
    <nc r="AE150">
      <v>100</v>
    </nc>
  </rcc>
  <rcc rId="3098" sId="4">
    <nc r="AF150" t="inlineStr">
      <is>
        <t>N/A</t>
      </is>
    </nc>
  </rcc>
  <rcc rId="3099" sId="4" quotePrefix="1">
    <oc r="AG150" t="inlineStr">
      <is>
        <t>-</t>
      </is>
    </oc>
    <nc r="AG150" t="inlineStr">
      <is>
        <t xml:space="preserve">Issue of cantata display not correct MCDC. </t>
      </is>
    </nc>
  </rcc>
  <rcc rId="3100" sId="4">
    <nc r="V150">
      <v>4</v>
    </nc>
  </rcc>
  <rcc rId="3101" sId="4">
    <nc r="T150">
      <f>S150</f>
    </nc>
  </rcc>
  <rcc rId="3102" sId="4">
    <nc r="W150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COEM_Package_20200401!$B$2:$AH$239</formula>
    <oldFormula>COEM_Package_20200401!$B$2:$AH$239</oldFormula>
  </rdn>
  <rcv guid="{4E06BDBF-2CED-473B-850B-2A6C7311FF41}" action="add"/>
</revisions>
</file>

<file path=xl/revisions/revisionLog9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06" sId="4">
    <nc r="W143" t="inlineStr">
      <is>
        <t>Ongoing</t>
      </is>
    </nc>
  </rcc>
  <rcc rId="3107" sId="4">
    <nc r="AF143" t="inlineStr">
      <is>
        <t>OPL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COEM_Package_20200401!$B$2:$AH$239</formula>
    <oldFormula>COEM_Package_20200401!$B$2:$AH$239</oldFormula>
  </rdn>
  <rcv guid="{4E06BDBF-2CED-473B-850B-2A6C7311FF41}" action="add"/>
</revisions>
</file>

<file path=xl/revisions/revisionLog9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11" sId="4" numFmtId="19">
    <nc r="Z143">
      <v>43935</v>
    </nc>
  </rcc>
</revisions>
</file>

<file path=xl/revisions/revisionLog9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12" sId="4">
    <oc r="W4" t="inlineStr">
      <is>
        <t>Ready for PLC</t>
      </is>
    </oc>
    <nc r="W4" t="inlineStr">
      <is>
        <t>Complete &amp; Closed</t>
      </is>
    </nc>
  </rcc>
  <rcc rId="3113" sId="4">
    <oc r="W5" t="inlineStr">
      <is>
        <t>Ready for PLC</t>
      </is>
    </oc>
    <nc r="W5" t="inlineStr">
      <is>
        <t>Complete &amp; Closed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9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18" sId="4">
    <oc r="V167">
      <v>0.5</v>
    </oc>
    <nc r="V167">
      <v>2.5</v>
    </nc>
  </rcc>
  <rcc rId="3119" sId="4">
    <oc r="W167" t="inlineStr">
      <is>
        <t>Ongoing</t>
      </is>
    </oc>
    <nc r="W167" t="inlineStr">
      <is>
        <t>Ready for review</t>
      </is>
    </nc>
  </rcc>
  <rcc rId="3120" sId="4">
    <oc r="AB167" t="inlineStr">
      <is>
        <t>NG</t>
      </is>
    </oc>
    <nc r="AB167" t="inlineStr">
      <is>
        <t>OK</t>
      </is>
    </nc>
  </rcc>
  <rcc rId="3121" sId="4">
    <oc r="AC167" t="inlineStr">
      <is>
        <t>-</t>
      </is>
    </oc>
    <nc r="AC167">
      <v>100</v>
    </nc>
  </rcc>
  <rcc rId="3122" sId="4">
    <oc r="AD167" t="inlineStr">
      <is>
        <t>-</t>
      </is>
    </oc>
    <nc r="AD167">
      <v>100</v>
    </nc>
  </rcc>
  <rcc rId="3123" sId="4">
    <oc r="AE167" t="inlineStr">
      <is>
        <t>-</t>
      </is>
    </oc>
    <nc r="AE167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9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27" sId="4">
    <oc r="AE167">
      <v>100</v>
    </oc>
    <nc r="AE167">
      <v>96</v>
    </nc>
  </rcc>
</revisions>
</file>

<file path=xl/revisions/revisionLog9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28" sId="4">
    <nc r="T157">
      <f>S157</f>
    </nc>
  </rcc>
  <rcc rId="3129" sId="4">
    <nc r="T158">
      <f>S158</f>
    </nc>
  </rcc>
  <rcc rId="3130" sId="4">
    <nc r="T159">
      <f>S159</f>
    </nc>
  </rcc>
  <rcc rId="3131" sId="4">
    <nc r="T160">
      <f>S160</f>
    </nc>
  </rcc>
  <rcc rId="3132" sId="4">
    <nc r="T161">
      <f>S161</f>
    </nc>
  </rcc>
  <rcc rId="3133" sId="4">
    <nc r="T162">
      <f>S162</f>
    </nc>
  </rcc>
  <rcc rId="3134" sId="4">
    <nc r="T163">
      <f>S163</f>
    </nc>
  </rcc>
  <rcc rId="3135" sId="4">
    <nc r="T164">
      <f>S164</f>
    </nc>
  </rcc>
  <rcc rId="3136" sId="4">
    <nc r="T168">
      <f>S168</f>
    </nc>
  </rcc>
  <rcc rId="3137" sId="4">
    <nc r="T172">
      <f>S172</f>
    </nc>
  </rcc>
  <rcc rId="3138" sId="4">
    <nc r="T173">
      <f>S173</f>
    </nc>
  </rcc>
  <rcc rId="3139" sId="4">
    <nc r="T174">
      <f>S174</f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9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44" sId="4">
    <oc r="V169">
      <v>1</v>
    </oc>
    <nc r="V169">
      <v>3</v>
    </nc>
  </rcc>
  <rcc rId="3145" sId="4">
    <oc r="AB169" t="inlineStr">
      <is>
        <t>NG</t>
      </is>
    </oc>
    <nc r="AB169" t="inlineStr">
      <is>
        <t>OK</t>
      </is>
    </nc>
  </rcc>
  <rcc rId="3146" sId="4">
    <oc r="AC169">
      <v>40</v>
    </oc>
    <nc r="AC169">
      <v>100</v>
    </nc>
  </rcc>
  <rcc rId="3147" sId="4">
    <oc r="AD169">
      <v>31</v>
    </oc>
    <nc r="AD169">
      <v>100</v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9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51" sId="4">
    <oc r="AB167" t="inlineStr">
      <is>
        <t>OK</t>
      </is>
    </oc>
    <nc r="AB167" t="inlineStr">
      <is>
        <t>NG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9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55" sId="4">
    <nc r="V171">
      <v>1.4</v>
    </nc>
  </rcc>
  <rcc rId="3156" sId="4">
    <nc r="W171" t="inlineStr">
      <is>
        <t>Ready for review</t>
      </is>
    </nc>
  </rcc>
  <rcc rId="3157" sId="4" numFmtId="19">
    <nc r="Z171">
      <v>43936</v>
    </nc>
  </rcc>
  <rcc rId="3158" sId="4" numFmtId="19">
    <nc r="AA171">
      <v>43936</v>
    </nc>
  </rcc>
  <rcc rId="3159" sId="4">
    <nc r="AB171" t="inlineStr">
      <is>
        <t>OK</t>
      </is>
    </nc>
  </rcc>
  <rcc rId="3160" sId="4">
    <nc r="AC171">
      <v>100</v>
    </nc>
  </rcc>
  <rcc rId="3161" sId="4">
    <nc r="AD171">
      <v>100</v>
    </nc>
  </rcc>
  <rcc rId="3162" sId="4">
    <nc r="AE171">
      <v>100</v>
    </nc>
  </rcc>
  <rcc rId="3163" sId="4">
    <nc r="AF171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10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67" sId="4">
    <nc r="V175">
      <v>1</v>
    </nc>
  </rcc>
  <rcc rId="3168" sId="4">
    <nc r="W175" t="inlineStr">
      <is>
        <t>Ready for review</t>
      </is>
    </nc>
  </rcc>
  <rcc rId="3169" sId="4" numFmtId="19">
    <nc r="Z175">
      <v>43936</v>
    </nc>
  </rcc>
  <rcc rId="3170" sId="4" numFmtId="19">
    <nc r="AA175">
      <v>43936</v>
    </nc>
  </rcc>
  <rcc rId="3171" sId="4">
    <nc r="AB175" t="inlineStr">
      <is>
        <t>OK</t>
      </is>
    </nc>
  </rcc>
  <rcc rId="3172" sId="4">
    <nc r="AC175">
      <v>100</v>
    </nc>
  </rcc>
  <rcc rId="3173" sId="4">
    <nc r="AD175">
      <v>100</v>
    </nc>
  </rcc>
  <rcc rId="3174" sId="4">
    <nc r="AE175">
      <v>100</v>
    </nc>
  </rcc>
  <rcc rId="3175" sId="4">
    <nc r="AF175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COEM_Package_20200401!$B$2:$AH$239</formula>
    <oldFormula>COEM_Package_20200401!$B$2:$AH$239</oldFormula>
  </rdn>
  <rcv guid="{60D2C030-4E31-4E07-8E1C-44D2EE84B177}" action="add"/>
</revisions>
</file>

<file path=xl/revisions/revisionLog10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79" sId="4">
    <nc r="AB143" t="inlineStr">
      <is>
        <t>NG</t>
      </is>
    </nc>
  </rcc>
  <rcc rId="3180" sId="4">
    <nc r="AC143">
      <v>100</v>
    </nc>
  </rcc>
  <rcc rId="3181" sId="4">
    <nc r="AD143">
      <v>97</v>
    </nc>
  </rcc>
  <rcc rId="3182" sId="4">
    <nc r="AE143">
      <v>60</v>
    </nc>
  </rcc>
  <rcc rId="3183" sId="4" numFmtId="19">
    <nc r="AA143">
      <v>43936</v>
    </nc>
  </rcc>
  <rcc rId="3184" sId="4">
    <nc r="V143">
      <v>6</v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COEM_Package_20200401!$B$2:$AH$239</formula>
    <oldFormula>COEM_Package_20200401!$B$2:$AH$239</oldFormula>
  </rdn>
  <rcv guid="{4E06BDBF-2CED-473B-850B-2A6C7311FF41}" action="add"/>
</revisions>
</file>

<file path=xl/revisions/revisionLog10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88" sId="4">
    <nc r="T143">
      <f>S143</f>
    </nc>
  </rcc>
</revisions>
</file>

<file path=xl/revisions/revisionLog10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89" sId="4" odxf="1" dxf="1" quotePrefix="1">
    <oc r="AG143" t="inlineStr">
      <is>
        <t>-</t>
      </is>
    </oc>
    <nc r="AG143" t="inlineStr">
      <is>
        <t>-just loop do while(l_ZeroCount == Seedlen_u) at #line 151 once , because if l_ZeroCount equal Seedlen_u it will loop forever.
- can’t cover MCDC for conditions at #line605 ,625, 632. Because it have 2 case to test for these conditions : 0  and 0xFFFFFFFFu.</t>
      </is>
    </nc>
    <odxf>
      <alignment wrapText="0" readingOrder="0"/>
    </odxf>
    <ndxf>
      <alignment wrapText="1" readingOrder="0"/>
    </ndxf>
  </rcc>
</revisions>
</file>

<file path=xl/revisions/revisionLog10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90" sId="4">
    <oc r="W143" t="inlineStr">
      <is>
        <t>Ongoing</t>
      </is>
    </oc>
    <nc r="W143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COEM_Package_20200401!$B$2:$AH$239</formula>
    <oldFormula>COEM_Package_20200401!$B$2:$AH$239</oldFormula>
  </rdn>
  <rcv guid="{4E06BDBF-2CED-473B-850B-2A6C7311FF41}" action="add"/>
</revisions>
</file>

<file path=xl/revisions/revisionLog10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194" sId="4">
    <nc r="V157">
      <v>4.5</v>
    </nc>
  </rcc>
  <rcc rId="3195" sId="4">
    <nc r="W157" t="inlineStr">
      <is>
        <t>Ready for review</t>
      </is>
    </nc>
  </rcc>
  <rcc rId="3196" sId="4" numFmtId="19">
    <nc r="Z157">
      <v>43936</v>
    </nc>
  </rcc>
  <rcc rId="3197" sId="4" numFmtId="19">
    <nc r="AA157">
      <v>43936</v>
    </nc>
  </rcc>
  <rcc rId="3198" sId="4" odxf="1" dxf="1">
    <nc r="AB157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199" sId="4" odxf="1" dxf="1">
    <nc r="AC15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00" sId="4" odxf="1" dxf="1">
    <nc r="AD15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01" sId="4" odxf="1" dxf="1">
    <nc r="AE15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02" sId="4" odxf="1" dxf="1">
    <nc r="AF15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10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07" sId="4">
    <nc r="V158">
      <v>0.5</v>
    </nc>
  </rcc>
  <rcc rId="3208" sId="4">
    <nc r="W158" t="inlineStr">
      <is>
        <t>Ready for review</t>
      </is>
    </nc>
  </rcc>
  <rcc rId="3209" sId="4" numFmtId="19">
    <nc r="Z158">
      <v>43936</v>
    </nc>
  </rcc>
  <rcc rId="3210" sId="4" numFmtId="19">
    <nc r="AA158">
      <v>43936</v>
    </nc>
  </rcc>
  <rfmt sheetId="4" sqref="AB158" start="0" length="0">
    <dxf>
      <font>
        <sz val="11"/>
        <color auto="1"/>
        <name val="Calibri"/>
        <scheme val="minor"/>
      </font>
      <numFmt numFmtId="0" formatCode="General"/>
    </dxf>
  </rfmt>
  <rfmt sheetId="4" sqref="AC158" start="0" length="0">
    <dxf>
      <font>
        <sz val="11"/>
        <color auto="1"/>
        <name val="Calibri"/>
        <scheme val="minor"/>
      </font>
    </dxf>
  </rfmt>
  <rfmt sheetId="4" sqref="AD158" start="0" length="0">
    <dxf>
      <font>
        <sz val="11"/>
        <color auto="1"/>
        <name val="Calibri"/>
        <scheme val="minor"/>
      </font>
    </dxf>
  </rfmt>
  <rfmt sheetId="4" sqref="AE158" start="0" length="0">
    <dxf>
      <font>
        <sz val="11"/>
        <color auto="1"/>
        <name val="Calibri"/>
        <scheme val="minor"/>
      </font>
    </dxf>
  </rfmt>
  <rcc rId="3211" sId="4" odxf="1" dxf="1">
    <nc r="AF15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12" sId="4" odxf="1" dxf="1" quotePrefix="1">
    <nc r="AC158" t="inlineStr">
      <is>
        <t>-</t>
      </is>
    </nc>
    <ndxf>
      <font>
        <sz val="11"/>
        <color theme="1"/>
        <name val="Calibri"/>
        <scheme val="minor"/>
      </font>
    </ndxf>
  </rcc>
  <rcc rId="3213" sId="4" odxf="1" dxf="1" quotePrefix="1">
    <nc r="AD158" t="inlineStr">
      <is>
        <t>-</t>
      </is>
    </nc>
    <ndxf>
      <font>
        <sz val="11"/>
        <color theme="1"/>
        <name val="Calibri"/>
        <scheme val="minor"/>
      </font>
    </ndxf>
  </rcc>
  <rcc rId="3214" sId="4" odxf="1" dxf="1" quotePrefix="1">
    <nc r="AE158" t="inlineStr">
      <is>
        <t>-</t>
      </is>
    </nc>
    <ndxf>
      <font>
        <sz val="11"/>
        <color theme="1"/>
        <name val="Calibri"/>
        <scheme val="minor"/>
      </font>
    </ndxf>
  </rcc>
  <rcc rId="3215" sId="4" odxf="1" dxf="1" quotePrefix="1">
    <nc r="AB158" t="inlineStr">
      <is>
        <t>-</t>
      </is>
    </nc>
    <ndxf>
      <font>
        <sz val="11"/>
        <color theme="1"/>
        <name val="Calibri"/>
        <scheme val="minor"/>
      </font>
    </ndxf>
  </rcc>
  <rcc rId="3216" sId="4" quotePrefix="1">
    <oc r="AH158" t="inlineStr">
      <is>
        <t>-</t>
      </is>
    </oc>
    <nc r="AH158" t="inlineStr">
      <is>
        <t>-No have function to test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10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21" sId="6" quotePrefix="1">
    <oc r="E36" t="inlineStr">
      <is>
        <t>-</t>
      </is>
    </oc>
    <nc r="E36" t="inlineStr">
      <is>
        <t>1</t>
      </is>
    </nc>
  </rcc>
  <rcc rId="3222" sId="6" quotePrefix="1">
    <oc r="F36" t="inlineStr">
      <is>
        <t>-</t>
      </is>
    </oc>
    <nc r="F36" t="inlineStr">
      <is>
        <t>- Day-off Wed, 15-Apr</t>
      </is>
    </nc>
  </rcc>
</revisions>
</file>

<file path=xl/revisions/revisionLog10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COEM_Package_20200401!$B$2:$AH$239</formula>
    <oldFormula>COEM_Package_20200401!$B$2:$AH$239</oldFormula>
  </rdn>
  <rcv guid="{7E0EA425-A420-4443-B9E0-CDF0AA9E5D09}" action="add"/>
</revisions>
</file>

<file path=xl/revisions/revisionLog10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27" sId="4">
    <nc r="V234">
      <v>1</v>
    </nc>
  </rcc>
  <rcc rId="3228" sId="4">
    <nc r="W234" t="inlineStr">
      <is>
        <t>Ready for review</t>
      </is>
    </nc>
  </rcc>
  <rcc rId="3229" sId="4" numFmtId="19">
    <nc r="Z234">
      <v>43937</v>
    </nc>
  </rcc>
  <rcc rId="3230" sId="4" numFmtId="19">
    <nc r="AA234">
      <v>43937</v>
    </nc>
  </rcc>
  <rcc rId="3231" sId="4">
    <nc r="AB234" t="inlineStr">
      <is>
        <t>OK</t>
      </is>
    </nc>
  </rcc>
  <rcc rId="3232" sId="4" odxf="1" dxf="1">
    <nc r="AC2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33" sId="4" odxf="1" dxf="1">
    <nc r="AD2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34" sId="4" odxf="1" dxf="1">
    <nc r="AE23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35" sId="4" odxf="1" dxf="1">
    <nc r="AF23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11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39" sId="1">
    <nc r="V126">
      <v>2</v>
    </nc>
  </rcc>
  <rcc rId="3240" sId="1">
    <nc r="W126" t="inlineStr">
      <is>
        <t>Ready for review</t>
      </is>
    </nc>
  </rcc>
  <rcc rId="3241" sId="1">
    <nc r="AB126" t="inlineStr">
      <is>
        <t>OK</t>
      </is>
    </nc>
  </rcc>
  <rcc rId="3242" sId="1">
    <nc r="AC126">
      <v>100</v>
    </nc>
  </rcc>
  <rcc rId="3243" sId="1">
    <nc r="AD126">
      <v>100</v>
    </nc>
  </rcc>
  <rcc rId="3244" sId="1">
    <nc r="AE126">
      <v>100</v>
    </nc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COEM_Package_20200401!$B$2:$AH$239</formula>
    <oldFormula>COEM_Package_20200401!$B$2:$AH$239</oldFormula>
  </rdn>
  <rcv guid="{72A6EB0A-84D5-4B8A-AC51-54CCD061630B}" action="add"/>
</revisions>
</file>

<file path=xl/revisions/revisionLog11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248" sId="4">
    <nc r="V159">
      <v>1.5</v>
    </nc>
  </rcc>
  <rcc rId="3249" sId="4">
    <nc r="W159" t="inlineStr">
      <is>
        <t>Ready for review</t>
      </is>
    </nc>
  </rcc>
  <rcc rId="3250" sId="4" numFmtId="19">
    <nc r="Z159">
      <v>43937</v>
    </nc>
  </rcc>
  <rcc rId="3251" sId="4" numFmtId="19">
    <nc r="AA159">
      <v>43937</v>
    </nc>
  </rcc>
  <rcc rId="3252" sId="4" odxf="1" dxf="1">
    <nc r="AB159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253" sId="4" odxf="1" dxf="1">
    <nc r="AC1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54" sId="4" odxf="1" dxf="1">
    <nc r="AD1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55" sId="4" odxf="1" dxf="1">
    <nc r="AE15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256" sId="4" odxf="1" dxf="1">
    <nc r="AF15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rc rId="3257" sId="4" ref="A239:XFD239" action="insertRow">
    <undo index="0" exp="area" ref3D="1" dr="$P$1:$Q$1048576" dn="Z_250915DF_0B97_45D7_B29D_7EED4C89C1C1_.wvu.Cols" sId="4"/>
    <undo index="0" exp="area" ref3D="1" dr="$P$1:$Q$1048576" dn="Z_D1F7047B_CC2E_48BC_8022_C8013AE2B1E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P$1:$Q$1048576" dn="Z_7E0EA425_A420_4443_B9E0_CDF0AA9E5D09_.wvu.Cols" sId="4"/>
  </rrc>
  <rrc rId="3258" sId="4" ref="A239:XFD239" action="insertRow">
    <undo index="0" exp="area" ref3D="1" dr="$P$1:$Q$1048576" dn="Z_250915DF_0B97_45D7_B29D_7EED4C89C1C1_.wvu.Cols" sId="4"/>
    <undo index="0" exp="area" ref3D="1" dr="$P$1:$Q$1048576" dn="Z_D1F7047B_CC2E_48BC_8022_C8013AE2B1E1_.wvu.Cols" sId="4"/>
    <undo index="0" exp="area" ref3D="1" dr="$M$1:$N$1048576" dn="Z_7ECC2B8E_6A82_42F5_8AB0_4A51C54EA5EC_.wvu.Cols" sId="4"/>
    <undo index="0" exp="area" ref3D="1" dr="$P$1:$Q$1048576" dn="Z_72A6EB0A_84D5_4B8A_AC51_54CCD061630B_.wvu.Cols" sId="4"/>
    <undo index="0" exp="area" ref3D="1" dr="$P$1:$Q$1048576" dn="Z_60D2C030_4E31_4E07_8E1C_44D2EE84B177_.wvu.Cols" sId="4"/>
    <undo index="0" exp="area" ref3D="1" dr="$P$1:$Q$1048576" dn="Z_4E06BDBF_2CED_473B_850B_2A6C7311FF41_.wvu.Cols" sId="4"/>
    <undo index="0" exp="area" ref3D="1" dr="$P$1:$Q$1048576" dn="Z_7E0EA425_A420_4443_B9E0_CDF0AA9E5D09_.wvu.Cols" sId="4"/>
  </rrc>
  <rcc rId="3259" sId="4">
    <nc r="B239">
      <f>B238+1</f>
    </nc>
  </rcc>
  <rcc rId="3260" sId="4">
    <nc r="B240">
      <f>B239+1</f>
    </nc>
  </rcc>
  <rcc rId="3261" sId="4">
    <oc r="B241">
      <f>B238+1</f>
    </oc>
    <nc r="B241">
      <f>B240+1</f>
    </nc>
  </rcc>
  <rcc rId="3262" sId="4">
    <nc r="D240" t="inlineStr">
      <is>
        <t>PSW</t>
      </is>
    </nc>
  </rcc>
  <rcc rId="3263" sId="4">
    <nc r="D241" t="inlineStr">
      <is>
        <t>PSW</t>
      </is>
    </nc>
  </rcc>
  <rcc rId="3264" sId="4" xfDxf="1" dxf="1">
    <nc r="E240" t="inlineStr">
      <is>
        <t>HHT_VX1_ESPHevX_BL2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65" sId="4" xfDxf="1" dxf="1">
    <nc r="E241" t="inlineStr">
      <is>
        <t>HHT_VX1_ESPHevX_BL2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66" sId="4">
    <nc r="C240">
      <v>20200416</v>
    </nc>
  </rcc>
  <rcc rId="3267" sId="4">
    <nc r="C241">
      <v>20200416</v>
    </nc>
  </rcc>
  <rfmt sheetId="4" sqref="I240" start="0" length="0">
    <dxf>
      <alignment horizontal="general" vertical="bottom" readingOrder="0"/>
      <border outline="0">
        <left/>
        <right/>
        <top/>
        <bottom/>
      </border>
    </dxf>
  </rfmt>
  <rfmt sheetId="4" sqref="I241" start="0" length="0">
    <dxf>
      <alignment horizontal="general" vertical="bottom" readingOrder="0"/>
      <border outline="0">
        <left/>
        <right/>
        <top/>
        <bottom/>
      </border>
    </dxf>
  </rfmt>
  <rcc rId="3268" sId="4" odxf="1" dxf="1">
    <nc r="I240" t="inlineStr">
      <is>
        <t>Auto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69" sId="4" odxf="1" dxf="1">
    <nc r="I241" t="inlineStr">
      <is>
        <t>Auto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70" sId="4" numFmtId="19">
    <nc r="X240">
      <v>43937</v>
    </nc>
  </rcc>
  <rcc rId="3271" sId="4" numFmtId="19">
    <nc r="Y240">
      <v>43937</v>
    </nc>
  </rcc>
  <rcc rId="3272" sId="4" numFmtId="19">
    <nc r="Z240">
      <v>43937</v>
    </nc>
  </rcc>
  <rcc rId="3273" sId="4" numFmtId="19">
    <nc r="AA240">
      <v>43937</v>
    </nc>
  </rcc>
  <rcc rId="3274" sId="4" numFmtId="19">
    <nc r="X241">
      <v>43937</v>
    </nc>
  </rcc>
  <rcc rId="3275" sId="4" numFmtId="19">
    <nc r="Y241">
      <v>43937</v>
    </nc>
  </rcc>
  <rcc rId="3276" sId="4" numFmtId="19">
    <nc r="Z241">
      <v>43937</v>
    </nc>
  </rcc>
  <rcc rId="3277" sId="4" numFmtId="19">
    <nc r="AA241">
      <v>43937</v>
    </nc>
  </rcc>
  <rcc rId="3278" sId="4" quotePrefix="1">
    <nc r="AG239" t="inlineStr">
      <is>
        <t>-</t>
      </is>
    </nc>
  </rcc>
  <rcc rId="3279" sId="4" quotePrefix="1">
    <nc r="AH239" t="inlineStr">
      <is>
        <t>-</t>
      </is>
    </nc>
  </rcc>
  <rcc rId="3280" sId="4" quotePrefix="1">
    <nc r="AG240" t="inlineStr">
      <is>
        <t>-</t>
      </is>
    </nc>
  </rcc>
  <rcc rId="3281" sId="4" quotePrefix="1">
    <nc r="AH240" t="inlineStr">
      <is>
        <t>-</t>
      </is>
    </nc>
  </rcc>
  <rcc rId="3282" sId="4">
    <nc r="C238">
      <v>20200415</v>
    </nc>
  </rcc>
  <rcc rId="3283" sId="4">
    <nc r="C239">
      <v>20200415</v>
    </nc>
  </rcc>
  <rcc rId="3284" sId="4">
    <nc r="D238" t="inlineStr">
      <is>
        <t>ASW</t>
      </is>
    </nc>
  </rcc>
  <rcc rId="3285" sId="4">
    <nc r="D239" t="inlineStr">
      <is>
        <t>ASW</t>
      </is>
    </nc>
  </rcc>
  <rm rId="3286" sheetId="4" source="E240:E241" destination="E238:E239" sourceSheetId="4">
    <rfmt sheetId="4" sqref="E238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  <rfmt sheetId="4" sqref="E239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fmt sheetId="4" sqref="E240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E241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G23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3287" sId="4" xfDxf="1" dxf="1">
    <nc r="G239">
      <v>1419102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88" sId="4">
    <nc r="G238">
      <v>1419102</v>
    </nc>
  </rcc>
  <rcc rId="3289" sId="4" xfDxf="1" dxf="1">
    <nc r="H238" t="inlineStr">
      <is>
        <t>HHT_CampingMode_ChargingSt_VDCMAutoLock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90" sId="4" xfDxf="1" dxf="1">
    <nc r="H239" t="inlineStr">
      <is>
        <t>HHT_WarmMessage_Pbc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91" sId="4" odxf="1" dxf="1" quotePrefix="1">
    <nc r="I238" t="inlineStr">
      <is>
        <t>-</t>
      </is>
    </nc>
    <odxf/>
    <ndxf/>
  </rcc>
  <rcc rId="3292" sId="4" odxf="1" dxf="1" quotePrefix="1">
    <nc r="I239" t="inlineStr">
      <is>
        <t>-</t>
      </is>
    </nc>
    <odxf/>
    <ndxf/>
  </rcc>
  <rfmt sheetId="4" xfDxf="1" sqref="L238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xfDxf="1" sqref="L239" start="0" length="0">
    <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cc rId="3293" sId="4" quotePrefix="1">
    <nc r="L238" t="inlineStr">
      <is>
        <t>1.1</t>
      </is>
    </nc>
  </rcc>
  <rcc rId="3294" sId="4" quotePrefix="1">
    <nc r="L239" t="inlineStr">
      <is>
        <t>1.1</t>
      </is>
    </nc>
  </rcc>
  <rcc rId="3295" sId="4" xfDxf="1" dxf="1" quotePrefix="1">
    <nc r="M238" t="inlineStr">
      <is>
        <t>CHEN Xu (BEG/ECA1-CN)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296" sId="4" quotePrefix="1">
    <nc r="M239" t="inlineStr">
      <is>
        <t>CHEN Xu (BEG/ECA1-CN)</t>
      </is>
    </nc>
  </rcc>
  <rcc rId="3297" sId="4">
    <nc r="N238" t="inlineStr">
      <is>
        <t>T_C-453</t>
      </is>
    </nc>
  </rcc>
  <rcc rId="3298" sId="4">
    <nc r="N239" t="inlineStr">
      <is>
        <t>T_C-454</t>
      </is>
    </nc>
  </rcc>
  <rcc rId="3299" sId="4">
    <nc r="N240" t="inlineStr">
      <is>
        <t>T_C-455</t>
      </is>
    </nc>
  </rcc>
  <rcc rId="3300" sId="4">
    <nc r="N241" t="inlineStr">
      <is>
        <t>T_C-456</t>
      </is>
    </nc>
  </rcc>
  <rcc rId="3301" sId="4">
    <nc r="O238" t="inlineStr">
      <is>
        <t>chung.ly</t>
      </is>
    </nc>
  </rcc>
  <rcc rId="3302" sId="4">
    <nc r="O239" t="inlineStr">
      <is>
        <t>loc.do-phu</t>
      </is>
    </nc>
  </rcc>
  <rcc rId="3303" sId="4">
    <nc r="R238">
      <v>64</v>
    </nc>
  </rcc>
  <rcc rId="3304" sId="4">
    <nc r="S238">
      <f>R238</f>
    </nc>
  </rcc>
  <rcc rId="3305" sId="4">
    <nc r="R239">
      <v>38</v>
    </nc>
  </rcc>
  <rcc rId="3306" sId="4">
    <nc r="S239">
      <f>R239</f>
    </nc>
  </rcc>
  <rcc rId="3307" sId="4">
    <nc r="U238">
      <f>ROUNDDOWN(S238/HLOOKUP(D238,Table!$C$3:$D$4,2,0)*8,2)</f>
    </nc>
  </rcc>
  <rcc rId="3308" sId="4">
    <nc r="U239">
      <f>ROUNDDOWN(S239/HLOOKUP(D239,Table!$C$3:$D$4,2,0)*8,2)</f>
    </nc>
  </rcc>
  <rcc rId="3309" sId="4" numFmtId="19">
    <nc r="X238">
      <v>43937</v>
    </nc>
  </rcc>
  <rcc rId="3310" sId="4" numFmtId="19">
    <nc r="Y238">
      <v>43937</v>
    </nc>
  </rcc>
  <rcc rId="3311" sId="4" numFmtId="19">
    <nc r="Z238">
      <v>43938</v>
    </nc>
  </rcc>
  <rcc rId="3312" sId="4" numFmtId="19">
    <nc r="AA238">
      <v>43938</v>
    </nc>
  </rcc>
  <rcc rId="3313" sId="4" numFmtId="19">
    <nc r="X239">
      <v>43937</v>
    </nc>
  </rcc>
  <rcc rId="3314" sId="4" numFmtId="19">
    <nc r="Y239">
      <v>43937</v>
    </nc>
  </rcc>
  <rcc rId="3315" sId="4" numFmtId="19">
    <nc r="Z239">
      <v>43938</v>
    </nc>
  </rcc>
  <rcc rId="3316" sId="4" numFmtId="19">
    <nc r="AA239">
      <v>43938</v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1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321" sId="4" xfDxf="1" dxf="1">
    <nc r="E240" t="inlineStr">
      <is>
        <t>MC_225750_Geely_KC2A_ESP9.3HB_BB80336_BL04SP03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22" sId="4" xfDxf="1" dxf="1">
    <nc r="E241" t="inlineStr">
      <is>
        <t>MC_225750_Geely_KC2A_ESP9.3HB_BB80336_BL04SP03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23" sId="4" xfDxf="1" dxf="1" quotePrefix="1">
    <nc r="F240" t="inlineStr">
      <is>
        <t>rba\Bldr\comps\ApplicationLayer\rba_BldrCmp\src\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24" sId="4" xfDxf="1" dxf="1" quotePrefix="1">
    <nc r="F241" t="inlineStr">
      <is>
        <t>rba\Bldr\comps\ApplicationLayer\rba_BldrCmp\src\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325" sId="4">
    <oc r="F6" t="inlineStr">
      <is>
        <t>rb/as/byd/ipb/app/dsm/RBVAR/src/</t>
      </is>
    </oc>
    <nc r="F6" t="inlineStr">
      <is>
        <t>rb\as\byd\ipb\app\dsm\RBVAR\src\</t>
      </is>
    </nc>
  </rcc>
  <rcc rId="3326" sId="4">
    <oc r="F7" t="inlineStr">
      <is>
        <t>rb/as/byd/ipb/app/dsm/ RBVAR/src/</t>
      </is>
    </oc>
    <nc r="F7" t="inlineStr">
      <is>
        <t>rb\as\byd\ipb\app\dsm\ RBVAR\src\</t>
      </is>
    </nc>
  </rcc>
  <rcc rId="3327" sId="4">
    <oc r="F8" t="inlineStr">
      <is>
        <t>GEEA2.0/rb/as/cevt/Geely/aswpr/EV/src</t>
      </is>
    </oc>
    <nc r="F8" t="inlineStr">
      <is>
        <t>GEEA2.0\rb\as\cevt\Geely\aswpr\EV\src</t>
      </is>
    </nc>
  </rcc>
  <rcc rId="3328" sId="4" quotePrefix="1">
    <oc r="F9" t="inlineStr">
      <is>
        <t xml:space="preserve">rb/as/fawMP/fawcore/app/netRBNm/src/             </t>
      </is>
    </oc>
    <nc r="F9" t="inlineStr">
      <is>
        <t xml:space="preserve">rb\as\fawMP\fawcore\app\netRBNm\src\             </t>
      </is>
    </nc>
  </rcc>
  <rcc rId="3329" sId="4" quotePrefix="1">
    <oc r="F10" t="inlineStr">
      <is>
        <t xml:space="preserve">rb/as/fawMP/fawcore/app/netRBScl/src/            </t>
      </is>
    </oc>
    <nc r="F10" t="inlineStr">
      <is>
        <t xml:space="preserve">rb\as\fawMP\fawcore\app\netRBScl\src\            </t>
      </is>
    </nc>
  </rcc>
  <rcc rId="3330" sId="4" quotePrefix="1">
    <oc r="F11" t="inlineStr">
      <is>
        <t>rb/as/cnms_core/app/netscl/src/Callout_Functions/</t>
      </is>
    </oc>
    <nc r="F11" t="inlineStr">
      <is>
        <t>rb\as\cnms_core\app\netscl\src\Callout_Functions\</t>
      </is>
    </nc>
  </rcc>
  <rcc rId="3331" sId="4" quotePrefix="1">
    <oc r="F12" t="inlineStr">
      <is>
        <t>rb/as/cnms_core/app/netscl/src/Callout_Functions/</t>
      </is>
    </oc>
    <nc r="F12" t="inlineStr">
      <is>
        <t>rb\as\cnms_core\app\netscl\src\Callout_Functions\</t>
      </is>
    </nc>
  </rcc>
  <rcc rId="3332" sId="4" quotePrefix="1">
    <oc r="F13" t="inlineStr">
      <is>
        <t>C:/02_CANTATA/COEM_April/_DataBase/FAW_E115_iBGen2_Int/iBoosterGen2/rb/as/faw/core/app/dcom/RBAPLCust/src/ESP</t>
      </is>
    </oc>
    <nc r="F13" t="inlineStr">
      <is>
        <t>C:\02_CANTATA\COEM_April\_DataBase\FAW_E115_iBGen2_Int\iBoosterGen2\rb\as\faw\core\app\dcom\RBAPLCust\src\ESP</t>
      </is>
    </nc>
  </rcc>
  <rcc rId="3333" sId="4" quotePrefix="1">
    <oc r="F14" t="inlineStr">
      <is>
        <t>C:/02_CANTATA/COEM_April/_DataBase/FAW_E115_iBGen2_Int/iBoosterGen2/rb/as/faw/core/app/dcom/RBAPLCust/src/ESP</t>
      </is>
    </oc>
    <nc r="F14" t="inlineStr">
      <is>
        <t>C:\02_CANTATA\COEM_April\_DataBase\FAW_E115_iBGen2_Int\iBoosterGen2\rb\as\faw\core\app\dcom\RBAPLCust\src\ESP</t>
      </is>
    </nc>
  </rcc>
  <rcc rId="3334" sId="4" quotePrefix="1">
    <oc r="F15" t="inlineStr">
      <is>
        <t>C:/02_CANTATA/COEM_April/_DataBase/FAW_E115_iBGen2_Int/iBoosterGen2/rb/as/faw/core/app/dcom/RBAPLCust/src/ESP</t>
      </is>
    </oc>
    <nc r="F15" t="inlineStr">
      <is>
        <t>C:\02_CANTATA\COEM_April\_DataBase\FAW_E115_iBGen2_Int\iBoosterGen2\rb\as\faw\core\app\dcom\RBAPLCust\src\ESP</t>
      </is>
    </nc>
  </rcc>
  <rcc rId="3335" sId="4" quotePrefix="1">
    <oc r="F16" t="inlineStr">
      <is>
        <t>iBoosterGen2/rb/as/faw/core/app/dcom/RBAPLCust/src/common</t>
      </is>
    </oc>
    <nc r="F16" t="inlineStr">
      <is>
        <t>iBoosterGen2\rb\as\faw\core\app\dcom\RBAPLCust\src\common</t>
      </is>
    </nc>
  </rcc>
  <rcc rId="3336" sId="4" quotePrefix="1">
    <oc r="F17" t="inlineStr">
      <is>
        <t>iBoosterGen2/rb/as/faw/core/app/dcom/RBAPLCust/src/common</t>
      </is>
    </oc>
    <nc r="F17" t="inlineStr">
      <is>
        <t>iBoosterGen2\rb\as\faw\core\app\dcom\RBAPLCust\src\common</t>
      </is>
    </nc>
  </rcc>
  <rcc rId="3337" sId="4" quotePrefix="1">
    <oc r="F18" t="inlineStr">
      <is>
        <t>rb/as/faw/core/app/dcom/RBAPLCust/src/iBooster</t>
      </is>
    </oc>
    <nc r="F18" t="inlineStr">
      <is>
        <t>rb\as\faw\core\app\dcom\RBAPLCust\src\iBooster</t>
      </is>
    </nc>
  </rcc>
  <rcc rId="3338" sId="4" quotePrefix="1">
    <oc r="F19" t="inlineStr">
      <is>
        <t>rb/as/faw/core/app/dcom/RBAPLCust/src/iBooster</t>
      </is>
    </oc>
    <nc r="F19" t="inlineStr">
      <is>
        <t>rb\as\faw\core\app\dcom\RBAPLCust\src\iBooster</t>
      </is>
    </nc>
  </rcc>
  <rcc rId="3339" sId="4" quotePrefix="1">
    <oc r="F20" t="inlineStr">
      <is>
        <t>rb/as/faw/core/app/dcom/RBAPLOBD/src</t>
      </is>
    </oc>
    <nc r="F20" t="inlineStr">
      <is>
        <t>rb\as\faw\core\app\dcom\RBAPLOBD\src</t>
      </is>
    </nc>
  </rcc>
  <rcc rId="3340" sId="4" quotePrefix="1">
    <oc r="F21" t="inlineStr">
      <is>
        <t>rb/as/faw/core/app/dcom/RBAPLOBD/src</t>
      </is>
    </oc>
    <nc r="F21" t="inlineStr">
      <is>
        <t>rb\as\faw\core\app\dcom\RBAPLOBD\src</t>
      </is>
    </nc>
  </rcc>
  <rcc rId="3341" sId="4" quotePrefix="1">
    <oc r="F22" t="inlineStr">
      <is>
        <t>rb/as/faw/core/app/dcom/Cubas/src/Dcm_CNMS</t>
      </is>
    </oc>
    <nc r="F22" t="inlineStr">
      <is>
        <t>rb\as\faw\core\app\dcom\Cubas\src\Dcm_CNMS</t>
      </is>
    </nc>
  </rcc>
  <rcc rId="3342" sId="4" quotePrefix="1">
    <oc r="F23" t="inlineStr">
      <is>
        <t>rb/as/faw/core/app/dcom/RBAPLCust/src/common</t>
      </is>
    </oc>
    <nc r="F23" t="inlineStr">
      <is>
        <t>rb\as\faw\core\app\dcom\RBAPLCust\src\common</t>
      </is>
    </nc>
  </rcc>
  <rcc rId="3343" sId="4" quotePrefix="1">
    <oc r="F24" t="inlineStr">
      <is>
        <t>C:/02_CANTATA/COEM_April/_DataBase/FAW_L3_MainPath_HevX_Int/CNMSESPHevX/rb/as/fawesphevx/fawcore/app/dcom/RBAPLCust/src/ESP</t>
      </is>
    </oc>
    <nc r="F24" t="inlineStr">
      <is>
        <t>C:\02_CANTATA\COEM_April\_DataBase\FAW_L3_MainPath_HevX_Int\CNMSESPHevX\rb\as\fawesphevx\fawcore\app\dcom\RBAPLCust\src\ESP</t>
      </is>
    </nc>
  </rcc>
  <rcc rId="3344" sId="4" quotePrefix="1">
    <oc r="F25" t="inlineStr">
      <is>
        <t>C:/02_CANTATA/COEM_April/_DataBase/FAW_L3_MainPath_HevX_Int/CNMSESPHevX/rb/as/fawesphevx/fawcore/app/dcom/RBAPLCust/src/ESP</t>
      </is>
    </oc>
    <nc r="F25" t="inlineStr">
      <is>
        <t>C:\02_CANTATA\COEM_April\_DataBase\FAW_L3_MainPath_HevX_Int\CNMSESPHevX\rb\as\fawesphevx\fawcore\app\dcom\RBAPLCust\src\ESP</t>
      </is>
    </nc>
  </rcc>
  <rcc rId="3345" sId="4" quotePrefix="1">
    <oc r="F26" t="inlineStr">
      <is>
        <t>C:/02_CANTATA/COEM_April/_DataBase/FAW_L3_MainPath_HevX_Int/CNMSESPHevX/rb/as/fawesphevx/fawcore/app/dcom/RBAPLCust/src/ESP</t>
      </is>
    </oc>
    <nc r="F26" t="inlineStr">
      <is>
        <t>C:\02_CANTATA\COEM_April\_DataBase\FAW_L3_MainPath_HevX_Int\CNMSESPHevX\rb\as\fawesphevx\fawcore\app\dcom\RBAPLCust\src\ESP</t>
      </is>
    </nc>
  </rcc>
  <rcc rId="3346" sId="4" quotePrefix="1">
    <oc r="F27" t="inlineStr">
      <is>
        <t>CNMSESPHevX/rb/as/fawesphevx/fawcore/app/dcom/RBAPLCust/src/common</t>
      </is>
    </oc>
    <nc r="F27" t="inlineStr">
      <is>
        <t>CNMSESPHevX\rb\as\fawesphevx\fawcore\app\dcom\RBAPLCust\src\common</t>
      </is>
    </nc>
  </rcc>
  <rcc rId="3347" sId="4" quotePrefix="1">
    <oc r="F28" t="inlineStr">
      <is>
        <t>CNMSESPHevX/rb/as/fawesphevx/fawcore/app/dcom/RBAPLCust/src/common</t>
      </is>
    </oc>
    <nc r="F28" t="inlineStr">
      <is>
        <t>CNMSESPHevX\rb\as\fawesphevx\fawcore\app\dcom\RBAPLCust\src\common</t>
      </is>
    </nc>
  </rcc>
  <rcc rId="3348" sId="4" quotePrefix="1">
    <oc r="F29" t="inlineStr">
      <is>
        <t>rb/as/fawesphevx/fawcore/app/dcom/RBAPLCust/src/iBooster</t>
      </is>
    </oc>
    <nc r="F29" t="inlineStr">
      <is>
        <t>rb\as\fawesphevx\fawcore\app\dcom\RBAPLCust\src\iBooster</t>
      </is>
    </nc>
  </rcc>
  <rcc rId="3349" sId="4" quotePrefix="1">
    <oc r="F31" t="inlineStr">
      <is>
        <t>CNMSESPHevX/rb/as/fawesphevx/fawcore/app/dcom/RBAPLOBD/src</t>
      </is>
    </oc>
    <nc r="F31" t="inlineStr">
      <is>
        <t>CNMSESPHevX\rb\as\fawesphevx\fawcore\app\dcom\RBAPLOBD\src</t>
      </is>
    </nc>
  </rcc>
  <rcc rId="3350" sId="4" quotePrefix="1">
    <oc r="F32" t="inlineStr">
      <is>
        <t>CNMSESPHevX/rb/as/fawesphevx/fawcore/app/dcom/RBAPLOBD/src</t>
      </is>
    </oc>
    <nc r="F32" t="inlineStr">
      <is>
        <t>CNMSESPHevX\rb\as\fawesphevx\fawcore\app\dcom\RBAPLOBD\src</t>
      </is>
    </nc>
  </rcc>
  <rcc rId="3351" sId="4" quotePrefix="1">
    <oc r="F33" t="inlineStr">
      <is>
        <t>CNMSESPHevX/rb/as/fawesphevx/fawcore/app/dcom/Cubas/src/Dcm_CNMS</t>
      </is>
    </oc>
    <nc r="F33" t="inlineStr">
      <is>
        <t>CNMSESPHevX\rb\as\fawesphevx\fawcore\app\dcom\Cubas\src\Dcm_CNMS</t>
      </is>
    </nc>
  </rcc>
  <rcc rId="3352" sId="4" quotePrefix="1">
    <oc r="F34" t="inlineStr">
      <is>
        <t>rb/as/fawesphevx/fawcore/app/dcom/RBAPLCust/src/common</t>
      </is>
    </oc>
    <nc r="F34" t="inlineStr">
      <is>
        <t>rb\as\fawesphevx\fawcore\app\dcom\RBAPLCust\src\common</t>
      </is>
    </nc>
  </rcc>
  <rcc rId="3353" sId="4" quotePrefix="1">
    <oc r="F35" t="inlineStr">
      <is>
        <t xml:space="preserve">rb/as/cnms_core/app/dsm/DemVar/src/            </t>
      </is>
    </oc>
    <nc r="F35" t="inlineStr">
      <is>
        <t xml:space="preserve">rb\as\cnms_core\app\dsm\DemVar\src\            </t>
      </is>
    </nc>
  </rcc>
  <rcc rId="3354" sId="4" quotePrefix="1">
    <oc r="F36" t="inlineStr">
      <is>
        <t xml:space="preserve">rb/as/cnms_core/app/dsm/RBVAR/src/             </t>
      </is>
    </oc>
    <nc r="F36" t="inlineStr">
      <is>
        <t xml:space="preserve">rb\as\cnms_core\app\dsm\RBVAR\src\             </t>
      </is>
    </nc>
  </rcc>
  <rcc rId="3355" sId="4" quotePrefix="1">
    <oc r="F37" t="inlineStr">
      <is>
        <t xml:space="preserve">rb/as/gwm/cp/app/dsm/RBWarningIndicator/src/   </t>
      </is>
    </oc>
    <nc r="F37" t="inlineStr">
      <is>
        <t xml:space="preserve">rb\as\gwm\cp\app\dsm\RBWarningIndicator\src\   </t>
      </is>
    </nc>
  </rcc>
  <rcc rId="3356" sId="4" quotePrefix="1">
    <oc r="F38" t="inlineStr">
      <is>
        <t>rb/as/gwm/cp/app/dsm/RBHMI/src/</t>
      </is>
    </oc>
    <nc r="F38" t="inlineStr">
      <is>
        <t>rb\as\gwm\cp\app\dsm\RBHMI\src\</t>
      </is>
    </nc>
  </rcc>
  <rcc rId="3357" sId="4" quotePrefix="1">
    <oc r="F39" t="inlineStr">
      <is>
        <t>rb/as/gwm/cp/app/dsm/RBVAR/BB80433/src/</t>
      </is>
    </oc>
    <nc r="F39" t="inlineStr">
      <is>
        <t>rb\as\gwm\cp\app\dsm\RBVAR\BB80433\src\</t>
      </is>
    </nc>
  </rcc>
  <rcc rId="3358" sId="4" quotePrefix="1">
    <oc r="F40" t="inlineStr">
      <is>
        <t>rb/as/gwm/cp/app/dsm/RBVAR/BB80431/src/</t>
      </is>
    </oc>
    <nc r="F40" t="inlineStr">
      <is>
        <t>rb\as\gwm\cp\app\dsm\RBVAR\BB80431\src\</t>
      </is>
    </nc>
  </rcc>
  <rcc rId="3359" sId="4" quotePrefix="1">
    <oc r="F41" t="inlineStr">
      <is>
        <t>rb/as/gwm/cp/app/dsm/RBVAR/BB81003/src/</t>
      </is>
    </oc>
    <nc r="F41" t="inlineStr">
      <is>
        <t>rb\as\gwm\cp\app\dsm\RBVAR\BB81003\src\</t>
      </is>
    </nc>
  </rcc>
  <rcc rId="3360" sId="4" quotePrefix="1">
    <oc r="F42" t="inlineStr">
      <is>
        <t xml:space="preserve">rb/as/gwm/cp/app/dsm/RBVAR/BB80433/src/        </t>
      </is>
    </oc>
    <nc r="F42" t="inlineStr">
      <is>
        <t xml:space="preserve">rb\as\gwm\cp\app\dsm\RBVAR\BB80433\src\        </t>
      </is>
    </nc>
  </rcc>
  <rcc rId="3361" sId="4" quotePrefix="1">
    <oc r="F43" t="inlineStr">
      <is>
        <t xml:space="preserve">rb/as/gwm/cp/app/dsm/RBVAR/BB80431/src/        </t>
      </is>
    </oc>
    <nc r="F43" t="inlineStr">
      <is>
        <t xml:space="preserve">rb\as\gwm\cp\app\dsm\RBVAR\BB80431\src\        </t>
      </is>
    </nc>
  </rcc>
  <rcc rId="3362" sId="4" quotePrefix="1">
    <oc r="F44" t="inlineStr">
      <is>
        <t xml:space="preserve">rb/as/gwm/cp/app/dsm/RBVAR/BB81003/src/        </t>
      </is>
    </oc>
    <nc r="F44" t="inlineStr">
      <is>
        <t xml:space="preserve">rb\as\gwm\cp\app\dsm\RBVAR\BB81003\src\        </t>
      </is>
    </nc>
  </rcc>
  <rcc rId="3363" sId="4" quotePrefix="1">
    <oc r="F45" t="inlineStr">
      <is>
        <t>rb/as/gwm/cp/dsmpr/src/</t>
      </is>
    </oc>
    <nc r="F45" t="inlineStr">
      <is>
        <t>rb\as\gwm\cp\dsmpr\src\</t>
      </is>
    </nc>
  </rcc>
  <rcc rId="3364" sId="4" quotePrefix="1">
    <oc r="F46" t="inlineStr">
      <is>
        <t>rb/as/saic51/core/app/dcom/RBAPLCust/src/common/</t>
      </is>
    </oc>
    <nc r="F46" t="inlineStr">
      <is>
        <t>rb\as\saic51\core\app\dcom\RBAPLCust\src\common\</t>
      </is>
    </nc>
  </rcc>
  <rcc rId="3365" sId="4" quotePrefix="1">
    <oc r="F47" t="inlineStr">
      <is>
        <t>rb/as/saic/core/app/dcom/RBAPLCust/src/common/</t>
      </is>
    </oc>
    <nc r="F47" t="inlineStr">
      <is>
        <t>rb\as\saic\core\app\dcom\RBAPLCust\src\common\</t>
      </is>
    </nc>
  </rcc>
  <rcc rId="3366" sId="4" quotePrefix="1">
    <oc r="F48" t="inlineStr">
      <is>
        <t>/RBAPLCust/src/IPB/</t>
      </is>
    </oc>
    <nc r="F48" t="inlineStr">
      <is>
        <t>\RBAPLCust\src\IPB\</t>
      </is>
    </nc>
  </rcc>
  <rcc rId="3367" sId="4" quotePrefix="1">
    <oc r="F49" t="inlineStr">
      <is>
        <t>/RBAPLCust/src/IPB/</t>
      </is>
    </oc>
    <nc r="F49" t="inlineStr">
      <is>
        <t>\RBAPLCust\src\IPB\</t>
      </is>
    </nc>
  </rcc>
  <rcc rId="3368" sId="4" quotePrefix="1">
    <oc r="F50" t="inlineStr">
      <is>
        <t>rb/as/venucia/project/app/dsm/RBVAR/src/</t>
      </is>
    </oc>
    <nc r="F50" t="inlineStr">
      <is>
        <t>rb\as\venucia\project\app\dsm\RBVAR\src\</t>
      </is>
    </nc>
  </rcc>
  <rcc rId="3369" sId="4" quotePrefix="1">
    <oc r="F51" t="inlineStr">
      <is>
        <t>C:/02_CANTATA/COEM_April/_DataBase/SGMW_ABS93_MS_Stable/RB_SGMW_ABS93/rb/as/sgmw/abs93/app/tpms_sri/src</t>
      </is>
    </oc>
    <nc r="F51" t="inlineStr">
      <is>
        <t>C:\02_CANTATA\COEM_April\_DataBase\SGMW_ABS93_MS_Stable\RB_SGMW_ABS93\rb\as\sgmw\abs93\app\tpms_sri\src</t>
      </is>
    </nc>
  </rcc>
  <rcc rId="3370" sId="4" quotePrefix="1">
    <oc r="F55" t="inlineStr">
      <is>
        <t>rba/as/Bldr/HWRef/comps/ApplicationLayer/rba_BldrCmp/src</t>
      </is>
    </oc>
    <nc r="F55" t="inlineStr">
      <is>
        <t>rba\as\Bldr\HWRef\comps\ApplicationLayer\rba_BldrCmp\src</t>
      </is>
    </nc>
  </rcc>
  <rcc rId="3371" sId="4" quotePrefix="1">
    <oc r="F56" t="inlineStr">
      <is>
        <t>C:/02_CANTATA/COEM_April/_DataBase/SGMW_ABS93_MS_Stable/RB_SGMW_ABS93/rba/BldrCmp/src</t>
      </is>
    </oc>
    <nc r="F56" t="inlineStr">
      <is>
        <t>C:\02_CANTATA\COEM_April\_DataBase\SGMW_ABS93_MS_Stable\RB_SGMW_ABS93\rba\BldrCmp\src</t>
      </is>
    </nc>
  </rcc>
  <rcc rId="3372" sId="4" quotePrefix="1">
    <oc r="F57" t="inlineStr">
      <is>
        <t>MainstreamF30/rb/as/sgmw/core/app/dcom/RBAPLCust/src/common/</t>
      </is>
    </oc>
    <nc r="F57" t="inlineStr">
      <is>
        <t>MainstreamF30\rb\as\sgmw\core\app\dcom\RBAPLCust\src\common\</t>
      </is>
    </nc>
  </rcc>
  <rcc rId="3373" sId="4" quotePrefix="1">
    <oc r="F58" t="inlineStr">
      <is>
        <t>C:/02_CANTATA/COEM_April/_DataBase/SGMW_ABS93_MS_Stable/RB_SGMW_ABS93/rba/as/Bldr/HWRef/comps/ApplicationLayer/rba_BldrCmp/src</t>
      </is>
    </oc>
    <nc r="F58" t="inlineStr">
      <is>
        <t>C:\02_CANTATA\COEM_April\_DataBase\SGMW_ABS93_MS_Stable\RB_SGMW_ABS93\rba\as\Bldr\HWRef\comps\ApplicationLayer\rba_BldrCmp\src</t>
      </is>
    </nc>
  </rcc>
  <rcc rId="3374" sId="4" quotePrefix="1">
    <oc r="F59" t="inlineStr">
      <is>
        <t>rba/BldrCmp/src</t>
      </is>
    </oc>
    <nc r="F59" t="inlineStr">
      <is>
        <t>rba\BldrCmp\src</t>
      </is>
    </nc>
  </rcc>
  <rcc rId="3375" sId="4" quotePrefix="1">
    <oc r="F60" t="inlineStr">
      <is>
        <t>rb/as/nio/core/app/net/RBScl/src/</t>
      </is>
    </oc>
    <nc r="F60" t="inlineStr">
      <is>
        <t>rb\as\nio\core\app\net\RBScl\src\</t>
      </is>
    </nc>
  </rcc>
  <rcc rId="3376" sId="4" quotePrefix="1">
    <oc r="F61" t="inlineStr">
      <is>
        <t>rb/as/sgmw/CN210S/app/net/RBScl/RBScl_SGMW/src/</t>
      </is>
    </oc>
    <nc r="F61" t="inlineStr">
      <is>
        <t>rb\as\sgmw\CN210S\app\net\RBScl\RBScl_SGMW\src\</t>
      </is>
    </nc>
  </rcc>
  <rcc rId="3377" sId="4" quotePrefix="1">
    <oc r="F62" t="inlineStr">
      <is>
        <t>rb/as/ca/CpiwAPB/dsmpr/src/RBHMI/src/</t>
      </is>
    </oc>
    <nc r="F62" t="inlineStr">
      <is>
        <t>rb\as\ca\CpiwAPB\dsmpr\src\RBHMI\src\</t>
      </is>
    </nc>
  </rcc>
  <rcc rId="3378" sId="4" quotePrefix="1">
    <oc r="F63" t="inlineStr">
      <is>
        <t>rb/as/cnms_core/app/net/scl_callout/src/</t>
      </is>
    </oc>
    <nc r="F63" t="inlineStr">
      <is>
        <t>rb\as\cnms_core\app\net\scl_callout\src\</t>
      </is>
    </nc>
  </rcc>
  <rcc rId="3379" sId="4" quotePrefix="1">
    <oc r="F64" t="inlineStr">
      <is>
        <t>rb/as/core/app/asw/psc/src/</t>
      </is>
    </oc>
    <nc r="F64" t="inlineStr">
      <is>
        <t>rb\as\core\app\asw\psc\src\</t>
      </is>
    </nc>
  </rcc>
  <rcc rId="3380" sId="4" quotePrefix="1">
    <oc r="F65" t="inlineStr">
      <is>
        <t>rb/as/core/app/asw/mli/src/</t>
      </is>
    </oc>
    <nc r="F65" t="inlineStr">
      <is>
        <t>rb\as\core\app\asw\mli\src\</t>
      </is>
    </nc>
  </rcc>
  <rcc rId="3381" sId="4" quotePrefix="1">
    <oc r="F66" t="inlineStr">
      <is>
        <t>rb/as/saic51/core/app/dcom/RBAPLCust/src/common/</t>
      </is>
    </oc>
    <nc r="F66" t="inlineStr">
      <is>
        <t>rb\as\saic51\core\app\dcom\RBAPLCust\src\common\</t>
      </is>
    </nc>
  </rcc>
  <rcc rId="3382" sId="4" quotePrefix="1">
    <oc r="F67" t="inlineStr">
      <is>
        <t>iBoosterGen2/rba/Bldr/config/ApplicationLayer/rba_BldrCmp/src/</t>
      </is>
    </oc>
    <nc r="F67" t="inlineStr">
      <is>
        <t>iBoosterGen2\rba\Bldr\config\ApplicationLayer\rba_BldrCmp\src\</t>
      </is>
    </nc>
  </rcc>
  <rcc rId="3383" sId="4" quotePrefix="1">
    <oc r="F68" t="inlineStr">
      <is>
        <t>iBoosterGen2/rba/Bldr/config/ApplicationLayer/rba_BldrCmp/src/</t>
      </is>
    </oc>
    <nc r="F68" t="inlineStr">
      <is>
        <t>iBoosterGen2\rba\Bldr\config\ApplicationLayer\rba_BldrCmp\src\</t>
      </is>
    </nc>
  </rcc>
  <rcc rId="3384" sId="4" quotePrefix="1">
    <oc r="F69" t="inlineStr">
      <is>
        <t>rb/as/faw/prj/dsmpr/src/</t>
      </is>
    </oc>
    <nc r="F69" t="inlineStr">
      <is>
        <t>rb\as\faw\prj\dsmpr\src\</t>
      </is>
    </nc>
  </rcc>
  <rcc rId="3385" sId="4" quotePrefix="1">
    <oc r="F70" t="inlineStr">
      <is>
        <t>rb/as/faw/prj/dsmpr/src/RBEMM/src/</t>
      </is>
    </oc>
    <nc r="F70" t="inlineStr">
      <is>
        <t>rb\as\faw\prj\dsmpr\src\RBEMM\src\</t>
      </is>
    </nc>
  </rcc>
  <rcc rId="3386" sId="4" quotePrefix="1">
    <oc r="F71" t="inlineStr">
      <is>
        <t>rb/as/fawesphevx/fawprj/dsmpr/src/RBEMM/</t>
      </is>
    </oc>
    <nc r="F71" t="inlineStr">
      <is>
        <t>rb\as\fawesphevx\fawprj\dsmpr\src\RBEMM\</t>
      </is>
    </nc>
  </rcc>
  <rcc rId="3387" sId="4" quotePrefix="1">
    <oc r="F72" t="inlineStr">
      <is>
        <t>rb/as/fawesphevx/fawprj/dsmpr/src/</t>
      </is>
    </oc>
    <nc r="F72" t="inlineStr">
      <is>
        <t>rb\as\fawesphevx\fawprj\dsmpr\src\</t>
      </is>
    </nc>
  </rcc>
  <rcc rId="3388" sId="4" quotePrefix="1">
    <oc r="F73" t="inlineStr">
      <is>
        <t>rb/as/cnms_core/app/dcom/RBAPLCust/src/common/</t>
      </is>
    </oc>
    <nc r="F73" t="inlineStr">
      <is>
        <t>rb\as\cnms_core\app\dcom\RBAPLCust\src\common\</t>
      </is>
    </nc>
  </rcc>
  <rcc rId="3389" sId="4" quotePrefix="1">
    <oc r="F74" t="inlineStr">
      <is>
        <t>rb/as/venucia/core/app/dcom/RBAPLCust/src/SID22/CANSupportMonitor/</t>
      </is>
    </oc>
    <nc r="F74" t="inlineStr">
      <is>
        <t>rb\as\venucia\core\app\dcom\RBAPLCust\src\SID22\CANSupportMonitor\</t>
      </is>
    </nc>
  </rcc>
  <rcc rId="3390" sId="4" quotePrefix="1">
    <oc r="F75" t="inlineStr">
      <is>
        <t>rb/as/venucia/core/app/dcom/RBAPLCust/src/SID22/DataMonitor/</t>
      </is>
    </oc>
    <nc r="F75" t="inlineStr">
      <is>
        <t>rb\as\venucia\core\app\dcom\RBAPLCust\src\SID22\DataMonitor\</t>
      </is>
    </nc>
  </rcc>
  <rcc rId="3391" sId="4" quotePrefix="1">
    <oc r="F81" t="inlineStr">
      <is>
        <t>/Psw/DNC/DNC09_BB99524/NET09_BB99524/NET09_GEN_BB92121/SRC</t>
      </is>
    </oc>
    <nc r="F81" t="inlineStr">
      <is>
        <t>\Psw\DNC\DNC09_BB99524\NET09_BB99524\NET09_GEN_BB92121\SRC</t>
      </is>
    </nc>
  </rcc>
  <rcc rId="3392" sId="4" quotePrefix="1">
    <oc r="F88" t="inlineStr">
      <is>
        <t>/Psw/DNC/DNC09_BB99524/NET09_BB99524/NET09_NIS9_ABS/SRC</t>
      </is>
    </oc>
    <nc r="F88" t="inlineStr">
      <is>
        <t>\Psw\DNC\DNC09_BB99524\NET09_BB99524\NET09_NIS9_ABS\SRC</t>
      </is>
    </nc>
  </rcc>
  <rcc rId="3393" sId="4" quotePrefix="1">
    <oc r="F94" t="inlineStr">
      <is>
        <t>rb/as/cnms_core/app/net/scl/Controllers/RBC/src/</t>
      </is>
    </oc>
    <nc r="F94" t="inlineStr">
      <is>
        <t>rb\as\cnms_core\app\net\scl\Controllers\RBC\src\</t>
      </is>
    </nc>
  </rcc>
  <rcc rId="3394" sId="4" quotePrefix="1">
    <oc r="F95" t="inlineStr">
      <is>
        <t>rb/as/faw/fawcore/app/dcom/RBAPLCust/src/</t>
      </is>
    </oc>
    <nc r="F95" t="inlineStr">
      <is>
        <t>rb\as\faw\fawcore\app\dcom\RBAPLCust\src\</t>
      </is>
    </nc>
  </rcc>
  <rcc rId="3395" sId="4" quotePrefix="1">
    <oc r="F96" t="inlineStr">
      <is>
        <t>rb/as/faw/fawcore/app/dcom/RBAPLCust/src/</t>
      </is>
    </oc>
    <nc r="F96" t="inlineStr">
      <is>
        <t>rb\as\faw\fawcore\app\dcom\RBAPLCust\src\</t>
      </is>
    </nc>
  </rcc>
  <rcc rId="3396" sId="4" quotePrefix="1">
    <oc r="F97" t="inlineStr">
      <is>
        <t>rb/as/sgmw/core/app/dcom/RBAPLCust/src/ESP</t>
      </is>
    </oc>
    <nc r="F97" t="inlineStr">
      <is>
        <t>rb\as\sgmw\core\app\dcom\RBAPLCust\src\ESP</t>
      </is>
    </nc>
  </rcc>
  <rcc rId="3397" sId="4" quotePrefix="1">
    <oc r="F98" t="inlineStr">
      <is>
        <t>rb/as/sgmw/CN210S/app/tpms/src/</t>
      </is>
    </oc>
    <nc r="F98" t="inlineStr">
      <is>
        <t>rb\as\sgmw\CN210S\app\tpms\src\</t>
      </is>
    </nc>
  </rcc>
  <rcc rId="3398" sId="4" quotePrefix="1">
    <oc r="F99" t="inlineStr">
      <is>
        <t>rb/as/sgmw/CN210S/app/tpms/src/</t>
      </is>
    </oc>
    <nc r="F99" t="inlineStr">
      <is>
        <t>rb\as\sgmw\CN210S\app\tpms\src\</t>
      </is>
    </nc>
  </rcc>
  <rcc rId="3399" sId="4" quotePrefix="1">
    <oc r="F100" t="inlineStr">
      <is>
        <t>rb/as/ca/core/app/dcom/RBAPLCust/src/ESP/</t>
      </is>
    </oc>
    <nc r="F100" t="inlineStr">
      <is>
        <t>rb\as\ca\core\app\dcom\RBAPLCust\src\ESP\</t>
      </is>
    </nc>
  </rcc>
  <rcc rId="3400" sId="4" quotePrefix="1">
    <oc r="F101" t="inlineStr">
      <is>
        <t>rb/as/sgmw/CN210S/app/tpms/src/</t>
      </is>
    </oc>
    <nc r="F101" t="inlineStr">
      <is>
        <t>rb\as\sgmw\CN210S\app\tpms\src\</t>
      </is>
    </nc>
  </rcc>
  <rcc rId="3401" sId="4" quotePrefix="1">
    <oc r="F102" t="inlineStr">
      <is>
        <t>rb/as/gwm/core/app/dsm/RBVAR/BB80432/src/</t>
      </is>
    </oc>
    <nc r="F102" t="inlineStr">
      <is>
        <t>rb\as\gwm\core\app\dsm\RBVAR\BB80432\src\</t>
      </is>
    </nc>
  </rcc>
  <rcc rId="3402" sId="4" quotePrefix="1">
    <oc r="F103" t="inlineStr">
      <is>
        <t xml:space="preserve">rb/as/gwm/core/app/dsm/RBVAR/BB80432/src/ </t>
      </is>
    </oc>
    <nc r="F103" t="inlineStr">
      <is>
        <t xml:space="preserve">rb\as\gwm\core\app\dsm\RBVAR\BB80432\src\ </t>
      </is>
    </nc>
  </rcc>
  <rcc rId="3403" sId="4" quotePrefix="1">
    <oc r="F104" t="inlineStr">
      <is>
        <t>rb/as/gwm/core/app/dsm/RBVAR/BB81558/src/</t>
      </is>
    </oc>
    <nc r="F104" t="inlineStr">
      <is>
        <t>rb\as\gwm\core\app\dsm\RBVAR\BB81558\src\</t>
      </is>
    </nc>
  </rcc>
  <rcc rId="3404" sId="4" quotePrefix="1">
    <oc r="F105" t="inlineStr">
      <is>
        <t>rb/as/gwm/core/app/dsm/RBVAR/BB81558/src/</t>
      </is>
    </oc>
    <nc r="F105" t="inlineStr">
      <is>
        <t>rb\as\gwm\core\app\dsm\RBVAR\BB81558\src\</t>
      </is>
    </nc>
  </rcc>
  <rcc rId="3405" sId="4" quotePrefix="1">
    <oc r="F106" t="inlineStr">
      <is>
        <t xml:space="preserve">rb/as/gwm/core/app/dsm/RBHMI/src/        </t>
      </is>
    </oc>
    <nc r="F106" t="inlineStr">
      <is>
        <t xml:space="preserve">rb\as\gwm\core\app\dsm\RBHMI\src\        </t>
      </is>
    </nc>
  </rcc>
  <rcc rId="3406" sId="4" quotePrefix="1">
    <oc r="F107" t="inlineStr">
      <is>
        <t xml:space="preserve">rb/as/gwm/core/app/dsm/RBHMI/src/     </t>
      </is>
    </oc>
    <nc r="F107" t="inlineStr">
      <is>
        <t xml:space="preserve">rb\as\gwm\core\app\dsm\RBHMI\src\     </t>
      </is>
    </nc>
  </rcc>
  <rcc rId="3407" sId="4" quotePrefix="1">
    <oc r="F108" t="inlineStr">
      <is>
        <t>rb/as/gwm/hp/dsmpr/src</t>
      </is>
    </oc>
    <nc r="F108" t="inlineStr">
      <is>
        <t>rb\as\gwm\hp\dsmpr\src</t>
      </is>
    </nc>
  </rcc>
  <rcc rId="3408" sId="4" quotePrefix="1">
    <oc r="F109" t="inlineStr">
      <is>
        <t>rb/as/gwm/core/app/net/RbNetPrj/RBNet_Can/src</t>
      </is>
    </oc>
    <nc r="F109" t="inlineStr">
      <is>
        <t>rb\as\gwm\core\app\net\RbNetPrj\RBNet_Can\src</t>
      </is>
    </nc>
  </rcc>
  <rcc rId="3409" sId="4" quotePrefix="1">
    <oc r="F110" t="inlineStr">
      <is>
        <t>rb/as/gwm/core/app/net/RBScl/src</t>
      </is>
    </oc>
    <nc r="F110" t="inlineStr">
      <is>
        <t>rb\as\gwm\core\app\net\RBScl\src</t>
      </is>
    </nc>
  </rcc>
  <rcc rId="3410" sId="4" quotePrefix="1">
    <oc r="F111" t="inlineStr">
      <is>
        <t>rb/as/gwm/core/app/net</t>
      </is>
    </oc>
    <nc r="F111" t="inlineStr">
      <is>
        <t>rb\as\gwm\core\app\net</t>
      </is>
    </nc>
  </rcc>
  <rcc rId="3411" sId="4" quotePrefix="1">
    <oc r="F112" t="inlineStr">
      <is>
        <t>rb/as/gwm/core/app/net/SclCallout/src</t>
      </is>
    </oc>
    <nc r="F112" t="inlineStr">
      <is>
        <t>rb\as\gwm\core\app\net\SclCallout\src</t>
      </is>
    </nc>
  </rcc>
  <rcc rId="3412" sId="4" quotePrefix="1">
    <oc r="F113" t="inlineStr">
      <is>
        <t>rb/as/gwm/core/app/net/SpecialStrategy/src</t>
      </is>
    </oc>
    <nc r="F113" t="inlineStr">
      <is>
        <t>rb\as\gwm\core\app\net\SpecialStrategy\src</t>
      </is>
    </nc>
  </rcc>
  <rcc rId="3413" sId="4" quotePrefix="1">
    <oc r="F114" t="inlineStr">
      <is>
        <t>rb/as/gwm/core/app/net/SpecialStrategy/src</t>
      </is>
    </oc>
    <nc r="F114" t="inlineStr">
      <is>
        <t>rb\as\gwm\core\app\net\SpecialStrategy\src</t>
      </is>
    </nc>
  </rcc>
  <rcc rId="3414" sId="4" quotePrefix="1">
    <oc r="F115" t="inlineStr">
      <is>
        <t>rb/as/gwm/core/app/net/SpecialStrategy/src</t>
      </is>
    </oc>
    <nc r="F115" t="inlineStr">
      <is>
        <t>rb\as\gwm\core\app\net\SpecialStrategy\src</t>
      </is>
    </nc>
  </rcc>
  <rcc rId="3415" sId="4" quotePrefix="1">
    <oc r="F116" t="inlineStr">
      <is>
        <t>rb/as/gwm/core/app/net/SclCallout/src</t>
      </is>
    </oc>
    <nc r="F116" t="inlineStr">
      <is>
        <t>rb\as\gwm\core\app\net\SclCallout\src</t>
      </is>
    </nc>
  </rcc>
  <rcc rId="3416" sId="4" quotePrefix="1">
    <oc r="F117" t="inlineStr">
      <is>
        <t>rb/as/gwm/core/app/net/SpecialStrategy/src</t>
      </is>
    </oc>
    <nc r="F117" t="inlineStr">
      <is>
        <t>rb\as\gwm\core\app\net\SpecialStrategy\src</t>
      </is>
    </nc>
  </rcc>
  <rcc rId="3417" sId="4" quotePrefix="1">
    <oc r="F118" t="inlineStr">
      <is>
        <t>rb/as/gwm/core/app/net/SclCallout/src</t>
      </is>
    </oc>
    <nc r="F118" t="inlineStr">
      <is>
        <t>rb\as\gwm\core\app\net\SclCallout\src</t>
      </is>
    </nc>
  </rcc>
  <rcc rId="3418" sId="4" quotePrefix="1">
    <oc r="F119" t="inlineStr">
      <is>
        <t>rb/as/gwm/core/app/net/SpecialStrategy/src</t>
      </is>
    </oc>
    <nc r="F119" t="inlineStr">
      <is>
        <t>rb\as\gwm\core\app\net\SpecialStrategy\src</t>
      </is>
    </nc>
  </rcc>
  <rcc rId="3419" sId="4" quotePrefix="1">
    <oc r="F120" t="inlineStr">
      <is>
        <t>rb/as/gwm/core/app/net/SclCallout/src</t>
      </is>
    </oc>
    <nc r="F120" t="inlineStr">
      <is>
        <t>rb\as\gwm\core\app\net\SclCallout\src</t>
      </is>
    </nc>
  </rcc>
  <rcc rId="3420" sId="4" quotePrefix="1">
    <oc r="F121" t="inlineStr">
      <is>
        <t>rb/as/gwm/core/app/net</t>
      </is>
    </oc>
    <nc r="F121" t="inlineStr">
      <is>
        <t>rb\as\gwm\core\app\net</t>
      </is>
    </nc>
  </rcc>
  <rcc rId="3421" sId="4" quotePrefix="1">
    <oc r="F122" t="inlineStr">
      <is>
        <t>/rb/as/gwm/core/app/net/SclCallout/src</t>
      </is>
    </oc>
    <nc r="F122" t="inlineStr">
      <is>
        <t>\rb\as\gwm\core\app\net\SclCallout\src</t>
      </is>
    </nc>
  </rcc>
  <rcc rId="3422" sId="4" quotePrefix="1">
    <oc r="F123" t="inlineStr">
      <is>
        <t>rb/as/gwm/core/app/net/RbNetPrj/RBNet_Can/src</t>
      </is>
    </oc>
    <nc r="F123" t="inlineStr">
      <is>
        <t>rb\as\gwm\core\app\net\RbNetPrj\RBNet_Can\src</t>
      </is>
    </nc>
  </rcc>
  <rcc rId="3423" sId="4" quotePrefix="1">
    <oc r="F126" t="inlineStr">
      <is>
        <t>rb/as/core/hwp/cubas/Diagnosis/src/DemVar/src</t>
      </is>
    </oc>
    <nc r="F126" t="inlineStr">
      <is>
        <t>rb\as\core\hwp\cubas\Diagnosis\src\DemVar\src</t>
      </is>
    </nc>
  </rcc>
  <rcc rId="3424" sId="4" quotePrefix="1">
    <oc r="F127" t="inlineStr">
      <is>
        <t>rb/as/gaig/A10/app/dsm/RBVAR/src</t>
      </is>
    </oc>
    <nc r="F127" t="inlineStr">
      <is>
        <t>rb\as\gaig\A10\app\dsm\RBVAR\src</t>
      </is>
    </nc>
  </rcc>
  <rcc rId="3425" sId="4" quotePrefix="1">
    <oc r="F128" t="inlineStr">
      <is>
        <t>rb/as/gaig/A10/app/dsm/RBVoltageHandler/src</t>
      </is>
    </oc>
    <nc r="F128" t="inlineStr">
      <is>
        <t>rb\as\gaig\A10\app\dsm\RBVoltageHandler\src</t>
      </is>
    </nc>
  </rcc>
  <rcc rId="3426" sId="4" quotePrefix="1">
    <oc r="F129" t="inlineStr">
      <is>
        <t>rb/as/twp/core/app/dcom/rbaplcust</t>
      </is>
    </oc>
    <nc r="F129" t="inlineStr">
      <is>
        <t>rb\as\twp\core\app\dcom\rbaplcust</t>
      </is>
    </nc>
  </rcc>
  <rcc rId="3427" sId="4" quotePrefix="1">
    <oc r="F130" t="inlineStr">
      <is>
        <t>rb/as/twp/core/app/dcom/rbaplcust</t>
      </is>
    </oc>
    <nc r="F130" t="inlineStr">
      <is>
        <t>rb\as\twp\core\app\dcom\rbaplcust</t>
      </is>
    </nc>
  </rcc>
  <rcc rId="3428" sId="4" quotePrefix="1">
    <oc r="F131" t="inlineStr">
      <is>
        <t>rb/as/twp/core/app/dcom/rbaplcust</t>
      </is>
    </oc>
    <nc r="F131" t="inlineStr">
      <is>
        <t>rb\as\twp\core\app\dcom\rbaplcust</t>
      </is>
    </nc>
  </rcc>
  <rcc rId="3429" sId="4" quotePrefix="1">
    <oc r="F132" t="inlineStr">
      <is>
        <t>rb/as/twp/core/app/dcom/rbaplcust</t>
      </is>
    </oc>
    <nc r="F132" t="inlineStr">
      <is>
        <t>rb\as\twp\core\app\dcom\rbaplcust</t>
      </is>
    </nc>
  </rcc>
  <rcc rId="3430" sId="4" quotePrefix="1">
    <oc r="F133" t="inlineStr">
      <is>
        <t>rb/as/twp/core/app/dcom/rbaplcust</t>
      </is>
    </oc>
    <nc r="F133" t="inlineStr">
      <is>
        <t>rb\as\twp\core\app\dcom\rbaplcust</t>
      </is>
    </nc>
  </rcc>
  <rcc rId="3431" sId="4" quotePrefix="1">
    <oc r="F134" t="inlineStr">
      <is>
        <t>rb/as/twp/core/app/dcom/rbaplcust</t>
      </is>
    </oc>
    <nc r="F134" t="inlineStr">
      <is>
        <t>rb\as\twp\core\app\dcom\rbaplcust</t>
      </is>
    </nc>
  </rcc>
  <rcc rId="3432" sId="4" quotePrefix="1">
    <oc r="F135" t="inlineStr">
      <is>
        <t>rb/as/twp/core/app/dcom/rbaplcust</t>
      </is>
    </oc>
    <nc r="F135" t="inlineStr">
      <is>
        <t>rb\as\twp\core\app\dcom\rbaplcust</t>
      </is>
    </nc>
  </rcc>
  <rcc rId="3433" sId="4" quotePrefix="1">
    <oc r="F136" t="inlineStr">
      <is>
        <t>rb/as/twp/core/app/dcom/rbaplcust</t>
      </is>
    </oc>
    <nc r="F136" t="inlineStr">
      <is>
        <t>rb\as\twp\core\app\dcom\rbaplcust</t>
      </is>
    </nc>
  </rcc>
  <rcc rId="3434" sId="4" quotePrefix="1">
    <oc r="F137" t="inlineStr">
      <is>
        <t>rb/as/twp/core/app/dcom/rbaplcust</t>
      </is>
    </oc>
    <nc r="F137" t="inlineStr">
      <is>
        <t>rb\as\twp\core\app\dcom\rbaplcust</t>
      </is>
    </nc>
  </rcc>
  <rcc rId="3435" sId="4" quotePrefix="1">
    <oc r="F138" t="inlineStr">
      <is>
        <t>rb/as/twp/core/app/dcom/rbaplcust</t>
      </is>
    </oc>
    <nc r="F138" t="inlineStr">
      <is>
        <t>rb\as\twp\core\app\dcom\rbaplcust</t>
      </is>
    </nc>
  </rcc>
  <rcc rId="3436" sId="4" quotePrefix="1">
    <oc r="F139" t="inlineStr">
      <is>
        <t>rb/as/twp/core/app/dcom/rbaplcust</t>
      </is>
    </oc>
    <nc r="F139" t="inlineStr">
      <is>
        <t>rb\as\twp\core\app\dcom\rbaplcust</t>
      </is>
    </nc>
  </rcc>
  <rcc rId="3437" sId="4" quotePrefix="1">
    <oc r="F140" t="inlineStr">
      <is>
        <t>rb/as/twp/core/app/dcom/rbaplcust</t>
      </is>
    </oc>
    <nc r="F140" t="inlineStr">
      <is>
        <t>rb\as\twp\core\app\dcom\rbaplcust</t>
      </is>
    </nc>
  </rcc>
  <rcc rId="3438" sId="4" quotePrefix="1">
    <oc r="F141" t="inlineStr">
      <is>
        <t>rb/as/twp/core/app/dcom/rbaplcust</t>
      </is>
    </oc>
    <nc r="F141" t="inlineStr">
      <is>
        <t>rb\as\twp\core\app\dcom\rbaplcust</t>
      </is>
    </nc>
  </rcc>
  <rcc rId="3439" sId="4" quotePrefix="1">
    <oc r="F142" t="inlineStr">
      <is>
        <t>rb/as/twp/core/app/dcom/rbaplcust</t>
      </is>
    </oc>
    <nc r="F142" t="inlineStr">
      <is>
        <t>rb\as\twp\core\app\dcom\rbaplcust</t>
      </is>
    </nc>
  </rcc>
  <rcc rId="3440" sId="4" quotePrefix="1">
    <oc r="F143" t="inlineStr">
      <is>
        <t>rb/as/twp/core/app/dcom/rbaplcust</t>
      </is>
    </oc>
    <nc r="F143" t="inlineStr">
      <is>
        <t>rb\as\twp\core\app\dcom\rbaplcust</t>
      </is>
    </nc>
  </rcc>
  <rcc rId="3441" sId="4" quotePrefix="1">
    <oc r="F144" t="inlineStr">
      <is>
        <t>rb/as/twp/core/app/dcom/rbaplcust</t>
      </is>
    </oc>
    <nc r="F144" t="inlineStr">
      <is>
        <t>rb\as\twp\core\app\dcom\rbaplcust</t>
      </is>
    </nc>
  </rcc>
  <rcc rId="3442" sId="4" quotePrefix="1">
    <oc r="F145" t="inlineStr">
      <is>
        <t>rb/as/twp/core/app/dcom/rbaplcust</t>
      </is>
    </oc>
    <nc r="F145" t="inlineStr">
      <is>
        <t>rb\as\twp\core\app\dcom\rbaplcust</t>
      </is>
    </nc>
  </rcc>
  <rcc rId="3443" sId="4" quotePrefix="1">
    <oc r="F146" t="inlineStr">
      <is>
        <t>rb/as/twp/core/app/dcom/rbaplcust</t>
      </is>
    </oc>
    <nc r="F146" t="inlineStr">
      <is>
        <t>rb\as\twp\core\app\dcom\rbaplcust</t>
      </is>
    </nc>
  </rcc>
  <rcc rId="3444" sId="4" quotePrefix="1">
    <oc r="F147" t="inlineStr">
      <is>
        <t>rb/as/twp/core/app/dcom/rbaplcust</t>
      </is>
    </oc>
    <nc r="F147" t="inlineStr">
      <is>
        <t>rb\as\twp\core\app\dcom\rbaplcust</t>
      </is>
    </nc>
  </rcc>
  <rcc rId="3445" sId="4" quotePrefix="1">
    <oc r="F148" t="inlineStr">
      <is>
        <t>rb/as/twp/core/app/dcom/rbaplcust</t>
      </is>
    </oc>
    <nc r="F148" t="inlineStr">
      <is>
        <t>rb\as\twp\core\app\dcom\rbaplcust</t>
      </is>
    </nc>
  </rcc>
  <rcc rId="3446" sId="4" quotePrefix="1">
    <oc r="F149" t="inlineStr">
      <is>
        <t>rb/as/twp/core/app/dcom/rbaplcust</t>
      </is>
    </oc>
    <nc r="F149" t="inlineStr">
      <is>
        <t>rb\as\twp\core\app\dcom\rbaplcust</t>
      </is>
    </nc>
  </rcc>
  <rcc rId="3447" sId="4" quotePrefix="1">
    <oc r="F150" t="inlineStr">
      <is>
        <t>rb/as/twp/core/app/dcom/rbaplcust</t>
      </is>
    </oc>
    <nc r="F150" t="inlineStr">
      <is>
        <t>rb\as\twp\core\app\dcom\rbaplcust</t>
      </is>
    </nc>
  </rcc>
  <rcc rId="3448" sId="4" quotePrefix="1">
    <oc r="F151" t="inlineStr">
      <is>
        <t>rb/as/twp/core/app/dcom/rbaplcust</t>
      </is>
    </oc>
    <nc r="F151" t="inlineStr">
      <is>
        <t>rb\as\twp\core\app\dcom\rbaplcust</t>
      </is>
    </nc>
  </rcc>
  <rcc rId="3449" sId="4" quotePrefix="1">
    <oc r="F152" t="inlineStr">
      <is>
        <t>rb/as/twp/core/app/dcom/rbaplcust</t>
      </is>
    </oc>
    <nc r="F152" t="inlineStr">
      <is>
        <t>rb\as\twp\core\app\dcom\rbaplcust</t>
      </is>
    </nc>
  </rcc>
  <rcc rId="3450" sId="4" quotePrefix="1">
    <oc r="F153" t="inlineStr">
      <is>
        <t>rb/as/twp/core/app/dcom/rbaplcust</t>
      </is>
    </oc>
    <nc r="F153" t="inlineStr">
      <is>
        <t>rb\as\twp\core\app\dcom\rbaplcust</t>
      </is>
    </nc>
  </rcc>
  <rcc rId="3451" sId="4" quotePrefix="1">
    <oc r="F154" t="inlineStr">
      <is>
        <t>rb/as/twp/core/app/dcom/rbaplcust</t>
      </is>
    </oc>
    <nc r="F154" t="inlineStr">
      <is>
        <t>rb\as\twp\core\app\dcom\rbaplcust</t>
      </is>
    </nc>
  </rcc>
  <rcc rId="3452" sId="4" quotePrefix="1">
    <oc r="F155" t="inlineStr">
      <is>
        <t>rb/as/twp/core/app/dcom/rbaplcust</t>
      </is>
    </oc>
    <nc r="F155" t="inlineStr">
      <is>
        <t>rb\as\twp\core\app\dcom\rbaplcust</t>
      </is>
    </nc>
  </rcc>
  <rcc rId="3453" sId="4" quotePrefix="1">
    <oc r="F157" t="inlineStr">
      <is>
        <t>rb/as/twp/core/app/dcom/rbaplcust</t>
      </is>
    </oc>
    <nc r="F157" t="inlineStr">
      <is>
        <t>rb\as\twp\core\app\dcom\rbaplcust</t>
      </is>
    </nc>
  </rcc>
  <rcc rId="3454" sId="4" quotePrefix="1">
    <oc r="F158" t="inlineStr">
      <is>
        <t>rb/as/twp/core/app/dcom/rbaplcust</t>
      </is>
    </oc>
    <nc r="F158" t="inlineStr">
      <is>
        <t>rb\as\twp\core\app\dcom\rbaplcust</t>
      </is>
    </nc>
  </rcc>
  <rcc rId="3455" sId="4" quotePrefix="1">
    <oc r="F159" t="inlineStr">
      <is>
        <t>rb/as/twp/core/app/dcom/rbaplcust</t>
      </is>
    </oc>
    <nc r="F159" t="inlineStr">
      <is>
        <t>rb\as\twp\core\app\dcom\rbaplcust</t>
      </is>
    </nc>
  </rcc>
  <rcc rId="3456" sId="4" quotePrefix="1">
    <oc r="F160" t="inlineStr">
      <is>
        <t>rb/as/twp/core/app/dcom/rbaplcust</t>
      </is>
    </oc>
    <nc r="F160" t="inlineStr">
      <is>
        <t>rb\as\twp\core\app\dcom\rbaplcust</t>
      </is>
    </nc>
  </rcc>
  <rcc rId="3457" sId="4" quotePrefix="1">
    <oc r="F161" t="inlineStr">
      <is>
        <t>rb/as/twp/core/app/dcom/rbaplcust</t>
      </is>
    </oc>
    <nc r="F161" t="inlineStr">
      <is>
        <t>rb\as\twp\core\app\dcom\rbaplcust</t>
      </is>
    </nc>
  </rcc>
  <rcc rId="3458" sId="4" quotePrefix="1">
    <oc r="F162" t="inlineStr">
      <is>
        <t>rb/as/twp/core/app/dcom/rbaplcust</t>
      </is>
    </oc>
    <nc r="F162" t="inlineStr">
      <is>
        <t>rb\as\twp\core\app\dcom\rbaplcust</t>
      </is>
    </nc>
  </rcc>
  <rcc rId="3459" sId="4" quotePrefix="1">
    <oc r="F163" t="inlineStr">
      <is>
        <t>rb/as/twp/core/app/dcom/rbaplcust</t>
      </is>
    </oc>
    <nc r="F163" t="inlineStr">
      <is>
        <t>rb\as\twp\core\app\dcom\rbaplcust</t>
      </is>
    </nc>
  </rcc>
  <rcc rId="3460" sId="4" quotePrefix="1">
    <oc r="F164" t="inlineStr">
      <is>
        <t>rb/as/twp/core/app/dcom/rbaplcust</t>
      </is>
    </oc>
    <nc r="F164" t="inlineStr">
      <is>
        <t>rb\as\twp\core\app\dcom\rbaplcust</t>
      </is>
    </nc>
  </rcc>
  <rcc rId="3461" sId="4" quotePrefix="1">
    <oc r="F165" t="inlineStr">
      <is>
        <t>rb/as/twp/core/app/dcom/rbaplcust</t>
      </is>
    </oc>
    <nc r="F165" t="inlineStr">
      <is>
        <t>rb\as\twp\core\app\dcom\rbaplcust</t>
      </is>
    </nc>
  </rcc>
  <rcc rId="3462" sId="4" quotePrefix="1">
    <oc r="F166" t="inlineStr">
      <is>
        <t>rb/as/twp/core/app/dcom/rbaplcust</t>
      </is>
    </oc>
    <nc r="F166" t="inlineStr">
      <is>
        <t>rb\as\twp\core\app\dcom\rbaplcust</t>
      </is>
    </nc>
  </rcc>
  <rcc rId="3463" sId="4" quotePrefix="1">
    <oc r="F167" t="inlineStr">
      <is>
        <t>rb/as/twp/core/app/dcom/rbaplcust</t>
      </is>
    </oc>
    <nc r="F167" t="inlineStr">
      <is>
        <t>rb\as\twp\core\app\dcom\rbaplcust</t>
      </is>
    </nc>
  </rcc>
  <rcc rId="3464" sId="4" quotePrefix="1">
    <oc r="F168" t="inlineStr">
      <is>
        <t>rb/as/twp/core/app/dcom/rbaplcust</t>
      </is>
    </oc>
    <nc r="F168" t="inlineStr">
      <is>
        <t>rb\as\twp\core\app\dcom\rbaplcust</t>
      </is>
    </nc>
  </rcc>
  <rcc rId="3465" sId="4" quotePrefix="1">
    <oc r="F169" t="inlineStr">
      <is>
        <t>rb/as/twp/core/app/dcom/rbaplcust</t>
      </is>
    </oc>
    <nc r="F169" t="inlineStr">
      <is>
        <t>rb\as\twp\core\app\dcom\rbaplcust</t>
      </is>
    </nc>
  </rcc>
  <rcc rId="3466" sId="4" quotePrefix="1">
    <oc r="F170" t="inlineStr">
      <is>
        <t>rb/as/twp/core/app/dcom/rbaplcust</t>
      </is>
    </oc>
    <nc r="F170" t="inlineStr">
      <is>
        <t>rb\as\twp\core\app\dcom\rbaplcust</t>
      </is>
    </nc>
  </rcc>
  <rcc rId="3467" sId="4" quotePrefix="1">
    <oc r="F171" t="inlineStr">
      <is>
        <t>rb/as/twp/core/app/dcom/rbaplcust</t>
      </is>
    </oc>
    <nc r="F171" t="inlineStr">
      <is>
        <t>rb\as\twp\core\app\dcom\rbaplcust</t>
      </is>
    </nc>
  </rcc>
  <rcc rId="3468" sId="4" quotePrefix="1">
    <oc r="F172" t="inlineStr">
      <is>
        <t>rb/as/twp/core/app/dcom/rbaplcust</t>
      </is>
    </oc>
    <nc r="F172" t="inlineStr">
      <is>
        <t>rb\as\twp\core\app\dcom\rbaplcust</t>
      </is>
    </nc>
  </rcc>
  <rcc rId="3469" sId="4" quotePrefix="1">
    <oc r="F173" t="inlineStr">
      <is>
        <t>rb/as/twp/core/app/dcom/rbaplcust</t>
      </is>
    </oc>
    <nc r="F173" t="inlineStr">
      <is>
        <t>rb\as\twp\core\app\dcom\rbaplcust</t>
      </is>
    </nc>
  </rcc>
  <rcc rId="3470" sId="4" quotePrefix="1">
    <oc r="F174" t="inlineStr">
      <is>
        <t>rb/as/twp/core/app/dcom/rbaplcust</t>
      </is>
    </oc>
    <nc r="F174" t="inlineStr">
      <is>
        <t>rb\as\twp\core\app\dcom\rbaplcust</t>
      </is>
    </nc>
  </rcc>
  <rcc rId="3471" sId="4" quotePrefix="1">
    <oc r="F175" t="inlineStr">
      <is>
        <t>rb/as/twp/core/app/dcom/rbaplcust</t>
      </is>
    </oc>
    <nc r="F175" t="inlineStr">
      <is>
        <t>rb\as\twp\core\app\dcom\rbaplcust</t>
      </is>
    </nc>
  </rcc>
  <rcc rId="3472" sId="4" quotePrefix="1">
    <oc r="F176" t="inlineStr">
      <is>
        <t>rb/as/twp/core/app/dcom/rbaplcust</t>
      </is>
    </oc>
    <nc r="F176" t="inlineStr">
      <is>
        <t>rb\as\twp\core\app\dcom\rbaplcust</t>
      </is>
    </nc>
  </rcc>
  <rcc rId="3473" sId="4" quotePrefix="1">
    <oc r="F177" t="inlineStr">
      <is>
        <t>rb/as/twp/global/cus/hhcoff</t>
      </is>
    </oc>
    <nc r="F177" t="inlineStr">
      <is>
        <t>rb\as\twp\global\cus\hhcoff</t>
      </is>
    </nc>
  </rcc>
  <rcc rId="3474" sId="4" quotePrefix="1">
    <oc r="F178" t="inlineStr">
      <is>
        <t>rb/as/twp/global/cus/modes</t>
      </is>
    </oc>
    <nc r="F178" t="inlineStr">
      <is>
        <t>rb\as\twp\global\cus\modes</t>
      </is>
    </nc>
  </rcc>
  <rcc rId="3475" sId="4" quotePrefix="1">
    <oc r="F179" t="inlineStr">
      <is>
        <t>rb/as/twp/global/cus/variant</t>
      </is>
    </oc>
    <nc r="F179" t="inlineStr">
      <is>
        <t>rb\as\twp\global\cus\variant</t>
      </is>
    </nc>
  </rcc>
  <rcc rId="3476" sId="4" quotePrefix="1">
    <oc r="F180" t="inlineStr">
      <is>
        <t>rb/as/byd/core/app/dcom/RBAPLCust/src/common</t>
      </is>
    </oc>
    <nc r="F180" t="inlineStr">
      <is>
        <t>rb\as\byd\core\app\dcom\RBAPLCust\src\common</t>
      </is>
    </nc>
  </rcc>
  <rcc rId="3477" sId="4" quotePrefix="1">
    <oc r="F181" t="inlineStr">
      <is>
        <t>rb/as/byd/core/app/dcom/RBAPLCust/src/common</t>
      </is>
    </oc>
    <nc r="F181" t="inlineStr">
      <is>
        <t>rb\as\byd\core\app\dcom\RBAPLCust\src\common</t>
      </is>
    </nc>
  </rcc>
  <rcc rId="3478" sId="4" quotePrefix="1">
    <oc r="F182" t="inlineStr">
      <is>
        <t>rb/as/byd/core/app/dcom/RBAPLCust/src/common</t>
      </is>
    </oc>
    <nc r="F182" t="inlineStr">
      <is>
        <t>rb\as\byd\core\app\dcom\RBAPLCust\src\common</t>
      </is>
    </nc>
  </rcc>
  <rcc rId="3479" sId="4" quotePrefix="1">
    <oc r="F183" t="inlineStr">
      <is>
        <t>rb/as/byd/core/app/dcom/RBAPLCust/src/common</t>
      </is>
    </oc>
    <nc r="F183" t="inlineStr">
      <is>
        <t>rb\as\byd\core\app\dcom\RBAPLCust\src\common</t>
      </is>
    </nc>
  </rcc>
  <rcc rId="3480" sId="4" quotePrefix="1">
    <oc r="F184" t="inlineStr">
      <is>
        <t>rb/as/byd/core/app/dcom/RBAPLCust/src/common</t>
      </is>
    </oc>
    <nc r="F184" t="inlineStr">
      <is>
        <t>rb\as\byd\core\app\dcom\RBAPLCust\src\common</t>
      </is>
    </nc>
  </rcc>
  <rcc rId="3481" sId="4" quotePrefix="1">
    <oc r="F185" t="inlineStr">
      <is>
        <t>rb/as/byd/core/app/dcom/RBAPLCust/src/common</t>
      </is>
    </oc>
    <nc r="F185" t="inlineStr">
      <is>
        <t>rb\as\byd\core\app\dcom\RBAPLCust\src\common</t>
      </is>
    </nc>
  </rcc>
  <rcc rId="3482" sId="4" quotePrefix="1">
    <oc r="F186" t="inlineStr">
      <is>
        <t>rb/as/byd/core/app/dcom/RBAPLCust/src/common</t>
      </is>
    </oc>
    <nc r="F186" t="inlineStr">
      <is>
        <t>rb\as\byd\core\app\dcom\RBAPLCust\src\common</t>
      </is>
    </nc>
  </rcc>
  <rcc rId="3483" sId="4" quotePrefix="1">
    <oc r="F187" t="inlineStr">
      <is>
        <t>rb/as/byd/core/app/dcom/RBAPLCust/src/common</t>
      </is>
    </oc>
    <nc r="F187" t="inlineStr">
      <is>
        <t>rb\as\byd\core\app\dcom\RBAPLCust\src\common</t>
      </is>
    </nc>
  </rcc>
  <rcc rId="3484" sId="4" quotePrefix="1">
    <oc r="F188" t="inlineStr">
      <is>
        <t>rb/as/byd/core/app/dcom/RBAPLCust/src/common</t>
      </is>
    </oc>
    <nc r="F188" t="inlineStr">
      <is>
        <t>rb\as\byd\core\app\dcom\RBAPLCust\src\common</t>
      </is>
    </nc>
  </rcc>
  <rcc rId="3485" sId="4" quotePrefix="1">
    <oc r="F189" t="inlineStr">
      <is>
        <t>rb/as/byd/core/app/dcom/RBAPLCust/src/common</t>
      </is>
    </oc>
    <nc r="F189" t="inlineStr">
      <is>
        <t>rb\as\byd\core\app\dcom\RBAPLCust\src\common</t>
      </is>
    </nc>
  </rcc>
  <rcc rId="3486" sId="4" quotePrefix="1">
    <oc r="F190" t="inlineStr">
      <is>
        <t>rb/as/byd/core/app/dcom/RBAPLCust/src/common</t>
      </is>
    </oc>
    <nc r="F190" t="inlineStr">
      <is>
        <t>rb\as\byd\core\app\dcom\RBAPLCust\src\common</t>
      </is>
    </nc>
  </rcc>
  <rcc rId="3487" sId="4" quotePrefix="1">
    <oc r="F191" t="inlineStr">
      <is>
        <t>rb/as/byd/core/app/dcom/RBAPLCust/src/common</t>
      </is>
    </oc>
    <nc r="F191" t="inlineStr">
      <is>
        <t>rb\as\byd\core\app\dcom\RBAPLCust\src\common</t>
      </is>
    </nc>
  </rcc>
  <rcc rId="3488" sId="4" quotePrefix="1">
    <oc r="F192" t="inlineStr">
      <is>
        <t>rb/as/byd/core/app/dcom/RBAPLCust/src/common</t>
      </is>
    </oc>
    <nc r="F192" t="inlineStr">
      <is>
        <t>rb\as\byd\core\app\dcom\RBAPLCust\src\common</t>
      </is>
    </nc>
  </rcc>
  <rcc rId="3489" sId="4" quotePrefix="1">
    <oc r="F193" t="inlineStr">
      <is>
        <t>rb/as/byd/core/app/dcom/RBAPLCust/src/common</t>
      </is>
    </oc>
    <nc r="F193" t="inlineStr">
      <is>
        <t>rb\as\byd\core\app\dcom\RBAPLCust\src\common</t>
      </is>
    </nc>
  </rcc>
  <rcc rId="3490" sId="4" quotePrefix="1">
    <oc r="F194" t="inlineStr">
      <is>
        <t>rb/as/byd/core/app/dcom/RBAPLCust/src/common</t>
      </is>
    </oc>
    <nc r="F194" t="inlineStr">
      <is>
        <t>rb\as\byd\core\app\dcom\RBAPLCust\src\common</t>
      </is>
    </nc>
  </rcc>
  <rcc rId="3491" sId="4" quotePrefix="1">
    <oc r="F195" t="inlineStr">
      <is>
        <t>rb/as/byd/core/app/dcom/RBAPLCust/src/common</t>
      </is>
    </oc>
    <nc r="F195" t="inlineStr">
      <is>
        <t>rb\as\byd\core\app\dcom\RBAPLCust\src\common</t>
      </is>
    </nc>
  </rcc>
  <rcc rId="3492" sId="4" quotePrefix="1">
    <oc r="F196" t="inlineStr">
      <is>
        <t>rb/as/byd/core/app/dcom/RBAPLCust/src/common</t>
      </is>
    </oc>
    <nc r="F196" t="inlineStr">
      <is>
        <t>rb\as\byd\core\app\dcom\RBAPLCust\src\common</t>
      </is>
    </nc>
  </rcc>
  <rcc rId="3493" sId="4" quotePrefix="1">
    <oc r="F197" t="inlineStr">
      <is>
        <t>rb/as/byd/core/app/dcom/RBAPLCust/src/common</t>
      </is>
    </oc>
    <nc r="F197" t="inlineStr">
      <is>
        <t>rb\as\byd\core\app\dcom\RBAPLCust\src\common</t>
      </is>
    </nc>
  </rcc>
  <rcc rId="3494" sId="4" quotePrefix="1">
    <oc r="F198" t="inlineStr">
      <is>
        <t>rb/as/byd/core/app/dcom/RBAPLCust/src/common</t>
      </is>
    </oc>
    <nc r="F198" t="inlineStr">
      <is>
        <t>rb\as\byd\core\app\dcom\RBAPLCust\src\common</t>
      </is>
    </nc>
  </rcc>
  <rcc rId="3495" sId="4" quotePrefix="1">
    <oc r="F199" t="inlineStr">
      <is>
        <t>rb/as/byd/core/app/dcom/RBAPLCust/src/common</t>
      </is>
    </oc>
    <nc r="F199" t="inlineStr">
      <is>
        <t>rb\as\byd\core\app\dcom\RBAPLCust\src\common</t>
      </is>
    </nc>
  </rcc>
  <rcc rId="3496" sId="4" quotePrefix="1">
    <oc r="F200" t="inlineStr">
      <is>
        <t>rb/as/byd/core/app/dcom/RBAPLCust/src/common</t>
      </is>
    </oc>
    <nc r="F200" t="inlineStr">
      <is>
        <t>rb\as\byd\core\app\dcom\RBAPLCust\src\common</t>
      </is>
    </nc>
  </rcc>
  <rcc rId="3497" sId="4" quotePrefix="1">
    <oc r="F201" t="inlineStr">
      <is>
        <t>rb/as/byd/core/app/dcom/RBAPLCust/src/common</t>
      </is>
    </oc>
    <nc r="F201" t="inlineStr">
      <is>
        <t>rb\as\byd\core\app\dcom\RBAPLCust\src\common</t>
      </is>
    </nc>
  </rcc>
  <rcc rId="3498" sId="4" quotePrefix="1">
    <oc r="F202" t="inlineStr">
      <is>
        <t>rb/as/byd/core/app/dcom/RBAPLCust/src/ESP</t>
      </is>
    </oc>
    <nc r="F202" t="inlineStr">
      <is>
        <t>rb\as\byd\core\app\dcom\RBAPLCust\src\ESP</t>
      </is>
    </nc>
  </rcc>
  <rcc rId="3499" sId="4" quotePrefix="1">
    <oc r="F203" t="inlineStr">
      <is>
        <t>rb/as/byd/core/app/dcom/RBAPLCust/src/ESP</t>
      </is>
    </oc>
    <nc r="F203" t="inlineStr">
      <is>
        <t>rb\as\byd\core\app\dcom\RBAPLCust\src\ESP</t>
      </is>
    </nc>
  </rcc>
  <rcc rId="3500" sId="4" quotePrefix="1">
    <oc r="F204" t="inlineStr">
      <is>
        <t>rb/as/byd/core/app/dcom/RBAPLCust/src/ESP</t>
      </is>
    </oc>
    <nc r="F204" t="inlineStr">
      <is>
        <t>rb\as\byd\core\app\dcom\RBAPLCust\src\ESP</t>
      </is>
    </nc>
  </rcc>
  <rcc rId="3501" sId="4" quotePrefix="1">
    <oc r="F205" t="inlineStr">
      <is>
        <t>rb/as/byd/core/app/dcom/RBAPLCust/src/ESP</t>
      </is>
    </oc>
    <nc r="F205" t="inlineStr">
      <is>
        <t>rb\as\byd\core\app\dcom\RBAPLCust\src\ESP</t>
      </is>
    </nc>
  </rcc>
  <rcc rId="3502" sId="4" quotePrefix="1">
    <oc r="F206" t="inlineStr">
      <is>
        <t>rb/as/byd/core/app/dcom/RBAPLCust/src/ESP</t>
      </is>
    </oc>
    <nc r="F206" t="inlineStr">
      <is>
        <t>rb\as\byd\core\app\dcom\RBAPLCust\src\ESP</t>
      </is>
    </nc>
  </rcc>
  <rcc rId="3503" sId="4" quotePrefix="1">
    <oc r="F207" t="inlineStr">
      <is>
        <t>rb/as/byd/core/app/dcom/RBAPLCust/src/ESP</t>
      </is>
    </oc>
    <nc r="F207" t="inlineStr">
      <is>
        <t>rb\as\byd\core\app\dcom\RBAPLCust\src\ESP</t>
      </is>
    </nc>
  </rcc>
  <rcc rId="3504" sId="4" quotePrefix="1">
    <oc r="F208" t="inlineStr">
      <is>
        <t>rb/as/byd/core/app/dcom/RBAPLCust/src/ESP</t>
      </is>
    </oc>
    <nc r="F208" t="inlineStr">
      <is>
        <t>rb\as\byd\core\app\dcom\RBAPLCust\src\ESP</t>
      </is>
    </nc>
  </rcc>
  <rcc rId="3505" sId="4" quotePrefix="1">
    <oc r="F209" t="inlineStr">
      <is>
        <t>rb/as/byd/core/app/dcom/RBAPLCust/src/ESP</t>
      </is>
    </oc>
    <nc r="F209" t="inlineStr">
      <is>
        <t>rb\as\byd\core\app\dcom\RBAPLCust\src\ESP</t>
      </is>
    </nc>
  </rcc>
  <rcc rId="3506" sId="4" quotePrefix="1">
    <oc r="F210" t="inlineStr">
      <is>
        <t>rb/as/byd/core/app/dcom/RBAPLCust/src/ESP</t>
      </is>
    </oc>
    <nc r="F210" t="inlineStr">
      <is>
        <t>rb\as\byd\core\app\dcom\RBAPLCust\src\ESP</t>
      </is>
    </nc>
  </rcc>
  <rcc rId="3507" sId="4" quotePrefix="1">
    <oc r="F211" t="inlineStr">
      <is>
        <t>rb/as/byd/core/app/dcom/RBAPLCust/src/ESP</t>
      </is>
    </oc>
    <nc r="F211" t="inlineStr">
      <is>
        <t>rb\as\byd\core\app\dcom\RBAPLCust\src\ESP</t>
      </is>
    </nc>
  </rcc>
  <rcc rId="3508" sId="4" quotePrefix="1">
    <oc r="F212" t="inlineStr">
      <is>
        <t>rb/as/byd/core/app/dcom/RBAPLCust/src/ESP</t>
      </is>
    </oc>
    <nc r="F212" t="inlineStr">
      <is>
        <t>rb\as\byd\core\app\dcom\RBAPLCust\src\ESP</t>
      </is>
    </nc>
  </rcc>
  <rcc rId="3509" sId="4" quotePrefix="1">
    <oc r="F213" t="inlineStr">
      <is>
        <t>rb/as/byd/core/app/dcom/RBAPLCust/src/ESP</t>
      </is>
    </oc>
    <nc r="F213" t="inlineStr">
      <is>
        <t>rb\as\byd\core\app\dcom\RBAPLCust\src\ESP</t>
      </is>
    </nc>
  </rcc>
  <rcc rId="3510" sId="4" quotePrefix="1">
    <oc r="F214" t="inlineStr">
      <is>
        <t>rb/as/byd/core/app/dcom/RBAPLCust/src/ESP</t>
      </is>
    </oc>
    <nc r="F214" t="inlineStr">
      <is>
        <t>rb\as\byd\core\app\dcom\RBAPLCust\src\ESP</t>
      </is>
    </nc>
  </rcc>
  <rcc rId="3511" sId="4" quotePrefix="1">
    <oc r="F215" t="inlineStr">
      <is>
        <t>rb/as/byd/core/app/dcom/RBAPLCust/src/ESP</t>
      </is>
    </oc>
    <nc r="F215" t="inlineStr">
      <is>
        <t>rb\as\byd\core\app\dcom\RBAPLCust\src\ESP</t>
      </is>
    </nc>
  </rcc>
  <rcc rId="3512" sId="4" quotePrefix="1">
    <oc r="F216" t="inlineStr">
      <is>
        <t>rb/as/byd/core/app/dcom/RBAPLCust/src/ESP</t>
      </is>
    </oc>
    <nc r="F216" t="inlineStr">
      <is>
        <t>rb\as\byd\core\app\dcom\RBAPLCust\src\ESP</t>
      </is>
    </nc>
  </rcc>
  <rcc rId="3513" sId="4" quotePrefix="1">
    <oc r="F217" t="inlineStr">
      <is>
        <t>rb/as/byd/core/app/dcom/RBAPLCust/src/ESP</t>
      </is>
    </oc>
    <nc r="F217" t="inlineStr">
      <is>
        <t>rb\as\byd\core\app\dcom\RBAPLCust\src\ESP</t>
      </is>
    </nc>
  </rcc>
  <rcc rId="3514" sId="4" quotePrefix="1">
    <oc r="F218" t="inlineStr">
      <is>
        <t>rb/as/byd/core/app/dcom/RBAPLCust/src/ESP</t>
      </is>
    </oc>
    <nc r="F218" t="inlineStr">
      <is>
        <t>rb\as\byd\core\app\dcom\RBAPLCust\src\ESP</t>
      </is>
    </nc>
  </rcc>
  <rcc rId="3515" sId="4" quotePrefix="1">
    <oc r="F219" t="inlineStr">
      <is>
        <t>rb/as/byd/core/app/dcom/RBAPLCust/src/iBooster</t>
      </is>
    </oc>
    <nc r="F219" t="inlineStr">
      <is>
        <t>rb\as\byd\core\app\dcom\RBAPLCust\src\iBooster</t>
      </is>
    </nc>
  </rcc>
  <rcc rId="3516" sId="4" quotePrefix="1">
    <oc r="F220" t="inlineStr">
      <is>
        <t>rb/as/byd/core/app/dcom/RBAPLCust/src/iBooster</t>
      </is>
    </oc>
    <nc r="F220" t="inlineStr">
      <is>
        <t>rb\as\byd\core\app\dcom\RBAPLCust\src\iBooster</t>
      </is>
    </nc>
  </rcc>
  <rcc rId="3517" sId="4" quotePrefix="1">
    <oc r="F221" t="inlineStr">
      <is>
        <t>rb/as/byd/core/app/dcom/RBAPLCust/src/iBooster</t>
      </is>
    </oc>
    <nc r="F221" t="inlineStr">
      <is>
        <t>rb\as\byd\core\app\dcom\RBAPLCust\src\iBooster</t>
      </is>
    </nc>
  </rcc>
  <rcc rId="3518" sId="4" quotePrefix="1">
    <oc r="F222" t="inlineStr">
      <is>
        <t>rb/as/cnms_core/app/dcom/RBAPLCust/src/common</t>
      </is>
    </oc>
    <nc r="F222" t="inlineStr">
      <is>
        <t>rb\as\cnms_core\app\dcom\RBAPLCust\src\common</t>
      </is>
    </nc>
  </rcc>
  <rcc rId="3519" sId="4" quotePrefix="1">
    <oc r="F223" t="inlineStr">
      <is>
        <t>rb/as/cnms_core/app/dcom/RBAPLCust/src/common</t>
      </is>
    </oc>
    <nc r="F223" t="inlineStr">
      <is>
        <t>rb\as\cnms_core\app\dcom\RBAPLCust\src\common</t>
      </is>
    </nc>
  </rcc>
  <rcc rId="3520" sId="4" quotePrefix="1">
    <oc r="F224" t="inlineStr">
      <is>
        <t>rb/as/cnms_core/app/dcom/RBAPLCust/src/common</t>
      </is>
    </oc>
    <nc r="F224" t="inlineStr">
      <is>
        <t>rb\as\cnms_core\app\dcom\RBAPLCust\src\common</t>
      </is>
    </nc>
  </rcc>
  <rcc rId="3521" sId="4" quotePrefix="1">
    <oc r="F225" t="inlineStr">
      <is>
        <t>rb/as/cnms_core/app/dcom/RBAPLCust/src/common</t>
      </is>
    </oc>
    <nc r="F225" t="inlineStr">
      <is>
        <t>rb\as\cnms_core\app\dcom\RBAPLCust\src\common</t>
      </is>
    </nc>
  </rcc>
  <rcc rId="3522" sId="4" quotePrefix="1">
    <oc r="F226" t="inlineStr">
      <is>
        <t>rb/as/cnms_core/app/dcom/RBAPLCust/src/common</t>
      </is>
    </oc>
    <nc r="F226" t="inlineStr">
      <is>
        <t>rb\as\cnms_core\app\dcom\RBAPLCust\src\common</t>
      </is>
    </nc>
  </rcc>
  <rcc rId="3523" sId="4" quotePrefix="1">
    <oc r="F227" t="inlineStr">
      <is>
        <t>rb/as/cnms_core/app/dcom/RBAPLCust/src/common</t>
      </is>
    </oc>
    <nc r="F227" t="inlineStr">
      <is>
        <t>rb\as\cnms_core\app\dcom\RBAPLCust\src\common</t>
      </is>
    </nc>
  </rcc>
  <rcc rId="3524" sId="4" quotePrefix="1">
    <oc r="F228" t="inlineStr">
      <is>
        <t>rb/as/cnms_core/app/dcom/RBAPLCust/src/common</t>
      </is>
    </oc>
    <nc r="F228" t="inlineStr">
      <is>
        <t>rb\as\cnms_core\app\dcom\RBAPLCust\src\common</t>
      </is>
    </nc>
  </rcc>
  <rcc rId="3525" sId="4" quotePrefix="1">
    <oc r="F229" t="inlineStr">
      <is>
        <t>rb/as/cnms_core/app/dcom/RBAPLCust/src/common</t>
      </is>
    </oc>
    <nc r="F229" t="inlineStr">
      <is>
        <t>rb\as\cnms_core\app\dcom\RBAPLCust\src\common</t>
      </is>
    </nc>
  </rcc>
  <rcc rId="3526" sId="4" quotePrefix="1">
    <oc r="F230" t="inlineStr">
      <is>
        <t>rb/as/cnms_core/app/dcom/RBAPLCust/src/common</t>
      </is>
    </oc>
    <nc r="F230" t="inlineStr">
      <is>
        <t>rb\as\cnms_core\app\dcom\RBAPLCust\src\common</t>
      </is>
    </nc>
  </rcc>
  <rcc rId="3527" sId="4" quotePrefix="1">
    <oc r="F231" t="inlineStr">
      <is>
        <t>rb/as/cnms_core/app/dcom/RBAPLCust/src/common</t>
      </is>
    </oc>
    <nc r="F231" t="inlineStr">
      <is>
        <t>rb\as\cnms_core\app\dcom\RBAPLCust\src\common</t>
      </is>
    </nc>
  </rcc>
  <rcc rId="3528" sId="4" quotePrefix="1">
    <oc r="F232" t="inlineStr">
      <is>
        <t>rb/as/cnms_core/app/dcom/RBAPLCust/src/ESP</t>
      </is>
    </oc>
    <nc r="F232" t="inlineStr">
      <is>
        <t>rb\as\cnms_core\app\dcom\RBAPLCust\src\ESP</t>
      </is>
    </nc>
  </rcc>
  <rcc rId="3529" sId="4" quotePrefix="1">
    <oc r="F233" t="inlineStr">
      <is>
        <t>rb/as/cnms_core/app/dcom/RBAPLCust/src/ESP</t>
      </is>
    </oc>
    <nc r="F233" t="inlineStr">
      <is>
        <t>rb\as\cnms_core\app\dcom\RBAPLCust\src\ESP</t>
      </is>
    </nc>
  </rcc>
  <rcc rId="3530" sId="4" quotePrefix="1">
    <oc r="F234" t="inlineStr">
      <is>
        <t>rb/as/cnms_core/app/dcom/RBAPLCust/src/ESP</t>
      </is>
    </oc>
    <nc r="F234" t="inlineStr">
      <is>
        <t>rb\as\cnms_core\app\dcom\RBAPLCust\src\ESP</t>
      </is>
    </nc>
  </rcc>
  <rcc rId="3531" sId="4" quotePrefix="1">
    <oc r="F235" t="inlineStr">
      <is>
        <t>rb/as/cnms_core/app/dcom/RBAPLCust/src/ESP</t>
      </is>
    </oc>
    <nc r="F235" t="inlineStr">
      <is>
        <t>rb\as\cnms_core\app\dcom\RBAPLCust\src\ESP</t>
      </is>
    </nc>
  </rcc>
  <rcc rId="3532" sId="4" quotePrefix="1">
    <oc r="F236" t="inlineStr">
      <is>
        <t>rb/as/cnms_core/app/dcom/RBAPLCust/src/ESP</t>
      </is>
    </oc>
    <nc r="F236" t="inlineStr">
      <is>
        <t>rb\as\cnms_core\app\dcom\RBAPLCust\src\ESP</t>
      </is>
    </nc>
  </rcc>
  <rcc rId="3533" sId="4" quotePrefix="1">
    <oc r="F237" t="inlineStr">
      <is>
        <t>rb/as/cnms_core/app/dcom/RBAPLCust/src/ESP</t>
      </is>
    </oc>
    <nc r="F237" t="inlineStr">
      <is>
        <t>rb\as\cnms_core\app\dcom\RBAPLCust\src\ESP</t>
      </is>
    </nc>
  </rcc>
  <rcc rId="3534" sId="4" xfDxf="1" dxf="1">
    <nc r="G240">
      <v>1421044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5" sId="4" xfDxf="1" dxf="1">
    <nc r="G241">
      <v>1421052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6" sId="4" xfDxf="1" dxf="1">
    <nc r="H240" t="inlineStr">
      <is>
        <t>rba_BldrCmp_36TransferData.c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7" sId="4" xfDxf="1" dxf="1">
    <nc r="H241" t="inlineStr">
      <is>
        <t>rba_BldrCmp_36TransferData.c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8" sId="4" xfDxf="1" dxf="1">
    <nc r="R240">
      <v>277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39" sId="4" xfDxf="1" dxf="1">
    <nc r="R241">
      <v>277</v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40" sId="4">
    <nc r="O240" t="inlineStr">
      <is>
        <t>loc.do-phu</t>
      </is>
    </nc>
  </rcc>
  <rcc rId="3541" sId="4">
    <nc r="O241" t="inlineStr">
      <is>
        <t>chung.ly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1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46" sId="4">
    <nc r="S240">
      <f>R240</f>
    </nc>
  </rcc>
  <rcc rId="3547" sId="4">
    <nc r="S241">
      <f>R241</f>
    </nc>
  </rcc>
  <rcc rId="3548" sId="4">
    <nc r="U240">
      <f>ROUNDDOWN(S240/HLOOKUP(D240,Table!$C$3:$D$4,2,0)*8,2)</f>
    </nc>
  </rcc>
  <rcc rId="3549" sId="4">
    <nc r="U241">
      <f>ROUNDDOWN(S241/HLOOKUP(D241,Table!$C$3:$D$4,2,0)*8,2)</f>
    </nc>
  </rcc>
  <rcc rId="3550" sId="4">
    <nc r="K239" t="inlineStr">
      <is>
        <t>Geely_Beryllium2_OBD_China6_Int.zip</t>
      </is>
    </nc>
  </rcc>
  <rcc rId="3551" sId="4">
    <nc r="J240">
      <v>80336</v>
    </nc>
  </rcc>
  <rcc rId="3552" sId="4">
    <nc r="J241">
      <v>80336</v>
    </nc>
  </rcc>
  <rm rId="3553" sheetId="4" source="K239" destination="K240" sourceSheetId="4">
    <rfmt sheetId="4" sqref="K240" start="0" length="0">
      <dxf>
        <alignment horizontal="left" vertical="top" readingOrder="0"/>
        <border outline="0">
          <left style="thin">
            <color indexed="64"/>
          </left>
          <right style="thin">
            <color indexed="64"/>
          </right>
          <top style="thin">
            <color indexed="64"/>
          </top>
          <bottom style="thin">
            <color indexed="64"/>
          </bottom>
        </border>
      </dxf>
    </rfmt>
  </rm>
  <rcc rId="3554" sId="4">
    <oc r="O241" t="inlineStr">
      <is>
        <t>chung.ly</t>
      </is>
    </oc>
    <nc r="O241" t="inlineStr">
      <is>
        <t>loc.do-phu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1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59" sId="4" xfDxf="1" dxf="1">
    <nc r="K241" t="inlineStr">
      <is>
        <t>Geely_Beryllium2_Int.zip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560" sId="4" quotePrefix="1">
    <nc r="L240" t="inlineStr">
      <is>
        <t>-</t>
      </is>
    </nc>
  </rcc>
  <rcc rId="3561" sId="4" quotePrefix="1">
    <nc r="L241" t="inlineStr">
      <is>
        <t>-</t>
      </is>
    </nc>
  </rcc>
  <rcc rId="3562" sId="4" quotePrefix="1">
    <nc r="M240" t="inlineStr">
      <is>
        <t>-</t>
      </is>
    </nc>
  </rcc>
  <rcc rId="3563" sId="4" quotePrefix="1">
    <nc r="M241" t="inlineStr">
      <is>
        <t>-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1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B238:B239">
    <dxf>
      <fill>
        <patternFill patternType="solid">
          <bgColor theme="4" tint="0.39997558519241921"/>
        </patternFill>
      </fill>
    </dxf>
  </rfmt>
  <rfmt sheetId="4" sqref="B240:B241">
    <dxf>
      <fill>
        <patternFill patternType="solid">
          <bgColor rgb="FFFFC000"/>
        </patternFill>
      </fill>
    </dxf>
  </rfmt>
  <rcmt sheetId="4" cell="A238" guid="{9F476715-1BF6-4ABA-8994-071D6EC7372F}" author="EXTERNAL Nguyen Tuan Duong (Ban Vien, RBVH/EPS45)" newLength="82"/>
  <rcmt sheetId="4" cell="A240" guid="{AE184574-FC47-4840-A0E8-4374FF9106A2}" author="EXTERNAL Nguyen Tuan Duong (Ban Vien, RBVH/EPS45)" newLength="81"/>
</revisions>
</file>

<file path=xl/revisions/revisionLog11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68" sId="4">
    <nc r="V176">
      <v>6</v>
    </nc>
  </rcc>
  <rcc rId="3569" sId="4">
    <nc r="W176" t="inlineStr">
      <is>
        <t>Ready for review</t>
      </is>
    </nc>
  </rcc>
  <rcc rId="3570" sId="4" numFmtId="19">
    <nc r="Z176">
      <v>43937</v>
    </nc>
  </rcc>
  <rcc rId="3571" sId="4" numFmtId="19">
    <nc r="AA176">
      <v>43937</v>
    </nc>
  </rcc>
  <rcc rId="3572" sId="4">
    <nc r="AB176" t="inlineStr">
      <is>
        <t>OK</t>
      </is>
    </nc>
  </rcc>
  <rcc rId="3573" sId="4">
    <nc r="AC176">
      <v>100</v>
    </nc>
  </rcc>
  <rcc rId="3574" sId="4">
    <nc r="AD176">
      <v>100</v>
    </nc>
  </rcc>
  <rcc rId="3575" sId="4">
    <nc r="AE176">
      <v>100</v>
    </nc>
  </rcc>
  <rcc rId="3576" sId="4">
    <nc r="AF176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COEM_Package_20200401!$B$2:$AH$241</formula>
    <oldFormula>COEM_Package_20200401!$B$2:$AH$241</oldFormula>
  </rdn>
  <rcv guid="{60D2C030-4E31-4E07-8E1C-44D2EE84B177}" action="add"/>
</revisions>
</file>

<file path=xl/revisions/revisionLog11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80:H184 H197:H201 H207 H222 H2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cc rId="3580" sId="4">
    <nc r="T234">
      <f>S234</f>
    </nc>
  </rcc>
</revisions>
</file>

<file path=xl/revisions/revisionLog11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  <rfmt sheetId="4" sqref="H23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3581" sId="4">
    <nc r="T230">
      <f>S230</f>
    </nc>
  </rcc>
  <rcc rId="3582" sId="4">
    <nc r="V230">
      <v>1</v>
    </nc>
  </rcc>
  <rcc rId="3583" sId="4">
    <nc r="W230" t="inlineStr">
      <is>
        <t>Ready for review</t>
      </is>
    </nc>
  </rcc>
  <rcc rId="3584" sId="4" numFmtId="19">
    <nc r="Z230">
      <v>43937</v>
    </nc>
  </rcc>
  <rcc rId="3585" sId="4" numFmtId="19">
    <nc r="AA230">
      <v>43937</v>
    </nc>
  </rcc>
  <rcc rId="3586" sId="4">
    <nc r="AB230" t="inlineStr">
      <is>
        <t>OK</t>
      </is>
    </nc>
  </rcc>
  <rcc rId="3587" sId="4" odxf="1" dxf="1">
    <nc r="AC23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588" sId="4" odxf="1" dxf="1">
    <nc r="AD23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589" sId="4" odxf="1" dxf="1">
    <nc r="AE23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590" sId="4" odxf="1" dxf="1">
    <nc r="AF23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1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39:H2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0006"/>
        <name val="Arial"/>
        <scheme val="none"/>
      </font>
      <fill>
        <patternFill patternType="solid">
          <fgColor indexed="65"/>
          <bgColor rgb="FFFFC7CE"/>
        </patternFill>
      </fill>
    </dxf>
  </rfmt>
</revisions>
</file>

<file path=xl/revisions/revisionLog12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594" sId="4">
    <nc r="T151">
      <f>S151</f>
    </nc>
  </rcc>
  <rcc rId="3595" sId="4">
    <nc r="V151">
      <v>3</v>
    </nc>
  </rcc>
  <rcc rId="3596" sId="4">
    <nc r="W151" t="inlineStr">
      <is>
        <t>Ready for review</t>
      </is>
    </nc>
  </rcc>
  <rcc rId="3597" sId="4" numFmtId="19">
    <nc r="Z151">
      <v>43936</v>
    </nc>
  </rcc>
  <rcc rId="3598" sId="4" numFmtId="19">
    <nc r="AA151">
      <v>43937</v>
    </nc>
  </rcc>
  <rcc rId="3599" sId="4">
    <nc r="AB151" t="inlineStr">
      <is>
        <t>NG</t>
      </is>
    </nc>
  </rcc>
  <rcc rId="3600" sId="4">
    <nc r="AC151">
      <v>100</v>
    </nc>
  </rcc>
  <rcc rId="3601" sId="4">
    <nc r="AD151">
      <v>100</v>
    </nc>
  </rcc>
  <rcc rId="3602" sId="4">
    <nc r="AE151">
      <v>95</v>
    </nc>
  </rcc>
  <rcc rId="3603" sId="4">
    <nc r="AF151" t="inlineStr">
      <is>
        <t>OPL</t>
      </is>
    </nc>
  </rcc>
  <rcc rId="3604" sId="4" quotePrefix="1">
    <oc r="AG151" t="inlineStr">
      <is>
        <t>-</t>
      </is>
    </oc>
    <nc r="AG151" t="inlineStr">
      <is>
        <t>-can’t cover for MCDC of condition at #line123 as bellow picture, because when pumpctrlstate equal 0xFF, pumpflag will change value. So it will affect for MCDC of pumpflag instead of pumpctrlstate.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2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08" sId="4" quotePrefix="1">
    <oc r="AH157" t="inlineStr">
      <is>
        <t>-</t>
      </is>
    </oc>
    <nc r="AH157" t="inlineStr">
      <is>
        <t>-rb\as\twp\core\app\dcom\RBAPLCust\src\SMC_MC</t>
      </is>
    </nc>
  </rcc>
  <rcc rId="3609" sId="4" quotePrefix="1">
    <oc r="AH174" t="inlineStr">
      <is>
        <t>-</t>
      </is>
    </oc>
    <nc r="AH174" t="inlineStr">
      <is>
        <t>-rb\as\twp\core\app\dcom\RBAPLCust\src\SMC_MC</t>
      </is>
    </nc>
  </rcc>
  <rcc rId="3610" sId="4" quotePrefix="1">
    <oc r="AH172" t="inlineStr">
      <is>
        <t>-</t>
      </is>
    </oc>
    <nc r="AH172" t="inlineStr">
      <is>
        <t>-rb\as\twp\core\app\dcom\RBAPLCust\src\SMC_MC</t>
      </is>
    </nc>
  </rcc>
  <rcc rId="3611" sId="4" quotePrefix="1">
    <oc r="AH173" t="inlineStr">
      <is>
        <t>-</t>
      </is>
    </oc>
    <nc r="AH173" t="inlineStr">
      <is>
        <t>-rb\as\twp\core\app\dcom\RBAPLCust\src\SMC_MC</t>
      </is>
    </nc>
  </rcc>
  <rcc rId="3612" sId="4" quotePrefix="1">
    <oc r="AH168" t="inlineStr">
      <is>
        <t>-</t>
      </is>
    </oc>
    <nc r="AH168" t="inlineStr">
      <is>
        <t>-rb\as\twp\core\app\dcom\RBAPLCust\src\SMC_MC</t>
      </is>
    </nc>
  </rcc>
  <rcc rId="3613" sId="4" quotePrefix="1">
    <oc r="AH159" t="inlineStr">
      <is>
        <t>-</t>
      </is>
    </oc>
    <nc r="AH159" t="inlineStr">
      <is>
        <t>-rb\as\twp\core\app\dcom\RBAPLCust\src\SMC_MC</t>
      </is>
    </nc>
  </rcc>
  <rcc rId="3614" sId="4" quotePrefix="1">
    <oc r="AH160" t="inlineStr">
      <is>
        <t>-</t>
      </is>
    </oc>
    <nc r="AH160" t="inlineStr">
      <is>
        <t>-rb\as\twp\core\app\dcom\RBAPLCust\src\SMC_MC</t>
      </is>
    </nc>
  </rcc>
  <rcc rId="3615" sId="4" quotePrefix="1">
    <oc r="AH161" t="inlineStr">
      <is>
        <t>-</t>
      </is>
    </oc>
    <nc r="AH161" t="inlineStr">
      <is>
        <t>-rb\as\twp\core\app\dcom\RBAPLCust\src\SMC_MC</t>
      </is>
    </nc>
  </rcc>
  <rcc rId="3616" sId="4" quotePrefix="1">
    <oc r="AH162" t="inlineStr">
      <is>
        <t>-</t>
      </is>
    </oc>
    <nc r="AH162" t="inlineStr">
      <is>
        <t>-rb\as\twp\core\app\dcom\RBAPLCust\src\SMC_MC</t>
      </is>
    </nc>
  </rcc>
  <rcc rId="3617" sId="4" quotePrefix="1">
    <oc r="AH163" t="inlineStr">
      <is>
        <t>-</t>
      </is>
    </oc>
    <nc r="AH163" t="inlineStr">
      <is>
        <t>-rb\as\twp\core\app\dcom\RBAPLCust\src\SMC_MC</t>
      </is>
    </nc>
  </rcc>
  <rcc rId="3618" sId="4" quotePrefix="1">
    <oc r="AH164" t="inlineStr">
      <is>
        <t>-</t>
      </is>
    </oc>
    <nc r="AH164" t="inlineStr">
      <is>
        <t>-rb\as\twp\core\app\dcom\RBAPLCust\src\SMC_MC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2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23" sId="4">
    <nc r="T152">
      <f>S152</f>
    </nc>
  </rcc>
  <rcc rId="3624" sId="4">
    <nc r="V152">
      <v>2</v>
    </nc>
  </rcc>
  <rcc rId="3625" sId="4">
    <nc r="W152" t="inlineStr">
      <is>
        <t>Ready for review</t>
      </is>
    </nc>
  </rcc>
  <rcc rId="3626" sId="4" numFmtId="19">
    <nc r="Z152">
      <v>43937</v>
    </nc>
  </rcc>
  <rcc rId="3627" sId="4" numFmtId="19">
    <nc r="AA152">
      <v>43937</v>
    </nc>
  </rcc>
  <rcc rId="3628" sId="4">
    <nc r="AB152" t="inlineStr">
      <is>
        <t>NG</t>
      </is>
    </nc>
  </rcc>
  <rcc rId="3629" sId="4">
    <nc r="AC152">
      <v>98</v>
    </nc>
  </rcc>
  <rcc rId="3630" sId="4">
    <nc r="AD152">
      <v>97</v>
    </nc>
  </rcc>
  <rcc rId="3631" sId="4">
    <nc r="AE152">
      <v>100</v>
    </nc>
  </rcc>
  <rcc rId="3632" sId="4">
    <nc r="AF152" t="inlineStr">
      <is>
        <t>OPL</t>
      </is>
    </nc>
  </rcc>
  <rcc rId="3633" sId="4" odxf="1" dxf="1" quotePrefix="1">
    <oc r="AG151" t="inlineStr">
      <is>
        <t>-can’t cover for MCDC of condition at #line123 as bellow picture, because when pumpctrlstate equal 0xFF, pumpflag will change value. So it will affect for MCDC of pumpflag instead of pumpctrlstate.</t>
      </is>
    </oc>
    <nc r="AG151" t="inlineStr">
      <is>
        <t xml:space="preserve">-can’t cover for MCDC of condition at #line123 as bellow picture, because when pumpctrlstate equal 0xFF, pumpflag will change value. So it will affect for MCDC of pumpflag instead of pumpctrlstate.
- 'Issue of cantata display not correct MCDC. </t>
      </is>
    </nc>
    <odxf>
      <alignment wrapText="0" readingOrder="0"/>
    </odxf>
    <ndxf>
      <alignment wrapText="1" readingOrder="0"/>
    </ndxf>
  </rcc>
  <rcc rId="3634" sId="4" odxf="1" dxf="1" quotePrefix="1">
    <oc r="AG152" t="inlineStr">
      <is>
        <t>-</t>
      </is>
    </oc>
    <nc r="AG152" t="inlineStr">
      <is>
        <t>-'Issue of cantata display not correct MCDC. 
-can’t cover for case default of swith(dataIn1), because it out of range.</t>
      </is>
    </nc>
    <ndxf>
      <alignment wrapText="1" readingOrder="0"/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2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38" sId="4" quotePrefix="1">
    <oc r="F177" t="inlineStr">
      <is>
        <t>rb\as\twp\global\cus\hhcoff</t>
      </is>
    </oc>
    <nc r="F177" t="inlineStr">
      <is>
        <t>\rb\as\twp\global\cus\hhcoff\src</t>
      </is>
    </nc>
  </rcc>
  <rfmt sheetId="4" sqref="F177">
    <dxf>
      <fill>
        <patternFill patternType="solid">
          <bgColor rgb="FFFF0000"/>
        </patternFill>
      </fill>
    </dxf>
  </rfmt>
  <rcc rId="3639" sId="4">
    <nc r="T177">
      <f>S177</f>
    </nc>
  </rcc>
  <rcc rId="3640" sId="4" xfDxf="1" dxf="1" quotePrefix="1">
    <oc r="F178" t="inlineStr">
      <is>
        <t>rb\as\twp\global\cus\modes</t>
      </is>
    </oc>
    <nc r="F178" t="inlineStr">
      <is>
        <t>rb\as\twp\global\cus\modes\src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sqref="F178">
    <dxf>
      <fill>
        <patternFill patternType="solid">
          <bgColor rgb="FFFF0000"/>
        </patternFill>
      </fill>
    </dxf>
  </rfmt>
  <rcc rId="3641" sId="4">
    <nc r="T178">
      <f>S178</f>
    </nc>
  </rcc>
  <rcc rId="3642" sId="4">
    <nc r="V177">
      <v>3</v>
    </nc>
  </rcc>
  <rcc rId="3643" sId="4">
    <nc r="W177" t="inlineStr">
      <is>
        <t>Ready for review</t>
      </is>
    </nc>
  </rcc>
  <rcc rId="3644" sId="4" numFmtId="19">
    <nc r="Z177">
      <v>43937</v>
    </nc>
  </rcc>
  <rcc rId="3645" sId="4" numFmtId="19">
    <nc r="AA177">
      <v>43937</v>
    </nc>
  </rcc>
  <rcc rId="3646" sId="4">
    <nc r="AB177" t="inlineStr">
      <is>
        <t>OK</t>
      </is>
    </nc>
  </rcc>
  <rcc rId="3647" sId="4">
    <nc r="AC177">
      <v>100</v>
    </nc>
  </rcc>
  <rcc rId="3648" sId="4">
    <nc r="AD177">
      <v>100</v>
    </nc>
  </rcc>
  <rcc rId="3649" sId="4">
    <nc r="AE177">
      <v>100</v>
    </nc>
  </rcc>
  <rcc rId="3650" sId="4">
    <nc r="AF177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COEM_Package_20200401!$B$2:$AH$241</formula>
    <oldFormula>COEM_Package_20200401!$B$2:$AH$241</oldFormula>
  </rdn>
  <rcv guid="{60D2C030-4E31-4E07-8E1C-44D2EE84B177}" action="add"/>
</revisions>
</file>

<file path=xl/revisions/revisionLog12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54" sId="4">
    <nc r="V160">
      <v>2.5</v>
    </nc>
  </rcc>
  <rcc rId="3655" sId="4">
    <nc r="W160" t="inlineStr">
      <is>
        <t>Ready for review</t>
      </is>
    </nc>
  </rcc>
  <rcc rId="3656" sId="4" numFmtId="19">
    <nc r="Z160">
      <v>43937</v>
    </nc>
  </rcc>
  <rcc rId="3657" sId="4" numFmtId="19">
    <nc r="AA160">
      <v>43937</v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2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62" sId="4">
    <nc r="T153">
      <f>S153</f>
    </nc>
  </rcc>
  <rcc rId="3663" sId="4">
    <nc r="V153">
      <v>5</v>
    </nc>
  </rcc>
  <rcc rId="3664" sId="4">
    <nc r="W153" t="inlineStr">
      <is>
        <t>Ready for review</t>
      </is>
    </nc>
  </rcc>
  <rcc rId="3665" sId="4" numFmtId="19">
    <nc r="Z153">
      <v>43937</v>
    </nc>
  </rcc>
  <rcc rId="3666" sId="4" numFmtId="19">
    <nc r="AA153">
      <v>43937</v>
    </nc>
  </rcc>
  <rcc rId="3667" sId="4">
    <nc r="AB153" t="inlineStr">
      <is>
        <t>OK</t>
      </is>
    </nc>
  </rcc>
  <rcc rId="3668" sId="4">
    <nc r="AC153">
      <v>100</v>
    </nc>
  </rcc>
  <rcc rId="3669" sId="4">
    <nc r="AD153">
      <v>100</v>
    </nc>
  </rcc>
  <rcc rId="3670" sId="4">
    <nc r="AE153">
      <v>100</v>
    </nc>
  </rcc>
  <rcc rId="3671" sId="4">
    <nc r="AF153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2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75" sId="4">
    <nc r="V178">
      <v>2</v>
    </nc>
  </rcc>
  <rcc rId="3676" sId="4">
    <nc r="W178" t="inlineStr">
      <is>
        <t>Ready for review</t>
      </is>
    </nc>
  </rcc>
  <rcc rId="3677" sId="4" numFmtId="19">
    <nc r="Z178">
      <v>43937</v>
    </nc>
  </rcc>
  <rcc rId="3678" sId="4" numFmtId="19">
    <nc r="AA178">
      <v>43937</v>
    </nc>
  </rcc>
  <rcc rId="3679" sId="4">
    <nc r="AB178" t="inlineStr">
      <is>
        <t>OK</t>
      </is>
    </nc>
  </rcc>
  <rcc rId="3680" sId="4">
    <nc r="AC178">
      <v>100</v>
    </nc>
  </rcc>
  <rcc rId="3681" sId="4">
    <nc r="AD178">
      <v>100</v>
    </nc>
  </rcc>
  <rcc rId="3682" sId="4">
    <nc r="AE178">
      <v>100</v>
    </nc>
  </rcc>
  <rcc rId="3683" sId="4">
    <nc r="AF178" t="inlineStr">
      <is>
        <t>N/A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COEM_Package_20200401!$B$2:$AH$241</formula>
    <oldFormula>COEM_Package_20200401!$B$2:$AH$241</oldFormula>
  </rdn>
  <rcv guid="{60D2C030-4E31-4E07-8E1C-44D2EE84B177}" action="add"/>
</revisions>
</file>

<file path=xl/revisions/revisionLog12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87" sId="4" xfDxf="1" dxf="1" quotePrefix="1">
    <oc r="F179" t="inlineStr">
      <is>
        <t>rb\as\twp\global\cus\variant</t>
      </is>
    </oc>
    <nc r="F179" t="inlineStr">
      <is>
        <t>\rb\as\twp\global\cus\variant\src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fmt sheetId="4" sqref="F179">
    <dxf>
      <fill>
        <patternFill patternType="solid">
          <bgColor theme="5" tint="0.39997558519241921"/>
        </patternFill>
      </fill>
    </dxf>
  </rfmt>
  <rfmt sheetId="4" sqref="F179">
    <dxf>
      <fill>
        <patternFill>
          <bgColor rgb="FFFF0000"/>
        </patternFill>
      </fill>
    </dxf>
  </rfmt>
</revisions>
</file>

<file path=xl/revisions/revisionLog12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88" sId="4">
    <nc r="T154">
      <f>S154</f>
    </nc>
  </rcc>
  <rcc rId="3689" sId="4">
    <nc r="V154">
      <v>1</v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2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693" sId="4">
    <nc r="T179">
      <f>S179</f>
    </nc>
  </rcc>
  <rcc rId="3694" sId="4">
    <nc r="V179">
      <v>1</v>
    </nc>
  </rcc>
  <rcc rId="3695" sId="4">
    <nc r="W179" t="inlineStr">
      <is>
        <t>Ready for review</t>
      </is>
    </nc>
  </rcc>
  <rcc rId="3696" sId="4" numFmtId="19">
    <nc r="Z179">
      <v>43937</v>
    </nc>
  </rcc>
  <rcc rId="3697" sId="4" numFmtId="19">
    <nc r="AA179">
      <v>43937</v>
    </nc>
  </rcc>
  <rcc rId="3698" sId="4">
    <nc r="AB179" t="inlineStr">
      <is>
        <t>NG</t>
      </is>
    </nc>
  </rcc>
  <rcc rId="3699" sId="4">
    <nc r="AC179">
      <v>100</v>
    </nc>
  </rcc>
  <rcc rId="3700" sId="4">
    <nc r="AD179">
      <v>97</v>
    </nc>
  </rcc>
  <rcc rId="3701" sId="4">
    <nc r="AE179">
      <v>100</v>
    </nc>
  </rcc>
  <rcc rId="3702" sId="4">
    <nc r="AF179" t="inlineStr">
      <is>
        <t>OPL</t>
      </is>
    </nc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COEM_Package_20200401!$B$2:$AH$241</formula>
    <oldFormula>COEM_Package_20200401!$B$2:$AH$241</oldFormula>
  </rdn>
  <rcv guid="{60D2C030-4E31-4E07-8E1C-44D2EE84B177}" action="add"/>
</revisions>
</file>

<file path=xl/revisions/revisionLog13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06" sId="4" numFmtId="19">
    <oc r="Y238">
      <v>43937</v>
    </oc>
    <nc r="Y238">
      <v>43938</v>
    </nc>
  </rcc>
</revisions>
</file>

<file path=xl/revisions/revisionLog13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07" sId="4">
    <nc r="W154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3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3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14" sId="4" numFmtId="19">
    <nc r="Z154">
      <v>43937</v>
    </nc>
  </rcc>
  <rcc rId="3715" sId="4" numFmtId="19">
    <nc r="AA154">
      <v>43937</v>
    </nc>
  </rcc>
  <rcc rId="3716" sId="4">
    <nc r="AB154" t="inlineStr">
      <is>
        <t>OK</t>
      </is>
    </nc>
  </rcc>
  <rcc rId="3717" sId="4">
    <nc r="AC154">
      <v>100</v>
    </nc>
  </rcc>
  <rcc rId="3718" sId="4">
    <nc r="AD154">
      <v>100</v>
    </nc>
  </rcc>
  <rcc rId="3719" sId="4">
    <nc r="AE154">
      <v>100</v>
    </nc>
  </rcc>
  <rcc rId="3720" sId="4">
    <nc r="AF154" t="inlineStr">
      <is>
        <t>N/A</t>
      </is>
    </nc>
  </rcc>
</revisions>
</file>

<file path=xl/revisions/revisionLog13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21" sId="4" xfDxf="1" dxf="1">
    <nc r="K238" t="inlineStr">
      <is>
        <t>CM_APB_hevX_BB80426</t>
      </is>
    </nc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v guid="{60D2C030-4E31-4E07-8E1C-44D2EE84B177}" action="delete"/>
  <rdn rId="0" localSheetId="1" customView="1" name="Z_60D2C030_4E31_4E07_8E1C_44D2EE84B177_.wvu.FilterData" hidden="1" oldHidden="1">
    <formula>COEM_Package_20200302!$B$2:$AG$227</formula>
    <oldFormula>COEM_Package_20200302!$B$2:$AG$227</oldFormula>
  </rdn>
  <rdn rId="0" localSheetId="4" customView="1" name="Z_60D2C030_4E31_4E07_8E1C_44D2EE84B177_.wvu.Cols" hidden="1" oldHidden="1">
    <formula>COEM_Package_20200401!$P:$Q</formula>
    <oldFormula>COEM_Package_20200401!$P:$Q</oldFormula>
  </rdn>
  <rdn rId="0" localSheetId="4" customView="1" name="Z_60D2C030_4E31_4E07_8E1C_44D2EE84B177_.wvu.FilterData" hidden="1" oldHidden="1">
    <formula>COEM_Package_20200401!$B$2:$AH$241</formula>
    <oldFormula>COEM_Package_20200401!$B$2:$AH$241</oldFormula>
  </rdn>
  <rcv guid="{60D2C030-4E31-4E07-8E1C-44D2EE84B177}" action="add"/>
</revisions>
</file>

<file path=xl/revisions/revisionLog13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3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29" sId="4" odxf="1" dxf="1">
    <nc r="K239" t="inlineStr">
      <is>
        <t>CM_APB_hevX_BB80426</t>
      </is>
    </nc>
    <odxf>
      <alignment horizontal="general" vertical="bottom" readingOrder="0"/>
      <border outline="0">
        <left/>
        <right/>
        <top/>
        <bottom/>
      </border>
    </odxf>
    <ndxf>
      <alignment horizontal="left" vertical="top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</revisions>
</file>

<file path=xl/revisions/revisionLog13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30" sId="4" odxf="1" dxf="1" quotePrefix="1">
    <nc r="J238" t="inlineStr">
      <is>
        <t>-</t>
      </is>
    </nc>
    <odxf/>
    <ndxf/>
  </rcc>
  <rcc rId="3731" sId="4" odxf="1" dxf="1" quotePrefix="1">
    <nc r="J239" t="inlineStr">
      <is>
        <t>-</t>
      </is>
    </nc>
    <odxf/>
    <ndxf/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3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36" sId="4">
    <nc r="T155">
      <f>S155</f>
    </nc>
  </rcc>
  <rcc rId="3737" sId="4">
    <nc r="V155">
      <v>2</v>
    </nc>
  </rcc>
  <rcc rId="3738" sId="4">
    <nc r="W155" t="inlineStr">
      <is>
        <t>Ready for review</t>
      </is>
    </nc>
  </rcc>
  <rcc rId="3739" sId="4" numFmtId="19">
    <nc r="Z155">
      <v>43937</v>
    </nc>
  </rcc>
  <rcc rId="3740" sId="4" numFmtId="19">
    <nc r="AA155">
      <v>43937</v>
    </nc>
  </rcc>
  <rcc rId="3741" sId="4">
    <nc r="AB155" t="inlineStr">
      <is>
        <t>OK</t>
      </is>
    </nc>
  </rcc>
  <rcc rId="3742" sId="4">
    <nc r="AC155">
      <v>100</v>
    </nc>
  </rcc>
  <rcc rId="3743" sId="4">
    <nc r="AD155">
      <v>100</v>
    </nc>
  </rcc>
  <rcc rId="3744" sId="4">
    <nc r="AE155">
      <v>100</v>
    </nc>
  </rcc>
  <rcc rId="3745" sId="4">
    <nc r="AF155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3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49" sId="4">
    <nc r="AB240" t="inlineStr">
      <is>
        <t>NG</t>
      </is>
    </nc>
  </rcc>
  <rcc rId="3750" sId="4">
    <nc r="AB241" t="inlineStr">
      <is>
        <t>NG</t>
      </is>
    </nc>
  </rcc>
  <rcc rId="3751" sId="4" quotePrefix="1">
    <oc r="AG240" t="inlineStr">
      <is>
        <t>-</t>
      </is>
    </oc>
    <nc r="AG240" t="inlineStr">
      <is>
        <t>-Cannot cover false case of decision if (0x00 == NRC_u8) at line #119, because the value of NRC_u8 is set to 0x00 at line 65.</t>
      </is>
    </nc>
  </rcc>
  <rcc rId="3752" sId="4" quotePrefix="1">
    <oc r="AG241" t="inlineStr">
      <is>
        <t>-</t>
      </is>
    </oc>
    <nc r="AG241" t="inlineStr">
      <is>
        <t>-Cannot cover false case of decision if (0x00 == NRC_u8) at line #119, because the value of NRC_u8 is set to 0x00 at line 65.</t>
      </is>
    </nc>
  </rcc>
  <rcc rId="3753" sId="4">
    <nc r="AF240" t="inlineStr">
      <is>
        <t>OPL</t>
      </is>
    </nc>
  </rcc>
  <rcc rId="3754" sId="4">
    <nc r="AF241" t="inlineStr">
      <is>
        <t>OPL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4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58" sId="4">
    <nc r="T185">
      <f>S185</f>
    </nc>
  </rcc>
  <rcc rId="3759" sId="4">
    <nc r="V185">
      <v>1</v>
    </nc>
  </rcc>
  <rcc rId="3760" sId="4">
    <nc r="W185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4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64" sId="4" numFmtId="19">
    <nc r="Z185">
      <v>43937</v>
    </nc>
  </rcc>
  <rcc rId="3765" sId="4" numFmtId="19">
    <nc r="AA185">
      <v>43937</v>
    </nc>
  </rcc>
  <rcc rId="3766" sId="4">
    <nc r="AB185" t="inlineStr">
      <is>
        <t>OK</t>
      </is>
    </nc>
  </rcc>
  <rcc rId="3767" sId="4">
    <nc r="AC185">
      <v>100</v>
    </nc>
  </rcc>
  <rcc rId="3768" sId="4">
    <nc r="AD185">
      <v>100</v>
    </nc>
  </rcc>
  <rcc rId="3769" sId="4">
    <nc r="AE185">
      <v>100</v>
    </nc>
  </rcc>
  <rcc rId="3770" sId="4">
    <nc r="AF185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4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74" sId="4">
    <nc r="T186">
      <f>S186</f>
    </nc>
  </rcc>
  <rcc rId="3775" sId="4">
    <nc r="V186">
      <v>1</v>
    </nc>
  </rcc>
  <rcc rId="3776" sId="4">
    <nc r="W186" t="inlineStr">
      <is>
        <t>Ready for review</t>
      </is>
    </nc>
  </rcc>
  <rcc rId="3777" sId="4" numFmtId="19">
    <nc r="Z186">
      <v>43937</v>
    </nc>
  </rcc>
  <rcc rId="3778" sId="4" numFmtId="19">
    <nc r="AA186">
      <v>43937</v>
    </nc>
  </rcc>
  <rcc rId="3779" sId="4">
    <nc r="AB186" t="inlineStr">
      <is>
        <t>OK</t>
      </is>
    </nc>
  </rcc>
  <rcc rId="3780" sId="4">
    <nc r="AC186">
      <v>100</v>
    </nc>
  </rcc>
  <rcc rId="3781" sId="4">
    <nc r="AD186">
      <v>100</v>
    </nc>
  </rcc>
  <rcc rId="3782" sId="4">
    <nc r="AE186">
      <v>100</v>
    </nc>
  </rcc>
  <rcc rId="3783" sId="4">
    <nc r="AF186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4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87" sId="4">
    <nc r="T187">
      <f>S187</f>
    </nc>
  </rcc>
  <rcc rId="3788" sId="4">
    <nc r="V187">
      <v>0.5</v>
    </nc>
  </rcc>
  <rcc rId="3789" sId="4">
    <nc r="W187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4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793" sId="4" numFmtId="19">
    <nc r="Z187">
      <v>43937</v>
    </nc>
  </rcc>
  <rcc rId="3794" sId="4" numFmtId="19">
    <nc r="AA187">
      <v>43937</v>
    </nc>
  </rcc>
  <rcc rId="3795" sId="4">
    <nc r="AB187" t="inlineStr">
      <is>
        <t>OK</t>
      </is>
    </nc>
  </rcc>
  <rcc rId="3796" sId="4">
    <nc r="AC187">
      <v>100</v>
    </nc>
  </rcc>
  <rcc rId="3797" sId="4">
    <nc r="AD187">
      <v>100</v>
    </nc>
  </rcc>
  <rcc rId="3798" sId="4">
    <nc r="AE187">
      <v>100</v>
    </nc>
  </rcc>
  <rcc rId="3799" sId="4">
    <nc r="AF187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4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3" sId="4">
    <nc r="T188">
      <f>S188</f>
    </nc>
  </rcc>
  <rcc rId="3804" sId="4">
    <nc r="V188">
      <v>0.5</v>
    </nc>
  </rcc>
  <rcc rId="3805" sId="4">
    <nc r="W188" t="inlineStr">
      <is>
        <t>Ready for review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4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09" sId="4" numFmtId="19">
    <nc r="Z188">
      <v>43937</v>
    </nc>
  </rcc>
  <rcc rId="3810" sId="4" numFmtId="19">
    <nc r="AA188">
      <v>43937</v>
    </nc>
  </rcc>
  <rcc rId="3811" sId="4">
    <nc r="AB188" t="inlineStr">
      <is>
        <t>OK</t>
      </is>
    </nc>
  </rcc>
  <rcc rId="3812" sId="4">
    <nc r="AC188">
      <v>100</v>
    </nc>
  </rcc>
  <rcc rId="3813" sId="4">
    <nc r="AD188">
      <v>100</v>
    </nc>
  </rcc>
  <rcc rId="3814" sId="4">
    <nc r="AE188">
      <v>100</v>
    </nc>
  </rcc>
  <rcc rId="3815" sId="4">
    <nc r="AF188" t="inlineStr">
      <is>
        <t>N/A</t>
      </is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4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19" sId="4">
    <nc r="V161">
      <v>3</v>
    </nc>
  </rcc>
  <rcc rId="3820" sId="4">
    <nc r="W161" t="inlineStr">
      <is>
        <t>Ready for review</t>
      </is>
    </nc>
  </rcc>
  <rcc rId="3821" sId="4" numFmtId="19">
    <nc r="Z161">
      <v>43937</v>
    </nc>
  </rcc>
  <rcc rId="3822" sId="4" numFmtId="19">
    <nc r="AA161">
      <v>43937</v>
    </nc>
  </rcc>
  <rcc rId="3823" sId="4" odxf="1" dxf="1">
    <nc r="AB161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824" sId="4" odxf="1" dxf="1">
    <nc r="AC1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825" sId="4" odxf="1" dxf="1">
    <nc r="AD1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826" sId="4" odxf="1" dxf="1">
    <nc r="AE16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827" sId="4" odxf="1" dxf="1">
    <nc r="AF161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4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32" sId="4">
    <nc r="AC240">
      <v>100</v>
    </nc>
  </rcc>
  <rcc rId="3833" sId="4">
    <nc r="AD240">
      <v>98</v>
    </nc>
  </rcc>
  <rcc rId="3834" sId="4">
    <nc r="AE240">
      <v>100</v>
    </nc>
  </rcc>
  <rcc rId="3835" sId="4">
    <nc r="AC241">
      <v>100</v>
    </nc>
  </rcc>
  <rcc rId="3836" sId="4">
    <nc r="AD241">
      <v>98</v>
    </nc>
  </rcc>
  <rcc rId="3837" sId="4">
    <nc r="AE241">
      <v>100</v>
    </nc>
  </rcc>
</revisions>
</file>

<file path=xl/revisions/revisionLog14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838" sId="4">
    <nc r="T240">
      <f>S240</f>
    </nc>
  </rcc>
  <rcc rId="3839" sId="4">
    <nc r="T241">
      <f>S241</f>
    </nc>
  </rcc>
  <rfmt sheetId="4" sqref="S180:S184 S197:S201 S207 S222 S230 S234 S239:S2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9C6500"/>
        <name val="Arial"/>
        <scheme val="none"/>
      </font>
      <fill>
        <patternFill patternType="solid">
          <fgColor indexed="65"/>
          <bgColor rgb="FFFFEB9C"/>
        </patternFill>
      </fill>
    </dxf>
  </rfmt>
  <rcc rId="3840" sId="4">
    <nc r="V240">
      <v>3</v>
    </nc>
  </rcc>
  <rcc rId="3841" sId="4">
    <nc r="V241">
      <v>3</v>
    </nc>
  </rcc>
  <rcc rId="3842" sId="4">
    <nc r="W240" t="inlineStr">
      <is>
        <t>Ready for review</t>
      </is>
    </nc>
  </rcc>
  <rcc rId="3843" sId="4">
    <nc r="W241" t="inlineStr">
      <is>
        <t>Ready for review</t>
      </is>
    </nc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5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23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5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5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97:S2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3854" sId="4" odxf="1" dxf="1">
    <oc r="S197">
      <f>R197</f>
    </oc>
    <nc r="S197">
      <f>R197</f>
    </nc>
    <odxf>
      <alignment horizontal="general" readingOrder="0"/>
      <border outline="0">
        <left/>
        <right/>
        <top/>
        <bottom/>
      </border>
    </odxf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55" sId="4" odxf="1" dxf="1">
    <oc r="S198">
      <f>R198</f>
    </oc>
    <nc r="S198">
      <f>R198</f>
    </nc>
    <odxf>
      <alignment horizontal="general" readingOrder="0"/>
      <border outline="0">
        <left/>
        <right/>
        <top/>
        <bottom/>
      </border>
    </odxf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56" sId="4" odxf="1" dxf="1">
    <oc r="S199">
      <f>R199</f>
    </oc>
    <nc r="S199">
      <f>R199</f>
    </nc>
    <odxf>
      <alignment horizontal="general" readingOrder="0"/>
      <border outline="0">
        <left/>
        <right/>
        <top/>
        <bottom/>
      </border>
    </odxf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57" sId="4" odxf="1" dxf="1">
    <oc r="S200">
      <f>R200</f>
    </oc>
    <nc r="S200">
      <f>R200</f>
    </nc>
    <odxf>
      <alignment horizontal="general" readingOrder="0"/>
      <border outline="0">
        <left/>
        <right/>
        <top/>
        <bottom/>
      </border>
    </odxf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58" sId="4" odxf="1" dxf="1">
    <oc r="S201">
      <f>R201</f>
    </oc>
    <nc r="S201">
      <f>R201</f>
    </nc>
    <odxf>
      <alignment horizontal="general" readingOrder="0"/>
      <border outline="0">
        <left/>
        <right/>
        <top/>
        <bottom/>
      </border>
    </odxf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59" sId="4" odxf="1" dxf="1">
    <oc r="S207">
      <f>R207</f>
    </oc>
    <nc r="S207">
      <f>R207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60" sId="4">
    <oc r="S208">
      <f>R208</f>
    </oc>
    <nc r="S208">
      <f>R208</f>
    </nc>
  </rcc>
  <rcc rId="3861" sId="4">
    <oc r="S209">
      <f>R209</f>
    </oc>
    <nc r="S209">
      <f>R209</f>
    </nc>
  </rcc>
  <rcc rId="3862" sId="4">
    <oc r="S210">
      <f>R210</f>
    </oc>
    <nc r="S210">
      <f>R210</f>
    </nc>
  </rcc>
  <rcc rId="3863" sId="4">
    <oc r="S211">
      <f>R211</f>
    </oc>
    <nc r="S211">
      <f>R211</f>
    </nc>
  </rcc>
  <rcc rId="3864" sId="4">
    <oc r="S212">
      <f>R212</f>
    </oc>
    <nc r="S212">
      <f>R212</f>
    </nc>
  </rcc>
  <rcc rId="3865" sId="4">
    <oc r="S213">
      <f>R213</f>
    </oc>
    <nc r="S213">
      <f>R213</f>
    </nc>
  </rcc>
  <rcc rId="3866" sId="4">
    <oc r="S214">
      <f>R214</f>
    </oc>
    <nc r="S214">
      <f>R214</f>
    </nc>
  </rcc>
  <rcc rId="3867" sId="4">
    <oc r="S215">
      <f>R215</f>
    </oc>
    <nc r="S215">
      <f>R215</f>
    </nc>
  </rcc>
  <rcc rId="3868" sId="4">
    <oc r="S216">
      <f>R216</f>
    </oc>
    <nc r="S216">
      <f>R216</f>
    </nc>
  </rcc>
  <rcc rId="3869" sId="4">
    <oc r="S217">
      <f>R217</f>
    </oc>
    <nc r="S217">
      <f>R217</f>
    </nc>
  </rcc>
  <rcc rId="3870" sId="4">
    <oc r="S218">
      <f>R218</f>
    </oc>
    <nc r="S218">
      <f>R218</f>
    </nc>
  </rcc>
  <rcc rId="3871" sId="4">
    <oc r="S219">
      <f>R219</f>
    </oc>
    <nc r="S219">
      <f>R219</f>
    </nc>
  </rcc>
  <rcc rId="3872" sId="4">
    <oc r="S220">
      <f>R220</f>
    </oc>
    <nc r="S220">
      <f>R220</f>
    </nc>
  </rcc>
  <rcc rId="3873" sId="4">
    <oc r="S221">
      <f>R221</f>
    </oc>
    <nc r="S221">
      <f>R221</f>
    </nc>
  </rcc>
  <rcc rId="3874" sId="4" odxf="1" dxf="1">
    <oc r="S222">
      <f>R222</f>
    </oc>
    <nc r="S222">
      <f>R222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75" sId="4">
    <oc r="S223">
      <f>R223</f>
    </oc>
    <nc r="S223">
      <f>R223</f>
    </nc>
  </rcc>
  <rcc rId="3876" sId="4">
    <oc r="S224">
      <f>R224</f>
    </oc>
    <nc r="S224">
      <f>R224</f>
    </nc>
  </rcc>
  <rcc rId="3877" sId="4">
    <oc r="S225">
      <f>R225</f>
    </oc>
    <nc r="S225">
      <f>R225</f>
    </nc>
  </rcc>
  <rcc rId="3878" sId="4">
    <oc r="S226">
      <f>R226</f>
    </oc>
    <nc r="S226">
      <f>R226</f>
    </nc>
  </rcc>
  <rcc rId="3879" sId="4">
    <oc r="S227">
      <f>R227</f>
    </oc>
    <nc r="S227">
      <f>R227</f>
    </nc>
  </rcc>
  <rcc rId="3880" sId="4">
    <oc r="S228">
      <f>R228</f>
    </oc>
    <nc r="S228">
      <f>R228</f>
    </nc>
  </rcc>
  <rcc rId="3881" sId="4">
    <oc r="S229">
      <f>R229</f>
    </oc>
    <nc r="S229">
      <f>R229</f>
    </nc>
  </rcc>
  <rcc rId="3882" sId="4" odxf="1" dxf="1">
    <oc r="S230">
      <f>R230</f>
    </oc>
    <nc r="S230">
      <f>R230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83" sId="4">
    <oc r="S231">
      <f>R231</f>
    </oc>
    <nc r="S231">
      <f>R231</f>
    </nc>
  </rcc>
  <rcc rId="3884" sId="4">
    <oc r="S232">
      <f>R232</f>
    </oc>
    <nc r="S232">
      <f>R232</f>
    </nc>
  </rcc>
  <rcc rId="3885" sId="4">
    <oc r="S233">
      <f>R233</f>
    </oc>
    <nc r="S233">
      <f>R233</f>
    </nc>
  </rcc>
  <rcc rId="3886" sId="4" odxf="1" dxf="1">
    <oc r="S234">
      <f>R234</f>
    </oc>
    <nc r="S234">
      <f>R234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87" sId="4">
    <oc r="S235">
      <f>R235</f>
    </oc>
    <nc r="S235">
      <f>R235</f>
    </nc>
  </rcc>
  <rcc rId="3888" sId="4">
    <oc r="S236">
      <f>R236</f>
    </oc>
    <nc r="S236">
      <f>R236</f>
    </nc>
  </rcc>
  <rcc rId="3889" sId="4">
    <oc r="S237">
      <f>R237</f>
    </oc>
    <nc r="S237">
      <f>R237</f>
    </nc>
  </rcc>
  <rcc rId="3890" sId="4">
    <oc r="S238">
      <f>R238</f>
    </oc>
    <nc r="S238">
      <f>R238</f>
    </nc>
  </rcc>
  <rcc rId="3891" sId="4" odxf="1" dxf="1">
    <oc r="S239">
      <f>R239</f>
    </oc>
    <nc r="S239">
      <f>R239</f>
    </nc>
    <odxf>
      <alignment horizontal="general" readingOrder="0"/>
      <border outline="0">
        <left/>
        <right/>
        <top/>
        <bottom/>
      </border>
    </odxf>
    <ndxf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ndxf>
  </rcc>
  <rcc rId="3892" sId="4" odxf="1" dxf="1">
    <oc r="S240">
      <f>R240</f>
    </oc>
    <nc r="S240">
      <f>R240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93" sId="4" odxf="1" dxf="1">
    <oc r="S241">
      <f>R241</f>
    </oc>
    <nc r="S241">
      <f>R241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</revisions>
</file>

<file path=xl/revisions/revisionLog15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S180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cc rId="3894" sId="4" odxf="1" dxf="1">
    <oc r="S181">
      <f>R181</f>
    </oc>
    <nc r="S181">
      <f>R181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95" sId="4" odxf="1" dxf="1">
    <oc r="S182">
      <f>R182</f>
    </oc>
    <nc r="S182">
      <f>R182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96" sId="4" odxf="1" dxf="1">
    <oc r="S183">
      <f>R183</f>
    </oc>
    <nc r="S183">
      <f>R183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97" sId="4" odxf="1" dxf="1">
    <oc r="S184">
      <f>R184</f>
    </oc>
    <nc r="S184">
      <f>R184</f>
    </nc>
    <odxf>
      <font>
        <sz val="10"/>
        <color rgb="FF9C6500"/>
        <name val="Arial"/>
        <scheme val="none"/>
      </font>
      <fill>
        <patternFill patternType="solid">
          <bgColor rgb="FFFFEB9C"/>
        </patternFill>
      </fill>
    </odxf>
    <ndxf>
      <font>
        <sz val="11"/>
        <color theme="1"/>
        <name val="Calibri"/>
        <scheme val="minor"/>
      </font>
      <fill>
        <patternFill patternType="none">
          <bgColor indexed="65"/>
        </patternFill>
      </fill>
    </ndxf>
  </rcc>
  <rcc rId="3898" sId="4">
    <oc r="S180">
      <f>R180</f>
    </oc>
    <nc r="S180">
      <f>R180</f>
    </nc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5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40:H24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5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05" sId="4">
    <oc r="W240" t="inlineStr">
      <is>
        <t>Ready for review</t>
      </is>
    </oc>
    <nc r="W240" t="inlineStr">
      <is>
        <t>Ready for PLC</t>
      </is>
    </nc>
  </rcc>
  <rcc rId="3906" sId="4">
    <oc r="W241" t="inlineStr">
      <is>
        <t>Ready for review</t>
      </is>
    </oc>
    <nc r="W241" t="inlineStr">
      <is>
        <t>Ready for PLC</t>
      </is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5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22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3911" sId="4">
    <nc r="T222">
      <f>S222</f>
    </nc>
  </rcc>
  <rcc rId="3912" sId="4">
    <nc r="V222">
      <v>1</v>
    </nc>
  </rcc>
  <rcc rId="3913" sId="4">
    <nc r="W222" t="inlineStr">
      <is>
        <t>Ready for review</t>
      </is>
    </nc>
  </rcc>
  <rcc rId="3914" sId="4" numFmtId="19">
    <nc r="Z222">
      <v>43937</v>
    </nc>
  </rcc>
  <rcc rId="3915" sId="4" numFmtId="19">
    <nc r="AA222">
      <v>43937</v>
    </nc>
  </rcc>
  <rcc rId="3916" sId="4">
    <nc r="AB222" t="inlineStr">
      <is>
        <t>OK</t>
      </is>
    </nc>
  </rcc>
  <rcc rId="3917" sId="4" odxf="1" dxf="1">
    <nc r="AC22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18" sId="4" odxf="1" dxf="1">
    <nc r="AD22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19" sId="4" odxf="1" dxf="1">
    <nc r="AE22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20" sId="4" odxf="1" dxf="1">
    <nc r="AF222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5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24" sId="4">
    <nc r="T202">
      <f>S202</f>
    </nc>
  </rcc>
  <rcc rId="3925" sId="4">
    <nc r="W202" t="inlineStr">
      <is>
        <t>Ready for review</t>
      </is>
    </nc>
  </rcc>
  <rcc rId="3926" sId="4">
    <nc r="V202">
      <v>5</v>
    </nc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5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30" sId="4" numFmtId="19">
    <nc r="Z202">
      <v>43937</v>
    </nc>
  </rcc>
  <rcc rId="3931" sId="4" numFmtId="19">
    <nc r="AA202">
      <v>43937</v>
    </nc>
  </rcc>
  <rcc rId="3932" sId="4">
    <nc r="AB202" t="inlineStr">
      <is>
        <t>OK</t>
      </is>
    </nc>
  </rcc>
  <rcc rId="3933" sId="4" odxf="1" dxf="1">
    <nc r="AC20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34" sId="4" odxf="1" dxf="1">
    <nc r="AD20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35" sId="4" odxf="1" dxf="1">
    <nc r="AE20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36" sId="4" odxf="1" dxf="1">
    <nc r="AF202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5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40" sId="4">
    <nc r="V162">
      <v>4</v>
    </nc>
  </rcc>
  <rcc rId="3941" sId="4">
    <nc r="W162" t="inlineStr">
      <is>
        <t>Ready for review</t>
      </is>
    </nc>
  </rcc>
  <rcc rId="3942" sId="4" numFmtId="19">
    <nc r="Z162">
      <v>43937</v>
    </nc>
  </rcc>
  <rcc rId="3943" sId="4" numFmtId="19">
    <nc r="AA162">
      <v>43937</v>
    </nc>
  </rcc>
  <rcc rId="3944" sId="4" odxf="1" dxf="1">
    <nc r="AB162" t="inlineStr">
      <is>
        <t>OK</t>
      </is>
    </nc>
    <odxf>
      <font>
        <sz val="11"/>
        <color theme="1"/>
        <name val="Calibri"/>
        <scheme val="minor"/>
      </font>
      <numFmt numFmtId="19" formatCode="m/d/yyyy"/>
    </odxf>
    <ndxf>
      <font>
        <sz val="11"/>
        <color auto="1"/>
        <name val="Calibri"/>
        <scheme val="minor"/>
      </font>
      <numFmt numFmtId="0" formatCode="General"/>
    </ndxf>
  </rcc>
  <rcc rId="3945" sId="4" odxf="1" dxf="1">
    <nc r="AC16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6" sId="4" odxf="1" dxf="1">
    <nc r="AD16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7" sId="4" odxf="1" dxf="1">
    <nc r="AE162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48" sId="4" odxf="1" dxf="1">
    <nc r="AF162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6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53" sId="4">
    <nc r="V163">
      <v>4</v>
    </nc>
  </rcc>
  <rcc rId="3954" sId="4">
    <nc r="W163" t="inlineStr">
      <is>
        <t>Ready for review</t>
      </is>
    </nc>
  </rcc>
  <rcc rId="3955" sId="4" numFmtId="19">
    <nc r="Z163">
      <v>43937</v>
    </nc>
  </rcc>
  <rcc rId="3956" sId="4" numFmtId="19">
    <nc r="AA163">
      <v>43937</v>
    </nc>
  </rcc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6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0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3961" sId="4">
    <nc r="T207">
      <f>S207</f>
    </nc>
  </rcc>
  <rcc rId="3962" sId="4">
    <nc r="V207">
      <v>1</v>
    </nc>
  </rcc>
  <rcc rId="3963" sId="4">
    <nc r="W207" t="inlineStr">
      <is>
        <t>Ready for review</t>
      </is>
    </nc>
  </rcc>
  <rcc rId="3964" sId="4" numFmtId="19">
    <nc r="Z207">
      <v>43937</v>
    </nc>
  </rcc>
  <rcc rId="3965" sId="4" numFmtId="19">
    <nc r="AA207">
      <v>43937</v>
    </nc>
  </rcc>
  <rcc rId="3966" sId="4">
    <nc r="AB207" t="inlineStr">
      <is>
        <t>OK</t>
      </is>
    </nc>
  </rcc>
  <rcc rId="3967" sId="4" odxf="1" dxf="1">
    <nc r="AC20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68" sId="4" odxf="1" dxf="1">
    <nc r="AD20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69" sId="4" odxf="1" dxf="1">
    <nc r="AE20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70" sId="4" odxf="1" dxf="1">
    <nc r="AF20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6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74" sId="4">
    <nc r="T203">
      <f>S203</f>
    </nc>
  </rcc>
  <rcc rId="3975" sId="4">
    <nc r="V203">
      <v>1</v>
    </nc>
  </rcc>
  <rcc rId="3976" sId="4">
    <nc r="W203" t="inlineStr">
      <is>
        <t>Ready for review</t>
      </is>
    </nc>
  </rcc>
  <rcc rId="3977" sId="4" numFmtId="19">
    <nc r="Z203">
      <v>43937</v>
    </nc>
  </rcc>
  <rcc rId="3978" sId="4" numFmtId="19">
    <nc r="AA203">
      <v>43937</v>
    </nc>
  </rcc>
  <rcc rId="3979" sId="4">
    <nc r="AB203" t="inlineStr">
      <is>
        <t>OK</t>
      </is>
    </nc>
  </rcc>
  <rcc rId="3980" sId="4" odxf="1" dxf="1">
    <nc r="AC20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81" sId="4" odxf="1" dxf="1">
    <nc r="AD20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82" sId="4" odxf="1" dxf="1">
    <nc r="AE203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83" sId="4" odxf="1" dxf="1">
    <nc r="AF203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6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01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</revisions>
</file>

<file path=xl/revisions/revisionLog16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3987" sId="4">
    <nc r="T201">
      <f>S201</f>
    </nc>
  </rcc>
  <rcc rId="3988" sId="4">
    <nc r="V201">
      <v>1</v>
    </nc>
  </rcc>
  <rcc rId="3989" sId="4">
    <nc r="W201" t="inlineStr">
      <is>
        <t>Ready for review</t>
      </is>
    </nc>
  </rcc>
  <rcc rId="3990" sId="4" numFmtId="19">
    <nc r="Z201">
      <v>43937</v>
    </nc>
  </rcc>
  <rcc rId="3991" sId="4" numFmtId="19">
    <nc r="AA201">
      <v>43937</v>
    </nc>
  </rcc>
  <rcc rId="3992" sId="4">
    <nc r="AB201" t="inlineStr">
      <is>
        <t>OK</t>
      </is>
    </nc>
  </rcc>
  <rcc rId="3993" sId="4" odxf="1" dxf="1">
    <nc r="AC20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94" sId="4" odxf="1" dxf="1">
    <nc r="AD20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95" sId="4" odxf="1" dxf="1">
    <nc r="AE201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3996" sId="4" odxf="1" dxf="1">
    <nc r="AF201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6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6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4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25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2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42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43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44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5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5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58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6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76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77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78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79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80" start="0" length="0">
    <dxf/>
  </rfmt>
  <rfmt sheetId="4" sqref="H81" start="0" length="0">
    <dxf/>
  </rfmt>
  <rfmt sheetId="4" sqref="H82" start="0" length="0">
    <dxf/>
  </rfmt>
  <rfmt sheetId="4" sqref="H83" start="0" length="0">
    <dxf/>
  </rfmt>
  <rfmt sheetId="4" sqref="H84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85" start="0" length="0">
    <dxf/>
  </rfmt>
  <rfmt sheetId="4" sqref="H86" start="0" length="0">
    <dxf/>
  </rfmt>
  <rfmt sheetId="4" sqref="H87" start="0" length="0">
    <dxf/>
  </rfmt>
  <rfmt sheetId="4" sqref="H88" start="0" length="0">
    <dxf/>
  </rfmt>
  <rfmt sheetId="4" sqref="H89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90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9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92" start="0" length="0">
    <dxf/>
  </rfmt>
  <rfmt sheetId="4" sqref="H93" start="0" length="0">
    <dxf/>
  </rfmt>
  <rfmt sheetId="4" sqref="H94" start="0" length="0">
    <dxf/>
  </rfmt>
  <rfmt sheetId="4" sqref="H95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96" start="0" length="0">
    <dxf/>
  </rfmt>
  <rfmt sheetId="4" sqref="H97" start="0" length="0">
    <dxf/>
  </rfmt>
  <rfmt sheetId="4" sqref="H98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  <rfmt sheetId="4" sqref="H99" start="0" length="0">
    <dxf/>
  </rfmt>
  <rfmt sheetId="4" sqref="H100" start="0" length="0">
    <dxf/>
  </rfmt>
  <rfmt sheetId="4" sqref="H101" start="0" length="0">
    <dxf>
      <font>
        <sz val="11"/>
        <color theme="1"/>
        <name val="Calibri"/>
        <scheme val="minor"/>
      </font>
      <fill>
        <patternFill patternType="none">
          <bgColor indexed="65"/>
        </patternFill>
      </fill>
    </dxf>
  </rfmt>
</revisions>
</file>

<file path=xl/revisions/revisionLog167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003" sId="4">
    <nc r="T204">
      <f>S204</f>
    </nc>
  </rcc>
  <rcc rId="4004" sId="4">
    <nc r="V204">
      <v>1</v>
    </nc>
  </rcc>
  <rcc rId="4005" sId="4">
    <nc r="W204" t="inlineStr">
      <is>
        <t>Ready for review</t>
      </is>
    </nc>
  </rcc>
  <rcc rId="4006" sId="4" numFmtId="19">
    <nc r="Z204">
      <v>43937</v>
    </nc>
  </rcc>
  <rcc rId="4007" sId="4" numFmtId="19">
    <nc r="AA204">
      <v>43937</v>
    </nc>
  </rcc>
  <rcc rId="4008" sId="4">
    <nc r="AB204" t="inlineStr">
      <is>
        <t>OK</t>
      </is>
    </nc>
  </rcc>
  <rcc rId="4009" sId="4" odxf="1" dxf="1">
    <nc r="AC20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10" sId="4" odxf="1" dxf="1">
    <nc r="AD20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11" sId="4" odxf="1" dxf="1">
    <nc r="AE20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12" sId="4" odxf="1" dxf="1">
    <nc r="AF20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68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200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4016" sId="4">
    <nc r="T200">
      <f>S200</f>
    </nc>
  </rcc>
  <rcc rId="4017" sId="4">
    <nc r="V200">
      <v>1</v>
    </nc>
  </rcc>
  <rcc rId="4018" sId="4">
    <nc r="W200" t="inlineStr">
      <is>
        <t>Ready for review</t>
      </is>
    </nc>
  </rcc>
  <rcc rId="4019" sId="4" numFmtId="19">
    <nc r="Z200">
      <v>43937</v>
    </nc>
  </rcc>
  <rcc rId="4020" sId="4" numFmtId="19">
    <nc r="AA200">
      <v>43937</v>
    </nc>
  </rcc>
  <rcc rId="4021" sId="4">
    <nc r="AB200" t="inlineStr">
      <is>
        <t>OK</t>
      </is>
    </nc>
  </rcc>
  <rcc rId="4022" sId="4" odxf="1" dxf="1">
    <nc r="AC20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23" sId="4" odxf="1" dxf="1">
    <nc r="AD20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24" sId="4" odxf="1" dxf="1">
    <nc r="AE200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25" sId="4" odxf="1" dxf="1">
    <nc r="AF200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69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c rId="4029" sId="4">
    <nc r="T205">
      <f>S205</f>
    </nc>
  </rcc>
  <rcc rId="4030" sId="4">
    <nc r="V205">
      <v>2</v>
    </nc>
  </rcc>
  <rcc rId="4031" sId="4">
    <nc r="W205" t="inlineStr">
      <is>
        <t>Ready for review</t>
      </is>
    </nc>
  </rcc>
  <rcc rId="4032" sId="4" numFmtId="19">
    <nc r="Z205">
      <v>43937</v>
    </nc>
  </rcc>
  <rcc rId="4033" sId="4" numFmtId="19">
    <nc r="AA205">
      <v>43937</v>
    </nc>
  </rcc>
  <rcc rId="4034" sId="4">
    <nc r="AB205" t="inlineStr">
      <is>
        <t>OK</t>
      </is>
    </nc>
  </rcc>
  <rcc rId="4035" sId="4" odxf="1" dxf="1">
    <nc r="AC20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36" sId="4" odxf="1" dxf="1">
    <nc r="AD20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37" sId="4" odxf="1" dxf="1">
    <nc r="AE205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38" sId="4" odxf="1" dxf="1">
    <nc r="AF205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4E06BDBF-2CED-473B-850B-2A6C7311FF41}" action="delete"/>
  <rdn rId="0" localSheetId="1" customView="1" name="Z_4E06BDBF_2CED_473B_850B_2A6C7311FF41_.wvu.FilterData" hidden="1" oldHidden="1">
    <formula>COEM_Package_20200302!$A$2:$AG$227</formula>
    <oldFormula>COEM_Package_20200302!$A$2:$AG$227</oldFormula>
  </rdn>
  <rdn rId="0" localSheetId="4" customView="1" name="Z_4E06BDBF_2CED_473B_850B_2A6C7311FF41_.wvu.Cols" hidden="1" oldHidden="1">
    <formula>COEM_Package_20200401!$P:$Q</formula>
    <oldFormula>COEM_Package_20200401!$P:$Q</oldFormula>
  </rdn>
  <rdn rId="0" localSheetId="4" customView="1" name="Z_4E06BDBF_2CED_473B_850B_2A6C7311FF41_.wvu.FilterData" hidden="1" oldHidden="1">
    <formula>COEM_Package_20200401!$B$2:$AH$241</formula>
    <oldFormula>COEM_Package_20200401!$B$2:$AH$241</oldFormula>
  </rdn>
  <rcv guid="{4E06BDBF-2CED-473B-850B-2A6C7311FF41}" action="add"/>
</revisions>
</file>

<file path=xl/revisions/revisionLog170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9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4042" sId="4">
    <nc r="T199">
      <f>S199</f>
    </nc>
  </rcc>
  <rcc rId="4043" sId="4">
    <nc r="V199">
      <v>1</v>
    </nc>
  </rcc>
  <rcc rId="4044" sId="4">
    <nc r="W199" t="inlineStr">
      <is>
        <t>Ready for review</t>
      </is>
    </nc>
  </rcc>
  <rcc rId="4045" sId="4" numFmtId="19">
    <nc r="Z199">
      <v>43937</v>
    </nc>
  </rcc>
  <rcc rId="4046" sId="4" numFmtId="19">
    <nc r="AA199">
      <v>43937</v>
    </nc>
  </rcc>
  <rcc rId="4047" sId="4">
    <nc r="AB199" t="inlineStr">
      <is>
        <t>OK</t>
      </is>
    </nc>
  </rcc>
  <rcc rId="4048" sId="4" odxf="1" dxf="1">
    <nc r="AC19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49" sId="4" odxf="1" dxf="1">
    <nc r="AD19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50" sId="4" odxf="1" dxf="1">
    <nc r="AE199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51" sId="4" odxf="1" dxf="1">
    <nc r="AF199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71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9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4055" sId="4">
    <nc r="T198">
      <f>S198</f>
    </nc>
  </rcc>
  <rcc rId="4056" sId="4">
    <nc r="V198">
      <v>1</v>
    </nc>
  </rcc>
  <rcc rId="4057" sId="4">
    <nc r="W198" t="inlineStr">
      <is>
        <t>Ready for review</t>
      </is>
    </nc>
  </rcc>
  <rcc rId="4058" sId="4" numFmtId="19">
    <nc r="Z198">
      <v>43937</v>
    </nc>
  </rcc>
  <rcc rId="4059" sId="4" numFmtId="19">
    <nc r="AA198">
      <v>43937</v>
    </nc>
  </rcc>
  <rcc rId="4060" sId="4">
    <nc r="AB198" t="inlineStr">
      <is>
        <t>OK</t>
      </is>
    </nc>
  </rcc>
  <rcc rId="4061" sId="4" odxf="1" dxf="1">
    <nc r="AC19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62" sId="4" odxf="1" dxf="1">
    <nc r="AD19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63" sId="4" odxf="1" dxf="1">
    <nc r="AE198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64" sId="4" odxf="1" dxf="1">
    <nc r="AF198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72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9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4068" sId="4">
    <nc r="T197">
      <f>S197</f>
    </nc>
  </rcc>
  <rcc rId="4069" sId="4">
    <nc r="W197" t="inlineStr">
      <is>
        <t>Ready for review</t>
      </is>
    </nc>
  </rcc>
  <rcc rId="4070" sId="4" numFmtId="19">
    <nc r="Z197">
      <v>43937</v>
    </nc>
  </rcc>
  <rcc rId="4071" sId="4" numFmtId="19">
    <nc r="AA197">
      <v>43937</v>
    </nc>
  </rcc>
  <rcc rId="4072" sId="4">
    <nc r="AB197" t="inlineStr">
      <is>
        <t>OK</t>
      </is>
    </nc>
  </rcc>
  <rcc rId="4073" sId="4" odxf="1" dxf="1">
    <nc r="AC19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74" sId="4" odxf="1" dxf="1">
    <nc r="AD19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75" sId="4" odxf="1" dxf="1">
    <nc r="AE197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76" sId="4" odxf="1" dxf="1">
    <nc r="AF197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73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84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  <border diagonalUp="0" diagonalDown="0" outline="0">
        <left/>
        <right/>
        <top/>
        <bottom/>
      </border>
      <protection locked="1" hidden="0"/>
    </dxf>
  </rfmt>
  <rcc rId="4080" sId="4">
    <nc r="T184">
      <f>S184</f>
    </nc>
  </rcc>
  <rcc rId="4081" sId="4">
    <nc r="W184" t="inlineStr">
      <is>
        <t>Ready for review</t>
      </is>
    </nc>
  </rcc>
  <rcc rId="4082" sId="4" numFmtId="19">
    <nc r="Z184">
      <v>43937</v>
    </nc>
  </rcc>
  <rcc rId="4083" sId="4" numFmtId="19">
    <nc r="AA184">
      <v>43937</v>
    </nc>
  </rcc>
  <rcc rId="4084" sId="4">
    <nc r="AB184" t="inlineStr">
      <is>
        <t>OK</t>
      </is>
    </nc>
  </rcc>
  <rcc rId="4085" sId="4" odxf="1" dxf="1">
    <nc r="AC18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86" sId="4" odxf="1" dxf="1">
    <nc r="AD18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87" sId="4" odxf="1" dxf="1">
    <nc r="AE184">
      <v>100</v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c rId="4088" sId="4" odxf="1" dxf="1">
    <nc r="AF184" t="inlineStr">
      <is>
        <t>N/A</t>
      </is>
    </nc>
    <odxf>
      <font>
        <sz val="11"/>
        <color theme="1"/>
        <name val="Calibri"/>
        <scheme val="minor"/>
      </font>
    </odxf>
    <ndxf>
      <font>
        <sz val="11"/>
        <color auto="1"/>
        <name val="Calibri"/>
        <scheme val="minor"/>
      </font>
    </ndxf>
  </rcc>
  <rcv guid="{72A6EB0A-84D5-4B8A-AC51-54CCD061630B}" action="delete"/>
  <rdn rId="0" localSheetId="1" customView="1" name="Z_72A6EB0A_84D5_4B8A_AC51_54CCD061630B_.wvu.FilterData" hidden="1" oldHidden="1">
    <formula>COEM_Package_20200302!$A$2:$AG$227</formula>
    <oldFormula>COEM_Package_20200302!$A$2:$AG$227</oldFormula>
  </rdn>
  <rdn rId="0" localSheetId="4" customView="1" name="Z_72A6EB0A_84D5_4B8A_AC51_54CCD061630B_.wvu.Cols" hidden="1" oldHidden="1">
    <formula>COEM_Package_20200401!$P:$Q</formula>
    <oldFormula>COEM_Package_20200401!$P:$Q</oldFormula>
  </rdn>
  <rdn rId="0" localSheetId="4" customView="1" name="Z_72A6EB0A_84D5_4B8A_AC51_54CCD061630B_.wvu.FilterData" hidden="1" oldHidden="1">
    <formula>COEM_Package_20200401!$B$2:$AH$241</formula>
    <oldFormula>COEM_Package_20200401!$B$2:$AH$241</oldFormula>
  </rdn>
  <rcv guid="{72A6EB0A-84D5-4B8A-AC51-54CCD061630B}" action="add"/>
</revisions>
</file>

<file path=xl/revisions/revisionLog174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fmt sheetId="4" sqref="H184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85" start="0" length="0">
    <dxf>
      <font>
        <sz val="11"/>
        <color theme="1"/>
        <name val="Calibri"/>
        <scheme val="minor"/>
      </font>
    </dxf>
  </rfmt>
  <rfmt sheetId="4" sqref="H186" start="0" length="0">
    <dxf>
      <font>
        <sz val="11"/>
        <color theme="1"/>
        <name val="Calibri"/>
        <scheme val="minor"/>
      </font>
    </dxf>
  </rfmt>
  <rfmt sheetId="4" sqref="H187" start="0" length="0">
    <dxf>
      <font>
        <sz val="11"/>
        <color theme="1"/>
        <name val="Calibri"/>
        <scheme val="minor"/>
      </font>
    </dxf>
  </rfmt>
  <rfmt sheetId="4" sqref="H188" start="0" length="0">
    <dxf>
      <font>
        <sz val="11"/>
        <color theme="1"/>
        <name val="Calibri"/>
        <scheme val="minor"/>
      </font>
    </dxf>
  </rfmt>
  <rfmt sheetId="4" sqref="H189" start="0" length="0">
    <dxf>
      <font>
        <sz val="11"/>
        <color theme="1"/>
        <name val="Calibri"/>
        <scheme val="minor"/>
      </font>
    </dxf>
  </rfmt>
  <rfmt sheetId="4" sqref="H190" start="0" length="0">
    <dxf>
      <font>
        <sz val="11"/>
        <color theme="1"/>
        <name val="Calibri"/>
        <scheme val="minor"/>
      </font>
    </dxf>
  </rfmt>
  <rfmt sheetId="4" sqref="H191" start="0" length="0">
    <dxf>
      <font>
        <sz val="11"/>
        <color theme="1"/>
        <name val="Calibri"/>
        <scheme val="minor"/>
      </font>
    </dxf>
  </rfmt>
  <rfmt sheetId="4" sqref="H192" start="0" length="0">
    <dxf>
      <font>
        <sz val="11"/>
        <color theme="1"/>
        <name val="Calibri"/>
        <scheme val="minor"/>
      </font>
    </dxf>
  </rfmt>
  <rfmt sheetId="4" sqref="H193" start="0" length="0">
    <dxf>
      <font>
        <sz val="11"/>
        <color theme="1"/>
        <name val="Calibri"/>
        <scheme val="minor"/>
      </font>
    </dxf>
  </rfmt>
  <rfmt sheetId="4" sqref="H194" start="0" length="0">
    <dxf>
      <font>
        <sz val="11"/>
        <color theme="1"/>
        <name val="Calibri"/>
        <scheme val="minor"/>
      </font>
    </dxf>
  </rfmt>
  <rfmt sheetId="4" sqref="H195" start="0" length="0">
    <dxf>
      <font>
        <sz val="11"/>
        <color theme="1"/>
        <name val="Calibri"/>
        <scheme val="minor"/>
      </font>
    </dxf>
  </rfmt>
  <rfmt sheetId="4" sqref="H196" start="0" length="0">
    <dxf>
      <font>
        <sz val="11"/>
        <color theme="1"/>
        <name val="Calibri"/>
        <scheme val="minor"/>
      </font>
    </dxf>
  </rfmt>
  <rfmt sheetId="4" sqref="H197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98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199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200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201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202" start="0" length="0">
    <dxf>
      <font>
        <sz val="11"/>
        <color theme="1"/>
        <name val="Calibri"/>
        <scheme val="minor"/>
      </font>
    </dxf>
  </rfmt>
  <rfmt sheetId="4" sqref="H203" start="0" length="0">
    <dxf>
      <font>
        <sz val="11"/>
        <color theme="1"/>
        <name val="Calibri"/>
        <scheme val="minor"/>
      </font>
    </dxf>
  </rfmt>
  <rfmt sheetId="4" sqref="H204" start="0" length="0">
    <dxf>
      <font>
        <sz val="11"/>
        <color theme="1"/>
        <name val="Calibri"/>
        <scheme val="minor"/>
      </font>
    </dxf>
  </rfmt>
  <rfmt sheetId="4" sqref="H205" start="0" length="0">
    <dxf>
      <font>
        <sz val="11"/>
        <color theme="1"/>
        <name val="Calibri"/>
        <scheme val="minor"/>
      </font>
    </dxf>
  </rfmt>
  <rfmt sheetId="4" sqref="H206" start="0" length="0">
    <dxf>
      <font>
        <sz val="11"/>
        <color theme="1"/>
        <name val="Calibri"/>
        <scheme val="minor"/>
      </font>
    </dxf>
  </rfmt>
  <rfmt sheetId="4" sqref="H207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208" start="0" length="0">
    <dxf>
      <font>
        <sz val="11"/>
        <color theme="1"/>
        <name val="Calibri"/>
        <scheme val="minor"/>
      </font>
    </dxf>
  </rfmt>
  <rfmt sheetId="4" sqref="H209" start="0" length="0">
    <dxf>
      <font>
        <sz val="11"/>
        <color theme="1"/>
        <name val="Calibri"/>
        <scheme val="minor"/>
      </font>
    </dxf>
  </rfmt>
  <rfmt sheetId="4" sqref="H210" start="0" length="0">
    <dxf>
      <font>
        <sz val="11"/>
        <color theme="1"/>
        <name val="Calibri"/>
        <scheme val="minor"/>
      </font>
    </dxf>
  </rfmt>
  <rfmt sheetId="4" sqref="H211" start="0" length="0">
    <dxf>
      <font>
        <sz val="11"/>
        <color theme="1"/>
        <name val="Calibri"/>
        <scheme val="minor"/>
      </font>
    </dxf>
  </rfmt>
  <rfmt sheetId="4" sqref="H212" start="0" length="0">
    <dxf>
      <font>
        <sz val="11"/>
        <color theme="1"/>
        <name val="Calibri"/>
        <scheme val="minor"/>
      </font>
    </dxf>
  </rfmt>
  <rfmt sheetId="4" sqref="H213" start="0" length="0">
    <dxf>
      <font>
        <sz val="11"/>
        <color theme="1"/>
        <name val="Calibri"/>
        <scheme val="minor"/>
      </font>
    </dxf>
  </rfmt>
  <rfmt sheetId="4" sqref="H214" start="0" length="0">
    <dxf>
      <font>
        <sz val="11"/>
        <color theme="1"/>
        <name val="Calibri"/>
        <scheme val="minor"/>
      </font>
    </dxf>
  </rfmt>
  <rfmt sheetId="4" sqref="H215" start="0" length="0">
    <dxf>
      <font>
        <sz val="11"/>
        <color theme="1"/>
        <name val="Calibri"/>
        <scheme val="minor"/>
      </font>
    </dxf>
  </rfmt>
  <rfmt sheetId="4" sqref="H216" start="0" length="0">
    <dxf>
      <font>
        <sz val="11"/>
        <color theme="1"/>
        <name val="Calibri"/>
        <scheme val="minor"/>
      </font>
    </dxf>
  </rfmt>
  <rfmt sheetId="4" sqref="H217" start="0" length="0">
    <dxf>
      <font>
        <sz val="11"/>
        <color theme="1"/>
        <name val="Calibri"/>
        <scheme val="minor"/>
      </font>
    </dxf>
  </rfmt>
  <rfmt sheetId="4" sqref="H218" start="0" length="0">
    <dxf>
      <font>
        <sz val="11"/>
        <color theme="1"/>
        <name val="Calibri"/>
        <scheme val="minor"/>
      </font>
    </dxf>
  </rfmt>
  <rfmt sheetId="4" sqref="H219" start="0" length="0">
    <dxf>
      <font>
        <sz val="11"/>
        <color theme="1"/>
        <name val="Calibri"/>
        <scheme val="minor"/>
      </font>
    </dxf>
  </rfmt>
  <rfmt sheetId="4" sqref="H220" start="0" length="0">
    <dxf>
      <font>
        <sz val="11"/>
        <color theme="1"/>
        <name val="Calibri"/>
        <scheme val="minor"/>
      </font>
    </dxf>
  </rfmt>
  <rfmt sheetId="4" sqref="H221" start="0" length="0">
    <dxf>
      <font>
        <sz val="11"/>
        <color theme="1"/>
        <name val="Calibri"/>
        <scheme val="minor"/>
      </font>
    </dxf>
  </rfmt>
  <rfmt sheetId="4" sqref="H222" start="0" length="0">
    <dxf>
      <font>
        <sz val="11"/>
        <color theme="1"/>
        <name val="Calibri"/>
        <scheme val="minor"/>
      </font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223" start="0" length="0">
    <dxf>
      <font>
        <sz val="11"/>
        <color theme="1"/>
        <name val="Calibri"/>
        <scheme val="minor"/>
      </font>
    </dxf>
  </rfmt>
  <rfmt sheetId="4" sqref="H224" start="0" length="0">
    <dxf>
      <font>
        <sz val="11"/>
        <color theme="1"/>
        <name val="Calibri"/>
        <scheme val="minor"/>
      </font>
    </dxf>
  </rfmt>
  <rfmt sheetId="4" sqref="H225" start="0" length="0">
    <dxf>
      <font>
        <sz val="11"/>
        <color theme="1"/>
        <name val="Calibri"/>
        <scheme val="minor"/>
      </font>
    </dxf>
  </rfmt>
  <rfmt sheetId="4" sqref="H226" start="0" length="0">
    <dxf>
      <font>
        <sz val="11"/>
        <color theme="1"/>
        <name val="Calibri"/>
        <scheme val="minor"/>
      </font>
    </dxf>
  </rfmt>
  <rfmt sheetId="4" sqref="H227" start="0" length="0">
    <dxf>
      <font>
        <sz val="11"/>
        <color theme="1"/>
        <name val="Calibri"/>
        <scheme val="minor"/>
      </font>
    </dxf>
  </rfmt>
  <rfmt sheetId="4" sqref="H228" start="0" length="0">
    <dxf>
      <font>
        <sz val="11"/>
        <color theme="1"/>
        <name val="Calibri"/>
        <scheme val="minor"/>
      </font>
    </dxf>
  </rfmt>
  <rfmt sheetId="4" sqref="H229" start="0" length="0">
    <dxf>
      <font>
        <sz val="11"/>
        <color theme="1"/>
        <name val="Calibri"/>
        <scheme val="minor"/>
      </font>
    </dxf>
  </rfmt>
  <rfmt sheetId="4" sqref="H230" start="0" length="0">
    <dxf>
      <font/>
      <alignment horizontal="left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rfmt>
  <rfmt sheetId="4" sqref="H231" start="0" length="0">
    <dxf>
      <font>
        <sz val="11"/>
        <color theme="1"/>
        <name val="Calibri"/>
        <scheme val="minor"/>
      </font>
    </dxf>
  </rfmt>
  <rfmt sheetId="4" sqref="H232" start="0" length="0">
    <dxf>
      <font>
        <sz val="11"/>
        <color theme="1"/>
        <name val="Calibri"/>
        <scheme val="minor"/>
      </font>
    </dxf>
  </rfmt>
  <rfmt sheetId="4" sqref="H233" start="0" length="0">
    <dxf>
      <font>
        <sz val="11"/>
        <color theme="1"/>
        <name val="Calibri"/>
        <scheme val="minor"/>
      </font>
    </dxf>
  </rfmt>
  <rfmt sheetId="4" sqref="H234" start="0" length="0">
    <dxf>
      <font>
        <sz val="11"/>
        <color theme="1"/>
        <name val="Calibri"/>
        <scheme val="minor"/>
      </font>
    </dxf>
  </rfmt>
  <rfmt sheetId="4" sqref="H184" start="0" length="0">
    <dxf>
      <font>
        <sz val="11"/>
        <color theme="1"/>
        <name val="Calibri"/>
        <scheme val="minor"/>
      </font>
    </dxf>
  </rfmt>
</revisions>
</file>

<file path=xl/revisions/revisionLog175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revisionLog176.xml><?xml version="1.0" encoding="utf-8"?>
<revision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rcv guid="{7E0EA425-A420-4443-B9E0-CDF0AA9E5D09}" action="delete"/>
  <rdn rId="0" localSheetId="1" customView="1" name="Z_7E0EA425_A420_4443_B9E0_CDF0AA9E5D09_.wvu.Cols" hidden="1" oldHidden="1">
    <formula>COEM_Package_20200302!$P:$Q</formula>
    <oldFormula>COEM_Package_20200302!$P:$Q</oldFormula>
  </rdn>
  <rdn rId="0" localSheetId="1" customView="1" name="Z_7E0EA425_A420_4443_B9E0_CDF0AA9E5D09_.wvu.FilterData" hidden="1" oldHidden="1">
    <formula>COEM_Package_20200302!$A$2:$AG$227</formula>
    <oldFormula>COEM_Package_20200302!$A$2:$AG$227</oldFormula>
  </rdn>
  <rdn rId="0" localSheetId="4" customView="1" name="Z_7E0EA425_A420_4443_B9E0_CDF0AA9E5D09_.wvu.Cols" hidden="1" oldHidden="1">
    <formula>COEM_Package_20200401!$P:$Q</formula>
    <oldFormula>COEM_Package_20200401!$P:$Q</oldFormula>
  </rdn>
  <rdn rId="0" localSheetId="4" customView="1" name="Z_7E0EA425_A420_4443_B9E0_CDF0AA9E5D09_.wvu.FilterData" hidden="1" oldHidden="1">
    <formula>COEM_Package_20200401!$B$2:$AH$241</formula>
    <oldFormula>COEM_Package_20200401!$B$2:$AH$241</oldFormula>
  </rdn>
  <rcv guid="{7E0EA425-A420-4443-B9E0-CDF0AA9E5D09}" action="add"/>
</revisions>
</file>

<file path=xl/revisions/userNames.xml><?xml version="1.0" encoding="utf-8"?>
<users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 count="10">
  <userInfo guid="{1244AF7E-823D-4771-9B83-62C834207700}" name="EXTERNAL Nguyen Kim Thanh (Ban Vien, RBVH/EPS45)" id="-41277613" dateTime="2020-04-13T13:11:34"/>
  <userInfo guid="{62F0DBEC-7B42-46F0-A392-0BA8108DFFB9}" name="GUP7HC" id="-676897248" dateTime="2020-04-13T16:26:19"/>
  <userInfo guid="{2A073432-D11C-485C-A0FF-F8A81C37278B}" name="EXTERNAL Ly Chung (Ban Vien, RBVH/EPS45)" id="-274436810" dateTime="2020-04-14T11:44:44"/>
  <userInfo guid="{A6230015-41E9-4ACD-8BFE-DAC3BEDAA54A}" name="EXTERNAL Do Phu Loc (Ban Vien, RBVH/EPS45)" id="-1167972166" dateTime="2020-04-14T13:32:12"/>
  <userInfo guid="{DE2613D1-158C-42AD-9E3B-82C9BFD8112A}" name="EXTERNAL Nguyen Kim Thanh (Ban Vien, RBVH/EPS45)" id="-41227369" dateTime="2020-04-14T13:55:01"/>
  <userInfo guid="{BB7ED361-A74C-4D33-9248-B00AC116378D}" name="EXTERNAL Do Phu Loc (Ban Vien, RBVH/EPS45)" id="-1167948691" dateTime="2020-04-14T17:35:15"/>
  <userInfo guid="{82ABE991-D678-494A-B0A2-CA2B288696B4}" name="EXTERNAL Do Phu Loc (Ban Vien, RBVH/EPS45)" id="-1167938086" dateTime="2020-04-14T18:18:42"/>
  <userInfo guid="{D66C6253-FC4C-4E1A-86E4-AD7151E13D14}" name="EXTERNAL Nguyen Tuan Duong (Ban Vien, RBVH/EPS45)" id="-567372705" dateTime="2020-04-15T09:42:26"/>
  <userInfo guid="{825BF199-B843-4A1F-94FC-8FC42E92167C}" name="EXTERNAL Do Phu Loc (Ban Vien, RBVH/EPS45)" id="-1167969072" dateTime="2020-04-16T10:19:09"/>
  <userInfo guid="{BE021951-1E9C-413D-B37A-523474FACAF0}" name="EXTERNAL Ly Chung (Ban Vien, RBVH/EPS45)" id="-274437713" dateTime="2020-04-16T14:23:13"/>
</user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8.bin"/><Relationship Id="rId3" Type="http://schemas.openxmlformats.org/officeDocument/2006/relationships/printerSettings" Target="../printerSettings/printerSettings3.bin"/><Relationship Id="rId7" Type="http://schemas.openxmlformats.org/officeDocument/2006/relationships/printerSettings" Target="../printerSettings/printerSettings7.bin"/><Relationship Id="rId2" Type="http://schemas.openxmlformats.org/officeDocument/2006/relationships/printerSettings" Target="../printerSettings/printerSettings2.bin"/><Relationship Id="rId1" Type="http://schemas.openxmlformats.org/officeDocument/2006/relationships/printerSettings" Target="../printerSettings/printerSettings1.bin"/><Relationship Id="rId6" Type="http://schemas.openxmlformats.org/officeDocument/2006/relationships/printerSettings" Target="../printerSettings/printerSettings6.bin"/><Relationship Id="rId5" Type="http://schemas.openxmlformats.org/officeDocument/2006/relationships/printerSettings" Target="../printerSettings/printerSettings5.bin"/><Relationship Id="rId10" Type="http://schemas.openxmlformats.org/officeDocument/2006/relationships/comments" Target="../comments1.xml"/><Relationship Id="rId4" Type="http://schemas.openxmlformats.org/officeDocument/2006/relationships/printerSettings" Target="../printerSettings/printerSettings4.bin"/><Relationship Id="rId9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vmlDrawing" Target="../drawings/vmlDrawing2.vml"/><Relationship Id="rId3" Type="http://schemas.openxmlformats.org/officeDocument/2006/relationships/printerSettings" Target="../printerSettings/printerSettings12.bin"/><Relationship Id="rId7" Type="http://schemas.openxmlformats.org/officeDocument/2006/relationships/printerSettings" Target="../printerSettings/printerSettings16.bin"/><Relationship Id="rId2" Type="http://schemas.openxmlformats.org/officeDocument/2006/relationships/printerSettings" Target="../printerSettings/printerSettings11.bin"/><Relationship Id="rId1" Type="http://schemas.openxmlformats.org/officeDocument/2006/relationships/printerSettings" Target="../printerSettings/printerSettings10.bin"/><Relationship Id="rId6" Type="http://schemas.openxmlformats.org/officeDocument/2006/relationships/printerSettings" Target="../printerSettings/printerSettings15.bin"/><Relationship Id="rId5" Type="http://schemas.openxmlformats.org/officeDocument/2006/relationships/printerSettings" Target="../printerSettings/printerSettings14.bin"/><Relationship Id="rId4" Type="http://schemas.openxmlformats.org/officeDocument/2006/relationships/printerSettings" Target="../printerSettings/printerSettings13.bin"/><Relationship Id="rId9" Type="http://schemas.openxmlformats.org/officeDocument/2006/relationships/comments" Target="../comments2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8.bin"/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 filterMode="1"/>
  <dimension ref="A2:AG254"/>
  <sheetViews>
    <sheetView topLeftCell="A105" zoomScale="85" zoomScaleNormal="70" workbookViewId="0">
      <selection activeCell="H127" sqref="H127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21" customWidth="1"/>
    <col min="6" max="6" width="17.85546875" customWidth="1"/>
    <col min="7" max="7" width="12" customWidth="1"/>
    <col min="8" max="8" width="59.140625" customWidth="1"/>
    <col min="9" max="9" width="16.85546875" customWidth="1"/>
    <col min="10" max="10" width="18.140625" style="147" customWidth="1"/>
    <col min="11" max="11" width="54.85546875" bestFit="1" customWidth="1"/>
    <col min="12" max="12" width="13.140625" customWidth="1"/>
    <col min="13" max="13" width="42.42578125" customWidth="1"/>
    <col min="14" max="14" width="8.28515625" style="46" customWidth="1"/>
    <col min="15" max="15" width="17.5703125" customWidth="1"/>
    <col min="16" max="16" width="17.85546875" hidden="1" customWidth="1"/>
    <col min="17" max="17" width="13.5703125" hidden="1" customWidth="1"/>
    <col min="18" max="18" width="14" customWidth="1"/>
    <col min="19" max="19" width="14.85546875" customWidth="1"/>
    <col min="20" max="20" width="12.85546875" customWidth="1"/>
    <col min="21" max="21" width="14" customWidth="1"/>
    <col min="22" max="22" width="11.140625" customWidth="1"/>
    <col min="23" max="23" width="17.85546875" customWidth="1"/>
    <col min="24" max="24" width="12.85546875" bestFit="1" customWidth="1"/>
    <col min="25" max="26" width="12" bestFit="1" customWidth="1"/>
    <col min="27" max="27" width="20.42578125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5.7109375" bestFit="1" customWidth="1"/>
    <col min="33" max="33" width="67.42578125" bestFit="1" customWidth="1"/>
    <col min="34" max="34" width="39.85546875" customWidth="1"/>
  </cols>
  <sheetData>
    <row r="2" spans="2:33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192</v>
      </c>
      <c r="J2" s="145" t="s">
        <v>764</v>
      </c>
      <c r="K2" s="2" t="s">
        <v>88</v>
      </c>
      <c r="L2" s="2" t="s">
        <v>747</v>
      </c>
      <c r="M2" s="2" t="s">
        <v>164</v>
      </c>
      <c r="N2" s="4" t="s">
        <v>60</v>
      </c>
      <c r="O2" s="4" t="s">
        <v>7</v>
      </c>
      <c r="P2" s="4" t="s">
        <v>162</v>
      </c>
      <c r="Q2" s="4" t="s">
        <v>176</v>
      </c>
      <c r="R2" s="4" t="s">
        <v>152</v>
      </c>
      <c r="S2" s="4" t="s">
        <v>153</v>
      </c>
      <c r="T2" s="4" t="s">
        <v>58</v>
      </c>
      <c r="U2" s="4" t="s">
        <v>163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156</v>
      </c>
      <c r="AC2" s="2" t="s">
        <v>13</v>
      </c>
      <c r="AD2" s="2" t="s">
        <v>14</v>
      </c>
      <c r="AE2" s="4" t="s">
        <v>15</v>
      </c>
      <c r="AF2" s="4" t="s">
        <v>16</v>
      </c>
      <c r="AG2" s="4" t="s">
        <v>165</v>
      </c>
    </row>
    <row r="3" spans="2:33" x14ac:dyDescent="0.25">
      <c r="B3" s="24">
        <v>1</v>
      </c>
      <c r="C3" s="26">
        <v>20200302</v>
      </c>
      <c r="D3" s="24" t="s">
        <v>3</v>
      </c>
      <c r="E3" s="24" t="s">
        <v>357</v>
      </c>
      <c r="F3" s="24" t="s">
        <v>147</v>
      </c>
      <c r="G3" s="24">
        <v>1348323</v>
      </c>
      <c r="H3" s="24" t="s">
        <v>69</v>
      </c>
      <c r="I3" s="24" t="s">
        <v>193</v>
      </c>
      <c r="J3" s="27" t="s">
        <v>76</v>
      </c>
      <c r="K3" s="24" t="s">
        <v>89</v>
      </c>
      <c r="L3" s="27" t="str">
        <f>IF(D3="ASW","PUT_VERSION","-")</f>
        <v>-</v>
      </c>
      <c r="M3" s="27" t="s">
        <v>358</v>
      </c>
      <c r="N3" s="26" t="s">
        <v>473</v>
      </c>
      <c r="O3" s="24" t="s">
        <v>82</v>
      </c>
      <c r="P3" s="24" t="s">
        <v>6</v>
      </c>
      <c r="Q3" s="24" t="s">
        <v>161</v>
      </c>
      <c r="R3" s="24">
        <v>113</v>
      </c>
      <c r="S3" s="24">
        <v>113</v>
      </c>
      <c r="T3" s="24">
        <f>S3</f>
        <v>113</v>
      </c>
      <c r="U3" s="24">
        <v>3</v>
      </c>
      <c r="V3" s="24">
        <v>3</v>
      </c>
      <c r="W3" s="24" t="s">
        <v>105</v>
      </c>
      <c r="X3" s="28">
        <v>43892</v>
      </c>
      <c r="Y3" s="28">
        <v>43894</v>
      </c>
      <c r="Z3" s="28">
        <v>43892</v>
      </c>
      <c r="AA3" s="28">
        <v>43893</v>
      </c>
      <c r="AB3" s="32" t="s">
        <v>158</v>
      </c>
      <c r="AC3" s="32">
        <v>100</v>
      </c>
      <c r="AD3" s="32">
        <v>100</v>
      </c>
      <c r="AE3" s="32">
        <v>100</v>
      </c>
      <c r="AF3" s="27" t="s">
        <v>76</v>
      </c>
      <c r="AG3" s="27" t="s">
        <v>76</v>
      </c>
    </row>
    <row r="4" spans="2:33" s="19" customFormat="1" hidden="1" x14ac:dyDescent="0.2">
      <c r="B4" s="32">
        <f t="shared" ref="B4:B35" si="0">B3+1</f>
        <v>2</v>
      </c>
      <c r="C4" s="21">
        <v>20200302</v>
      </c>
      <c r="D4" s="32" t="s">
        <v>3</v>
      </c>
      <c r="E4" s="32" t="s">
        <v>66</v>
      </c>
      <c r="F4" s="32" t="s">
        <v>148</v>
      </c>
      <c r="G4" s="24">
        <v>1345876</v>
      </c>
      <c r="H4" s="32" t="s">
        <v>70</v>
      </c>
      <c r="I4" s="24" t="s">
        <v>193</v>
      </c>
      <c r="J4" s="24">
        <v>99885</v>
      </c>
      <c r="K4" s="24" t="s">
        <v>90</v>
      </c>
      <c r="L4" s="27" t="str">
        <f>IF(D4="ASW","PUT_VERSION","-")</f>
        <v>-</v>
      </c>
      <c r="M4" s="27" t="s">
        <v>359</v>
      </c>
      <c r="N4" s="26" t="s">
        <v>474</v>
      </c>
      <c r="O4" s="32" t="s">
        <v>83</v>
      </c>
      <c r="P4" s="32" t="s">
        <v>6</v>
      </c>
      <c r="Q4" s="24" t="s">
        <v>161</v>
      </c>
      <c r="R4" s="24">
        <v>148</v>
      </c>
      <c r="S4" s="29">
        <v>357</v>
      </c>
      <c r="T4" s="32">
        <f t="shared" ref="T4:T67" si="1">S4</f>
        <v>357</v>
      </c>
      <c r="U4" s="24">
        <v>10</v>
      </c>
      <c r="V4" s="32">
        <v>6</v>
      </c>
      <c r="W4" s="24" t="s">
        <v>105</v>
      </c>
      <c r="X4" s="91">
        <v>43893</v>
      </c>
      <c r="Y4" s="91">
        <v>43894</v>
      </c>
      <c r="Z4" s="22">
        <v>43892</v>
      </c>
      <c r="AA4" s="92">
        <v>43892</v>
      </c>
      <c r="AB4" s="32" t="s">
        <v>158</v>
      </c>
      <c r="AC4" s="32">
        <v>100</v>
      </c>
      <c r="AD4" s="32">
        <v>100</v>
      </c>
      <c r="AE4" s="32">
        <v>100</v>
      </c>
      <c r="AF4" s="24" t="s">
        <v>177</v>
      </c>
      <c r="AG4" s="27" t="s">
        <v>76</v>
      </c>
    </row>
    <row r="5" spans="2:33" x14ac:dyDescent="0.25">
      <c r="B5" s="32">
        <f t="shared" si="0"/>
        <v>3</v>
      </c>
      <c r="C5" s="26">
        <v>20200302</v>
      </c>
      <c r="D5" s="24" t="s">
        <v>3</v>
      </c>
      <c r="E5" s="24" t="s">
        <v>67</v>
      </c>
      <c r="F5" s="24" t="s">
        <v>149</v>
      </c>
      <c r="G5" s="24">
        <v>1350941</v>
      </c>
      <c r="H5" s="24" t="s">
        <v>71</v>
      </c>
      <c r="I5" s="24" t="s">
        <v>193</v>
      </c>
      <c r="J5" s="24" t="s">
        <v>743</v>
      </c>
      <c r="K5" s="24" t="s">
        <v>91</v>
      </c>
      <c r="L5" s="27" t="str">
        <f>IF(D5="ASW","PUT_VERSION","-")</f>
        <v>-</v>
      </c>
      <c r="M5" s="27" t="s">
        <v>360</v>
      </c>
      <c r="N5" s="26" t="s">
        <v>475</v>
      </c>
      <c r="O5" s="24" t="s">
        <v>82</v>
      </c>
      <c r="P5" s="24" t="s">
        <v>6</v>
      </c>
      <c r="Q5" s="24" t="s">
        <v>161</v>
      </c>
      <c r="R5" s="24">
        <v>291</v>
      </c>
      <c r="S5" s="24">
        <v>291</v>
      </c>
      <c r="T5" s="24">
        <f t="shared" si="1"/>
        <v>291</v>
      </c>
      <c r="U5" s="24">
        <v>8</v>
      </c>
      <c r="V5" s="24">
        <v>10</v>
      </c>
      <c r="W5" s="24" t="s">
        <v>105</v>
      </c>
      <c r="X5" s="28">
        <v>43892</v>
      </c>
      <c r="Y5" s="28">
        <v>43894</v>
      </c>
      <c r="Z5" s="28">
        <v>43892</v>
      </c>
      <c r="AA5" s="28">
        <v>43893</v>
      </c>
      <c r="AB5" s="28" t="s">
        <v>158</v>
      </c>
      <c r="AC5" s="32">
        <v>100</v>
      </c>
      <c r="AD5" s="32">
        <v>100</v>
      </c>
      <c r="AE5" s="32">
        <v>100</v>
      </c>
      <c r="AF5" s="24" t="s">
        <v>154</v>
      </c>
      <c r="AG5" s="24" t="s">
        <v>178</v>
      </c>
    </row>
    <row r="6" spans="2:33" hidden="1" x14ac:dyDescent="0.25">
      <c r="B6" s="32">
        <f t="shared" si="0"/>
        <v>4</v>
      </c>
      <c r="C6" s="26">
        <v>20200302</v>
      </c>
      <c r="D6" s="24" t="s">
        <v>3</v>
      </c>
      <c r="E6" s="24" t="s">
        <v>68</v>
      </c>
      <c r="F6" s="24" t="s">
        <v>150</v>
      </c>
      <c r="G6" s="24">
        <v>1351929</v>
      </c>
      <c r="H6" s="24" t="s">
        <v>72</v>
      </c>
      <c r="I6" s="24" t="s">
        <v>193</v>
      </c>
      <c r="J6" s="24">
        <v>99735</v>
      </c>
      <c r="K6" s="24" t="s">
        <v>92</v>
      </c>
      <c r="L6" s="27" t="str">
        <f>IF(D6="ASW","PUT_VERSION","-")</f>
        <v>-</v>
      </c>
      <c r="M6" s="27" t="s">
        <v>358</v>
      </c>
      <c r="N6" s="26" t="s">
        <v>476</v>
      </c>
      <c r="O6" s="24" t="s">
        <v>85</v>
      </c>
      <c r="P6" s="24" t="s">
        <v>6</v>
      </c>
      <c r="Q6" s="24" t="s">
        <v>161</v>
      </c>
      <c r="R6" s="24">
        <v>254</v>
      </c>
      <c r="S6" s="24">
        <v>254</v>
      </c>
      <c r="T6" s="24">
        <f t="shared" si="1"/>
        <v>254</v>
      </c>
      <c r="U6" s="24">
        <f>ROUNDDOWN(S6/HLOOKUP(D6,Table!$C$3:$D$4,2,0)*8,2)</f>
        <v>4.51</v>
      </c>
      <c r="V6" s="24">
        <v>10</v>
      </c>
      <c r="W6" s="24" t="s">
        <v>105</v>
      </c>
      <c r="X6" s="28">
        <v>43892</v>
      </c>
      <c r="Y6" s="28">
        <v>43893</v>
      </c>
      <c r="Z6" s="28">
        <v>43892</v>
      </c>
      <c r="AA6" s="28">
        <v>43893</v>
      </c>
      <c r="AB6" s="28" t="s">
        <v>157</v>
      </c>
      <c r="AC6" s="32">
        <v>100</v>
      </c>
      <c r="AD6" s="32">
        <v>100</v>
      </c>
      <c r="AE6" s="32">
        <v>95</v>
      </c>
      <c r="AF6" s="35" t="s">
        <v>159</v>
      </c>
      <c r="AG6" s="24" t="s">
        <v>431</v>
      </c>
    </row>
    <row r="7" spans="2:33" hidden="1" x14ac:dyDescent="0.25">
      <c r="B7" s="32">
        <f t="shared" si="0"/>
        <v>5</v>
      </c>
      <c r="C7" s="26">
        <v>20200302</v>
      </c>
      <c r="D7" s="24" t="s">
        <v>2</v>
      </c>
      <c r="E7" s="24" t="s">
        <v>73</v>
      </c>
      <c r="F7" s="27" t="s">
        <v>76</v>
      </c>
      <c r="G7" s="24">
        <v>1352219</v>
      </c>
      <c r="H7" s="24" t="s">
        <v>61</v>
      </c>
      <c r="I7" s="24" t="s">
        <v>193</v>
      </c>
      <c r="J7" s="27" t="s">
        <v>76</v>
      </c>
      <c r="K7" s="24">
        <v>1352219</v>
      </c>
      <c r="L7" s="27" t="s">
        <v>106</v>
      </c>
      <c r="M7" s="27" t="s">
        <v>361</v>
      </c>
      <c r="N7" s="26" t="s">
        <v>477</v>
      </c>
      <c r="O7" s="24" t="s">
        <v>84</v>
      </c>
      <c r="P7" s="24" t="s">
        <v>6</v>
      </c>
      <c r="Q7" s="24" t="s">
        <v>161</v>
      </c>
      <c r="R7" s="24">
        <v>19</v>
      </c>
      <c r="S7" s="24">
        <v>19</v>
      </c>
      <c r="T7" s="24">
        <f t="shared" si="1"/>
        <v>19</v>
      </c>
      <c r="U7" s="24">
        <f>ROUNDDOWN(S7/HLOOKUP(D7,Table!$C$3:$D$4,2,0)*8,2)</f>
        <v>1.1599999999999999</v>
      </c>
      <c r="V7" s="24">
        <v>4</v>
      </c>
      <c r="W7" s="24" t="s">
        <v>105</v>
      </c>
      <c r="X7" s="28">
        <v>43892</v>
      </c>
      <c r="Y7" s="28">
        <v>43893</v>
      </c>
      <c r="Z7" s="28">
        <v>43893</v>
      </c>
      <c r="AA7" s="28">
        <v>43893</v>
      </c>
      <c r="AB7" s="28" t="s">
        <v>157</v>
      </c>
      <c r="AC7" s="32">
        <v>95.6</v>
      </c>
      <c r="AD7" s="32">
        <v>96</v>
      </c>
      <c r="AE7" s="36" t="s">
        <v>76</v>
      </c>
      <c r="AF7" s="24" t="s">
        <v>155</v>
      </c>
      <c r="AG7" s="24" t="s">
        <v>178</v>
      </c>
    </row>
    <row r="8" spans="2:33" hidden="1" x14ac:dyDescent="0.25">
      <c r="B8" s="32">
        <f t="shared" si="0"/>
        <v>6</v>
      </c>
      <c r="C8" s="26">
        <v>20200302</v>
      </c>
      <c r="D8" s="24" t="s">
        <v>3</v>
      </c>
      <c r="E8" s="24" t="s">
        <v>77</v>
      </c>
      <c r="F8" s="27" t="s">
        <v>191</v>
      </c>
      <c r="G8" s="24">
        <v>1351848</v>
      </c>
      <c r="H8" s="24" t="s">
        <v>78</v>
      </c>
      <c r="I8" s="24" t="s">
        <v>193</v>
      </c>
      <c r="J8" s="24">
        <v>80504</v>
      </c>
      <c r="K8" s="24" t="s">
        <v>90</v>
      </c>
      <c r="L8" s="27" t="str">
        <f t="shared" ref="L8:L25" si="2">IF(D8="ASW","PUT_VERSION","-")</f>
        <v>-</v>
      </c>
      <c r="M8" s="27" t="s">
        <v>362</v>
      </c>
      <c r="N8" s="26" t="s">
        <v>478</v>
      </c>
      <c r="O8" s="24" t="s">
        <v>84</v>
      </c>
      <c r="P8" s="24" t="s">
        <v>6</v>
      </c>
      <c r="Q8" s="24" t="s">
        <v>161</v>
      </c>
      <c r="R8" s="24">
        <v>478</v>
      </c>
      <c r="S8" s="24">
        <v>478</v>
      </c>
      <c r="T8" s="24">
        <f t="shared" si="1"/>
        <v>478</v>
      </c>
      <c r="U8" s="24">
        <f>ROUNDDOWN(S8/HLOOKUP(D8,Table!$C$3:$D$4,2,0)*8,2)</f>
        <v>8.49</v>
      </c>
      <c r="V8" s="24">
        <v>14</v>
      </c>
      <c r="W8" s="24" t="s">
        <v>105</v>
      </c>
      <c r="X8" s="28">
        <v>43892</v>
      </c>
      <c r="Y8" s="28">
        <v>43894</v>
      </c>
      <c r="Z8" s="28">
        <v>43892</v>
      </c>
      <c r="AA8" s="28">
        <v>43894</v>
      </c>
      <c r="AB8" s="28" t="s">
        <v>157</v>
      </c>
      <c r="AC8" s="32">
        <v>99</v>
      </c>
      <c r="AD8" s="32">
        <v>99</v>
      </c>
      <c r="AE8" s="32">
        <v>100</v>
      </c>
      <c r="AF8" s="24" t="s">
        <v>188</v>
      </c>
      <c r="AG8" s="24" t="s">
        <v>178</v>
      </c>
    </row>
    <row r="9" spans="2:33" s="19" customFormat="1" hidden="1" x14ac:dyDescent="0.2">
      <c r="B9" s="32">
        <f t="shared" si="0"/>
        <v>7</v>
      </c>
      <c r="C9" s="26">
        <v>20200302</v>
      </c>
      <c r="D9" s="33" t="s">
        <v>3</v>
      </c>
      <c r="E9" s="33" t="s">
        <v>77</v>
      </c>
      <c r="F9" s="27" t="s">
        <v>185</v>
      </c>
      <c r="G9" s="24">
        <v>1351848</v>
      </c>
      <c r="H9" s="56" t="s">
        <v>79</v>
      </c>
      <c r="I9" s="24" t="s">
        <v>193</v>
      </c>
      <c r="J9" s="24">
        <v>80504</v>
      </c>
      <c r="K9" s="24" t="s">
        <v>90</v>
      </c>
      <c r="L9" s="27" t="str">
        <f t="shared" si="2"/>
        <v>-</v>
      </c>
      <c r="M9" s="27" t="s">
        <v>362</v>
      </c>
      <c r="N9" s="26" t="s">
        <v>479</v>
      </c>
      <c r="O9" s="21" t="s">
        <v>83</v>
      </c>
      <c r="P9" s="26" t="s">
        <v>6</v>
      </c>
      <c r="Q9" s="24" t="s">
        <v>161</v>
      </c>
      <c r="R9" s="24">
        <v>286</v>
      </c>
      <c r="S9" s="26">
        <v>286</v>
      </c>
      <c r="T9" s="26">
        <f t="shared" si="1"/>
        <v>286</v>
      </c>
      <c r="U9" s="24">
        <f>ROUNDDOWN(S9/HLOOKUP(D9,Table!$C$3:$D$4,2,0)*8,2)</f>
        <v>5.08</v>
      </c>
      <c r="V9" s="21">
        <v>1</v>
      </c>
      <c r="W9" s="24" t="s">
        <v>105</v>
      </c>
      <c r="X9" s="28">
        <v>43892</v>
      </c>
      <c r="Y9" s="28">
        <v>43894</v>
      </c>
      <c r="Z9" s="28">
        <v>43893</v>
      </c>
      <c r="AA9" s="28">
        <v>43892</v>
      </c>
      <c r="AB9" s="28" t="s">
        <v>158</v>
      </c>
      <c r="AC9" s="32">
        <v>100</v>
      </c>
      <c r="AD9" s="32">
        <v>100</v>
      </c>
      <c r="AE9" s="32">
        <v>100</v>
      </c>
      <c r="AF9" s="27" t="s">
        <v>76</v>
      </c>
      <c r="AG9" s="27" t="s">
        <v>76</v>
      </c>
    </row>
    <row r="10" spans="2:33" hidden="1" x14ac:dyDescent="0.25">
      <c r="B10" s="32">
        <f t="shared" si="0"/>
        <v>8</v>
      </c>
      <c r="C10" s="26">
        <v>20200302</v>
      </c>
      <c r="D10" s="23" t="s">
        <v>3</v>
      </c>
      <c r="E10" s="23" t="s">
        <v>77</v>
      </c>
      <c r="F10" s="27">
        <f>SUMIFS(COEM_Package_20200302!$T$3:$T$225,COEM_Package_20200302!$D$3:$D$225,Table!$C$3)-SUM(SUMIFS($T$3:$T$225,$D$3:$D$225,Table!$C$3,$W$3:$W$225,{"Ongoing","N/A",""}))</f>
        <v>748</v>
      </c>
      <c r="G10" s="24">
        <v>1351848</v>
      </c>
      <c r="H10" s="57" t="s">
        <v>80</v>
      </c>
      <c r="I10" s="24" t="s">
        <v>193</v>
      </c>
      <c r="J10" s="24">
        <v>80504</v>
      </c>
      <c r="K10" s="24" t="s">
        <v>90</v>
      </c>
      <c r="L10" s="27" t="str">
        <f t="shared" si="2"/>
        <v>-</v>
      </c>
      <c r="M10" s="27" t="s">
        <v>362</v>
      </c>
      <c r="N10" s="26" t="s">
        <v>480</v>
      </c>
      <c r="O10" s="23" t="s">
        <v>85</v>
      </c>
      <c r="P10" s="24" t="s">
        <v>6</v>
      </c>
      <c r="Q10" s="24" t="s">
        <v>161</v>
      </c>
      <c r="R10" s="24">
        <v>110</v>
      </c>
      <c r="S10" s="57">
        <f>R10</f>
        <v>110</v>
      </c>
      <c r="T10" s="57">
        <f t="shared" si="1"/>
        <v>110</v>
      </c>
      <c r="U10" s="24">
        <f>ROUNDDOWN(S10/HLOOKUP(D10,Table!$C$3:$D$4,2,0)*8,2)</f>
        <v>1.95</v>
      </c>
      <c r="V10" s="44">
        <v>4</v>
      </c>
      <c r="W10" s="24" t="s">
        <v>105</v>
      </c>
      <c r="X10" s="28">
        <v>43892</v>
      </c>
      <c r="Y10" s="28">
        <v>43894</v>
      </c>
      <c r="Z10" s="28">
        <v>43894</v>
      </c>
      <c r="AA10" s="28">
        <v>43894</v>
      </c>
      <c r="AB10" s="28" t="s">
        <v>158</v>
      </c>
      <c r="AC10" s="32">
        <v>100</v>
      </c>
      <c r="AD10" s="32">
        <v>100</v>
      </c>
      <c r="AE10" s="32">
        <v>100</v>
      </c>
      <c r="AF10" s="27" t="s">
        <v>76</v>
      </c>
      <c r="AG10" s="27" t="s">
        <v>76</v>
      </c>
    </row>
    <row r="11" spans="2:33" s="20" customFormat="1" hidden="1" x14ac:dyDescent="0.2">
      <c r="B11" s="32">
        <f t="shared" si="0"/>
        <v>9</v>
      </c>
      <c r="C11" s="26">
        <v>20200302</v>
      </c>
      <c r="D11" s="21" t="s">
        <v>3</v>
      </c>
      <c r="E11" s="21" t="s">
        <v>86</v>
      </c>
      <c r="F11" s="34" t="s">
        <v>186</v>
      </c>
      <c r="G11" s="24">
        <v>1278532</v>
      </c>
      <c r="H11" s="24" t="s">
        <v>182</v>
      </c>
      <c r="I11" s="24" t="s">
        <v>193</v>
      </c>
      <c r="J11" s="24">
        <v>81261</v>
      </c>
      <c r="K11" s="24" t="s">
        <v>93</v>
      </c>
      <c r="L11" s="27" t="str">
        <f t="shared" si="2"/>
        <v>-</v>
      </c>
      <c r="M11" s="27" t="s">
        <v>363</v>
      </c>
      <c r="N11" s="26" t="s">
        <v>481</v>
      </c>
      <c r="O11" s="21" t="s">
        <v>83</v>
      </c>
      <c r="P11" s="21" t="s">
        <v>6</v>
      </c>
      <c r="Q11" s="24" t="s">
        <v>161</v>
      </c>
      <c r="R11" s="24">
        <v>251</v>
      </c>
      <c r="S11" s="30">
        <v>294</v>
      </c>
      <c r="T11" s="21">
        <f t="shared" si="1"/>
        <v>294</v>
      </c>
      <c r="U11" s="24">
        <f>ROUNDDOWN(S11/HLOOKUP(D11,Table!$C$3:$D$4,2,0)*8,2)</f>
        <v>5.22</v>
      </c>
      <c r="V11" s="21">
        <v>6.5</v>
      </c>
      <c r="W11" s="24" t="s">
        <v>105</v>
      </c>
      <c r="X11" s="28">
        <v>43892</v>
      </c>
      <c r="Y11" s="28">
        <v>43894</v>
      </c>
      <c r="Z11" s="28">
        <v>43893</v>
      </c>
      <c r="AA11" s="28">
        <v>43893</v>
      </c>
      <c r="AB11" s="28" t="s">
        <v>158</v>
      </c>
      <c r="AC11" s="32">
        <v>100</v>
      </c>
      <c r="AD11" s="32">
        <v>100</v>
      </c>
      <c r="AE11" s="32">
        <v>100</v>
      </c>
      <c r="AF11" s="24" t="s">
        <v>107</v>
      </c>
      <c r="AG11" s="27" t="s">
        <v>76</v>
      </c>
    </row>
    <row r="12" spans="2:33" hidden="1" x14ac:dyDescent="0.25">
      <c r="B12" s="32">
        <f t="shared" si="0"/>
        <v>10</v>
      </c>
      <c r="C12" s="26">
        <v>20200302</v>
      </c>
      <c r="D12" s="24" t="s">
        <v>3</v>
      </c>
      <c r="E12" s="24" t="s">
        <v>86</v>
      </c>
      <c r="F12" s="27" t="s">
        <v>186</v>
      </c>
      <c r="G12" s="24">
        <v>1278532</v>
      </c>
      <c r="H12" s="24" t="s">
        <v>183</v>
      </c>
      <c r="I12" s="24" t="s">
        <v>193</v>
      </c>
      <c r="J12" s="24">
        <v>81261</v>
      </c>
      <c r="K12" s="24" t="s">
        <v>93</v>
      </c>
      <c r="L12" s="27" t="str">
        <f t="shared" si="2"/>
        <v>-</v>
      </c>
      <c r="M12" s="27" t="s">
        <v>363</v>
      </c>
      <c r="N12" s="26" t="s">
        <v>482</v>
      </c>
      <c r="O12" s="23" t="s">
        <v>83</v>
      </c>
      <c r="P12" s="23" t="s">
        <v>6</v>
      </c>
      <c r="Q12" s="24" t="s">
        <v>161</v>
      </c>
      <c r="R12" s="24">
        <v>101</v>
      </c>
      <c r="S12" s="24">
        <v>101</v>
      </c>
      <c r="T12" s="24">
        <f t="shared" si="1"/>
        <v>101</v>
      </c>
      <c r="U12" s="24">
        <f>ROUNDDOWN(S12/HLOOKUP(D12,Table!$C$3:$D$4,2,0)*8,2)</f>
        <v>1.79</v>
      </c>
      <c r="V12" s="24">
        <v>1.5</v>
      </c>
      <c r="W12" s="24" t="s">
        <v>105</v>
      </c>
      <c r="X12" s="28">
        <v>43892</v>
      </c>
      <c r="Y12" s="28">
        <v>43894</v>
      </c>
      <c r="Z12" s="28">
        <v>43894</v>
      </c>
      <c r="AA12" s="28">
        <v>43894</v>
      </c>
      <c r="AB12" s="37" t="s">
        <v>158</v>
      </c>
      <c r="AC12" s="32">
        <v>100</v>
      </c>
      <c r="AD12" s="32">
        <v>100</v>
      </c>
      <c r="AE12" s="32">
        <v>100</v>
      </c>
      <c r="AF12" s="27" t="s">
        <v>76</v>
      </c>
      <c r="AG12" s="27" t="s">
        <v>76</v>
      </c>
    </row>
    <row r="13" spans="2:33" x14ac:dyDescent="0.25">
      <c r="B13" s="32">
        <f t="shared" si="0"/>
        <v>11</v>
      </c>
      <c r="C13" s="26">
        <v>20200302</v>
      </c>
      <c r="D13" s="24" t="s">
        <v>3</v>
      </c>
      <c r="E13" s="24" t="s">
        <v>86</v>
      </c>
      <c r="F13" s="27" t="s">
        <v>187</v>
      </c>
      <c r="G13" s="24">
        <v>1278532</v>
      </c>
      <c r="H13" s="57" t="s">
        <v>184</v>
      </c>
      <c r="I13" s="24" t="s">
        <v>193</v>
      </c>
      <c r="J13" s="24">
        <v>81261</v>
      </c>
      <c r="K13" s="24" t="s">
        <v>93</v>
      </c>
      <c r="L13" s="27" t="str">
        <f t="shared" si="2"/>
        <v>-</v>
      </c>
      <c r="M13" s="27" t="s">
        <v>363</v>
      </c>
      <c r="N13" s="26" t="s">
        <v>483</v>
      </c>
      <c r="O13" s="23" t="s">
        <v>82</v>
      </c>
      <c r="P13" s="23"/>
      <c r="Q13" s="24"/>
      <c r="R13" s="24">
        <v>90</v>
      </c>
      <c r="S13" s="24">
        <v>90</v>
      </c>
      <c r="T13" s="24">
        <f t="shared" si="1"/>
        <v>90</v>
      </c>
      <c r="U13" s="24">
        <f>ROUNDDOWN(S13/HLOOKUP(D13,Table!$C$3:$D$4,2,0)*8,2)</f>
        <v>1.6</v>
      </c>
      <c r="V13" s="24">
        <v>3</v>
      </c>
      <c r="W13" s="24" t="s">
        <v>105</v>
      </c>
      <c r="X13" s="28">
        <v>43892</v>
      </c>
      <c r="Y13" s="28">
        <v>43894</v>
      </c>
      <c r="Z13" s="28">
        <v>43894</v>
      </c>
      <c r="AA13" s="28">
        <v>43894</v>
      </c>
      <c r="AB13" s="28" t="s">
        <v>157</v>
      </c>
      <c r="AC13" s="32">
        <v>86</v>
      </c>
      <c r="AD13" s="32">
        <v>83</v>
      </c>
      <c r="AE13" s="32">
        <v>100</v>
      </c>
      <c r="AF13" s="24" t="s">
        <v>340</v>
      </c>
      <c r="AG13" s="27" t="s">
        <v>76</v>
      </c>
    </row>
    <row r="14" spans="2:33" hidden="1" x14ac:dyDescent="0.25">
      <c r="B14" s="32">
        <f t="shared" si="0"/>
        <v>12</v>
      </c>
      <c r="C14" s="26">
        <v>20200302</v>
      </c>
      <c r="D14" s="24" t="s">
        <v>3</v>
      </c>
      <c r="E14" s="24" t="s">
        <v>86</v>
      </c>
      <c r="F14" s="27" t="s">
        <v>151</v>
      </c>
      <c r="G14" s="24">
        <v>1278532</v>
      </c>
      <c r="H14" s="24" t="s">
        <v>87</v>
      </c>
      <c r="I14" s="24" t="s">
        <v>193</v>
      </c>
      <c r="J14" s="24">
        <v>81261</v>
      </c>
      <c r="K14" s="24" t="s">
        <v>93</v>
      </c>
      <c r="L14" s="27" t="str">
        <f t="shared" si="2"/>
        <v>-</v>
      </c>
      <c r="M14" s="27" t="s">
        <v>363</v>
      </c>
      <c r="N14" s="26" t="s">
        <v>484</v>
      </c>
      <c r="O14" s="23" t="s">
        <v>83</v>
      </c>
      <c r="P14" s="23" t="s">
        <v>6</v>
      </c>
      <c r="Q14" s="24" t="s">
        <v>161</v>
      </c>
      <c r="R14" s="24">
        <v>101</v>
      </c>
      <c r="S14" s="25">
        <v>183</v>
      </c>
      <c r="T14" s="24">
        <f t="shared" si="1"/>
        <v>183</v>
      </c>
      <c r="U14" s="24">
        <f>ROUNDDOWN(S14/HLOOKUP(D14,Table!$C$3:$D$4,2,0)*8,2)</f>
        <v>3.25</v>
      </c>
      <c r="V14" s="24">
        <v>3</v>
      </c>
      <c r="W14" s="24" t="s">
        <v>105</v>
      </c>
      <c r="X14" s="28">
        <v>43892</v>
      </c>
      <c r="Y14" s="28">
        <v>43894</v>
      </c>
      <c r="Z14" s="28">
        <v>43894</v>
      </c>
      <c r="AA14" s="28">
        <v>43894</v>
      </c>
      <c r="AB14" s="28" t="s">
        <v>158</v>
      </c>
      <c r="AC14" s="32">
        <v>100</v>
      </c>
      <c r="AD14" s="32">
        <v>100</v>
      </c>
      <c r="AE14" s="32">
        <v>100</v>
      </c>
      <c r="AF14" s="24" t="s">
        <v>108</v>
      </c>
      <c r="AG14" s="27" t="s">
        <v>76</v>
      </c>
    </row>
    <row r="15" spans="2:33" hidden="1" x14ac:dyDescent="0.25">
      <c r="B15" s="32">
        <f t="shared" si="0"/>
        <v>13</v>
      </c>
      <c r="C15" s="26">
        <v>20200303</v>
      </c>
      <c r="D15" s="24" t="s">
        <v>3</v>
      </c>
      <c r="E15" s="24" t="s">
        <v>94</v>
      </c>
      <c r="F15" s="43" t="s">
        <v>209</v>
      </c>
      <c r="G15" s="24">
        <v>1352115</v>
      </c>
      <c r="H15" s="24" t="s">
        <v>95</v>
      </c>
      <c r="I15" s="24" t="s">
        <v>193</v>
      </c>
      <c r="J15" s="24" t="s">
        <v>76</v>
      </c>
      <c r="K15" s="24" t="s">
        <v>102</v>
      </c>
      <c r="L15" s="27" t="str">
        <f t="shared" si="2"/>
        <v>-</v>
      </c>
      <c r="M15" s="27" t="s">
        <v>364</v>
      </c>
      <c r="N15" s="26" t="s">
        <v>485</v>
      </c>
      <c r="O15" s="24" t="s">
        <v>85</v>
      </c>
      <c r="P15" s="24"/>
      <c r="Q15" s="24"/>
      <c r="R15" s="24">
        <v>828</v>
      </c>
      <c r="S15" s="24">
        <f>R15</f>
        <v>828</v>
      </c>
      <c r="T15" s="24">
        <f t="shared" si="1"/>
        <v>828</v>
      </c>
      <c r="U15" s="24">
        <f>ROUNDDOWN(S15/HLOOKUP(D15,Table!$C$3:$D$4,2,0)*8,2)</f>
        <v>14.72</v>
      </c>
      <c r="V15" s="24">
        <v>16</v>
      </c>
      <c r="W15" s="24" t="s">
        <v>105</v>
      </c>
      <c r="X15" s="28">
        <v>43892</v>
      </c>
      <c r="Y15" s="28">
        <v>43899</v>
      </c>
      <c r="Z15" s="28">
        <v>43894</v>
      </c>
      <c r="AA15" s="28">
        <v>43896</v>
      </c>
      <c r="AB15" s="28" t="s">
        <v>157</v>
      </c>
      <c r="AC15" s="32">
        <v>100</v>
      </c>
      <c r="AD15" s="32">
        <v>100</v>
      </c>
      <c r="AE15" s="32">
        <v>98</v>
      </c>
      <c r="AF15" s="42" t="s">
        <v>155</v>
      </c>
      <c r="AG15" s="27" t="s">
        <v>76</v>
      </c>
    </row>
    <row r="16" spans="2:33" hidden="1" x14ac:dyDescent="0.25">
      <c r="B16" s="32">
        <f t="shared" si="0"/>
        <v>14</v>
      </c>
      <c r="C16" s="26">
        <v>20200303</v>
      </c>
      <c r="D16" s="24" t="s">
        <v>3</v>
      </c>
      <c r="E16" s="24" t="s">
        <v>96</v>
      </c>
      <c r="F16" s="27" t="s">
        <v>179</v>
      </c>
      <c r="G16" s="24">
        <v>1353313</v>
      </c>
      <c r="H16" s="24" t="s">
        <v>97</v>
      </c>
      <c r="I16" s="24" t="s">
        <v>193</v>
      </c>
      <c r="J16" s="24" t="s">
        <v>76</v>
      </c>
      <c r="K16" s="24" t="s">
        <v>103</v>
      </c>
      <c r="L16" s="27" t="str">
        <f t="shared" si="2"/>
        <v>-</v>
      </c>
      <c r="M16" s="27" t="s">
        <v>365</v>
      </c>
      <c r="N16" s="26" t="s">
        <v>486</v>
      </c>
      <c r="O16" s="24" t="s">
        <v>83</v>
      </c>
      <c r="P16" s="24"/>
      <c r="Q16" s="24"/>
      <c r="R16" s="24">
        <v>371</v>
      </c>
      <c r="S16" s="24">
        <v>371</v>
      </c>
      <c r="T16" s="24">
        <f t="shared" si="1"/>
        <v>371</v>
      </c>
      <c r="U16" s="24">
        <f>ROUNDDOWN(S16/HLOOKUP(D16,Table!$C$3:$D$4,2,0)*8,2)</f>
        <v>6.59</v>
      </c>
      <c r="V16" s="24">
        <v>3</v>
      </c>
      <c r="W16" s="24" t="s">
        <v>105</v>
      </c>
      <c r="X16" s="28">
        <v>43892</v>
      </c>
      <c r="Y16" s="28">
        <v>43899</v>
      </c>
      <c r="Z16" s="28">
        <v>43895</v>
      </c>
      <c r="AA16" s="28">
        <v>43895</v>
      </c>
      <c r="AB16" s="28" t="s">
        <v>158</v>
      </c>
      <c r="AC16" s="32">
        <v>100</v>
      </c>
      <c r="AD16" s="32">
        <v>100</v>
      </c>
      <c r="AE16" s="32">
        <v>100</v>
      </c>
      <c r="AF16" s="24" t="s">
        <v>208</v>
      </c>
      <c r="AG16" s="27" t="s">
        <v>76</v>
      </c>
    </row>
    <row r="17" spans="1:33" hidden="1" x14ac:dyDescent="0.25">
      <c r="B17" s="32">
        <f t="shared" si="0"/>
        <v>15</v>
      </c>
      <c r="C17" s="26">
        <v>20200303</v>
      </c>
      <c r="D17" s="24" t="s">
        <v>3</v>
      </c>
      <c r="E17" s="24" t="s">
        <v>96</v>
      </c>
      <c r="F17" s="27" t="s">
        <v>179</v>
      </c>
      <c r="G17" s="24">
        <v>1353313</v>
      </c>
      <c r="H17" s="24" t="s">
        <v>98</v>
      </c>
      <c r="I17" s="24" t="s">
        <v>193</v>
      </c>
      <c r="J17" s="24" t="s">
        <v>76</v>
      </c>
      <c r="K17" s="24" t="s">
        <v>103</v>
      </c>
      <c r="L17" s="27" t="str">
        <f t="shared" si="2"/>
        <v>-</v>
      </c>
      <c r="M17" s="27" t="s">
        <v>365</v>
      </c>
      <c r="N17" s="26" t="s">
        <v>487</v>
      </c>
      <c r="O17" s="24" t="s">
        <v>83</v>
      </c>
      <c r="P17" s="24"/>
      <c r="Q17" s="24"/>
      <c r="R17" s="24">
        <v>254</v>
      </c>
      <c r="S17" s="24">
        <v>254</v>
      </c>
      <c r="T17" s="24">
        <f t="shared" si="1"/>
        <v>254</v>
      </c>
      <c r="U17" s="24">
        <f>ROUNDDOWN(S17/HLOOKUP(D17,Table!$C$3:$D$4,2,0)*8,2)</f>
        <v>4.51</v>
      </c>
      <c r="V17" s="24">
        <v>2</v>
      </c>
      <c r="W17" s="24" t="s">
        <v>105</v>
      </c>
      <c r="X17" s="28">
        <v>43892</v>
      </c>
      <c r="Y17" s="28">
        <v>43899</v>
      </c>
      <c r="Z17" s="28">
        <v>43895</v>
      </c>
      <c r="AA17" s="28">
        <v>43895</v>
      </c>
      <c r="AB17" s="28" t="s">
        <v>158</v>
      </c>
      <c r="AC17" s="32">
        <v>100</v>
      </c>
      <c r="AD17" s="32">
        <v>100</v>
      </c>
      <c r="AE17" s="32">
        <v>100</v>
      </c>
      <c r="AF17" s="27" t="s">
        <v>76</v>
      </c>
      <c r="AG17" s="27" t="s">
        <v>76</v>
      </c>
    </row>
    <row r="18" spans="1:33" hidden="1" x14ac:dyDescent="0.25">
      <c r="B18" s="32">
        <f t="shared" si="0"/>
        <v>16</v>
      </c>
      <c r="C18" s="26">
        <v>20200303</v>
      </c>
      <c r="D18" s="24" t="s">
        <v>3</v>
      </c>
      <c r="E18" s="24" t="s">
        <v>96</v>
      </c>
      <c r="F18" s="27" t="s">
        <v>180</v>
      </c>
      <c r="G18" s="24">
        <v>1353313</v>
      </c>
      <c r="H18" s="24" t="s">
        <v>99</v>
      </c>
      <c r="I18" s="24" t="s">
        <v>193</v>
      </c>
      <c r="J18" s="24" t="s">
        <v>76</v>
      </c>
      <c r="K18" s="24" t="s">
        <v>103</v>
      </c>
      <c r="L18" s="27" t="str">
        <f t="shared" si="2"/>
        <v>-</v>
      </c>
      <c r="M18" s="27" t="s">
        <v>365</v>
      </c>
      <c r="N18" s="26" t="s">
        <v>488</v>
      </c>
      <c r="O18" s="24" t="s">
        <v>84</v>
      </c>
      <c r="P18" s="24"/>
      <c r="Q18" s="24"/>
      <c r="R18" s="24">
        <v>395</v>
      </c>
      <c r="S18" s="24">
        <v>395</v>
      </c>
      <c r="T18" s="24">
        <f t="shared" si="1"/>
        <v>395</v>
      </c>
      <c r="U18" s="24">
        <f>ROUNDDOWN(S18/HLOOKUP(D18,Table!$C$3:$D$4,2,0)*8,2)</f>
        <v>7.02</v>
      </c>
      <c r="V18" s="24">
        <v>5</v>
      </c>
      <c r="W18" s="24" t="s">
        <v>105</v>
      </c>
      <c r="X18" s="28">
        <v>43892</v>
      </c>
      <c r="Y18" s="28">
        <v>43899</v>
      </c>
      <c r="Z18" s="28">
        <v>43895</v>
      </c>
      <c r="AA18" s="28">
        <v>43895</v>
      </c>
      <c r="AB18" s="28" t="s">
        <v>158</v>
      </c>
      <c r="AC18" s="24">
        <v>100</v>
      </c>
      <c r="AD18" s="24">
        <v>100</v>
      </c>
      <c r="AE18" s="24">
        <v>100</v>
      </c>
      <c r="AF18" s="27" t="s">
        <v>76</v>
      </c>
      <c r="AG18" s="27" t="s">
        <v>76</v>
      </c>
    </row>
    <row r="19" spans="1:33" hidden="1" x14ac:dyDescent="0.25">
      <c r="B19" s="32">
        <f t="shared" si="0"/>
        <v>17</v>
      </c>
      <c r="C19" s="26">
        <v>20200303</v>
      </c>
      <c r="D19" s="24" t="s">
        <v>3</v>
      </c>
      <c r="E19" s="24" t="s">
        <v>96</v>
      </c>
      <c r="F19" s="27" t="s">
        <v>181</v>
      </c>
      <c r="G19" s="24">
        <v>1353313</v>
      </c>
      <c r="H19" s="24" t="s">
        <v>99</v>
      </c>
      <c r="I19" s="24" t="s">
        <v>193</v>
      </c>
      <c r="J19" s="24" t="s">
        <v>76</v>
      </c>
      <c r="K19" s="24" t="s">
        <v>103</v>
      </c>
      <c r="L19" s="27" t="str">
        <f t="shared" si="2"/>
        <v>-</v>
      </c>
      <c r="M19" s="27" t="s">
        <v>365</v>
      </c>
      <c r="N19" s="26" t="s">
        <v>489</v>
      </c>
      <c r="O19" s="24" t="s">
        <v>84</v>
      </c>
      <c r="P19" s="24"/>
      <c r="Q19" s="24"/>
      <c r="R19" s="24">
        <v>395</v>
      </c>
      <c r="S19" s="24">
        <v>395</v>
      </c>
      <c r="T19" s="24">
        <f t="shared" si="1"/>
        <v>395</v>
      </c>
      <c r="U19" s="24">
        <f>ROUNDDOWN(S19/HLOOKUP(D19,Table!$C$3:$D$4,2,0)*8,2)</f>
        <v>7.02</v>
      </c>
      <c r="V19" s="24">
        <v>5</v>
      </c>
      <c r="W19" s="24" t="s">
        <v>105</v>
      </c>
      <c r="X19" s="28">
        <v>43892</v>
      </c>
      <c r="Y19" s="28">
        <v>43899</v>
      </c>
      <c r="Z19" s="28">
        <v>43895</v>
      </c>
      <c r="AA19" s="28">
        <v>43895</v>
      </c>
      <c r="AB19" s="28" t="s">
        <v>158</v>
      </c>
      <c r="AC19" s="24">
        <v>100</v>
      </c>
      <c r="AD19" s="24">
        <v>100</v>
      </c>
      <c r="AE19" s="24">
        <v>100</v>
      </c>
      <c r="AF19" s="27" t="s">
        <v>76</v>
      </c>
      <c r="AG19" s="27" t="s">
        <v>76</v>
      </c>
    </row>
    <row r="20" spans="1:33" x14ac:dyDescent="0.25">
      <c r="B20" s="32">
        <f t="shared" si="0"/>
        <v>18</v>
      </c>
      <c r="C20" s="26">
        <v>20200306</v>
      </c>
      <c r="D20" s="26" t="s">
        <v>3</v>
      </c>
      <c r="E20" s="26" t="s">
        <v>199</v>
      </c>
      <c r="F20" s="47" t="s">
        <v>200</v>
      </c>
      <c r="G20" s="26">
        <v>1360296</v>
      </c>
      <c r="H20" s="26" t="s">
        <v>201</v>
      </c>
      <c r="I20" s="25" t="s">
        <v>194</v>
      </c>
      <c r="J20" s="54">
        <v>99478</v>
      </c>
      <c r="K20" s="24" t="s">
        <v>207</v>
      </c>
      <c r="L20" s="27" t="str">
        <f t="shared" si="2"/>
        <v>-</v>
      </c>
      <c r="M20" s="27" t="s">
        <v>366</v>
      </c>
      <c r="N20" s="26" t="s">
        <v>490</v>
      </c>
      <c r="O20" s="24" t="s">
        <v>82</v>
      </c>
      <c r="P20" s="24" t="s">
        <v>82</v>
      </c>
      <c r="Q20" s="24" t="s">
        <v>161</v>
      </c>
      <c r="R20" s="24">
        <v>96</v>
      </c>
      <c r="S20" s="24">
        <v>96</v>
      </c>
      <c r="T20" s="24">
        <f t="shared" si="1"/>
        <v>96</v>
      </c>
      <c r="U20" s="24">
        <f>ROUNDDOWN(S20/HLOOKUP(D20,Table!$C$3:$D$4,2,0)*8,2)</f>
        <v>1.7</v>
      </c>
      <c r="V20" s="24">
        <v>3</v>
      </c>
      <c r="W20" s="24" t="s">
        <v>105</v>
      </c>
      <c r="X20" s="28">
        <v>43896</v>
      </c>
      <c r="Y20" s="28">
        <v>43899</v>
      </c>
      <c r="Z20" s="28">
        <v>43896</v>
      </c>
      <c r="AA20" s="28">
        <v>43896</v>
      </c>
      <c r="AB20" s="28" t="s">
        <v>157</v>
      </c>
      <c r="AC20" s="24">
        <v>97</v>
      </c>
      <c r="AD20" s="24">
        <v>95</v>
      </c>
      <c r="AE20" s="24">
        <v>92</v>
      </c>
      <c r="AF20" s="24" t="s">
        <v>211</v>
      </c>
      <c r="AG20" s="27" t="s">
        <v>76</v>
      </c>
    </row>
    <row r="21" spans="1:33" hidden="1" x14ac:dyDescent="0.25">
      <c r="B21" s="32">
        <f t="shared" si="0"/>
        <v>19</v>
      </c>
      <c r="C21" s="26">
        <v>20200306</v>
      </c>
      <c r="D21" s="26" t="s">
        <v>3</v>
      </c>
      <c r="E21" s="26" t="s">
        <v>199</v>
      </c>
      <c r="F21" s="47" t="s">
        <v>200</v>
      </c>
      <c r="G21" s="26">
        <v>1360296</v>
      </c>
      <c r="H21" s="26" t="s">
        <v>202</v>
      </c>
      <c r="I21" s="25" t="s">
        <v>194</v>
      </c>
      <c r="J21" s="54">
        <v>99478</v>
      </c>
      <c r="K21" s="24" t="s">
        <v>207</v>
      </c>
      <c r="L21" s="27" t="str">
        <f t="shared" si="2"/>
        <v>-</v>
      </c>
      <c r="M21" s="27" t="s">
        <v>366</v>
      </c>
      <c r="N21" s="26" t="s">
        <v>491</v>
      </c>
      <c r="O21" s="24" t="s">
        <v>83</v>
      </c>
      <c r="P21" s="24" t="s">
        <v>82</v>
      </c>
      <c r="Q21" s="24" t="s">
        <v>161</v>
      </c>
      <c r="R21" s="24">
        <v>28</v>
      </c>
      <c r="S21" s="24">
        <v>28</v>
      </c>
      <c r="T21" s="24">
        <f t="shared" si="1"/>
        <v>28</v>
      </c>
      <c r="U21" s="24">
        <f>ROUNDDOWN(S21/HLOOKUP(D21,Table!$C$3:$D$4,2,0)*8,2)</f>
        <v>0.49</v>
      </c>
      <c r="V21" s="24">
        <v>1</v>
      </c>
      <c r="W21" s="24" t="s">
        <v>105</v>
      </c>
      <c r="X21" s="28">
        <v>43896</v>
      </c>
      <c r="Y21" s="28">
        <v>43896</v>
      </c>
      <c r="Z21" s="28">
        <v>43896</v>
      </c>
      <c r="AA21" s="28">
        <v>43896</v>
      </c>
      <c r="AB21" s="28" t="s">
        <v>158</v>
      </c>
      <c r="AC21" s="32">
        <v>100</v>
      </c>
      <c r="AD21" s="32">
        <v>100</v>
      </c>
      <c r="AE21" s="32">
        <v>100</v>
      </c>
      <c r="AF21" s="27" t="s">
        <v>76</v>
      </c>
      <c r="AG21" s="27" t="s">
        <v>76</v>
      </c>
    </row>
    <row r="22" spans="1:33" hidden="1" x14ac:dyDescent="0.25">
      <c r="B22" s="32">
        <f t="shared" si="0"/>
        <v>20</v>
      </c>
      <c r="C22" s="26">
        <v>20200306</v>
      </c>
      <c r="D22" s="26" t="s">
        <v>3</v>
      </c>
      <c r="E22" s="26" t="s">
        <v>199</v>
      </c>
      <c r="F22" s="47" t="s">
        <v>200</v>
      </c>
      <c r="G22" s="26">
        <v>1360296</v>
      </c>
      <c r="H22" s="26" t="s">
        <v>203</v>
      </c>
      <c r="I22" s="25" t="s">
        <v>194</v>
      </c>
      <c r="J22" s="54">
        <v>99478</v>
      </c>
      <c r="K22" s="24" t="s">
        <v>207</v>
      </c>
      <c r="L22" s="27" t="str">
        <f t="shared" si="2"/>
        <v>-</v>
      </c>
      <c r="M22" s="27" t="s">
        <v>366</v>
      </c>
      <c r="N22" s="26" t="s">
        <v>492</v>
      </c>
      <c r="O22" s="24" t="s">
        <v>83</v>
      </c>
      <c r="P22" s="24" t="s">
        <v>82</v>
      </c>
      <c r="Q22" s="24" t="s">
        <v>161</v>
      </c>
      <c r="R22" s="24">
        <v>36</v>
      </c>
      <c r="S22" s="24">
        <v>36</v>
      </c>
      <c r="T22" s="24">
        <f t="shared" si="1"/>
        <v>36</v>
      </c>
      <c r="U22" s="24">
        <f>ROUNDDOWN(S22/HLOOKUP(D22,Table!$C$3:$D$4,2,0)*8,2)</f>
        <v>0.64</v>
      </c>
      <c r="V22" s="24">
        <v>1</v>
      </c>
      <c r="W22" s="24" t="s">
        <v>105</v>
      </c>
      <c r="X22" s="28">
        <v>43896</v>
      </c>
      <c r="Y22" s="28">
        <v>43896</v>
      </c>
      <c r="Z22" s="28">
        <v>43896</v>
      </c>
      <c r="AA22" s="28">
        <v>43896</v>
      </c>
      <c r="AB22" s="31" t="s">
        <v>158</v>
      </c>
      <c r="AC22" s="32">
        <v>100</v>
      </c>
      <c r="AD22" s="32">
        <v>100</v>
      </c>
      <c r="AE22" s="32">
        <v>100</v>
      </c>
      <c r="AF22" s="27" t="s">
        <v>76</v>
      </c>
      <c r="AG22" s="27" t="s">
        <v>76</v>
      </c>
    </row>
    <row r="23" spans="1:33" hidden="1" x14ac:dyDescent="0.25">
      <c r="B23" s="32">
        <f t="shared" si="0"/>
        <v>21</v>
      </c>
      <c r="C23" s="26">
        <v>20200306</v>
      </c>
      <c r="D23" s="26" t="s">
        <v>3</v>
      </c>
      <c r="E23" s="26" t="s">
        <v>199</v>
      </c>
      <c r="F23" s="47" t="s">
        <v>200</v>
      </c>
      <c r="G23" s="26">
        <v>1360296</v>
      </c>
      <c r="H23" s="26" t="s">
        <v>204</v>
      </c>
      <c r="I23" s="25" t="s">
        <v>194</v>
      </c>
      <c r="J23" s="54">
        <v>99478</v>
      </c>
      <c r="K23" s="24" t="s">
        <v>207</v>
      </c>
      <c r="L23" s="27" t="str">
        <f t="shared" si="2"/>
        <v>-</v>
      </c>
      <c r="M23" s="27" t="s">
        <v>366</v>
      </c>
      <c r="N23" s="26" t="s">
        <v>493</v>
      </c>
      <c r="O23" s="24" t="s">
        <v>85</v>
      </c>
      <c r="P23" s="24" t="s">
        <v>82</v>
      </c>
      <c r="Q23" s="24" t="s">
        <v>161</v>
      </c>
      <c r="R23" s="24">
        <v>80</v>
      </c>
      <c r="S23" s="24">
        <f>R23</f>
        <v>80</v>
      </c>
      <c r="T23" s="24">
        <f t="shared" si="1"/>
        <v>80</v>
      </c>
      <c r="U23" s="24">
        <f>ROUNDDOWN(S23/HLOOKUP(D23,Table!$C$3:$D$4,2,0)*8,2)</f>
        <v>1.42</v>
      </c>
      <c r="V23" s="24">
        <v>2</v>
      </c>
      <c r="W23" s="24" t="s">
        <v>105</v>
      </c>
      <c r="X23" s="28">
        <v>43896</v>
      </c>
      <c r="Y23" s="28">
        <v>43896</v>
      </c>
      <c r="Z23" s="28">
        <v>43896</v>
      </c>
      <c r="AA23" s="28">
        <v>43896</v>
      </c>
      <c r="AB23" s="31" t="s">
        <v>157</v>
      </c>
      <c r="AC23" s="24">
        <v>100</v>
      </c>
      <c r="AD23" s="24">
        <v>100</v>
      </c>
      <c r="AE23" s="24">
        <v>75</v>
      </c>
      <c r="AF23" s="24" t="s">
        <v>212</v>
      </c>
      <c r="AG23" s="27" t="s">
        <v>76</v>
      </c>
    </row>
    <row r="24" spans="1:33" hidden="1" x14ac:dyDescent="0.25">
      <c r="B24" s="32">
        <f t="shared" si="0"/>
        <v>22</v>
      </c>
      <c r="C24" s="26">
        <v>20200306</v>
      </c>
      <c r="D24" s="26" t="s">
        <v>3</v>
      </c>
      <c r="E24" s="26" t="s">
        <v>199</v>
      </c>
      <c r="F24" s="47" t="s">
        <v>200</v>
      </c>
      <c r="G24" s="26">
        <v>1360296</v>
      </c>
      <c r="H24" s="26" t="s">
        <v>205</v>
      </c>
      <c r="I24" s="25" t="s">
        <v>194</v>
      </c>
      <c r="J24" s="54">
        <v>99478</v>
      </c>
      <c r="K24" s="24" t="s">
        <v>207</v>
      </c>
      <c r="L24" s="27" t="str">
        <f t="shared" si="2"/>
        <v>-</v>
      </c>
      <c r="M24" s="27" t="s">
        <v>366</v>
      </c>
      <c r="N24" s="26" t="s">
        <v>494</v>
      </c>
      <c r="O24" s="24" t="s">
        <v>83</v>
      </c>
      <c r="P24" s="24" t="s">
        <v>82</v>
      </c>
      <c r="Q24" s="24" t="s">
        <v>161</v>
      </c>
      <c r="R24" s="24">
        <v>33</v>
      </c>
      <c r="S24" s="24">
        <v>33</v>
      </c>
      <c r="T24" s="24">
        <f t="shared" si="1"/>
        <v>33</v>
      </c>
      <c r="U24" s="24">
        <f>ROUNDDOWN(S24/HLOOKUP(D24,Table!$C$3:$D$4,2,0)*8,2)</f>
        <v>0.57999999999999996</v>
      </c>
      <c r="V24" s="24">
        <v>1</v>
      </c>
      <c r="W24" s="24" t="s">
        <v>105</v>
      </c>
      <c r="X24" s="28">
        <v>43896</v>
      </c>
      <c r="Y24" s="28">
        <v>43896</v>
      </c>
      <c r="Z24" s="28">
        <v>43896</v>
      </c>
      <c r="AA24" s="28">
        <v>43896</v>
      </c>
      <c r="AB24" s="31" t="s">
        <v>158</v>
      </c>
      <c r="AC24" s="32">
        <v>100</v>
      </c>
      <c r="AD24" s="32">
        <v>100</v>
      </c>
      <c r="AE24" s="32">
        <v>100</v>
      </c>
      <c r="AF24" s="27" t="s">
        <v>76</v>
      </c>
      <c r="AG24" s="27" t="s">
        <v>76</v>
      </c>
    </row>
    <row r="25" spans="1:33" hidden="1" x14ac:dyDescent="0.25">
      <c r="B25" s="32">
        <f t="shared" si="0"/>
        <v>23</v>
      </c>
      <c r="C25" s="26">
        <v>20200306</v>
      </c>
      <c r="D25" s="26" t="s">
        <v>3</v>
      </c>
      <c r="E25" s="26" t="s">
        <v>199</v>
      </c>
      <c r="F25" s="47" t="s">
        <v>200</v>
      </c>
      <c r="G25" s="26">
        <v>1360296</v>
      </c>
      <c r="H25" s="26" t="s">
        <v>206</v>
      </c>
      <c r="I25" s="25" t="s">
        <v>194</v>
      </c>
      <c r="J25" s="54">
        <v>99478</v>
      </c>
      <c r="K25" s="24" t="s">
        <v>207</v>
      </c>
      <c r="L25" s="27" t="str">
        <f t="shared" si="2"/>
        <v>-</v>
      </c>
      <c r="M25" s="27" t="s">
        <v>366</v>
      </c>
      <c r="N25" s="26" t="s">
        <v>495</v>
      </c>
      <c r="O25" s="24" t="s">
        <v>84</v>
      </c>
      <c r="P25" s="24" t="s">
        <v>82</v>
      </c>
      <c r="Q25" s="24" t="s">
        <v>161</v>
      </c>
      <c r="R25" s="24">
        <v>212</v>
      </c>
      <c r="S25" s="24">
        <v>212</v>
      </c>
      <c r="T25" s="24">
        <f t="shared" si="1"/>
        <v>212</v>
      </c>
      <c r="U25" s="24">
        <f>ROUNDDOWN(S25/HLOOKUP(D25,Table!$C$3:$D$4,2,0)*8,2)</f>
        <v>3.76</v>
      </c>
      <c r="V25" s="24">
        <v>2</v>
      </c>
      <c r="W25" s="24" t="s">
        <v>105</v>
      </c>
      <c r="X25" s="28">
        <v>43896</v>
      </c>
      <c r="Y25" s="28">
        <v>43896</v>
      </c>
      <c r="Z25" s="28">
        <v>43896</v>
      </c>
      <c r="AA25" s="28">
        <v>43896</v>
      </c>
      <c r="AB25" s="31" t="s">
        <v>158</v>
      </c>
      <c r="AC25" s="24">
        <v>100</v>
      </c>
      <c r="AD25" s="24">
        <v>100</v>
      </c>
      <c r="AE25" s="24">
        <v>100</v>
      </c>
      <c r="AF25" s="27" t="s">
        <v>76</v>
      </c>
      <c r="AG25" s="27" t="s">
        <v>76</v>
      </c>
    </row>
    <row r="26" spans="1:33" x14ac:dyDescent="0.25">
      <c r="B26" s="32">
        <f t="shared" si="0"/>
        <v>24</v>
      </c>
      <c r="C26" s="26">
        <v>20200303</v>
      </c>
      <c r="D26" s="24" t="s">
        <v>2</v>
      </c>
      <c r="E26" s="27" t="s">
        <v>76</v>
      </c>
      <c r="F26" s="27" t="s">
        <v>76</v>
      </c>
      <c r="G26" s="24">
        <v>1353762</v>
      </c>
      <c r="H26" s="24" t="s">
        <v>196</v>
      </c>
      <c r="I26" s="24" t="s">
        <v>193</v>
      </c>
      <c r="J26" s="24" t="s">
        <v>76</v>
      </c>
      <c r="K26" s="24">
        <v>1353762</v>
      </c>
      <c r="L26" s="27" t="s">
        <v>100</v>
      </c>
      <c r="M26" s="27" t="s">
        <v>367</v>
      </c>
      <c r="N26" s="26" t="s">
        <v>496</v>
      </c>
      <c r="O26" s="24" t="s">
        <v>82</v>
      </c>
      <c r="P26" s="24"/>
      <c r="Q26" s="24"/>
      <c r="R26" s="24">
        <v>50</v>
      </c>
      <c r="S26" s="24">
        <v>50</v>
      </c>
      <c r="T26" s="24">
        <f t="shared" si="1"/>
        <v>50</v>
      </c>
      <c r="U26" s="24">
        <f>ROUNDDOWN(S26/HLOOKUP(D26,Table!$C$3:$D$4,2,0)*8,2)</f>
        <v>3.07</v>
      </c>
      <c r="V26" s="24">
        <v>6</v>
      </c>
      <c r="W26" s="24" t="s">
        <v>105</v>
      </c>
      <c r="X26" s="28">
        <v>43893</v>
      </c>
      <c r="Y26" s="28">
        <v>43896</v>
      </c>
      <c r="Z26" s="28">
        <v>43895</v>
      </c>
      <c r="AA26" s="28">
        <v>43896</v>
      </c>
      <c r="AB26" s="28" t="s">
        <v>158</v>
      </c>
      <c r="AC26" s="24">
        <v>100</v>
      </c>
      <c r="AD26" s="24">
        <v>100</v>
      </c>
      <c r="AE26" s="24">
        <v>100</v>
      </c>
      <c r="AF26" s="24" t="s">
        <v>210</v>
      </c>
      <c r="AG26" s="27" t="s">
        <v>76</v>
      </c>
    </row>
    <row r="27" spans="1:33" x14ac:dyDescent="0.25">
      <c r="B27" s="48">
        <f t="shared" si="0"/>
        <v>25</v>
      </c>
      <c r="C27" s="26">
        <v>20200303</v>
      </c>
      <c r="D27" s="24" t="s">
        <v>3</v>
      </c>
      <c r="E27" s="24" t="s">
        <v>109</v>
      </c>
      <c r="F27" s="27" t="s">
        <v>197</v>
      </c>
      <c r="G27" s="24">
        <v>1341660</v>
      </c>
      <c r="H27" s="26" t="s">
        <v>110</v>
      </c>
      <c r="I27" s="25" t="s">
        <v>194</v>
      </c>
      <c r="J27" s="24" t="s">
        <v>76</v>
      </c>
      <c r="K27" s="24" t="s">
        <v>160</v>
      </c>
      <c r="L27" s="27" t="str">
        <f t="shared" ref="L27:L58" si="3">IF(D27="ASW","PUT_VERSION","-")</f>
        <v>-</v>
      </c>
      <c r="M27" s="27" t="s">
        <v>368</v>
      </c>
      <c r="N27" s="26" t="s">
        <v>497</v>
      </c>
      <c r="O27" s="24" t="s">
        <v>82</v>
      </c>
      <c r="P27" s="24"/>
      <c r="Q27" s="24"/>
      <c r="R27" s="24">
        <v>77</v>
      </c>
      <c r="S27" s="24">
        <v>77</v>
      </c>
      <c r="T27" s="24">
        <f t="shared" si="1"/>
        <v>77</v>
      </c>
      <c r="U27" s="24">
        <f>ROUNDDOWN(S27/HLOOKUP(D27,Table!$C$3:$D$4,2,0)*8,2)</f>
        <v>1.36</v>
      </c>
      <c r="V27" s="24">
        <v>2.5</v>
      </c>
      <c r="W27" s="24" t="s">
        <v>105</v>
      </c>
      <c r="X27" s="28">
        <v>43893</v>
      </c>
      <c r="Y27" s="87">
        <v>43901</v>
      </c>
      <c r="Z27" s="28">
        <v>43900</v>
      </c>
      <c r="AA27" s="28">
        <v>43900</v>
      </c>
      <c r="AB27" s="28" t="s">
        <v>158</v>
      </c>
      <c r="AC27" s="24">
        <v>100</v>
      </c>
      <c r="AD27" s="24">
        <v>100</v>
      </c>
      <c r="AE27" s="24">
        <v>100</v>
      </c>
      <c r="AF27" s="27" t="s">
        <v>76</v>
      </c>
      <c r="AG27" s="27" t="s">
        <v>76</v>
      </c>
    </row>
    <row r="28" spans="1:33" x14ac:dyDescent="0.25">
      <c r="B28" s="48">
        <f t="shared" si="0"/>
        <v>26</v>
      </c>
      <c r="C28" s="26">
        <v>20200303</v>
      </c>
      <c r="D28" s="24" t="s">
        <v>3</v>
      </c>
      <c r="E28" s="24" t="s">
        <v>109</v>
      </c>
      <c r="F28" s="27" t="s">
        <v>197</v>
      </c>
      <c r="G28" s="24">
        <v>1341660</v>
      </c>
      <c r="H28" s="26" t="s">
        <v>111</v>
      </c>
      <c r="I28" s="25" t="s">
        <v>194</v>
      </c>
      <c r="J28" s="24" t="s">
        <v>76</v>
      </c>
      <c r="K28" s="24" t="s">
        <v>160</v>
      </c>
      <c r="L28" s="27" t="str">
        <f t="shared" si="3"/>
        <v>-</v>
      </c>
      <c r="M28" s="27" t="s">
        <v>368</v>
      </c>
      <c r="N28" s="26" t="s">
        <v>498</v>
      </c>
      <c r="O28" s="24" t="s">
        <v>82</v>
      </c>
      <c r="P28" s="24"/>
      <c r="Q28" s="24"/>
      <c r="R28" s="24">
        <v>44</v>
      </c>
      <c r="S28" s="24">
        <v>44</v>
      </c>
      <c r="T28" s="24">
        <f t="shared" si="1"/>
        <v>44</v>
      </c>
      <c r="U28" s="24">
        <f>ROUNDDOWN(S28/HLOOKUP(D28,Table!$C$3:$D$4,2,0)*8,2)</f>
        <v>0.78</v>
      </c>
      <c r="V28" s="24">
        <v>1</v>
      </c>
      <c r="W28" s="24" t="s">
        <v>105</v>
      </c>
      <c r="X28" s="28">
        <v>43893</v>
      </c>
      <c r="Y28" s="87">
        <v>43901</v>
      </c>
      <c r="Z28" s="28">
        <v>43901</v>
      </c>
      <c r="AA28" s="28">
        <v>43901</v>
      </c>
      <c r="AB28" s="28" t="s">
        <v>158</v>
      </c>
      <c r="AC28" s="24">
        <v>100</v>
      </c>
      <c r="AD28" s="24">
        <v>100</v>
      </c>
      <c r="AE28" s="24">
        <v>100</v>
      </c>
      <c r="AF28" s="27" t="s">
        <v>76</v>
      </c>
      <c r="AG28" s="27" t="s">
        <v>76</v>
      </c>
    </row>
    <row r="29" spans="1:33" x14ac:dyDescent="0.25">
      <c r="B29" s="48">
        <f t="shared" si="0"/>
        <v>27</v>
      </c>
      <c r="C29" s="26">
        <v>20200303</v>
      </c>
      <c r="D29" s="24" t="s">
        <v>3</v>
      </c>
      <c r="E29" s="24" t="s">
        <v>109</v>
      </c>
      <c r="F29" s="27" t="s">
        <v>197</v>
      </c>
      <c r="G29" s="24">
        <v>1341660</v>
      </c>
      <c r="H29" s="26" t="s">
        <v>112</v>
      </c>
      <c r="I29" s="25" t="s">
        <v>194</v>
      </c>
      <c r="J29" s="24" t="s">
        <v>76</v>
      </c>
      <c r="K29" s="24" t="s">
        <v>160</v>
      </c>
      <c r="L29" s="27" t="str">
        <f t="shared" si="3"/>
        <v>-</v>
      </c>
      <c r="M29" s="27" t="s">
        <v>368</v>
      </c>
      <c r="N29" s="26" t="s">
        <v>499</v>
      </c>
      <c r="O29" s="24" t="s">
        <v>82</v>
      </c>
      <c r="P29" s="24"/>
      <c r="Q29" s="24"/>
      <c r="R29" s="24">
        <v>210</v>
      </c>
      <c r="S29" s="24">
        <v>210</v>
      </c>
      <c r="T29" s="24">
        <f t="shared" si="1"/>
        <v>210</v>
      </c>
      <c r="U29" s="24">
        <f>ROUNDDOWN(S29/HLOOKUP(D29,Table!$C$3:$D$4,2,0)*8,2)</f>
        <v>3.73</v>
      </c>
      <c r="V29" s="24">
        <v>5</v>
      </c>
      <c r="W29" s="24" t="s">
        <v>105</v>
      </c>
      <c r="X29" s="28">
        <v>43893</v>
      </c>
      <c r="Y29" s="87">
        <v>43901</v>
      </c>
      <c r="Z29" s="28">
        <v>43899</v>
      </c>
      <c r="AA29" s="28">
        <v>43899</v>
      </c>
      <c r="AB29" s="28" t="s">
        <v>158</v>
      </c>
      <c r="AC29" s="24">
        <v>100</v>
      </c>
      <c r="AD29" s="24">
        <v>100</v>
      </c>
      <c r="AE29" s="24">
        <v>100</v>
      </c>
      <c r="AF29" s="24" t="s">
        <v>213</v>
      </c>
      <c r="AG29" s="27" t="s">
        <v>76</v>
      </c>
    </row>
    <row r="30" spans="1:33" x14ac:dyDescent="0.25">
      <c r="B30" s="48">
        <f t="shared" si="0"/>
        <v>28</v>
      </c>
      <c r="C30" s="26">
        <v>20200303</v>
      </c>
      <c r="D30" s="24" t="s">
        <v>3</v>
      </c>
      <c r="E30" s="24" t="s">
        <v>109</v>
      </c>
      <c r="F30" s="27" t="s">
        <v>195</v>
      </c>
      <c r="G30" s="24">
        <v>1341660</v>
      </c>
      <c r="H30" s="26" t="s">
        <v>113</v>
      </c>
      <c r="I30" s="25" t="s">
        <v>194</v>
      </c>
      <c r="J30" s="24" t="s">
        <v>76</v>
      </c>
      <c r="K30" s="24" t="s">
        <v>160</v>
      </c>
      <c r="L30" s="27" t="str">
        <f t="shared" si="3"/>
        <v>-</v>
      </c>
      <c r="M30" s="27" t="s">
        <v>368</v>
      </c>
      <c r="N30" s="26" t="s">
        <v>500</v>
      </c>
      <c r="O30" s="24" t="s">
        <v>82</v>
      </c>
      <c r="P30" s="24"/>
      <c r="Q30" s="24"/>
      <c r="R30" s="24">
        <v>622</v>
      </c>
      <c r="S30" s="24">
        <v>622</v>
      </c>
      <c r="T30" s="24">
        <f t="shared" si="1"/>
        <v>622</v>
      </c>
      <c r="U30" s="24">
        <f>ROUNDDOWN(S30/HLOOKUP(D30,Table!$C$3:$D$4,2,0)*8,2)</f>
        <v>11.05</v>
      </c>
      <c r="V30" s="24">
        <v>11</v>
      </c>
      <c r="W30" s="24" t="s">
        <v>105</v>
      </c>
      <c r="X30" s="28">
        <v>43893</v>
      </c>
      <c r="Y30" s="87">
        <v>43901</v>
      </c>
      <c r="Z30" s="28">
        <v>43899</v>
      </c>
      <c r="AA30" s="28">
        <v>43899</v>
      </c>
      <c r="AB30" s="28" t="s">
        <v>158</v>
      </c>
      <c r="AC30" s="24">
        <v>100</v>
      </c>
      <c r="AD30" s="24">
        <v>100</v>
      </c>
      <c r="AE30" s="24">
        <v>100</v>
      </c>
      <c r="AF30" s="27" t="s">
        <v>76</v>
      </c>
      <c r="AG30" s="27" t="s">
        <v>76</v>
      </c>
    </row>
    <row r="31" spans="1:33" hidden="1" x14ac:dyDescent="0.25">
      <c r="B31" s="48">
        <f t="shared" si="0"/>
        <v>29</v>
      </c>
      <c r="C31" s="26">
        <v>20200303</v>
      </c>
      <c r="D31" s="24" t="s">
        <v>3</v>
      </c>
      <c r="E31" s="24" t="s">
        <v>109</v>
      </c>
      <c r="F31" s="27" t="s">
        <v>195</v>
      </c>
      <c r="G31" s="24">
        <v>1341660</v>
      </c>
      <c r="H31" s="26" t="s">
        <v>792</v>
      </c>
      <c r="I31" s="25" t="s">
        <v>194</v>
      </c>
      <c r="J31" s="24" t="s">
        <v>76</v>
      </c>
      <c r="K31" s="24" t="s">
        <v>160</v>
      </c>
      <c r="L31" s="27" t="str">
        <f t="shared" si="3"/>
        <v>-</v>
      </c>
      <c r="M31" s="27" t="s">
        <v>368</v>
      </c>
      <c r="N31" s="26" t="s">
        <v>501</v>
      </c>
      <c r="O31" s="24" t="s">
        <v>85</v>
      </c>
      <c r="P31" s="24"/>
      <c r="Q31" s="24"/>
      <c r="R31" s="24">
        <v>97</v>
      </c>
      <c r="S31" s="24">
        <f t="shared" ref="S31:S34" si="4">R31</f>
        <v>97</v>
      </c>
      <c r="T31" s="24">
        <f t="shared" si="1"/>
        <v>97</v>
      </c>
      <c r="U31" s="24">
        <f>ROUNDDOWN(S31/HLOOKUP(D31,Table!$C$3:$D$4,2,0)*8,2)</f>
        <v>1.72</v>
      </c>
      <c r="V31" s="24">
        <v>1</v>
      </c>
      <c r="W31" s="24" t="s">
        <v>105</v>
      </c>
      <c r="X31" s="28">
        <v>43893</v>
      </c>
      <c r="Y31" s="87">
        <v>43901</v>
      </c>
      <c r="Z31" s="28">
        <v>43899</v>
      </c>
      <c r="AA31" s="28">
        <v>43899</v>
      </c>
      <c r="AB31" s="28" t="s">
        <v>158</v>
      </c>
      <c r="AC31" s="24">
        <v>100</v>
      </c>
      <c r="AD31" s="24">
        <v>100</v>
      </c>
      <c r="AE31" s="24">
        <v>100</v>
      </c>
      <c r="AF31" s="27" t="s">
        <v>76</v>
      </c>
      <c r="AG31" s="27" t="s">
        <v>76</v>
      </c>
    </row>
    <row r="32" spans="1:33" hidden="1" x14ac:dyDescent="0.25">
      <c r="B32" s="48">
        <f t="shared" si="0"/>
        <v>30</v>
      </c>
      <c r="C32" s="26">
        <v>20200303</v>
      </c>
      <c r="D32" s="24" t="s">
        <v>3</v>
      </c>
      <c r="E32" s="24" t="s">
        <v>109</v>
      </c>
      <c r="F32" s="27" t="s">
        <v>195</v>
      </c>
      <c r="G32" s="24">
        <v>1341660</v>
      </c>
      <c r="H32" s="26" t="s">
        <v>115</v>
      </c>
      <c r="I32" s="25" t="s">
        <v>194</v>
      </c>
      <c r="J32" s="24" t="s">
        <v>76</v>
      </c>
      <c r="K32" s="24" t="s">
        <v>160</v>
      </c>
      <c r="L32" s="27" t="str">
        <f t="shared" si="3"/>
        <v>-</v>
      </c>
      <c r="M32" s="27" t="s">
        <v>368</v>
      </c>
      <c r="N32" s="26" t="s">
        <v>502</v>
      </c>
      <c r="O32" s="24" t="s">
        <v>85</v>
      </c>
      <c r="P32" s="24"/>
      <c r="Q32" s="24"/>
      <c r="R32" s="24">
        <v>100</v>
      </c>
      <c r="S32" s="24">
        <f t="shared" si="4"/>
        <v>100</v>
      </c>
      <c r="T32" s="24">
        <f t="shared" si="1"/>
        <v>100</v>
      </c>
      <c r="U32" s="24">
        <f>ROUNDDOWN(S32/HLOOKUP(D32,Table!$C$3:$D$4,2,0)*8,2)</f>
        <v>1.77</v>
      </c>
      <c r="V32" s="24">
        <v>0.75</v>
      </c>
      <c r="W32" s="24" t="s">
        <v>105</v>
      </c>
      <c r="X32" s="28">
        <v>43893</v>
      </c>
      <c r="Y32" s="87">
        <v>43901</v>
      </c>
      <c r="Z32" s="28">
        <v>43899</v>
      </c>
      <c r="AA32" s="28">
        <v>43899</v>
      </c>
      <c r="AB32" s="28" t="s">
        <v>158</v>
      </c>
      <c r="AC32" s="24">
        <v>100</v>
      </c>
      <c r="AD32" s="24">
        <v>100</v>
      </c>
      <c r="AE32" s="24">
        <v>100</v>
      </c>
      <c r="AF32" s="27" t="s">
        <v>76</v>
      </c>
      <c r="AG32" s="27" t="s">
        <v>76</v>
      </c>
    </row>
    <row r="33" spans="2:33" hidden="1" x14ac:dyDescent="0.25">
      <c r="B33" s="48">
        <f t="shared" si="0"/>
        <v>31</v>
      </c>
      <c r="C33" s="26">
        <v>20200303</v>
      </c>
      <c r="D33" s="24" t="s">
        <v>3</v>
      </c>
      <c r="E33" s="24" t="s">
        <v>109</v>
      </c>
      <c r="F33" s="27" t="s">
        <v>195</v>
      </c>
      <c r="G33" s="24">
        <v>1341660</v>
      </c>
      <c r="H33" s="26" t="s">
        <v>116</v>
      </c>
      <c r="I33" s="25" t="s">
        <v>194</v>
      </c>
      <c r="J33" s="24" t="s">
        <v>76</v>
      </c>
      <c r="K33" s="24" t="s">
        <v>160</v>
      </c>
      <c r="L33" s="27" t="str">
        <f t="shared" si="3"/>
        <v>-</v>
      </c>
      <c r="M33" s="27" t="s">
        <v>368</v>
      </c>
      <c r="N33" s="26" t="s">
        <v>503</v>
      </c>
      <c r="O33" s="24" t="s">
        <v>85</v>
      </c>
      <c r="P33" s="24"/>
      <c r="Q33" s="24"/>
      <c r="R33" s="24">
        <v>8</v>
      </c>
      <c r="S33" s="24">
        <f t="shared" si="4"/>
        <v>8</v>
      </c>
      <c r="T33" s="24">
        <f t="shared" si="1"/>
        <v>8</v>
      </c>
      <c r="U33" s="24">
        <f>ROUNDDOWN(S33/HLOOKUP(D33,Table!$C$3:$D$4,2,0)*8,2)</f>
        <v>0.14000000000000001</v>
      </c>
      <c r="V33" s="24">
        <v>0.2</v>
      </c>
      <c r="W33" s="24" t="s">
        <v>105</v>
      </c>
      <c r="X33" s="28">
        <v>43893</v>
      </c>
      <c r="Y33" s="87">
        <v>43901</v>
      </c>
      <c r="Z33" s="28">
        <v>43899</v>
      </c>
      <c r="AA33" s="28">
        <v>43899</v>
      </c>
      <c r="AB33" s="28"/>
      <c r="AC33" s="27" t="s">
        <v>76</v>
      </c>
      <c r="AD33" s="27" t="s">
        <v>76</v>
      </c>
      <c r="AE33" s="27" t="s">
        <v>76</v>
      </c>
      <c r="AF33" s="24" t="s">
        <v>283</v>
      </c>
      <c r="AG33" s="27" t="s">
        <v>76</v>
      </c>
    </row>
    <row r="34" spans="2:33" hidden="1" x14ac:dyDescent="0.25">
      <c r="B34" s="48">
        <f t="shared" si="0"/>
        <v>32</v>
      </c>
      <c r="C34" s="26">
        <v>20200303</v>
      </c>
      <c r="D34" s="24" t="s">
        <v>3</v>
      </c>
      <c r="E34" s="24" t="s">
        <v>109</v>
      </c>
      <c r="F34" s="27" t="s">
        <v>195</v>
      </c>
      <c r="G34" s="24">
        <v>1341660</v>
      </c>
      <c r="H34" s="26" t="s">
        <v>117</v>
      </c>
      <c r="I34" s="25" t="s">
        <v>194</v>
      </c>
      <c r="J34" s="24" t="s">
        <v>76</v>
      </c>
      <c r="K34" s="24" t="s">
        <v>160</v>
      </c>
      <c r="L34" s="27" t="str">
        <f t="shared" si="3"/>
        <v>-</v>
      </c>
      <c r="M34" s="27" t="s">
        <v>368</v>
      </c>
      <c r="N34" s="26" t="s">
        <v>504</v>
      </c>
      <c r="O34" s="24" t="s">
        <v>85</v>
      </c>
      <c r="P34" s="24"/>
      <c r="Q34" s="24"/>
      <c r="R34" s="24">
        <v>148</v>
      </c>
      <c r="S34" s="24">
        <f t="shared" si="4"/>
        <v>148</v>
      </c>
      <c r="T34" s="24">
        <f t="shared" si="1"/>
        <v>148</v>
      </c>
      <c r="U34" s="24">
        <f>ROUNDDOWN(S34/HLOOKUP(D34,Table!$C$3:$D$4,2,0)*8,2)</f>
        <v>2.63</v>
      </c>
      <c r="V34" s="24">
        <v>1</v>
      </c>
      <c r="W34" s="24" t="s">
        <v>105</v>
      </c>
      <c r="X34" s="28">
        <v>43893</v>
      </c>
      <c r="Y34" s="87">
        <v>43901</v>
      </c>
      <c r="Z34" s="28">
        <v>43899</v>
      </c>
      <c r="AA34" s="28">
        <v>43899</v>
      </c>
      <c r="AB34" s="28" t="s">
        <v>158</v>
      </c>
      <c r="AC34" s="24">
        <v>100</v>
      </c>
      <c r="AD34" s="24">
        <v>100</v>
      </c>
      <c r="AE34" s="24">
        <v>100</v>
      </c>
      <c r="AF34" s="27" t="s">
        <v>76</v>
      </c>
      <c r="AG34" s="27" t="s">
        <v>76</v>
      </c>
    </row>
    <row r="35" spans="2:33" hidden="1" x14ac:dyDescent="0.25">
      <c r="B35" s="48">
        <f t="shared" si="0"/>
        <v>33</v>
      </c>
      <c r="C35" s="26">
        <v>20200303</v>
      </c>
      <c r="D35" s="24" t="s">
        <v>3</v>
      </c>
      <c r="E35" s="24" t="s">
        <v>109</v>
      </c>
      <c r="F35" s="27" t="s">
        <v>195</v>
      </c>
      <c r="G35" s="24">
        <v>1341660</v>
      </c>
      <c r="H35" s="26" t="s">
        <v>118</v>
      </c>
      <c r="I35" s="25" t="s">
        <v>194</v>
      </c>
      <c r="J35" s="24" t="s">
        <v>76</v>
      </c>
      <c r="K35" s="24" t="s">
        <v>160</v>
      </c>
      <c r="L35" s="27" t="str">
        <f t="shared" si="3"/>
        <v>-</v>
      </c>
      <c r="M35" s="27" t="s">
        <v>368</v>
      </c>
      <c r="N35" s="26" t="s">
        <v>505</v>
      </c>
      <c r="O35" s="24" t="s">
        <v>84</v>
      </c>
      <c r="P35" s="24"/>
      <c r="Q35" s="24"/>
      <c r="R35" s="24">
        <v>17</v>
      </c>
      <c r="S35" s="24">
        <v>17</v>
      </c>
      <c r="T35" s="24">
        <f t="shared" si="1"/>
        <v>17</v>
      </c>
      <c r="U35" s="24">
        <f>ROUNDDOWN(S35/HLOOKUP(D35,Table!$C$3:$D$4,2,0)*8,2)</f>
        <v>0.3</v>
      </c>
      <c r="V35" s="24">
        <v>0.5</v>
      </c>
      <c r="W35" s="24" t="s">
        <v>105</v>
      </c>
      <c r="X35" s="28">
        <v>43893</v>
      </c>
      <c r="Y35" s="87">
        <v>43901</v>
      </c>
      <c r="Z35" s="28">
        <v>43900</v>
      </c>
      <c r="AA35" s="28">
        <v>43900</v>
      </c>
      <c r="AB35" s="28" t="s">
        <v>158</v>
      </c>
      <c r="AC35" s="24">
        <v>100</v>
      </c>
      <c r="AD35" s="24">
        <v>100</v>
      </c>
      <c r="AE35" s="24">
        <v>100</v>
      </c>
      <c r="AF35" s="27" t="s">
        <v>76</v>
      </c>
      <c r="AG35" s="27" t="s">
        <v>76</v>
      </c>
    </row>
    <row r="36" spans="2:33" hidden="1" x14ac:dyDescent="0.25">
      <c r="B36" s="48">
        <f t="shared" ref="B36:B68" si="5">B35+1</f>
        <v>34</v>
      </c>
      <c r="C36" s="26">
        <v>20200303</v>
      </c>
      <c r="D36" s="24" t="s">
        <v>3</v>
      </c>
      <c r="E36" s="24" t="s">
        <v>109</v>
      </c>
      <c r="F36" s="27" t="s">
        <v>195</v>
      </c>
      <c r="G36" s="24">
        <v>1341660</v>
      </c>
      <c r="H36" s="26" t="s">
        <v>119</v>
      </c>
      <c r="I36" s="25" t="s">
        <v>194</v>
      </c>
      <c r="J36" s="24" t="s">
        <v>76</v>
      </c>
      <c r="K36" s="24" t="s">
        <v>160</v>
      </c>
      <c r="L36" s="27" t="str">
        <f t="shared" si="3"/>
        <v>-</v>
      </c>
      <c r="M36" s="27" t="s">
        <v>368</v>
      </c>
      <c r="N36" s="26" t="s">
        <v>506</v>
      </c>
      <c r="O36" s="24" t="s">
        <v>84</v>
      </c>
      <c r="P36" s="24"/>
      <c r="Q36" s="24"/>
      <c r="R36" s="24">
        <v>18</v>
      </c>
      <c r="S36" s="24">
        <v>18</v>
      </c>
      <c r="T36" s="24">
        <f t="shared" si="1"/>
        <v>18</v>
      </c>
      <c r="U36" s="24">
        <f>ROUNDDOWN(S36/HLOOKUP(D36,Table!$C$3:$D$4,2,0)*8,2)</f>
        <v>0.32</v>
      </c>
      <c r="V36" s="24">
        <v>0.5</v>
      </c>
      <c r="W36" s="24" t="s">
        <v>105</v>
      </c>
      <c r="X36" s="28">
        <v>43893</v>
      </c>
      <c r="Y36" s="87">
        <v>43901</v>
      </c>
      <c r="Z36" s="28">
        <v>43900</v>
      </c>
      <c r="AA36" s="28">
        <v>43900</v>
      </c>
      <c r="AB36" s="28" t="s">
        <v>158</v>
      </c>
      <c r="AC36" s="24">
        <v>100</v>
      </c>
      <c r="AD36" s="24">
        <v>100</v>
      </c>
      <c r="AE36" s="24">
        <v>100</v>
      </c>
      <c r="AF36" s="27" t="s">
        <v>76</v>
      </c>
      <c r="AG36" s="27" t="s">
        <v>76</v>
      </c>
    </row>
    <row r="37" spans="2:33" s="118" customFormat="1" hidden="1" x14ac:dyDescent="0.25">
      <c r="B37" s="48">
        <f t="shared" si="5"/>
        <v>35</v>
      </c>
      <c r="C37" s="26">
        <v>20200303</v>
      </c>
      <c r="D37" s="24" t="s">
        <v>3</v>
      </c>
      <c r="E37" s="24" t="s">
        <v>109</v>
      </c>
      <c r="F37" s="27" t="s">
        <v>195</v>
      </c>
      <c r="G37" s="24">
        <v>1341660</v>
      </c>
      <c r="H37" s="26" t="s">
        <v>120</v>
      </c>
      <c r="I37" s="25" t="s">
        <v>194</v>
      </c>
      <c r="J37" s="24" t="s">
        <v>76</v>
      </c>
      <c r="K37" s="24" t="s">
        <v>160</v>
      </c>
      <c r="L37" s="27" t="str">
        <f t="shared" si="3"/>
        <v>-</v>
      </c>
      <c r="M37" s="27" t="s">
        <v>368</v>
      </c>
      <c r="N37" s="26" t="s">
        <v>507</v>
      </c>
      <c r="O37" s="24" t="s">
        <v>83</v>
      </c>
      <c r="P37" s="24"/>
      <c r="Q37" s="24"/>
      <c r="R37" s="24">
        <v>129</v>
      </c>
      <c r="S37" s="24">
        <v>129</v>
      </c>
      <c r="T37" s="24">
        <f t="shared" si="1"/>
        <v>129</v>
      </c>
      <c r="U37" s="24">
        <f>ROUNDDOWN(S37/HLOOKUP(D37,Table!$C$3:$D$4,2,0)*8,2)</f>
        <v>2.29</v>
      </c>
      <c r="V37" s="24">
        <v>3</v>
      </c>
      <c r="W37" s="24" t="s">
        <v>105</v>
      </c>
      <c r="X37" s="28">
        <v>43893</v>
      </c>
      <c r="Y37" s="87">
        <v>43901</v>
      </c>
      <c r="Z37" s="28">
        <v>43895</v>
      </c>
      <c r="AA37" s="28">
        <v>43895</v>
      </c>
      <c r="AB37" s="28" t="s">
        <v>158</v>
      </c>
      <c r="AC37" s="24">
        <v>100</v>
      </c>
      <c r="AD37" s="24">
        <v>100</v>
      </c>
      <c r="AE37" s="24">
        <v>100</v>
      </c>
      <c r="AF37" s="27" t="s">
        <v>76</v>
      </c>
      <c r="AG37" s="27" t="s">
        <v>472</v>
      </c>
    </row>
    <row r="38" spans="2:33" s="118" customFormat="1" hidden="1" x14ac:dyDescent="0.25">
      <c r="B38" s="48">
        <f t="shared" si="5"/>
        <v>36</v>
      </c>
      <c r="C38" s="26">
        <v>20200303</v>
      </c>
      <c r="D38" s="24" t="s">
        <v>3</v>
      </c>
      <c r="E38" s="24" t="s">
        <v>109</v>
      </c>
      <c r="F38" s="27" t="s">
        <v>195</v>
      </c>
      <c r="G38" s="24">
        <v>1341660</v>
      </c>
      <c r="H38" s="26" t="s">
        <v>121</v>
      </c>
      <c r="I38" s="25" t="s">
        <v>194</v>
      </c>
      <c r="J38" s="24" t="s">
        <v>76</v>
      </c>
      <c r="K38" s="24" t="s">
        <v>160</v>
      </c>
      <c r="L38" s="27" t="str">
        <f t="shared" si="3"/>
        <v>-</v>
      </c>
      <c r="M38" s="27" t="s">
        <v>368</v>
      </c>
      <c r="N38" s="26" t="s">
        <v>508</v>
      </c>
      <c r="O38" s="24" t="s">
        <v>83</v>
      </c>
      <c r="P38" s="24"/>
      <c r="Q38" s="24"/>
      <c r="R38" s="24">
        <v>164</v>
      </c>
      <c r="S38" s="24">
        <v>196</v>
      </c>
      <c r="T38" s="24">
        <f t="shared" si="1"/>
        <v>196</v>
      </c>
      <c r="U38" s="24">
        <f>ROUNDDOWN(S38/HLOOKUP(D38,Table!$C$3:$D$4,2,0)*8,2)</f>
        <v>3.48</v>
      </c>
      <c r="V38" s="24">
        <v>4</v>
      </c>
      <c r="W38" s="24" t="s">
        <v>105</v>
      </c>
      <c r="X38" s="28">
        <v>43893</v>
      </c>
      <c r="Y38" s="87">
        <v>43901</v>
      </c>
      <c r="Z38" s="28">
        <v>43896</v>
      </c>
      <c r="AA38" s="28">
        <v>43896</v>
      </c>
      <c r="AB38" s="28" t="s">
        <v>158</v>
      </c>
      <c r="AC38" s="24">
        <v>100</v>
      </c>
      <c r="AD38" s="24">
        <v>100</v>
      </c>
      <c r="AE38" s="24">
        <v>100</v>
      </c>
      <c r="AF38" s="27" t="s">
        <v>76</v>
      </c>
      <c r="AG38" s="27" t="s">
        <v>472</v>
      </c>
    </row>
    <row r="39" spans="2:33" s="118" customFormat="1" hidden="1" x14ac:dyDescent="0.25">
      <c r="B39" s="48">
        <f t="shared" si="5"/>
        <v>37</v>
      </c>
      <c r="C39" s="26">
        <v>20200303</v>
      </c>
      <c r="D39" s="24" t="s">
        <v>3</v>
      </c>
      <c r="E39" s="24" t="s">
        <v>109</v>
      </c>
      <c r="F39" s="27" t="s">
        <v>195</v>
      </c>
      <c r="G39" s="24">
        <v>1341660</v>
      </c>
      <c r="H39" s="26" t="s">
        <v>122</v>
      </c>
      <c r="I39" s="25" t="s">
        <v>194</v>
      </c>
      <c r="J39" s="24" t="s">
        <v>76</v>
      </c>
      <c r="K39" s="24" t="s">
        <v>160</v>
      </c>
      <c r="L39" s="27" t="str">
        <f t="shared" si="3"/>
        <v>-</v>
      </c>
      <c r="M39" s="27" t="s">
        <v>368</v>
      </c>
      <c r="N39" s="26" t="s">
        <v>509</v>
      </c>
      <c r="O39" s="24" t="s">
        <v>83</v>
      </c>
      <c r="P39" s="24"/>
      <c r="Q39" s="24"/>
      <c r="R39" s="24">
        <v>104</v>
      </c>
      <c r="S39" s="24">
        <v>104</v>
      </c>
      <c r="T39" s="24">
        <f t="shared" si="1"/>
        <v>104</v>
      </c>
      <c r="U39" s="24">
        <f>ROUNDDOWN(S39/HLOOKUP(D39,Table!$C$3:$D$4,2,0)*8,2)</f>
        <v>1.84</v>
      </c>
      <c r="V39" s="24">
        <v>1</v>
      </c>
      <c r="W39" s="24" t="s">
        <v>105</v>
      </c>
      <c r="X39" s="28">
        <v>43893</v>
      </c>
      <c r="Y39" s="87">
        <v>43901</v>
      </c>
      <c r="Z39" s="28">
        <v>43896</v>
      </c>
      <c r="AA39" s="28">
        <v>43900</v>
      </c>
      <c r="AB39" s="28" t="s">
        <v>157</v>
      </c>
      <c r="AC39" s="24">
        <v>97</v>
      </c>
      <c r="AD39" s="24">
        <v>95</v>
      </c>
      <c r="AE39" s="24">
        <v>100</v>
      </c>
      <c r="AF39" s="24" t="s">
        <v>282</v>
      </c>
      <c r="AG39" s="27" t="s">
        <v>472</v>
      </c>
    </row>
    <row r="40" spans="2:33" s="118" customFormat="1" hidden="1" x14ac:dyDescent="0.25">
      <c r="B40" s="48">
        <f t="shared" si="5"/>
        <v>38</v>
      </c>
      <c r="C40" s="26">
        <v>20200303</v>
      </c>
      <c r="D40" s="24" t="s">
        <v>3</v>
      </c>
      <c r="E40" s="24" t="s">
        <v>109</v>
      </c>
      <c r="F40" s="27" t="s">
        <v>195</v>
      </c>
      <c r="G40" s="24">
        <v>1341660</v>
      </c>
      <c r="H40" s="26" t="s">
        <v>123</v>
      </c>
      <c r="I40" s="25" t="s">
        <v>194</v>
      </c>
      <c r="J40" s="24" t="s">
        <v>76</v>
      </c>
      <c r="K40" s="24" t="s">
        <v>160</v>
      </c>
      <c r="L40" s="27" t="str">
        <f t="shared" si="3"/>
        <v>-</v>
      </c>
      <c r="M40" s="27" t="s">
        <v>368</v>
      </c>
      <c r="N40" s="26" t="s">
        <v>510</v>
      </c>
      <c r="O40" s="24" t="s">
        <v>83</v>
      </c>
      <c r="P40" s="24"/>
      <c r="Q40" s="24"/>
      <c r="R40" s="24">
        <v>154</v>
      </c>
      <c r="S40" s="24">
        <v>154</v>
      </c>
      <c r="T40" s="24">
        <f t="shared" si="1"/>
        <v>154</v>
      </c>
      <c r="U40" s="24">
        <f>ROUNDDOWN(S40/HLOOKUP(D40,Table!$C$3:$D$4,2,0)*8,2)</f>
        <v>2.73</v>
      </c>
      <c r="V40" s="24">
        <v>2</v>
      </c>
      <c r="W40" s="24" t="s">
        <v>105</v>
      </c>
      <c r="X40" s="28">
        <v>43893</v>
      </c>
      <c r="Y40" s="87">
        <v>43901</v>
      </c>
      <c r="Z40" s="28">
        <v>43900</v>
      </c>
      <c r="AA40" s="28">
        <v>43900</v>
      </c>
      <c r="AB40" s="28" t="s">
        <v>157</v>
      </c>
      <c r="AC40" s="24">
        <v>98</v>
      </c>
      <c r="AD40" s="24">
        <v>96</v>
      </c>
      <c r="AE40" s="24">
        <v>100</v>
      </c>
      <c r="AF40" s="24" t="s">
        <v>282</v>
      </c>
      <c r="AG40" s="27" t="s">
        <v>472</v>
      </c>
    </row>
    <row r="41" spans="2:33" s="118" customFormat="1" hidden="1" x14ac:dyDescent="0.25">
      <c r="B41" s="48">
        <f t="shared" si="5"/>
        <v>39</v>
      </c>
      <c r="C41" s="26">
        <v>20200303</v>
      </c>
      <c r="D41" s="24" t="s">
        <v>3</v>
      </c>
      <c r="E41" s="24" t="s">
        <v>109</v>
      </c>
      <c r="F41" s="27" t="s">
        <v>195</v>
      </c>
      <c r="G41" s="24">
        <v>1341660</v>
      </c>
      <c r="H41" s="26" t="s">
        <v>124</v>
      </c>
      <c r="I41" s="25" t="s">
        <v>194</v>
      </c>
      <c r="J41" s="24" t="s">
        <v>76</v>
      </c>
      <c r="K41" s="24" t="s">
        <v>160</v>
      </c>
      <c r="L41" s="27" t="str">
        <f t="shared" si="3"/>
        <v>-</v>
      </c>
      <c r="M41" s="27" t="s">
        <v>368</v>
      </c>
      <c r="N41" s="26" t="s">
        <v>511</v>
      </c>
      <c r="O41" s="24" t="s">
        <v>83</v>
      </c>
      <c r="P41" s="24"/>
      <c r="Q41" s="24"/>
      <c r="R41" s="24">
        <v>167</v>
      </c>
      <c r="S41" s="24">
        <v>167</v>
      </c>
      <c r="T41" s="24">
        <f t="shared" si="1"/>
        <v>167</v>
      </c>
      <c r="U41" s="24">
        <f>ROUNDDOWN(S41/HLOOKUP(D41,Table!$C$3:$D$4,2,0)*8,2)</f>
        <v>2.96</v>
      </c>
      <c r="V41" s="24">
        <v>2</v>
      </c>
      <c r="W41" s="24" t="s">
        <v>105</v>
      </c>
      <c r="X41" s="28">
        <v>43893</v>
      </c>
      <c r="Y41" s="87">
        <v>43901</v>
      </c>
      <c r="Z41" s="28">
        <v>43900</v>
      </c>
      <c r="AA41" s="28">
        <v>43900</v>
      </c>
      <c r="AB41" s="28" t="s">
        <v>158</v>
      </c>
      <c r="AC41" s="24">
        <v>100</v>
      </c>
      <c r="AD41" s="24">
        <v>100</v>
      </c>
      <c r="AE41" s="24">
        <v>100</v>
      </c>
      <c r="AF41" s="24" t="s">
        <v>285</v>
      </c>
      <c r="AG41" s="27" t="s">
        <v>472</v>
      </c>
    </row>
    <row r="42" spans="2:33" hidden="1" x14ac:dyDescent="0.25">
      <c r="B42" s="48">
        <f t="shared" si="5"/>
        <v>40</v>
      </c>
      <c r="C42" s="26">
        <v>20200303</v>
      </c>
      <c r="D42" s="24" t="s">
        <v>3</v>
      </c>
      <c r="E42" s="24" t="s">
        <v>109</v>
      </c>
      <c r="F42" s="27" t="s">
        <v>195</v>
      </c>
      <c r="G42" s="24">
        <v>1341660</v>
      </c>
      <c r="H42" s="26" t="s">
        <v>125</v>
      </c>
      <c r="I42" s="25" t="s">
        <v>194</v>
      </c>
      <c r="J42" s="24" t="s">
        <v>76</v>
      </c>
      <c r="K42" s="24" t="s">
        <v>160</v>
      </c>
      <c r="L42" s="27" t="str">
        <f t="shared" si="3"/>
        <v>-</v>
      </c>
      <c r="M42" s="27" t="s">
        <v>368</v>
      </c>
      <c r="N42" s="26" t="s">
        <v>512</v>
      </c>
      <c r="O42" s="24" t="s">
        <v>83</v>
      </c>
      <c r="P42" s="24"/>
      <c r="Q42" s="24"/>
      <c r="R42" s="24">
        <v>147</v>
      </c>
      <c r="S42" s="54">
        <v>147</v>
      </c>
      <c r="T42" s="24">
        <f t="shared" si="1"/>
        <v>147</v>
      </c>
      <c r="U42" s="24">
        <f>ROUNDDOWN(S42/HLOOKUP(D42,Table!$C$3:$D$4,2,0)*8,2)</f>
        <v>2.61</v>
      </c>
      <c r="V42" s="24">
        <v>1</v>
      </c>
      <c r="W42" s="24" t="s">
        <v>105</v>
      </c>
      <c r="X42" s="28">
        <v>43893</v>
      </c>
      <c r="Y42" s="87">
        <v>43901</v>
      </c>
      <c r="Z42" s="28">
        <v>43900</v>
      </c>
      <c r="AA42" s="28">
        <v>43900</v>
      </c>
      <c r="AB42" s="28" t="s">
        <v>158</v>
      </c>
      <c r="AC42" s="52">
        <v>100</v>
      </c>
      <c r="AD42" s="52">
        <v>100</v>
      </c>
      <c r="AE42" s="52">
        <v>100</v>
      </c>
      <c r="AF42" s="24" t="s">
        <v>286</v>
      </c>
      <c r="AG42" s="27" t="s">
        <v>472</v>
      </c>
    </row>
    <row r="43" spans="2:33" hidden="1" x14ac:dyDescent="0.25">
      <c r="B43" s="48">
        <f t="shared" si="5"/>
        <v>41</v>
      </c>
      <c r="C43" s="26">
        <v>20200303</v>
      </c>
      <c r="D43" s="24" t="s">
        <v>3</v>
      </c>
      <c r="E43" s="24" t="s">
        <v>109</v>
      </c>
      <c r="F43" s="27" t="s">
        <v>195</v>
      </c>
      <c r="G43" s="24">
        <v>1341660</v>
      </c>
      <c r="H43" s="26" t="s">
        <v>126</v>
      </c>
      <c r="I43" s="25" t="s">
        <v>194</v>
      </c>
      <c r="J43" s="24" t="s">
        <v>76</v>
      </c>
      <c r="K43" s="24" t="s">
        <v>160</v>
      </c>
      <c r="L43" s="27" t="str">
        <f t="shared" si="3"/>
        <v>-</v>
      </c>
      <c r="M43" s="27" t="s">
        <v>368</v>
      </c>
      <c r="N43" s="26" t="s">
        <v>513</v>
      </c>
      <c r="O43" s="24" t="s">
        <v>83</v>
      </c>
      <c r="P43" s="24"/>
      <c r="Q43" s="24"/>
      <c r="R43" s="24">
        <v>254</v>
      </c>
      <c r="S43" s="54">
        <v>254</v>
      </c>
      <c r="T43" s="24">
        <f t="shared" si="1"/>
        <v>254</v>
      </c>
      <c r="U43" s="24">
        <f>ROUNDDOWN(S43/HLOOKUP(D43,Table!$C$3:$D$4,2,0)*8,2)</f>
        <v>4.51</v>
      </c>
      <c r="V43" s="24">
        <v>3</v>
      </c>
      <c r="W43" s="24" t="s">
        <v>105</v>
      </c>
      <c r="X43" s="28">
        <v>43893</v>
      </c>
      <c r="Y43" s="87">
        <v>43901</v>
      </c>
      <c r="Z43" s="28">
        <v>43900</v>
      </c>
      <c r="AA43" s="28">
        <v>43900</v>
      </c>
      <c r="AB43" s="28" t="s">
        <v>158</v>
      </c>
      <c r="AC43" s="52">
        <v>100</v>
      </c>
      <c r="AD43" s="52">
        <v>100</v>
      </c>
      <c r="AE43" s="52">
        <v>100</v>
      </c>
      <c r="AF43" s="24" t="s">
        <v>287</v>
      </c>
      <c r="AG43" s="27" t="s">
        <v>472</v>
      </c>
    </row>
    <row r="44" spans="2:33" hidden="1" x14ac:dyDescent="0.25">
      <c r="B44" s="48">
        <f t="shared" si="5"/>
        <v>42</v>
      </c>
      <c r="C44" s="26">
        <v>20200303</v>
      </c>
      <c r="D44" s="24" t="s">
        <v>3</v>
      </c>
      <c r="E44" s="24" t="s">
        <v>109</v>
      </c>
      <c r="F44" s="27" t="s">
        <v>195</v>
      </c>
      <c r="G44" s="24">
        <v>1341660</v>
      </c>
      <c r="H44" s="26" t="s">
        <v>127</v>
      </c>
      <c r="I44" s="25" t="s">
        <v>194</v>
      </c>
      <c r="J44" s="24" t="s">
        <v>76</v>
      </c>
      <c r="K44" s="24" t="s">
        <v>160</v>
      </c>
      <c r="L44" s="27" t="str">
        <f t="shared" si="3"/>
        <v>-</v>
      </c>
      <c r="M44" s="27" t="s">
        <v>368</v>
      </c>
      <c r="N44" s="26" t="s">
        <v>514</v>
      </c>
      <c r="O44" s="24" t="s">
        <v>85</v>
      </c>
      <c r="P44" s="24"/>
      <c r="Q44" s="24"/>
      <c r="R44" s="24">
        <v>193</v>
      </c>
      <c r="S44" s="54">
        <f t="shared" ref="S44:S47" si="6">R44</f>
        <v>193</v>
      </c>
      <c r="T44" s="24">
        <f t="shared" si="1"/>
        <v>193</v>
      </c>
      <c r="U44" s="24">
        <f>ROUNDDOWN(S44/HLOOKUP(D44,Table!$C$3:$D$4,2,0)*8,2)</f>
        <v>3.43</v>
      </c>
      <c r="V44" s="24">
        <v>3</v>
      </c>
      <c r="W44" s="24" t="s">
        <v>105</v>
      </c>
      <c r="X44" s="28">
        <v>43893</v>
      </c>
      <c r="Y44" s="87">
        <v>43901</v>
      </c>
      <c r="Z44" s="28">
        <v>43899</v>
      </c>
      <c r="AA44" s="28">
        <v>43899</v>
      </c>
      <c r="AB44" s="28" t="s">
        <v>157</v>
      </c>
      <c r="AC44" s="24">
        <v>100</v>
      </c>
      <c r="AD44" s="24">
        <v>100</v>
      </c>
      <c r="AE44" s="24">
        <v>91</v>
      </c>
      <c r="AF44" s="24" t="s">
        <v>212</v>
      </c>
      <c r="AG44" s="27" t="s">
        <v>76</v>
      </c>
    </row>
    <row r="45" spans="2:33" hidden="1" x14ac:dyDescent="0.25">
      <c r="B45" s="48">
        <f t="shared" si="5"/>
        <v>43</v>
      </c>
      <c r="C45" s="26">
        <v>20200303</v>
      </c>
      <c r="D45" s="24" t="s">
        <v>3</v>
      </c>
      <c r="E45" s="24" t="s">
        <v>109</v>
      </c>
      <c r="F45" s="27" t="s">
        <v>195</v>
      </c>
      <c r="G45" s="24">
        <v>1341660</v>
      </c>
      <c r="H45" s="24" t="s">
        <v>128</v>
      </c>
      <c r="I45" s="25" t="s">
        <v>194</v>
      </c>
      <c r="J45" s="24" t="s">
        <v>76</v>
      </c>
      <c r="K45" s="24" t="s">
        <v>160</v>
      </c>
      <c r="L45" s="27" t="str">
        <f t="shared" si="3"/>
        <v>-</v>
      </c>
      <c r="M45" s="27" t="s">
        <v>368</v>
      </c>
      <c r="N45" s="26" t="s">
        <v>515</v>
      </c>
      <c r="O45" s="24" t="s">
        <v>85</v>
      </c>
      <c r="P45" s="24"/>
      <c r="Q45" s="24"/>
      <c r="R45" s="24">
        <v>204</v>
      </c>
      <c r="S45" s="54">
        <f t="shared" si="6"/>
        <v>204</v>
      </c>
      <c r="T45" s="24">
        <f t="shared" si="1"/>
        <v>204</v>
      </c>
      <c r="U45" s="24">
        <f>ROUNDDOWN(S45/HLOOKUP(D45,Table!$C$3:$D$4,2,0)*8,2)</f>
        <v>3.62</v>
      </c>
      <c r="V45" s="24">
        <v>3.5</v>
      </c>
      <c r="W45" s="24" t="s">
        <v>105</v>
      </c>
      <c r="X45" s="28">
        <v>43893</v>
      </c>
      <c r="Y45" s="87">
        <v>43901</v>
      </c>
      <c r="Z45" s="28">
        <v>43900</v>
      </c>
      <c r="AA45" s="28">
        <v>43900</v>
      </c>
      <c r="AB45" s="28" t="s">
        <v>158</v>
      </c>
      <c r="AC45" s="24">
        <v>100</v>
      </c>
      <c r="AD45" s="24">
        <v>100</v>
      </c>
      <c r="AE45" s="24">
        <v>100</v>
      </c>
      <c r="AF45" s="27" t="s">
        <v>76</v>
      </c>
      <c r="AG45" s="27" t="s">
        <v>76</v>
      </c>
    </row>
    <row r="46" spans="2:33" hidden="1" x14ac:dyDescent="0.25">
      <c r="B46" s="48">
        <f t="shared" si="5"/>
        <v>44</v>
      </c>
      <c r="C46" s="26">
        <v>20200303</v>
      </c>
      <c r="D46" s="24" t="s">
        <v>3</v>
      </c>
      <c r="E46" s="24" t="s">
        <v>109</v>
      </c>
      <c r="F46" s="27" t="s">
        <v>195</v>
      </c>
      <c r="G46" s="24">
        <v>1341660</v>
      </c>
      <c r="H46" s="24" t="s">
        <v>129</v>
      </c>
      <c r="I46" s="25" t="s">
        <v>194</v>
      </c>
      <c r="J46" s="24" t="s">
        <v>76</v>
      </c>
      <c r="K46" s="24" t="s">
        <v>160</v>
      </c>
      <c r="L46" s="27" t="str">
        <f t="shared" si="3"/>
        <v>-</v>
      </c>
      <c r="M46" s="27" t="s">
        <v>368</v>
      </c>
      <c r="N46" s="26" t="s">
        <v>516</v>
      </c>
      <c r="O46" s="24" t="s">
        <v>85</v>
      </c>
      <c r="P46" s="24"/>
      <c r="Q46" s="24"/>
      <c r="R46" s="24">
        <v>194</v>
      </c>
      <c r="S46" s="54">
        <f t="shared" si="6"/>
        <v>194</v>
      </c>
      <c r="T46" s="24">
        <f t="shared" si="1"/>
        <v>194</v>
      </c>
      <c r="U46" s="24">
        <f>ROUNDDOWN(S46/HLOOKUP(D46,Table!$C$3:$D$4,2,0)*8,2)</f>
        <v>3.44</v>
      </c>
      <c r="V46" s="24">
        <v>1</v>
      </c>
      <c r="W46" s="24" t="s">
        <v>105</v>
      </c>
      <c r="X46" s="28">
        <v>43893</v>
      </c>
      <c r="Y46" s="87">
        <v>43901</v>
      </c>
      <c r="Z46" s="28">
        <v>43900</v>
      </c>
      <c r="AA46" s="28">
        <v>43900</v>
      </c>
      <c r="AB46" s="28" t="s">
        <v>158</v>
      </c>
      <c r="AC46" s="24">
        <v>100</v>
      </c>
      <c r="AD46" s="24">
        <v>100</v>
      </c>
      <c r="AE46" s="24">
        <v>100</v>
      </c>
      <c r="AF46" s="27" t="s">
        <v>76</v>
      </c>
      <c r="AG46" s="27" t="s">
        <v>76</v>
      </c>
    </row>
    <row r="47" spans="2:33" hidden="1" x14ac:dyDescent="0.25">
      <c r="B47" s="48">
        <f t="shared" si="5"/>
        <v>45</v>
      </c>
      <c r="C47" s="26">
        <v>20200303</v>
      </c>
      <c r="D47" s="24" t="s">
        <v>3</v>
      </c>
      <c r="E47" s="24" t="s">
        <v>109</v>
      </c>
      <c r="F47" s="27" t="s">
        <v>195</v>
      </c>
      <c r="G47" s="24">
        <v>1341660</v>
      </c>
      <c r="H47" s="24" t="s">
        <v>130</v>
      </c>
      <c r="I47" s="25" t="s">
        <v>194</v>
      </c>
      <c r="J47" s="24" t="s">
        <v>76</v>
      </c>
      <c r="K47" s="24" t="s">
        <v>160</v>
      </c>
      <c r="L47" s="27" t="str">
        <f t="shared" si="3"/>
        <v>-</v>
      </c>
      <c r="M47" s="27" t="s">
        <v>368</v>
      </c>
      <c r="N47" s="26" t="s">
        <v>517</v>
      </c>
      <c r="O47" s="24" t="s">
        <v>85</v>
      </c>
      <c r="P47" s="24"/>
      <c r="Q47" s="24"/>
      <c r="R47" s="24">
        <v>141</v>
      </c>
      <c r="S47" s="54">
        <f t="shared" si="6"/>
        <v>141</v>
      </c>
      <c r="T47" s="24">
        <f t="shared" si="1"/>
        <v>141</v>
      </c>
      <c r="U47" s="24">
        <f>ROUNDDOWN(S47/HLOOKUP(D47,Table!$C$3:$D$4,2,0)*8,2)</f>
        <v>2.5</v>
      </c>
      <c r="V47" s="24">
        <v>1</v>
      </c>
      <c r="W47" s="24" t="s">
        <v>105</v>
      </c>
      <c r="X47" s="28">
        <v>43893</v>
      </c>
      <c r="Y47" s="87">
        <v>43901</v>
      </c>
      <c r="Z47" s="28">
        <v>43900</v>
      </c>
      <c r="AA47" s="28">
        <v>43900</v>
      </c>
      <c r="AB47" s="28" t="s">
        <v>157</v>
      </c>
      <c r="AC47" s="24">
        <v>98</v>
      </c>
      <c r="AD47" s="24">
        <v>95</v>
      </c>
      <c r="AE47" s="24">
        <v>100</v>
      </c>
      <c r="AF47" s="42" t="s">
        <v>155</v>
      </c>
      <c r="AG47" s="27" t="s">
        <v>76</v>
      </c>
    </row>
    <row r="48" spans="2:33" hidden="1" x14ac:dyDescent="0.25">
      <c r="B48" s="48">
        <f t="shared" si="5"/>
        <v>46</v>
      </c>
      <c r="C48" s="26">
        <v>20200303</v>
      </c>
      <c r="D48" s="24" t="s">
        <v>3</v>
      </c>
      <c r="E48" s="24" t="s">
        <v>109</v>
      </c>
      <c r="F48" s="27" t="s">
        <v>195</v>
      </c>
      <c r="G48" s="24">
        <v>1341660</v>
      </c>
      <c r="H48" s="26" t="s">
        <v>131</v>
      </c>
      <c r="I48" s="25" t="s">
        <v>194</v>
      </c>
      <c r="J48" s="24" t="s">
        <v>76</v>
      </c>
      <c r="K48" s="24" t="s">
        <v>160</v>
      </c>
      <c r="L48" s="27" t="str">
        <f t="shared" si="3"/>
        <v>-</v>
      </c>
      <c r="M48" s="27" t="s">
        <v>368</v>
      </c>
      <c r="N48" s="26" t="s">
        <v>518</v>
      </c>
      <c r="O48" s="24" t="s">
        <v>84</v>
      </c>
      <c r="P48" s="24"/>
      <c r="Q48" s="24"/>
      <c r="R48" s="24">
        <v>190</v>
      </c>
      <c r="S48" s="54">
        <v>190</v>
      </c>
      <c r="T48" s="24">
        <f t="shared" si="1"/>
        <v>190</v>
      </c>
      <c r="U48" s="24">
        <f>ROUNDDOWN(S48/HLOOKUP(D48,Table!$C$3:$D$4,2,0)*8,2)</f>
        <v>3.37</v>
      </c>
      <c r="V48" s="24">
        <v>4</v>
      </c>
      <c r="W48" s="24" t="s">
        <v>105</v>
      </c>
      <c r="X48" s="28">
        <v>43893</v>
      </c>
      <c r="Y48" s="87">
        <v>43901</v>
      </c>
      <c r="Z48" s="28">
        <v>43899</v>
      </c>
      <c r="AA48" s="28">
        <v>43899</v>
      </c>
      <c r="AB48" s="28" t="s">
        <v>157</v>
      </c>
      <c r="AC48" s="24">
        <v>66</v>
      </c>
      <c r="AD48" s="24">
        <v>100</v>
      </c>
      <c r="AE48" s="24">
        <v>100</v>
      </c>
      <c r="AF48" s="24" t="s">
        <v>208</v>
      </c>
      <c r="AG48" s="27" t="s">
        <v>76</v>
      </c>
    </row>
    <row r="49" spans="2:33" hidden="1" x14ac:dyDescent="0.25">
      <c r="B49" s="48">
        <f t="shared" si="5"/>
        <v>47</v>
      </c>
      <c r="C49" s="26">
        <v>20200303</v>
      </c>
      <c r="D49" s="24" t="s">
        <v>3</v>
      </c>
      <c r="E49" s="24" t="s">
        <v>109</v>
      </c>
      <c r="F49" s="27" t="s">
        <v>195</v>
      </c>
      <c r="G49" s="24">
        <v>1341660</v>
      </c>
      <c r="H49" s="26" t="s">
        <v>132</v>
      </c>
      <c r="I49" s="25" t="s">
        <v>194</v>
      </c>
      <c r="J49" s="24" t="s">
        <v>76</v>
      </c>
      <c r="K49" s="24" t="s">
        <v>160</v>
      </c>
      <c r="L49" s="27" t="str">
        <f t="shared" si="3"/>
        <v>-</v>
      </c>
      <c r="M49" s="27" t="s">
        <v>368</v>
      </c>
      <c r="N49" s="26" t="s">
        <v>519</v>
      </c>
      <c r="O49" s="24" t="s">
        <v>84</v>
      </c>
      <c r="P49" s="24"/>
      <c r="Q49" s="24"/>
      <c r="R49" s="24">
        <v>107</v>
      </c>
      <c r="S49" s="54">
        <v>107</v>
      </c>
      <c r="T49" s="24">
        <f t="shared" si="1"/>
        <v>107</v>
      </c>
      <c r="U49" s="24">
        <f>ROUNDDOWN(S49/HLOOKUP(D49,Table!$C$3:$D$4,2,0)*8,2)</f>
        <v>1.9</v>
      </c>
      <c r="V49" s="24">
        <v>1</v>
      </c>
      <c r="W49" s="24" t="s">
        <v>105</v>
      </c>
      <c r="X49" s="28">
        <v>43893</v>
      </c>
      <c r="Y49" s="87">
        <v>43901</v>
      </c>
      <c r="Z49" s="28">
        <v>43899</v>
      </c>
      <c r="AA49" s="28">
        <v>43899</v>
      </c>
      <c r="AB49" s="28" t="s">
        <v>157</v>
      </c>
      <c r="AC49" s="24">
        <v>99</v>
      </c>
      <c r="AD49" s="24">
        <v>96</v>
      </c>
      <c r="AE49" s="24">
        <v>100</v>
      </c>
      <c r="AF49" s="24" t="s">
        <v>208</v>
      </c>
      <c r="AG49" s="27" t="s">
        <v>76</v>
      </c>
    </row>
    <row r="50" spans="2:33" hidden="1" x14ac:dyDescent="0.25">
      <c r="B50" s="48">
        <f t="shared" si="5"/>
        <v>48</v>
      </c>
      <c r="C50" s="26">
        <v>20200303</v>
      </c>
      <c r="D50" s="24" t="s">
        <v>3</v>
      </c>
      <c r="E50" s="24" t="s">
        <v>109</v>
      </c>
      <c r="F50" s="27" t="s">
        <v>195</v>
      </c>
      <c r="G50" s="24">
        <v>1341660</v>
      </c>
      <c r="H50" s="26" t="s">
        <v>133</v>
      </c>
      <c r="I50" s="25" t="s">
        <v>194</v>
      </c>
      <c r="J50" s="24" t="s">
        <v>76</v>
      </c>
      <c r="K50" s="24" t="s">
        <v>160</v>
      </c>
      <c r="L50" s="27" t="str">
        <f t="shared" si="3"/>
        <v>-</v>
      </c>
      <c r="M50" s="27" t="s">
        <v>368</v>
      </c>
      <c r="N50" s="26" t="s">
        <v>520</v>
      </c>
      <c r="O50" s="24" t="s">
        <v>84</v>
      </c>
      <c r="P50" s="24"/>
      <c r="Q50" s="24"/>
      <c r="R50" s="24">
        <v>269</v>
      </c>
      <c r="S50" s="54">
        <v>269</v>
      </c>
      <c r="T50" s="24">
        <f t="shared" si="1"/>
        <v>269</v>
      </c>
      <c r="U50" s="24">
        <f>ROUNDDOWN(S50/HLOOKUP(D50,Table!$C$3:$D$4,2,0)*8,2)</f>
        <v>4.78</v>
      </c>
      <c r="V50" s="24">
        <v>3</v>
      </c>
      <c r="W50" s="24" t="s">
        <v>105</v>
      </c>
      <c r="X50" s="28">
        <v>43893</v>
      </c>
      <c r="Y50" s="87">
        <v>43901</v>
      </c>
      <c r="Z50" s="28">
        <v>43899</v>
      </c>
      <c r="AA50" s="28">
        <v>43899</v>
      </c>
      <c r="AB50" s="28" t="s">
        <v>157</v>
      </c>
      <c r="AC50" s="24">
        <v>99</v>
      </c>
      <c r="AD50" s="24">
        <v>97</v>
      </c>
      <c r="AE50" s="24">
        <v>100</v>
      </c>
      <c r="AF50" s="24" t="s">
        <v>208</v>
      </c>
      <c r="AG50" s="27" t="s">
        <v>76</v>
      </c>
    </row>
    <row r="51" spans="2:33" hidden="1" x14ac:dyDescent="0.25">
      <c r="B51" s="48">
        <f t="shared" si="5"/>
        <v>49</v>
      </c>
      <c r="C51" s="26">
        <v>20200303</v>
      </c>
      <c r="D51" s="24" t="s">
        <v>3</v>
      </c>
      <c r="E51" s="24" t="s">
        <v>109</v>
      </c>
      <c r="F51" s="27" t="s">
        <v>195</v>
      </c>
      <c r="G51" s="24">
        <v>1341660</v>
      </c>
      <c r="H51" s="24" t="s">
        <v>134</v>
      </c>
      <c r="I51" s="25" t="s">
        <v>194</v>
      </c>
      <c r="J51" s="24" t="s">
        <v>76</v>
      </c>
      <c r="K51" s="24" t="s">
        <v>160</v>
      </c>
      <c r="L51" s="27" t="str">
        <f t="shared" si="3"/>
        <v>-</v>
      </c>
      <c r="M51" s="27" t="s">
        <v>368</v>
      </c>
      <c r="N51" s="26" t="s">
        <v>521</v>
      </c>
      <c r="O51" s="24" t="s">
        <v>85</v>
      </c>
      <c r="P51" s="24"/>
      <c r="Q51" s="24"/>
      <c r="R51" s="24">
        <v>70</v>
      </c>
      <c r="S51" s="54">
        <f>R51</f>
        <v>70</v>
      </c>
      <c r="T51" s="24">
        <f t="shared" si="1"/>
        <v>70</v>
      </c>
      <c r="U51" s="24">
        <f>ROUNDDOWN(S51/HLOOKUP(D51,Table!$C$3:$D$4,2,0)*8,2)</f>
        <v>1.24</v>
      </c>
      <c r="V51" s="24">
        <v>0.2</v>
      </c>
      <c r="W51" s="24" t="s">
        <v>105</v>
      </c>
      <c r="X51" s="28">
        <v>43893</v>
      </c>
      <c r="Y51" s="87">
        <v>43901</v>
      </c>
      <c r="Z51" s="28">
        <v>43900</v>
      </c>
      <c r="AA51" s="28">
        <v>43900</v>
      </c>
      <c r="AB51" s="28" t="s">
        <v>158</v>
      </c>
      <c r="AC51" s="24">
        <v>100</v>
      </c>
      <c r="AD51" s="24">
        <v>100</v>
      </c>
      <c r="AE51" s="24">
        <v>100</v>
      </c>
      <c r="AF51" s="27" t="s">
        <v>76</v>
      </c>
      <c r="AG51" s="27" t="s">
        <v>76</v>
      </c>
    </row>
    <row r="52" spans="2:33" hidden="1" x14ac:dyDescent="0.25">
      <c r="B52" s="48">
        <f t="shared" si="5"/>
        <v>50</v>
      </c>
      <c r="C52" s="26">
        <v>20200303</v>
      </c>
      <c r="D52" s="24" t="s">
        <v>3</v>
      </c>
      <c r="E52" s="24" t="s">
        <v>109</v>
      </c>
      <c r="F52" s="27" t="s">
        <v>198</v>
      </c>
      <c r="G52" s="24">
        <v>1341660</v>
      </c>
      <c r="H52" s="24" t="s">
        <v>135</v>
      </c>
      <c r="I52" s="25" t="s">
        <v>194</v>
      </c>
      <c r="J52" s="24" t="s">
        <v>76</v>
      </c>
      <c r="K52" s="24" t="s">
        <v>160</v>
      </c>
      <c r="L52" s="27" t="str">
        <f t="shared" si="3"/>
        <v>-</v>
      </c>
      <c r="M52" s="27" t="s">
        <v>368</v>
      </c>
      <c r="N52" s="26" t="s">
        <v>522</v>
      </c>
      <c r="O52" s="24" t="s">
        <v>84</v>
      </c>
      <c r="P52" s="24"/>
      <c r="Q52" s="24"/>
      <c r="R52" s="24">
        <v>204</v>
      </c>
      <c r="S52" s="24">
        <v>204</v>
      </c>
      <c r="T52" s="24">
        <f t="shared" si="1"/>
        <v>204</v>
      </c>
      <c r="U52" s="24">
        <f>ROUNDDOWN(S52/HLOOKUP(D52,Table!$C$3:$D$4,2,0)*8,2)</f>
        <v>3.62</v>
      </c>
      <c r="V52" s="24">
        <v>3</v>
      </c>
      <c r="W52" s="24" t="s">
        <v>105</v>
      </c>
      <c r="X52" s="28">
        <v>43893</v>
      </c>
      <c r="Y52" s="87">
        <v>43901</v>
      </c>
      <c r="Z52" s="28">
        <v>43895</v>
      </c>
      <c r="AA52" s="28">
        <v>43896</v>
      </c>
      <c r="AB52" s="28" t="s">
        <v>158</v>
      </c>
      <c r="AC52" s="24">
        <v>100</v>
      </c>
      <c r="AD52" s="24">
        <v>100</v>
      </c>
      <c r="AE52" s="24">
        <v>100</v>
      </c>
      <c r="AF52" s="27" t="s">
        <v>76</v>
      </c>
      <c r="AG52" s="27" t="s">
        <v>76</v>
      </c>
    </row>
    <row r="53" spans="2:33" hidden="1" x14ac:dyDescent="0.25">
      <c r="B53" s="48">
        <f t="shared" si="5"/>
        <v>51</v>
      </c>
      <c r="C53" s="26">
        <v>20200303</v>
      </c>
      <c r="D53" s="24" t="s">
        <v>3</v>
      </c>
      <c r="E53" s="24" t="s">
        <v>109</v>
      </c>
      <c r="F53" s="27" t="s">
        <v>198</v>
      </c>
      <c r="G53" s="24">
        <v>1341660</v>
      </c>
      <c r="H53" s="24" t="s">
        <v>136</v>
      </c>
      <c r="I53" s="25" t="s">
        <v>194</v>
      </c>
      <c r="J53" s="24" t="s">
        <v>76</v>
      </c>
      <c r="K53" s="24" t="s">
        <v>160</v>
      </c>
      <c r="L53" s="27" t="str">
        <f t="shared" si="3"/>
        <v>-</v>
      </c>
      <c r="M53" s="27" t="s">
        <v>368</v>
      </c>
      <c r="N53" s="26" t="s">
        <v>523</v>
      </c>
      <c r="O53" s="24" t="s">
        <v>84</v>
      </c>
      <c r="P53" s="24"/>
      <c r="Q53" s="24"/>
      <c r="R53" s="24">
        <v>185</v>
      </c>
      <c r="S53" s="24">
        <v>185</v>
      </c>
      <c r="T53" s="24">
        <f t="shared" si="1"/>
        <v>185</v>
      </c>
      <c r="U53" s="24">
        <f>ROUNDDOWN(S53/HLOOKUP(D53,Table!$C$3:$D$4,2,0)*8,2)</f>
        <v>3.28</v>
      </c>
      <c r="V53" s="24">
        <v>3</v>
      </c>
      <c r="W53" s="24" t="s">
        <v>105</v>
      </c>
      <c r="X53" s="28">
        <v>43893</v>
      </c>
      <c r="Y53" s="87">
        <v>43901</v>
      </c>
      <c r="Z53" s="28">
        <v>43895</v>
      </c>
      <c r="AA53" s="28">
        <v>43896</v>
      </c>
      <c r="AB53" s="28" t="s">
        <v>158</v>
      </c>
      <c r="AC53" s="24">
        <v>100</v>
      </c>
      <c r="AD53" s="24">
        <v>100</v>
      </c>
      <c r="AE53" s="24">
        <v>100</v>
      </c>
      <c r="AF53" s="27" t="s">
        <v>76</v>
      </c>
      <c r="AG53" s="27" t="s">
        <v>76</v>
      </c>
    </row>
    <row r="54" spans="2:33" x14ac:dyDescent="0.25">
      <c r="B54" s="48">
        <f t="shared" si="5"/>
        <v>52</v>
      </c>
      <c r="C54" s="26">
        <v>20200303</v>
      </c>
      <c r="D54" s="24" t="s">
        <v>3</v>
      </c>
      <c r="E54" s="24" t="s">
        <v>109</v>
      </c>
      <c r="F54" s="27" t="s">
        <v>198</v>
      </c>
      <c r="G54" s="24">
        <v>1341660</v>
      </c>
      <c r="H54" s="24" t="s">
        <v>137</v>
      </c>
      <c r="I54" s="25" t="s">
        <v>194</v>
      </c>
      <c r="J54" s="24" t="s">
        <v>76</v>
      </c>
      <c r="K54" s="24" t="s">
        <v>160</v>
      </c>
      <c r="L54" s="27" t="str">
        <f t="shared" si="3"/>
        <v>-</v>
      </c>
      <c r="M54" s="27" t="s">
        <v>368</v>
      </c>
      <c r="N54" s="26" t="s">
        <v>524</v>
      </c>
      <c r="O54" s="24" t="s">
        <v>82</v>
      </c>
      <c r="P54" s="24"/>
      <c r="Q54" s="24"/>
      <c r="R54" s="24">
        <v>68</v>
      </c>
      <c r="S54" s="24">
        <v>68</v>
      </c>
      <c r="T54" s="24">
        <f t="shared" si="1"/>
        <v>68</v>
      </c>
      <c r="U54" s="24">
        <f>ROUNDDOWN(S54/HLOOKUP(D54,Table!$C$3:$D$4,2,0)*8,2)</f>
        <v>1.2</v>
      </c>
      <c r="V54" s="24">
        <v>2</v>
      </c>
      <c r="W54" s="24" t="s">
        <v>105</v>
      </c>
      <c r="X54" s="28">
        <v>43893</v>
      </c>
      <c r="Y54" s="87">
        <v>43901</v>
      </c>
      <c r="Z54" s="28">
        <v>43901</v>
      </c>
      <c r="AA54" s="28">
        <v>43901</v>
      </c>
      <c r="AB54" s="28" t="s">
        <v>158</v>
      </c>
      <c r="AC54" s="24">
        <v>100</v>
      </c>
      <c r="AD54" s="24">
        <v>100</v>
      </c>
      <c r="AE54" s="24">
        <v>100</v>
      </c>
      <c r="AF54" s="27" t="s">
        <v>76</v>
      </c>
      <c r="AG54" s="27" t="s">
        <v>76</v>
      </c>
    </row>
    <row r="55" spans="2:33" x14ac:dyDescent="0.25">
      <c r="B55" s="48">
        <f t="shared" si="5"/>
        <v>53</v>
      </c>
      <c r="C55" s="26">
        <v>20200303</v>
      </c>
      <c r="D55" s="24" t="s">
        <v>3</v>
      </c>
      <c r="E55" s="24" t="s">
        <v>109</v>
      </c>
      <c r="F55" s="27" t="s">
        <v>198</v>
      </c>
      <c r="G55" s="24">
        <v>1341660</v>
      </c>
      <c r="H55" s="24" t="s">
        <v>138</v>
      </c>
      <c r="I55" s="25" t="s">
        <v>194</v>
      </c>
      <c r="J55" s="24" t="s">
        <v>76</v>
      </c>
      <c r="K55" s="24" t="s">
        <v>160</v>
      </c>
      <c r="L55" s="27" t="str">
        <f t="shared" si="3"/>
        <v>-</v>
      </c>
      <c r="M55" s="27" t="s">
        <v>368</v>
      </c>
      <c r="N55" s="26" t="s">
        <v>525</v>
      </c>
      <c r="O55" s="24" t="s">
        <v>82</v>
      </c>
      <c r="P55" s="24"/>
      <c r="Q55" s="24"/>
      <c r="R55" s="24">
        <v>150</v>
      </c>
      <c r="S55" s="24">
        <v>150</v>
      </c>
      <c r="T55" s="24">
        <f t="shared" si="1"/>
        <v>150</v>
      </c>
      <c r="U55" s="24">
        <f>ROUNDDOWN(S55/HLOOKUP(D55,Table!$C$3:$D$4,2,0)*8,2)</f>
        <v>2.66</v>
      </c>
      <c r="V55" s="24">
        <v>4</v>
      </c>
      <c r="W55" s="24" t="s">
        <v>105</v>
      </c>
      <c r="X55" s="28">
        <v>43893</v>
      </c>
      <c r="Y55" s="87">
        <v>43901</v>
      </c>
      <c r="Z55" s="28">
        <v>43901</v>
      </c>
      <c r="AA55" s="28">
        <v>43901</v>
      </c>
      <c r="AB55" s="28" t="s">
        <v>158</v>
      </c>
      <c r="AC55" s="24">
        <v>100</v>
      </c>
      <c r="AD55" s="24">
        <v>100</v>
      </c>
      <c r="AE55" s="24">
        <v>100</v>
      </c>
      <c r="AF55" s="27" t="s">
        <v>76</v>
      </c>
      <c r="AG55" s="27" t="s">
        <v>76</v>
      </c>
    </row>
    <row r="56" spans="2:33" hidden="1" x14ac:dyDescent="0.25">
      <c r="B56" s="48">
        <f t="shared" si="5"/>
        <v>54</v>
      </c>
      <c r="C56" s="26">
        <v>20200303</v>
      </c>
      <c r="D56" s="24" t="s">
        <v>3</v>
      </c>
      <c r="E56" s="24" t="s">
        <v>109</v>
      </c>
      <c r="F56" s="27" t="s">
        <v>198</v>
      </c>
      <c r="G56" s="24">
        <v>1341660</v>
      </c>
      <c r="H56" s="24" t="s">
        <v>139</v>
      </c>
      <c r="I56" s="25" t="s">
        <v>194</v>
      </c>
      <c r="J56" s="24" t="s">
        <v>76</v>
      </c>
      <c r="K56" s="24" t="s">
        <v>160</v>
      </c>
      <c r="L56" s="27" t="str">
        <f t="shared" si="3"/>
        <v>-</v>
      </c>
      <c r="M56" s="27" t="s">
        <v>368</v>
      </c>
      <c r="N56" s="26" t="s">
        <v>526</v>
      </c>
      <c r="O56" s="24" t="s">
        <v>84</v>
      </c>
      <c r="P56" s="24"/>
      <c r="Q56" s="24"/>
      <c r="R56" s="24">
        <v>25</v>
      </c>
      <c r="S56" s="24">
        <v>25</v>
      </c>
      <c r="T56" s="24">
        <f t="shared" si="1"/>
        <v>25</v>
      </c>
      <c r="U56" s="24">
        <f>ROUNDDOWN(S56/HLOOKUP(D56,Table!$C$3:$D$4,2,0)*8,2)</f>
        <v>0.44</v>
      </c>
      <c r="V56" s="24">
        <v>0.2</v>
      </c>
      <c r="W56" s="24" t="s">
        <v>105</v>
      </c>
      <c r="X56" s="28">
        <v>43893</v>
      </c>
      <c r="Y56" s="87">
        <v>43901</v>
      </c>
      <c r="Z56" s="28">
        <v>43901</v>
      </c>
      <c r="AA56" s="28">
        <v>43901</v>
      </c>
      <c r="AB56" s="28" t="s">
        <v>158</v>
      </c>
      <c r="AC56" s="24">
        <v>100</v>
      </c>
      <c r="AD56" s="24">
        <v>100</v>
      </c>
      <c r="AE56" s="24">
        <v>100</v>
      </c>
      <c r="AF56" s="27" t="s">
        <v>76</v>
      </c>
      <c r="AG56" s="27" t="s">
        <v>76</v>
      </c>
    </row>
    <row r="57" spans="2:33" hidden="1" x14ac:dyDescent="0.25">
      <c r="B57" s="48">
        <f t="shared" si="5"/>
        <v>55</v>
      </c>
      <c r="C57" s="26">
        <v>20200303</v>
      </c>
      <c r="D57" s="24" t="s">
        <v>3</v>
      </c>
      <c r="E57" s="24" t="s">
        <v>109</v>
      </c>
      <c r="F57" s="27" t="s">
        <v>191</v>
      </c>
      <c r="G57" s="24">
        <v>1341660</v>
      </c>
      <c r="H57" s="24" t="s">
        <v>78</v>
      </c>
      <c r="I57" s="25" t="s">
        <v>194</v>
      </c>
      <c r="J57" s="24" t="s">
        <v>76</v>
      </c>
      <c r="K57" s="24" t="s">
        <v>160</v>
      </c>
      <c r="L57" s="27" t="str">
        <f t="shared" si="3"/>
        <v>-</v>
      </c>
      <c r="M57" s="27" t="s">
        <v>368</v>
      </c>
      <c r="N57" s="26" t="s">
        <v>527</v>
      </c>
      <c r="O57" s="24" t="s">
        <v>85</v>
      </c>
      <c r="P57" s="24"/>
      <c r="Q57" s="24"/>
      <c r="R57" s="24">
        <v>487</v>
      </c>
      <c r="S57" s="24">
        <f>R57</f>
        <v>487</v>
      </c>
      <c r="T57" s="24">
        <f t="shared" si="1"/>
        <v>487</v>
      </c>
      <c r="U57" s="24">
        <f>ROUNDDOWN(S57/HLOOKUP(D57,Table!$C$3:$D$4,2,0)*8,2)</f>
        <v>8.65</v>
      </c>
      <c r="V57" s="24">
        <v>2.4</v>
      </c>
      <c r="W57" s="24" t="s">
        <v>105</v>
      </c>
      <c r="X57" s="28">
        <v>43893</v>
      </c>
      <c r="Y57" s="87">
        <v>43901</v>
      </c>
      <c r="Z57" s="28">
        <v>43899</v>
      </c>
      <c r="AA57" s="28">
        <v>43899</v>
      </c>
      <c r="AB57" s="28" t="s">
        <v>158</v>
      </c>
      <c r="AC57" s="24">
        <v>100</v>
      </c>
      <c r="AD57" s="24">
        <v>100</v>
      </c>
      <c r="AE57" s="24">
        <v>100</v>
      </c>
      <c r="AF57" s="27" t="s">
        <v>76</v>
      </c>
      <c r="AG57" s="27" t="s">
        <v>76</v>
      </c>
    </row>
    <row r="58" spans="2:33" hidden="1" x14ac:dyDescent="0.25">
      <c r="B58" s="48">
        <f t="shared" si="5"/>
        <v>56</v>
      </c>
      <c r="C58" s="26">
        <v>20200303</v>
      </c>
      <c r="D58" s="24" t="s">
        <v>3</v>
      </c>
      <c r="E58" s="24" t="s">
        <v>109</v>
      </c>
      <c r="F58" s="27" t="s">
        <v>191</v>
      </c>
      <c r="G58" s="24">
        <v>1341660</v>
      </c>
      <c r="H58" s="24" t="s">
        <v>140</v>
      </c>
      <c r="I58" s="25" t="s">
        <v>194</v>
      </c>
      <c r="J58" s="24" t="s">
        <v>76</v>
      </c>
      <c r="K58" s="24" t="s">
        <v>160</v>
      </c>
      <c r="L58" s="27" t="str">
        <f t="shared" si="3"/>
        <v>-</v>
      </c>
      <c r="M58" s="27" t="s">
        <v>368</v>
      </c>
      <c r="N58" s="26" t="s">
        <v>528</v>
      </c>
      <c r="O58" s="24" t="s">
        <v>84</v>
      </c>
      <c r="P58" s="24"/>
      <c r="Q58" s="24"/>
      <c r="R58" s="24">
        <v>110</v>
      </c>
      <c r="S58" s="24">
        <v>110</v>
      </c>
      <c r="T58" s="24">
        <f t="shared" si="1"/>
        <v>110</v>
      </c>
      <c r="U58" s="24">
        <f>ROUNDDOWN(S58/HLOOKUP(D58,Table!$C$3:$D$4,2,0)*8,2)</f>
        <v>1.95</v>
      </c>
      <c r="V58" s="24">
        <v>2</v>
      </c>
      <c r="W58" s="24" t="s">
        <v>105</v>
      </c>
      <c r="X58" s="28">
        <v>43893</v>
      </c>
      <c r="Y58" s="87">
        <v>43901</v>
      </c>
      <c r="Z58" s="28">
        <v>43895</v>
      </c>
      <c r="AA58" s="28">
        <v>43895</v>
      </c>
      <c r="AB58" s="28" t="s">
        <v>158</v>
      </c>
      <c r="AC58" s="24">
        <v>100</v>
      </c>
      <c r="AD58" s="24">
        <v>100</v>
      </c>
      <c r="AE58" s="24">
        <v>100</v>
      </c>
      <c r="AF58" s="27" t="s">
        <v>76</v>
      </c>
      <c r="AG58" s="27" t="s">
        <v>76</v>
      </c>
    </row>
    <row r="59" spans="2:33" hidden="1" x14ac:dyDescent="0.25">
      <c r="B59" s="48">
        <f t="shared" si="5"/>
        <v>57</v>
      </c>
      <c r="C59" s="26">
        <v>20200303</v>
      </c>
      <c r="D59" s="24" t="s">
        <v>3</v>
      </c>
      <c r="E59" s="24" t="s">
        <v>109</v>
      </c>
      <c r="F59" s="27" t="s">
        <v>191</v>
      </c>
      <c r="G59" s="24">
        <v>1341660</v>
      </c>
      <c r="H59" s="24" t="s">
        <v>141</v>
      </c>
      <c r="I59" s="25" t="s">
        <v>194</v>
      </c>
      <c r="J59" s="24" t="s">
        <v>76</v>
      </c>
      <c r="K59" s="24" t="s">
        <v>160</v>
      </c>
      <c r="L59" s="27" t="str">
        <f t="shared" ref="L59:L90" si="7">IF(D59="ASW","PUT_VERSION","-")</f>
        <v>-</v>
      </c>
      <c r="M59" s="27" t="s">
        <v>368</v>
      </c>
      <c r="N59" s="26" t="s">
        <v>529</v>
      </c>
      <c r="O59" s="24" t="s">
        <v>85</v>
      </c>
      <c r="P59" s="24"/>
      <c r="Q59" s="24"/>
      <c r="R59" s="24">
        <v>167</v>
      </c>
      <c r="S59" s="24">
        <f>R59</f>
        <v>167</v>
      </c>
      <c r="T59" s="24">
        <f t="shared" si="1"/>
        <v>167</v>
      </c>
      <c r="U59" s="24">
        <f>ROUNDDOWN(S59/HLOOKUP(D59,Table!$C$3:$D$4,2,0)*8,2)</f>
        <v>2.96</v>
      </c>
      <c r="V59" s="24">
        <v>2</v>
      </c>
      <c r="W59" s="24" t="s">
        <v>105</v>
      </c>
      <c r="X59" s="28">
        <v>43893</v>
      </c>
      <c r="Y59" s="87">
        <v>43901</v>
      </c>
      <c r="Z59" s="28">
        <v>43899</v>
      </c>
      <c r="AA59" s="28">
        <v>43899</v>
      </c>
      <c r="AB59" s="28" t="s">
        <v>158</v>
      </c>
      <c r="AC59" s="24">
        <v>100</v>
      </c>
      <c r="AD59" s="24">
        <v>100</v>
      </c>
      <c r="AE59" s="24">
        <v>100</v>
      </c>
      <c r="AF59" s="27" t="s">
        <v>76</v>
      </c>
      <c r="AG59" s="27" t="s">
        <v>76</v>
      </c>
    </row>
    <row r="60" spans="2:33" hidden="1" x14ac:dyDescent="0.25">
      <c r="B60" s="48">
        <f t="shared" si="5"/>
        <v>58</v>
      </c>
      <c r="C60" s="26">
        <v>20200303</v>
      </c>
      <c r="D60" s="24" t="s">
        <v>3</v>
      </c>
      <c r="E60" s="24" t="s">
        <v>109</v>
      </c>
      <c r="F60" s="27" t="s">
        <v>191</v>
      </c>
      <c r="G60" s="24">
        <v>1341660</v>
      </c>
      <c r="H60" s="24" t="s">
        <v>142</v>
      </c>
      <c r="I60" s="25" t="s">
        <v>194</v>
      </c>
      <c r="J60" s="24" t="s">
        <v>76</v>
      </c>
      <c r="K60" s="24" t="s">
        <v>160</v>
      </c>
      <c r="L60" s="27" t="str">
        <f t="shared" si="7"/>
        <v>-</v>
      </c>
      <c r="M60" s="27" t="s">
        <v>368</v>
      </c>
      <c r="N60" s="26" t="s">
        <v>530</v>
      </c>
      <c r="O60" s="24" t="s">
        <v>84</v>
      </c>
      <c r="P60" s="24"/>
      <c r="Q60" s="24"/>
      <c r="R60" s="24">
        <v>42</v>
      </c>
      <c r="S60" s="24">
        <v>42</v>
      </c>
      <c r="T60" s="24">
        <f t="shared" si="1"/>
        <v>42</v>
      </c>
      <c r="U60" s="24">
        <f>ROUNDDOWN(S60/HLOOKUP(D60,Table!$C$3:$D$4,2,0)*8,2)</f>
        <v>0.74</v>
      </c>
      <c r="V60" s="24">
        <v>0.5</v>
      </c>
      <c r="W60" s="24" t="s">
        <v>105</v>
      </c>
      <c r="X60" s="28">
        <v>43893</v>
      </c>
      <c r="Y60" s="87">
        <v>43901</v>
      </c>
      <c r="Z60" s="28">
        <v>43901</v>
      </c>
      <c r="AA60" s="28">
        <v>43901</v>
      </c>
      <c r="AB60" s="28" t="s">
        <v>158</v>
      </c>
      <c r="AC60" s="24">
        <v>100</v>
      </c>
      <c r="AD60" s="24">
        <v>100</v>
      </c>
      <c r="AE60" s="24">
        <v>100</v>
      </c>
      <c r="AF60" s="27" t="s">
        <v>76</v>
      </c>
      <c r="AG60" s="27" t="s">
        <v>76</v>
      </c>
    </row>
    <row r="61" spans="2:33" hidden="1" x14ac:dyDescent="0.25">
      <c r="B61" s="48">
        <f t="shared" si="5"/>
        <v>59</v>
      </c>
      <c r="C61" s="24">
        <v>20200303</v>
      </c>
      <c r="D61" s="24" t="s">
        <v>3</v>
      </c>
      <c r="E61" s="24" t="s">
        <v>109</v>
      </c>
      <c r="F61" s="27" t="s">
        <v>191</v>
      </c>
      <c r="G61" s="24">
        <v>1341660</v>
      </c>
      <c r="H61" s="24" t="s">
        <v>143</v>
      </c>
      <c r="I61" s="25" t="s">
        <v>194</v>
      </c>
      <c r="J61" s="24" t="s">
        <v>76</v>
      </c>
      <c r="K61" s="24" t="s">
        <v>160</v>
      </c>
      <c r="L61" s="27" t="str">
        <f t="shared" si="7"/>
        <v>-</v>
      </c>
      <c r="M61" s="27" t="s">
        <v>368</v>
      </c>
      <c r="N61" s="26" t="s">
        <v>531</v>
      </c>
      <c r="O61" s="24" t="s">
        <v>84</v>
      </c>
      <c r="P61" s="24"/>
      <c r="Q61" s="24"/>
      <c r="R61" s="24">
        <v>40</v>
      </c>
      <c r="S61" s="24">
        <v>40</v>
      </c>
      <c r="T61" s="24">
        <f t="shared" si="1"/>
        <v>40</v>
      </c>
      <c r="U61" s="24">
        <f>ROUNDDOWN(S61/HLOOKUP(D61,Table!$C$3:$D$4,2,0)*8,2)</f>
        <v>0.71</v>
      </c>
      <c r="V61" s="24">
        <v>0.5</v>
      </c>
      <c r="W61" s="24" t="s">
        <v>105</v>
      </c>
      <c r="X61" s="28">
        <v>43893</v>
      </c>
      <c r="Y61" s="87">
        <v>43901</v>
      </c>
      <c r="Z61" s="28">
        <v>43901</v>
      </c>
      <c r="AA61" s="28">
        <v>43901</v>
      </c>
      <c r="AB61" s="28" t="s">
        <v>158</v>
      </c>
      <c r="AC61" s="24">
        <v>100</v>
      </c>
      <c r="AD61" s="24">
        <v>100</v>
      </c>
      <c r="AE61" s="24">
        <v>100</v>
      </c>
      <c r="AF61" s="27" t="s">
        <v>76</v>
      </c>
      <c r="AG61" s="27" t="s">
        <v>76</v>
      </c>
    </row>
    <row r="62" spans="2:33" s="46" customFormat="1" hidden="1" x14ac:dyDescent="0.25">
      <c r="B62" s="62">
        <f t="shared" si="5"/>
        <v>60</v>
      </c>
      <c r="C62" s="63">
        <v>20200303</v>
      </c>
      <c r="D62" s="63" t="s">
        <v>3</v>
      </c>
      <c r="E62" s="63" t="s">
        <v>109</v>
      </c>
      <c r="F62" s="64" t="s">
        <v>146</v>
      </c>
      <c r="G62" s="64">
        <v>1341660</v>
      </c>
      <c r="H62" s="64" t="s">
        <v>144</v>
      </c>
      <c r="I62" s="64" t="s">
        <v>194</v>
      </c>
      <c r="J62" s="64" t="s">
        <v>76</v>
      </c>
      <c r="K62" s="63" t="s">
        <v>160</v>
      </c>
      <c r="L62" s="64" t="str">
        <f t="shared" si="7"/>
        <v>-</v>
      </c>
      <c r="M62" s="64" t="s">
        <v>368</v>
      </c>
      <c r="N62" s="26" t="s">
        <v>532</v>
      </c>
      <c r="O62" s="63" t="s">
        <v>84</v>
      </c>
      <c r="P62" s="63"/>
      <c r="Q62" s="63"/>
      <c r="R62" s="63">
        <v>44</v>
      </c>
      <c r="S62" s="63">
        <v>44</v>
      </c>
      <c r="T62" s="63">
        <f t="shared" si="1"/>
        <v>44</v>
      </c>
      <c r="U62" s="63"/>
      <c r="V62" s="63"/>
      <c r="W62" s="63"/>
      <c r="X62" s="65"/>
      <c r="Y62" s="65"/>
      <c r="Z62" s="71"/>
      <c r="AA62" s="71"/>
      <c r="AB62" s="65"/>
      <c r="AC62" s="65" t="s">
        <v>76</v>
      </c>
      <c r="AD62" s="65" t="s">
        <v>76</v>
      </c>
      <c r="AE62" s="65" t="s">
        <v>76</v>
      </c>
      <c r="AF62" s="63" t="s">
        <v>284</v>
      </c>
      <c r="AG62" s="64" t="s">
        <v>76</v>
      </c>
    </row>
    <row r="63" spans="2:33" hidden="1" x14ac:dyDescent="0.25">
      <c r="B63" s="48">
        <f t="shared" si="5"/>
        <v>61</v>
      </c>
      <c r="C63" s="24">
        <v>20200303</v>
      </c>
      <c r="D63" s="24" t="s">
        <v>3</v>
      </c>
      <c r="E63" s="24" t="s">
        <v>109</v>
      </c>
      <c r="F63" s="27" t="s">
        <v>146</v>
      </c>
      <c r="G63" s="24">
        <v>1341660</v>
      </c>
      <c r="H63" s="26" t="s">
        <v>145</v>
      </c>
      <c r="I63" s="25" t="s">
        <v>194</v>
      </c>
      <c r="J63" s="24" t="s">
        <v>76</v>
      </c>
      <c r="K63" s="24" t="s">
        <v>160</v>
      </c>
      <c r="L63" s="27" t="str">
        <f t="shared" si="7"/>
        <v>-</v>
      </c>
      <c r="M63" s="27" t="s">
        <v>368</v>
      </c>
      <c r="N63" s="26" t="s">
        <v>533</v>
      </c>
      <c r="O63" s="24" t="s">
        <v>84</v>
      </c>
      <c r="P63" s="24"/>
      <c r="Q63" s="24"/>
      <c r="R63" s="24">
        <v>29</v>
      </c>
      <c r="S63" s="24">
        <v>29</v>
      </c>
      <c r="T63" s="24">
        <f t="shared" si="1"/>
        <v>29</v>
      </c>
      <c r="U63" s="24">
        <f>ROUNDDOWN(S63/HLOOKUP(D63,Table!$C$3:$D$4,2,0)*8,2)</f>
        <v>0.51</v>
      </c>
      <c r="V63" s="24">
        <v>0.5</v>
      </c>
      <c r="W63" s="24" t="s">
        <v>105</v>
      </c>
      <c r="X63" s="28">
        <v>43893</v>
      </c>
      <c r="Y63" s="87">
        <v>43901</v>
      </c>
      <c r="Z63" s="28">
        <v>43900</v>
      </c>
      <c r="AA63" s="28">
        <v>43900</v>
      </c>
      <c r="AB63" s="28" t="s">
        <v>158</v>
      </c>
      <c r="AC63" s="24">
        <v>100</v>
      </c>
      <c r="AD63" s="24">
        <v>100</v>
      </c>
      <c r="AE63" s="24">
        <v>100</v>
      </c>
      <c r="AF63" s="27" t="s">
        <v>76</v>
      </c>
      <c r="AG63" s="27" t="s">
        <v>76</v>
      </c>
    </row>
    <row r="64" spans="2:33" hidden="1" x14ac:dyDescent="0.25">
      <c r="B64" s="48">
        <f t="shared" si="5"/>
        <v>62</v>
      </c>
      <c r="C64" s="24">
        <v>20200303</v>
      </c>
      <c r="D64" s="24" t="s">
        <v>3</v>
      </c>
      <c r="E64" s="24" t="s">
        <v>109</v>
      </c>
      <c r="F64" s="27" t="s">
        <v>146</v>
      </c>
      <c r="G64" s="24">
        <v>1341660</v>
      </c>
      <c r="H64" s="26" t="s">
        <v>140</v>
      </c>
      <c r="I64" s="25" t="s">
        <v>194</v>
      </c>
      <c r="J64" s="24" t="s">
        <v>76</v>
      </c>
      <c r="K64" s="24" t="s">
        <v>160</v>
      </c>
      <c r="L64" s="27" t="str">
        <f t="shared" si="7"/>
        <v>-</v>
      </c>
      <c r="M64" s="27" t="s">
        <v>368</v>
      </c>
      <c r="N64" s="26" t="s">
        <v>534</v>
      </c>
      <c r="O64" s="24" t="s">
        <v>84</v>
      </c>
      <c r="P64" s="24"/>
      <c r="Q64" s="24"/>
      <c r="R64" s="24">
        <v>110</v>
      </c>
      <c r="S64" s="24">
        <v>110</v>
      </c>
      <c r="T64" s="24">
        <f t="shared" si="1"/>
        <v>110</v>
      </c>
      <c r="U64" s="24">
        <f>ROUNDDOWN(S64/HLOOKUP(D64,Table!$C$3:$D$4,2,0)*8,2)</f>
        <v>1.95</v>
      </c>
      <c r="V64" s="24">
        <v>1.5</v>
      </c>
      <c r="W64" s="24" t="s">
        <v>105</v>
      </c>
      <c r="X64" s="28">
        <v>43893</v>
      </c>
      <c r="Y64" s="87">
        <v>43901</v>
      </c>
      <c r="Z64" s="28">
        <v>43900</v>
      </c>
      <c r="AA64" s="28">
        <v>43900</v>
      </c>
      <c r="AB64" s="28" t="s">
        <v>158</v>
      </c>
      <c r="AC64" s="24">
        <v>100</v>
      </c>
      <c r="AD64" s="24">
        <v>100</v>
      </c>
      <c r="AE64" s="24">
        <v>100</v>
      </c>
      <c r="AF64" s="27" t="s">
        <v>76</v>
      </c>
      <c r="AG64" s="27" t="s">
        <v>76</v>
      </c>
    </row>
    <row r="65" spans="1:33" hidden="1" x14ac:dyDescent="0.25">
      <c r="B65" s="48">
        <f t="shared" si="5"/>
        <v>63</v>
      </c>
      <c r="C65" s="24">
        <v>20200303</v>
      </c>
      <c r="D65" s="24" t="s">
        <v>3</v>
      </c>
      <c r="E65" s="24" t="s">
        <v>109</v>
      </c>
      <c r="F65" s="27" t="s">
        <v>146</v>
      </c>
      <c r="G65" s="24">
        <v>1341660</v>
      </c>
      <c r="H65" s="26" t="s">
        <v>142</v>
      </c>
      <c r="I65" s="25" t="s">
        <v>194</v>
      </c>
      <c r="J65" s="24" t="s">
        <v>76</v>
      </c>
      <c r="K65" s="24" t="s">
        <v>160</v>
      </c>
      <c r="L65" s="27" t="str">
        <f t="shared" si="7"/>
        <v>-</v>
      </c>
      <c r="M65" s="27" t="s">
        <v>368</v>
      </c>
      <c r="N65" s="26" t="s">
        <v>535</v>
      </c>
      <c r="O65" s="24" t="s">
        <v>84</v>
      </c>
      <c r="P65" s="24"/>
      <c r="Q65" s="24"/>
      <c r="R65" s="24">
        <v>42</v>
      </c>
      <c r="S65" s="24">
        <v>42</v>
      </c>
      <c r="T65" s="24">
        <f t="shared" si="1"/>
        <v>42</v>
      </c>
      <c r="U65" s="24">
        <f>ROUNDDOWN(S65/HLOOKUP(D65,Table!$C$3:$D$4,2,0)*8,2)</f>
        <v>0.74</v>
      </c>
      <c r="V65" s="24">
        <v>0.5</v>
      </c>
      <c r="W65" s="24" t="s">
        <v>105</v>
      </c>
      <c r="X65" s="28">
        <v>43893</v>
      </c>
      <c r="Y65" s="87">
        <v>43901</v>
      </c>
      <c r="Z65" s="28">
        <v>43900</v>
      </c>
      <c r="AA65" s="28">
        <v>43900</v>
      </c>
      <c r="AB65" s="28" t="s">
        <v>158</v>
      </c>
      <c r="AC65" s="24">
        <v>100</v>
      </c>
      <c r="AD65" s="24">
        <v>100</v>
      </c>
      <c r="AE65" s="24">
        <v>100</v>
      </c>
      <c r="AF65" s="27" t="s">
        <v>76</v>
      </c>
      <c r="AG65" s="27" t="s">
        <v>76</v>
      </c>
    </row>
    <row r="66" spans="1:33" hidden="1" x14ac:dyDescent="0.25">
      <c r="B66" s="48">
        <f t="shared" si="5"/>
        <v>64</v>
      </c>
      <c r="C66" s="24">
        <v>20200303</v>
      </c>
      <c r="D66" s="24" t="s">
        <v>3</v>
      </c>
      <c r="E66" s="24" t="s">
        <v>109</v>
      </c>
      <c r="F66" s="27" t="s">
        <v>146</v>
      </c>
      <c r="G66" s="24">
        <v>1341660</v>
      </c>
      <c r="H66" s="26" t="s">
        <v>144</v>
      </c>
      <c r="I66" s="25" t="s">
        <v>194</v>
      </c>
      <c r="J66" s="24" t="s">
        <v>76</v>
      </c>
      <c r="K66" s="24" t="s">
        <v>160</v>
      </c>
      <c r="L66" s="27" t="str">
        <f t="shared" si="7"/>
        <v>-</v>
      </c>
      <c r="M66" s="27" t="s">
        <v>368</v>
      </c>
      <c r="N66" s="26" t="s">
        <v>536</v>
      </c>
      <c r="O66" s="24" t="s">
        <v>84</v>
      </c>
      <c r="P66" s="24"/>
      <c r="Q66" s="24"/>
      <c r="R66" s="24">
        <v>44</v>
      </c>
      <c r="S66" s="24">
        <v>44</v>
      </c>
      <c r="T66" s="24">
        <f t="shared" si="1"/>
        <v>44</v>
      </c>
      <c r="U66" s="24">
        <f>ROUNDDOWN(S66/HLOOKUP(D66,Table!$C$3:$D$4,2,0)*8,2)</f>
        <v>0.78</v>
      </c>
      <c r="V66" s="24">
        <v>0.7</v>
      </c>
      <c r="W66" s="24" t="s">
        <v>105</v>
      </c>
      <c r="X66" s="28">
        <v>43893</v>
      </c>
      <c r="Y66" s="87">
        <v>43901</v>
      </c>
      <c r="Z66" s="28">
        <v>43900</v>
      </c>
      <c r="AA66" s="28">
        <v>43900</v>
      </c>
      <c r="AB66" s="28" t="s">
        <v>158</v>
      </c>
      <c r="AC66" s="24">
        <v>100</v>
      </c>
      <c r="AD66" s="24">
        <v>100</v>
      </c>
      <c r="AE66" s="24">
        <v>100</v>
      </c>
      <c r="AF66" s="27" t="s">
        <v>76</v>
      </c>
      <c r="AG66" s="27" t="s">
        <v>76</v>
      </c>
    </row>
    <row r="67" spans="1:33" hidden="1" x14ac:dyDescent="0.25">
      <c r="B67" s="48">
        <f t="shared" si="5"/>
        <v>65</v>
      </c>
      <c r="C67" s="26">
        <v>20200305</v>
      </c>
      <c r="D67" s="24" t="s">
        <v>3</v>
      </c>
      <c r="E67" s="24" t="s">
        <v>218</v>
      </c>
      <c r="F67" s="27" t="s">
        <v>214</v>
      </c>
      <c r="G67" s="24">
        <v>1359400</v>
      </c>
      <c r="H67" s="24" t="s">
        <v>219</v>
      </c>
      <c r="I67" s="24" t="s">
        <v>193</v>
      </c>
      <c r="J67" s="24" t="s">
        <v>76</v>
      </c>
      <c r="K67" s="24" t="s">
        <v>90</v>
      </c>
      <c r="L67" s="27" t="str">
        <f t="shared" si="7"/>
        <v>-</v>
      </c>
      <c r="M67" s="27" t="s">
        <v>369</v>
      </c>
      <c r="N67" s="26" t="s">
        <v>537</v>
      </c>
      <c r="O67" s="24" t="s">
        <v>84</v>
      </c>
      <c r="P67" s="24"/>
      <c r="Q67" s="24"/>
      <c r="R67" s="24">
        <v>117</v>
      </c>
      <c r="S67" s="24">
        <v>117</v>
      </c>
      <c r="T67" s="24">
        <f t="shared" si="1"/>
        <v>117</v>
      </c>
      <c r="U67" s="24">
        <f>ROUNDDOWN(S67/HLOOKUP(D67,Table!$C$3:$D$4,2,0)*8,2)</f>
        <v>2.08</v>
      </c>
      <c r="V67" s="24">
        <v>3</v>
      </c>
      <c r="W67" s="24" t="s">
        <v>105</v>
      </c>
      <c r="X67" s="28">
        <v>43895</v>
      </c>
      <c r="Y67" s="87">
        <v>43901</v>
      </c>
      <c r="Z67" s="28">
        <v>43900</v>
      </c>
      <c r="AA67" s="28">
        <v>43900</v>
      </c>
      <c r="AB67" s="31" t="s">
        <v>158</v>
      </c>
      <c r="AC67" s="24">
        <v>100</v>
      </c>
      <c r="AD67" s="24">
        <v>100</v>
      </c>
      <c r="AE67" s="24">
        <v>100</v>
      </c>
      <c r="AF67" s="27" t="s">
        <v>76</v>
      </c>
      <c r="AG67" s="27" t="s">
        <v>76</v>
      </c>
    </row>
    <row r="68" spans="1:33" hidden="1" x14ac:dyDescent="0.25">
      <c r="B68" s="48">
        <f t="shared" si="5"/>
        <v>66</v>
      </c>
      <c r="C68" s="26">
        <v>20200305</v>
      </c>
      <c r="D68" s="24" t="s">
        <v>3</v>
      </c>
      <c r="E68" s="24" t="s">
        <v>77</v>
      </c>
      <c r="F68" s="27" t="s">
        <v>215</v>
      </c>
      <c r="G68" s="24">
        <v>1357606</v>
      </c>
      <c r="H68" s="24" t="s">
        <v>220</v>
      </c>
      <c r="I68" s="24" t="s">
        <v>193</v>
      </c>
      <c r="J68" s="24" t="s">
        <v>76</v>
      </c>
      <c r="K68" s="24" t="s">
        <v>90</v>
      </c>
      <c r="L68" s="27" t="str">
        <f t="shared" si="7"/>
        <v>-</v>
      </c>
      <c r="M68" s="27" t="s">
        <v>370</v>
      </c>
      <c r="N68" s="26" t="s">
        <v>538</v>
      </c>
      <c r="O68" s="24" t="s">
        <v>84</v>
      </c>
      <c r="P68" s="24"/>
      <c r="Q68" s="24"/>
      <c r="R68" s="24">
        <v>55</v>
      </c>
      <c r="S68" s="25">
        <v>122</v>
      </c>
      <c r="T68" s="24">
        <f t="shared" ref="T68:T138" si="8">S68</f>
        <v>122</v>
      </c>
      <c r="U68" s="24">
        <f>ROUNDDOWN(S68/HLOOKUP(D68,Table!$C$3:$D$4,2,0)*8,2)</f>
        <v>2.16</v>
      </c>
      <c r="V68" s="24">
        <v>2</v>
      </c>
      <c r="W68" s="24" t="s">
        <v>105</v>
      </c>
      <c r="X68" s="28">
        <v>43895</v>
      </c>
      <c r="Y68" s="87">
        <v>43901</v>
      </c>
      <c r="Z68" s="28">
        <v>43901</v>
      </c>
      <c r="AA68" s="28">
        <v>43901</v>
      </c>
      <c r="AB68" s="31" t="s">
        <v>158</v>
      </c>
      <c r="AC68" s="24">
        <v>100</v>
      </c>
      <c r="AD68" s="24">
        <v>100</v>
      </c>
      <c r="AE68" s="24">
        <v>100</v>
      </c>
      <c r="AF68" s="24" t="s">
        <v>288</v>
      </c>
      <c r="AG68" s="27" t="s">
        <v>76</v>
      </c>
    </row>
    <row r="69" spans="1:33" hidden="1" x14ac:dyDescent="0.25">
      <c r="B69" s="48">
        <f t="shared" ref="B69:B160" si="9">B68+1</f>
        <v>67</v>
      </c>
      <c r="C69" s="26">
        <v>20200305</v>
      </c>
      <c r="D69" s="24" t="s">
        <v>3</v>
      </c>
      <c r="E69" s="24" t="s">
        <v>77</v>
      </c>
      <c r="F69" s="27" t="s">
        <v>216</v>
      </c>
      <c r="G69" s="24">
        <v>1357606</v>
      </c>
      <c r="H69" s="24" t="s">
        <v>221</v>
      </c>
      <c r="I69" s="24" t="s">
        <v>193</v>
      </c>
      <c r="J69" s="24" t="s">
        <v>76</v>
      </c>
      <c r="K69" s="24" t="s">
        <v>90</v>
      </c>
      <c r="L69" s="27" t="str">
        <f t="shared" si="7"/>
        <v>-</v>
      </c>
      <c r="M69" s="27" t="s">
        <v>370</v>
      </c>
      <c r="N69" s="26" t="s">
        <v>539</v>
      </c>
      <c r="O69" s="24" t="s">
        <v>84</v>
      </c>
      <c r="P69" s="24"/>
      <c r="Q69" s="24"/>
      <c r="R69" s="24">
        <v>60</v>
      </c>
      <c r="S69" s="24">
        <v>60</v>
      </c>
      <c r="T69" s="24">
        <f t="shared" si="8"/>
        <v>60</v>
      </c>
      <c r="U69" s="24">
        <f>ROUNDDOWN(S69/HLOOKUP(D69,Table!$C$3:$D$4,2,0)*8,2)</f>
        <v>1.06</v>
      </c>
      <c r="V69" s="24">
        <v>1</v>
      </c>
      <c r="W69" s="24" t="s">
        <v>105</v>
      </c>
      <c r="X69" s="28">
        <v>43895</v>
      </c>
      <c r="Y69" s="87">
        <v>43901</v>
      </c>
      <c r="Z69" s="28">
        <v>43901</v>
      </c>
      <c r="AA69" s="28">
        <v>43901</v>
      </c>
      <c r="AB69" s="31" t="s">
        <v>158</v>
      </c>
      <c r="AC69" s="24">
        <v>100</v>
      </c>
      <c r="AD69" s="24">
        <v>100</v>
      </c>
      <c r="AE69" s="24">
        <v>100</v>
      </c>
      <c r="AF69" s="27" t="s">
        <v>76</v>
      </c>
      <c r="AG69" s="27" t="s">
        <v>76</v>
      </c>
    </row>
    <row r="70" spans="1:33" hidden="1" x14ac:dyDescent="0.25">
      <c r="B70" s="48">
        <f t="shared" si="9"/>
        <v>68</v>
      </c>
      <c r="C70" s="26">
        <v>20200305</v>
      </c>
      <c r="D70" s="24" t="s">
        <v>3</v>
      </c>
      <c r="E70" s="24" t="s">
        <v>77</v>
      </c>
      <c r="F70" s="27" t="s">
        <v>216</v>
      </c>
      <c r="G70" s="24">
        <v>1357606</v>
      </c>
      <c r="H70" s="24" t="s">
        <v>222</v>
      </c>
      <c r="I70" s="24" t="s">
        <v>193</v>
      </c>
      <c r="J70" s="24" t="s">
        <v>76</v>
      </c>
      <c r="K70" s="24" t="s">
        <v>90</v>
      </c>
      <c r="L70" s="27" t="str">
        <f t="shared" si="7"/>
        <v>-</v>
      </c>
      <c r="M70" s="27" t="s">
        <v>370</v>
      </c>
      <c r="N70" s="26" t="s">
        <v>540</v>
      </c>
      <c r="O70" s="24" t="s">
        <v>84</v>
      </c>
      <c r="P70" s="24"/>
      <c r="Q70" s="24"/>
      <c r="R70" s="24">
        <v>30</v>
      </c>
      <c r="S70" s="24">
        <v>30</v>
      </c>
      <c r="T70" s="24">
        <f t="shared" si="8"/>
        <v>30</v>
      </c>
      <c r="U70" s="24">
        <f>ROUNDDOWN(S70/HLOOKUP(D70,Table!$C$3:$D$4,2,0)*8,2)</f>
        <v>0.53</v>
      </c>
      <c r="V70" s="24">
        <v>0.2</v>
      </c>
      <c r="W70" s="24" t="s">
        <v>105</v>
      </c>
      <c r="X70" s="28">
        <v>43895</v>
      </c>
      <c r="Y70" s="87">
        <v>43901</v>
      </c>
      <c r="Z70" s="28">
        <v>43901</v>
      </c>
      <c r="AA70" s="28">
        <v>43901</v>
      </c>
      <c r="AB70" s="31" t="s">
        <v>158</v>
      </c>
      <c r="AC70" s="24">
        <v>100</v>
      </c>
      <c r="AD70" s="24">
        <v>100</v>
      </c>
      <c r="AE70" s="24">
        <v>100</v>
      </c>
      <c r="AF70" s="27" t="s">
        <v>76</v>
      </c>
      <c r="AG70" s="27" t="s">
        <v>76</v>
      </c>
    </row>
    <row r="71" spans="1:33" hidden="1" x14ac:dyDescent="0.25">
      <c r="B71" s="48">
        <f t="shared" si="9"/>
        <v>69</v>
      </c>
      <c r="C71" s="26">
        <v>20200305</v>
      </c>
      <c r="D71" s="24" t="s">
        <v>3</v>
      </c>
      <c r="E71" s="24" t="s">
        <v>77</v>
      </c>
      <c r="F71" s="27" t="s">
        <v>216</v>
      </c>
      <c r="G71" s="24">
        <v>1357606</v>
      </c>
      <c r="H71" s="24" t="s">
        <v>223</v>
      </c>
      <c r="I71" s="24" t="s">
        <v>193</v>
      </c>
      <c r="J71" s="24" t="s">
        <v>76</v>
      </c>
      <c r="K71" s="24" t="s">
        <v>90</v>
      </c>
      <c r="L71" s="27" t="str">
        <f t="shared" si="7"/>
        <v>-</v>
      </c>
      <c r="M71" s="27" t="s">
        <v>370</v>
      </c>
      <c r="N71" s="26" t="s">
        <v>541</v>
      </c>
      <c r="O71" s="24" t="s">
        <v>84</v>
      </c>
      <c r="P71" s="24"/>
      <c r="Q71" s="24"/>
      <c r="R71" s="24">
        <v>34</v>
      </c>
      <c r="S71" s="24">
        <v>34</v>
      </c>
      <c r="T71" s="24">
        <f t="shared" si="8"/>
        <v>34</v>
      </c>
      <c r="U71" s="24">
        <f>ROUNDDOWN(S71/HLOOKUP(D71,Table!$C$3:$D$4,2,0)*8,2)</f>
        <v>0.6</v>
      </c>
      <c r="V71" s="24">
        <v>0.3</v>
      </c>
      <c r="W71" s="24" t="s">
        <v>105</v>
      </c>
      <c r="X71" s="28">
        <v>43895</v>
      </c>
      <c r="Y71" s="87">
        <v>43901</v>
      </c>
      <c r="Z71" s="28">
        <v>43901</v>
      </c>
      <c r="AA71" s="28">
        <v>43901</v>
      </c>
      <c r="AB71" s="31" t="s">
        <v>158</v>
      </c>
      <c r="AC71" s="24">
        <v>100</v>
      </c>
      <c r="AD71" s="24">
        <v>100</v>
      </c>
      <c r="AE71" s="24">
        <v>100</v>
      </c>
      <c r="AF71" s="27" t="s">
        <v>76</v>
      </c>
      <c r="AG71" s="27" t="s">
        <v>76</v>
      </c>
    </row>
    <row r="72" spans="1:33" hidden="1" x14ac:dyDescent="0.25">
      <c r="B72" s="48">
        <f t="shared" si="9"/>
        <v>70</v>
      </c>
      <c r="C72" s="26">
        <v>20200305</v>
      </c>
      <c r="D72" s="24" t="s">
        <v>3</v>
      </c>
      <c r="E72" s="24" t="s">
        <v>77</v>
      </c>
      <c r="F72" s="27" t="s">
        <v>216</v>
      </c>
      <c r="G72" s="24">
        <v>1357606</v>
      </c>
      <c r="H72" s="24" t="s">
        <v>70</v>
      </c>
      <c r="I72" s="24" t="s">
        <v>193</v>
      </c>
      <c r="J72" s="24" t="s">
        <v>76</v>
      </c>
      <c r="K72" s="24" t="s">
        <v>90</v>
      </c>
      <c r="L72" s="27" t="str">
        <f t="shared" si="7"/>
        <v>-</v>
      </c>
      <c r="M72" s="27" t="s">
        <v>370</v>
      </c>
      <c r="N72" s="26" t="s">
        <v>542</v>
      </c>
      <c r="O72" s="24" t="s">
        <v>85</v>
      </c>
      <c r="P72" s="24"/>
      <c r="Q72" s="24"/>
      <c r="R72" s="24">
        <v>357</v>
      </c>
      <c r="S72" s="24">
        <f t="shared" ref="S72:S75" si="10">R72</f>
        <v>357</v>
      </c>
      <c r="T72" s="24">
        <f t="shared" si="8"/>
        <v>357</v>
      </c>
      <c r="U72" s="42">
        <f>ROUNDDOWN(S72/HLOOKUP(D72,Table!$C$3:$D$4,2,0)*8,2)</f>
        <v>6.34</v>
      </c>
      <c r="V72" s="24">
        <v>6</v>
      </c>
      <c r="W72" s="24" t="s">
        <v>105</v>
      </c>
      <c r="X72" s="28">
        <v>43895</v>
      </c>
      <c r="Y72" s="87">
        <v>43901</v>
      </c>
      <c r="Z72" s="28">
        <v>43900</v>
      </c>
      <c r="AA72" s="28">
        <v>43900</v>
      </c>
      <c r="AB72" s="28" t="s">
        <v>158</v>
      </c>
      <c r="AC72" s="24">
        <v>100</v>
      </c>
      <c r="AD72" s="24">
        <v>100</v>
      </c>
      <c r="AE72" s="24">
        <v>100</v>
      </c>
      <c r="AF72" s="27" t="s">
        <v>76</v>
      </c>
      <c r="AG72" s="27" t="s">
        <v>76</v>
      </c>
    </row>
    <row r="73" spans="1:33" hidden="1" x14ac:dyDescent="0.25">
      <c r="B73" s="48">
        <f t="shared" si="9"/>
        <v>71</v>
      </c>
      <c r="C73" s="26">
        <v>20200305</v>
      </c>
      <c r="D73" s="24" t="s">
        <v>3</v>
      </c>
      <c r="E73" s="24" t="s">
        <v>77</v>
      </c>
      <c r="F73" s="27" t="s">
        <v>217</v>
      </c>
      <c r="G73" s="24">
        <v>1357606</v>
      </c>
      <c r="H73" s="24" t="s">
        <v>224</v>
      </c>
      <c r="I73" s="24" t="s">
        <v>193</v>
      </c>
      <c r="J73" s="24" t="s">
        <v>76</v>
      </c>
      <c r="K73" s="24" t="s">
        <v>90</v>
      </c>
      <c r="L73" s="27" t="str">
        <f t="shared" si="7"/>
        <v>-</v>
      </c>
      <c r="M73" s="27" t="s">
        <v>370</v>
      </c>
      <c r="N73" s="26" t="s">
        <v>543</v>
      </c>
      <c r="O73" s="24" t="s">
        <v>85</v>
      </c>
      <c r="P73" s="24"/>
      <c r="Q73" s="24"/>
      <c r="R73" s="24">
        <v>431</v>
      </c>
      <c r="S73" s="24">
        <f t="shared" si="10"/>
        <v>431</v>
      </c>
      <c r="T73" s="24">
        <f t="shared" si="8"/>
        <v>431</v>
      </c>
      <c r="U73" s="24">
        <f>ROUNDDOWN(S73/HLOOKUP(D73,Table!$C$3:$D$4,2,0)*8,2)</f>
        <v>7.66</v>
      </c>
      <c r="V73" s="24">
        <v>7</v>
      </c>
      <c r="W73" s="24" t="s">
        <v>105</v>
      </c>
      <c r="X73" s="28">
        <v>43895</v>
      </c>
      <c r="Y73" s="87">
        <v>43901</v>
      </c>
      <c r="Z73" s="28">
        <v>43900</v>
      </c>
      <c r="AA73" s="28">
        <v>43900</v>
      </c>
      <c r="AB73" s="28" t="s">
        <v>158</v>
      </c>
      <c r="AC73" s="24">
        <v>100</v>
      </c>
      <c r="AD73" s="24">
        <v>100</v>
      </c>
      <c r="AE73" s="24">
        <v>100</v>
      </c>
      <c r="AF73" s="27" t="s">
        <v>76</v>
      </c>
      <c r="AG73" s="27" t="s">
        <v>76</v>
      </c>
    </row>
    <row r="74" spans="1:33" hidden="1" x14ac:dyDescent="0.25">
      <c r="B74" s="50">
        <f t="shared" si="9"/>
        <v>72</v>
      </c>
      <c r="C74" s="24">
        <v>20200304</v>
      </c>
      <c r="D74" s="24" t="s">
        <v>3</v>
      </c>
      <c r="E74" s="24" t="s">
        <v>225</v>
      </c>
      <c r="F74" s="27" t="s">
        <v>241</v>
      </c>
      <c r="G74" s="56">
        <v>1357257</v>
      </c>
      <c r="H74" s="56" t="s">
        <v>226</v>
      </c>
      <c r="I74" s="25" t="s">
        <v>194</v>
      </c>
      <c r="J74" s="24" t="s">
        <v>76</v>
      </c>
      <c r="K74" s="24" t="s">
        <v>240</v>
      </c>
      <c r="L74" s="27" t="str">
        <f t="shared" si="7"/>
        <v>-</v>
      </c>
      <c r="M74" s="27" t="s">
        <v>371</v>
      </c>
      <c r="N74" s="26" t="s">
        <v>544</v>
      </c>
      <c r="O74" s="24" t="s">
        <v>85</v>
      </c>
      <c r="P74" s="24"/>
      <c r="Q74" s="24"/>
      <c r="R74" s="24">
        <v>1993</v>
      </c>
      <c r="S74" s="24">
        <f t="shared" si="10"/>
        <v>1993</v>
      </c>
      <c r="T74" s="24">
        <f t="shared" si="8"/>
        <v>1993</v>
      </c>
      <c r="U74" s="24">
        <f>ROUNDDOWN(S74/HLOOKUP(D74,Table!$C$3:$D$4,2,0)*8,2)</f>
        <v>35.43</v>
      </c>
      <c r="V74" s="24">
        <v>3</v>
      </c>
      <c r="W74" s="24" t="s">
        <v>105</v>
      </c>
      <c r="X74" s="28">
        <v>43894</v>
      </c>
      <c r="Y74" s="28">
        <v>43902</v>
      </c>
      <c r="Z74" s="28">
        <v>43901</v>
      </c>
      <c r="AA74" s="28">
        <v>43901</v>
      </c>
      <c r="AB74" s="31" t="s">
        <v>157</v>
      </c>
      <c r="AC74" s="24">
        <v>100</v>
      </c>
      <c r="AD74" s="24">
        <v>100</v>
      </c>
      <c r="AE74" s="24">
        <v>100</v>
      </c>
      <c r="AF74" s="24" t="s">
        <v>289</v>
      </c>
      <c r="AG74" s="27" t="s">
        <v>76</v>
      </c>
    </row>
    <row r="75" spans="1:33" hidden="1" x14ac:dyDescent="0.25">
      <c r="B75" s="50">
        <f t="shared" si="9"/>
        <v>73</v>
      </c>
      <c r="C75" s="24">
        <v>20200304</v>
      </c>
      <c r="D75" s="24" t="s">
        <v>3</v>
      </c>
      <c r="E75" s="24" t="s">
        <v>225</v>
      </c>
      <c r="F75" s="27" t="s">
        <v>241</v>
      </c>
      <c r="G75" s="56">
        <v>1357257</v>
      </c>
      <c r="H75" s="56" t="s">
        <v>227</v>
      </c>
      <c r="I75" s="25" t="s">
        <v>194</v>
      </c>
      <c r="J75" s="24" t="s">
        <v>76</v>
      </c>
      <c r="K75" s="24" t="s">
        <v>240</v>
      </c>
      <c r="L75" s="27" t="str">
        <f t="shared" si="7"/>
        <v>-</v>
      </c>
      <c r="M75" s="27" t="s">
        <v>371</v>
      </c>
      <c r="N75" s="26" t="s">
        <v>545</v>
      </c>
      <c r="O75" s="24" t="s">
        <v>85</v>
      </c>
      <c r="P75" s="24"/>
      <c r="Q75" s="24"/>
      <c r="R75" s="24">
        <v>489</v>
      </c>
      <c r="S75" s="24">
        <f t="shared" si="10"/>
        <v>489</v>
      </c>
      <c r="T75" s="24">
        <f t="shared" si="8"/>
        <v>489</v>
      </c>
      <c r="U75" s="24">
        <f>ROUNDDOWN(S75/HLOOKUP(D75,Table!$C$3:$D$4,2,0)*8,2)</f>
        <v>8.69</v>
      </c>
      <c r="V75" s="24">
        <v>8</v>
      </c>
      <c r="W75" s="24" t="s">
        <v>105</v>
      </c>
      <c r="X75" s="28">
        <v>43894</v>
      </c>
      <c r="Y75" s="28">
        <v>43902</v>
      </c>
      <c r="Z75" s="28">
        <v>43901</v>
      </c>
      <c r="AA75" s="28">
        <v>43901</v>
      </c>
      <c r="AB75" s="31" t="s">
        <v>158</v>
      </c>
      <c r="AC75" s="24">
        <v>100</v>
      </c>
      <c r="AD75" s="24">
        <v>100</v>
      </c>
      <c r="AE75" s="24">
        <v>100</v>
      </c>
      <c r="AF75" s="27" t="s">
        <v>76</v>
      </c>
      <c r="AG75" s="27" t="s">
        <v>76</v>
      </c>
    </row>
    <row r="76" spans="1:33" hidden="1" x14ac:dyDescent="0.25">
      <c r="B76" s="50">
        <f t="shared" si="9"/>
        <v>74</v>
      </c>
      <c r="C76" s="24">
        <v>20200304</v>
      </c>
      <c r="D76" s="24" t="s">
        <v>3</v>
      </c>
      <c r="E76" s="24" t="s">
        <v>225</v>
      </c>
      <c r="F76" s="27" t="s">
        <v>241</v>
      </c>
      <c r="G76" s="56">
        <v>1357257</v>
      </c>
      <c r="H76" s="56" t="s">
        <v>228</v>
      </c>
      <c r="I76" s="25" t="s">
        <v>194</v>
      </c>
      <c r="J76" s="24" t="s">
        <v>76</v>
      </c>
      <c r="K76" s="24" t="s">
        <v>240</v>
      </c>
      <c r="L76" s="27" t="str">
        <f t="shared" si="7"/>
        <v>-</v>
      </c>
      <c r="M76" s="27" t="s">
        <v>371</v>
      </c>
      <c r="N76" s="26" t="s">
        <v>546</v>
      </c>
      <c r="O76" s="24" t="s">
        <v>84</v>
      </c>
      <c r="P76" s="24"/>
      <c r="Q76" s="24"/>
      <c r="R76" s="24">
        <v>593</v>
      </c>
      <c r="S76" s="25">
        <v>587</v>
      </c>
      <c r="T76" s="24">
        <f t="shared" si="8"/>
        <v>587</v>
      </c>
      <c r="U76" s="24">
        <f>ROUNDDOWN(S76/HLOOKUP(D76,Table!$C$3:$D$4,2,0)*8,2)</f>
        <v>10.43</v>
      </c>
      <c r="V76" s="24">
        <v>10</v>
      </c>
      <c r="W76" s="24" t="s">
        <v>105</v>
      </c>
      <c r="X76" s="28">
        <v>43894</v>
      </c>
      <c r="Y76" s="28">
        <v>43902</v>
      </c>
      <c r="Z76" s="28">
        <v>43901</v>
      </c>
      <c r="AA76" s="28">
        <v>43902</v>
      </c>
      <c r="AB76" s="31" t="s">
        <v>158</v>
      </c>
      <c r="AC76" s="24">
        <v>100</v>
      </c>
      <c r="AD76" s="24">
        <v>100</v>
      </c>
      <c r="AE76" s="24">
        <v>100</v>
      </c>
      <c r="AF76" s="27" t="s">
        <v>76</v>
      </c>
      <c r="AG76" s="27" t="s">
        <v>76</v>
      </c>
    </row>
    <row r="77" spans="1:33" x14ac:dyDescent="0.25">
      <c r="B77" s="50">
        <f t="shared" si="9"/>
        <v>75</v>
      </c>
      <c r="C77" s="24">
        <v>20200304</v>
      </c>
      <c r="D77" s="24" t="s">
        <v>3</v>
      </c>
      <c r="E77" s="24" t="s">
        <v>225</v>
      </c>
      <c r="F77" s="27" t="s">
        <v>242</v>
      </c>
      <c r="G77" s="24">
        <v>1357355</v>
      </c>
      <c r="H77" s="56" t="s">
        <v>229</v>
      </c>
      <c r="I77" s="25" t="s">
        <v>194</v>
      </c>
      <c r="J77" s="24" t="s">
        <v>76</v>
      </c>
      <c r="K77" s="24" t="s">
        <v>240</v>
      </c>
      <c r="L77" s="27" t="str">
        <f t="shared" si="7"/>
        <v>-</v>
      </c>
      <c r="M77" s="27" t="s">
        <v>372</v>
      </c>
      <c r="N77" s="26" t="s">
        <v>547</v>
      </c>
      <c r="O77" s="24" t="s">
        <v>82</v>
      </c>
      <c r="P77" s="24"/>
      <c r="Q77" s="24"/>
      <c r="R77" s="24">
        <v>165</v>
      </c>
      <c r="S77" s="24">
        <v>165</v>
      </c>
      <c r="T77" s="24">
        <f t="shared" si="8"/>
        <v>165</v>
      </c>
      <c r="U77" s="24">
        <f>ROUNDDOWN(S77/HLOOKUP(D77,Table!$C$3:$D$4,2,0)*8,2)</f>
        <v>2.93</v>
      </c>
      <c r="V77" s="24">
        <v>3</v>
      </c>
      <c r="W77" s="24" t="s">
        <v>105</v>
      </c>
      <c r="X77" s="28">
        <v>43894</v>
      </c>
      <c r="Y77" s="28">
        <v>43902</v>
      </c>
      <c r="Z77" s="28">
        <v>43901</v>
      </c>
      <c r="AA77" s="28">
        <v>43902</v>
      </c>
      <c r="AB77" s="31" t="s">
        <v>158</v>
      </c>
      <c r="AC77" s="24">
        <v>100</v>
      </c>
      <c r="AD77" s="24">
        <v>100</v>
      </c>
      <c r="AE77" s="24">
        <v>100</v>
      </c>
      <c r="AF77" s="27" t="s">
        <v>76</v>
      </c>
      <c r="AG77" s="27" t="s">
        <v>76</v>
      </c>
    </row>
    <row r="78" spans="1:33" hidden="1" x14ac:dyDescent="0.25">
      <c r="B78" s="50">
        <f t="shared" si="9"/>
        <v>76</v>
      </c>
      <c r="C78" s="24">
        <v>20200304</v>
      </c>
      <c r="D78" s="24" t="s">
        <v>3</v>
      </c>
      <c r="E78" s="24" t="s">
        <v>225</v>
      </c>
      <c r="F78" s="27" t="s">
        <v>243</v>
      </c>
      <c r="G78" s="24">
        <v>1357355</v>
      </c>
      <c r="H78" s="56" t="s">
        <v>230</v>
      </c>
      <c r="I78" s="25" t="s">
        <v>194</v>
      </c>
      <c r="J78" s="24" t="s">
        <v>76</v>
      </c>
      <c r="K78" s="24" t="s">
        <v>240</v>
      </c>
      <c r="L78" s="27" t="str">
        <f t="shared" si="7"/>
        <v>-</v>
      </c>
      <c r="M78" s="27" t="s">
        <v>372</v>
      </c>
      <c r="N78" s="26" t="s">
        <v>548</v>
      </c>
      <c r="O78" s="42" t="s">
        <v>85</v>
      </c>
      <c r="P78" s="24"/>
      <c r="Q78" s="24"/>
      <c r="R78" s="24">
        <v>8</v>
      </c>
      <c r="S78" s="24">
        <f t="shared" ref="S78:S84" si="11">R78</f>
        <v>8</v>
      </c>
      <c r="T78" s="24">
        <f t="shared" si="8"/>
        <v>8</v>
      </c>
      <c r="U78" s="24">
        <f>ROUNDDOWN(S78/HLOOKUP(D78,Table!$C$3:$D$4,2,0)*8,2)</f>
        <v>0.14000000000000001</v>
      </c>
      <c r="V78" s="24">
        <v>0.2</v>
      </c>
      <c r="W78" s="24" t="s">
        <v>105</v>
      </c>
      <c r="X78" s="28">
        <v>43894</v>
      </c>
      <c r="Y78" s="28">
        <v>43902</v>
      </c>
      <c r="Z78" s="28">
        <v>43901</v>
      </c>
      <c r="AA78" s="28">
        <v>43901</v>
      </c>
      <c r="AB78" s="31" t="s">
        <v>158</v>
      </c>
      <c r="AC78" s="24">
        <v>100</v>
      </c>
      <c r="AD78" s="24">
        <v>100</v>
      </c>
      <c r="AE78" s="24">
        <v>100</v>
      </c>
      <c r="AF78" s="27" t="s">
        <v>76</v>
      </c>
      <c r="AG78" s="27" t="s">
        <v>76</v>
      </c>
    </row>
    <row r="79" spans="1:33" hidden="1" x14ac:dyDescent="0.25">
      <c r="B79" s="50">
        <f t="shared" si="9"/>
        <v>77</v>
      </c>
      <c r="C79" s="24">
        <v>20200304</v>
      </c>
      <c r="D79" s="24" t="s">
        <v>3</v>
      </c>
      <c r="E79" s="24" t="s">
        <v>225</v>
      </c>
      <c r="F79" s="27" t="s">
        <v>244</v>
      </c>
      <c r="G79" s="24">
        <v>1357355</v>
      </c>
      <c r="H79" s="56" t="s">
        <v>231</v>
      </c>
      <c r="I79" s="25" t="s">
        <v>194</v>
      </c>
      <c r="J79" s="24" t="s">
        <v>76</v>
      </c>
      <c r="K79" s="24" t="s">
        <v>240</v>
      </c>
      <c r="L79" s="27" t="str">
        <f t="shared" si="7"/>
        <v>-</v>
      </c>
      <c r="M79" s="27" t="s">
        <v>372</v>
      </c>
      <c r="N79" s="26" t="s">
        <v>549</v>
      </c>
      <c r="O79" s="24" t="s">
        <v>85</v>
      </c>
      <c r="P79" s="24"/>
      <c r="Q79" s="24"/>
      <c r="R79" s="24">
        <v>71</v>
      </c>
      <c r="S79" s="24">
        <f t="shared" si="11"/>
        <v>71</v>
      </c>
      <c r="T79" s="24">
        <f t="shared" si="8"/>
        <v>71</v>
      </c>
      <c r="U79" s="24">
        <f>ROUNDDOWN(S79/HLOOKUP(D79,Table!$C$3:$D$4,2,0)*8,2)</f>
        <v>1.26</v>
      </c>
      <c r="V79" s="24">
        <v>1</v>
      </c>
      <c r="W79" s="24" t="s">
        <v>105</v>
      </c>
      <c r="X79" s="28">
        <v>43894</v>
      </c>
      <c r="Y79" s="28">
        <v>43902</v>
      </c>
      <c r="Z79" s="28">
        <v>43901</v>
      </c>
      <c r="AA79" s="28">
        <v>43901</v>
      </c>
      <c r="AB79" s="31" t="s">
        <v>158</v>
      </c>
      <c r="AC79" s="24">
        <v>100</v>
      </c>
      <c r="AD79" s="24">
        <v>100</v>
      </c>
      <c r="AE79" s="24">
        <v>100</v>
      </c>
      <c r="AF79" s="27" t="s">
        <v>76</v>
      </c>
      <c r="AG79" s="27" t="s">
        <v>76</v>
      </c>
    </row>
    <row r="80" spans="1:33" hidden="1" x14ac:dyDescent="0.25">
      <c r="B80" s="50">
        <f t="shared" si="9"/>
        <v>78</v>
      </c>
      <c r="C80" s="24">
        <v>20200304</v>
      </c>
      <c r="D80" s="24" t="s">
        <v>3</v>
      </c>
      <c r="E80" s="24" t="s">
        <v>225</v>
      </c>
      <c r="F80" s="27" t="s">
        <v>244</v>
      </c>
      <c r="G80" s="24">
        <v>1357355</v>
      </c>
      <c r="H80" s="56" t="s">
        <v>220</v>
      </c>
      <c r="I80" s="25" t="s">
        <v>194</v>
      </c>
      <c r="J80" s="24" t="s">
        <v>76</v>
      </c>
      <c r="K80" s="24" t="s">
        <v>240</v>
      </c>
      <c r="L80" s="27" t="str">
        <f t="shared" si="7"/>
        <v>-</v>
      </c>
      <c r="M80" s="27" t="s">
        <v>372</v>
      </c>
      <c r="N80" s="26" t="s">
        <v>550</v>
      </c>
      <c r="O80" s="42" t="s">
        <v>85</v>
      </c>
      <c r="P80" s="24"/>
      <c r="Q80" s="24"/>
      <c r="R80" s="24">
        <v>55</v>
      </c>
      <c r="S80" s="24">
        <f t="shared" si="11"/>
        <v>55</v>
      </c>
      <c r="T80" s="24">
        <f t="shared" si="8"/>
        <v>55</v>
      </c>
      <c r="U80" s="24">
        <f>ROUNDDOWN(S80/HLOOKUP(D80,Table!$C$3:$D$4,2,0)*8,2)</f>
        <v>0.97</v>
      </c>
      <c r="V80" s="24">
        <v>0.5</v>
      </c>
      <c r="W80" s="24" t="s">
        <v>105</v>
      </c>
      <c r="X80" s="28">
        <v>43894</v>
      </c>
      <c r="Y80" s="28">
        <v>43902</v>
      </c>
      <c r="Z80" s="28">
        <v>43901</v>
      </c>
      <c r="AA80" s="28">
        <v>43901</v>
      </c>
      <c r="AB80" s="31" t="s">
        <v>158</v>
      </c>
      <c r="AC80" s="24">
        <v>100</v>
      </c>
      <c r="AD80" s="24">
        <v>100</v>
      </c>
      <c r="AE80" s="24">
        <v>100</v>
      </c>
      <c r="AF80" s="27" t="s">
        <v>76</v>
      </c>
      <c r="AG80" s="27" t="s">
        <v>76</v>
      </c>
    </row>
    <row r="81" spans="1:33" hidden="1" x14ac:dyDescent="0.25">
      <c r="B81" s="50">
        <f t="shared" si="9"/>
        <v>79</v>
      </c>
      <c r="C81" s="24">
        <v>20200304</v>
      </c>
      <c r="D81" s="24" t="s">
        <v>3</v>
      </c>
      <c r="E81" s="24" t="s">
        <v>225</v>
      </c>
      <c r="F81" s="27" t="s">
        <v>244</v>
      </c>
      <c r="G81" s="24">
        <v>1357355</v>
      </c>
      <c r="H81" s="56" t="s">
        <v>232</v>
      </c>
      <c r="I81" s="25" t="s">
        <v>194</v>
      </c>
      <c r="J81" s="24" t="s">
        <v>76</v>
      </c>
      <c r="K81" s="24" t="s">
        <v>240</v>
      </c>
      <c r="L81" s="27" t="str">
        <f t="shared" si="7"/>
        <v>-</v>
      </c>
      <c r="M81" s="27" t="s">
        <v>372</v>
      </c>
      <c r="N81" s="26" t="s">
        <v>551</v>
      </c>
      <c r="O81" s="42" t="s">
        <v>85</v>
      </c>
      <c r="P81" s="24"/>
      <c r="Q81" s="24"/>
      <c r="R81" s="24">
        <v>64</v>
      </c>
      <c r="S81" s="24">
        <f t="shared" si="11"/>
        <v>64</v>
      </c>
      <c r="T81" s="24">
        <f t="shared" si="8"/>
        <v>64</v>
      </c>
      <c r="U81" s="24">
        <f>ROUNDDOWN(S81/HLOOKUP(D81,Table!$C$3:$D$4,2,0)*8,2)</f>
        <v>1.1299999999999999</v>
      </c>
      <c r="V81" s="24">
        <v>0.5</v>
      </c>
      <c r="W81" s="24" t="s">
        <v>105</v>
      </c>
      <c r="X81" s="28">
        <v>43894</v>
      </c>
      <c r="Y81" s="28">
        <v>43902</v>
      </c>
      <c r="Z81" s="28">
        <v>43901</v>
      </c>
      <c r="AA81" s="28">
        <v>43901</v>
      </c>
      <c r="AB81" s="31" t="s">
        <v>158</v>
      </c>
      <c r="AC81" s="24">
        <v>100</v>
      </c>
      <c r="AD81" s="24">
        <v>100</v>
      </c>
      <c r="AE81" s="24">
        <v>100</v>
      </c>
      <c r="AF81" s="27" t="s">
        <v>76</v>
      </c>
      <c r="AG81" s="27" t="s">
        <v>76</v>
      </c>
    </row>
    <row r="82" spans="1:33" hidden="1" x14ac:dyDescent="0.25">
      <c r="B82" s="50">
        <f t="shared" si="9"/>
        <v>80</v>
      </c>
      <c r="C82" s="24">
        <v>20200304</v>
      </c>
      <c r="D82" s="24" t="s">
        <v>3</v>
      </c>
      <c r="E82" s="24" t="s">
        <v>225</v>
      </c>
      <c r="F82" s="27" t="s">
        <v>244</v>
      </c>
      <c r="G82" s="24">
        <v>1357355</v>
      </c>
      <c r="H82" s="56" t="s">
        <v>233</v>
      </c>
      <c r="I82" s="25" t="s">
        <v>194</v>
      </c>
      <c r="J82" s="24" t="s">
        <v>76</v>
      </c>
      <c r="K82" s="24" t="s">
        <v>240</v>
      </c>
      <c r="L82" s="27" t="str">
        <f t="shared" si="7"/>
        <v>-</v>
      </c>
      <c r="M82" s="27" t="s">
        <v>372</v>
      </c>
      <c r="N82" s="26" t="s">
        <v>552</v>
      </c>
      <c r="O82" s="24" t="s">
        <v>85</v>
      </c>
      <c r="P82" s="24"/>
      <c r="Q82" s="24"/>
      <c r="R82" s="24">
        <v>69</v>
      </c>
      <c r="S82" s="24">
        <f t="shared" si="11"/>
        <v>69</v>
      </c>
      <c r="T82" s="24">
        <f t="shared" si="8"/>
        <v>69</v>
      </c>
      <c r="U82" s="24">
        <f>ROUNDDOWN(S82/HLOOKUP(D82,Table!$C$3:$D$4,2,0)*8,2)</f>
        <v>1.22</v>
      </c>
      <c r="V82" s="24">
        <v>1.2</v>
      </c>
      <c r="W82" s="24" t="s">
        <v>105</v>
      </c>
      <c r="X82" s="28">
        <v>43894</v>
      </c>
      <c r="Y82" s="28">
        <v>43902</v>
      </c>
      <c r="Z82" s="28">
        <v>43901</v>
      </c>
      <c r="AA82" s="28">
        <v>43901</v>
      </c>
      <c r="AB82" s="31" t="s">
        <v>158</v>
      </c>
      <c r="AC82" s="24">
        <v>100</v>
      </c>
      <c r="AD82" s="24">
        <v>100</v>
      </c>
      <c r="AE82" s="24">
        <v>100</v>
      </c>
      <c r="AF82" s="27" t="s">
        <v>76</v>
      </c>
      <c r="AG82" s="27" t="s">
        <v>76</v>
      </c>
    </row>
    <row r="83" spans="1:33" hidden="1" x14ac:dyDescent="0.25">
      <c r="B83" s="50">
        <f t="shared" si="9"/>
        <v>81</v>
      </c>
      <c r="C83" s="24">
        <v>20200304</v>
      </c>
      <c r="D83" s="24" t="s">
        <v>3</v>
      </c>
      <c r="E83" s="24" t="s">
        <v>225</v>
      </c>
      <c r="F83" s="27" t="s">
        <v>245</v>
      </c>
      <c r="G83" s="24">
        <v>1357355</v>
      </c>
      <c r="H83" s="57" t="s">
        <v>234</v>
      </c>
      <c r="I83" s="25" t="s">
        <v>194</v>
      </c>
      <c r="J83" s="24" t="s">
        <v>76</v>
      </c>
      <c r="K83" s="24" t="s">
        <v>240</v>
      </c>
      <c r="L83" s="27" t="str">
        <f t="shared" si="7"/>
        <v>-</v>
      </c>
      <c r="M83" s="27" t="s">
        <v>372</v>
      </c>
      <c r="N83" s="26" t="s">
        <v>553</v>
      </c>
      <c r="O83" s="24" t="s">
        <v>85</v>
      </c>
      <c r="P83" s="24"/>
      <c r="Q83" s="24"/>
      <c r="R83" s="24">
        <v>5</v>
      </c>
      <c r="S83" s="24">
        <f t="shared" si="11"/>
        <v>5</v>
      </c>
      <c r="T83" s="24">
        <f t="shared" si="8"/>
        <v>5</v>
      </c>
      <c r="U83" s="24">
        <f>ROUNDDOWN(S83/HLOOKUP(D83,Table!$C$3:$D$4,2,0)*8,2)</f>
        <v>0.08</v>
      </c>
      <c r="V83" s="24">
        <v>0.1</v>
      </c>
      <c r="W83" s="24" t="s">
        <v>105</v>
      </c>
      <c r="X83" s="28">
        <v>43894</v>
      </c>
      <c r="Y83" s="28">
        <v>43902</v>
      </c>
      <c r="Z83" s="28">
        <v>43901</v>
      </c>
      <c r="AA83" s="28">
        <v>43901</v>
      </c>
      <c r="AB83" s="31"/>
      <c r="AC83" s="24" t="s">
        <v>76</v>
      </c>
      <c r="AD83" s="24" t="s">
        <v>76</v>
      </c>
      <c r="AE83" s="24" t="s">
        <v>76</v>
      </c>
      <c r="AF83" s="24" t="s">
        <v>290</v>
      </c>
      <c r="AG83" s="27" t="s">
        <v>76</v>
      </c>
    </row>
    <row r="84" spans="1:33" hidden="1" x14ac:dyDescent="0.25">
      <c r="B84" s="50">
        <f t="shared" si="9"/>
        <v>82</v>
      </c>
      <c r="C84" s="24">
        <v>20200304</v>
      </c>
      <c r="D84" s="24" t="s">
        <v>3</v>
      </c>
      <c r="E84" s="24" t="s">
        <v>225</v>
      </c>
      <c r="F84" s="27" t="s">
        <v>246</v>
      </c>
      <c r="G84" s="24">
        <v>1357355</v>
      </c>
      <c r="H84" s="56" t="s">
        <v>235</v>
      </c>
      <c r="I84" s="25" t="s">
        <v>194</v>
      </c>
      <c r="J84" s="24" t="s">
        <v>76</v>
      </c>
      <c r="K84" s="24" t="s">
        <v>240</v>
      </c>
      <c r="L84" s="27" t="str">
        <f t="shared" si="7"/>
        <v>-</v>
      </c>
      <c r="M84" s="27" t="s">
        <v>372</v>
      </c>
      <c r="N84" s="26" t="s">
        <v>554</v>
      </c>
      <c r="O84" s="24" t="s">
        <v>85</v>
      </c>
      <c r="P84" s="24"/>
      <c r="Q84" s="24"/>
      <c r="R84" s="24">
        <v>3</v>
      </c>
      <c r="S84" s="24">
        <f t="shared" si="11"/>
        <v>3</v>
      </c>
      <c r="T84" s="24">
        <f t="shared" si="8"/>
        <v>3</v>
      </c>
      <c r="U84" s="24">
        <f>ROUNDDOWN(S84/HLOOKUP(D84,Table!$C$3:$D$4,2,0)*8,2)</f>
        <v>0.05</v>
      </c>
      <c r="V84" s="24">
        <v>0.2</v>
      </c>
      <c r="W84" s="24" t="s">
        <v>105</v>
      </c>
      <c r="X84" s="28">
        <v>43894</v>
      </c>
      <c r="Y84" s="28">
        <v>43902</v>
      </c>
      <c r="Z84" s="28">
        <v>43901</v>
      </c>
      <c r="AA84" s="28">
        <v>43901</v>
      </c>
      <c r="AB84" s="31" t="s">
        <v>158</v>
      </c>
      <c r="AC84" s="24">
        <v>100</v>
      </c>
      <c r="AD84" s="24">
        <v>100</v>
      </c>
      <c r="AE84" s="24">
        <v>100</v>
      </c>
      <c r="AF84" s="27" t="s">
        <v>76</v>
      </c>
      <c r="AG84" s="27" t="s">
        <v>76</v>
      </c>
    </row>
    <row r="85" spans="1:33" x14ac:dyDescent="0.25">
      <c r="B85" s="50">
        <f t="shared" si="9"/>
        <v>83</v>
      </c>
      <c r="C85" s="24">
        <v>20200304</v>
      </c>
      <c r="D85" s="24" t="s">
        <v>3</v>
      </c>
      <c r="E85" s="24" t="s">
        <v>225</v>
      </c>
      <c r="F85" s="47" t="s">
        <v>247</v>
      </c>
      <c r="G85" s="24">
        <v>1357355</v>
      </c>
      <c r="H85" s="26" t="s">
        <v>236</v>
      </c>
      <c r="I85" s="25" t="s">
        <v>194</v>
      </c>
      <c r="J85" s="24" t="s">
        <v>76</v>
      </c>
      <c r="K85" s="24" t="s">
        <v>240</v>
      </c>
      <c r="L85" s="27" t="str">
        <f t="shared" si="7"/>
        <v>-</v>
      </c>
      <c r="M85" s="27" t="s">
        <v>372</v>
      </c>
      <c r="N85" s="26" t="s">
        <v>555</v>
      </c>
      <c r="O85" s="24" t="s">
        <v>82</v>
      </c>
      <c r="P85" s="24"/>
      <c r="Q85" s="24"/>
      <c r="R85" s="24">
        <v>220</v>
      </c>
      <c r="S85" s="24">
        <v>220</v>
      </c>
      <c r="T85" s="24">
        <f t="shared" si="8"/>
        <v>220</v>
      </c>
      <c r="U85" s="24">
        <f>ROUNDDOWN(S85/HLOOKUP(D85,Table!$C$3:$D$4,2,0)*8,2)</f>
        <v>3.91</v>
      </c>
      <c r="V85" s="24">
        <v>4</v>
      </c>
      <c r="W85" s="24" t="s">
        <v>105</v>
      </c>
      <c r="X85" s="28">
        <v>43894</v>
      </c>
      <c r="Y85" s="28">
        <v>43902</v>
      </c>
      <c r="Z85" s="28">
        <v>43902</v>
      </c>
      <c r="AA85" s="28">
        <v>43902</v>
      </c>
      <c r="AB85" s="31" t="s">
        <v>158</v>
      </c>
      <c r="AC85" s="24">
        <v>100</v>
      </c>
      <c r="AD85" s="24">
        <v>100</v>
      </c>
      <c r="AE85" s="24">
        <v>100</v>
      </c>
      <c r="AF85" s="27" t="s">
        <v>76</v>
      </c>
      <c r="AG85" s="27" t="s">
        <v>76</v>
      </c>
    </row>
    <row r="86" spans="1:33" x14ac:dyDescent="0.25">
      <c r="B86" s="50">
        <f t="shared" si="9"/>
        <v>84</v>
      </c>
      <c r="C86" s="24">
        <v>20200304</v>
      </c>
      <c r="D86" s="24" t="s">
        <v>3</v>
      </c>
      <c r="E86" s="24" t="s">
        <v>225</v>
      </c>
      <c r="F86" s="47" t="s">
        <v>248</v>
      </c>
      <c r="G86" s="24">
        <v>1357355</v>
      </c>
      <c r="H86" s="26" t="s">
        <v>237</v>
      </c>
      <c r="I86" s="25" t="s">
        <v>194</v>
      </c>
      <c r="J86" s="24" t="s">
        <v>76</v>
      </c>
      <c r="K86" s="24" t="s">
        <v>240</v>
      </c>
      <c r="L86" s="27" t="str">
        <f t="shared" si="7"/>
        <v>-</v>
      </c>
      <c r="M86" s="27" t="s">
        <v>372</v>
      </c>
      <c r="N86" s="26" t="s">
        <v>556</v>
      </c>
      <c r="O86" s="24" t="s">
        <v>82</v>
      </c>
      <c r="P86" s="24"/>
      <c r="Q86" s="24"/>
      <c r="R86" s="24">
        <v>4</v>
      </c>
      <c r="S86" s="24">
        <v>4</v>
      </c>
      <c r="T86" s="24">
        <f t="shared" si="8"/>
        <v>4</v>
      </c>
      <c r="U86" s="24">
        <f>ROUNDDOWN(S86/HLOOKUP(D86,Table!$C$3:$D$4,2,0)*8,2)</f>
        <v>7.0000000000000007E-2</v>
      </c>
      <c r="V86" s="24">
        <v>0.5</v>
      </c>
      <c r="W86" s="24" t="s">
        <v>105</v>
      </c>
      <c r="X86" s="28">
        <v>43894</v>
      </c>
      <c r="Y86" s="28">
        <v>43902</v>
      </c>
      <c r="Z86" s="28">
        <v>43902</v>
      </c>
      <c r="AA86" s="28">
        <v>43902</v>
      </c>
      <c r="AB86" s="31" t="s">
        <v>158</v>
      </c>
      <c r="AC86" s="24">
        <v>100</v>
      </c>
      <c r="AD86" s="24">
        <v>100</v>
      </c>
      <c r="AE86" s="24">
        <v>100</v>
      </c>
      <c r="AF86" s="27" t="s">
        <v>76</v>
      </c>
      <c r="AG86" s="27" t="s">
        <v>76</v>
      </c>
    </row>
    <row r="87" spans="1:33" x14ac:dyDescent="0.25">
      <c r="B87" s="50">
        <f t="shared" si="9"/>
        <v>85</v>
      </c>
      <c r="C87" s="24">
        <v>20200304</v>
      </c>
      <c r="D87" s="24" t="s">
        <v>3</v>
      </c>
      <c r="E87" s="24" t="s">
        <v>225</v>
      </c>
      <c r="F87" s="27" t="s">
        <v>249</v>
      </c>
      <c r="G87" s="24">
        <v>1357355</v>
      </c>
      <c r="H87" s="24" t="s">
        <v>238</v>
      </c>
      <c r="I87" s="25" t="s">
        <v>194</v>
      </c>
      <c r="J87" s="24" t="s">
        <v>76</v>
      </c>
      <c r="K87" s="24" t="s">
        <v>240</v>
      </c>
      <c r="L87" s="27" t="str">
        <f t="shared" si="7"/>
        <v>-</v>
      </c>
      <c r="M87" s="27" t="s">
        <v>372</v>
      </c>
      <c r="N87" s="26" t="s">
        <v>557</v>
      </c>
      <c r="O87" s="24" t="s">
        <v>82</v>
      </c>
      <c r="P87" s="24"/>
      <c r="Q87" s="24"/>
      <c r="R87" s="24">
        <v>12</v>
      </c>
      <c r="S87" s="24">
        <v>12</v>
      </c>
      <c r="T87" s="24">
        <f t="shared" si="8"/>
        <v>12</v>
      </c>
      <c r="U87" s="24">
        <f>ROUNDDOWN(S87/HLOOKUP(D87,Table!$C$3:$D$4,2,0)*8,2)</f>
        <v>0.21</v>
      </c>
      <c r="V87" s="24">
        <v>0</v>
      </c>
      <c r="W87" s="24" t="s">
        <v>105</v>
      </c>
      <c r="X87" s="28">
        <v>43894</v>
      </c>
      <c r="Y87" s="28">
        <v>43902</v>
      </c>
      <c r="Z87" s="28">
        <v>43902</v>
      </c>
      <c r="AA87" s="28">
        <v>43902</v>
      </c>
      <c r="AB87" s="31"/>
      <c r="AC87" s="24" t="s">
        <v>76</v>
      </c>
      <c r="AD87" s="24" t="s">
        <v>76</v>
      </c>
      <c r="AE87" s="24" t="s">
        <v>76</v>
      </c>
      <c r="AF87" s="24" t="s">
        <v>291</v>
      </c>
      <c r="AG87" s="27" t="s">
        <v>76</v>
      </c>
    </row>
    <row r="88" spans="1:33" x14ac:dyDescent="0.25">
      <c r="B88" s="50">
        <f t="shared" si="9"/>
        <v>86</v>
      </c>
      <c r="C88" s="24">
        <v>20200304</v>
      </c>
      <c r="D88" s="24" t="s">
        <v>3</v>
      </c>
      <c r="E88" s="24" t="s">
        <v>225</v>
      </c>
      <c r="F88" s="27" t="s">
        <v>249</v>
      </c>
      <c r="G88" s="24">
        <v>1357355</v>
      </c>
      <c r="H88" s="26" t="s">
        <v>239</v>
      </c>
      <c r="I88" s="25" t="s">
        <v>194</v>
      </c>
      <c r="J88" s="24" t="s">
        <v>76</v>
      </c>
      <c r="K88" s="24" t="s">
        <v>240</v>
      </c>
      <c r="L88" s="27" t="str">
        <f t="shared" si="7"/>
        <v>-</v>
      </c>
      <c r="M88" s="27" t="s">
        <v>372</v>
      </c>
      <c r="N88" s="26" t="s">
        <v>558</v>
      </c>
      <c r="O88" s="24" t="s">
        <v>82</v>
      </c>
      <c r="P88" s="24"/>
      <c r="Q88" s="24"/>
      <c r="R88" s="24">
        <v>37</v>
      </c>
      <c r="S88" s="24">
        <v>37</v>
      </c>
      <c r="T88" s="24">
        <f t="shared" si="8"/>
        <v>37</v>
      </c>
      <c r="U88" s="24">
        <f>ROUNDDOWN(S88/HLOOKUP(D88,Table!$C$3:$D$4,2,0)*8,2)</f>
        <v>0.65</v>
      </c>
      <c r="V88" s="24">
        <v>1</v>
      </c>
      <c r="W88" s="24" t="s">
        <v>105</v>
      </c>
      <c r="X88" s="28">
        <v>43894</v>
      </c>
      <c r="Y88" s="28">
        <v>43902</v>
      </c>
      <c r="Z88" s="28">
        <v>43902</v>
      </c>
      <c r="AA88" s="28">
        <v>43902</v>
      </c>
      <c r="AB88" s="31" t="s">
        <v>158</v>
      </c>
      <c r="AC88" s="24">
        <v>100</v>
      </c>
      <c r="AD88" s="24">
        <v>100</v>
      </c>
      <c r="AE88" s="24">
        <v>100</v>
      </c>
      <c r="AF88" s="27" t="s">
        <v>76</v>
      </c>
      <c r="AG88" s="27" t="s">
        <v>76</v>
      </c>
    </row>
    <row r="89" spans="1:33" hidden="1" x14ac:dyDescent="0.25">
      <c r="B89" s="51">
        <f t="shared" si="9"/>
        <v>87</v>
      </c>
      <c r="C89" s="24">
        <v>20200309</v>
      </c>
      <c r="D89" s="24" t="s">
        <v>3</v>
      </c>
      <c r="E89" s="24" t="s">
        <v>250</v>
      </c>
      <c r="F89" s="27" t="s">
        <v>255</v>
      </c>
      <c r="G89" s="57">
        <v>1364387</v>
      </c>
      <c r="H89" s="24" t="s">
        <v>266</v>
      </c>
      <c r="I89" s="49" t="s">
        <v>193</v>
      </c>
      <c r="J89" s="24">
        <v>99478</v>
      </c>
      <c r="K89" s="24" t="s">
        <v>279</v>
      </c>
      <c r="L89" s="27" t="str">
        <f t="shared" si="7"/>
        <v>-</v>
      </c>
      <c r="M89" s="27" t="s">
        <v>366</v>
      </c>
      <c r="N89" s="26" t="s">
        <v>559</v>
      </c>
      <c r="O89" s="42" t="s">
        <v>85</v>
      </c>
      <c r="P89" s="24"/>
      <c r="Q89" s="24"/>
      <c r="R89" s="53">
        <v>67</v>
      </c>
      <c r="S89" s="57">
        <v>67</v>
      </c>
      <c r="T89" s="56">
        <f t="shared" si="8"/>
        <v>67</v>
      </c>
      <c r="U89" s="24">
        <f>ROUNDDOWN(S89/HLOOKUP(D89,Table!$C$3:$D$4,2,0)*8,2)</f>
        <v>1.19</v>
      </c>
      <c r="V89" s="24">
        <v>1.1499999999999999</v>
      </c>
      <c r="W89" s="24" t="s">
        <v>105</v>
      </c>
      <c r="X89" s="28">
        <v>43899</v>
      </c>
      <c r="Y89" s="28">
        <v>43903</v>
      </c>
      <c r="Z89" s="28">
        <v>43906</v>
      </c>
      <c r="AA89" s="28">
        <v>43906</v>
      </c>
      <c r="AB89" s="31" t="s">
        <v>158</v>
      </c>
      <c r="AC89" s="24">
        <v>100</v>
      </c>
      <c r="AD89" s="24">
        <v>100</v>
      </c>
      <c r="AE89" s="24">
        <v>100</v>
      </c>
      <c r="AF89" s="27" t="s">
        <v>76</v>
      </c>
      <c r="AG89" s="27" t="s">
        <v>76</v>
      </c>
    </row>
    <row r="90" spans="1:33" hidden="1" x14ac:dyDescent="0.25">
      <c r="B90" s="51">
        <f t="shared" si="9"/>
        <v>88</v>
      </c>
      <c r="C90" s="24">
        <v>20200309</v>
      </c>
      <c r="D90" s="24" t="s">
        <v>3</v>
      </c>
      <c r="E90" s="24" t="s">
        <v>251</v>
      </c>
      <c r="F90" s="27" t="s">
        <v>256</v>
      </c>
      <c r="G90" s="57">
        <v>1362438</v>
      </c>
      <c r="H90" s="24" t="s">
        <v>267</v>
      </c>
      <c r="I90" s="49" t="s">
        <v>193</v>
      </c>
      <c r="J90" s="24">
        <v>97499</v>
      </c>
      <c r="K90" s="24" t="s">
        <v>251</v>
      </c>
      <c r="L90" s="27" t="str">
        <f t="shared" si="7"/>
        <v>-</v>
      </c>
      <c r="M90" s="27" t="s">
        <v>366</v>
      </c>
      <c r="N90" s="26" t="s">
        <v>560</v>
      </c>
      <c r="O90" s="42" t="s">
        <v>84</v>
      </c>
      <c r="P90" s="24"/>
      <c r="Q90" s="24"/>
      <c r="R90" s="53">
        <v>130</v>
      </c>
      <c r="S90" s="25">
        <v>288</v>
      </c>
      <c r="T90" s="24">
        <f t="shared" si="8"/>
        <v>288</v>
      </c>
      <c r="U90" s="24">
        <f>ROUNDDOWN(S90/HLOOKUP(D90,Table!$C$3:$D$4,2,0)*8,2)</f>
        <v>5.12</v>
      </c>
      <c r="V90" s="24">
        <v>9</v>
      </c>
      <c r="W90" s="24" t="s">
        <v>105</v>
      </c>
      <c r="X90" s="28">
        <v>43899</v>
      </c>
      <c r="Y90" s="28">
        <v>43903</v>
      </c>
      <c r="Z90" s="28">
        <v>43902</v>
      </c>
      <c r="AA90" s="28">
        <v>43902</v>
      </c>
      <c r="AB90" s="31" t="s">
        <v>158</v>
      </c>
      <c r="AC90" s="24">
        <v>100</v>
      </c>
      <c r="AD90" s="24">
        <v>100</v>
      </c>
      <c r="AE90" s="24">
        <v>100</v>
      </c>
      <c r="AF90" s="27" t="s">
        <v>76</v>
      </c>
      <c r="AG90" s="27" t="s">
        <v>76</v>
      </c>
    </row>
    <row r="91" spans="1:33" hidden="1" x14ac:dyDescent="0.25">
      <c r="B91" s="51">
        <f t="shared" si="9"/>
        <v>89</v>
      </c>
      <c r="C91" s="24">
        <v>20200309</v>
      </c>
      <c r="D91" s="24" t="s">
        <v>3</v>
      </c>
      <c r="E91" s="24" t="s">
        <v>252</v>
      </c>
      <c r="F91" s="27" t="s">
        <v>262</v>
      </c>
      <c r="G91" s="56">
        <v>1362431</v>
      </c>
      <c r="H91" s="24" t="s">
        <v>268</v>
      </c>
      <c r="I91" s="49" t="s">
        <v>193</v>
      </c>
      <c r="J91" s="26">
        <v>81433</v>
      </c>
      <c r="K91" s="24" t="s">
        <v>280</v>
      </c>
      <c r="L91" s="27" t="str">
        <f t="shared" ref="L91:L122" si="12">IF(D91="ASW","PUT_VERSION","-")</f>
        <v>-</v>
      </c>
      <c r="M91" s="27" t="s">
        <v>373</v>
      </c>
      <c r="N91" s="26" t="s">
        <v>561</v>
      </c>
      <c r="O91" s="42" t="s">
        <v>83</v>
      </c>
      <c r="P91" s="24"/>
      <c r="Q91" s="24"/>
      <c r="R91" s="53">
        <v>1703</v>
      </c>
      <c r="S91" s="24">
        <v>1703</v>
      </c>
      <c r="T91" s="24">
        <f t="shared" si="8"/>
        <v>1703</v>
      </c>
      <c r="U91" s="24">
        <f>ROUNDDOWN(S91/HLOOKUP(D91,Table!$C$3:$D$4,2,0)*8,2)</f>
        <v>30.27</v>
      </c>
      <c r="V91" s="24">
        <v>8</v>
      </c>
      <c r="W91" s="24" t="s">
        <v>105</v>
      </c>
      <c r="X91" s="28">
        <v>43899</v>
      </c>
      <c r="Y91" s="28">
        <v>43903</v>
      </c>
      <c r="Z91" s="28">
        <v>43901</v>
      </c>
      <c r="AA91" s="28">
        <v>43901</v>
      </c>
      <c r="AB91" s="31" t="s">
        <v>158</v>
      </c>
      <c r="AC91" s="24">
        <v>100</v>
      </c>
      <c r="AD91" s="24">
        <v>100</v>
      </c>
      <c r="AE91" s="24">
        <v>100</v>
      </c>
      <c r="AF91" s="27" t="s">
        <v>76</v>
      </c>
      <c r="AG91" s="27" t="s">
        <v>76</v>
      </c>
    </row>
    <row r="92" spans="1:33" hidden="1" x14ac:dyDescent="0.25">
      <c r="B92" s="51">
        <f t="shared" si="9"/>
        <v>90</v>
      </c>
      <c r="C92" s="24">
        <v>20200309</v>
      </c>
      <c r="D92" s="24" t="s">
        <v>3</v>
      </c>
      <c r="E92" s="24" t="s">
        <v>252</v>
      </c>
      <c r="F92" s="27" t="s">
        <v>263</v>
      </c>
      <c r="G92" s="56">
        <v>1362431</v>
      </c>
      <c r="H92" s="24" t="s">
        <v>117</v>
      </c>
      <c r="I92" s="49" t="s">
        <v>193</v>
      </c>
      <c r="J92" s="24">
        <v>81434</v>
      </c>
      <c r="K92" s="24" t="s">
        <v>280</v>
      </c>
      <c r="L92" s="27" t="str">
        <f t="shared" si="12"/>
        <v>-</v>
      </c>
      <c r="M92" s="27" t="s">
        <v>373</v>
      </c>
      <c r="N92" s="26" t="s">
        <v>562</v>
      </c>
      <c r="O92" s="42" t="s">
        <v>84</v>
      </c>
      <c r="P92" s="24"/>
      <c r="Q92" s="24"/>
      <c r="R92" s="53">
        <v>144</v>
      </c>
      <c r="S92" s="25">
        <v>165</v>
      </c>
      <c r="T92" s="24">
        <f t="shared" si="8"/>
        <v>165</v>
      </c>
      <c r="U92" s="24">
        <f>ROUNDDOWN(S92/HLOOKUP(D92,Table!$C$3:$D$4,2,0)*8,2)</f>
        <v>2.93</v>
      </c>
      <c r="V92" s="24">
        <v>2.5</v>
      </c>
      <c r="W92" s="24" t="s">
        <v>105</v>
      </c>
      <c r="X92" s="28">
        <v>43899</v>
      </c>
      <c r="Y92" s="28">
        <v>43903</v>
      </c>
      <c r="Z92" s="28">
        <v>43902</v>
      </c>
      <c r="AA92" s="28">
        <v>43902</v>
      </c>
      <c r="AB92" s="31" t="s">
        <v>158</v>
      </c>
      <c r="AC92" s="24">
        <v>100</v>
      </c>
      <c r="AD92" s="24">
        <v>100</v>
      </c>
      <c r="AE92" s="24">
        <v>100</v>
      </c>
      <c r="AF92" s="27" t="s">
        <v>76</v>
      </c>
      <c r="AG92" s="27" t="s">
        <v>76</v>
      </c>
    </row>
    <row r="93" spans="1:33" hidden="1" x14ac:dyDescent="0.25">
      <c r="B93" s="51">
        <f t="shared" si="9"/>
        <v>91</v>
      </c>
      <c r="C93" s="24">
        <v>20200309</v>
      </c>
      <c r="D93" s="24" t="s">
        <v>3</v>
      </c>
      <c r="E93" s="24" t="s">
        <v>252</v>
      </c>
      <c r="F93" s="27" t="s">
        <v>264</v>
      </c>
      <c r="G93" s="56">
        <v>1362431</v>
      </c>
      <c r="H93" s="24" t="s">
        <v>269</v>
      </c>
      <c r="I93" s="49" t="s">
        <v>193</v>
      </c>
      <c r="J93" s="26">
        <v>81435</v>
      </c>
      <c r="K93" s="24" t="s">
        <v>280</v>
      </c>
      <c r="L93" s="27" t="str">
        <f t="shared" si="12"/>
        <v>-</v>
      </c>
      <c r="M93" s="27" t="s">
        <v>373</v>
      </c>
      <c r="N93" s="26" t="s">
        <v>563</v>
      </c>
      <c r="O93" s="42" t="s">
        <v>83</v>
      </c>
      <c r="P93" s="24"/>
      <c r="Q93" s="24"/>
      <c r="R93" s="53">
        <v>111</v>
      </c>
      <c r="S93" s="24">
        <v>111</v>
      </c>
      <c r="T93" s="24">
        <f t="shared" si="8"/>
        <v>111</v>
      </c>
      <c r="U93" s="24">
        <f>ROUNDDOWN(S93/HLOOKUP(D93,Table!$C$3:$D$4,2,0)*8,2)</f>
        <v>1.97</v>
      </c>
      <c r="V93" s="24">
        <v>1</v>
      </c>
      <c r="W93" s="24" t="s">
        <v>105</v>
      </c>
      <c r="X93" s="28">
        <v>43899</v>
      </c>
      <c r="Y93" s="28">
        <v>43903</v>
      </c>
      <c r="Z93" s="28">
        <v>43902</v>
      </c>
      <c r="AA93" s="28">
        <v>43902</v>
      </c>
      <c r="AB93" s="31" t="s">
        <v>158</v>
      </c>
      <c r="AC93" s="24">
        <v>100</v>
      </c>
      <c r="AD93" s="24">
        <v>100</v>
      </c>
      <c r="AE93" s="24">
        <v>100</v>
      </c>
      <c r="AF93" s="27" t="s">
        <v>76</v>
      </c>
      <c r="AG93" s="27" t="s">
        <v>76</v>
      </c>
    </row>
    <row r="94" spans="1:33" hidden="1" x14ac:dyDescent="0.25">
      <c r="B94" s="51">
        <f t="shared" si="9"/>
        <v>92</v>
      </c>
      <c r="C94" s="24">
        <v>20200309</v>
      </c>
      <c r="D94" s="24" t="s">
        <v>3</v>
      </c>
      <c r="E94" s="24" t="s">
        <v>252</v>
      </c>
      <c r="F94" s="27" t="s">
        <v>265</v>
      </c>
      <c r="G94" s="56">
        <v>1362431</v>
      </c>
      <c r="H94" s="24" t="s">
        <v>270</v>
      </c>
      <c r="I94" s="49" t="s">
        <v>193</v>
      </c>
      <c r="J94" s="24">
        <v>81436</v>
      </c>
      <c r="K94" s="24" t="s">
        <v>280</v>
      </c>
      <c r="L94" s="27" t="str">
        <f t="shared" si="12"/>
        <v>-</v>
      </c>
      <c r="M94" s="27" t="s">
        <v>373</v>
      </c>
      <c r="N94" s="26" t="s">
        <v>564</v>
      </c>
      <c r="O94" s="42" t="s">
        <v>83</v>
      </c>
      <c r="P94" s="24"/>
      <c r="Q94" s="24"/>
      <c r="R94" s="53">
        <v>12</v>
      </c>
      <c r="S94" s="24">
        <v>12</v>
      </c>
      <c r="T94" s="24">
        <f t="shared" si="8"/>
        <v>12</v>
      </c>
      <c r="U94" s="24">
        <f>ROUNDDOWN(S94/HLOOKUP(D94,Table!$C$3:$D$4,2,0)*8,2)</f>
        <v>0.21</v>
      </c>
      <c r="V94" s="24">
        <v>0.1</v>
      </c>
      <c r="W94" s="24" t="s">
        <v>105</v>
      </c>
      <c r="X94" s="28">
        <v>43899</v>
      </c>
      <c r="Y94" s="28">
        <v>43903</v>
      </c>
      <c r="Z94" s="28">
        <v>43902</v>
      </c>
      <c r="AA94" s="28">
        <v>43902</v>
      </c>
      <c r="AB94" s="31"/>
      <c r="AC94" s="24" t="s">
        <v>76</v>
      </c>
      <c r="AD94" s="24" t="s">
        <v>76</v>
      </c>
      <c r="AE94" s="24" t="s">
        <v>76</v>
      </c>
      <c r="AF94" s="24" t="s">
        <v>310</v>
      </c>
      <c r="AG94" s="27" t="s">
        <v>76</v>
      </c>
    </row>
    <row r="95" spans="1:33" hidden="1" x14ac:dyDescent="0.25">
      <c r="B95" s="51">
        <f t="shared" si="9"/>
        <v>93</v>
      </c>
      <c r="C95" s="24">
        <v>20200309</v>
      </c>
      <c r="D95" s="24" t="s">
        <v>3</v>
      </c>
      <c r="E95" s="24" t="s">
        <v>252</v>
      </c>
      <c r="F95" s="27" t="s">
        <v>264</v>
      </c>
      <c r="G95" s="56">
        <v>1362431</v>
      </c>
      <c r="H95" s="24" t="s">
        <v>271</v>
      </c>
      <c r="I95" s="49" t="s">
        <v>193</v>
      </c>
      <c r="J95" s="24">
        <v>81437</v>
      </c>
      <c r="K95" s="24" t="s">
        <v>280</v>
      </c>
      <c r="L95" s="27" t="str">
        <f t="shared" si="12"/>
        <v>-</v>
      </c>
      <c r="M95" s="27" t="s">
        <v>373</v>
      </c>
      <c r="N95" s="26" t="s">
        <v>565</v>
      </c>
      <c r="O95" s="42" t="s">
        <v>84</v>
      </c>
      <c r="P95" s="24"/>
      <c r="Q95" s="24"/>
      <c r="R95" s="53">
        <v>191</v>
      </c>
      <c r="S95" s="24">
        <v>191</v>
      </c>
      <c r="T95" s="24">
        <f t="shared" si="8"/>
        <v>191</v>
      </c>
      <c r="U95" s="24">
        <f>ROUNDDOWN(S95/HLOOKUP(D95,Table!$C$3:$D$4,2,0)*8,2)</f>
        <v>3.39</v>
      </c>
      <c r="V95" s="24">
        <v>3</v>
      </c>
      <c r="W95" s="24" t="s">
        <v>105</v>
      </c>
      <c r="X95" s="28">
        <v>43899</v>
      </c>
      <c r="Y95" s="28">
        <v>43903</v>
      </c>
      <c r="Z95" s="28">
        <v>43902</v>
      </c>
      <c r="AA95" s="28">
        <v>43902</v>
      </c>
      <c r="AB95" s="31"/>
      <c r="AC95" s="24" t="s">
        <v>76</v>
      </c>
      <c r="AD95" s="24" t="s">
        <v>76</v>
      </c>
      <c r="AE95" s="24" t="s">
        <v>76</v>
      </c>
      <c r="AF95" s="24" t="s">
        <v>310</v>
      </c>
      <c r="AG95" s="27" t="s">
        <v>76</v>
      </c>
    </row>
    <row r="96" spans="1:33" hidden="1" x14ac:dyDescent="0.25">
      <c r="B96" s="51">
        <f t="shared" si="9"/>
        <v>94</v>
      </c>
      <c r="C96" s="24">
        <v>20200309</v>
      </c>
      <c r="D96" s="24" t="s">
        <v>3</v>
      </c>
      <c r="E96" s="24" t="s">
        <v>252</v>
      </c>
      <c r="F96" s="27" t="s">
        <v>257</v>
      </c>
      <c r="G96" s="57">
        <v>1362409</v>
      </c>
      <c r="H96" s="24" t="s">
        <v>272</v>
      </c>
      <c r="I96" s="49" t="s">
        <v>193</v>
      </c>
      <c r="J96" s="26">
        <v>81033</v>
      </c>
      <c r="K96" s="24" t="s">
        <v>280</v>
      </c>
      <c r="L96" s="27" t="str">
        <f t="shared" si="12"/>
        <v>-</v>
      </c>
      <c r="M96" s="27" t="s">
        <v>373</v>
      </c>
      <c r="N96" s="26" t="s">
        <v>566</v>
      </c>
      <c r="O96" s="42" t="s">
        <v>83</v>
      </c>
      <c r="P96" s="24"/>
      <c r="Q96" s="24"/>
      <c r="R96" s="53">
        <v>21</v>
      </c>
      <c r="S96" s="25">
        <v>131</v>
      </c>
      <c r="T96" s="24">
        <f t="shared" si="8"/>
        <v>131</v>
      </c>
      <c r="U96" s="24">
        <f>ROUNDDOWN(S96/HLOOKUP(D96,Table!$C$3:$D$4,2,0)*8,2)</f>
        <v>2.3199999999999998</v>
      </c>
      <c r="V96" s="24">
        <v>6.9</v>
      </c>
      <c r="W96" s="24" t="s">
        <v>105</v>
      </c>
      <c r="X96" s="28">
        <v>43899</v>
      </c>
      <c r="Y96" s="28">
        <v>43903</v>
      </c>
      <c r="Z96" s="28">
        <v>43902</v>
      </c>
      <c r="AA96" s="28">
        <v>43902</v>
      </c>
      <c r="AB96" s="31" t="s">
        <v>158</v>
      </c>
      <c r="AC96" s="24">
        <v>100</v>
      </c>
      <c r="AD96" s="24">
        <v>100</v>
      </c>
      <c r="AE96" s="24">
        <v>100</v>
      </c>
      <c r="AF96" s="27" t="s">
        <v>76</v>
      </c>
      <c r="AG96" s="27" t="s">
        <v>76</v>
      </c>
    </row>
    <row r="97" spans="1:33" hidden="1" x14ac:dyDescent="0.25">
      <c r="B97" s="51">
        <f t="shared" si="9"/>
        <v>95</v>
      </c>
      <c r="C97" s="24">
        <v>20200309</v>
      </c>
      <c r="D97" s="24" t="s">
        <v>3</v>
      </c>
      <c r="E97" s="24" t="s">
        <v>253</v>
      </c>
      <c r="F97" s="27" t="s">
        <v>258</v>
      </c>
      <c r="G97" s="56">
        <v>1362280</v>
      </c>
      <c r="H97" s="24" t="s">
        <v>273</v>
      </c>
      <c r="I97" s="49" t="s">
        <v>193</v>
      </c>
      <c r="J97" s="24">
        <v>80507</v>
      </c>
      <c r="K97" s="24" t="s">
        <v>281</v>
      </c>
      <c r="L97" s="27" t="str">
        <f t="shared" si="12"/>
        <v>-</v>
      </c>
      <c r="M97" s="27" t="s">
        <v>374</v>
      </c>
      <c r="N97" s="26" t="s">
        <v>567</v>
      </c>
      <c r="O97" s="42" t="s">
        <v>84</v>
      </c>
      <c r="P97" s="24"/>
      <c r="Q97" s="24"/>
      <c r="R97" s="53">
        <v>25</v>
      </c>
      <c r="S97" s="24">
        <v>25</v>
      </c>
      <c r="T97" s="24">
        <f t="shared" si="8"/>
        <v>25</v>
      </c>
      <c r="U97" s="24">
        <f>ROUNDDOWN(S97/HLOOKUP(D97,Table!$C$3:$D$4,2,0)*8,2)</f>
        <v>0.44</v>
      </c>
      <c r="V97" s="24">
        <v>0.2</v>
      </c>
      <c r="W97" s="24" t="s">
        <v>105</v>
      </c>
      <c r="X97" s="28">
        <v>43899</v>
      </c>
      <c r="Y97" s="28">
        <v>43903</v>
      </c>
      <c r="Z97" s="28">
        <v>43902</v>
      </c>
      <c r="AA97" s="28">
        <v>43902</v>
      </c>
      <c r="AB97" s="31" t="s">
        <v>158</v>
      </c>
      <c r="AC97" s="24">
        <v>100</v>
      </c>
      <c r="AD97" s="24">
        <v>100</v>
      </c>
      <c r="AE97" s="24">
        <v>100</v>
      </c>
      <c r="AF97" s="27" t="s">
        <v>76</v>
      </c>
      <c r="AG97" s="27" t="s">
        <v>76</v>
      </c>
    </row>
    <row r="98" spans="1:33" hidden="1" x14ac:dyDescent="0.25">
      <c r="B98" s="51">
        <f t="shared" si="9"/>
        <v>96</v>
      </c>
      <c r="C98" s="24">
        <v>20200309</v>
      </c>
      <c r="D98" s="24" t="s">
        <v>3</v>
      </c>
      <c r="E98" s="24" t="s">
        <v>253</v>
      </c>
      <c r="F98" s="27" t="s">
        <v>259</v>
      </c>
      <c r="G98" s="56">
        <v>1362280</v>
      </c>
      <c r="H98" s="24" t="s">
        <v>274</v>
      </c>
      <c r="I98" s="49" t="s">
        <v>193</v>
      </c>
      <c r="J98" s="24">
        <v>80507</v>
      </c>
      <c r="K98" s="24" t="s">
        <v>281</v>
      </c>
      <c r="L98" s="27" t="str">
        <f t="shared" si="12"/>
        <v>-</v>
      </c>
      <c r="M98" s="27" t="s">
        <v>374</v>
      </c>
      <c r="N98" s="26" t="s">
        <v>568</v>
      </c>
      <c r="O98" s="42" t="s">
        <v>84</v>
      </c>
      <c r="P98" s="24"/>
      <c r="Q98" s="24"/>
      <c r="R98" s="53">
        <v>151</v>
      </c>
      <c r="S98" s="24">
        <v>151</v>
      </c>
      <c r="T98" s="24">
        <f t="shared" si="8"/>
        <v>151</v>
      </c>
      <c r="U98" s="24">
        <f>ROUNDDOWN(S98/HLOOKUP(D98,Table!$C$3:$D$4,2,0)*8,2)</f>
        <v>2.68</v>
      </c>
      <c r="V98" s="24">
        <v>2.5</v>
      </c>
      <c r="W98" s="24" t="s">
        <v>105</v>
      </c>
      <c r="X98" s="28">
        <v>43899</v>
      </c>
      <c r="Y98" s="28">
        <v>43903</v>
      </c>
      <c r="Z98" s="28">
        <v>43902</v>
      </c>
      <c r="AA98" s="28">
        <v>43902</v>
      </c>
      <c r="AB98" s="31" t="s">
        <v>158</v>
      </c>
      <c r="AC98" s="24">
        <v>100</v>
      </c>
      <c r="AD98" s="24">
        <v>100</v>
      </c>
      <c r="AE98" s="24">
        <v>100</v>
      </c>
      <c r="AF98" s="27" t="s">
        <v>76</v>
      </c>
      <c r="AG98" s="27" t="s">
        <v>76</v>
      </c>
    </row>
    <row r="99" spans="1:33" x14ac:dyDescent="0.25">
      <c r="B99" s="51">
        <f t="shared" si="9"/>
        <v>97</v>
      </c>
      <c r="C99" s="24">
        <v>20200309</v>
      </c>
      <c r="D99" s="24" t="s">
        <v>3</v>
      </c>
      <c r="E99" s="24" t="s">
        <v>253</v>
      </c>
      <c r="F99" s="27" t="s">
        <v>323</v>
      </c>
      <c r="G99" s="56">
        <v>1362280</v>
      </c>
      <c r="H99" s="24" t="s">
        <v>275</v>
      </c>
      <c r="I99" s="49" t="s">
        <v>193</v>
      </c>
      <c r="J99" s="24">
        <v>80507</v>
      </c>
      <c r="K99" s="24" t="s">
        <v>281</v>
      </c>
      <c r="L99" s="27" t="str">
        <f t="shared" si="12"/>
        <v>-</v>
      </c>
      <c r="M99" s="27" t="s">
        <v>374</v>
      </c>
      <c r="N99" s="26" t="s">
        <v>569</v>
      </c>
      <c r="O99" s="23" t="s">
        <v>82</v>
      </c>
      <c r="P99" s="24"/>
      <c r="Q99" s="24"/>
      <c r="R99" s="53">
        <v>178</v>
      </c>
      <c r="S99" s="24">
        <v>178</v>
      </c>
      <c r="T99" s="24">
        <f t="shared" si="8"/>
        <v>178</v>
      </c>
      <c r="U99" s="24">
        <f>ROUNDDOWN(S99/HLOOKUP(D99,Table!$C$3:$D$4,2,0)*8,2)</f>
        <v>3.16</v>
      </c>
      <c r="V99" s="24">
        <v>4</v>
      </c>
      <c r="W99" s="24" t="s">
        <v>105</v>
      </c>
      <c r="X99" s="28">
        <v>43899</v>
      </c>
      <c r="Y99" s="28">
        <v>43903</v>
      </c>
      <c r="Z99" s="28">
        <v>43903</v>
      </c>
      <c r="AA99" s="28">
        <v>43903</v>
      </c>
      <c r="AB99" s="31" t="s">
        <v>158</v>
      </c>
      <c r="AC99" s="24">
        <v>100</v>
      </c>
      <c r="AD99" s="24">
        <v>100</v>
      </c>
      <c r="AE99" s="24">
        <v>100</v>
      </c>
      <c r="AF99" s="27" t="s">
        <v>76</v>
      </c>
      <c r="AG99" s="27" t="s">
        <v>76</v>
      </c>
    </row>
    <row r="100" spans="1:33" hidden="1" x14ac:dyDescent="0.25">
      <c r="B100" s="51">
        <f t="shared" si="9"/>
        <v>98</v>
      </c>
      <c r="C100" s="24">
        <v>20200309</v>
      </c>
      <c r="D100" s="24" t="s">
        <v>3</v>
      </c>
      <c r="E100" s="24" t="s">
        <v>252</v>
      </c>
      <c r="F100" s="27" t="s">
        <v>260</v>
      </c>
      <c r="G100" s="57">
        <v>1362197</v>
      </c>
      <c r="H100" s="24" t="s">
        <v>276</v>
      </c>
      <c r="I100" s="49" t="s">
        <v>193</v>
      </c>
      <c r="J100" s="24">
        <v>81033</v>
      </c>
      <c r="K100" s="24" t="s">
        <v>280</v>
      </c>
      <c r="L100" s="27" t="str">
        <f t="shared" si="12"/>
        <v>-</v>
      </c>
      <c r="M100" s="27" t="s">
        <v>375</v>
      </c>
      <c r="N100" s="26" t="s">
        <v>570</v>
      </c>
      <c r="O100" s="42" t="s">
        <v>84</v>
      </c>
      <c r="P100" s="24"/>
      <c r="Q100" s="24"/>
      <c r="R100" s="53">
        <v>280</v>
      </c>
      <c r="S100" s="25">
        <v>277</v>
      </c>
      <c r="T100" s="24">
        <f t="shared" si="8"/>
        <v>277</v>
      </c>
      <c r="U100" s="24">
        <f>ROUNDDOWN(S100/HLOOKUP(D100,Table!$C$3:$D$4,2,0)*8,2)</f>
        <v>4.92</v>
      </c>
      <c r="V100" s="24">
        <v>2</v>
      </c>
      <c r="W100" s="24" t="s">
        <v>105</v>
      </c>
      <c r="X100" s="28">
        <v>43899</v>
      </c>
      <c r="Y100" s="28">
        <v>43903</v>
      </c>
      <c r="Z100" s="28">
        <v>43903</v>
      </c>
      <c r="AA100" s="28">
        <v>43903</v>
      </c>
      <c r="AB100" s="31" t="s">
        <v>158</v>
      </c>
      <c r="AC100" s="24">
        <v>100</v>
      </c>
      <c r="AD100" s="24">
        <v>100</v>
      </c>
      <c r="AE100" s="24">
        <v>100</v>
      </c>
      <c r="AF100" s="27" t="s">
        <v>76</v>
      </c>
      <c r="AG100" s="27" t="s">
        <v>76</v>
      </c>
    </row>
    <row r="101" spans="1:33" x14ac:dyDescent="0.25">
      <c r="B101" s="51">
        <f t="shared" si="9"/>
        <v>99</v>
      </c>
      <c r="C101" s="24">
        <v>20200309</v>
      </c>
      <c r="D101" s="24" t="s">
        <v>3</v>
      </c>
      <c r="E101" s="24" t="s">
        <v>252</v>
      </c>
      <c r="F101" s="27" t="s">
        <v>264</v>
      </c>
      <c r="G101" s="57">
        <v>1362163</v>
      </c>
      <c r="H101" s="24" t="s">
        <v>277</v>
      </c>
      <c r="I101" s="49" t="s">
        <v>193</v>
      </c>
      <c r="J101" s="24">
        <v>81033</v>
      </c>
      <c r="K101" s="24" t="s">
        <v>280</v>
      </c>
      <c r="L101" s="27" t="str">
        <f t="shared" si="12"/>
        <v>-</v>
      </c>
      <c r="M101" s="27" t="s">
        <v>376</v>
      </c>
      <c r="N101" s="26" t="s">
        <v>571</v>
      </c>
      <c r="O101" s="23" t="s">
        <v>82</v>
      </c>
      <c r="P101" s="24"/>
      <c r="Q101" s="24"/>
      <c r="R101" s="53">
        <v>259</v>
      </c>
      <c r="S101" s="24">
        <v>259</v>
      </c>
      <c r="T101" s="24">
        <f t="shared" si="8"/>
        <v>259</v>
      </c>
      <c r="U101" s="24">
        <f>ROUNDDOWN(S101/HLOOKUP(D101,Table!$C$3:$D$4,2,0)*8,2)</f>
        <v>4.5999999999999996</v>
      </c>
      <c r="V101" s="24">
        <v>6</v>
      </c>
      <c r="W101" s="24" t="s">
        <v>105</v>
      </c>
      <c r="X101" s="28">
        <v>43899</v>
      </c>
      <c r="Y101" s="28">
        <v>43903</v>
      </c>
      <c r="Z101" s="28">
        <v>43903</v>
      </c>
      <c r="AA101" s="28">
        <v>43903</v>
      </c>
      <c r="AB101" s="31" t="s">
        <v>157</v>
      </c>
      <c r="AC101" s="24">
        <v>100</v>
      </c>
      <c r="AD101" s="24">
        <v>100</v>
      </c>
      <c r="AE101" s="24">
        <v>94</v>
      </c>
      <c r="AF101" s="24" t="s">
        <v>340</v>
      </c>
      <c r="AG101" s="27" t="s">
        <v>76</v>
      </c>
    </row>
    <row r="102" spans="1:33" hidden="1" x14ac:dyDescent="0.25">
      <c r="B102" s="51">
        <f t="shared" si="9"/>
        <v>100</v>
      </c>
      <c r="C102" s="24">
        <v>20200309</v>
      </c>
      <c r="D102" s="24" t="s">
        <v>3</v>
      </c>
      <c r="E102" s="24" t="s">
        <v>254</v>
      </c>
      <c r="F102" s="27" t="s">
        <v>261</v>
      </c>
      <c r="G102" s="57">
        <v>1360524</v>
      </c>
      <c r="H102" s="24" t="s">
        <v>278</v>
      </c>
      <c r="I102" s="49" t="s">
        <v>193</v>
      </c>
      <c r="J102" s="24" t="s">
        <v>101</v>
      </c>
      <c r="K102" s="24" t="s">
        <v>90</v>
      </c>
      <c r="L102" s="27" t="str">
        <f t="shared" si="12"/>
        <v>-</v>
      </c>
      <c r="M102" s="27" t="s">
        <v>377</v>
      </c>
      <c r="N102" s="26" t="s">
        <v>572</v>
      </c>
      <c r="O102" s="42" t="s">
        <v>84</v>
      </c>
      <c r="P102" s="24"/>
      <c r="Q102" s="24"/>
      <c r="R102" s="53">
        <v>35</v>
      </c>
      <c r="S102" s="24">
        <v>35</v>
      </c>
      <c r="T102" s="26">
        <f t="shared" si="8"/>
        <v>35</v>
      </c>
      <c r="U102" s="24">
        <f>ROUNDDOWN(S102/HLOOKUP(D102,Table!$C$3:$D$4,2,0)*8,2)</f>
        <v>0.62</v>
      </c>
      <c r="V102" s="24">
        <v>0.5</v>
      </c>
      <c r="W102" s="24" t="s">
        <v>105</v>
      </c>
      <c r="X102" s="28">
        <v>43899</v>
      </c>
      <c r="Y102" s="28">
        <v>43903</v>
      </c>
      <c r="Z102" s="28">
        <v>43903</v>
      </c>
      <c r="AA102" s="28">
        <v>43903</v>
      </c>
      <c r="AB102" s="31" t="s">
        <v>158</v>
      </c>
      <c r="AC102" s="24">
        <v>100</v>
      </c>
      <c r="AD102" s="24">
        <v>100</v>
      </c>
      <c r="AE102" s="24">
        <v>100</v>
      </c>
      <c r="AF102" s="27" t="s">
        <v>76</v>
      </c>
      <c r="AG102" s="27" t="s">
        <v>76</v>
      </c>
    </row>
    <row r="103" spans="1:33" x14ac:dyDescent="0.25">
      <c r="B103" s="55">
        <f>B102+1</f>
        <v>101</v>
      </c>
      <c r="C103" s="24">
        <v>20200312</v>
      </c>
      <c r="D103" s="24" t="s">
        <v>3</v>
      </c>
      <c r="E103" s="24" t="s">
        <v>250</v>
      </c>
      <c r="F103" s="27" t="s">
        <v>294</v>
      </c>
      <c r="G103" s="74">
        <v>1368920</v>
      </c>
      <c r="H103" s="24" t="s">
        <v>298</v>
      </c>
      <c r="I103" s="49" t="s">
        <v>193</v>
      </c>
      <c r="J103" s="24">
        <v>99478</v>
      </c>
      <c r="K103" s="24" t="s">
        <v>207</v>
      </c>
      <c r="L103" s="27" t="str">
        <f t="shared" si="12"/>
        <v>-</v>
      </c>
      <c r="M103" s="27" t="s">
        <v>366</v>
      </c>
      <c r="N103" s="26" t="s">
        <v>573</v>
      </c>
      <c r="O103" s="24" t="s">
        <v>82</v>
      </c>
      <c r="P103" s="24"/>
      <c r="Q103" s="24"/>
      <c r="R103" s="53">
        <v>191</v>
      </c>
      <c r="S103" s="24">
        <v>191</v>
      </c>
      <c r="T103" s="26">
        <f t="shared" si="8"/>
        <v>191</v>
      </c>
      <c r="U103" s="24">
        <f>ROUNDDOWN(S103/HLOOKUP(D103,Table!$C$3:$D$4,2,0)*8,2)</f>
        <v>3.39</v>
      </c>
      <c r="V103" s="24">
        <v>5</v>
      </c>
      <c r="W103" s="24" t="s">
        <v>105</v>
      </c>
      <c r="X103" s="28">
        <v>43902</v>
      </c>
      <c r="Y103" s="28">
        <v>43907</v>
      </c>
      <c r="Z103" s="28">
        <v>43906</v>
      </c>
      <c r="AA103" s="28">
        <v>43906</v>
      </c>
      <c r="AB103" s="31" t="s">
        <v>158</v>
      </c>
      <c r="AC103" s="24">
        <v>100</v>
      </c>
      <c r="AD103" s="24">
        <v>100</v>
      </c>
      <c r="AE103" s="24">
        <v>100</v>
      </c>
      <c r="AF103" s="27" t="s">
        <v>76</v>
      </c>
      <c r="AG103" s="27" t="s">
        <v>76</v>
      </c>
    </row>
    <row r="104" spans="1:33" hidden="1" x14ac:dyDescent="0.25">
      <c r="B104" s="55">
        <f t="shared" si="9"/>
        <v>102</v>
      </c>
      <c r="C104" s="24">
        <v>20200312</v>
      </c>
      <c r="D104" s="24" t="s">
        <v>3</v>
      </c>
      <c r="E104" s="24" t="s">
        <v>250</v>
      </c>
      <c r="F104" s="27" t="s">
        <v>255</v>
      </c>
      <c r="G104" s="74">
        <v>1368920</v>
      </c>
      <c r="H104" s="24" t="s">
        <v>266</v>
      </c>
      <c r="I104" s="49" t="s">
        <v>193</v>
      </c>
      <c r="J104" s="24">
        <v>99478</v>
      </c>
      <c r="K104" s="24" t="s">
        <v>207</v>
      </c>
      <c r="L104" s="27" t="str">
        <f t="shared" si="12"/>
        <v>-</v>
      </c>
      <c r="M104" s="27" t="s">
        <v>366</v>
      </c>
      <c r="N104" s="26" t="s">
        <v>574</v>
      </c>
      <c r="O104" s="24" t="s">
        <v>85</v>
      </c>
      <c r="P104" s="24"/>
      <c r="Q104" s="24"/>
      <c r="R104" s="53">
        <v>67</v>
      </c>
      <c r="S104" s="57">
        <v>67</v>
      </c>
      <c r="T104" s="57">
        <f t="shared" si="8"/>
        <v>67</v>
      </c>
      <c r="U104" s="24">
        <f>ROUNDDOWN(S104/HLOOKUP(D104,Table!$C$3:$D$4,2,0)*8,2)</f>
        <v>1.19</v>
      </c>
      <c r="V104" s="24">
        <v>0.5</v>
      </c>
      <c r="W104" s="24" t="s">
        <v>105</v>
      </c>
      <c r="X104" s="28">
        <v>43902</v>
      </c>
      <c r="Y104" s="28">
        <v>43907</v>
      </c>
      <c r="Z104" s="28">
        <v>43906</v>
      </c>
      <c r="AA104" s="28">
        <v>43906</v>
      </c>
      <c r="AB104" s="31" t="s">
        <v>158</v>
      </c>
      <c r="AC104" s="24">
        <v>100</v>
      </c>
      <c r="AD104" s="24">
        <v>100</v>
      </c>
      <c r="AE104" s="24">
        <v>100</v>
      </c>
      <c r="AF104" s="24" t="s">
        <v>331</v>
      </c>
      <c r="AG104" s="27" t="s">
        <v>76</v>
      </c>
    </row>
    <row r="105" spans="1:33" x14ac:dyDescent="0.25">
      <c r="B105" s="55">
        <f t="shared" si="9"/>
        <v>103</v>
      </c>
      <c r="C105" s="24">
        <v>20200312</v>
      </c>
      <c r="D105" s="24" t="s">
        <v>3</v>
      </c>
      <c r="E105" s="24" t="s">
        <v>77</v>
      </c>
      <c r="F105" s="27" t="s">
        <v>217</v>
      </c>
      <c r="G105" s="74">
        <v>1368889</v>
      </c>
      <c r="H105" s="24" t="s">
        <v>224</v>
      </c>
      <c r="I105" s="49" t="s">
        <v>193</v>
      </c>
      <c r="J105" s="24">
        <v>80504</v>
      </c>
      <c r="K105" s="24" t="s">
        <v>90</v>
      </c>
      <c r="L105" s="27" t="str">
        <f t="shared" si="12"/>
        <v>-</v>
      </c>
      <c r="M105" s="27" t="s">
        <v>370</v>
      </c>
      <c r="N105" s="26" t="s">
        <v>575</v>
      </c>
      <c r="O105" s="24" t="s">
        <v>82</v>
      </c>
      <c r="P105" s="24"/>
      <c r="Q105" s="24"/>
      <c r="R105" s="53">
        <v>431</v>
      </c>
      <c r="S105" s="24">
        <v>431</v>
      </c>
      <c r="T105" s="24">
        <f t="shared" si="8"/>
        <v>431</v>
      </c>
      <c r="U105" s="24">
        <f>ROUNDDOWN(S105/HLOOKUP(D105,Table!$C$3:$D$4,2,0)*8,2)</f>
        <v>7.66</v>
      </c>
      <c r="V105" s="24">
        <v>8</v>
      </c>
      <c r="W105" s="24" t="s">
        <v>105</v>
      </c>
      <c r="X105" s="28">
        <v>43902</v>
      </c>
      <c r="Y105" s="28">
        <v>43907</v>
      </c>
      <c r="Z105" s="28">
        <v>43907</v>
      </c>
      <c r="AA105" s="28">
        <v>43907</v>
      </c>
      <c r="AB105" s="31" t="s">
        <v>158</v>
      </c>
      <c r="AC105" s="24">
        <v>100</v>
      </c>
      <c r="AD105" s="24">
        <v>100</v>
      </c>
      <c r="AE105" s="24">
        <v>100</v>
      </c>
      <c r="AF105" s="27" t="s">
        <v>76</v>
      </c>
      <c r="AG105" s="27" t="s">
        <v>76</v>
      </c>
    </row>
    <row r="106" spans="1:33" hidden="1" x14ac:dyDescent="0.25">
      <c r="B106" s="55">
        <f t="shared" si="9"/>
        <v>104</v>
      </c>
      <c r="C106" s="24">
        <v>20200312</v>
      </c>
      <c r="D106" s="24" t="s">
        <v>3</v>
      </c>
      <c r="E106" s="24" t="s">
        <v>77</v>
      </c>
      <c r="F106" s="27" t="s">
        <v>217</v>
      </c>
      <c r="G106" s="74">
        <v>1368889</v>
      </c>
      <c r="H106" s="24" t="s">
        <v>299</v>
      </c>
      <c r="I106" s="49" t="s">
        <v>193</v>
      </c>
      <c r="J106" s="24">
        <v>80504</v>
      </c>
      <c r="K106" s="24" t="s">
        <v>90</v>
      </c>
      <c r="L106" s="27" t="str">
        <f t="shared" si="12"/>
        <v>-</v>
      </c>
      <c r="M106" s="27" t="s">
        <v>370</v>
      </c>
      <c r="N106" s="26" t="s">
        <v>576</v>
      </c>
      <c r="O106" s="24" t="s">
        <v>85</v>
      </c>
      <c r="P106" s="24"/>
      <c r="Q106" s="24"/>
      <c r="R106" s="53">
        <v>184</v>
      </c>
      <c r="S106" s="57">
        <v>184</v>
      </c>
      <c r="T106" s="57">
        <f t="shared" si="8"/>
        <v>184</v>
      </c>
      <c r="U106" s="24">
        <f>ROUNDDOWN(S106/HLOOKUP(D106,Table!$C$3:$D$4,2,0)*8,2)</f>
        <v>3.27</v>
      </c>
      <c r="V106" s="24">
        <v>2</v>
      </c>
      <c r="W106" s="24" t="s">
        <v>105</v>
      </c>
      <c r="X106" s="28">
        <v>43902</v>
      </c>
      <c r="Y106" s="28">
        <v>43907</v>
      </c>
      <c r="Z106" s="28">
        <v>43906</v>
      </c>
      <c r="AA106" s="28">
        <v>43906</v>
      </c>
      <c r="AB106" s="31" t="s">
        <v>158</v>
      </c>
      <c r="AC106" s="24">
        <v>100</v>
      </c>
      <c r="AD106" s="24">
        <v>100</v>
      </c>
      <c r="AE106" s="24">
        <v>100</v>
      </c>
      <c r="AF106" s="27" t="s">
        <v>76</v>
      </c>
      <c r="AG106" s="27" t="s">
        <v>76</v>
      </c>
    </row>
    <row r="107" spans="1:33" hidden="1" x14ac:dyDescent="0.25">
      <c r="B107" s="55">
        <f t="shared" ref="B107:B117" si="13">B106+1</f>
        <v>105</v>
      </c>
      <c r="C107" s="24">
        <v>20200312</v>
      </c>
      <c r="D107" s="24" t="s">
        <v>3</v>
      </c>
      <c r="E107" s="24" t="s">
        <v>292</v>
      </c>
      <c r="F107" s="27"/>
      <c r="G107" s="44">
        <v>1359407</v>
      </c>
      <c r="H107" s="24" t="s">
        <v>300</v>
      </c>
      <c r="I107" s="49" t="s">
        <v>193</v>
      </c>
      <c r="J107" s="24"/>
      <c r="K107" s="24" t="s">
        <v>102</v>
      </c>
      <c r="L107" s="27" t="str">
        <f t="shared" si="12"/>
        <v>-</v>
      </c>
      <c r="M107" s="27" t="s">
        <v>364</v>
      </c>
      <c r="N107" s="26" t="s">
        <v>577</v>
      </c>
      <c r="O107" s="42" t="s">
        <v>84</v>
      </c>
      <c r="P107" s="24"/>
      <c r="Q107" s="24"/>
      <c r="R107" s="53">
        <v>1023</v>
      </c>
      <c r="S107" s="24">
        <v>1023</v>
      </c>
      <c r="T107" s="24">
        <f t="shared" si="8"/>
        <v>1023</v>
      </c>
      <c r="U107" s="24">
        <f>ROUNDDOWN(S107/HLOOKUP(D107,Table!$C$3:$D$4,2,0)*8,2)</f>
        <v>18.18</v>
      </c>
      <c r="V107" s="24">
        <v>12</v>
      </c>
      <c r="W107" s="24" t="s">
        <v>105</v>
      </c>
      <c r="X107" s="28">
        <v>43902</v>
      </c>
      <c r="Y107" s="28">
        <v>43907</v>
      </c>
      <c r="Z107" s="28">
        <v>43906</v>
      </c>
      <c r="AA107" s="28">
        <v>43906</v>
      </c>
      <c r="AB107" s="31" t="s">
        <v>158</v>
      </c>
      <c r="AC107" s="24">
        <v>100</v>
      </c>
      <c r="AD107" s="24">
        <v>100</v>
      </c>
      <c r="AE107" s="24">
        <v>100</v>
      </c>
      <c r="AF107" s="27" t="s">
        <v>76</v>
      </c>
      <c r="AG107" s="27" t="s">
        <v>76</v>
      </c>
    </row>
    <row r="108" spans="1:33" s="78" customFormat="1" hidden="1" x14ac:dyDescent="0.25">
      <c r="A108" s="77"/>
      <c r="B108" s="84">
        <f t="shared" si="13"/>
        <v>106</v>
      </c>
      <c r="C108" s="79">
        <v>20200312</v>
      </c>
      <c r="D108" s="79" t="s">
        <v>3</v>
      </c>
      <c r="E108" s="79" t="s">
        <v>293</v>
      </c>
      <c r="F108" s="80" t="s">
        <v>295</v>
      </c>
      <c r="G108" s="79">
        <v>1264979</v>
      </c>
      <c r="H108" s="24" t="s">
        <v>301</v>
      </c>
      <c r="I108" s="83" t="s">
        <v>193</v>
      </c>
      <c r="J108" s="79">
        <v>81728</v>
      </c>
      <c r="K108" s="79" t="s">
        <v>309</v>
      </c>
      <c r="L108" s="80" t="str">
        <f t="shared" si="12"/>
        <v>-</v>
      </c>
      <c r="M108" s="34" t="s">
        <v>378</v>
      </c>
      <c r="N108" s="206" t="s">
        <v>578</v>
      </c>
      <c r="O108" s="79" t="s">
        <v>83</v>
      </c>
      <c r="P108" s="79"/>
      <c r="Q108" s="79"/>
      <c r="R108" s="79">
        <v>43</v>
      </c>
      <c r="S108" s="79">
        <v>43</v>
      </c>
      <c r="T108" s="79">
        <f t="shared" si="8"/>
        <v>43</v>
      </c>
      <c r="U108" s="24">
        <f>ROUNDDOWN(S108/HLOOKUP(D108,Table!$C$3:$D$4,2,0)*8,2)</f>
        <v>0.76</v>
      </c>
      <c r="V108" s="79">
        <v>1</v>
      </c>
      <c r="W108" s="24" t="s">
        <v>105</v>
      </c>
      <c r="X108" s="28">
        <v>43902</v>
      </c>
      <c r="Y108" s="28">
        <v>43907</v>
      </c>
      <c r="Z108" s="91">
        <v>43906</v>
      </c>
      <c r="AA108" s="87">
        <v>43906</v>
      </c>
      <c r="AB108" s="81" t="s">
        <v>158</v>
      </c>
      <c r="AC108" s="79">
        <v>100</v>
      </c>
      <c r="AD108" s="79">
        <v>100</v>
      </c>
      <c r="AE108" s="79">
        <v>100</v>
      </c>
      <c r="AF108" s="27" t="s">
        <v>76</v>
      </c>
      <c r="AG108" s="27" t="s">
        <v>76</v>
      </c>
    </row>
    <row r="109" spans="1:33" hidden="1" x14ac:dyDescent="0.25">
      <c r="B109" s="55">
        <f t="shared" si="13"/>
        <v>107</v>
      </c>
      <c r="C109" s="24">
        <v>20200312</v>
      </c>
      <c r="D109" s="24" t="s">
        <v>3</v>
      </c>
      <c r="E109" s="24" t="s">
        <v>293</v>
      </c>
      <c r="F109" s="27" t="s">
        <v>295</v>
      </c>
      <c r="G109" s="74">
        <v>1264979</v>
      </c>
      <c r="H109" s="24" t="s">
        <v>302</v>
      </c>
      <c r="I109" s="49" t="s">
        <v>193</v>
      </c>
      <c r="J109" s="24">
        <v>81728</v>
      </c>
      <c r="K109" s="24" t="s">
        <v>309</v>
      </c>
      <c r="L109" s="27" t="str">
        <f t="shared" si="12"/>
        <v>-</v>
      </c>
      <c r="M109" s="27" t="s">
        <v>378</v>
      </c>
      <c r="N109" s="26" t="s">
        <v>579</v>
      </c>
      <c r="O109" s="24" t="s">
        <v>84</v>
      </c>
      <c r="P109" s="24"/>
      <c r="Q109" s="24"/>
      <c r="R109" s="53">
        <v>231</v>
      </c>
      <c r="S109" s="24">
        <v>231</v>
      </c>
      <c r="T109" s="24">
        <f t="shared" si="8"/>
        <v>231</v>
      </c>
      <c r="U109" s="24">
        <f>ROUNDDOWN(S109/HLOOKUP(D109,Table!$C$3:$D$4,2,0)*8,2)</f>
        <v>4.0999999999999996</v>
      </c>
      <c r="V109" s="24">
        <v>3</v>
      </c>
      <c r="W109" s="24" t="s">
        <v>105</v>
      </c>
      <c r="X109" s="28">
        <v>43902</v>
      </c>
      <c r="Y109" s="28">
        <v>43907</v>
      </c>
      <c r="Z109" s="28">
        <v>43906</v>
      </c>
      <c r="AA109" s="28">
        <v>43906</v>
      </c>
      <c r="AB109" s="31" t="s">
        <v>158</v>
      </c>
      <c r="AC109" s="24">
        <v>100</v>
      </c>
      <c r="AD109" s="24">
        <v>100</v>
      </c>
      <c r="AE109" s="24">
        <v>100</v>
      </c>
      <c r="AF109" s="27" t="s">
        <v>76</v>
      </c>
      <c r="AG109" s="27" t="s">
        <v>76</v>
      </c>
    </row>
    <row r="110" spans="1:33" hidden="1" x14ac:dyDescent="0.25">
      <c r="B110" s="55">
        <f t="shared" si="13"/>
        <v>108</v>
      </c>
      <c r="C110" s="24">
        <v>20200312</v>
      </c>
      <c r="D110" s="24" t="s">
        <v>3</v>
      </c>
      <c r="E110" s="24" t="s">
        <v>293</v>
      </c>
      <c r="F110" s="27" t="s">
        <v>295</v>
      </c>
      <c r="G110" s="74">
        <v>1264979</v>
      </c>
      <c r="H110" s="24" t="s">
        <v>303</v>
      </c>
      <c r="I110" s="49" t="s">
        <v>193</v>
      </c>
      <c r="J110" s="24">
        <v>81728</v>
      </c>
      <c r="K110" s="24" t="s">
        <v>309</v>
      </c>
      <c r="L110" s="27" t="str">
        <f t="shared" si="12"/>
        <v>-</v>
      </c>
      <c r="M110" s="27" t="s">
        <v>378</v>
      </c>
      <c r="N110" s="26" t="s">
        <v>580</v>
      </c>
      <c r="O110" s="24" t="s">
        <v>85</v>
      </c>
      <c r="P110" s="24"/>
      <c r="Q110" s="24"/>
      <c r="R110" s="53">
        <v>360</v>
      </c>
      <c r="S110" s="24">
        <f>R110</f>
        <v>360</v>
      </c>
      <c r="T110" s="24">
        <f t="shared" si="8"/>
        <v>360</v>
      </c>
      <c r="U110" s="24">
        <f>ROUNDDOWN(S110/HLOOKUP(D110,Table!$C$3:$D$4,2,0)*8,2)</f>
        <v>6.4</v>
      </c>
      <c r="V110" s="24">
        <v>3</v>
      </c>
      <c r="W110" s="24" t="s">
        <v>105</v>
      </c>
      <c r="X110" s="28">
        <v>43902</v>
      </c>
      <c r="Y110" s="28">
        <v>43907</v>
      </c>
      <c r="Z110" s="28">
        <v>43906</v>
      </c>
      <c r="AA110" s="28">
        <v>43906</v>
      </c>
      <c r="AB110" s="31" t="s">
        <v>158</v>
      </c>
      <c r="AC110" s="24">
        <v>100</v>
      </c>
      <c r="AD110" s="24">
        <v>100</v>
      </c>
      <c r="AE110" s="24">
        <v>100</v>
      </c>
      <c r="AF110" s="27" t="s">
        <v>76</v>
      </c>
      <c r="AG110" s="27" t="s">
        <v>76</v>
      </c>
    </row>
    <row r="111" spans="1:33" s="78" customFormat="1" hidden="1" x14ac:dyDescent="0.25">
      <c r="A111" s="77"/>
      <c r="B111" s="84">
        <f t="shared" si="13"/>
        <v>109</v>
      </c>
      <c r="C111" s="79">
        <v>20200312</v>
      </c>
      <c r="D111" s="79" t="s">
        <v>3</v>
      </c>
      <c r="E111" s="79" t="s">
        <v>293</v>
      </c>
      <c r="F111" s="80" t="s">
        <v>295</v>
      </c>
      <c r="G111" s="79">
        <v>1264979</v>
      </c>
      <c r="H111" s="24" t="s">
        <v>300</v>
      </c>
      <c r="I111" s="83" t="s">
        <v>193</v>
      </c>
      <c r="J111" s="79">
        <v>81728</v>
      </c>
      <c r="K111" s="79" t="s">
        <v>309</v>
      </c>
      <c r="L111" s="80" t="str">
        <f t="shared" si="12"/>
        <v>-</v>
      </c>
      <c r="M111" s="34" t="s">
        <v>378</v>
      </c>
      <c r="N111" s="206" t="s">
        <v>581</v>
      </c>
      <c r="O111" s="79" t="s">
        <v>83</v>
      </c>
      <c r="P111" s="79"/>
      <c r="Q111" s="79"/>
      <c r="R111" s="79">
        <v>1023</v>
      </c>
      <c r="S111" s="79">
        <v>1023</v>
      </c>
      <c r="T111" s="79">
        <f t="shared" si="8"/>
        <v>1023</v>
      </c>
      <c r="U111" s="24">
        <f>ROUNDDOWN(S111/HLOOKUP(D111,Table!$C$3:$D$4,2,0)*8,2)</f>
        <v>18.18</v>
      </c>
      <c r="V111" s="79">
        <v>8</v>
      </c>
      <c r="W111" s="24" t="s">
        <v>105</v>
      </c>
      <c r="X111" s="28">
        <v>43902</v>
      </c>
      <c r="Y111" s="28">
        <v>43907</v>
      </c>
      <c r="Z111" s="91">
        <v>43906</v>
      </c>
      <c r="AA111" s="87">
        <v>43906</v>
      </c>
      <c r="AB111" s="81" t="s">
        <v>158</v>
      </c>
      <c r="AC111" s="79">
        <v>100</v>
      </c>
      <c r="AD111" s="79">
        <v>100</v>
      </c>
      <c r="AE111" s="79">
        <v>100</v>
      </c>
      <c r="AF111" s="27" t="s">
        <v>76</v>
      </c>
      <c r="AG111" s="27" t="s">
        <v>76</v>
      </c>
    </row>
    <row r="112" spans="1:33" s="78" customFormat="1" hidden="1" x14ac:dyDescent="0.25">
      <c r="A112" s="77"/>
      <c r="B112" s="84">
        <f t="shared" si="13"/>
        <v>110</v>
      </c>
      <c r="C112" s="79">
        <v>20200312</v>
      </c>
      <c r="D112" s="79" t="s">
        <v>3</v>
      </c>
      <c r="E112" s="79" t="s">
        <v>293</v>
      </c>
      <c r="F112" s="80" t="s">
        <v>295</v>
      </c>
      <c r="G112" s="79">
        <v>1264979</v>
      </c>
      <c r="H112" s="24" t="s">
        <v>304</v>
      </c>
      <c r="I112" s="83" t="s">
        <v>193</v>
      </c>
      <c r="J112" s="79">
        <v>81728</v>
      </c>
      <c r="K112" s="79" t="s">
        <v>309</v>
      </c>
      <c r="L112" s="80" t="str">
        <f t="shared" si="12"/>
        <v>-</v>
      </c>
      <c r="M112" s="34" t="s">
        <v>378</v>
      </c>
      <c r="N112" s="206" t="s">
        <v>582</v>
      </c>
      <c r="O112" s="79" t="s">
        <v>83</v>
      </c>
      <c r="P112" s="79"/>
      <c r="Q112" s="79"/>
      <c r="R112" s="79">
        <v>303</v>
      </c>
      <c r="S112" s="79">
        <v>303</v>
      </c>
      <c r="T112" s="79">
        <f t="shared" si="8"/>
        <v>303</v>
      </c>
      <c r="U112" s="24">
        <f>ROUNDDOWN(S112/HLOOKUP(D112,Table!$C$3:$D$4,2,0)*8,2)</f>
        <v>5.38</v>
      </c>
      <c r="V112" s="79">
        <v>2</v>
      </c>
      <c r="W112" s="24" t="s">
        <v>105</v>
      </c>
      <c r="X112" s="28">
        <v>43902</v>
      </c>
      <c r="Y112" s="28">
        <v>43907</v>
      </c>
      <c r="Z112" s="91">
        <v>43906</v>
      </c>
      <c r="AA112" s="87">
        <v>43906</v>
      </c>
      <c r="AB112" s="81" t="s">
        <v>158</v>
      </c>
      <c r="AC112" s="79">
        <v>100</v>
      </c>
      <c r="AD112" s="79">
        <v>100</v>
      </c>
      <c r="AE112" s="79">
        <v>100</v>
      </c>
      <c r="AF112" s="27" t="s">
        <v>76</v>
      </c>
      <c r="AG112" s="27" t="s">
        <v>76</v>
      </c>
    </row>
    <row r="113" spans="1:33" s="78" customFormat="1" hidden="1" x14ac:dyDescent="0.25">
      <c r="A113" s="77"/>
      <c r="B113" s="84">
        <f t="shared" si="13"/>
        <v>111</v>
      </c>
      <c r="C113" s="79">
        <v>20200312</v>
      </c>
      <c r="D113" s="79" t="s">
        <v>3</v>
      </c>
      <c r="E113" s="79" t="s">
        <v>293</v>
      </c>
      <c r="F113" s="80" t="s">
        <v>295</v>
      </c>
      <c r="G113" s="79">
        <v>1264979</v>
      </c>
      <c r="H113" s="24" t="s">
        <v>305</v>
      </c>
      <c r="I113" s="83" t="s">
        <v>193</v>
      </c>
      <c r="J113" s="79">
        <v>81728</v>
      </c>
      <c r="K113" s="79" t="s">
        <v>309</v>
      </c>
      <c r="L113" s="80" t="str">
        <f t="shared" si="12"/>
        <v>-</v>
      </c>
      <c r="M113" s="34" t="s">
        <v>378</v>
      </c>
      <c r="N113" s="206" t="s">
        <v>583</v>
      </c>
      <c r="O113" s="79" t="s">
        <v>83</v>
      </c>
      <c r="P113" s="79"/>
      <c r="Q113" s="79"/>
      <c r="R113" s="79">
        <v>87</v>
      </c>
      <c r="S113" s="79">
        <v>87</v>
      </c>
      <c r="T113" s="79">
        <f t="shared" si="8"/>
        <v>87</v>
      </c>
      <c r="U113" s="24">
        <f>ROUNDDOWN(S113/HLOOKUP(D113,Table!$C$3:$D$4,2,0)*8,2)</f>
        <v>1.54</v>
      </c>
      <c r="V113" s="79">
        <v>2</v>
      </c>
      <c r="W113" s="24" t="s">
        <v>105</v>
      </c>
      <c r="X113" s="28">
        <v>43902</v>
      </c>
      <c r="Y113" s="28">
        <v>43907</v>
      </c>
      <c r="Z113" s="91">
        <v>43906</v>
      </c>
      <c r="AA113" s="87">
        <v>43906</v>
      </c>
      <c r="AB113" s="81" t="s">
        <v>158</v>
      </c>
      <c r="AC113" s="79">
        <v>100</v>
      </c>
      <c r="AD113" s="79">
        <v>100</v>
      </c>
      <c r="AE113" s="79">
        <v>100</v>
      </c>
      <c r="AF113" s="27" t="s">
        <v>76</v>
      </c>
      <c r="AG113" s="27" t="s">
        <v>76</v>
      </c>
    </row>
    <row r="114" spans="1:33" x14ac:dyDescent="0.25">
      <c r="B114" s="55">
        <f t="shared" si="13"/>
        <v>112</v>
      </c>
      <c r="C114" s="24">
        <v>20200312</v>
      </c>
      <c r="D114" s="24" t="s">
        <v>3</v>
      </c>
      <c r="E114" s="24" t="s">
        <v>293</v>
      </c>
      <c r="F114" s="27" t="s">
        <v>295</v>
      </c>
      <c r="G114" s="74">
        <v>1264979</v>
      </c>
      <c r="H114" s="24" t="s">
        <v>95</v>
      </c>
      <c r="I114" s="49" t="s">
        <v>193</v>
      </c>
      <c r="J114" s="24">
        <v>81728</v>
      </c>
      <c r="K114" s="24" t="s">
        <v>309</v>
      </c>
      <c r="L114" s="27" t="str">
        <f t="shared" si="12"/>
        <v>-</v>
      </c>
      <c r="M114" s="27" t="s">
        <v>378</v>
      </c>
      <c r="N114" s="26" t="s">
        <v>584</v>
      </c>
      <c r="O114" s="24" t="s">
        <v>82</v>
      </c>
      <c r="P114" s="24"/>
      <c r="Q114" s="24"/>
      <c r="R114" s="53">
        <v>828</v>
      </c>
      <c r="S114" s="24">
        <v>828</v>
      </c>
      <c r="T114" s="24">
        <f t="shared" si="8"/>
        <v>828</v>
      </c>
      <c r="U114" s="24">
        <f>ROUNDDOWN(S114/HLOOKUP(D114,Table!$C$3:$D$4,2,0)*8,2)</f>
        <v>14.72</v>
      </c>
      <c r="V114" s="24">
        <v>8</v>
      </c>
      <c r="W114" s="24" t="s">
        <v>105</v>
      </c>
      <c r="X114" s="28">
        <v>43902</v>
      </c>
      <c r="Y114" s="28">
        <v>43907</v>
      </c>
      <c r="Z114" s="28">
        <v>43906</v>
      </c>
      <c r="AA114" s="28">
        <v>43906</v>
      </c>
      <c r="AB114" s="31" t="s">
        <v>157</v>
      </c>
      <c r="AC114" s="24">
        <v>100</v>
      </c>
      <c r="AD114" s="24">
        <v>100</v>
      </c>
      <c r="AE114" s="24">
        <v>95</v>
      </c>
      <c r="AF114" s="24" t="s">
        <v>340</v>
      </c>
      <c r="AG114" s="27" t="s">
        <v>76</v>
      </c>
    </row>
    <row r="115" spans="1:33" s="78" customFormat="1" hidden="1" x14ac:dyDescent="0.25">
      <c r="A115" s="77"/>
      <c r="B115" s="84">
        <f t="shared" si="13"/>
        <v>113</v>
      </c>
      <c r="C115" s="79">
        <v>20200312</v>
      </c>
      <c r="D115" s="79" t="s">
        <v>3</v>
      </c>
      <c r="E115" s="79" t="s">
        <v>293</v>
      </c>
      <c r="F115" s="80" t="s">
        <v>295</v>
      </c>
      <c r="G115" s="79">
        <v>1264979</v>
      </c>
      <c r="H115" s="24" t="s">
        <v>306</v>
      </c>
      <c r="I115" s="83" t="s">
        <v>193</v>
      </c>
      <c r="J115" s="79">
        <v>81728</v>
      </c>
      <c r="K115" s="79" t="s">
        <v>309</v>
      </c>
      <c r="L115" s="80" t="str">
        <f t="shared" si="12"/>
        <v>-</v>
      </c>
      <c r="M115" s="34" t="s">
        <v>378</v>
      </c>
      <c r="N115" s="206" t="s">
        <v>585</v>
      </c>
      <c r="O115" s="79" t="s">
        <v>83</v>
      </c>
      <c r="P115" s="79"/>
      <c r="Q115" s="79"/>
      <c r="R115" s="79">
        <v>107</v>
      </c>
      <c r="S115" s="79">
        <v>107</v>
      </c>
      <c r="T115" s="79">
        <f t="shared" si="8"/>
        <v>107</v>
      </c>
      <c r="U115" s="24">
        <f>ROUNDDOWN(S115/HLOOKUP(D115,Table!$C$3:$D$4,2,0)*8,2)</f>
        <v>1.9</v>
      </c>
      <c r="V115" s="79">
        <v>2</v>
      </c>
      <c r="W115" s="24" t="s">
        <v>105</v>
      </c>
      <c r="X115" s="28">
        <v>43902</v>
      </c>
      <c r="Y115" s="28">
        <v>43907</v>
      </c>
      <c r="Z115" s="91">
        <v>43906</v>
      </c>
      <c r="AA115" s="87">
        <v>43906</v>
      </c>
      <c r="AB115" s="81" t="s">
        <v>158</v>
      </c>
      <c r="AC115" s="79">
        <v>100</v>
      </c>
      <c r="AD115" s="79">
        <v>100</v>
      </c>
      <c r="AE115" s="79">
        <v>100</v>
      </c>
      <c r="AF115" s="27" t="s">
        <v>76</v>
      </c>
      <c r="AG115" s="27" t="s">
        <v>76</v>
      </c>
    </row>
    <row r="116" spans="1:33" hidden="1" x14ac:dyDescent="0.25">
      <c r="B116" s="55">
        <f t="shared" si="13"/>
        <v>114</v>
      </c>
      <c r="C116" s="24">
        <v>20200312</v>
      </c>
      <c r="D116" s="24" t="s">
        <v>3</v>
      </c>
      <c r="E116" s="24" t="s">
        <v>293</v>
      </c>
      <c r="F116" s="27" t="s">
        <v>296</v>
      </c>
      <c r="G116" s="74">
        <v>1264979</v>
      </c>
      <c r="H116" s="24" t="s">
        <v>307</v>
      </c>
      <c r="I116" s="49" t="s">
        <v>193</v>
      </c>
      <c r="J116" s="24">
        <v>81728</v>
      </c>
      <c r="K116" s="24" t="s">
        <v>309</v>
      </c>
      <c r="L116" s="27" t="str">
        <f t="shared" si="12"/>
        <v>-</v>
      </c>
      <c r="M116" s="27" t="s">
        <v>378</v>
      </c>
      <c r="N116" s="26" t="s">
        <v>586</v>
      </c>
      <c r="O116" s="24" t="s">
        <v>85</v>
      </c>
      <c r="P116" s="24"/>
      <c r="Q116" s="24"/>
      <c r="R116" s="53">
        <v>1193</v>
      </c>
      <c r="S116" s="24">
        <f>R116</f>
        <v>1193</v>
      </c>
      <c r="T116" s="24">
        <f t="shared" si="8"/>
        <v>1193</v>
      </c>
      <c r="U116" s="24">
        <f>ROUNDDOWN(S116/HLOOKUP(D116,Table!$C$3:$D$4,2,0)*8,2)</f>
        <v>21.2</v>
      </c>
      <c r="V116" s="24">
        <v>1</v>
      </c>
      <c r="W116" s="24" t="s">
        <v>105</v>
      </c>
      <c r="X116" s="28">
        <v>43902</v>
      </c>
      <c r="Y116" s="28">
        <v>43907</v>
      </c>
      <c r="Z116" s="28">
        <v>43902</v>
      </c>
      <c r="AA116" s="28">
        <v>43906</v>
      </c>
      <c r="AB116" s="31" t="s">
        <v>158</v>
      </c>
      <c r="AC116" s="24">
        <v>100</v>
      </c>
      <c r="AD116" s="24">
        <v>100</v>
      </c>
      <c r="AE116" s="24">
        <v>100</v>
      </c>
      <c r="AF116" s="27" t="s">
        <v>76</v>
      </c>
      <c r="AG116" s="27" t="s">
        <v>76</v>
      </c>
    </row>
    <row r="117" spans="1:33" s="78" customFormat="1" hidden="1" x14ac:dyDescent="0.25">
      <c r="A117" s="77"/>
      <c r="B117" s="84">
        <f t="shared" si="13"/>
        <v>115</v>
      </c>
      <c r="C117" s="79">
        <v>20200312</v>
      </c>
      <c r="D117" s="79" t="s">
        <v>3</v>
      </c>
      <c r="E117" s="79" t="s">
        <v>293</v>
      </c>
      <c r="F117" s="80" t="s">
        <v>297</v>
      </c>
      <c r="G117" s="79">
        <v>1264979</v>
      </c>
      <c r="H117" s="24" t="s">
        <v>308</v>
      </c>
      <c r="I117" s="83" t="s">
        <v>193</v>
      </c>
      <c r="J117" s="79">
        <v>81728</v>
      </c>
      <c r="K117" s="79" t="s">
        <v>309</v>
      </c>
      <c r="L117" s="80" t="str">
        <f t="shared" si="12"/>
        <v>-</v>
      </c>
      <c r="M117" s="34" t="s">
        <v>378</v>
      </c>
      <c r="N117" s="206" t="s">
        <v>587</v>
      </c>
      <c r="O117" s="79" t="s">
        <v>83</v>
      </c>
      <c r="P117" s="79"/>
      <c r="Q117" s="79"/>
      <c r="R117" s="79">
        <v>23</v>
      </c>
      <c r="S117" s="79">
        <v>23</v>
      </c>
      <c r="T117" s="79">
        <f t="shared" si="8"/>
        <v>23</v>
      </c>
      <c r="U117" s="24">
        <f>ROUNDDOWN(S117/HLOOKUP(D117,Table!$C$3:$D$4,2,0)*8,2)</f>
        <v>0.4</v>
      </c>
      <c r="V117" s="79">
        <v>1</v>
      </c>
      <c r="W117" s="24" t="s">
        <v>105</v>
      </c>
      <c r="X117" s="28">
        <v>43902</v>
      </c>
      <c r="Y117" s="28">
        <v>43907</v>
      </c>
      <c r="Z117" s="91">
        <v>43906</v>
      </c>
      <c r="AA117" s="87">
        <v>43906</v>
      </c>
      <c r="AB117" s="81" t="s">
        <v>157</v>
      </c>
      <c r="AC117" s="79">
        <v>87</v>
      </c>
      <c r="AD117" s="79">
        <v>50</v>
      </c>
      <c r="AE117" s="79">
        <v>0</v>
      </c>
      <c r="AF117" s="26" t="s">
        <v>407</v>
      </c>
      <c r="AG117" s="27" t="s">
        <v>76</v>
      </c>
    </row>
    <row r="118" spans="1:33" x14ac:dyDescent="0.25">
      <c r="B118" s="70">
        <f t="shared" si="9"/>
        <v>116</v>
      </c>
      <c r="C118" s="24">
        <v>20200313</v>
      </c>
      <c r="D118" s="24" t="s">
        <v>3</v>
      </c>
      <c r="E118" s="24" t="s">
        <v>327</v>
      </c>
      <c r="F118" s="27" t="s">
        <v>324</v>
      </c>
      <c r="G118" s="56">
        <v>1371489</v>
      </c>
      <c r="H118" s="24" t="s">
        <v>332</v>
      </c>
      <c r="I118" s="49" t="s">
        <v>193</v>
      </c>
      <c r="J118" s="24">
        <v>81923</v>
      </c>
      <c r="K118" s="24" t="s">
        <v>329</v>
      </c>
      <c r="L118" s="27" t="str">
        <f t="shared" si="12"/>
        <v>-</v>
      </c>
      <c r="M118" s="27" t="s">
        <v>379</v>
      </c>
      <c r="N118" s="26" t="s">
        <v>588</v>
      </c>
      <c r="O118" s="24" t="s">
        <v>82</v>
      </c>
      <c r="P118" s="24"/>
      <c r="Q118" s="24"/>
      <c r="R118" s="53">
        <v>194</v>
      </c>
      <c r="S118" s="24">
        <v>194</v>
      </c>
      <c r="T118" s="26">
        <f t="shared" si="8"/>
        <v>194</v>
      </c>
      <c r="U118" s="79">
        <f>ROUNDDOWN(S118/HLOOKUP(D118,Table!$C$3:$D$4,2,0)*8,2)</f>
        <v>3.44</v>
      </c>
      <c r="V118" s="24">
        <v>3</v>
      </c>
      <c r="W118" s="24" t="s">
        <v>105</v>
      </c>
      <c r="X118" s="28">
        <v>43903</v>
      </c>
      <c r="Y118" s="28">
        <v>43908</v>
      </c>
      <c r="Z118" s="28">
        <v>43908</v>
      </c>
      <c r="AA118" s="28">
        <v>43908</v>
      </c>
      <c r="AB118" s="31" t="s">
        <v>158</v>
      </c>
      <c r="AC118" s="24">
        <v>100</v>
      </c>
      <c r="AD118" s="24">
        <v>100</v>
      </c>
      <c r="AE118" s="24">
        <v>100</v>
      </c>
      <c r="AF118" s="27" t="s">
        <v>76</v>
      </c>
      <c r="AG118" s="27" t="s">
        <v>76</v>
      </c>
    </row>
    <row r="119" spans="1:33" x14ac:dyDescent="0.25">
      <c r="B119" s="70">
        <f t="shared" si="9"/>
        <v>117</v>
      </c>
      <c r="C119" s="24">
        <v>20200313</v>
      </c>
      <c r="D119" s="24" t="s">
        <v>3</v>
      </c>
      <c r="E119" s="24" t="s">
        <v>327</v>
      </c>
      <c r="F119" s="27" t="s">
        <v>324</v>
      </c>
      <c r="G119" s="56">
        <v>1371489</v>
      </c>
      <c r="H119" s="24" t="s">
        <v>333</v>
      </c>
      <c r="I119" s="49" t="s">
        <v>193</v>
      </c>
      <c r="J119" s="24">
        <v>81923</v>
      </c>
      <c r="K119" s="24" t="s">
        <v>329</v>
      </c>
      <c r="L119" s="27" t="str">
        <f t="shared" si="12"/>
        <v>-</v>
      </c>
      <c r="M119" s="27" t="s">
        <v>379</v>
      </c>
      <c r="N119" s="26" t="s">
        <v>589</v>
      </c>
      <c r="O119" s="24" t="s">
        <v>82</v>
      </c>
      <c r="P119" s="24"/>
      <c r="Q119" s="24"/>
      <c r="R119" s="53">
        <v>2</v>
      </c>
      <c r="S119" s="24">
        <v>2</v>
      </c>
      <c r="T119" s="24">
        <f t="shared" si="8"/>
        <v>2</v>
      </c>
      <c r="U119" s="79">
        <f>ROUNDDOWN(S119/HLOOKUP(D119,Table!$C$3:$D$4,2,0)*8,2)</f>
        <v>0.03</v>
      </c>
      <c r="V119" s="24">
        <v>0.03</v>
      </c>
      <c r="W119" s="24" t="s">
        <v>105</v>
      </c>
      <c r="X119" s="28">
        <v>43903</v>
      </c>
      <c r="Y119" s="28">
        <v>43908</v>
      </c>
      <c r="Z119" s="28">
        <v>43908</v>
      </c>
      <c r="AA119" s="28">
        <v>43908</v>
      </c>
      <c r="AB119" s="31" t="s">
        <v>158</v>
      </c>
      <c r="AC119" s="24">
        <v>100</v>
      </c>
      <c r="AD119" s="24">
        <v>100</v>
      </c>
      <c r="AE119" s="24">
        <v>100</v>
      </c>
      <c r="AF119" s="27" t="s">
        <v>76</v>
      </c>
      <c r="AG119" s="27" t="s">
        <v>76</v>
      </c>
    </row>
    <row r="120" spans="1:33" ht="30" hidden="1" x14ac:dyDescent="0.25">
      <c r="B120" s="70">
        <f t="shared" si="9"/>
        <v>118</v>
      </c>
      <c r="C120" s="24">
        <v>20200313</v>
      </c>
      <c r="D120" s="24" t="s">
        <v>3</v>
      </c>
      <c r="E120" s="21" t="s">
        <v>328</v>
      </c>
      <c r="F120" s="27" t="s">
        <v>325</v>
      </c>
      <c r="G120" s="56">
        <v>1355916</v>
      </c>
      <c r="H120" s="24" t="s">
        <v>334</v>
      </c>
      <c r="I120" s="25" t="s">
        <v>194</v>
      </c>
      <c r="J120" s="27" t="s">
        <v>76</v>
      </c>
      <c r="K120" s="24" t="s">
        <v>330</v>
      </c>
      <c r="L120" s="27" t="str">
        <f t="shared" si="12"/>
        <v>-</v>
      </c>
      <c r="M120" s="27" t="s">
        <v>371</v>
      </c>
      <c r="N120" s="26" t="s">
        <v>590</v>
      </c>
      <c r="O120" s="24" t="s">
        <v>85</v>
      </c>
      <c r="P120" s="24"/>
      <c r="Q120" s="24"/>
      <c r="R120" s="53">
        <v>28</v>
      </c>
      <c r="S120" s="53">
        <v>28</v>
      </c>
      <c r="T120" s="53">
        <f t="shared" si="8"/>
        <v>28</v>
      </c>
      <c r="U120" s="24">
        <f>ROUNDDOWN(S120/HLOOKUP(D120,Table!$C$3:$D$4,2,0)*8,2)</f>
        <v>0.49</v>
      </c>
      <c r="V120" s="24">
        <v>1</v>
      </c>
      <c r="W120" s="24" t="s">
        <v>105</v>
      </c>
      <c r="X120" s="28">
        <v>43903</v>
      </c>
      <c r="Y120" s="28">
        <v>43908</v>
      </c>
      <c r="Z120" s="28">
        <v>43909</v>
      </c>
      <c r="AA120" s="28">
        <v>43909</v>
      </c>
      <c r="AB120" s="31" t="s">
        <v>158</v>
      </c>
      <c r="AC120" s="24">
        <v>100</v>
      </c>
      <c r="AD120" s="24">
        <v>100</v>
      </c>
      <c r="AE120" s="24">
        <v>100</v>
      </c>
      <c r="AF120" s="124" t="s">
        <v>632</v>
      </c>
      <c r="AG120" s="27" t="s">
        <v>76</v>
      </c>
    </row>
    <row r="121" spans="1:33" hidden="1" x14ac:dyDescent="0.25">
      <c r="B121" s="70">
        <f t="shared" si="9"/>
        <v>119</v>
      </c>
      <c r="C121" s="24">
        <v>20200313</v>
      </c>
      <c r="D121" s="24" t="s">
        <v>3</v>
      </c>
      <c r="E121" s="24" t="s">
        <v>328</v>
      </c>
      <c r="F121" s="27" t="s">
        <v>326</v>
      </c>
      <c r="G121" s="56">
        <v>1355916</v>
      </c>
      <c r="H121" s="24" t="s">
        <v>335</v>
      </c>
      <c r="I121" s="25" t="s">
        <v>194</v>
      </c>
      <c r="J121" s="27" t="s">
        <v>76</v>
      </c>
      <c r="K121" s="24" t="s">
        <v>330</v>
      </c>
      <c r="L121" s="27" t="str">
        <f t="shared" si="12"/>
        <v>-</v>
      </c>
      <c r="M121" s="27" t="s">
        <v>371</v>
      </c>
      <c r="N121" s="26" t="s">
        <v>591</v>
      </c>
      <c r="O121" s="24" t="s">
        <v>85</v>
      </c>
      <c r="P121" s="24"/>
      <c r="Q121" s="24"/>
      <c r="R121" s="53">
        <v>226</v>
      </c>
      <c r="S121" s="57">
        <v>226</v>
      </c>
      <c r="T121" s="57">
        <f t="shared" si="8"/>
        <v>226</v>
      </c>
      <c r="U121" s="24">
        <f>ROUNDDOWN(S121/HLOOKUP(D121,Table!$C$3:$D$4,2,0)*8,2)</f>
        <v>4.01</v>
      </c>
      <c r="V121" s="24">
        <v>1</v>
      </c>
      <c r="W121" s="24" t="s">
        <v>105</v>
      </c>
      <c r="X121" s="28">
        <v>43903</v>
      </c>
      <c r="Y121" s="28">
        <v>43908</v>
      </c>
      <c r="Z121" s="28">
        <v>43908</v>
      </c>
      <c r="AA121" s="28">
        <v>43908</v>
      </c>
      <c r="AB121" s="31" t="s">
        <v>157</v>
      </c>
      <c r="AC121" s="24">
        <v>100</v>
      </c>
      <c r="AD121" s="24">
        <v>100</v>
      </c>
      <c r="AE121" s="24">
        <v>97</v>
      </c>
      <c r="AF121" s="24" t="s">
        <v>430</v>
      </c>
      <c r="AG121" s="27" t="s">
        <v>76</v>
      </c>
    </row>
    <row r="122" spans="1:33" hidden="1" x14ac:dyDescent="0.25">
      <c r="B122" s="70">
        <f t="shared" si="9"/>
        <v>120</v>
      </c>
      <c r="C122" s="24">
        <v>20200313</v>
      </c>
      <c r="D122" s="24" t="s">
        <v>3</v>
      </c>
      <c r="E122" s="24" t="s">
        <v>328</v>
      </c>
      <c r="F122" s="27" t="s">
        <v>326</v>
      </c>
      <c r="G122" s="56">
        <v>1355916</v>
      </c>
      <c r="H122" s="24" t="s">
        <v>336</v>
      </c>
      <c r="I122" s="25" t="s">
        <v>194</v>
      </c>
      <c r="J122" s="27" t="s">
        <v>76</v>
      </c>
      <c r="K122" s="24" t="s">
        <v>330</v>
      </c>
      <c r="L122" s="27" t="str">
        <f t="shared" si="12"/>
        <v>-</v>
      </c>
      <c r="M122" s="27" t="s">
        <v>371</v>
      </c>
      <c r="N122" s="26" t="s">
        <v>592</v>
      </c>
      <c r="O122" s="24" t="s">
        <v>83</v>
      </c>
      <c r="P122" s="24"/>
      <c r="Q122" s="24"/>
      <c r="R122" s="53">
        <v>77</v>
      </c>
      <c r="S122" s="24">
        <v>77</v>
      </c>
      <c r="T122" s="26">
        <f t="shared" si="8"/>
        <v>77</v>
      </c>
      <c r="U122" s="24">
        <f>ROUNDDOWN(S122/HLOOKUP(D122,Table!$C$3:$D$4,2,0)*8,2)</f>
        <v>1.36</v>
      </c>
      <c r="V122" s="24">
        <v>2</v>
      </c>
      <c r="W122" s="24" t="s">
        <v>105</v>
      </c>
      <c r="X122" s="28">
        <v>43903</v>
      </c>
      <c r="Y122" s="28">
        <v>43908</v>
      </c>
      <c r="Z122" s="28">
        <v>43908</v>
      </c>
      <c r="AA122" s="28">
        <v>43908</v>
      </c>
      <c r="AB122" s="31" t="s">
        <v>158</v>
      </c>
      <c r="AC122" s="88">
        <v>100</v>
      </c>
      <c r="AD122" s="88">
        <v>100</v>
      </c>
      <c r="AE122" s="88">
        <v>100</v>
      </c>
      <c r="AF122" s="27" t="s">
        <v>76</v>
      </c>
      <c r="AG122" s="27" t="s">
        <v>76</v>
      </c>
    </row>
    <row r="123" spans="1:33" x14ac:dyDescent="0.25">
      <c r="B123" s="137">
        <f t="shared" si="9"/>
        <v>121</v>
      </c>
      <c r="C123" s="24">
        <v>20200313</v>
      </c>
      <c r="D123" s="25" t="s">
        <v>2</v>
      </c>
      <c r="E123" s="27" t="s">
        <v>76</v>
      </c>
      <c r="F123" s="27" t="s">
        <v>76</v>
      </c>
      <c r="G123" s="56">
        <v>1373523</v>
      </c>
      <c r="H123" s="24" t="s">
        <v>1266</v>
      </c>
      <c r="I123" s="27" t="s">
        <v>76</v>
      </c>
      <c r="J123" s="27" t="s">
        <v>76</v>
      </c>
      <c r="K123" s="24" t="s">
        <v>1271</v>
      </c>
      <c r="L123" s="27" t="s">
        <v>1273</v>
      </c>
      <c r="M123" s="27" t="s">
        <v>1277</v>
      </c>
      <c r="N123" s="26" t="s">
        <v>593</v>
      </c>
      <c r="O123" s="24" t="s">
        <v>82</v>
      </c>
      <c r="P123" s="24"/>
      <c r="Q123" s="24"/>
      <c r="R123" s="53">
        <v>17</v>
      </c>
      <c r="S123" s="24">
        <f>R123</f>
        <v>17</v>
      </c>
      <c r="T123" s="26">
        <f>S123</f>
        <v>17</v>
      </c>
      <c r="U123" s="24">
        <f>ROUNDDOWN(S123/HLOOKUP(D123,Table!$C$3:$D$4,2,0)*8,2)</f>
        <v>1.04</v>
      </c>
      <c r="V123" s="24">
        <v>1</v>
      </c>
      <c r="W123" s="24" t="s">
        <v>21</v>
      </c>
      <c r="X123" s="28">
        <v>43935</v>
      </c>
      <c r="Y123" s="28">
        <v>43935</v>
      </c>
      <c r="Z123" s="28">
        <v>43935</v>
      </c>
      <c r="AA123" s="28">
        <v>43935</v>
      </c>
      <c r="AB123" s="31" t="s">
        <v>158</v>
      </c>
      <c r="AC123" s="88">
        <v>100</v>
      </c>
      <c r="AD123" s="88">
        <v>100</v>
      </c>
      <c r="AE123" s="88">
        <v>100</v>
      </c>
      <c r="AF123" s="27" t="s">
        <v>76</v>
      </c>
      <c r="AG123" s="27" t="s">
        <v>76</v>
      </c>
    </row>
    <row r="124" spans="1:33" x14ac:dyDescent="0.25">
      <c r="B124" s="137">
        <f t="shared" si="9"/>
        <v>122</v>
      </c>
      <c r="C124" s="24">
        <v>20200313</v>
      </c>
      <c r="D124" s="25" t="s">
        <v>2</v>
      </c>
      <c r="E124" s="27" t="s">
        <v>76</v>
      </c>
      <c r="F124" s="27" t="s">
        <v>76</v>
      </c>
      <c r="G124" s="56">
        <v>1373523</v>
      </c>
      <c r="H124" s="24" t="s">
        <v>1267</v>
      </c>
      <c r="I124" s="27" t="s">
        <v>76</v>
      </c>
      <c r="J124" s="27" t="s">
        <v>76</v>
      </c>
      <c r="K124" s="24" t="s">
        <v>1271</v>
      </c>
      <c r="L124" s="27" t="s">
        <v>1274</v>
      </c>
      <c r="M124" s="27" t="s">
        <v>1277</v>
      </c>
      <c r="N124" s="26" t="s">
        <v>594</v>
      </c>
      <c r="O124" s="24" t="s">
        <v>82</v>
      </c>
      <c r="P124" s="24"/>
      <c r="Q124" s="24"/>
      <c r="R124" s="53">
        <v>30</v>
      </c>
      <c r="S124" s="24">
        <f t="shared" ref="S124:S128" si="14">R124</f>
        <v>30</v>
      </c>
      <c r="T124" s="26">
        <f>S124</f>
        <v>30</v>
      </c>
      <c r="U124" s="24">
        <f>ROUNDDOWN(S124/HLOOKUP(D124,Table!$C$3:$D$4,2,0)*8,2)</f>
        <v>1.84</v>
      </c>
      <c r="V124" s="24">
        <v>2</v>
      </c>
      <c r="W124" s="24" t="s">
        <v>21</v>
      </c>
      <c r="X124" s="28">
        <v>43935</v>
      </c>
      <c r="Y124" s="28">
        <v>43935</v>
      </c>
      <c r="Z124" s="28">
        <v>43935</v>
      </c>
      <c r="AA124" s="28">
        <v>43935</v>
      </c>
      <c r="AB124" s="31" t="s">
        <v>158</v>
      </c>
      <c r="AC124" s="88">
        <v>100</v>
      </c>
      <c r="AD124" s="88">
        <v>100</v>
      </c>
      <c r="AE124" s="88">
        <v>100</v>
      </c>
      <c r="AF124" s="27" t="s">
        <v>76</v>
      </c>
      <c r="AG124" s="27" t="s">
        <v>76</v>
      </c>
    </row>
    <row r="125" spans="1:33" x14ac:dyDescent="0.25">
      <c r="B125" s="137">
        <f t="shared" si="9"/>
        <v>123</v>
      </c>
      <c r="C125" s="24">
        <v>20200313</v>
      </c>
      <c r="D125" s="25" t="s">
        <v>2</v>
      </c>
      <c r="E125" s="27" t="s">
        <v>76</v>
      </c>
      <c r="F125" s="27" t="s">
        <v>76</v>
      </c>
      <c r="G125" s="56">
        <v>1373523</v>
      </c>
      <c r="H125" s="24" t="s">
        <v>440</v>
      </c>
      <c r="I125" s="27" t="s">
        <v>76</v>
      </c>
      <c r="J125" s="27" t="s">
        <v>76</v>
      </c>
      <c r="K125" s="24" t="s">
        <v>1271</v>
      </c>
      <c r="L125" s="27" t="s">
        <v>1275</v>
      </c>
      <c r="M125" s="27" t="s">
        <v>1277</v>
      </c>
      <c r="N125" s="26" t="s">
        <v>595</v>
      </c>
      <c r="O125" s="24" t="s">
        <v>82</v>
      </c>
      <c r="P125" s="24"/>
      <c r="Q125" s="24"/>
      <c r="R125" s="53">
        <v>30</v>
      </c>
      <c r="S125" s="24">
        <f t="shared" si="14"/>
        <v>30</v>
      </c>
      <c r="T125" s="26">
        <f>S125</f>
        <v>30</v>
      </c>
      <c r="U125" s="24">
        <f>ROUNDDOWN(S125/HLOOKUP(D125,Table!$C$3:$D$4,2,0)*8,2)</f>
        <v>1.84</v>
      </c>
      <c r="V125" s="24">
        <v>2</v>
      </c>
      <c r="W125" s="24" t="s">
        <v>21</v>
      </c>
      <c r="X125" s="28">
        <v>43935</v>
      </c>
      <c r="Y125" s="28">
        <v>43935</v>
      </c>
      <c r="Z125" s="28">
        <v>43935</v>
      </c>
      <c r="AA125" s="28">
        <v>43935</v>
      </c>
      <c r="AB125" s="31" t="s">
        <v>158</v>
      </c>
      <c r="AC125" s="88">
        <v>100</v>
      </c>
      <c r="AD125" s="88">
        <v>100</v>
      </c>
      <c r="AE125" s="88">
        <v>100</v>
      </c>
      <c r="AF125" s="27" t="s">
        <v>76</v>
      </c>
      <c r="AG125" s="27" t="s">
        <v>76</v>
      </c>
    </row>
    <row r="126" spans="1:33" hidden="1" x14ac:dyDescent="0.25">
      <c r="B126" s="137">
        <f t="shared" si="9"/>
        <v>124</v>
      </c>
      <c r="C126" s="24">
        <v>20200313</v>
      </c>
      <c r="D126" s="25" t="s">
        <v>2</v>
      </c>
      <c r="E126" s="27" t="s">
        <v>76</v>
      </c>
      <c r="F126" s="27" t="s">
        <v>76</v>
      </c>
      <c r="G126" s="56">
        <v>1373481</v>
      </c>
      <c r="H126" s="155" t="s">
        <v>1268</v>
      </c>
      <c r="I126" s="215" t="s">
        <v>76</v>
      </c>
      <c r="J126" s="215" t="s">
        <v>76</v>
      </c>
      <c r="K126" s="155" t="s">
        <v>1272</v>
      </c>
      <c r="L126" s="215" t="s">
        <v>1273</v>
      </c>
      <c r="M126" s="215" t="s">
        <v>1277</v>
      </c>
      <c r="N126" s="155" t="s">
        <v>596</v>
      </c>
      <c r="O126" s="118" t="s">
        <v>83</v>
      </c>
      <c r="P126" s="118"/>
      <c r="Q126" s="24"/>
      <c r="R126" s="53">
        <v>12</v>
      </c>
      <c r="S126" s="24">
        <f t="shared" si="14"/>
        <v>12</v>
      </c>
      <c r="T126" s="26">
        <f>S126</f>
        <v>12</v>
      </c>
      <c r="U126" s="24">
        <f>ROUNDDOWN(S126/HLOOKUP(D126,Table!$C$3:$D$4,2,0)*8,2)</f>
        <v>0.73</v>
      </c>
      <c r="V126" s="24">
        <v>2</v>
      </c>
      <c r="W126" s="24" t="s">
        <v>18</v>
      </c>
      <c r="X126" s="28">
        <v>43935</v>
      </c>
      <c r="Y126" s="28">
        <v>43935</v>
      </c>
      <c r="Z126" s="28">
        <v>43935</v>
      </c>
      <c r="AA126" s="28">
        <v>43935</v>
      </c>
      <c r="AB126" s="31" t="s">
        <v>158</v>
      </c>
      <c r="AC126" s="88">
        <v>100</v>
      </c>
      <c r="AD126" s="88">
        <v>100</v>
      </c>
      <c r="AE126" s="88">
        <v>100</v>
      </c>
      <c r="AF126" s="27" t="s">
        <v>76</v>
      </c>
      <c r="AG126" s="27" t="s">
        <v>76</v>
      </c>
    </row>
    <row r="127" spans="1:33" x14ac:dyDescent="0.25">
      <c r="B127" s="137">
        <f t="shared" si="9"/>
        <v>125</v>
      </c>
      <c r="C127" s="24">
        <v>20200313</v>
      </c>
      <c r="D127" s="25" t="s">
        <v>2</v>
      </c>
      <c r="E127" s="27" t="s">
        <v>76</v>
      </c>
      <c r="F127" s="27" t="s">
        <v>76</v>
      </c>
      <c r="G127" s="56">
        <v>1373481</v>
      </c>
      <c r="H127" s="24" t="s">
        <v>1269</v>
      </c>
      <c r="I127" s="27" t="s">
        <v>76</v>
      </c>
      <c r="J127" s="27" t="s">
        <v>76</v>
      </c>
      <c r="K127" s="24" t="s">
        <v>1272</v>
      </c>
      <c r="L127" s="27" t="s">
        <v>1273</v>
      </c>
      <c r="M127" s="27" t="s">
        <v>1277</v>
      </c>
      <c r="N127" s="26" t="s">
        <v>597</v>
      </c>
      <c r="O127" s="24" t="s">
        <v>82</v>
      </c>
      <c r="P127" s="24"/>
      <c r="Q127" s="24"/>
      <c r="R127" s="53">
        <v>12</v>
      </c>
      <c r="S127" s="24">
        <f t="shared" si="14"/>
        <v>12</v>
      </c>
      <c r="T127" s="26">
        <f>S127</f>
        <v>12</v>
      </c>
      <c r="U127" s="24">
        <f>ROUNDDOWN(S127/HLOOKUP(D127,Table!$C$3:$D$4,2,0)*8,2)</f>
        <v>0.73</v>
      </c>
      <c r="V127" s="24"/>
      <c r="W127" s="24"/>
      <c r="X127" s="28">
        <v>43935</v>
      </c>
      <c r="Y127" s="28">
        <v>43935</v>
      </c>
      <c r="Z127" s="28">
        <v>43935</v>
      </c>
      <c r="AA127" s="28">
        <v>43935</v>
      </c>
      <c r="AB127" s="31"/>
      <c r="AC127" s="88"/>
      <c r="AD127" s="88"/>
      <c r="AE127" s="88"/>
      <c r="AF127" s="27" t="s">
        <v>76</v>
      </c>
      <c r="AG127" s="27" t="s">
        <v>76</v>
      </c>
    </row>
    <row r="128" spans="1:33" hidden="1" x14ac:dyDescent="0.25">
      <c r="B128" s="137">
        <f t="shared" si="9"/>
        <v>126</v>
      </c>
      <c r="C128" s="24">
        <v>20200313</v>
      </c>
      <c r="D128" s="25" t="s">
        <v>2</v>
      </c>
      <c r="E128" s="27" t="s">
        <v>76</v>
      </c>
      <c r="F128" s="27" t="s">
        <v>76</v>
      </c>
      <c r="G128" s="56">
        <v>1373481</v>
      </c>
      <c r="H128" s="24" t="s">
        <v>1270</v>
      </c>
      <c r="I128" s="27" t="s">
        <v>76</v>
      </c>
      <c r="J128" s="27" t="s">
        <v>76</v>
      </c>
      <c r="K128" s="24" t="s">
        <v>1272</v>
      </c>
      <c r="L128" s="27" t="s">
        <v>1276</v>
      </c>
      <c r="M128" s="27" t="s">
        <v>1277</v>
      </c>
      <c r="N128" s="26" t="s">
        <v>598</v>
      </c>
      <c r="O128" s="24" t="s">
        <v>84</v>
      </c>
      <c r="P128" s="24"/>
      <c r="Q128" s="24"/>
      <c r="R128" s="53">
        <v>22</v>
      </c>
      <c r="S128" s="24">
        <f t="shared" si="14"/>
        <v>22</v>
      </c>
      <c r="T128" s="26">
        <f>S128</f>
        <v>22</v>
      </c>
      <c r="U128" s="24">
        <f>ROUNDDOWN(S128/HLOOKUP(D128,Table!$C$3:$D$4,2,0)*8,2)</f>
        <v>1.35</v>
      </c>
      <c r="V128" s="24"/>
      <c r="W128" s="24"/>
      <c r="X128" s="28">
        <v>43935</v>
      </c>
      <c r="Y128" s="28">
        <v>43935</v>
      </c>
      <c r="Z128" s="28">
        <v>43935</v>
      </c>
      <c r="AA128" s="28">
        <v>43935</v>
      </c>
      <c r="AB128" s="31"/>
      <c r="AC128" s="88"/>
      <c r="AD128" s="88"/>
      <c r="AE128" s="88"/>
      <c r="AF128" s="27" t="s">
        <v>76</v>
      </c>
      <c r="AG128" s="27" t="s">
        <v>76</v>
      </c>
    </row>
    <row r="129" spans="1:33" x14ac:dyDescent="0.25">
      <c r="A129" t="s">
        <v>471</v>
      </c>
      <c r="B129" s="32">
        <f t="shared" si="9"/>
        <v>127</v>
      </c>
      <c r="C129" s="24">
        <v>20200313</v>
      </c>
      <c r="D129" s="25" t="s">
        <v>2</v>
      </c>
      <c r="E129" s="24" t="s">
        <v>425</v>
      </c>
      <c r="F129" s="27" t="s">
        <v>76</v>
      </c>
      <c r="G129" s="203">
        <v>1366593</v>
      </c>
      <c r="H129" s="24" t="s">
        <v>426</v>
      </c>
      <c r="I129" s="27" t="s">
        <v>76</v>
      </c>
      <c r="J129" s="27" t="s">
        <v>76</v>
      </c>
      <c r="K129" s="24" t="s">
        <v>427</v>
      </c>
      <c r="L129" s="89" t="s">
        <v>428</v>
      </c>
      <c r="M129" s="27" t="s">
        <v>429</v>
      </c>
      <c r="N129" s="26" t="s">
        <v>599</v>
      </c>
      <c r="O129" s="24" t="s">
        <v>82</v>
      </c>
      <c r="P129" s="24"/>
      <c r="Q129" s="24"/>
      <c r="R129" s="24">
        <v>104</v>
      </c>
      <c r="S129" s="24">
        <v>104</v>
      </c>
      <c r="T129" s="24">
        <f t="shared" si="8"/>
        <v>104</v>
      </c>
      <c r="U129" s="24">
        <f>ROUNDDOWN(S129/HLOOKUP(D129,Table!$C$3:$D$4,2,0)*8,2)</f>
        <v>6.4</v>
      </c>
      <c r="V129" s="24">
        <v>6</v>
      </c>
      <c r="W129" s="24" t="s">
        <v>105</v>
      </c>
      <c r="X129" s="28">
        <v>43903</v>
      </c>
      <c r="Y129" s="28">
        <v>43909</v>
      </c>
      <c r="Z129" s="28">
        <v>43910</v>
      </c>
      <c r="AA129" s="28">
        <v>43909</v>
      </c>
      <c r="AB129" s="31" t="s">
        <v>158</v>
      </c>
      <c r="AC129" s="24">
        <v>100</v>
      </c>
      <c r="AD129" s="24">
        <v>100</v>
      </c>
      <c r="AE129" s="24">
        <v>100</v>
      </c>
      <c r="AF129" s="27" t="s">
        <v>76</v>
      </c>
      <c r="AG129" s="27" t="s">
        <v>76</v>
      </c>
    </row>
    <row r="130" spans="1:33" x14ac:dyDescent="0.25">
      <c r="B130" s="69">
        <f t="shared" si="9"/>
        <v>128</v>
      </c>
      <c r="C130" s="24">
        <v>20200312</v>
      </c>
      <c r="D130" s="25" t="s">
        <v>2</v>
      </c>
      <c r="E130" s="26" t="s">
        <v>311</v>
      </c>
      <c r="F130" s="27" t="s">
        <v>76</v>
      </c>
      <c r="G130" s="56">
        <v>1367009</v>
      </c>
      <c r="H130" s="56" t="s">
        <v>321</v>
      </c>
      <c r="I130" s="27" t="s">
        <v>76</v>
      </c>
      <c r="J130" s="27" t="s">
        <v>76</v>
      </c>
      <c r="K130" s="57" t="s">
        <v>316</v>
      </c>
      <c r="L130" s="56">
        <v>1.2</v>
      </c>
      <c r="M130" s="60" t="s">
        <v>380</v>
      </c>
      <c r="N130" s="26" t="s">
        <v>600</v>
      </c>
      <c r="O130" s="24" t="s">
        <v>82</v>
      </c>
      <c r="P130" s="24"/>
      <c r="Q130" s="24"/>
      <c r="R130" s="58">
        <v>18</v>
      </c>
      <c r="S130" s="24">
        <v>18</v>
      </c>
      <c r="T130" s="26">
        <f t="shared" si="8"/>
        <v>18</v>
      </c>
      <c r="U130" s="58">
        <f>ROUNDDOWN(S130/HLOOKUP(D130,Table!$C$3:$D$4,2,0)*8,2)</f>
        <v>1.1000000000000001</v>
      </c>
      <c r="V130" s="24">
        <v>2</v>
      </c>
      <c r="W130" s="24" t="s">
        <v>105</v>
      </c>
      <c r="X130" s="28">
        <v>43902</v>
      </c>
      <c r="Y130" s="87">
        <v>43910</v>
      </c>
      <c r="Z130" s="28">
        <v>43909</v>
      </c>
      <c r="AA130" s="28">
        <v>43910</v>
      </c>
      <c r="AB130" s="31" t="s">
        <v>158</v>
      </c>
      <c r="AC130" s="90">
        <v>100</v>
      </c>
      <c r="AD130" s="90">
        <v>100</v>
      </c>
      <c r="AE130" s="90">
        <v>100</v>
      </c>
      <c r="AF130" s="27" t="s">
        <v>76</v>
      </c>
      <c r="AG130" s="27" t="s">
        <v>76</v>
      </c>
    </row>
    <row r="131" spans="1:33" s="78" customFormat="1" hidden="1" x14ac:dyDescent="0.2">
      <c r="B131" s="85">
        <f t="shared" si="9"/>
        <v>129</v>
      </c>
      <c r="C131" s="79">
        <v>20200312</v>
      </c>
      <c r="D131" s="86" t="s">
        <v>2</v>
      </c>
      <c r="E131" s="79" t="s">
        <v>311</v>
      </c>
      <c r="F131" s="80" t="s">
        <v>76</v>
      </c>
      <c r="G131" s="211">
        <v>1367009</v>
      </c>
      <c r="H131" s="206" t="s">
        <v>322</v>
      </c>
      <c r="I131" s="80" t="s">
        <v>76</v>
      </c>
      <c r="J131" s="80" t="s">
        <v>76</v>
      </c>
      <c r="K131" s="79" t="s">
        <v>316</v>
      </c>
      <c r="L131" s="79" t="s">
        <v>315</v>
      </c>
      <c r="M131" s="80" t="s">
        <v>380</v>
      </c>
      <c r="N131" s="206" t="s">
        <v>601</v>
      </c>
      <c r="O131" s="79" t="s">
        <v>83</v>
      </c>
      <c r="P131" s="79"/>
      <c r="Q131" s="79"/>
      <c r="R131" s="79">
        <v>15</v>
      </c>
      <c r="S131" s="79">
        <v>15</v>
      </c>
      <c r="T131" s="79">
        <f t="shared" si="8"/>
        <v>15</v>
      </c>
      <c r="U131" s="79">
        <f>ROUNDDOWN(S131/HLOOKUP(D131,Table!$C$3:$D$4,2,0)*8,2)</f>
        <v>0.92</v>
      </c>
      <c r="V131" s="79">
        <v>8</v>
      </c>
      <c r="W131" s="24" t="s">
        <v>105</v>
      </c>
      <c r="X131" s="28">
        <v>43902</v>
      </c>
      <c r="Y131" s="87">
        <v>43910</v>
      </c>
      <c r="Z131" s="87">
        <v>43910</v>
      </c>
      <c r="AA131" s="87">
        <v>43910</v>
      </c>
      <c r="AB131" s="81" t="s">
        <v>158</v>
      </c>
      <c r="AC131" s="82">
        <v>100</v>
      </c>
      <c r="AD131" s="82">
        <v>100</v>
      </c>
      <c r="AE131" s="82">
        <v>100</v>
      </c>
      <c r="AF131" s="27" t="s">
        <v>76</v>
      </c>
      <c r="AG131" s="27" t="s">
        <v>76</v>
      </c>
    </row>
    <row r="132" spans="1:33" hidden="1" x14ac:dyDescent="0.25">
      <c r="B132" s="69">
        <f t="shared" si="9"/>
        <v>130</v>
      </c>
      <c r="C132" s="24">
        <v>20200312</v>
      </c>
      <c r="D132" s="25" t="s">
        <v>2</v>
      </c>
      <c r="E132" s="56" t="s">
        <v>311</v>
      </c>
      <c r="F132" s="27" t="s">
        <v>76</v>
      </c>
      <c r="G132" s="56">
        <v>1366969</v>
      </c>
      <c r="H132" s="206" t="s">
        <v>312</v>
      </c>
      <c r="I132" s="27" t="s">
        <v>76</v>
      </c>
      <c r="J132" s="27" t="s">
        <v>76</v>
      </c>
      <c r="K132" s="57" t="s">
        <v>317</v>
      </c>
      <c r="L132" s="56">
        <v>1.1000000000000001</v>
      </c>
      <c r="M132" s="27" t="s">
        <v>380</v>
      </c>
      <c r="N132" s="26" t="s">
        <v>602</v>
      </c>
      <c r="O132" s="24" t="s">
        <v>83</v>
      </c>
      <c r="P132" s="24"/>
      <c r="Q132" s="24"/>
      <c r="R132" s="58">
        <v>8</v>
      </c>
      <c r="S132" s="24">
        <v>8</v>
      </c>
      <c r="T132" s="24">
        <f t="shared" si="8"/>
        <v>8</v>
      </c>
      <c r="U132" s="58">
        <f>ROUNDDOWN(S132/HLOOKUP(D132,Table!$C$3:$D$4,2,0)*8,2)</f>
        <v>0.49</v>
      </c>
      <c r="V132" s="24">
        <v>1</v>
      </c>
      <c r="W132" s="24" t="s">
        <v>105</v>
      </c>
      <c r="X132" s="28">
        <v>43902</v>
      </c>
      <c r="Y132" s="87">
        <v>43910</v>
      </c>
      <c r="Z132" s="28">
        <v>43913</v>
      </c>
      <c r="AA132" s="28">
        <v>43913</v>
      </c>
      <c r="AB132" s="31" t="s">
        <v>158</v>
      </c>
      <c r="AC132" s="76">
        <v>100</v>
      </c>
      <c r="AD132" s="76">
        <v>100</v>
      </c>
      <c r="AE132" s="76">
        <v>100</v>
      </c>
      <c r="AF132" s="27" t="s">
        <v>76</v>
      </c>
      <c r="AG132" s="27" t="s">
        <v>76</v>
      </c>
    </row>
    <row r="133" spans="1:33" hidden="1" x14ac:dyDescent="0.25">
      <c r="B133" s="69">
        <f t="shared" si="9"/>
        <v>131</v>
      </c>
      <c r="C133" s="24">
        <v>20200312</v>
      </c>
      <c r="D133" s="25" t="s">
        <v>2</v>
      </c>
      <c r="E133" s="57" t="s">
        <v>311</v>
      </c>
      <c r="F133" s="27" t="s">
        <v>76</v>
      </c>
      <c r="G133" s="57">
        <v>1366969</v>
      </c>
      <c r="H133" s="203" t="s">
        <v>313</v>
      </c>
      <c r="I133" s="27" t="s">
        <v>76</v>
      </c>
      <c r="J133" s="27" t="s">
        <v>76</v>
      </c>
      <c r="K133" s="57" t="s">
        <v>317</v>
      </c>
      <c r="L133" s="57">
        <v>1</v>
      </c>
      <c r="M133" s="27" t="s">
        <v>380</v>
      </c>
      <c r="N133" s="26" t="s">
        <v>603</v>
      </c>
      <c r="O133" s="42" t="s">
        <v>84</v>
      </c>
      <c r="P133" s="24"/>
      <c r="Q133" s="24"/>
      <c r="R133" s="59">
        <v>8</v>
      </c>
      <c r="S133" s="24">
        <v>8</v>
      </c>
      <c r="T133" s="24">
        <f t="shared" si="8"/>
        <v>8</v>
      </c>
      <c r="U133" s="59">
        <f>ROUNDDOWN(S133/HLOOKUP(D133,Table!$C$3:$D$4,2,0)*8,2)</f>
        <v>0.49</v>
      </c>
      <c r="V133" s="24">
        <v>2.2999999999999998</v>
      </c>
      <c r="W133" s="24" t="s">
        <v>105</v>
      </c>
      <c r="X133" s="28">
        <v>43902</v>
      </c>
      <c r="Y133" s="87">
        <v>43910</v>
      </c>
      <c r="Z133" s="28">
        <v>43913</v>
      </c>
      <c r="AA133" s="28">
        <v>43913</v>
      </c>
      <c r="AB133" s="31" t="s">
        <v>158</v>
      </c>
      <c r="AC133" s="24">
        <v>100</v>
      </c>
      <c r="AD133" s="24">
        <v>100</v>
      </c>
      <c r="AE133" s="24">
        <v>100</v>
      </c>
      <c r="AF133" s="27" t="s">
        <v>76</v>
      </c>
      <c r="AG133" s="27" t="s">
        <v>76</v>
      </c>
    </row>
    <row r="134" spans="1:33" x14ac:dyDescent="0.25">
      <c r="B134" s="69">
        <f t="shared" si="9"/>
        <v>132</v>
      </c>
      <c r="C134" s="24">
        <v>20200312</v>
      </c>
      <c r="D134" s="25" t="s">
        <v>2</v>
      </c>
      <c r="E134" s="26" t="s">
        <v>311</v>
      </c>
      <c r="F134" s="27" t="s">
        <v>76</v>
      </c>
      <c r="G134" s="56">
        <v>1371465</v>
      </c>
      <c r="H134" s="26" t="s">
        <v>314</v>
      </c>
      <c r="I134" s="27" t="s">
        <v>76</v>
      </c>
      <c r="J134" s="27" t="s">
        <v>76</v>
      </c>
      <c r="K134" s="57" t="s">
        <v>316</v>
      </c>
      <c r="L134" s="56">
        <v>1.1000000000000001</v>
      </c>
      <c r="M134" s="27" t="s">
        <v>380</v>
      </c>
      <c r="N134" s="26" t="s">
        <v>604</v>
      </c>
      <c r="O134" s="24" t="s">
        <v>82</v>
      </c>
      <c r="P134" s="24"/>
      <c r="Q134" s="24"/>
      <c r="R134" s="58">
        <v>62</v>
      </c>
      <c r="S134" s="24">
        <v>62</v>
      </c>
      <c r="T134" s="24">
        <f t="shared" si="8"/>
        <v>62</v>
      </c>
      <c r="U134" s="58">
        <f>ROUNDDOWN(S134/HLOOKUP(D134,Table!$C$3:$D$4,2,0)*8,2)</f>
        <v>3.81</v>
      </c>
      <c r="V134" s="24">
        <v>5</v>
      </c>
      <c r="W134" s="24" t="s">
        <v>105</v>
      </c>
      <c r="X134" s="28">
        <v>43902</v>
      </c>
      <c r="Y134" s="87">
        <v>43910</v>
      </c>
      <c r="Z134" s="28">
        <v>43913</v>
      </c>
      <c r="AA134" s="28">
        <v>43910</v>
      </c>
      <c r="AB134" s="31" t="s">
        <v>158</v>
      </c>
      <c r="AC134" s="76">
        <v>100</v>
      </c>
      <c r="AD134" s="76">
        <v>100</v>
      </c>
      <c r="AE134" s="76">
        <v>100</v>
      </c>
      <c r="AF134" s="27" t="s">
        <v>76</v>
      </c>
      <c r="AG134" s="27" t="s">
        <v>76</v>
      </c>
    </row>
    <row r="135" spans="1:33" x14ac:dyDescent="0.25">
      <c r="B135" s="69">
        <f t="shared" si="9"/>
        <v>133</v>
      </c>
      <c r="C135" s="26">
        <v>20200317</v>
      </c>
      <c r="D135" s="25" t="s">
        <v>2</v>
      </c>
      <c r="E135" s="24" t="s">
        <v>341</v>
      </c>
      <c r="F135" s="27" t="s">
        <v>76</v>
      </c>
      <c r="G135" s="206">
        <v>1345833</v>
      </c>
      <c r="H135" s="26" t="s">
        <v>345</v>
      </c>
      <c r="I135" s="27" t="s">
        <v>76</v>
      </c>
      <c r="J135" s="27" t="s">
        <v>76</v>
      </c>
      <c r="K135" s="3" t="s">
        <v>344</v>
      </c>
      <c r="L135" s="3" t="s">
        <v>346</v>
      </c>
      <c r="M135" s="27" t="s">
        <v>381</v>
      </c>
      <c r="N135" s="26" t="s">
        <v>605</v>
      </c>
      <c r="O135" s="24" t="s">
        <v>82</v>
      </c>
      <c r="P135" s="3"/>
      <c r="Q135" s="24"/>
      <c r="R135" s="58">
        <v>15</v>
      </c>
      <c r="S135" s="54">
        <f>R135</f>
        <v>15</v>
      </c>
      <c r="T135" s="54">
        <f t="shared" si="8"/>
        <v>15</v>
      </c>
      <c r="U135" s="24">
        <f>ROUNDDOWN(S135/HLOOKUP(D135,Table!$C$3:$D$4,2,0)*8,2)</f>
        <v>0.92</v>
      </c>
      <c r="V135" s="54">
        <v>2</v>
      </c>
      <c r="W135" s="24" t="s">
        <v>105</v>
      </c>
      <c r="X135" s="28">
        <v>43907</v>
      </c>
      <c r="Y135" s="87">
        <v>43910</v>
      </c>
      <c r="Z135" s="28">
        <v>43913</v>
      </c>
      <c r="AA135" s="28">
        <v>43910</v>
      </c>
      <c r="AB135" s="31" t="s">
        <v>158</v>
      </c>
      <c r="AC135" s="76">
        <v>100</v>
      </c>
      <c r="AD135" s="76">
        <v>100</v>
      </c>
      <c r="AE135" s="76">
        <v>100</v>
      </c>
      <c r="AF135" s="27" t="s">
        <v>76</v>
      </c>
      <c r="AG135" s="27" t="s">
        <v>76</v>
      </c>
    </row>
    <row r="136" spans="1:33" ht="45" hidden="1" x14ac:dyDescent="0.25">
      <c r="B136" s="69">
        <f t="shared" si="9"/>
        <v>134</v>
      </c>
      <c r="C136" s="26">
        <v>20200317</v>
      </c>
      <c r="D136" s="24" t="s">
        <v>3</v>
      </c>
      <c r="E136" s="24" t="s">
        <v>342</v>
      </c>
      <c r="F136" s="27" t="s">
        <v>386</v>
      </c>
      <c r="G136" s="206">
        <v>1376431</v>
      </c>
      <c r="H136" s="206" t="s">
        <v>339</v>
      </c>
      <c r="I136" s="25" t="s">
        <v>194</v>
      </c>
      <c r="J136" s="27">
        <v>80773</v>
      </c>
      <c r="K136" s="3" t="s">
        <v>347</v>
      </c>
      <c r="L136" s="27" t="str">
        <f t="shared" ref="L136:L158" si="15">IF(D136="ASW","PUT_VERSION","-")</f>
        <v>-</v>
      </c>
      <c r="M136" s="27" t="s">
        <v>382</v>
      </c>
      <c r="N136" s="26" t="s">
        <v>606</v>
      </c>
      <c r="O136" s="24" t="s">
        <v>83</v>
      </c>
      <c r="P136" s="3"/>
      <c r="Q136" s="24"/>
      <c r="R136" s="93">
        <v>154</v>
      </c>
      <c r="S136" s="101">
        <v>154</v>
      </c>
      <c r="T136" s="42">
        <f t="shared" si="8"/>
        <v>154</v>
      </c>
      <c r="U136" s="42">
        <f>ROUNDDOWN(S136/HLOOKUP(D136,Table!$C$3:$D$4,2,0)*8,2)</f>
        <v>2.73</v>
      </c>
      <c r="V136" s="42">
        <v>1</v>
      </c>
      <c r="W136" s="24" t="s">
        <v>105</v>
      </c>
      <c r="X136" s="28">
        <v>43907</v>
      </c>
      <c r="Y136" s="87">
        <v>43910</v>
      </c>
      <c r="Z136" s="28">
        <v>43910</v>
      </c>
      <c r="AA136" s="28">
        <v>43910</v>
      </c>
      <c r="AB136" s="73" t="s">
        <v>157</v>
      </c>
      <c r="AC136" s="76">
        <v>95</v>
      </c>
      <c r="AD136" s="76">
        <v>85</v>
      </c>
      <c r="AE136" s="76">
        <v>100</v>
      </c>
      <c r="AF136" s="75" t="s">
        <v>408</v>
      </c>
      <c r="AG136" s="27" t="s">
        <v>76</v>
      </c>
    </row>
    <row r="137" spans="1:33" hidden="1" x14ac:dyDescent="0.25">
      <c r="B137" s="69">
        <f t="shared" si="9"/>
        <v>135</v>
      </c>
      <c r="C137" s="26">
        <v>20200317</v>
      </c>
      <c r="D137" s="24" t="s">
        <v>3</v>
      </c>
      <c r="E137" s="24" t="s">
        <v>342</v>
      </c>
      <c r="F137" s="27" t="s">
        <v>386</v>
      </c>
      <c r="G137" s="206">
        <v>1376431</v>
      </c>
      <c r="H137" s="206" t="s">
        <v>337</v>
      </c>
      <c r="I137" s="25" t="s">
        <v>194</v>
      </c>
      <c r="J137" s="27">
        <v>80773</v>
      </c>
      <c r="K137" s="3" t="s">
        <v>347</v>
      </c>
      <c r="L137" s="27" t="str">
        <f t="shared" si="15"/>
        <v>-</v>
      </c>
      <c r="M137" s="27" t="s">
        <v>382</v>
      </c>
      <c r="N137" s="26" t="s">
        <v>607</v>
      </c>
      <c r="O137" s="24" t="s">
        <v>83</v>
      </c>
      <c r="P137" s="3"/>
      <c r="Q137" s="24"/>
      <c r="R137" s="93">
        <v>120</v>
      </c>
      <c r="S137" s="101">
        <v>120</v>
      </c>
      <c r="T137" s="24">
        <f t="shared" si="8"/>
        <v>120</v>
      </c>
      <c r="U137" s="24">
        <f>ROUNDDOWN(S137/HLOOKUP(D137,Table!$C$3:$D$4,2,0)*8,2)</f>
        <v>2.13</v>
      </c>
      <c r="V137" s="24">
        <v>2</v>
      </c>
      <c r="W137" s="24" t="s">
        <v>105</v>
      </c>
      <c r="X137" s="28">
        <v>43907</v>
      </c>
      <c r="Y137" s="87">
        <v>43910</v>
      </c>
      <c r="Z137" s="28">
        <v>43910</v>
      </c>
      <c r="AA137" s="28">
        <v>43910</v>
      </c>
      <c r="AB137" s="3" t="s">
        <v>158</v>
      </c>
      <c r="AC137" s="24">
        <v>100</v>
      </c>
      <c r="AD137" s="24">
        <v>100</v>
      </c>
      <c r="AE137" s="24">
        <v>100</v>
      </c>
      <c r="AF137" s="27" t="s">
        <v>76</v>
      </c>
      <c r="AG137" s="27" t="s">
        <v>76</v>
      </c>
    </row>
    <row r="138" spans="1:33" hidden="1" x14ac:dyDescent="0.25">
      <c r="B138" s="69">
        <f t="shared" si="9"/>
        <v>136</v>
      </c>
      <c r="C138" s="26">
        <v>20200317</v>
      </c>
      <c r="D138" s="24" t="s">
        <v>3</v>
      </c>
      <c r="E138" s="24" t="s">
        <v>342</v>
      </c>
      <c r="F138" s="27" t="s">
        <v>386</v>
      </c>
      <c r="G138" s="206">
        <v>1376431</v>
      </c>
      <c r="H138" s="206" t="s">
        <v>338</v>
      </c>
      <c r="I138" s="25" t="s">
        <v>194</v>
      </c>
      <c r="J138" s="27">
        <v>80773</v>
      </c>
      <c r="K138" s="3" t="s">
        <v>347</v>
      </c>
      <c r="L138" s="27" t="str">
        <f t="shared" si="15"/>
        <v>-</v>
      </c>
      <c r="M138" s="27" t="s">
        <v>382</v>
      </c>
      <c r="N138" s="26" t="s">
        <v>608</v>
      </c>
      <c r="O138" s="42" t="s">
        <v>84</v>
      </c>
      <c r="P138" s="3"/>
      <c r="Q138" s="24"/>
      <c r="R138" s="93">
        <v>145</v>
      </c>
      <c r="S138" s="101">
        <v>145</v>
      </c>
      <c r="T138" s="24">
        <f t="shared" si="8"/>
        <v>145</v>
      </c>
      <c r="U138" s="24">
        <f>ROUNDDOWN(S138/HLOOKUP(D138,Table!$C$3:$D$4,2,0)*8,2)</f>
        <v>2.57</v>
      </c>
      <c r="V138" s="24">
        <v>3</v>
      </c>
      <c r="W138" s="24" t="s">
        <v>105</v>
      </c>
      <c r="X138" s="28">
        <v>43907</v>
      </c>
      <c r="Y138" s="87">
        <v>43910</v>
      </c>
      <c r="Z138" s="28">
        <v>43910</v>
      </c>
      <c r="AA138" s="28">
        <v>43910</v>
      </c>
      <c r="AB138" s="3" t="s">
        <v>158</v>
      </c>
      <c r="AC138" s="24">
        <v>100</v>
      </c>
      <c r="AD138" s="24">
        <v>100</v>
      </c>
      <c r="AE138" s="24">
        <v>100</v>
      </c>
      <c r="AF138" s="27" t="s">
        <v>76</v>
      </c>
      <c r="AG138" s="27" t="s">
        <v>76</v>
      </c>
    </row>
    <row r="139" spans="1:33" hidden="1" x14ac:dyDescent="0.25">
      <c r="B139" s="69">
        <f t="shared" si="9"/>
        <v>137</v>
      </c>
      <c r="C139" s="26">
        <v>20200317</v>
      </c>
      <c r="D139" s="24" t="s">
        <v>3</v>
      </c>
      <c r="E139" s="24" t="s">
        <v>343</v>
      </c>
      <c r="F139" s="27" t="s">
        <v>383</v>
      </c>
      <c r="G139" s="206">
        <v>1375562</v>
      </c>
      <c r="H139" s="206" t="s">
        <v>97</v>
      </c>
      <c r="I139" s="49" t="s">
        <v>193</v>
      </c>
      <c r="J139" s="27" t="s">
        <v>76</v>
      </c>
      <c r="K139" s="24" t="s">
        <v>348</v>
      </c>
      <c r="L139" s="27" t="str">
        <f t="shared" si="15"/>
        <v>-</v>
      </c>
      <c r="M139" s="27" t="s">
        <v>384</v>
      </c>
      <c r="N139" s="26" t="s">
        <v>609</v>
      </c>
      <c r="O139" s="24" t="s">
        <v>83</v>
      </c>
      <c r="P139" s="3"/>
      <c r="Q139" s="24"/>
      <c r="R139" s="93">
        <v>371</v>
      </c>
      <c r="S139" s="24">
        <v>371</v>
      </c>
      <c r="T139" s="26">
        <f t="shared" ref="T139:T155" si="16">S139</f>
        <v>371</v>
      </c>
      <c r="U139" s="24">
        <f>ROUNDDOWN(S139/HLOOKUP(D139,Table!$C$3:$D$4,2,0)*8,2)</f>
        <v>6.59</v>
      </c>
      <c r="V139" s="24">
        <v>2</v>
      </c>
      <c r="W139" s="24" t="s">
        <v>105</v>
      </c>
      <c r="X139" s="28">
        <v>43907</v>
      </c>
      <c r="Y139" s="87">
        <v>43910</v>
      </c>
      <c r="Z139" s="28">
        <v>43910</v>
      </c>
      <c r="AA139" s="28">
        <v>43910</v>
      </c>
      <c r="AB139" s="31" t="s">
        <v>158</v>
      </c>
      <c r="AC139" s="24">
        <v>100</v>
      </c>
      <c r="AD139" s="24">
        <v>100</v>
      </c>
      <c r="AE139" s="24">
        <v>100</v>
      </c>
      <c r="AF139" s="27" t="s">
        <v>76</v>
      </c>
      <c r="AG139" s="27" t="s">
        <v>76</v>
      </c>
    </row>
    <row r="140" spans="1:33" s="94" customFormat="1" hidden="1" x14ac:dyDescent="0.25">
      <c r="B140" s="95">
        <f t="shared" si="9"/>
        <v>138</v>
      </c>
      <c r="C140" s="96">
        <v>20200317</v>
      </c>
      <c r="D140" s="96" t="s">
        <v>3</v>
      </c>
      <c r="E140" s="96" t="s">
        <v>349</v>
      </c>
      <c r="F140" s="97" t="s">
        <v>350</v>
      </c>
      <c r="G140" s="96">
        <v>1324814</v>
      </c>
      <c r="H140" s="205" t="s">
        <v>387</v>
      </c>
      <c r="I140" s="98" t="s">
        <v>193</v>
      </c>
      <c r="J140" s="96" t="s">
        <v>397</v>
      </c>
      <c r="K140" s="96" t="s">
        <v>92</v>
      </c>
      <c r="L140" s="97" t="str">
        <f t="shared" si="15"/>
        <v>-</v>
      </c>
      <c r="M140" s="97" t="s">
        <v>405</v>
      </c>
      <c r="N140" s="205" t="s">
        <v>610</v>
      </c>
      <c r="O140" s="96" t="s">
        <v>83</v>
      </c>
      <c r="P140" s="96"/>
      <c r="Q140" s="96"/>
      <c r="R140" s="96">
        <v>32</v>
      </c>
      <c r="S140" s="102">
        <v>209</v>
      </c>
      <c r="T140" s="96">
        <f t="shared" si="16"/>
        <v>209</v>
      </c>
      <c r="U140" s="96">
        <f>ROUNDDOWN(S140/HLOOKUP(D140,Table!$C$3:$D$4,2,0)*8,2)</f>
        <v>3.71</v>
      </c>
      <c r="V140" s="96">
        <v>2</v>
      </c>
      <c r="W140" s="24" t="s">
        <v>21</v>
      </c>
      <c r="X140" s="28">
        <v>43907</v>
      </c>
      <c r="Y140" s="100">
        <v>43915</v>
      </c>
      <c r="Z140" s="100">
        <v>43909</v>
      </c>
      <c r="AA140" s="28">
        <v>43915</v>
      </c>
      <c r="AB140" s="96" t="s">
        <v>158</v>
      </c>
      <c r="AC140" s="96">
        <v>100</v>
      </c>
      <c r="AD140" s="96">
        <v>100</v>
      </c>
      <c r="AE140" s="96">
        <v>100</v>
      </c>
      <c r="AF140" s="27" t="s">
        <v>76</v>
      </c>
      <c r="AG140" s="27" t="s">
        <v>76</v>
      </c>
    </row>
    <row r="141" spans="1:33" s="94" customFormat="1" hidden="1" x14ac:dyDescent="0.25">
      <c r="B141" s="95">
        <f t="shared" si="9"/>
        <v>139</v>
      </c>
      <c r="C141" s="96">
        <v>20200317</v>
      </c>
      <c r="D141" s="96" t="s">
        <v>3</v>
      </c>
      <c r="E141" s="96" t="s">
        <v>349</v>
      </c>
      <c r="F141" s="97" t="s">
        <v>351</v>
      </c>
      <c r="G141" s="96">
        <v>1324814</v>
      </c>
      <c r="H141" s="205" t="s">
        <v>388</v>
      </c>
      <c r="I141" s="98" t="s">
        <v>193</v>
      </c>
      <c r="J141" s="96" t="s">
        <v>398</v>
      </c>
      <c r="K141" s="96" t="s">
        <v>92</v>
      </c>
      <c r="L141" s="97" t="str">
        <f t="shared" si="15"/>
        <v>-</v>
      </c>
      <c r="M141" s="97" t="s">
        <v>405</v>
      </c>
      <c r="N141" s="205" t="s">
        <v>611</v>
      </c>
      <c r="O141" s="96" t="s">
        <v>83</v>
      </c>
      <c r="P141" s="96"/>
      <c r="Q141" s="96"/>
      <c r="R141" s="96">
        <v>80</v>
      </c>
      <c r="S141" s="96">
        <v>80</v>
      </c>
      <c r="T141" s="96">
        <f t="shared" si="16"/>
        <v>80</v>
      </c>
      <c r="U141" s="96">
        <f>ROUNDDOWN(S141/HLOOKUP(D141,Table!$C$3:$D$4,2,0)*8,2)</f>
        <v>1.42</v>
      </c>
      <c r="V141" s="96">
        <v>2</v>
      </c>
      <c r="W141" s="24" t="s">
        <v>21</v>
      </c>
      <c r="X141" s="28">
        <v>43907</v>
      </c>
      <c r="Y141" s="100">
        <v>43915</v>
      </c>
      <c r="Z141" s="100">
        <v>43909</v>
      </c>
      <c r="AA141" s="28">
        <v>43915</v>
      </c>
      <c r="AB141" s="96" t="s">
        <v>158</v>
      </c>
      <c r="AC141" s="96">
        <v>100</v>
      </c>
      <c r="AD141" s="96">
        <v>100</v>
      </c>
      <c r="AE141" s="96">
        <v>100</v>
      </c>
      <c r="AF141" s="27" t="s">
        <v>76</v>
      </c>
      <c r="AG141" s="27" t="s">
        <v>76</v>
      </c>
    </row>
    <row r="142" spans="1:33" s="94" customFormat="1" hidden="1" x14ac:dyDescent="0.25">
      <c r="B142" s="95">
        <f t="shared" si="9"/>
        <v>140</v>
      </c>
      <c r="C142" s="96">
        <v>20200317</v>
      </c>
      <c r="D142" s="96" t="s">
        <v>3</v>
      </c>
      <c r="E142" s="96" t="s">
        <v>349</v>
      </c>
      <c r="F142" s="97" t="s">
        <v>351</v>
      </c>
      <c r="G142" s="96">
        <v>1324814</v>
      </c>
      <c r="H142" s="205" t="s">
        <v>389</v>
      </c>
      <c r="I142" s="98" t="s">
        <v>193</v>
      </c>
      <c r="J142" s="96" t="s">
        <v>399</v>
      </c>
      <c r="K142" s="96" t="s">
        <v>92</v>
      </c>
      <c r="L142" s="97" t="str">
        <f t="shared" si="15"/>
        <v>-</v>
      </c>
      <c r="M142" s="97" t="s">
        <v>405</v>
      </c>
      <c r="N142" s="205" t="s">
        <v>612</v>
      </c>
      <c r="O142" s="96" t="s">
        <v>83</v>
      </c>
      <c r="P142" s="96"/>
      <c r="Q142" s="96"/>
      <c r="R142" s="96">
        <v>38</v>
      </c>
      <c r="S142" s="96">
        <v>38</v>
      </c>
      <c r="T142" s="96">
        <f t="shared" si="16"/>
        <v>38</v>
      </c>
      <c r="U142" s="96">
        <f>ROUNDDOWN(S142/HLOOKUP(D142,Table!$C$3:$D$4,2,0)*8,2)</f>
        <v>0.67</v>
      </c>
      <c r="V142" s="96">
        <v>2</v>
      </c>
      <c r="W142" s="24" t="s">
        <v>21</v>
      </c>
      <c r="X142" s="28">
        <v>43907</v>
      </c>
      <c r="Y142" s="100">
        <v>43915</v>
      </c>
      <c r="Z142" s="100">
        <v>43909</v>
      </c>
      <c r="AA142" s="28">
        <v>43915</v>
      </c>
      <c r="AB142" s="96" t="s">
        <v>158</v>
      </c>
      <c r="AC142" s="96">
        <v>100</v>
      </c>
      <c r="AD142" s="96">
        <v>100</v>
      </c>
      <c r="AE142" s="96">
        <v>100</v>
      </c>
      <c r="AF142" s="27" t="s">
        <v>76</v>
      </c>
      <c r="AG142" s="27" t="s">
        <v>76</v>
      </c>
    </row>
    <row r="143" spans="1:33" s="94" customFormat="1" hidden="1" x14ac:dyDescent="0.25">
      <c r="B143" s="95">
        <f t="shared" si="9"/>
        <v>141</v>
      </c>
      <c r="C143" s="96">
        <v>20200317</v>
      </c>
      <c r="D143" s="96" t="s">
        <v>3</v>
      </c>
      <c r="E143" s="96" t="s">
        <v>349</v>
      </c>
      <c r="F143" s="97" t="s">
        <v>351</v>
      </c>
      <c r="G143" s="96">
        <v>1324814</v>
      </c>
      <c r="H143" s="205" t="s">
        <v>80</v>
      </c>
      <c r="I143" s="98" t="s">
        <v>193</v>
      </c>
      <c r="J143" s="96" t="s">
        <v>400</v>
      </c>
      <c r="K143" s="96" t="s">
        <v>92</v>
      </c>
      <c r="L143" s="97" t="str">
        <f t="shared" si="15"/>
        <v>-</v>
      </c>
      <c r="M143" s="97" t="s">
        <v>405</v>
      </c>
      <c r="N143" s="205" t="s">
        <v>613</v>
      </c>
      <c r="O143" s="96" t="s">
        <v>83</v>
      </c>
      <c r="P143" s="96"/>
      <c r="Q143" s="96"/>
      <c r="R143" s="96">
        <v>110</v>
      </c>
      <c r="S143" s="96">
        <v>110</v>
      </c>
      <c r="T143" s="96">
        <f t="shared" si="16"/>
        <v>110</v>
      </c>
      <c r="U143" s="96">
        <f>ROUNDDOWN(S143/HLOOKUP(D143,Table!$C$3:$D$4,2,0)*8,2)</f>
        <v>1.95</v>
      </c>
      <c r="V143" s="96">
        <v>1</v>
      </c>
      <c r="W143" s="24" t="s">
        <v>21</v>
      </c>
      <c r="X143" s="28">
        <v>43907</v>
      </c>
      <c r="Y143" s="100">
        <v>43915</v>
      </c>
      <c r="Z143" s="100">
        <v>43909</v>
      </c>
      <c r="AA143" s="28">
        <v>43915</v>
      </c>
      <c r="AB143" s="96" t="s">
        <v>158</v>
      </c>
      <c r="AC143" s="96">
        <v>100</v>
      </c>
      <c r="AD143" s="96">
        <v>100</v>
      </c>
      <c r="AE143" s="96">
        <v>100</v>
      </c>
      <c r="AF143" s="27" t="s">
        <v>76</v>
      </c>
      <c r="AG143" s="27" t="s">
        <v>76</v>
      </c>
    </row>
    <row r="144" spans="1:33" x14ac:dyDescent="0.25">
      <c r="B144" s="72">
        <f t="shared" si="9"/>
        <v>142</v>
      </c>
      <c r="C144" s="26">
        <v>20200317</v>
      </c>
      <c r="D144" s="24" t="s">
        <v>3</v>
      </c>
      <c r="E144" s="24" t="s">
        <v>349</v>
      </c>
      <c r="F144" s="27" t="s">
        <v>352</v>
      </c>
      <c r="G144" s="203">
        <v>1324814</v>
      </c>
      <c r="H144" s="26" t="s">
        <v>78</v>
      </c>
      <c r="I144" s="49" t="s">
        <v>193</v>
      </c>
      <c r="J144" s="24" t="s">
        <v>401</v>
      </c>
      <c r="K144" s="24" t="s">
        <v>92</v>
      </c>
      <c r="L144" s="27" t="str">
        <f t="shared" si="15"/>
        <v>-</v>
      </c>
      <c r="M144" s="27" t="s">
        <v>405</v>
      </c>
      <c r="N144" s="26" t="s">
        <v>614</v>
      </c>
      <c r="O144" s="24" t="s">
        <v>82</v>
      </c>
      <c r="P144" s="24"/>
      <c r="Q144" s="24"/>
      <c r="R144" s="24">
        <v>478</v>
      </c>
      <c r="S144" s="24">
        <f>R144</f>
        <v>478</v>
      </c>
      <c r="T144" s="24">
        <v>478</v>
      </c>
      <c r="U144" s="24">
        <f>ROUNDDOWN(S144/HLOOKUP(D144,Table!$C$3:$D$4,2,0)*8,2)</f>
        <v>8.49</v>
      </c>
      <c r="V144" s="24">
        <v>5</v>
      </c>
      <c r="W144" s="24" t="s">
        <v>21</v>
      </c>
      <c r="X144" s="28">
        <v>43907</v>
      </c>
      <c r="Y144" s="28">
        <v>43915</v>
      </c>
      <c r="Z144" s="121">
        <v>43914</v>
      </c>
      <c r="AA144" s="28">
        <v>43915</v>
      </c>
      <c r="AB144" s="99" t="s">
        <v>158</v>
      </c>
      <c r="AC144" s="76">
        <v>100</v>
      </c>
      <c r="AD144" s="76">
        <v>100</v>
      </c>
      <c r="AE144" s="76">
        <v>100</v>
      </c>
      <c r="AF144" s="27" t="s">
        <v>76</v>
      </c>
      <c r="AG144" s="27" t="s">
        <v>76</v>
      </c>
    </row>
    <row r="145" spans="1:33" s="94" customFormat="1" hidden="1" x14ac:dyDescent="0.25">
      <c r="B145" s="95">
        <f t="shared" si="9"/>
        <v>143</v>
      </c>
      <c r="C145" s="96">
        <v>20200317</v>
      </c>
      <c r="D145" s="96" t="s">
        <v>3</v>
      </c>
      <c r="E145" s="96" t="s">
        <v>349</v>
      </c>
      <c r="F145" s="97" t="s">
        <v>353</v>
      </c>
      <c r="G145" s="96">
        <v>1324814</v>
      </c>
      <c r="H145" s="205" t="s">
        <v>390</v>
      </c>
      <c r="I145" s="98" t="s">
        <v>193</v>
      </c>
      <c r="J145" s="96" t="s">
        <v>402</v>
      </c>
      <c r="K145" s="96" t="s">
        <v>92</v>
      </c>
      <c r="L145" s="97" t="str">
        <f t="shared" si="15"/>
        <v>-</v>
      </c>
      <c r="M145" s="97" t="s">
        <v>405</v>
      </c>
      <c r="N145" s="205" t="s">
        <v>615</v>
      </c>
      <c r="O145" s="96" t="s">
        <v>83</v>
      </c>
      <c r="P145" s="96"/>
      <c r="Q145" s="96"/>
      <c r="R145" s="96">
        <v>84</v>
      </c>
      <c r="S145" s="96">
        <v>84</v>
      </c>
      <c r="T145" s="96">
        <f t="shared" si="16"/>
        <v>84</v>
      </c>
      <c r="U145" s="96">
        <f>ROUNDDOWN(S145/HLOOKUP(D145,Table!$C$3:$D$4,2,0)*8,2)</f>
        <v>1.49</v>
      </c>
      <c r="V145" s="96">
        <v>1</v>
      </c>
      <c r="W145" s="24" t="s">
        <v>21</v>
      </c>
      <c r="X145" s="28">
        <v>43907</v>
      </c>
      <c r="Y145" s="120">
        <v>43915</v>
      </c>
      <c r="Z145" s="100">
        <v>43909</v>
      </c>
      <c r="AA145" s="28">
        <v>43915</v>
      </c>
      <c r="AB145" s="96" t="s">
        <v>158</v>
      </c>
      <c r="AC145" s="96">
        <v>100</v>
      </c>
      <c r="AD145" s="96">
        <v>100</v>
      </c>
      <c r="AE145" s="96">
        <v>100</v>
      </c>
      <c r="AF145" s="27" t="s">
        <v>76</v>
      </c>
      <c r="AG145" s="27" t="s">
        <v>76</v>
      </c>
    </row>
    <row r="146" spans="1:33" x14ac:dyDescent="0.25">
      <c r="B146" s="72">
        <f t="shared" si="9"/>
        <v>144</v>
      </c>
      <c r="C146" s="26">
        <v>20200317</v>
      </c>
      <c r="D146" s="24" t="s">
        <v>3</v>
      </c>
      <c r="E146" s="24" t="s">
        <v>349</v>
      </c>
      <c r="F146" s="27" t="s">
        <v>350</v>
      </c>
      <c r="G146" s="203">
        <v>1324814</v>
      </c>
      <c r="H146" s="26" t="s">
        <v>277</v>
      </c>
      <c r="I146" s="49" t="s">
        <v>193</v>
      </c>
      <c r="J146" s="24" t="s">
        <v>403</v>
      </c>
      <c r="K146" s="24" t="s">
        <v>92</v>
      </c>
      <c r="L146" s="27" t="str">
        <f t="shared" si="15"/>
        <v>-</v>
      </c>
      <c r="M146" s="27" t="s">
        <v>405</v>
      </c>
      <c r="N146" s="26" t="s">
        <v>616</v>
      </c>
      <c r="O146" s="24" t="s">
        <v>82</v>
      </c>
      <c r="P146" s="24"/>
      <c r="Q146" s="24"/>
      <c r="R146" s="24">
        <v>259</v>
      </c>
      <c r="S146" s="24">
        <f t="shared" ref="S146:S164" si="17">R146</f>
        <v>259</v>
      </c>
      <c r="T146" s="24">
        <v>259</v>
      </c>
      <c r="U146" s="24">
        <f>ROUNDDOWN(S146/HLOOKUP(D146,Table!$C$3:$D$4,2,0)*8,2)</f>
        <v>4.5999999999999996</v>
      </c>
      <c r="V146" s="24">
        <v>3</v>
      </c>
      <c r="W146" s="24" t="s">
        <v>21</v>
      </c>
      <c r="X146" s="28">
        <v>43907</v>
      </c>
      <c r="Y146" s="28">
        <v>43915</v>
      </c>
      <c r="Z146" s="121">
        <v>43909</v>
      </c>
      <c r="AA146" s="28">
        <v>43915</v>
      </c>
      <c r="AB146" s="31" t="s">
        <v>157</v>
      </c>
      <c r="AC146" s="122">
        <v>100</v>
      </c>
      <c r="AD146" s="122">
        <v>100</v>
      </c>
      <c r="AE146" s="24">
        <v>93</v>
      </c>
      <c r="AF146" s="24" t="s">
        <v>667</v>
      </c>
      <c r="AG146" s="27" t="s">
        <v>76</v>
      </c>
    </row>
    <row r="147" spans="1:33" hidden="1" x14ac:dyDescent="0.25">
      <c r="B147" s="72">
        <f t="shared" si="9"/>
        <v>145</v>
      </c>
      <c r="C147" s="26">
        <v>20200317</v>
      </c>
      <c r="D147" s="24" t="s">
        <v>3</v>
      </c>
      <c r="E147" s="24" t="s">
        <v>385</v>
      </c>
      <c r="F147" s="27" t="s">
        <v>354</v>
      </c>
      <c r="G147" s="206">
        <v>1297584</v>
      </c>
      <c r="H147" s="24" t="s">
        <v>391</v>
      </c>
      <c r="I147" s="49" t="s">
        <v>193</v>
      </c>
      <c r="J147" s="27" t="s">
        <v>76</v>
      </c>
      <c r="K147" s="24" t="s">
        <v>404</v>
      </c>
      <c r="L147" s="27" t="str">
        <f t="shared" si="15"/>
        <v>-</v>
      </c>
      <c r="M147" s="27" t="s">
        <v>406</v>
      </c>
      <c r="N147" s="26" t="s">
        <v>617</v>
      </c>
      <c r="O147" s="42" t="s">
        <v>84</v>
      </c>
      <c r="P147" s="24"/>
      <c r="Q147" s="24"/>
      <c r="R147" s="24">
        <v>34</v>
      </c>
      <c r="S147" s="25">
        <v>439</v>
      </c>
      <c r="T147" s="24">
        <f t="shared" si="16"/>
        <v>439</v>
      </c>
      <c r="U147" s="24">
        <f>ROUNDDOWN(S147/HLOOKUP(D147,Table!$C$3:$D$4,2,0)*8,2)</f>
        <v>7.8</v>
      </c>
      <c r="V147" s="24">
        <v>6</v>
      </c>
      <c r="W147" s="24" t="s">
        <v>21</v>
      </c>
      <c r="X147" s="28">
        <v>43907</v>
      </c>
      <c r="Y147" s="28">
        <v>43915</v>
      </c>
      <c r="Z147" s="28">
        <v>43909</v>
      </c>
      <c r="AA147" s="28">
        <v>43915</v>
      </c>
      <c r="AB147" s="31" t="s">
        <v>157</v>
      </c>
      <c r="AC147" s="24">
        <v>100</v>
      </c>
      <c r="AD147" s="24">
        <v>100</v>
      </c>
      <c r="AE147" s="24">
        <v>36</v>
      </c>
      <c r="AF147" s="27" t="s">
        <v>666</v>
      </c>
      <c r="AG147" s="27" t="s">
        <v>76</v>
      </c>
    </row>
    <row r="148" spans="1:33" hidden="1" x14ac:dyDescent="0.25">
      <c r="B148" s="72">
        <f t="shared" si="9"/>
        <v>146</v>
      </c>
      <c r="C148" s="26">
        <v>20200317</v>
      </c>
      <c r="D148" s="24" t="s">
        <v>3</v>
      </c>
      <c r="E148" s="24" t="s">
        <v>385</v>
      </c>
      <c r="F148" s="27" t="s">
        <v>355</v>
      </c>
      <c r="G148" s="206">
        <v>1297584</v>
      </c>
      <c r="H148" s="24" t="s">
        <v>267</v>
      </c>
      <c r="I148" s="49" t="s">
        <v>193</v>
      </c>
      <c r="J148" s="27" t="s">
        <v>76</v>
      </c>
      <c r="K148" s="24" t="s">
        <v>404</v>
      </c>
      <c r="L148" s="27" t="str">
        <f t="shared" si="15"/>
        <v>-</v>
      </c>
      <c r="M148" s="27" t="s">
        <v>406</v>
      </c>
      <c r="N148" s="26" t="s">
        <v>618</v>
      </c>
      <c r="O148" s="42" t="s">
        <v>84</v>
      </c>
      <c r="P148" s="24"/>
      <c r="Q148" s="24"/>
      <c r="R148" s="24">
        <v>130</v>
      </c>
      <c r="S148" s="25">
        <v>119</v>
      </c>
      <c r="T148" s="24">
        <f t="shared" si="16"/>
        <v>119</v>
      </c>
      <c r="U148" s="24">
        <f>ROUNDDOWN(S148/HLOOKUP(D148,Table!$C$3:$D$4,2,0)*8,2)</f>
        <v>2.11</v>
      </c>
      <c r="V148" s="24">
        <v>2</v>
      </c>
      <c r="W148" s="24" t="s">
        <v>21</v>
      </c>
      <c r="X148" s="28">
        <v>43907</v>
      </c>
      <c r="Y148" s="28">
        <v>43915</v>
      </c>
      <c r="Z148" s="28">
        <v>43909</v>
      </c>
      <c r="AA148" s="28">
        <v>43915</v>
      </c>
      <c r="AB148" s="31" t="s">
        <v>158</v>
      </c>
      <c r="AC148" s="24">
        <v>100</v>
      </c>
      <c r="AD148" s="24">
        <v>100</v>
      </c>
      <c r="AE148" s="24">
        <v>100</v>
      </c>
      <c r="AF148" s="27" t="s">
        <v>76</v>
      </c>
      <c r="AG148" s="27" t="s">
        <v>76</v>
      </c>
    </row>
    <row r="149" spans="1:33" hidden="1" x14ac:dyDescent="0.25">
      <c r="B149" s="72">
        <f t="shared" si="9"/>
        <v>147</v>
      </c>
      <c r="C149" s="26">
        <v>20200317</v>
      </c>
      <c r="D149" s="24" t="s">
        <v>3</v>
      </c>
      <c r="E149" s="24" t="s">
        <v>385</v>
      </c>
      <c r="F149" s="27" t="s">
        <v>355</v>
      </c>
      <c r="G149" s="206">
        <v>1297584</v>
      </c>
      <c r="H149" s="24" t="s">
        <v>392</v>
      </c>
      <c r="I149" s="49" t="s">
        <v>193</v>
      </c>
      <c r="J149" s="27" t="s">
        <v>76</v>
      </c>
      <c r="K149" s="24" t="s">
        <v>404</v>
      </c>
      <c r="L149" s="27" t="str">
        <f t="shared" si="15"/>
        <v>-</v>
      </c>
      <c r="M149" s="27" t="s">
        <v>406</v>
      </c>
      <c r="N149" s="26" t="s">
        <v>619</v>
      </c>
      <c r="O149" s="42" t="s">
        <v>84</v>
      </c>
      <c r="P149" s="24"/>
      <c r="Q149" s="24"/>
      <c r="R149" s="24">
        <v>29</v>
      </c>
      <c r="S149" s="24">
        <f t="shared" si="17"/>
        <v>29</v>
      </c>
      <c r="T149" s="24">
        <f t="shared" si="16"/>
        <v>29</v>
      </c>
      <c r="U149" s="24">
        <f>ROUNDDOWN(S149/HLOOKUP(D149,Table!$C$3:$D$4,2,0)*8,2)</f>
        <v>0.51</v>
      </c>
      <c r="V149" s="24">
        <v>0.5</v>
      </c>
      <c r="W149" s="24" t="s">
        <v>21</v>
      </c>
      <c r="X149" s="28">
        <v>43907</v>
      </c>
      <c r="Y149" s="28">
        <v>43915</v>
      </c>
      <c r="Z149" s="28">
        <v>43913</v>
      </c>
      <c r="AA149" s="28">
        <v>43915</v>
      </c>
      <c r="AB149" s="31" t="s">
        <v>158</v>
      </c>
      <c r="AC149" s="24">
        <v>100</v>
      </c>
      <c r="AD149" s="24">
        <v>100</v>
      </c>
      <c r="AE149" s="24">
        <v>100</v>
      </c>
      <c r="AF149" s="27" t="s">
        <v>76</v>
      </c>
      <c r="AG149" s="27" t="s">
        <v>76</v>
      </c>
    </row>
    <row r="150" spans="1:33" x14ac:dyDescent="0.25">
      <c r="B150" s="72">
        <f t="shared" si="9"/>
        <v>148</v>
      </c>
      <c r="C150" s="26">
        <v>20200317</v>
      </c>
      <c r="D150" s="24" t="s">
        <v>3</v>
      </c>
      <c r="E150" s="24" t="s">
        <v>385</v>
      </c>
      <c r="F150" s="27" t="s">
        <v>355</v>
      </c>
      <c r="G150" s="206">
        <v>1297584</v>
      </c>
      <c r="H150" s="26" t="s">
        <v>393</v>
      </c>
      <c r="I150" s="49" t="s">
        <v>193</v>
      </c>
      <c r="J150" s="27" t="s">
        <v>76</v>
      </c>
      <c r="K150" s="24" t="s">
        <v>404</v>
      </c>
      <c r="L150" s="27" t="str">
        <f t="shared" si="15"/>
        <v>-</v>
      </c>
      <c r="M150" s="27" t="s">
        <v>406</v>
      </c>
      <c r="N150" s="26" t="s">
        <v>620</v>
      </c>
      <c r="O150" s="24" t="s">
        <v>82</v>
      </c>
      <c r="P150" s="24"/>
      <c r="Q150" s="24"/>
      <c r="R150" s="24">
        <v>162</v>
      </c>
      <c r="S150" s="24">
        <f t="shared" si="17"/>
        <v>162</v>
      </c>
      <c r="T150" s="24">
        <f>S150</f>
        <v>162</v>
      </c>
      <c r="U150" s="24">
        <f>ROUNDDOWN(S150/HLOOKUP(D150,Table!$C$3:$D$4,2,0)*8,2)</f>
        <v>2.88</v>
      </c>
      <c r="V150" s="24">
        <v>1.5</v>
      </c>
      <c r="W150" s="24" t="s">
        <v>21</v>
      </c>
      <c r="X150" s="28">
        <v>43907</v>
      </c>
      <c r="Y150" s="28">
        <v>43915</v>
      </c>
      <c r="Z150" s="28">
        <v>43913</v>
      </c>
      <c r="AA150" s="28">
        <v>43915</v>
      </c>
      <c r="AB150" s="31" t="s">
        <v>158</v>
      </c>
      <c r="AC150" s="24">
        <v>100</v>
      </c>
      <c r="AD150" s="24">
        <v>100</v>
      </c>
      <c r="AE150" s="24">
        <v>100</v>
      </c>
      <c r="AF150" s="27" t="s">
        <v>76</v>
      </c>
      <c r="AG150" s="27" t="s">
        <v>76</v>
      </c>
    </row>
    <row r="151" spans="1:33" hidden="1" x14ac:dyDescent="0.25">
      <c r="B151" s="72">
        <f t="shared" si="9"/>
        <v>149</v>
      </c>
      <c r="C151" s="26">
        <v>20200317</v>
      </c>
      <c r="D151" s="24" t="s">
        <v>3</v>
      </c>
      <c r="E151" s="24" t="s">
        <v>385</v>
      </c>
      <c r="F151" s="27" t="s">
        <v>355</v>
      </c>
      <c r="G151" s="206">
        <v>1297584</v>
      </c>
      <c r="H151" s="24" t="s">
        <v>394</v>
      </c>
      <c r="I151" s="49" t="s">
        <v>193</v>
      </c>
      <c r="J151" s="27" t="s">
        <v>76</v>
      </c>
      <c r="K151" s="24" t="s">
        <v>404</v>
      </c>
      <c r="L151" s="27" t="str">
        <f t="shared" si="15"/>
        <v>-</v>
      </c>
      <c r="M151" s="27" t="s">
        <v>406</v>
      </c>
      <c r="N151" s="26" t="s">
        <v>621</v>
      </c>
      <c r="O151" s="42" t="s">
        <v>84</v>
      </c>
      <c r="P151" s="24"/>
      <c r="Q151" s="24"/>
      <c r="R151" s="24">
        <v>95</v>
      </c>
      <c r="S151" s="24">
        <f t="shared" si="17"/>
        <v>95</v>
      </c>
      <c r="T151" s="24">
        <f t="shared" si="16"/>
        <v>95</v>
      </c>
      <c r="U151" s="24">
        <f>ROUNDDOWN(S151/HLOOKUP(D151,Table!$C$3:$D$4,2,0)*8,2)</f>
        <v>1.68</v>
      </c>
      <c r="V151" s="24">
        <v>1</v>
      </c>
      <c r="W151" s="24" t="s">
        <v>21</v>
      </c>
      <c r="X151" s="28">
        <v>43907</v>
      </c>
      <c r="Y151" s="28">
        <v>43915</v>
      </c>
      <c r="Z151" s="28">
        <v>43913</v>
      </c>
      <c r="AA151" s="28">
        <v>43915</v>
      </c>
      <c r="AB151" s="31" t="s">
        <v>158</v>
      </c>
      <c r="AC151" s="24">
        <v>100</v>
      </c>
      <c r="AD151" s="24">
        <v>100</v>
      </c>
      <c r="AE151" s="24">
        <v>100</v>
      </c>
      <c r="AF151" s="27" t="s">
        <v>76</v>
      </c>
      <c r="AG151" s="27" t="s">
        <v>76</v>
      </c>
    </row>
    <row r="152" spans="1:33" x14ac:dyDescent="0.25">
      <c r="B152" s="72">
        <f t="shared" si="9"/>
        <v>150</v>
      </c>
      <c r="C152" s="26">
        <v>20200317</v>
      </c>
      <c r="D152" s="24" t="s">
        <v>3</v>
      </c>
      <c r="E152" s="24" t="s">
        <v>385</v>
      </c>
      <c r="F152" s="27" t="s">
        <v>355</v>
      </c>
      <c r="G152" s="206">
        <v>1297584</v>
      </c>
      <c r="H152" s="26" t="s">
        <v>395</v>
      </c>
      <c r="I152" s="49" t="s">
        <v>193</v>
      </c>
      <c r="J152" s="27" t="s">
        <v>76</v>
      </c>
      <c r="K152" s="24" t="s">
        <v>404</v>
      </c>
      <c r="L152" s="27" t="str">
        <f t="shared" si="15"/>
        <v>-</v>
      </c>
      <c r="M152" s="27" t="s">
        <v>406</v>
      </c>
      <c r="N152" s="26" t="s">
        <v>622</v>
      </c>
      <c r="O152" s="24" t="s">
        <v>82</v>
      </c>
      <c r="P152" s="24"/>
      <c r="Q152" s="24"/>
      <c r="R152" s="24">
        <v>170</v>
      </c>
      <c r="S152" s="24">
        <f t="shared" si="17"/>
        <v>170</v>
      </c>
      <c r="T152" s="24">
        <v>170</v>
      </c>
      <c r="U152" s="24">
        <f>ROUNDDOWN(S152/HLOOKUP(D152,Table!$C$3:$D$4,2,0)*8,2)</f>
        <v>3.02</v>
      </c>
      <c r="V152" s="24">
        <v>1.5</v>
      </c>
      <c r="W152" s="24" t="s">
        <v>21</v>
      </c>
      <c r="X152" s="28">
        <v>43907</v>
      </c>
      <c r="Y152" s="28">
        <v>43915</v>
      </c>
      <c r="Z152" s="28">
        <v>43913</v>
      </c>
      <c r="AA152" s="28">
        <v>43915</v>
      </c>
      <c r="AB152" s="31" t="s">
        <v>158</v>
      </c>
      <c r="AC152" s="24">
        <v>100</v>
      </c>
      <c r="AD152" s="24">
        <v>100</v>
      </c>
      <c r="AE152" s="24">
        <v>100</v>
      </c>
      <c r="AF152" s="27" t="s">
        <v>76</v>
      </c>
      <c r="AG152" s="27" t="s">
        <v>76</v>
      </c>
    </row>
    <row r="153" spans="1:33" hidden="1" x14ac:dyDescent="0.25">
      <c r="B153" s="72">
        <f t="shared" si="9"/>
        <v>151</v>
      </c>
      <c r="C153" s="26">
        <v>20200317</v>
      </c>
      <c r="D153" s="24" t="s">
        <v>3</v>
      </c>
      <c r="E153" s="24" t="s">
        <v>385</v>
      </c>
      <c r="F153" s="27" t="s">
        <v>356</v>
      </c>
      <c r="G153" s="206">
        <v>1297584</v>
      </c>
      <c r="H153" s="24" t="s">
        <v>396</v>
      </c>
      <c r="I153" s="49" t="s">
        <v>193</v>
      </c>
      <c r="J153" s="27" t="s">
        <v>76</v>
      </c>
      <c r="K153" s="24" t="s">
        <v>404</v>
      </c>
      <c r="L153" s="27" t="str">
        <f t="shared" si="15"/>
        <v>-</v>
      </c>
      <c r="M153" s="27" t="s">
        <v>406</v>
      </c>
      <c r="N153" s="26" t="s">
        <v>623</v>
      </c>
      <c r="O153" s="42" t="s">
        <v>84</v>
      </c>
      <c r="P153" s="24"/>
      <c r="Q153" s="24"/>
      <c r="R153" s="24">
        <v>10</v>
      </c>
      <c r="S153" s="24">
        <f t="shared" si="17"/>
        <v>10</v>
      </c>
      <c r="T153" s="24">
        <f t="shared" si="16"/>
        <v>10</v>
      </c>
      <c r="U153" s="24">
        <f>ROUNDDOWN(S153/HLOOKUP(D153,Table!$C$3:$D$4,2,0)*8,2)</f>
        <v>0.17</v>
      </c>
      <c r="V153" s="24">
        <v>0.5</v>
      </c>
      <c r="W153" s="24" t="s">
        <v>21</v>
      </c>
      <c r="X153" s="28">
        <v>43907</v>
      </c>
      <c r="Y153" s="28">
        <v>43915</v>
      </c>
      <c r="Z153" s="28">
        <v>43913</v>
      </c>
      <c r="AA153" s="28">
        <v>43915</v>
      </c>
      <c r="AB153" s="31" t="s">
        <v>158</v>
      </c>
      <c r="AC153" s="24">
        <v>100</v>
      </c>
      <c r="AD153" s="24">
        <v>100</v>
      </c>
      <c r="AE153" s="24">
        <v>100</v>
      </c>
      <c r="AF153" s="27" t="s">
        <v>76</v>
      </c>
      <c r="AG153" s="27" t="s">
        <v>76</v>
      </c>
    </row>
    <row r="154" spans="1:33" hidden="1" x14ac:dyDescent="0.25">
      <c r="B154" s="106">
        <f t="shared" si="9"/>
        <v>152</v>
      </c>
      <c r="C154" s="26">
        <v>20200318</v>
      </c>
      <c r="D154" s="24" t="s">
        <v>3</v>
      </c>
      <c r="E154" s="24" t="s">
        <v>409</v>
      </c>
      <c r="F154" s="27" t="s">
        <v>411</v>
      </c>
      <c r="G154" s="24">
        <v>1375788</v>
      </c>
      <c r="H154" s="24" t="s">
        <v>412</v>
      </c>
      <c r="I154" s="49" t="s">
        <v>193</v>
      </c>
      <c r="J154" s="27" t="s">
        <v>76</v>
      </c>
      <c r="K154" s="24" t="s">
        <v>416</v>
      </c>
      <c r="L154" s="27" t="str">
        <f t="shared" si="15"/>
        <v>-</v>
      </c>
      <c r="M154" s="27" t="s">
        <v>418</v>
      </c>
      <c r="N154" s="26" t="s">
        <v>624</v>
      </c>
      <c r="O154" s="42" t="s">
        <v>84</v>
      </c>
      <c r="P154" s="24"/>
      <c r="Q154" s="24"/>
      <c r="R154" s="24">
        <v>125</v>
      </c>
      <c r="S154" s="26">
        <f t="shared" si="17"/>
        <v>125</v>
      </c>
      <c r="T154" s="24">
        <f t="shared" si="16"/>
        <v>125</v>
      </c>
      <c r="U154" s="24">
        <f>ROUNDDOWN(S154/HLOOKUP(D154,Table!$C$3:$D$4,2,0)*8,2)</f>
        <v>2.2200000000000002</v>
      </c>
      <c r="V154" s="24">
        <v>2</v>
      </c>
      <c r="W154" s="24" t="s">
        <v>21</v>
      </c>
      <c r="X154" s="28">
        <v>43915</v>
      </c>
      <c r="Y154" s="28">
        <v>43916</v>
      </c>
      <c r="Z154" s="28">
        <v>43913</v>
      </c>
      <c r="AA154" s="28">
        <v>43916</v>
      </c>
      <c r="AB154" s="31" t="s">
        <v>158</v>
      </c>
      <c r="AC154" s="24">
        <v>100</v>
      </c>
      <c r="AD154" s="24">
        <v>100</v>
      </c>
      <c r="AE154" s="24">
        <v>100</v>
      </c>
      <c r="AF154" s="27" t="s">
        <v>76</v>
      </c>
      <c r="AG154" s="27" t="s">
        <v>76</v>
      </c>
    </row>
    <row r="155" spans="1:33" hidden="1" x14ac:dyDescent="0.25">
      <c r="B155" s="106">
        <f t="shared" si="9"/>
        <v>153</v>
      </c>
      <c r="C155" s="26">
        <v>20200318</v>
      </c>
      <c r="D155" s="24" t="s">
        <v>3</v>
      </c>
      <c r="E155" s="24" t="s">
        <v>409</v>
      </c>
      <c r="F155" s="27" t="s">
        <v>411</v>
      </c>
      <c r="G155" s="24">
        <v>1375788</v>
      </c>
      <c r="H155" s="24" t="s">
        <v>413</v>
      </c>
      <c r="I155" s="49" t="s">
        <v>193</v>
      </c>
      <c r="J155" s="27" t="s">
        <v>76</v>
      </c>
      <c r="K155" s="24" t="s">
        <v>416</v>
      </c>
      <c r="L155" s="27" t="str">
        <f t="shared" si="15"/>
        <v>-</v>
      </c>
      <c r="M155" s="27" t="s">
        <v>418</v>
      </c>
      <c r="N155" s="26" t="s">
        <v>625</v>
      </c>
      <c r="O155" s="42" t="s">
        <v>84</v>
      </c>
      <c r="P155" s="24"/>
      <c r="Q155" s="24"/>
      <c r="R155" s="24">
        <v>33</v>
      </c>
      <c r="S155" s="26">
        <f t="shared" si="17"/>
        <v>33</v>
      </c>
      <c r="T155" s="24">
        <f t="shared" si="16"/>
        <v>33</v>
      </c>
      <c r="U155" s="24">
        <f>ROUNDDOWN(S155/HLOOKUP(D155,Table!$C$3:$D$4,2,0)*8,2)</f>
        <v>0.57999999999999996</v>
      </c>
      <c r="V155" s="24">
        <v>0.5</v>
      </c>
      <c r="W155" s="24" t="s">
        <v>21</v>
      </c>
      <c r="X155" s="28">
        <v>43915</v>
      </c>
      <c r="Y155" s="28">
        <v>43916</v>
      </c>
      <c r="Z155" s="28">
        <v>43913</v>
      </c>
      <c r="AA155" s="28">
        <v>43916</v>
      </c>
      <c r="AB155" s="31"/>
      <c r="AC155" s="24" t="s">
        <v>76</v>
      </c>
      <c r="AD155" s="24" t="s">
        <v>76</v>
      </c>
      <c r="AE155" s="24" t="s">
        <v>76</v>
      </c>
      <c r="AF155" s="24" t="s">
        <v>291</v>
      </c>
      <c r="AG155" s="27" t="s">
        <v>76</v>
      </c>
    </row>
    <row r="156" spans="1:33" hidden="1" x14ac:dyDescent="0.25">
      <c r="B156" s="106">
        <f t="shared" si="9"/>
        <v>154</v>
      </c>
      <c r="C156" s="26">
        <v>20200318</v>
      </c>
      <c r="D156" s="24" t="s">
        <v>3</v>
      </c>
      <c r="E156" s="24" t="s">
        <v>410</v>
      </c>
      <c r="F156" s="43" t="s">
        <v>424</v>
      </c>
      <c r="G156" s="24">
        <v>1373324</v>
      </c>
      <c r="H156" s="24" t="s">
        <v>414</v>
      </c>
      <c r="I156" s="49" t="s">
        <v>193</v>
      </c>
      <c r="J156" s="27" t="s">
        <v>76</v>
      </c>
      <c r="K156" s="24" t="s">
        <v>417</v>
      </c>
      <c r="L156" s="27" t="str">
        <f t="shared" si="15"/>
        <v>-</v>
      </c>
      <c r="M156" s="27" t="s">
        <v>419</v>
      </c>
      <c r="N156" s="26" t="s">
        <v>626</v>
      </c>
      <c r="O156" s="42" t="s">
        <v>84</v>
      </c>
      <c r="P156" s="24"/>
      <c r="Q156" s="24"/>
      <c r="R156" s="24">
        <v>178</v>
      </c>
      <c r="S156" s="24">
        <f t="shared" si="17"/>
        <v>178</v>
      </c>
      <c r="T156" s="24">
        <v>178</v>
      </c>
      <c r="U156" s="24">
        <f>ROUNDDOWN(S156/HLOOKUP(D156,Table!$C$3:$D$4,2,0)*8,2)</f>
        <v>3.16</v>
      </c>
      <c r="V156" s="24">
        <v>3</v>
      </c>
      <c r="W156" s="24" t="s">
        <v>21</v>
      </c>
      <c r="X156" s="28">
        <v>43915</v>
      </c>
      <c r="Y156" s="28">
        <v>43916</v>
      </c>
      <c r="Z156" s="28">
        <v>43914</v>
      </c>
      <c r="AA156" s="28">
        <v>43914</v>
      </c>
      <c r="AB156" s="31" t="s">
        <v>158</v>
      </c>
      <c r="AC156" s="24">
        <v>100</v>
      </c>
      <c r="AD156" s="24">
        <v>100</v>
      </c>
      <c r="AE156" s="24">
        <v>100</v>
      </c>
      <c r="AF156" s="27" t="s">
        <v>76</v>
      </c>
      <c r="AG156" s="27" t="s">
        <v>76</v>
      </c>
    </row>
    <row r="157" spans="1:33" x14ac:dyDescent="0.25">
      <c r="B157" s="106">
        <f t="shared" si="9"/>
        <v>155</v>
      </c>
      <c r="C157" s="26">
        <v>20200318</v>
      </c>
      <c r="D157" s="24" t="s">
        <v>3</v>
      </c>
      <c r="E157" s="24" t="s">
        <v>410</v>
      </c>
      <c r="F157" s="27" t="s">
        <v>424</v>
      </c>
      <c r="G157" s="24">
        <v>1373324</v>
      </c>
      <c r="H157" s="26" t="s">
        <v>415</v>
      </c>
      <c r="I157" s="49" t="s">
        <v>193</v>
      </c>
      <c r="J157" s="27" t="s">
        <v>76</v>
      </c>
      <c r="K157" s="24" t="s">
        <v>417</v>
      </c>
      <c r="L157" s="27" t="str">
        <f t="shared" si="15"/>
        <v>-</v>
      </c>
      <c r="M157" s="27" t="s">
        <v>419</v>
      </c>
      <c r="N157" s="26" t="s">
        <v>627</v>
      </c>
      <c r="O157" s="24" t="s">
        <v>82</v>
      </c>
      <c r="P157" s="24"/>
      <c r="Q157" s="24"/>
      <c r="R157" s="24">
        <v>196</v>
      </c>
      <c r="S157" s="24">
        <f t="shared" si="17"/>
        <v>196</v>
      </c>
      <c r="T157" s="24">
        <v>196</v>
      </c>
      <c r="U157" s="24">
        <f>ROUNDDOWN(S157/HLOOKUP(D157,Table!$C$3:$D$4,2,0)*8,2)</f>
        <v>3.48</v>
      </c>
      <c r="V157" s="24">
        <v>3</v>
      </c>
      <c r="W157" s="24" t="s">
        <v>21</v>
      </c>
      <c r="X157" s="28">
        <v>43915</v>
      </c>
      <c r="Y157" s="28">
        <v>43916</v>
      </c>
      <c r="Z157" s="28">
        <v>43913</v>
      </c>
      <c r="AA157" s="28">
        <v>43916</v>
      </c>
      <c r="AB157" s="31" t="s">
        <v>158</v>
      </c>
      <c r="AC157" s="24">
        <v>100</v>
      </c>
      <c r="AD157" s="24">
        <v>100</v>
      </c>
      <c r="AE157" s="24">
        <v>100</v>
      </c>
      <c r="AF157" s="27" t="s">
        <v>76</v>
      </c>
      <c r="AG157" s="27" t="s">
        <v>76</v>
      </c>
    </row>
    <row r="158" spans="1:33" x14ac:dyDescent="0.25">
      <c r="B158" s="106">
        <f t="shared" si="9"/>
        <v>156</v>
      </c>
      <c r="C158" s="24">
        <v>20200319</v>
      </c>
      <c r="D158" s="24" t="s">
        <v>3</v>
      </c>
      <c r="E158" s="42" t="s">
        <v>420</v>
      </c>
      <c r="F158" s="43" t="s">
        <v>421</v>
      </c>
      <c r="G158" s="42">
        <v>1380105</v>
      </c>
      <c r="H158" s="26" t="s">
        <v>422</v>
      </c>
      <c r="I158" s="49" t="s">
        <v>193</v>
      </c>
      <c r="J158" s="27" t="s">
        <v>76</v>
      </c>
      <c r="K158" s="24" t="s">
        <v>417</v>
      </c>
      <c r="L158" s="27" t="str">
        <f t="shared" si="15"/>
        <v>-</v>
      </c>
      <c r="M158" s="43" t="s">
        <v>423</v>
      </c>
      <c r="N158" s="26" t="s">
        <v>628</v>
      </c>
      <c r="O158" s="24" t="s">
        <v>82</v>
      </c>
      <c r="P158" s="24"/>
      <c r="Q158" s="24"/>
      <c r="R158" s="24">
        <v>417</v>
      </c>
      <c r="S158" s="24">
        <f t="shared" si="17"/>
        <v>417</v>
      </c>
      <c r="T158" s="24">
        <v>417</v>
      </c>
      <c r="U158" s="24">
        <f>ROUNDDOWN(S158/HLOOKUP(D158,Table!$C$3:$D$4,2,0)*8,2)</f>
        <v>7.41</v>
      </c>
      <c r="V158" s="24">
        <v>5</v>
      </c>
      <c r="W158" s="24" t="s">
        <v>21</v>
      </c>
      <c r="X158" s="28">
        <v>43915</v>
      </c>
      <c r="Y158" s="28">
        <v>43916</v>
      </c>
      <c r="Z158" s="28">
        <v>43913</v>
      </c>
      <c r="AA158" s="28">
        <v>43916</v>
      </c>
      <c r="AB158" s="31" t="s">
        <v>157</v>
      </c>
      <c r="AC158" s="24">
        <v>93</v>
      </c>
      <c r="AD158" s="24">
        <v>94</v>
      </c>
      <c r="AE158" s="24">
        <v>66</v>
      </c>
      <c r="AF158" s="24" t="s">
        <v>667</v>
      </c>
      <c r="AG158" s="27" t="s">
        <v>76</v>
      </c>
    </row>
    <row r="159" spans="1:33" hidden="1" x14ac:dyDescent="0.25">
      <c r="B159" s="119">
        <f t="shared" si="9"/>
        <v>157</v>
      </c>
      <c r="C159" s="24">
        <v>20200319</v>
      </c>
      <c r="D159" s="25" t="s">
        <v>2</v>
      </c>
      <c r="E159" s="24" t="s">
        <v>432</v>
      </c>
      <c r="F159" s="27" t="s">
        <v>76</v>
      </c>
      <c r="G159" s="24">
        <v>1380028</v>
      </c>
      <c r="H159" s="24" t="s">
        <v>435</v>
      </c>
      <c r="I159" s="27" t="s">
        <v>76</v>
      </c>
      <c r="J159" s="27" t="s">
        <v>76</v>
      </c>
      <c r="K159" s="24" t="s">
        <v>441</v>
      </c>
      <c r="L159" s="27" t="s">
        <v>748</v>
      </c>
      <c r="M159" s="27" t="s">
        <v>445</v>
      </c>
      <c r="N159" s="26" t="s">
        <v>629</v>
      </c>
      <c r="O159" s="24" t="s">
        <v>84</v>
      </c>
      <c r="P159" s="24"/>
      <c r="Q159" s="24"/>
      <c r="R159" s="24">
        <v>14</v>
      </c>
      <c r="S159" s="24">
        <f t="shared" si="17"/>
        <v>14</v>
      </c>
      <c r="T159" s="24">
        <v>14</v>
      </c>
      <c r="U159" s="24">
        <f>ROUNDDOWN(S159/HLOOKUP(D159,Table!$C$3:$D$4,2,0)*8,2)</f>
        <v>0.86</v>
      </c>
      <c r="V159" s="24">
        <v>2</v>
      </c>
      <c r="W159" s="24" t="s">
        <v>21</v>
      </c>
      <c r="X159" s="28">
        <v>43913</v>
      </c>
      <c r="Y159" s="28">
        <v>43917</v>
      </c>
      <c r="Z159" s="28">
        <v>43914</v>
      </c>
      <c r="AA159" s="28">
        <v>43914</v>
      </c>
      <c r="AB159" s="31" t="s">
        <v>158</v>
      </c>
      <c r="AC159" s="24">
        <v>100</v>
      </c>
      <c r="AD159" s="24">
        <v>100</v>
      </c>
      <c r="AE159" s="24">
        <v>100</v>
      </c>
      <c r="AF159" s="27" t="s">
        <v>76</v>
      </c>
      <c r="AG159" s="27" t="s">
        <v>76</v>
      </c>
    </row>
    <row r="160" spans="1:33" hidden="1" x14ac:dyDescent="0.25">
      <c r="B160" s="119">
        <f t="shared" si="9"/>
        <v>158</v>
      </c>
      <c r="C160" s="24">
        <v>20200319</v>
      </c>
      <c r="D160" s="25" t="s">
        <v>2</v>
      </c>
      <c r="E160" s="24" t="s">
        <v>349</v>
      </c>
      <c r="F160" s="27" t="s">
        <v>76</v>
      </c>
      <c r="G160" s="24">
        <v>1379963</v>
      </c>
      <c r="H160" s="24" t="s">
        <v>470</v>
      </c>
      <c r="I160" s="27" t="s">
        <v>76</v>
      </c>
      <c r="J160" s="27" t="s">
        <v>76</v>
      </c>
      <c r="K160" s="24" t="s">
        <v>442</v>
      </c>
      <c r="L160" s="27" t="s">
        <v>744</v>
      </c>
      <c r="M160" s="27" t="s">
        <v>446</v>
      </c>
      <c r="N160" s="26" t="s">
        <v>630</v>
      </c>
      <c r="O160" s="24" t="s">
        <v>83</v>
      </c>
      <c r="P160" s="24"/>
      <c r="Q160" s="24"/>
      <c r="R160" s="24">
        <v>62</v>
      </c>
      <c r="S160" s="24">
        <f>R160+18</f>
        <v>80</v>
      </c>
      <c r="T160" s="24">
        <f>S160</f>
        <v>80</v>
      </c>
      <c r="U160" s="24">
        <f>ROUNDDOWN(S160/HLOOKUP(D160,Table!$C$3:$D$4,2,0)*8,2)</f>
        <v>4.92</v>
      </c>
      <c r="V160" s="24">
        <v>6</v>
      </c>
      <c r="W160" s="24" t="s">
        <v>21</v>
      </c>
      <c r="X160" s="28">
        <v>43913</v>
      </c>
      <c r="Y160" s="28">
        <v>43917</v>
      </c>
      <c r="Z160" s="28">
        <v>43914</v>
      </c>
      <c r="AA160" s="28">
        <v>43914</v>
      </c>
      <c r="AB160" s="31" t="s">
        <v>158</v>
      </c>
      <c r="AC160" s="96">
        <v>100</v>
      </c>
      <c r="AD160" s="96">
        <v>100</v>
      </c>
      <c r="AE160" s="96">
        <v>100</v>
      </c>
      <c r="AF160" s="27" t="s">
        <v>76</v>
      </c>
      <c r="AG160" s="27" t="s">
        <v>76</v>
      </c>
    </row>
    <row r="161" spans="1:33" hidden="1" x14ac:dyDescent="0.25">
      <c r="B161" s="119">
        <f t="shared" ref="B161:B224" si="18">B160+1</f>
        <v>159</v>
      </c>
      <c r="C161" s="24">
        <v>20200319</v>
      </c>
      <c r="D161" s="25" t="s">
        <v>2</v>
      </c>
      <c r="E161" s="24" t="s">
        <v>349</v>
      </c>
      <c r="F161" s="27" t="s">
        <v>76</v>
      </c>
      <c r="G161" s="24">
        <v>1379963</v>
      </c>
      <c r="H161" s="24" t="s">
        <v>436</v>
      </c>
      <c r="I161" s="27" t="s">
        <v>76</v>
      </c>
      <c r="J161" s="27" t="s">
        <v>76</v>
      </c>
      <c r="K161" s="24" t="s">
        <v>442</v>
      </c>
      <c r="L161" s="27" t="s">
        <v>745</v>
      </c>
      <c r="M161" s="27" t="s">
        <v>446</v>
      </c>
      <c r="N161" s="26" t="s">
        <v>680</v>
      </c>
      <c r="O161" s="24" t="s">
        <v>85</v>
      </c>
      <c r="P161" s="24"/>
      <c r="Q161" s="24"/>
      <c r="R161" s="24">
        <v>32</v>
      </c>
      <c r="S161" s="24">
        <f t="shared" si="17"/>
        <v>32</v>
      </c>
      <c r="T161" s="24">
        <f>S161</f>
        <v>32</v>
      </c>
      <c r="U161" s="24">
        <f>ROUNDDOWN(S161/HLOOKUP(D161,Table!$C$3:$D$4,2,0)*8,2)</f>
        <v>1.96</v>
      </c>
      <c r="V161" s="24">
        <v>1.5</v>
      </c>
      <c r="W161" s="24" t="s">
        <v>21</v>
      </c>
      <c r="X161" s="28">
        <v>43913</v>
      </c>
      <c r="Y161" s="28">
        <v>43917</v>
      </c>
      <c r="Z161" s="123">
        <v>43914</v>
      </c>
      <c r="AA161" s="123">
        <v>43914</v>
      </c>
      <c r="AB161" s="31" t="s">
        <v>158</v>
      </c>
      <c r="AC161" s="24">
        <v>100</v>
      </c>
      <c r="AD161" s="24">
        <v>100</v>
      </c>
      <c r="AE161" s="24">
        <v>100</v>
      </c>
      <c r="AF161" s="27" t="s">
        <v>76</v>
      </c>
      <c r="AG161" s="27" t="s">
        <v>76</v>
      </c>
    </row>
    <row r="162" spans="1:33" hidden="1" x14ac:dyDescent="0.25">
      <c r="B162" s="119">
        <f t="shared" si="18"/>
        <v>160</v>
      </c>
      <c r="C162" s="24">
        <v>20200319</v>
      </c>
      <c r="D162" s="25" t="s">
        <v>2</v>
      </c>
      <c r="E162" s="24" t="s">
        <v>349</v>
      </c>
      <c r="F162" s="27" t="s">
        <v>76</v>
      </c>
      <c r="G162" s="24">
        <v>1379963</v>
      </c>
      <c r="H162" s="24" t="s">
        <v>437</v>
      </c>
      <c r="I162" s="27" t="s">
        <v>76</v>
      </c>
      <c r="J162" s="27" t="s">
        <v>76</v>
      </c>
      <c r="K162" s="24" t="s">
        <v>442</v>
      </c>
      <c r="L162" s="24" t="s">
        <v>749</v>
      </c>
      <c r="M162" s="27" t="s">
        <v>446</v>
      </c>
      <c r="N162" s="26" t="s">
        <v>681</v>
      </c>
      <c r="O162" s="24" t="s">
        <v>85</v>
      </c>
      <c r="P162" s="24"/>
      <c r="Q162" s="24"/>
      <c r="R162" s="24">
        <v>11</v>
      </c>
      <c r="S162" s="24">
        <f t="shared" si="17"/>
        <v>11</v>
      </c>
      <c r="T162" s="24">
        <f>S162</f>
        <v>11</v>
      </c>
      <c r="U162" s="24">
        <f>ROUNDDOWN(S162/HLOOKUP(D162,Table!$C$3:$D$4,2,0)*8,2)</f>
        <v>0.67</v>
      </c>
      <c r="V162" s="24">
        <v>1</v>
      </c>
      <c r="W162" s="24" t="s">
        <v>21</v>
      </c>
      <c r="X162" s="28">
        <v>43913</v>
      </c>
      <c r="Y162" s="28">
        <v>43917</v>
      </c>
      <c r="Z162" s="123">
        <v>43914</v>
      </c>
      <c r="AA162" s="123">
        <v>43914</v>
      </c>
      <c r="AB162" s="31" t="s">
        <v>157</v>
      </c>
      <c r="AC162" s="24">
        <v>100</v>
      </c>
      <c r="AD162" s="24">
        <v>100</v>
      </c>
      <c r="AE162" s="24">
        <v>66.7</v>
      </c>
      <c r="AF162" s="24" t="s">
        <v>631</v>
      </c>
      <c r="AG162" s="27" t="s">
        <v>76</v>
      </c>
    </row>
    <row r="163" spans="1:33" hidden="1" x14ac:dyDescent="0.25">
      <c r="B163" s="119">
        <f t="shared" si="18"/>
        <v>161</v>
      </c>
      <c r="C163" s="24">
        <v>20200319</v>
      </c>
      <c r="D163" s="25" t="s">
        <v>2</v>
      </c>
      <c r="E163" s="24" t="s">
        <v>349</v>
      </c>
      <c r="F163" s="27" t="s">
        <v>76</v>
      </c>
      <c r="G163" s="24">
        <v>1379963</v>
      </c>
      <c r="H163" s="24" t="s">
        <v>438</v>
      </c>
      <c r="I163" s="27" t="s">
        <v>76</v>
      </c>
      <c r="J163" s="27" t="s">
        <v>76</v>
      </c>
      <c r="K163" s="24" t="s">
        <v>442</v>
      </c>
      <c r="L163" s="24" t="s">
        <v>749</v>
      </c>
      <c r="M163" s="27" t="s">
        <v>446</v>
      </c>
      <c r="N163" s="26" t="s">
        <v>682</v>
      </c>
      <c r="O163" s="24" t="s">
        <v>83</v>
      </c>
      <c r="P163" s="24"/>
      <c r="Q163" s="24"/>
      <c r="R163" s="24">
        <v>19</v>
      </c>
      <c r="S163" s="24">
        <f t="shared" si="17"/>
        <v>19</v>
      </c>
      <c r="T163" s="24">
        <f>S163</f>
        <v>19</v>
      </c>
      <c r="U163" s="24">
        <f>ROUNDDOWN(S163/HLOOKUP(D163,Table!$C$3:$D$4,2,0)*8,2)</f>
        <v>1.1599999999999999</v>
      </c>
      <c r="V163" s="24">
        <v>1</v>
      </c>
      <c r="W163" s="24" t="s">
        <v>21</v>
      </c>
      <c r="X163" s="28">
        <v>43913</v>
      </c>
      <c r="Y163" s="28">
        <v>43917</v>
      </c>
      <c r="Z163" s="123">
        <v>43915</v>
      </c>
      <c r="AA163" s="123">
        <v>43915</v>
      </c>
      <c r="AB163" s="31" t="s">
        <v>157</v>
      </c>
      <c r="AC163" s="24">
        <v>100</v>
      </c>
      <c r="AD163" s="24">
        <v>100</v>
      </c>
      <c r="AE163" s="24">
        <v>50</v>
      </c>
      <c r="AF163" s="24" t="s">
        <v>676</v>
      </c>
      <c r="AG163" s="27" t="s">
        <v>76</v>
      </c>
    </row>
    <row r="164" spans="1:33" x14ac:dyDescent="0.25">
      <c r="B164" s="119">
        <f t="shared" si="18"/>
        <v>162</v>
      </c>
      <c r="C164" s="24">
        <v>20200319</v>
      </c>
      <c r="D164" s="25" t="s">
        <v>2</v>
      </c>
      <c r="E164" s="24" t="s">
        <v>349</v>
      </c>
      <c r="F164" s="27" t="s">
        <v>76</v>
      </c>
      <c r="G164" s="24">
        <v>1379963</v>
      </c>
      <c r="H164" s="24" t="s">
        <v>673</v>
      </c>
      <c r="I164" s="27" t="s">
        <v>76</v>
      </c>
      <c r="J164" s="27" t="s">
        <v>76</v>
      </c>
      <c r="K164" s="24" t="s">
        <v>442</v>
      </c>
      <c r="L164" s="24" t="s">
        <v>674</v>
      </c>
      <c r="M164" s="27" t="s">
        <v>446</v>
      </c>
      <c r="N164" s="26" t="s">
        <v>683</v>
      </c>
      <c r="O164" s="24" t="s">
        <v>82</v>
      </c>
      <c r="P164" s="24"/>
      <c r="Q164" s="24"/>
      <c r="R164" s="24">
        <v>98</v>
      </c>
      <c r="S164" s="24">
        <f t="shared" si="17"/>
        <v>98</v>
      </c>
      <c r="T164" s="24">
        <v>98</v>
      </c>
      <c r="U164" s="24">
        <f>ROUNDDOWN(S164/HLOOKUP(D164,Table!$C$3:$D$4,2,0)*8,2)</f>
        <v>6.03</v>
      </c>
      <c r="V164" s="24">
        <v>6</v>
      </c>
      <c r="W164" s="24" t="s">
        <v>21</v>
      </c>
      <c r="X164" s="28">
        <v>43913</v>
      </c>
      <c r="Y164" s="28">
        <v>43917</v>
      </c>
      <c r="Z164" s="123">
        <v>43916</v>
      </c>
      <c r="AA164" s="123">
        <v>43916</v>
      </c>
      <c r="AB164" s="31" t="s">
        <v>158</v>
      </c>
      <c r="AC164" s="24">
        <v>100</v>
      </c>
      <c r="AD164" s="24">
        <v>100</v>
      </c>
      <c r="AE164" s="24">
        <v>100</v>
      </c>
      <c r="AF164" s="27" t="s">
        <v>76</v>
      </c>
      <c r="AG164" s="27" t="s">
        <v>76</v>
      </c>
    </row>
    <row r="165" spans="1:33" hidden="1" x14ac:dyDescent="0.25">
      <c r="B165" s="119">
        <f t="shared" si="18"/>
        <v>163</v>
      </c>
      <c r="C165" s="24">
        <v>20200319</v>
      </c>
      <c r="D165" s="25" t="s">
        <v>2</v>
      </c>
      <c r="E165" s="24" t="s">
        <v>433</v>
      </c>
      <c r="F165" s="27" t="s">
        <v>76</v>
      </c>
      <c r="G165" s="24">
        <v>1381575</v>
      </c>
      <c r="H165" s="24" t="s">
        <v>439</v>
      </c>
      <c r="I165" s="27" t="s">
        <v>76</v>
      </c>
      <c r="J165" s="27" t="s">
        <v>76</v>
      </c>
      <c r="K165" s="24" t="s">
        <v>443</v>
      </c>
      <c r="L165" s="24" t="s">
        <v>750</v>
      </c>
      <c r="M165" s="24" t="s">
        <v>447</v>
      </c>
      <c r="N165" s="26" t="s">
        <v>684</v>
      </c>
      <c r="O165" s="24" t="s">
        <v>84</v>
      </c>
      <c r="P165" s="24"/>
      <c r="Q165" s="24"/>
      <c r="R165" s="24">
        <v>46</v>
      </c>
      <c r="S165" s="24">
        <f>R165</f>
        <v>46</v>
      </c>
      <c r="T165" s="24">
        <v>46</v>
      </c>
      <c r="U165" s="24">
        <f>ROUNDDOWN(S165/HLOOKUP(D165,Table!$C$3:$D$4,2,0)*8,2)</f>
        <v>2.83</v>
      </c>
      <c r="V165" s="24">
        <v>3</v>
      </c>
      <c r="W165" s="24" t="s">
        <v>21</v>
      </c>
      <c r="X165" s="28">
        <v>43913</v>
      </c>
      <c r="Y165" s="28">
        <v>43917</v>
      </c>
      <c r="Z165" s="28">
        <v>43914</v>
      </c>
      <c r="AA165" s="28">
        <v>43914</v>
      </c>
      <c r="AB165" s="31" t="s">
        <v>158</v>
      </c>
      <c r="AC165" s="24">
        <v>100</v>
      </c>
      <c r="AD165" s="24">
        <v>100</v>
      </c>
      <c r="AE165" s="24">
        <v>100</v>
      </c>
      <c r="AF165" s="27" t="s">
        <v>76</v>
      </c>
      <c r="AG165" s="27" t="s">
        <v>76</v>
      </c>
    </row>
    <row r="166" spans="1:33" hidden="1" x14ac:dyDescent="0.25">
      <c r="B166" s="119">
        <f t="shared" si="18"/>
        <v>164</v>
      </c>
      <c r="C166" s="24">
        <v>20200319</v>
      </c>
      <c r="D166" s="25" t="s">
        <v>2</v>
      </c>
      <c r="E166" s="24" t="s">
        <v>434</v>
      </c>
      <c r="F166" s="27" t="s">
        <v>76</v>
      </c>
      <c r="G166" s="24">
        <v>1382215</v>
      </c>
      <c r="H166" s="24" t="s">
        <v>440</v>
      </c>
      <c r="I166" s="27" t="s">
        <v>76</v>
      </c>
      <c r="J166" s="27" t="s">
        <v>76</v>
      </c>
      <c r="K166" s="24" t="s">
        <v>444</v>
      </c>
      <c r="L166" s="24" t="s">
        <v>746</v>
      </c>
      <c r="M166" s="24" t="s">
        <v>448</v>
      </c>
      <c r="N166" s="26" t="s">
        <v>685</v>
      </c>
      <c r="O166" s="24" t="s">
        <v>83</v>
      </c>
      <c r="P166" s="24"/>
      <c r="Q166" s="24"/>
      <c r="R166" s="24">
        <v>60</v>
      </c>
      <c r="S166" s="24">
        <f>R166</f>
        <v>60</v>
      </c>
      <c r="T166" s="24">
        <f>S166</f>
        <v>60</v>
      </c>
      <c r="U166" s="24">
        <f>ROUNDDOWN(S166/HLOOKUP(D166,Table!$C$3:$D$4,2,0)*8,2)</f>
        <v>3.69</v>
      </c>
      <c r="V166" s="24">
        <v>8</v>
      </c>
      <c r="W166" s="24" t="s">
        <v>21</v>
      </c>
      <c r="X166" s="28">
        <v>43913</v>
      </c>
      <c r="Y166" s="28">
        <v>43917</v>
      </c>
      <c r="Z166" s="123">
        <v>43915</v>
      </c>
      <c r="AA166" s="123">
        <v>43915</v>
      </c>
      <c r="AB166" s="31" t="s">
        <v>158</v>
      </c>
      <c r="AC166" s="135">
        <v>100</v>
      </c>
      <c r="AD166" s="135">
        <v>100</v>
      </c>
      <c r="AE166" s="135">
        <v>100</v>
      </c>
      <c r="AF166" s="27" t="s">
        <v>76</v>
      </c>
      <c r="AG166" s="27" t="s">
        <v>76</v>
      </c>
    </row>
    <row r="167" spans="1:33" hidden="1" x14ac:dyDescent="0.25">
      <c r="B167" s="119">
        <f t="shared" si="18"/>
        <v>165</v>
      </c>
      <c r="C167" s="24">
        <v>20200320</v>
      </c>
      <c r="D167" s="24" t="s">
        <v>3</v>
      </c>
      <c r="E167" s="24" t="s">
        <v>633</v>
      </c>
      <c r="F167" s="134" t="s">
        <v>665</v>
      </c>
      <c r="G167" s="24">
        <v>1383781</v>
      </c>
      <c r="H167" s="24" t="s">
        <v>635</v>
      </c>
      <c r="I167" s="49" t="s">
        <v>193</v>
      </c>
      <c r="J167" s="24">
        <v>99663</v>
      </c>
      <c r="K167" s="24" t="s">
        <v>636</v>
      </c>
      <c r="L167" s="27" t="str">
        <f t="shared" ref="L167:L198" si="19">IF(D167="ASW","PUT_VERSION","-")</f>
        <v>-</v>
      </c>
      <c r="M167" s="24" t="s">
        <v>637</v>
      </c>
      <c r="N167" s="26" t="s">
        <v>686</v>
      </c>
      <c r="O167" s="24" t="s">
        <v>85</v>
      </c>
      <c r="P167" s="24"/>
      <c r="Q167" s="24"/>
      <c r="R167" s="24">
        <v>148</v>
      </c>
      <c r="S167" s="24">
        <f>R167</f>
        <v>148</v>
      </c>
      <c r="T167" s="24">
        <f>S167</f>
        <v>148</v>
      </c>
      <c r="U167" s="24">
        <f>ROUNDDOWN(S167/HLOOKUP(D167,Table!$C$3:$D$4,2,0)*8,2)</f>
        <v>2.63</v>
      </c>
      <c r="V167" s="24">
        <v>2</v>
      </c>
      <c r="W167" s="24" t="s">
        <v>21</v>
      </c>
      <c r="X167" s="28">
        <v>43910</v>
      </c>
      <c r="Y167" s="28">
        <v>43917</v>
      </c>
      <c r="Z167" s="28">
        <v>43915</v>
      </c>
      <c r="AA167" s="28">
        <v>43915</v>
      </c>
      <c r="AB167" s="31" t="s">
        <v>157</v>
      </c>
      <c r="AC167" s="24">
        <v>100</v>
      </c>
      <c r="AD167" s="24">
        <v>100</v>
      </c>
      <c r="AE167" s="24">
        <v>83</v>
      </c>
      <c r="AF167" s="27" t="s">
        <v>848</v>
      </c>
      <c r="AG167" s="27" t="s">
        <v>76</v>
      </c>
    </row>
    <row r="168" spans="1:33" hidden="1" x14ac:dyDescent="0.25">
      <c r="B168" s="119">
        <f t="shared" si="18"/>
        <v>166</v>
      </c>
      <c r="C168" s="24">
        <v>20200320</v>
      </c>
      <c r="D168" s="24" t="s">
        <v>3</v>
      </c>
      <c r="E168" s="24" t="s">
        <v>342</v>
      </c>
      <c r="F168" s="27" t="s">
        <v>634</v>
      </c>
      <c r="G168" s="24">
        <v>1369645</v>
      </c>
      <c r="H168" s="24" t="s">
        <v>117</v>
      </c>
      <c r="I168" s="25" t="s">
        <v>194</v>
      </c>
      <c r="J168" s="24">
        <v>80773</v>
      </c>
      <c r="K168" s="24" t="s">
        <v>347</v>
      </c>
      <c r="L168" s="27" t="str">
        <f t="shared" si="19"/>
        <v>-</v>
      </c>
      <c r="M168" s="24" t="s">
        <v>638</v>
      </c>
      <c r="N168" s="26" t="s">
        <v>687</v>
      </c>
      <c r="O168" s="24" t="s">
        <v>85</v>
      </c>
      <c r="P168" s="24"/>
      <c r="Q168" s="24"/>
      <c r="R168" s="24">
        <v>144</v>
      </c>
      <c r="S168" s="24">
        <f>R168</f>
        <v>144</v>
      </c>
      <c r="T168" s="24">
        <f>S168</f>
        <v>144</v>
      </c>
      <c r="U168" s="24">
        <f>ROUNDDOWN(S168/HLOOKUP(D168,Table!$C$3:$D$4,2,0)*8,2)</f>
        <v>2.56</v>
      </c>
      <c r="V168" s="24">
        <v>1.5</v>
      </c>
      <c r="W168" s="24" t="s">
        <v>21</v>
      </c>
      <c r="X168" s="28">
        <v>43910</v>
      </c>
      <c r="Y168" s="28">
        <v>43917</v>
      </c>
      <c r="Z168" s="28">
        <v>43915</v>
      </c>
      <c r="AA168" s="28">
        <v>43915</v>
      </c>
      <c r="AB168" s="31" t="s">
        <v>158</v>
      </c>
      <c r="AC168" s="24">
        <v>100</v>
      </c>
      <c r="AD168" s="24">
        <v>100</v>
      </c>
      <c r="AE168" s="24">
        <v>100</v>
      </c>
      <c r="AF168" s="27" t="s">
        <v>76</v>
      </c>
      <c r="AG168" s="27" t="s">
        <v>76</v>
      </c>
    </row>
    <row r="169" spans="1:33" x14ac:dyDescent="0.25">
      <c r="B169" s="132">
        <f t="shared" si="18"/>
        <v>167</v>
      </c>
      <c r="C169" s="24">
        <v>20200324</v>
      </c>
      <c r="D169" s="24" t="s">
        <v>3</v>
      </c>
      <c r="E169" s="24" t="s">
        <v>639</v>
      </c>
      <c r="F169" s="27" t="s">
        <v>641</v>
      </c>
      <c r="G169" s="24">
        <v>1387954</v>
      </c>
      <c r="H169" s="24" t="s">
        <v>646</v>
      </c>
      <c r="I169" s="49" t="s">
        <v>193</v>
      </c>
      <c r="J169" s="27" t="s">
        <v>76</v>
      </c>
      <c r="K169" s="24" t="s">
        <v>651</v>
      </c>
      <c r="L169" s="27" t="str">
        <f t="shared" si="19"/>
        <v>-</v>
      </c>
      <c r="M169" s="24" t="s">
        <v>418</v>
      </c>
      <c r="N169" s="26" t="s">
        <v>688</v>
      </c>
      <c r="O169" s="24" t="s">
        <v>82</v>
      </c>
      <c r="P169" s="24"/>
      <c r="Q169" s="24"/>
      <c r="R169" s="24">
        <v>341</v>
      </c>
      <c r="S169" s="24">
        <f>R169</f>
        <v>341</v>
      </c>
      <c r="T169" s="24">
        <v>341</v>
      </c>
      <c r="U169" s="24">
        <f>ROUNDDOWN(S169/HLOOKUP(D169,Table!$C$3:$D$4,2,0)*8,2)</f>
        <v>6.06</v>
      </c>
      <c r="V169" s="24">
        <v>6</v>
      </c>
      <c r="W169" s="24" t="s">
        <v>21</v>
      </c>
      <c r="X169" s="123">
        <v>43914</v>
      </c>
      <c r="Y169" s="28">
        <v>43920</v>
      </c>
      <c r="Z169" s="28">
        <v>43917</v>
      </c>
      <c r="AA169" s="28">
        <v>43917</v>
      </c>
      <c r="AB169" s="31" t="s">
        <v>157</v>
      </c>
      <c r="AC169" s="24">
        <v>100</v>
      </c>
      <c r="AD169" s="24">
        <v>100</v>
      </c>
      <c r="AE169" s="24">
        <v>98</v>
      </c>
      <c r="AF169" s="24" t="s">
        <v>751</v>
      </c>
      <c r="AG169" s="27" t="s">
        <v>76</v>
      </c>
    </row>
    <row r="170" spans="1:33" hidden="1" x14ac:dyDescent="0.25">
      <c r="B170" s="132">
        <f t="shared" si="18"/>
        <v>168</v>
      </c>
      <c r="C170" s="24">
        <v>20200324</v>
      </c>
      <c r="D170" s="24" t="s">
        <v>3</v>
      </c>
      <c r="E170" s="24" t="s">
        <v>225</v>
      </c>
      <c r="F170" s="27" t="s">
        <v>642</v>
      </c>
      <c r="G170" s="24">
        <v>1386581</v>
      </c>
      <c r="H170" s="24" t="s">
        <v>647</v>
      </c>
      <c r="I170" s="25" t="s">
        <v>194</v>
      </c>
      <c r="J170" s="130">
        <v>99856</v>
      </c>
      <c r="K170" s="129" t="s">
        <v>240</v>
      </c>
      <c r="L170" s="27" t="str">
        <f t="shared" si="19"/>
        <v>-</v>
      </c>
      <c r="M170" s="24" t="s">
        <v>652</v>
      </c>
      <c r="N170" s="26" t="s">
        <v>689</v>
      </c>
      <c r="O170" s="24" t="s">
        <v>83</v>
      </c>
      <c r="P170" s="24"/>
      <c r="Q170" s="24"/>
      <c r="R170" s="24">
        <v>189</v>
      </c>
      <c r="S170" s="24">
        <f t="shared" ref="S170:S174" si="20">R170</f>
        <v>189</v>
      </c>
      <c r="T170" s="24">
        <f t="shared" ref="T170:T213" si="21">S170</f>
        <v>189</v>
      </c>
      <c r="U170" s="24">
        <f>ROUNDDOWN(S170/HLOOKUP(D170,Table!$C$3:$D$4,2,0)*8,2)</f>
        <v>3.36</v>
      </c>
      <c r="V170" s="24">
        <f t="shared" ref="V170:V213" si="22">U170</f>
        <v>3.36</v>
      </c>
      <c r="W170" s="24" t="s">
        <v>21</v>
      </c>
      <c r="X170" s="123">
        <v>43914</v>
      </c>
      <c r="Y170" s="28">
        <v>43920</v>
      </c>
      <c r="Z170" s="28">
        <v>43915</v>
      </c>
      <c r="AA170" s="28">
        <v>43915</v>
      </c>
      <c r="AB170" s="31" t="s">
        <v>158</v>
      </c>
      <c r="AC170" s="135">
        <v>100</v>
      </c>
      <c r="AD170" s="135">
        <v>100</v>
      </c>
      <c r="AE170" s="135">
        <v>100</v>
      </c>
      <c r="AF170" s="27" t="s">
        <v>76</v>
      </c>
      <c r="AG170" s="27" t="s">
        <v>76</v>
      </c>
    </row>
    <row r="171" spans="1:33" hidden="1" x14ac:dyDescent="0.25">
      <c r="B171" s="132">
        <f t="shared" si="18"/>
        <v>169</v>
      </c>
      <c r="C171" s="24">
        <v>20200324</v>
      </c>
      <c r="D171" s="24" t="s">
        <v>3</v>
      </c>
      <c r="E171" s="24" t="s">
        <v>640</v>
      </c>
      <c r="F171" s="27" t="s">
        <v>643</v>
      </c>
      <c r="G171" s="24">
        <v>1386393</v>
      </c>
      <c r="H171" s="24" t="s">
        <v>391</v>
      </c>
      <c r="I171" s="49" t="s">
        <v>193</v>
      </c>
      <c r="J171" s="131">
        <v>82142</v>
      </c>
      <c r="K171" s="24" t="s">
        <v>92</v>
      </c>
      <c r="L171" s="27" t="str">
        <f t="shared" si="19"/>
        <v>-</v>
      </c>
      <c r="M171" s="24" t="s">
        <v>653</v>
      </c>
      <c r="N171" s="26" t="s">
        <v>690</v>
      </c>
      <c r="O171" s="24" t="s">
        <v>84</v>
      </c>
      <c r="P171" s="24"/>
      <c r="Q171" s="24"/>
      <c r="R171" s="24">
        <v>34</v>
      </c>
      <c r="S171" s="25">
        <v>125</v>
      </c>
      <c r="T171" s="26">
        <f t="shared" si="21"/>
        <v>125</v>
      </c>
      <c r="U171" s="24">
        <f>ROUNDDOWN(S171/HLOOKUP(D171,Table!$C$3:$D$4,2,0)*8,2)</f>
        <v>2.2200000000000002</v>
      </c>
      <c r="V171" s="24">
        <f t="shared" si="22"/>
        <v>2.2200000000000002</v>
      </c>
      <c r="W171" s="24" t="s">
        <v>21</v>
      </c>
      <c r="X171" s="123">
        <v>43914</v>
      </c>
      <c r="Y171" s="28">
        <v>43920</v>
      </c>
      <c r="Z171" s="28">
        <v>43915</v>
      </c>
      <c r="AA171" s="28">
        <v>43915</v>
      </c>
      <c r="AB171" s="31" t="s">
        <v>158</v>
      </c>
      <c r="AC171" s="24">
        <v>100</v>
      </c>
      <c r="AD171" s="24">
        <v>100</v>
      </c>
      <c r="AE171" s="24">
        <v>100</v>
      </c>
      <c r="AF171" s="27" t="s">
        <v>76</v>
      </c>
      <c r="AG171" s="27" t="s">
        <v>76</v>
      </c>
    </row>
    <row r="172" spans="1:33" hidden="1" x14ac:dyDescent="0.25">
      <c r="B172" s="132">
        <f t="shared" si="18"/>
        <v>170</v>
      </c>
      <c r="C172" s="24">
        <v>20200324</v>
      </c>
      <c r="D172" s="24" t="s">
        <v>3</v>
      </c>
      <c r="E172" s="24" t="s">
        <v>640</v>
      </c>
      <c r="F172" s="27" t="s">
        <v>644</v>
      </c>
      <c r="G172" s="24">
        <v>1386393</v>
      </c>
      <c r="H172" s="24" t="s">
        <v>648</v>
      </c>
      <c r="I172" s="49" t="s">
        <v>193</v>
      </c>
      <c r="J172" s="131">
        <v>82142</v>
      </c>
      <c r="K172" s="24" t="s">
        <v>92</v>
      </c>
      <c r="L172" s="27" t="str">
        <f t="shared" si="19"/>
        <v>-</v>
      </c>
      <c r="M172" s="24" t="s">
        <v>653</v>
      </c>
      <c r="N172" s="26" t="s">
        <v>691</v>
      </c>
      <c r="O172" s="24" t="s">
        <v>84</v>
      </c>
      <c r="P172" s="24"/>
      <c r="Q172" s="24"/>
      <c r="R172" s="24">
        <v>155</v>
      </c>
      <c r="S172" s="25">
        <v>158</v>
      </c>
      <c r="T172" s="24">
        <f t="shared" si="21"/>
        <v>158</v>
      </c>
      <c r="U172" s="24">
        <f>ROUNDDOWN(S172/HLOOKUP(D172,Table!$C$3:$D$4,2,0)*8,2)</f>
        <v>2.8</v>
      </c>
      <c r="V172" s="24">
        <f t="shared" si="22"/>
        <v>2.8</v>
      </c>
      <c r="W172" s="24" t="s">
        <v>21</v>
      </c>
      <c r="X172" s="123">
        <v>43914</v>
      </c>
      <c r="Y172" s="28">
        <v>43920</v>
      </c>
      <c r="Z172" s="28">
        <v>43915</v>
      </c>
      <c r="AA172" s="28">
        <v>43915</v>
      </c>
      <c r="AB172" s="31" t="s">
        <v>158</v>
      </c>
      <c r="AC172" s="24">
        <v>100</v>
      </c>
      <c r="AD172" s="24">
        <v>100</v>
      </c>
      <c r="AE172" s="24">
        <v>100</v>
      </c>
      <c r="AF172" s="27" t="s">
        <v>76</v>
      </c>
      <c r="AG172" s="27" t="s">
        <v>76</v>
      </c>
    </row>
    <row r="173" spans="1:33" hidden="1" x14ac:dyDescent="0.25">
      <c r="B173" s="132">
        <f t="shared" si="18"/>
        <v>171</v>
      </c>
      <c r="C173" s="24">
        <v>20200324</v>
      </c>
      <c r="D173" s="24" t="s">
        <v>3</v>
      </c>
      <c r="E173" s="24" t="s">
        <v>640</v>
      </c>
      <c r="F173" s="27" t="s">
        <v>645</v>
      </c>
      <c r="G173" s="24">
        <v>1386393</v>
      </c>
      <c r="H173" s="24" t="s">
        <v>649</v>
      </c>
      <c r="I173" s="49" t="s">
        <v>193</v>
      </c>
      <c r="J173" s="131">
        <v>82142</v>
      </c>
      <c r="K173" s="24" t="s">
        <v>92</v>
      </c>
      <c r="L173" s="27" t="str">
        <f t="shared" si="19"/>
        <v>-</v>
      </c>
      <c r="M173" s="24" t="s">
        <v>653</v>
      </c>
      <c r="N173" s="26" t="s">
        <v>692</v>
      </c>
      <c r="O173" s="24" t="s">
        <v>84</v>
      </c>
      <c r="P173" s="24"/>
      <c r="Q173" s="24"/>
      <c r="R173" s="24">
        <v>22</v>
      </c>
      <c r="S173" s="26">
        <v>22</v>
      </c>
      <c r="T173" s="24">
        <f t="shared" si="21"/>
        <v>22</v>
      </c>
      <c r="U173" s="24">
        <f>ROUNDDOWN(S173/HLOOKUP(D173,Table!$C$3:$D$4,2,0)*8,2)</f>
        <v>0.39</v>
      </c>
      <c r="V173" s="24">
        <f t="shared" si="22"/>
        <v>0.39</v>
      </c>
      <c r="W173" s="24" t="s">
        <v>21</v>
      </c>
      <c r="X173" s="123">
        <v>43914</v>
      </c>
      <c r="Y173" s="28">
        <v>43920</v>
      </c>
      <c r="Z173" s="28">
        <v>43915</v>
      </c>
      <c r="AA173" s="28">
        <v>43915</v>
      </c>
      <c r="AB173" s="31" t="s">
        <v>158</v>
      </c>
      <c r="AC173" s="24">
        <v>100</v>
      </c>
      <c r="AD173" s="24">
        <v>100</v>
      </c>
      <c r="AE173" s="24">
        <v>100</v>
      </c>
      <c r="AF173" s="27" t="s">
        <v>76</v>
      </c>
      <c r="AG173" s="27" t="s">
        <v>76</v>
      </c>
    </row>
    <row r="174" spans="1:33" hidden="1" x14ac:dyDescent="0.25">
      <c r="B174" s="132">
        <f t="shared" si="18"/>
        <v>172</v>
      </c>
      <c r="C174" s="24">
        <v>20200324</v>
      </c>
      <c r="D174" s="24" t="s">
        <v>3</v>
      </c>
      <c r="E174" s="24" t="s">
        <v>640</v>
      </c>
      <c r="F174" s="27" t="s">
        <v>645</v>
      </c>
      <c r="G174" s="24">
        <v>1386393</v>
      </c>
      <c r="H174" s="24" t="s">
        <v>650</v>
      </c>
      <c r="I174" s="49" t="s">
        <v>193</v>
      </c>
      <c r="J174" s="131">
        <v>82142</v>
      </c>
      <c r="K174" s="24" t="s">
        <v>92</v>
      </c>
      <c r="L174" s="27" t="str">
        <f t="shared" si="19"/>
        <v>-</v>
      </c>
      <c r="M174" s="24" t="s">
        <v>653</v>
      </c>
      <c r="N174" s="26" t="s">
        <v>693</v>
      </c>
      <c r="O174" s="24" t="s">
        <v>84</v>
      </c>
      <c r="P174" s="24"/>
      <c r="Q174" s="24"/>
      <c r="R174" s="24">
        <v>29</v>
      </c>
      <c r="S174" s="24">
        <f t="shared" si="20"/>
        <v>29</v>
      </c>
      <c r="T174" s="24">
        <f t="shared" si="21"/>
        <v>29</v>
      </c>
      <c r="U174" s="24">
        <f>ROUNDDOWN(S174/HLOOKUP(D174,Table!$C$3:$D$4,2,0)*8,2)</f>
        <v>0.51</v>
      </c>
      <c r="V174" s="24">
        <f t="shared" si="22"/>
        <v>0.51</v>
      </c>
      <c r="W174" s="24" t="s">
        <v>21</v>
      </c>
      <c r="X174" s="123">
        <v>43914</v>
      </c>
      <c r="Y174" s="28">
        <v>43920</v>
      </c>
      <c r="Z174" s="28">
        <v>43915</v>
      </c>
      <c r="AA174" s="28">
        <v>43915</v>
      </c>
      <c r="AB174" s="31" t="s">
        <v>158</v>
      </c>
      <c r="AC174" s="24">
        <v>100</v>
      </c>
      <c r="AD174" s="24">
        <v>100</v>
      </c>
      <c r="AE174" s="24">
        <v>100</v>
      </c>
      <c r="AF174" s="27" t="s">
        <v>76</v>
      </c>
      <c r="AG174" s="27" t="s">
        <v>76</v>
      </c>
    </row>
    <row r="175" spans="1:33" hidden="1" x14ac:dyDescent="0.25">
      <c r="B175" s="133">
        <f t="shared" si="18"/>
        <v>173</v>
      </c>
      <c r="C175" s="24">
        <v>20200324</v>
      </c>
      <c r="D175" s="24" t="s">
        <v>3</v>
      </c>
      <c r="E175" s="24" t="s">
        <v>349</v>
      </c>
      <c r="F175" s="27" t="s">
        <v>655</v>
      </c>
      <c r="G175" s="24">
        <v>1388354</v>
      </c>
      <c r="H175" s="24" t="s">
        <v>660</v>
      </c>
      <c r="I175" s="49" t="s">
        <v>193</v>
      </c>
      <c r="J175" s="144">
        <v>8111681175</v>
      </c>
      <c r="K175" s="24" t="s">
        <v>92</v>
      </c>
      <c r="L175" s="27" t="str">
        <f t="shared" si="19"/>
        <v>-</v>
      </c>
      <c r="M175" s="24" t="s">
        <v>663</v>
      </c>
      <c r="N175" s="26" t="s">
        <v>694</v>
      </c>
      <c r="O175" s="24" t="s">
        <v>85</v>
      </c>
      <c r="P175" s="24"/>
      <c r="Q175" s="24"/>
      <c r="R175" s="24">
        <v>65</v>
      </c>
      <c r="S175" s="24">
        <f>R175</f>
        <v>65</v>
      </c>
      <c r="T175" s="24">
        <f t="shared" si="21"/>
        <v>65</v>
      </c>
      <c r="U175" s="24">
        <f>ROUNDDOWN(S175/HLOOKUP(D175,Table!$C$3:$D$4,2,0)*8,2)</f>
        <v>1.1499999999999999</v>
      </c>
      <c r="V175" s="24">
        <f t="shared" si="22"/>
        <v>1.1499999999999999</v>
      </c>
      <c r="W175" s="24" t="s">
        <v>21</v>
      </c>
      <c r="X175" s="123">
        <v>43914</v>
      </c>
      <c r="Y175" s="28">
        <v>43921</v>
      </c>
      <c r="Z175" s="28">
        <v>43915</v>
      </c>
      <c r="AA175" s="28">
        <v>43915</v>
      </c>
      <c r="AB175" s="31" t="s">
        <v>158</v>
      </c>
      <c r="AC175" s="24">
        <v>100</v>
      </c>
      <c r="AD175" s="24">
        <v>100</v>
      </c>
      <c r="AE175" s="24">
        <v>100</v>
      </c>
      <c r="AF175" s="27" t="s">
        <v>76</v>
      </c>
      <c r="AG175" s="27" t="s">
        <v>76</v>
      </c>
    </row>
    <row r="176" spans="1:33" hidden="1" x14ac:dyDescent="0.25">
      <c r="B176" s="133">
        <f t="shared" si="18"/>
        <v>174</v>
      </c>
      <c r="C176" s="24">
        <v>20200324</v>
      </c>
      <c r="D176" s="24" t="s">
        <v>3</v>
      </c>
      <c r="E176" s="24" t="s">
        <v>349</v>
      </c>
      <c r="F176" s="27" t="s">
        <v>655</v>
      </c>
      <c r="G176" s="24">
        <v>1388354</v>
      </c>
      <c r="H176" s="24" t="s">
        <v>391</v>
      </c>
      <c r="I176" s="49" t="s">
        <v>193</v>
      </c>
      <c r="J176" s="144">
        <v>8111681175</v>
      </c>
      <c r="K176" s="24" t="s">
        <v>92</v>
      </c>
      <c r="L176" s="27" t="str">
        <f t="shared" si="19"/>
        <v>-</v>
      </c>
      <c r="M176" s="24" t="s">
        <v>663</v>
      </c>
      <c r="N176" s="26" t="s">
        <v>695</v>
      </c>
      <c r="O176" s="24" t="s">
        <v>83</v>
      </c>
      <c r="P176" s="24"/>
      <c r="Q176" s="24"/>
      <c r="R176" s="24">
        <v>34</v>
      </c>
      <c r="S176" s="24">
        <f t="shared" ref="S176:S183" si="23">R176</f>
        <v>34</v>
      </c>
      <c r="T176" s="24">
        <f t="shared" si="21"/>
        <v>34</v>
      </c>
      <c r="U176" s="24">
        <f>ROUNDDOWN(S176/HLOOKUP(D176,Table!$C$3:$D$4,2,0)*8,2)</f>
        <v>0.6</v>
      </c>
      <c r="V176" s="24">
        <f t="shared" si="22"/>
        <v>0.6</v>
      </c>
      <c r="W176" s="24" t="s">
        <v>18</v>
      </c>
      <c r="X176" s="123">
        <v>43914</v>
      </c>
      <c r="Y176" s="28">
        <v>43921</v>
      </c>
      <c r="Z176" s="28">
        <v>43915</v>
      </c>
      <c r="AA176" s="28">
        <v>43915</v>
      </c>
      <c r="AB176" s="31" t="s">
        <v>158</v>
      </c>
      <c r="AC176" s="135">
        <v>100</v>
      </c>
      <c r="AD176" s="135">
        <v>100</v>
      </c>
      <c r="AE176" s="135">
        <v>100</v>
      </c>
      <c r="AF176" s="27" t="s">
        <v>76</v>
      </c>
      <c r="AG176" s="27" t="s">
        <v>76</v>
      </c>
    </row>
    <row r="177" spans="1:33" hidden="1" x14ac:dyDescent="0.25">
      <c r="B177" s="133">
        <f t="shared" si="18"/>
        <v>175</v>
      </c>
      <c r="C177" s="24">
        <v>20200324</v>
      </c>
      <c r="D177" s="24" t="s">
        <v>3</v>
      </c>
      <c r="E177" s="24" t="s">
        <v>349</v>
      </c>
      <c r="F177" s="27" t="s">
        <v>656</v>
      </c>
      <c r="G177" s="24">
        <v>1388354</v>
      </c>
      <c r="H177" s="24" t="s">
        <v>660</v>
      </c>
      <c r="I177" s="49" t="s">
        <v>193</v>
      </c>
      <c r="J177" s="144">
        <v>8111681175</v>
      </c>
      <c r="K177" s="24" t="s">
        <v>92</v>
      </c>
      <c r="L177" s="27" t="str">
        <f t="shared" si="19"/>
        <v>-</v>
      </c>
      <c r="M177" s="24" t="s">
        <v>663</v>
      </c>
      <c r="N177" s="26" t="s">
        <v>696</v>
      </c>
      <c r="O177" s="24" t="s">
        <v>85</v>
      </c>
      <c r="P177" s="24"/>
      <c r="Q177" s="24"/>
      <c r="R177" s="24">
        <v>65</v>
      </c>
      <c r="S177" s="24">
        <f t="shared" si="23"/>
        <v>65</v>
      </c>
      <c r="T177" s="24">
        <f t="shared" si="21"/>
        <v>65</v>
      </c>
      <c r="U177" s="24">
        <f>ROUNDDOWN(S177/HLOOKUP(D177,Table!$C$3:$D$4,2,0)*8,2)</f>
        <v>1.1499999999999999</v>
      </c>
      <c r="V177" s="24">
        <f t="shared" si="22"/>
        <v>1.1499999999999999</v>
      </c>
      <c r="W177" s="24" t="s">
        <v>21</v>
      </c>
      <c r="X177" s="123">
        <v>43914</v>
      </c>
      <c r="Y177" s="28">
        <v>43921</v>
      </c>
      <c r="Z177" s="28">
        <v>43915</v>
      </c>
      <c r="AA177" s="28">
        <v>43915</v>
      </c>
      <c r="AB177" s="31" t="s">
        <v>158</v>
      </c>
      <c r="AC177" s="135">
        <v>100</v>
      </c>
      <c r="AD177" s="135">
        <v>100</v>
      </c>
      <c r="AE177" s="135">
        <v>100</v>
      </c>
      <c r="AF177" s="27" t="s">
        <v>76</v>
      </c>
      <c r="AG177" s="27" t="s">
        <v>76</v>
      </c>
    </row>
    <row r="178" spans="1:33" hidden="1" x14ac:dyDescent="0.25">
      <c r="B178" s="133">
        <f t="shared" si="18"/>
        <v>176</v>
      </c>
      <c r="C178" s="24">
        <v>20200324</v>
      </c>
      <c r="D178" s="24" t="s">
        <v>3</v>
      </c>
      <c r="E178" s="24" t="s">
        <v>349</v>
      </c>
      <c r="F178" s="27" t="s">
        <v>656</v>
      </c>
      <c r="G178" s="24">
        <v>1388354</v>
      </c>
      <c r="H178" s="24" t="s">
        <v>391</v>
      </c>
      <c r="I178" s="49" t="s">
        <v>193</v>
      </c>
      <c r="J178" s="144">
        <v>8111681175</v>
      </c>
      <c r="K178" s="24" t="s">
        <v>92</v>
      </c>
      <c r="L178" s="27" t="str">
        <f t="shared" si="19"/>
        <v>-</v>
      </c>
      <c r="M178" s="24" t="s">
        <v>663</v>
      </c>
      <c r="N178" s="26" t="s">
        <v>697</v>
      </c>
      <c r="O178" s="24" t="s">
        <v>83</v>
      </c>
      <c r="P178" s="24"/>
      <c r="Q178" s="24"/>
      <c r="R178" s="24">
        <v>34</v>
      </c>
      <c r="S178" s="24">
        <f t="shared" si="23"/>
        <v>34</v>
      </c>
      <c r="T178" s="24">
        <f t="shared" si="21"/>
        <v>34</v>
      </c>
      <c r="U178" s="24">
        <f>ROUNDDOWN(S178/HLOOKUP(D178,Table!$C$3:$D$4,2,0)*8,2)</f>
        <v>0.6</v>
      </c>
      <c r="V178" s="24">
        <f t="shared" si="22"/>
        <v>0.6</v>
      </c>
      <c r="W178" s="24" t="s">
        <v>18</v>
      </c>
      <c r="X178" s="123">
        <v>43914</v>
      </c>
      <c r="Y178" s="28">
        <v>43921</v>
      </c>
      <c r="Z178" s="28">
        <v>43915</v>
      </c>
      <c r="AA178" s="28">
        <v>43915</v>
      </c>
      <c r="AB178" s="31" t="s">
        <v>158</v>
      </c>
      <c r="AC178" s="135">
        <v>100</v>
      </c>
      <c r="AD178" s="135">
        <v>100</v>
      </c>
      <c r="AE178" s="135">
        <v>100</v>
      </c>
      <c r="AF178" s="27" t="s">
        <v>76</v>
      </c>
      <c r="AG178" s="27" t="s">
        <v>76</v>
      </c>
    </row>
    <row r="179" spans="1:33" x14ac:dyDescent="0.25">
      <c r="B179" s="133">
        <f t="shared" si="18"/>
        <v>177</v>
      </c>
      <c r="C179" s="24">
        <v>20200324</v>
      </c>
      <c r="D179" s="24" t="s">
        <v>3</v>
      </c>
      <c r="E179" s="24" t="s">
        <v>349</v>
      </c>
      <c r="F179" s="27" t="s">
        <v>657</v>
      </c>
      <c r="G179" s="24">
        <v>1388271</v>
      </c>
      <c r="H179" s="24" t="s">
        <v>660</v>
      </c>
      <c r="I179" s="49" t="s">
        <v>193</v>
      </c>
      <c r="J179" s="144">
        <v>8198981990</v>
      </c>
      <c r="K179" s="24" t="s">
        <v>92</v>
      </c>
      <c r="L179" s="27" t="str">
        <f t="shared" si="19"/>
        <v>-</v>
      </c>
      <c r="M179" s="24" t="s">
        <v>663</v>
      </c>
      <c r="N179" s="26" t="s">
        <v>698</v>
      </c>
      <c r="O179" s="24" t="s">
        <v>82</v>
      </c>
      <c r="P179" s="24"/>
      <c r="Q179" s="24"/>
      <c r="R179" s="24">
        <v>65</v>
      </c>
      <c r="S179" s="24">
        <f t="shared" si="23"/>
        <v>65</v>
      </c>
      <c r="T179" s="24">
        <v>65</v>
      </c>
      <c r="U179" s="24">
        <f>ROUNDDOWN(S179/HLOOKUP(D179,Table!$C$3:$D$4,2,0)*8,2)</f>
        <v>1.1499999999999999</v>
      </c>
      <c r="V179" s="24">
        <v>1</v>
      </c>
      <c r="W179" s="24" t="s">
        <v>18</v>
      </c>
      <c r="X179" s="123">
        <v>43914</v>
      </c>
      <c r="Y179" s="28">
        <v>43921</v>
      </c>
      <c r="Z179" s="28">
        <v>43917</v>
      </c>
      <c r="AA179" s="28">
        <v>43917</v>
      </c>
      <c r="AB179" s="31" t="s">
        <v>158</v>
      </c>
      <c r="AC179" s="24">
        <v>100</v>
      </c>
      <c r="AD179" s="24">
        <v>100</v>
      </c>
      <c r="AE179" s="24">
        <v>100</v>
      </c>
      <c r="AF179" s="27" t="s">
        <v>76</v>
      </c>
      <c r="AG179" s="27" t="s">
        <v>76</v>
      </c>
    </row>
    <row r="180" spans="1:33" hidden="1" x14ac:dyDescent="0.25">
      <c r="B180" s="133">
        <f t="shared" si="18"/>
        <v>178</v>
      </c>
      <c r="C180" s="24">
        <v>20200324</v>
      </c>
      <c r="D180" s="24" t="s">
        <v>3</v>
      </c>
      <c r="E180" s="24" t="s">
        <v>349</v>
      </c>
      <c r="F180" s="27" t="s">
        <v>657</v>
      </c>
      <c r="G180" s="24">
        <v>1388271</v>
      </c>
      <c r="H180" s="24" t="s">
        <v>391</v>
      </c>
      <c r="I180" s="49" t="s">
        <v>193</v>
      </c>
      <c r="J180" s="144">
        <v>8198981990</v>
      </c>
      <c r="K180" s="24" t="s">
        <v>92</v>
      </c>
      <c r="L180" s="27" t="str">
        <f t="shared" si="19"/>
        <v>-</v>
      </c>
      <c r="M180" s="24" t="s">
        <v>663</v>
      </c>
      <c r="N180" s="26" t="s">
        <v>699</v>
      </c>
      <c r="O180" s="24" t="s">
        <v>83</v>
      </c>
      <c r="P180" s="24"/>
      <c r="Q180" s="24"/>
      <c r="R180" s="24">
        <v>34</v>
      </c>
      <c r="S180" s="24">
        <f t="shared" si="23"/>
        <v>34</v>
      </c>
      <c r="T180" s="24">
        <f t="shared" si="21"/>
        <v>34</v>
      </c>
      <c r="U180" s="24">
        <f>ROUNDDOWN(S180/HLOOKUP(D180,Table!$C$3:$D$4,2,0)*8,2)</f>
        <v>0.6</v>
      </c>
      <c r="V180" s="24">
        <f t="shared" si="22"/>
        <v>0.6</v>
      </c>
      <c r="W180" s="24" t="s">
        <v>18</v>
      </c>
      <c r="X180" s="123">
        <v>43914</v>
      </c>
      <c r="Y180" s="28">
        <v>43921</v>
      </c>
      <c r="Z180" s="28">
        <v>43915</v>
      </c>
      <c r="AA180" s="28">
        <v>43915</v>
      </c>
      <c r="AB180" s="31" t="s">
        <v>158</v>
      </c>
      <c r="AC180" s="135">
        <v>100</v>
      </c>
      <c r="AD180" s="135">
        <v>100</v>
      </c>
      <c r="AE180" s="135">
        <v>100</v>
      </c>
      <c r="AF180" s="27" t="s">
        <v>76</v>
      </c>
      <c r="AG180" s="27" t="s">
        <v>76</v>
      </c>
    </row>
    <row r="181" spans="1:33" x14ac:dyDescent="0.25">
      <c r="B181" s="133">
        <f t="shared" si="18"/>
        <v>179</v>
      </c>
      <c r="C181" s="24">
        <v>20200324</v>
      </c>
      <c r="D181" s="24" t="s">
        <v>3</v>
      </c>
      <c r="E181" s="24" t="s">
        <v>349</v>
      </c>
      <c r="F181" s="27" t="s">
        <v>658</v>
      </c>
      <c r="G181" s="24">
        <v>1388271</v>
      </c>
      <c r="H181" s="24" t="s">
        <v>660</v>
      </c>
      <c r="I181" s="49" t="s">
        <v>193</v>
      </c>
      <c r="J181" s="144">
        <v>8198981990</v>
      </c>
      <c r="K181" s="24" t="s">
        <v>92</v>
      </c>
      <c r="L181" s="27" t="str">
        <f t="shared" si="19"/>
        <v>-</v>
      </c>
      <c r="M181" s="24" t="s">
        <v>663</v>
      </c>
      <c r="N181" s="26" t="s">
        <v>700</v>
      </c>
      <c r="O181" s="24" t="s">
        <v>82</v>
      </c>
      <c r="P181" s="24"/>
      <c r="Q181" s="24"/>
      <c r="R181" s="24">
        <v>65</v>
      </c>
      <c r="S181" s="24">
        <f t="shared" si="23"/>
        <v>65</v>
      </c>
      <c r="T181" s="24">
        <v>65</v>
      </c>
      <c r="U181" s="24">
        <f>ROUNDDOWN(S181/HLOOKUP(D181,Table!$C$3:$D$4,2,0)*8,2)</f>
        <v>1.1499999999999999</v>
      </c>
      <c r="V181" s="24">
        <v>1</v>
      </c>
      <c r="W181" s="24" t="s">
        <v>18</v>
      </c>
      <c r="X181" s="123">
        <v>43914</v>
      </c>
      <c r="Y181" s="28">
        <v>43921</v>
      </c>
      <c r="Z181" s="28">
        <v>43917</v>
      </c>
      <c r="AA181" s="28">
        <v>43917</v>
      </c>
      <c r="AB181" s="31" t="s">
        <v>158</v>
      </c>
      <c r="AC181" s="24">
        <v>100</v>
      </c>
      <c r="AD181" s="24">
        <v>100</v>
      </c>
      <c r="AE181" s="24">
        <v>100</v>
      </c>
      <c r="AF181" s="27" t="s">
        <v>76</v>
      </c>
      <c r="AG181" s="27" t="s">
        <v>76</v>
      </c>
    </row>
    <row r="182" spans="1:33" hidden="1" x14ac:dyDescent="0.25">
      <c r="B182" s="133">
        <f t="shared" si="18"/>
        <v>180</v>
      </c>
      <c r="C182" s="24">
        <v>20200324</v>
      </c>
      <c r="D182" s="24" t="s">
        <v>3</v>
      </c>
      <c r="E182" s="24" t="s">
        <v>349</v>
      </c>
      <c r="F182" s="27" t="s">
        <v>658</v>
      </c>
      <c r="G182" s="24">
        <v>1388271</v>
      </c>
      <c r="H182" s="24" t="s">
        <v>391</v>
      </c>
      <c r="I182" s="49" t="s">
        <v>193</v>
      </c>
      <c r="J182" s="144">
        <v>8198981990</v>
      </c>
      <c r="K182" s="24" t="s">
        <v>92</v>
      </c>
      <c r="L182" s="27" t="str">
        <f t="shared" si="19"/>
        <v>-</v>
      </c>
      <c r="M182" s="24" t="s">
        <v>663</v>
      </c>
      <c r="N182" s="26" t="s">
        <v>701</v>
      </c>
      <c r="O182" s="24" t="s">
        <v>83</v>
      </c>
      <c r="P182" s="24"/>
      <c r="Q182" s="24"/>
      <c r="R182" s="24">
        <v>34</v>
      </c>
      <c r="S182" s="24">
        <f t="shared" si="23"/>
        <v>34</v>
      </c>
      <c r="T182" s="24">
        <f t="shared" si="21"/>
        <v>34</v>
      </c>
      <c r="U182" s="24">
        <f>ROUNDDOWN(S182/HLOOKUP(D182,Table!$C$3:$D$4,2,0)*8,2)</f>
        <v>0.6</v>
      </c>
      <c r="V182" s="24">
        <f t="shared" si="22"/>
        <v>0.6</v>
      </c>
      <c r="W182" s="24" t="s">
        <v>18</v>
      </c>
      <c r="X182" s="123">
        <v>43914</v>
      </c>
      <c r="Y182" s="28">
        <v>43921</v>
      </c>
      <c r="Z182" s="28">
        <v>43915</v>
      </c>
      <c r="AA182" s="28">
        <v>43915</v>
      </c>
      <c r="AB182" s="31" t="s">
        <v>158</v>
      </c>
      <c r="AC182" s="135">
        <v>100</v>
      </c>
      <c r="AD182" s="135">
        <v>100</v>
      </c>
      <c r="AE182" s="135">
        <v>100</v>
      </c>
      <c r="AF182" s="27" t="s">
        <v>76</v>
      </c>
      <c r="AG182" s="27" t="s">
        <v>76</v>
      </c>
    </row>
    <row r="183" spans="1:33" hidden="1" x14ac:dyDescent="0.25">
      <c r="B183" s="133">
        <f t="shared" si="18"/>
        <v>181</v>
      </c>
      <c r="C183" s="24">
        <v>20200324</v>
      </c>
      <c r="D183" s="24" t="s">
        <v>3</v>
      </c>
      <c r="E183" s="24" t="s">
        <v>654</v>
      </c>
      <c r="F183" s="27" t="s">
        <v>659</v>
      </c>
      <c r="G183" s="24">
        <v>1388032</v>
      </c>
      <c r="H183" s="24" t="s">
        <v>661</v>
      </c>
      <c r="I183" s="49" t="s">
        <v>193</v>
      </c>
      <c r="J183" s="24">
        <v>99186</v>
      </c>
      <c r="K183" s="24" t="s">
        <v>662</v>
      </c>
      <c r="L183" s="27" t="str">
        <f t="shared" si="19"/>
        <v>-</v>
      </c>
      <c r="M183" s="24" t="s">
        <v>664</v>
      </c>
      <c r="N183" s="26" t="s">
        <v>702</v>
      </c>
      <c r="O183" s="24" t="s">
        <v>84</v>
      </c>
      <c r="P183" s="24"/>
      <c r="Q183" s="24"/>
      <c r="R183" s="24">
        <v>61</v>
      </c>
      <c r="S183" s="24">
        <f t="shared" si="23"/>
        <v>61</v>
      </c>
      <c r="T183" s="24">
        <f t="shared" si="21"/>
        <v>61</v>
      </c>
      <c r="U183" s="24">
        <f>ROUNDDOWN(S183/HLOOKUP(D183,Table!$C$3:$D$4,2,0)*8,2)</f>
        <v>1.08</v>
      </c>
      <c r="V183" s="24">
        <f t="shared" si="22"/>
        <v>1.08</v>
      </c>
      <c r="W183" s="24" t="s">
        <v>18</v>
      </c>
      <c r="X183" s="123">
        <v>43914</v>
      </c>
      <c r="Y183" s="28">
        <v>43921</v>
      </c>
      <c r="Z183" s="28">
        <v>43915</v>
      </c>
      <c r="AA183" s="28">
        <v>43915</v>
      </c>
      <c r="AB183" s="31" t="s">
        <v>158</v>
      </c>
      <c r="AC183" s="24">
        <v>100</v>
      </c>
      <c r="AD183" s="24">
        <v>100</v>
      </c>
      <c r="AE183" s="24">
        <v>100</v>
      </c>
      <c r="AF183" s="27" t="s">
        <v>76</v>
      </c>
      <c r="AG183" s="27" t="s">
        <v>76</v>
      </c>
    </row>
    <row r="184" spans="1:33" x14ac:dyDescent="0.25">
      <c r="B184" s="137">
        <f t="shared" si="18"/>
        <v>182</v>
      </c>
      <c r="C184" s="24">
        <v>20200325</v>
      </c>
      <c r="D184" s="24" t="s">
        <v>3</v>
      </c>
      <c r="E184" s="24" t="s">
        <v>67</v>
      </c>
      <c r="F184" s="27" t="s">
        <v>668</v>
      </c>
      <c r="G184" s="24">
        <v>1388833</v>
      </c>
      <c r="H184" s="24" t="s">
        <v>669</v>
      </c>
      <c r="I184" s="49" t="s">
        <v>193</v>
      </c>
      <c r="J184" s="24"/>
      <c r="K184" s="24" t="s">
        <v>671</v>
      </c>
      <c r="L184" s="27" t="str">
        <f t="shared" si="19"/>
        <v>-</v>
      </c>
      <c r="M184" s="24" t="s">
        <v>672</v>
      </c>
      <c r="N184" s="26" t="s">
        <v>703</v>
      </c>
      <c r="O184" s="24" t="s">
        <v>82</v>
      </c>
      <c r="P184" s="24"/>
      <c r="Q184" s="24"/>
      <c r="R184" s="24">
        <v>168</v>
      </c>
      <c r="S184" s="25">
        <v>860</v>
      </c>
      <c r="T184" s="24">
        <f>S184</f>
        <v>860</v>
      </c>
      <c r="U184" s="24">
        <f>ROUNDDOWN(S184/HLOOKUP(D184,Table!$C$3:$D$4,2,0)*8,2)</f>
        <v>15.28</v>
      </c>
      <c r="V184" s="24">
        <v>8</v>
      </c>
      <c r="W184" s="24" t="s">
        <v>18</v>
      </c>
      <c r="X184" s="123">
        <v>43914</v>
      </c>
      <c r="Y184" s="28">
        <v>43920</v>
      </c>
      <c r="Z184" s="28">
        <v>43920</v>
      </c>
      <c r="AA184" s="28">
        <v>43920</v>
      </c>
      <c r="AB184" s="31" t="s">
        <v>157</v>
      </c>
      <c r="AC184" s="24">
        <v>100</v>
      </c>
      <c r="AD184" s="24">
        <v>100</v>
      </c>
      <c r="AE184" s="24">
        <v>98</v>
      </c>
      <c r="AF184" s="27" t="s">
        <v>752</v>
      </c>
      <c r="AG184" s="27" t="s">
        <v>76</v>
      </c>
    </row>
    <row r="185" spans="1:33" x14ac:dyDescent="0.25">
      <c r="B185" s="137">
        <f t="shared" si="18"/>
        <v>183</v>
      </c>
      <c r="C185" s="24">
        <v>20200325</v>
      </c>
      <c r="D185" s="24" t="s">
        <v>3</v>
      </c>
      <c r="E185" s="24" t="s">
        <v>67</v>
      </c>
      <c r="F185" s="27" t="s">
        <v>668</v>
      </c>
      <c r="G185" s="24">
        <v>1380537</v>
      </c>
      <c r="H185" s="24" t="s">
        <v>277</v>
      </c>
      <c r="I185" s="49" t="s">
        <v>193</v>
      </c>
      <c r="J185" s="24">
        <v>81650</v>
      </c>
      <c r="K185" s="24" t="s">
        <v>671</v>
      </c>
      <c r="L185" s="27" t="str">
        <f t="shared" si="19"/>
        <v>-</v>
      </c>
      <c r="M185" s="24" t="s">
        <v>672</v>
      </c>
      <c r="N185" s="26" t="s">
        <v>704</v>
      </c>
      <c r="O185" s="24" t="s">
        <v>82</v>
      </c>
      <c r="P185" s="24"/>
      <c r="Q185" s="24"/>
      <c r="R185" s="24">
        <v>259</v>
      </c>
      <c r="S185" s="24">
        <f t="shared" ref="S185" si="24">R185</f>
        <v>259</v>
      </c>
      <c r="T185" s="24">
        <f t="shared" ref="T185:T186" si="25">S185</f>
        <v>259</v>
      </c>
      <c r="U185" s="24">
        <f>ROUNDDOWN(S185/HLOOKUP(D185,Table!$C$3:$D$4,2,0)*8,2)</f>
        <v>4.5999999999999996</v>
      </c>
      <c r="V185" s="24">
        <v>4</v>
      </c>
      <c r="W185" s="24" t="s">
        <v>105</v>
      </c>
      <c r="X185" s="28">
        <v>43915</v>
      </c>
      <c r="Y185" s="28">
        <v>43920</v>
      </c>
      <c r="Z185" s="28">
        <v>43920</v>
      </c>
      <c r="AA185" s="28">
        <v>43920</v>
      </c>
      <c r="AB185" s="31" t="s">
        <v>157</v>
      </c>
      <c r="AC185" s="24">
        <v>100</v>
      </c>
      <c r="AD185" s="24">
        <v>100</v>
      </c>
      <c r="AE185" s="24">
        <v>93</v>
      </c>
      <c r="AF185" s="27" t="s">
        <v>752</v>
      </c>
      <c r="AG185" s="27" t="s">
        <v>76</v>
      </c>
    </row>
    <row r="186" spans="1:33" x14ac:dyDescent="0.25">
      <c r="B186" s="137">
        <f t="shared" si="18"/>
        <v>184</v>
      </c>
      <c r="C186" s="24">
        <v>20200325</v>
      </c>
      <c r="D186" s="24" t="s">
        <v>3</v>
      </c>
      <c r="E186" s="24" t="s">
        <v>67</v>
      </c>
      <c r="F186" s="27" t="s">
        <v>668</v>
      </c>
      <c r="G186" s="24">
        <v>1380537</v>
      </c>
      <c r="H186" s="24" t="s">
        <v>670</v>
      </c>
      <c r="I186" s="49" t="s">
        <v>193</v>
      </c>
      <c r="J186" s="24">
        <v>81650</v>
      </c>
      <c r="K186" s="24" t="s">
        <v>671</v>
      </c>
      <c r="L186" s="27" t="str">
        <f t="shared" si="19"/>
        <v>-</v>
      </c>
      <c r="M186" s="24" t="s">
        <v>672</v>
      </c>
      <c r="N186" s="26" t="s">
        <v>705</v>
      </c>
      <c r="O186" s="24" t="s">
        <v>82</v>
      </c>
      <c r="P186" s="24"/>
      <c r="Q186" s="24"/>
      <c r="R186" s="24">
        <v>115</v>
      </c>
      <c r="S186" s="25">
        <v>176</v>
      </c>
      <c r="T186" s="24">
        <f t="shared" si="25"/>
        <v>176</v>
      </c>
      <c r="U186" s="24">
        <f>ROUNDDOWN(S186/HLOOKUP(D186,Table!$C$3:$D$4,2,0)*8,2)</f>
        <v>3.12</v>
      </c>
      <c r="V186" s="24">
        <v>3</v>
      </c>
      <c r="W186" s="24" t="s">
        <v>105</v>
      </c>
      <c r="X186" s="28">
        <v>43915</v>
      </c>
      <c r="Y186" s="28">
        <v>43920</v>
      </c>
      <c r="Z186" s="28">
        <v>43920</v>
      </c>
      <c r="AA186" s="28">
        <v>43920</v>
      </c>
      <c r="AB186" s="31" t="s">
        <v>158</v>
      </c>
      <c r="AC186" s="24">
        <v>100</v>
      </c>
      <c r="AD186" s="24">
        <v>100</v>
      </c>
      <c r="AE186" s="24">
        <v>100</v>
      </c>
      <c r="AF186" s="27" t="s">
        <v>76</v>
      </c>
      <c r="AG186" s="27" t="s">
        <v>76</v>
      </c>
    </row>
    <row r="187" spans="1:33" x14ac:dyDescent="0.25">
      <c r="B187" s="136">
        <f t="shared" si="18"/>
        <v>185</v>
      </c>
      <c r="C187" s="26" t="s">
        <v>678</v>
      </c>
      <c r="D187" s="24" t="s">
        <v>3</v>
      </c>
      <c r="E187" s="24" t="s">
        <v>109</v>
      </c>
      <c r="F187" s="27" t="s">
        <v>197</v>
      </c>
      <c r="G187" s="24">
        <v>1341660</v>
      </c>
      <c r="H187" s="26" t="s">
        <v>110</v>
      </c>
      <c r="I187" s="25" t="s">
        <v>194</v>
      </c>
      <c r="J187" s="24" t="s">
        <v>76</v>
      </c>
      <c r="K187" s="24" t="s">
        <v>160</v>
      </c>
      <c r="L187" s="27" t="str">
        <f t="shared" si="19"/>
        <v>-</v>
      </c>
      <c r="M187" s="27" t="s">
        <v>368</v>
      </c>
      <c r="N187" s="26" t="s">
        <v>706</v>
      </c>
      <c r="O187" s="24" t="s">
        <v>82</v>
      </c>
      <c r="P187" s="24"/>
      <c r="Q187" s="24"/>
      <c r="R187" s="24">
        <v>77</v>
      </c>
      <c r="S187" s="24">
        <v>77</v>
      </c>
      <c r="T187" s="24">
        <v>77</v>
      </c>
      <c r="U187" s="24">
        <f>ROUNDDOWN(S187/HLOOKUP(D187,Table!$C$3:$D$4,2,0)*8,2)</f>
        <v>1.36</v>
      </c>
      <c r="V187" s="24">
        <v>1</v>
      </c>
      <c r="W187" s="24" t="s">
        <v>21</v>
      </c>
      <c r="X187" s="123">
        <v>43913</v>
      </c>
      <c r="Y187" s="28">
        <v>43921</v>
      </c>
      <c r="Z187" s="28">
        <v>43924</v>
      </c>
      <c r="AA187" s="28">
        <v>43924</v>
      </c>
      <c r="AB187" s="28" t="s">
        <v>158</v>
      </c>
      <c r="AC187" s="24">
        <v>100</v>
      </c>
      <c r="AD187" s="24">
        <v>100</v>
      </c>
      <c r="AE187" s="24">
        <v>100</v>
      </c>
      <c r="AF187" s="27" t="s">
        <v>76</v>
      </c>
      <c r="AG187" s="27" t="s">
        <v>76</v>
      </c>
    </row>
    <row r="188" spans="1:33" x14ac:dyDescent="0.25">
      <c r="B188" s="136">
        <f t="shared" si="18"/>
        <v>186</v>
      </c>
      <c r="C188" s="26" t="s">
        <v>678</v>
      </c>
      <c r="D188" s="24" t="s">
        <v>3</v>
      </c>
      <c r="E188" s="24" t="s">
        <v>109</v>
      </c>
      <c r="F188" s="27" t="s">
        <v>197</v>
      </c>
      <c r="G188" s="24">
        <v>1341660</v>
      </c>
      <c r="H188" s="26" t="s">
        <v>111</v>
      </c>
      <c r="I188" s="25" t="s">
        <v>194</v>
      </c>
      <c r="J188" s="24" t="s">
        <v>76</v>
      </c>
      <c r="K188" s="24" t="s">
        <v>160</v>
      </c>
      <c r="L188" s="27" t="str">
        <f t="shared" si="19"/>
        <v>-</v>
      </c>
      <c r="M188" s="27" t="s">
        <v>368</v>
      </c>
      <c r="N188" s="26" t="s">
        <v>707</v>
      </c>
      <c r="O188" s="24" t="s">
        <v>82</v>
      </c>
      <c r="P188" s="24"/>
      <c r="Q188" s="24"/>
      <c r="R188" s="24">
        <v>44</v>
      </c>
      <c r="S188" s="24">
        <v>44</v>
      </c>
      <c r="T188" s="24">
        <v>44</v>
      </c>
      <c r="U188" s="24">
        <f>ROUNDDOWN(S188/HLOOKUP(D188,Table!$C$3:$D$4,2,0)*8,2)</f>
        <v>0.78</v>
      </c>
      <c r="V188" s="24">
        <v>0.5</v>
      </c>
      <c r="W188" s="24" t="s">
        <v>21</v>
      </c>
      <c r="X188" s="123">
        <v>43913</v>
      </c>
      <c r="Y188" s="28">
        <v>43921</v>
      </c>
      <c r="Z188" s="28">
        <v>43924</v>
      </c>
      <c r="AA188" s="28">
        <v>43924</v>
      </c>
      <c r="AB188" s="28" t="s">
        <v>158</v>
      </c>
      <c r="AC188" s="24">
        <v>100</v>
      </c>
      <c r="AD188" s="24">
        <v>100</v>
      </c>
      <c r="AE188" s="24">
        <v>100</v>
      </c>
      <c r="AF188" s="27" t="s">
        <v>76</v>
      </c>
      <c r="AG188" s="27" t="s">
        <v>76</v>
      </c>
    </row>
    <row r="189" spans="1:33" x14ac:dyDescent="0.25">
      <c r="B189" s="136">
        <f t="shared" si="18"/>
        <v>187</v>
      </c>
      <c r="C189" s="26" t="s">
        <v>678</v>
      </c>
      <c r="D189" s="24" t="s">
        <v>3</v>
      </c>
      <c r="E189" s="24" t="s">
        <v>109</v>
      </c>
      <c r="F189" s="27" t="s">
        <v>197</v>
      </c>
      <c r="G189" s="24">
        <v>1341660</v>
      </c>
      <c r="H189" s="26" t="s">
        <v>112</v>
      </c>
      <c r="I189" s="25" t="s">
        <v>194</v>
      </c>
      <c r="J189" s="24" t="s">
        <v>76</v>
      </c>
      <c r="K189" s="24" t="s">
        <v>160</v>
      </c>
      <c r="L189" s="27" t="str">
        <f t="shared" si="19"/>
        <v>-</v>
      </c>
      <c r="M189" s="27" t="s">
        <v>368</v>
      </c>
      <c r="N189" s="26" t="s">
        <v>708</v>
      </c>
      <c r="O189" s="24" t="s">
        <v>82</v>
      </c>
      <c r="P189" s="24"/>
      <c r="Q189" s="24"/>
      <c r="R189" s="24">
        <v>210</v>
      </c>
      <c r="S189" s="24">
        <v>210</v>
      </c>
      <c r="T189" s="24">
        <v>210</v>
      </c>
      <c r="U189" s="24">
        <f>ROUNDDOWN(S189/HLOOKUP(D189,Table!$C$3:$D$4,2,0)*8,2)</f>
        <v>3.73</v>
      </c>
      <c r="V189" s="24">
        <v>4</v>
      </c>
      <c r="W189" s="24" t="s">
        <v>21</v>
      </c>
      <c r="X189" s="123">
        <v>43913</v>
      </c>
      <c r="Y189" s="28">
        <v>43921</v>
      </c>
      <c r="Z189" s="28">
        <v>43921</v>
      </c>
      <c r="AA189" s="28">
        <v>43921</v>
      </c>
      <c r="AB189" s="28" t="s">
        <v>158</v>
      </c>
      <c r="AC189" s="24">
        <v>100</v>
      </c>
      <c r="AD189" s="24">
        <v>100</v>
      </c>
      <c r="AE189" s="24">
        <v>100</v>
      </c>
      <c r="AF189" s="27" t="s">
        <v>76</v>
      </c>
      <c r="AG189" s="27" t="s">
        <v>76</v>
      </c>
    </row>
    <row r="190" spans="1:33" x14ac:dyDescent="0.25">
      <c r="B190" s="136">
        <f t="shared" si="18"/>
        <v>188</v>
      </c>
      <c r="C190" s="26" t="s">
        <v>678</v>
      </c>
      <c r="D190" s="24" t="s">
        <v>3</v>
      </c>
      <c r="E190" s="24" t="s">
        <v>109</v>
      </c>
      <c r="F190" s="27" t="s">
        <v>195</v>
      </c>
      <c r="G190" s="24">
        <v>1341660</v>
      </c>
      <c r="H190" s="26" t="s">
        <v>113</v>
      </c>
      <c r="I190" s="25" t="s">
        <v>194</v>
      </c>
      <c r="J190" s="24" t="s">
        <v>76</v>
      </c>
      <c r="K190" s="24" t="s">
        <v>160</v>
      </c>
      <c r="L190" s="27" t="str">
        <f t="shared" si="19"/>
        <v>-</v>
      </c>
      <c r="M190" s="27" t="s">
        <v>368</v>
      </c>
      <c r="N190" s="26" t="s">
        <v>709</v>
      </c>
      <c r="O190" s="24" t="s">
        <v>82</v>
      </c>
      <c r="P190" s="24"/>
      <c r="Q190" s="24"/>
      <c r="R190" s="24">
        <v>622</v>
      </c>
      <c r="S190" s="24">
        <v>622</v>
      </c>
      <c r="T190" s="24">
        <v>622</v>
      </c>
      <c r="U190" s="24">
        <f>ROUNDDOWN(S190/HLOOKUP(D190,Table!$C$3:$D$4,2,0)*8,2)</f>
        <v>11.05</v>
      </c>
      <c r="V190" s="24">
        <v>6</v>
      </c>
      <c r="W190" s="24" t="s">
        <v>21</v>
      </c>
      <c r="X190" s="123">
        <v>43913</v>
      </c>
      <c r="Y190" s="28">
        <v>43921</v>
      </c>
      <c r="Z190" s="28">
        <v>43922</v>
      </c>
      <c r="AA190" s="28">
        <v>43922</v>
      </c>
      <c r="AB190" s="28" t="s">
        <v>158</v>
      </c>
      <c r="AC190" s="24">
        <v>100</v>
      </c>
      <c r="AD190" s="24">
        <v>100</v>
      </c>
      <c r="AE190" s="24">
        <v>100</v>
      </c>
      <c r="AF190" s="27" t="s">
        <v>76</v>
      </c>
      <c r="AG190" s="27" t="s">
        <v>76</v>
      </c>
    </row>
    <row r="191" spans="1:33" hidden="1" x14ac:dyDescent="0.25">
      <c r="B191" s="136">
        <f t="shared" si="18"/>
        <v>189</v>
      </c>
      <c r="C191" s="26" t="s">
        <v>678</v>
      </c>
      <c r="D191" s="24" t="s">
        <v>3</v>
      </c>
      <c r="E191" s="24" t="s">
        <v>109</v>
      </c>
      <c r="F191" s="27" t="s">
        <v>195</v>
      </c>
      <c r="G191" s="24">
        <v>1341660</v>
      </c>
      <c r="H191" s="26" t="s">
        <v>114</v>
      </c>
      <c r="I191" s="25" t="s">
        <v>194</v>
      </c>
      <c r="J191" s="24" t="s">
        <v>76</v>
      </c>
      <c r="K191" s="24" t="s">
        <v>160</v>
      </c>
      <c r="L191" s="27" t="str">
        <f t="shared" si="19"/>
        <v>-</v>
      </c>
      <c r="M191" s="27" t="s">
        <v>368</v>
      </c>
      <c r="N191" s="26" t="s">
        <v>710</v>
      </c>
      <c r="O191" s="24" t="s">
        <v>85</v>
      </c>
      <c r="P191" s="24"/>
      <c r="Q191" s="24"/>
      <c r="R191" s="24">
        <v>97</v>
      </c>
      <c r="S191" s="24">
        <f t="shared" ref="S191:S194" si="26">R191</f>
        <v>97</v>
      </c>
      <c r="T191" s="24">
        <f t="shared" si="21"/>
        <v>97</v>
      </c>
      <c r="U191" s="24">
        <f>ROUNDDOWN(S191/HLOOKUP(D191,Table!$C$3:$D$4,2,0)*8,2)</f>
        <v>1.72</v>
      </c>
      <c r="V191" s="24">
        <f t="shared" si="22"/>
        <v>1.72</v>
      </c>
      <c r="W191" s="24" t="s">
        <v>21</v>
      </c>
      <c r="X191" s="123">
        <v>43913</v>
      </c>
      <c r="Y191" s="28">
        <v>43921</v>
      </c>
      <c r="Z191" s="28"/>
      <c r="AA191" s="28"/>
      <c r="AB191" s="28" t="s">
        <v>158</v>
      </c>
      <c r="AC191" s="24">
        <v>100</v>
      </c>
      <c r="AD191" s="24">
        <v>100</v>
      </c>
      <c r="AE191" s="24">
        <v>100</v>
      </c>
      <c r="AF191" s="27" t="s">
        <v>76</v>
      </c>
      <c r="AG191" s="27" t="s">
        <v>76</v>
      </c>
    </row>
    <row r="192" spans="1:33" hidden="1" x14ac:dyDescent="0.25">
      <c r="B192" s="136">
        <f t="shared" si="18"/>
        <v>190</v>
      </c>
      <c r="C192" s="26" t="s">
        <v>678</v>
      </c>
      <c r="D192" s="24" t="s">
        <v>3</v>
      </c>
      <c r="E192" s="24" t="s">
        <v>109</v>
      </c>
      <c r="F192" s="27" t="s">
        <v>195</v>
      </c>
      <c r="G192" s="24">
        <v>1341660</v>
      </c>
      <c r="H192" s="26" t="s">
        <v>115</v>
      </c>
      <c r="I192" s="25" t="s">
        <v>194</v>
      </c>
      <c r="J192" s="24" t="s">
        <v>76</v>
      </c>
      <c r="K192" s="24" t="s">
        <v>160</v>
      </c>
      <c r="L192" s="27" t="str">
        <f t="shared" si="19"/>
        <v>-</v>
      </c>
      <c r="M192" s="27" t="s">
        <v>368</v>
      </c>
      <c r="N192" s="26" t="s">
        <v>711</v>
      </c>
      <c r="O192" s="24" t="s">
        <v>85</v>
      </c>
      <c r="P192" s="24"/>
      <c r="Q192" s="24"/>
      <c r="R192" s="24">
        <v>100</v>
      </c>
      <c r="S192" s="24">
        <f t="shared" si="26"/>
        <v>100</v>
      </c>
      <c r="T192" s="24">
        <f t="shared" si="21"/>
        <v>100</v>
      </c>
      <c r="U192" s="24">
        <f>ROUNDDOWN(S192/HLOOKUP(D192,Table!$C$3:$D$4,2,0)*8,2)</f>
        <v>1.77</v>
      </c>
      <c r="V192" s="24">
        <f t="shared" si="22"/>
        <v>1.77</v>
      </c>
      <c r="W192" s="24" t="s">
        <v>21</v>
      </c>
      <c r="X192" s="123">
        <v>43913</v>
      </c>
      <c r="Y192" s="28">
        <v>43921</v>
      </c>
      <c r="Z192" s="28"/>
      <c r="AA192" s="28"/>
      <c r="AB192" s="28" t="s">
        <v>158</v>
      </c>
      <c r="AC192" s="24">
        <v>100</v>
      </c>
      <c r="AD192" s="24">
        <v>100</v>
      </c>
      <c r="AE192" s="24">
        <v>100</v>
      </c>
      <c r="AF192" s="27" t="s">
        <v>76</v>
      </c>
      <c r="AG192" s="27" t="s">
        <v>76</v>
      </c>
    </row>
    <row r="193" spans="2:33" hidden="1" x14ac:dyDescent="0.25">
      <c r="B193" s="136">
        <f t="shared" si="18"/>
        <v>191</v>
      </c>
      <c r="C193" s="26" t="s">
        <v>678</v>
      </c>
      <c r="D193" s="24" t="s">
        <v>3</v>
      </c>
      <c r="E193" s="24" t="s">
        <v>109</v>
      </c>
      <c r="F193" s="27" t="s">
        <v>195</v>
      </c>
      <c r="G193" s="24">
        <v>1341660</v>
      </c>
      <c r="H193" s="26" t="s">
        <v>116</v>
      </c>
      <c r="I193" s="25" t="s">
        <v>194</v>
      </c>
      <c r="J193" s="24" t="s">
        <v>76</v>
      </c>
      <c r="K193" s="24" t="s">
        <v>160</v>
      </c>
      <c r="L193" s="27" t="str">
        <f t="shared" si="19"/>
        <v>-</v>
      </c>
      <c r="M193" s="27" t="s">
        <v>368</v>
      </c>
      <c r="N193" s="26" t="s">
        <v>712</v>
      </c>
      <c r="O193" s="24" t="s">
        <v>85</v>
      </c>
      <c r="P193" s="24"/>
      <c r="Q193" s="24"/>
      <c r="R193" s="24">
        <v>8</v>
      </c>
      <c r="S193" s="24">
        <f t="shared" si="26"/>
        <v>8</v>
      </c>
      <c r="T193" s="24">
        <f t="shared" si="21"/>
        <v>8</v>
      </c>
      <c r="U193" s="24">
        <f>ROUNDDOWN(S193/HLOOKUP(D193,Table!$C$3:$D$4,2,0)*8,2)</f>
        <v>0.14000000000000001</v>
      </c>
      <c r="V193" s="24">
        <f t="shared" si="22"/>
        <v>0.14000000000000001</v>
      </c>
      <c r="W193" s="24" t="s">
        <v>21</v>
      </c>
      <c r="X193" s="123">
        <v>43913</v>
      </c>
      <c r="Y193" s="28">
        <v>43921</v>
      </c>
      <c r="Z193" s="28"/>
      <c r="AA193" s="28"/>
      <c r="AB193" s="28"/>
      <c r="AC193" s="24" t="s">
        <v>76</v>
      </c>
      <c r="AD193" s="24" t="s">
        <v>76</v>
      </c>
      <c r="AE193" s="24" t="s">
        <v>76</v>
      </c>
      <c r="AF193" s="27" t="s">
        <v>283</v>
      </c>
      <c r="AG193" s="27" t="s">
        <v>76</v>
      </c>
    </row>
    <row r="194" spans="2:33" hidden="1" x14ac:dyDescent="0.25">
      <c r="B194" s="136">
        <f t="shared" si="18"/>
        <v>192</v>
      </c>
      <c r="C194" s="26" t="s">
        <v>678</v>
      </c>
      <c r="D194" s="24" t="s">
        <v>3</v>
      </c>
      <c r="E194" s="24" t="s">
        <v>109</v>
      </c>
      <c r="F194" s="27" t="s">
        <v>195</v>
      </c>
      <c r="G194" s="24">
        <v>1341660</v>
      </c>
      <c r="H194" s="26" t="s">
        <v>117</v>
      </c>
      <c r="I194" s="25" t="s">
        <v>194</v>
      </c>
      <c r="J194" s="24" t="s">
        <v>76</v>
      </c>
      <c r="K194" s="24" t="s">
        <v>160</v>
      </c>
      <c r="L194" s="27" t="str">
        <f t="shared" si="19"/>
        <v>-</v>
      </c>
      <c r="M194" s="27" t="s">
        <v>368</v>
      </c>
      <c r="N194" s="26" t="s">
        <v>713</v>
      </c>
      <c r="O194" s="24" t="s">
        <v>85</v>
      </c>
      <c r="P194" s="24"/>
      <c r="Q194" s="24"/>
      <c r="R194" s="24">
        <v>148</v>
      </c>
      <c r="S194" s="24">
        <f t="shared" si="26"/>
        <v>148</v>
      </c>
      <c r="T194" s="24">
        <f t="shared" si="21"/>
        <v>148</v>
      </c>
      <c r="U194" s="24">
        <f>ROUNDDOWN(S194/HLOOKUP(D194,Table!$C$3:$D$4,2,0)*8,2)</f>
        <v>2.63</v>
      </c>
      <c r="V194" s="24">
        <f t="shared" si="22"/>
        <v>2.63</v>
      </c>
      <c r="W194" s="24" t="s">
        <v>21</v>
      </c>
      <c r="X194" s="123">
        <v>43913</v>
      </c>
      <c r="Y194" s="28">
        <v>43921</v>
      </c>
      <c r="Z194" s="28"/>
      <c r="AA194" s="28"/>
      <c r="AB194" s="28" t="s">
        <v>158</v>
      </c>
      <c r="AC194" s="24">
        <v>100</v>
      </c>
      <c r="AD194" s="24">
        <v>100</v>
      </c>
      <c r="AE194" s="24">
        <v>100</v>
      </c>
      <c r="AF194" s="27" t="s">
        <v>76</v>
      </c>
      <c r="AG194" s="27" t="s">
        <v>76</v>
      </c>
    </row>
    <row r="195" spans="2:33" hidden="1" x14ac:dyDescent="0.25">
      <c r="B195" s="136">
        <f t="shared" si="18"/>
        <v>193</v>
      </c>
      <c r="C195" s="26" t="s">
        <v>678</v>
      </c>
      <c r="D195" s="24" t="s">
        <v>3</v>
      </c>
      <c r="E195" s="24" t="s">
        <v>109</v>
      </c>
      <c r="F195" s="27" t="s">
        <v>195</v>
      </c>
      <c r="G195" s="24">
        <v>1341660</v>
      </c>
      <c r="H195" s="26" t="s">
        <v>118</v>
      </c>
      <c r="I195" s="25" t="s">
        <v>194</v>
      </c>
      <c r="J195" s="24" t="s">
        <v>76</v>
      </c>
      <c r="K195" s="24" t="s">
        <v>160</v>
      </c>
      <c r="L195" s="27" t="str">
        <f t="shared" si="19"/>
        <v>-</v>
      </c>
      <c r="M195" s="27" t="s">
        <v>368</v>
      </c>
      <c r="N195" s="26" t="s">
        <v>714</v>
      </c>
      <c r="O195" s="24" t="s">
        <v>84</v>
      </c>
      <c r="P195" s="24"/>
      <c r="Q195" s="24"/>
      <c r="R195" s="24">
        <v>17</v>
      </c>
      <c r="S195" s="24">
        <v>17</v>
      </c>
      <c r="T195" s="24">
        <f t="shared" si="21"/>
        <v>17</v>
      </c>
      <c r="U195" s="24">
        <f>ROUNDDOWN(S195/HLOOKUP(D195,Table!$C$3:$D$4,2,0)*8,2)</f>
        <v>0.3</v>
      </c>
      <c r="V195" s="24">
        <f t="shared" si="22"/>
        <v>0.3</v>
      </c>
      <c r="W195" s="24" t="s">
        <v>21</v>
      </c>
      <c r="X195" s="123">
        <v>43913</v>
      </c>
      <c r="Y195" s="28">
        <v>43921</v>
      </c>
      <c r="Z195" s="28">
        <v>43916</v>
      </c>
      <c r="AA195" s="28">
        <v>43916</v>
      </c>
      <c r="AB195" s="28" t="s">
        <v>158</v>
      </c>
      <c r="AC195" s="24">
        <v>100</v>
      </c>
      <c r="AD195" s="24">
        <v>100</v>
      </c>
      <c r="AE195" s="24">
        <v>100</v>
      </c>
      <c r="AF195" s="27" t="s">
        <v>76</v>
      </c>
      <c r="AG195" s="27" t="s">
        <v>76</v>
      </c>
    </row>
    <row r="196" spans="2:33" hidden="1" x14ac:dyDescent="0.25">
      <c r="B196" s="136">
        <f t="shared" si="18"/>
        <v>194</v>
      </c>
      <c r="C196" s="26" t="s">
        <v>678</v>
      </c>
      <c r="D196" s="24" t="s">
        <v>3</v>
      </c>
      <c r="E196" s="24" t="s">
        <v>109</v>
      </c>
      <c r="F196" s="27" t="s">
        <v>195</v>
      </c>
      <c r="G196" s="24">
        <v>1341660</v>
      </c>
      <c r="H196" s="26" t="s">
        <v>119</v>
      </c>
      <c r="I196" s="25" t="s">
        <v>194</v>
      </c>
      <c r="J196" s="24" t="s">
        <v>76</v>
      </c>
      <c r="K196" s="24" t="s">
        <v>160</v>
      </c>
      <c r="L196" s="27" t="str">
        <f t="shared" si="19"/>
        <v>-</v>
      </c>
      <c r="M196" s="27" t="s">
        <v>368</v>
      </c>
      <c r="N196" s="26" t="s">
        <v>715</v>
      </c>
      <c r="O196" s="24" t="s">
        <v>84</v>
      </c>
      <c r="P196" s="24"/>
      <c r="Q196" s="24"/>
      <c r="R196" s="24">
        <v>18</v>
      </c>
      <c r="S196" s="24">
        <v>18</v>
      </c>
      <c r="T196" s="24">
        <f t="shared" si="21"/>
        <v>18</v>
      </c>
      <c r="U196" s="24">
        <f>ROUNDDOWN(S196/HLOOKUP(D196,Table!$C$3:$D$4,2,0)*8,2)</f>
        <v>0.32</v>
      </c>
      <c r="V196" s="24">
        <f t="shared" si="22"/>
        <v>0.32</v>
      </c>
      <c r="W196" s="24" t="s">
        <v>21</v>
      </c>
      <c r="X196" s="123">
        <v>43913</v>
      </c>
      <c r="Y196" s="28">
        <v>43921</v>
      </c>
      <c r="Z196" s="28">
        <v>43916</v>
      </c>
      <c r="AA196" s="28">
        <v>43916</v>
      </c>
      <c r="AB196" s="28" t="s">
        <v>158</v>
      </c>
      <c r="AC196" s="24">
        <v>100</v>
      </c>
      <c r="AD196" s="24">
        <v>100</v>
      </c>
      <c r="AE196" s="24">
        <v>100</v>
      </c>
      <c r="AF196" s="27" t="s">
        <v>76</v>
      </c>
      <c r="AG196" s="27" t="s">
        <v>76</v>
      </c>
    </row>
    <row r="197" spans="2:33" s="118" customFormat="1" hidden="1" x14ac:dyDescent="0.25">
      <c r="B197" s="136">
        <f t="shared" si="18"/>
        <v>195</v>
      </c>
      <c r="C197" s="26" t="s">
        <v>678</v>
      </c>
      <c r="D197" s="24" t="s">
        <v>3</v>
      </c>
      <c r="E197" s="24" t="s">
        <v>109</v>
      </c>
      <c r="F197" s="27" t="s">
        <v>195</v>
      </c>
      <c r="G197" s="24">
        <v>1341660</v>
      </c>
      <c r="H197" s="206" t="s">
        <v>120</v>
      </c>
      <c r="I197" s="25" t="s">
        <v>194</v>
      </c>
      <c r="J197" s="24" t="s">
        <v>76</v>
      </c>
      <c r="K197" s="24" t="s">
        <v>160</v>
      </c>
      <c r="L197" s="27" t="str">
        <f t="shared" si="19"/>
        <v>-</v>
      </c>
      <c r="M197" s="27" t="s">
        <v>368</v>
      </c>
      <c r="N197" s="26" t="s">
        <v>716</v>
      </c>
      <c r="O197" s="24" t="s">
        <v>83</v>
      </c>
      <c r="P197" s="24"/>
      <c r="Q197" s="24"/>
      <c r="R197" s="24">
        <v>129</v>
      </c>
      <c r="S197" s="24">
        <v>129</v>
      </c>
      <c r="T197" s="24">
        <f t="shared" si="21"/>
        <v>129</v>
      </c>
      <c r="U197" s="24">
        <f>ROUNDDOWN(S197/HLOOKUP(D197,Table!$C$3:$D$4,2,0)*8,2)</f>
        <v>2.29</v>
      </c>
      <c r="V197" s="24">
        <f t="shared" si="22"/>
        <v>2.29</v>
      </c>
      <c r="W197" s="24" t="s">
        <v>21</v>
      </c>
      <c r="X197" s="123">
        <v>43913</v>
      </c>
      <c r="Y197" s="28">
        <v>43921</v>
      </c>
      <c r="Z197" s="28">
        <v>43916</v>
      </c>
      <c r="AA197" s="28">
        <v>43916</v>
      </c>
      <c r="AB197" s="28" t="s">
        <v>158</v>
      </c>
      <c r="AC197" s="24">
        <v>100</v>
      </c>
      <c r="AD197" s="24">
        <v>100</v>
      </c>
      <c r="AE197" s="24">
        <v>100</v>
      </c>
      <c r="AF197" s="27" t="s">
        <v>76</v>
      </c>
      <c r="AG197" s="27" t="s">
        <v>472</v>
      </c>
    </row>
    <row r="198" spans="2:33" s="118" customFormat="1" hidden="1" x14ac:dyDescent="0.25">
      <c r="B198" s="136">
        <f t="shared" si="18"/>
        <v>196</v>
      </c>
      <c r="C198" s="26" t="s">
        <v>678</v>
      </c>
      <c r="D198" s="24" t="s">
        <v>3</v>
      </c>
      <c r="E198" s="24" t="s">
        <v>109</v>
      </c>
      <c r="F198" s="27" t="s">
        <v>195</v>
      </c>
      <c r="G198" s="24">
        <v>1341660</v>
      </c>
      <c r="H198" s="206" t="s">
        <v>121</v>
      </c>
      <c r="I198" s="25" t="s">
        <v>194</v>
      </c>
      <c r="J198" s="24" t="s">
        <v>76</v>
      </c>
      <c r="K198" s="24" t="s">
        <v>160</v>
      </c>
      <c r="L198" s="27" t="str">
        <f t="shared" si="19"/>
        <v>-</v>
      </c>
      <c r="M198" s="27" t="s">
        <v>368</v>
      </c>
      <c r="N198" s="26" t="s">
        <v>717</v>
      </c>
      <c r="O198" s="24" t="s">
        <v>83</v>
      </c>
      <c r="P198" s="24"/>
      <c r="Q198" s="24"/>
      <c r="R198" s="24">
        <v>164</v>
      </c>
      <c r="S198" s="24">
        <v>196</v>
      </c>
      <c r="T198" s="24">
        <f t="shared" si="21"/>
        <v>196</v>
      </c>
      <c r="U198" s="24">
        <f>ROUNDDOWN(S198/HLOOKUP(D198,Table!$C$3:$D$4,2,0)*8,2)</f>
        <v>3.48</v>
      </c>
      <c r="V198" s="24">
        <f t="shared" si="22"/>
        <v>3.48</v>
      </c>
      <c r="W198" s="24" t="s">
        <v>21</v>
      </c>
      <c r="X198" s="123">
        <v>43913</v>
      </c>
      <c r="Y198" s="28">
        <v>43921</v>
      </c>
      <c r="Z198" s="28">
        <v>43916</v>
      </c>
      <c r="AA198" s="28">
        <v>43916</v>
      </c>
      <c r="AB198" s="28" t="s">
        <v>158</v>
      </c>
      <c r="AC198" s="24">
        <v>100</v>
      </c>
      <c r="AD198" s="24">
        <v>100</v>
      </c>
      <c r="AE198" s="24">
        <v>100</v>
      </c>
      <c r="AF198" s="27" t="s">
        <v>76</v>
      </c>
      <c r="AG198" s="27" t="s">
        <v>472</v>
      </c>
    </row>
    <row r="199" spans="2:33" s="118" customFormat="1" hidden="1" x14ac:dyDescent="0.25">
      <c r="B199" s="136">
        <f t="shared" si="18"/>
        <v>197</v>
      </c>
      <c r="C199" s="26" t="s">
        <v>678</v>
      </c>
      <c r="D199" s="24" t="s">
        <v>3</v>
      </c>
      <c r="E199" s="24" t="s">
        <v>109</v>
      </c>
      <c r="F199" s="27" t="s">
        <v>195</v>
      </c>
      <c r="G199" s="24">
        <v>1341660</v>
      </c>
      <c r="H199" s="206" t="s">
        <v>122</v>
      </c>
      <c r="I199" s="25" t="s">
        <v>194</v>
      </c>
      <c r="J199" s="24" t="s">
        <v>76</v>
      </c>
      <c r="K199" s="24" t="s">
        <v>160</v>
      </c>
      <c r="L199" s="27" t="str">
        <f t="shared" ref="L199:L225" si="27">IF(D199="ASW","PUT_VERSION","-")</f>
        <v>-</v>
      </c>
      <c r="M199" s="27" t="s">
        <v>368</v>
      </c>
      <c r="N199" s="26" t="s">
        <v>718</v>
      </c>
      <c r="O199" s="24" t="s">
        <v>83</v>
      </c>
      <c r="P199" s="24"/>
      <c r="Q199" s="24"/>
      <c r="R199" s="24">
        <v>104</v>
      </c>
      <c r="S199" s="24">
        <v>104</v>
      </c>
      <c r="T199" s="24">
        <f t="shared" si="21"/>
        <v>104</v>
      </c>
      <c r="U199" s="24">
        <f>ROUNDDOWN(S199/HLOOKUP(D199,Table!$C$3:$D$4,2,0)*8,2)</f>
        <v>1.84</v>
      </c>
      <c r="V199" s="24">
        <f t="shared" si="22"/>
        <v>1.84</v>
      </c>
      <c r="W199" s="24" t="s">
        <v>21</v>
      </c>
      <c r="X199" s="123">
        <v>43913</v>
      </c>
      <c r="Y199" s="28">
        <v>43921</v>
      </c>
      <c r="Z199" s="28">
        <v>43916</v>
      </c>
      <c r="AA199" s="28">
        <v>43916</v>
      </c>
      <c r="AB199" s="28" t="s">
        <v>157</v>
      </c>
      <c r="AC199" s="24">
        <v>97</v>
      </c>
      <c r="AD199" s="24">
        <v>95</v>
      </c>
      <c r="AE199" s="24">
        <v>100</v>
      </c>
      <c r="AF199" s="24" t="s">
        <v>282</v>
      </c>
      <c r="AG199" s="27" t="s">
        <v>472</v>
      </c>
    </row>
    <row r="200" spans="2:33" s="118" customFormat="1" hidden="1" x14ac:dyDescent="0.25">
      <c r="B200" s="136">
        <f t="shared" si="18"/>
        <v>198</v>
      </c>
      <c r="C200" s="26" t="s">
        <v>678</v>
      </c>
      <c r="D200" s="24" t="s">
        <v>3</v>
      </c>
      <c r="E200" s="24" t="s">
        <v>109</v>
      </c>
      <c r="F200" s="27" t="s">
        <v>195</v>
      </c>
      <c r="G200" s="24">
        <v>1341660</v>
      </c>
      <c r="H200" s="206" t="s">
        <v>123</v>
      </c>
      <c r="I200" s="25" t="s">
        <v>194</v>
      </c>
      <c r="J200" s="24" t="s">
        <v>76</v>
      </c>
      <c r="K200" s="24" t="s">
        <v>160</v>
      </c>
      <c r="L200" s="27" t="str">
        <f t="shared" si="27"/>
        <v>-</v>
      </c>
      <c r="M200" s="27" t="s">
        <v>368</v>
      </c>
      <c r="N200" s="26" t="s">
        <v>719</v>
      </c>
      <c r="O200" s="24" t="s">
        <v>83</v>
      </c>
      <c r="P200" s="24"/>
      <c r="Q200" s="24"/>
      <c r="R200" s="24">
        <v>154</v>
      </c>
      <c r="S200" s="24">
        <v>154</v>
      </c>
      <c r="T200" s="24">
        <f t="shared" si="21"/>
        <v>154</v>
      </c>
      <c r="U200" s="24">
        <f>ROUNDDOWN(S200/HLOOKUP(D200,Table!$C$3:$D$4,2,0)*8,2)</f>
        <v>2.73</v>
      </c>
      <c r="V200" s="24">
        <f t="shared" si="22"/>
        <v>2.73</v>
      </c>
      <c r="W200" s="24" t="s">
        <v>21</v>
      </c>
      <c r="X200" s="123">
        <v>43913</v>
      </c>
      <c r="Y200" s="28">
        <v>43921</v>
      </c>
      <c r="Z200" s="28">
        <v>43916</v>
      </c>
      <c r="AA200" s="28">
        <v>43916</v>
      </c>
      <c r="AB200" s="28" t="s">
        <v>157</v>
      </c>
      <c r="AC200" s="24">
        <v>98</v>
      </c>
      <c r="AD200" s="24">
        <v>96</v>
      </c>
      <c r="AE200" s="24">
        <v>100</v>
      </c>
      <c r="AF200" s="24" t="s">
        <v>282</v>
      </c>
      <c r="AG200" s="27" t="s">
        <v>472</v>
      </c>
    </row>
    <row r="201" spans="2:33" s="118" customFormat="1" hidden="1" x14ac:dyDescent="0.25">
      <c r="B201" s="136">
        <f t="shared" si="18"/>
        <v>199</v>
      </c>
      <c r="C201" s="26" t="s">
        <v>678</v>
      </c>
      <c r="D201" s="24" t="s">
        <v>3</v>
      </c>
      <c r="E201" s="24" t="s">
        <v>109</v>
      </c>
      <c r="F201" s="27" t="s">
        <v>195</v>
      </c>
      <c r="G201" s="24">
        <v>1341660</v>
      </c>
      <c r="H201" s="206" t="s">
        <v>124</v>
      </c>
      <c r="I201" s="25" t="s">
        <v>194</v>
      </c>
      <c r="J201" s="24" t="s">
        <v>76</v>
      </c>
      <c r="K201" s="24" t="s">
        <v>160</v>
      </c>
      <c r="L201" s="27" t="str">
        <f t="shared" si="27"/>
        <v>-</v>
      </c>
      <c r="M201" s="27" t="s">
        <v>368</v>
      </c>
      <c r="N201" s="26" t="s">
        <v>720</v>
      </c>
      <c r="O201" s="24" t="s">
        <v>83</v>
      </c>
      <c r="P201" s="24"/>
      <c r="Q201" s="24"/>
      <c r="R201" s="24">
        <v>167</v>
      </c>
      <c r="S201" s="24">
        <v>167</v>
      </c>
      <c r="T201" s="24">
        <f t="shared" si="21"/>
        <v>167</v>
      </c>
      <c r="U201" s="24">
        <f>ROUNDDOWN(S201/HLOOKUP(D201,Table!$C$3:$D$4,2,0)*8,2)</f>
        <v>2.96</v>
      </c>
      <c r="V201" s="24">
        <f t="shared" si="22"/>
        <v>2.96</v>
      </c>
      <c r="W201" s="24" t="s">
        <v>21</v>
      </c>
      <c r="X201" s="123">
        <v>43913</v>
      </c>
      <c r="Y201" s="28">
        <v>43921</v>
      </c>
      <c r="Z201" s="28">
        <v>43916</v>
      </c>
      <c r="AA201" s="28">
        <v>43916</v>
      </c>
      <c r="AB201" s="28" t="s">
        <v>158</v>
      </c>
      <c r="AC201" s="24">
        <v>100</v>
      </c>
      <c r="AD201" s="24">
        <v>100</v>
      </c>
      <c r="AE201" s="24">
        <v>100</v>
      </c>
      <c r="AF201" s="24" t="s">
        <v>285</v>
      </c>
      <c r="AG201" s="27" t="s">
        <v>472</v>
      </c>
    </row>
    <row r="202" spans="2:33" hidden="1" x14ac:dyDescent="0.25">
      <c r="B202" s="136">
        <f t="shared" si="18"/>
        <v>200</v>
      </c>
      <c r="C202" s="26" t="s">
        <v>678</v>
      </c>
      <c r="D202" s="24" t="s">
        <v>3</v>
      </c>
      <c r="E202" s="24" t="s">
        <v>109</v>
      </c>
      <c r="F202" s="27" t="s">
        <v>195</v>
      </c>
      <c r="G202" s="24">
        <v>1341660</v>
      </c>
      <c r="H202" s="206" t="s">
        <v>125</v>
      </c>
      <c r="I202" s="25" t="s">
        <v>194</v>
      </c>
      <c r="J202" s="24" t="s">
        <v>76</v>
      </c>
      <c r="K202" s="24" t="s">
        <v>160</v>
      </c>
      <c r="L202" s="27" t="str">
        <f t="shared" si="27"/>
        <v>-</v>
      </c>
      <c r="M202" s="27" t="s">
        <v>368</v>
      </c>
      <c r="N202" s="26" t="s">
        <v>721</v>
      </c>
      <c r="O202" s="24" t="s">
        <v>83</v>
      </c>
      <c r="P202" s="24"/>
      <c r="Q202" s="24"/>
      <c r="R202" s="24">
        <v>147</v>
      </c>
      <c r="S202" s="54">
        <v>147</v>
      </c>
      <c r="T202" s="24">
        <f t="shared" si="21"/>
        <v>147</v>
      </c>
      <c r="U202" s="24">
        <f>ROUNDDOWN(S202/HLOOKUP(D202,Table!$C$3:$D$4,2,0)*8,2)</f>
        <v>2.61</v>
      </c>
      <c r="V202" s="24">
        <f t="shared" si="22"/>
        <v>2.61</v>
      </c>
      <c r="W202" s="24" t="s">
        <v>21</v>
      </c>
      <c r="X202" s="123">
        <v>43913</v>
      </c>
      <c r="Y202" s="28">
        <v>43921</v>
      </c>
      <c r="Z202" s="28">
        <v>43916</v>
      </c>
      <c r="AA202" s="28">
        <v>43916</v>
      </c>
      <c r="AB202" s="28" t="s">
        <v>158</v>
      </c>
      <c r="AC202" s="52">
        <v>100</v>
      </c>
      <c r="AD202" s="52">
        <v>100</v>
      </c>
      <c r="AE202" s="52">
        <v>100</v>
      </c>
      <c r="AF202" s="24" t="s">
        <v>286</v>
      </c>
      <c r="AG202" s="27" t="s">
        <v>472</v>
      </c>
    </row>
    <row r="203" spans="2:33" hidden="1" x14ac:dyDescent="0.25">
      <c r="B203" s="136">
        <f t="shared" si="18"/>
        <v>201</v>
      </c>
      <c r="C203" s="26" t="s">
        <v>678</v>
      </c>
      <c r="D203" s="24" t="s">
        <v>3</v>
      </c>
      <c r="E203" s="24" t="s">
        <v>109</v>
      </c>
      <c r="F203" s="27" t="s">
        <v>195</v>
      </c>
      <c r="G203" s="24">
        <v>1341660</v>
      </c>
      <c r="H203" s="206" t="s">
        <v>126</v>
      </c>
      <c r="I203" s="25" t="s">
        <v>194</v>
      </c>
      <c r="J203" s="24" t="s">
        <v>76</v>
      </c>
      <c r="K203" s="24" t="s">
        <v>160</v>
      </c>
      <c r="L203" s="27" t="str">
        <f t="shared" si="27"/>
        <v>-</v>
      </c>
      <c r="M203" s="27" t="s">
        <v>368</v>
      </c>
      <c r="N203" s="26" t="s">
        <v>722</v>
      </c>
      <c r="O203" s="24" t="s">
        <v>83</v>
      </c>
      <c r="P203" s="24"/>
      <c r="Q203" s="24"/>
      <c r="R203" s="24">
        <v>254</v>
      </c>
      <c r="S203" s="54">
        <v>254</v>
      </c>
      <c r="T203" s="24">
        <f t="shared" si="21"/>
        <v>254</v>
      </c>
      <c r="U203" s="24">
        <f>ROUNDDOWN(S203/HLOOKUP(D203,Table!$C$3:$D$4,2,0)*8,2)</f>
        <v>4.51</v>
      </c>
      <c r="V203" s="24">
        <f t="shared" si="22"/>
        <v>4.51</v>
      </c>
      <c r="W203" s="24" t="s">
        <v>21</v>
      </c>
      <c r="X203" s="123">
        <v>43913</v>
      </c>
      <c r="Y203" s="28">
        <v>43921</v>
      </c>
      <c r="Z203" s="28">
        <v>43916</v>
      </c>
      <c r="AA203" s="28">
        <v>43916</v>
      </c>
      <c r="AB203" s="28" t="s">
        <v>158</v>
      </c>
      <c r="AC203" s="52">
        <v>100</v>
      </c>
      <c r="AD203" s="52">
        <v>100</v>
      </c>
      <c r="AE203" s="52">
        <v>100</v>
      </c>
      <c r="AF203" s="24" t="s">
        <v>287</v>
      </c>
      <c r="AG203" s="27" t="s">
        <v>472</v>
      </c>
    </row>
    <row r="204" spans="2:33" hidden="1" x14ac:dyDescent="0.25">
      <c r="B204" s="136">
        <f t="shared" si="18"/>
        <v>202</v>
      </c>
      <c r="C204" s="26" t="s">
        <v>678</v>
      </c>
      <c r="D204" s="24" t="s">
        <v>3</v>
      </c>
      <c r="E204" s="24" t="s">
        <v>109</v>
      </c>
      <c r="F204" s="27" t="s">
        <v>195</v>
      </c>
      <c r="G204" s="24">
        <v>1341660</v>
      </c>
      <c r="H204" s="26" t="s">
        <v>127</v>
      </c>
      <c r="I204" s="25" t="s">
        <v>194</v>
      </c>
      <c r="J204" s="24" t="s">
        <v>76</v>
      </c>
      <c r="K204" s="24" t="s">
        <v>160</v>
      </c>
      <c r="L204" s="27" t="str">
        <f t="shared" si="27"/>
        <v>-</v>
      </c>
      <c r="M204" s="27" t="s">
        <v>368</v>
      </c>
      <c r="N204" s="26" t="s">
        <v>723</v>
      </c>
      <c r="O204" s="24" t="s">
        <v>85</v>
      </c>
      <c r="P204" s="24"/>
      <c r="Q204" s="24"/>
      <c r="R204" s="24">
        <v>193</v>
      </c>
      <c r="S204" s="54">
        <f t="shared" ref="S204:S207" si="28">R204</f>
        <v>193</v>
      </c>
      <c r="T204" s="24">
        <f t="shared" si="21"/>
        <v>193</v>
      </c>
      <c r="U204" s="24">
        <f>ROUNDDOWN(S204/HLOOKUP(D204,Table!$C$3:$D$4,2,0)*8,2)</f>
        <v>3.43</v>
      </c>
      <c r="V204" s="24">
        <f t="shared" si="22"/>
        <v>3.43</v>
      </c>
      <c r="W204" s="24" t="s">
        <v>21</v>
      </c>
      <c r="X204" s="123">
        <v>43913</v>
      </c>
      <c r="Y204" s="28">
        <v>43921</v>
      </c>
      <c r="Z204" s="28"/>
      <c r="AA204" s="28"/>
      <c r="AB204" s="28" t="s">
        <v>157</v>
      </c>
      <c r="AC204" s="24">
        <v>100</v>
      </c>
      <c r="AD204" s="24">
        <v>100</v>
      </c>
      <c r="AE204" s="24">
        <v>91</v>
      </c>
      <c r="AF204" s="24" t="s">
        <v>212</v>
      </c>
      <c r="AG204" s="27" t="s">
        <v>76</v>
      </c>
    </row>
    <row r="205" spans="2:33" hidden="1" x14ac:dyDescent="0.25">
      <c r="B205" s="136">
        <f t="shared" si="18"/>
        <v>203</v>
      </c>
      <c r="C205" s="26" t="s">
        <v>678</v>
      </c>
      <c r="D205" s="24" t="s">
        <v>3</v>
      </c>
      <c r="E205" s="24" t="s">
        <v>109</v>
      </c>
      <c r="F205" s="27" t="s">
        <v>195</v>
      </c>
      <c r="G205" s="24">
        <v>1341660</v>
      </c>
      <c r="H205" s="24" t="s">
        <v>128</v>
      </c>
      <c r="I205" s="25" t="s">
        <v>194</v>
      </c>
      <c r="J205" s="24" t="s">
        <v>76</v>
      </c>
      <c r="K205" s="24" t="s">
        <v>160</v>
      </c>
      <c r="L205" s="27" t="str">
        <f t="shared" si="27"/>
        <v>-</v>
      </c>
      <c r="M205" s="27" t="s">
        <v>368</v>
      </c>
      <c r="N205" s="26" t="s">
        <v>724</v>
      </c>
      <c r="O205" s="24" t="s">
        <v>85</v>
      </c>
      <c r="P205" s="24"/>
      <c r="Q205" s="24"/>
      <c r="R205" s="24">
        <v>204</v>
      </c>
      <c r="S205" s="54">
        <f t="shared" si="28"/>
        <v>204</v>
      </c>
      <c r="T205" s="24">
        <f t="shared" si="21"/>
        <v>204</v>
      </c>
      <c r="U205" s="24">
        <f>ROUNDDOWN(S205/HLOOKUP(D205,Table!$C$3:$D$4,2,0)*8,2)</f>
        <v>3.62</v>
      </c>
      <c r="V205" s="24">
        <f t="shared" si="22"/>
        <v>3.62</v>
      </c>
      <c r="W205" s="24" t="s">
        <v>21</v>
      </c>
      <c r="X205" s="123">
        <v>43913</v>
      </c>
      <c r="Y205" s="28">
        <v>43921</v>
      </c>
      <c r="Z205" s="28"/>
      <c r="AA205" s="28"/>
      <c r="AB205" s="28" t="s">
        <v>158</v>
      </c>
      <c r="AC205" s="24">
        <v>100</v>
      </c>
      <c r="AD205" s="24">
        <v>100</v>
      </c>
      <c r="AE205" s="24">
        <v>100</v>
      </c>
      <c r="AF205" s="27" t="s">
        <v>76</v>
      </c>
      <c r="AG205" s="27" t="s">
        <v>76</v>
      </c>
    </row>
    <row r="206" spans="2:33" hidden="1" x14ac:dyDescent="0.25">
      <c r="B206" s="136">
        <f t="shared" si="18"/>
        <v>204</v>
      </c>
      <c r="C206" s="26" t="s">
        <v>678</v>
      </c>
      <c r="D206" s="24" t="s">
        <v>3</v>
      </c>
      <c r="E206" s="24" t="s">
        <v>109</v>
      </c>
      <c r="F206" s="27" t="s">
        <v>195</v>
      </c>
      <c r="G206" s="24">
        <v>1341660</v>
      </c>
      <c r="H206" s="24" t="s">
        <v>129</v>
      </c>
      <c r="I206" s="25" t="s">
        <v>194</v>
      </c>
      <c r="J206" s="24" t="s">
        <v>76</v>
      </c>
      <c r="K206" s="24" t="s">
        <v>160</v>
      </c>
      <c r="L206" s="27" t="str">
        <f t="shared" si="27"/>
        <v>-</v>
      </c>
      <c r="M206" s="27" t="s">
        <v>368</v>
      </c>
      <c r="N206" s="26" t="s">
        <v>725</v>
      </c>
      <c r="O206" s="24" t="s">
        <v>85</v>
      </c>
      <c r="P206" s="24"/>
      <c r="Q206" s="24"/>
      <c r="R206" s="24">
        <v>194</v>
      </c>
      <c r="S206" s="54">
        <f t="shared" si="28"/>
        <v>194</v>
      </c>
      <c r="T206" s="24">
        <f t="shared" si="21"/>
        <v>194</v>
      </c>
      <c r="U206" s="24">
        <f>ROUNDDOWN(S206/HLOOKUP(D206,Table!$C$3:$D$4,2,0)*8,2)</f>
        <v>3.44</v>
      </c>
      <c r="V206" s="24">
        <f t="shared" si="22"/>
        <v>3.44</v>
      </c>
      <c r="W206" s="24" t="s">
        <v>21</v>
      </c>
      <c r="X206" s="123">
        <v>43913</v>
      </c>
      <c r="Y206" s="28">
        <v>43921</v>
      </c>
      <c r="Z206" s="28"/>
      <c r="AA206" s="28"/>
      <c r="AB206" s="28" t="s">
        <v>157</v>
      </c>
      <c r="AC206" s="24">
        <v>100</v>
      </c>
      <c r="AD206" s="24">
        <v>100</v>
      </c>
      <c r="AE206" s="24">
        <v>100</v>
      </c>
      <c r="AF206" s="27" t="s">
        <v>1000</v>
      </c>
      <c r="AG206" s="27" t="s">
        <v>76</v>
      </c>
    </row>
    <row r="207" spans="2:33" hidden="1" x14ac:dyDescent="0.25">
      <c r="B207" s="136">
        <f t="shared" si="18"/>
        <v>205</v>
      </c>
      <c r="C207" s="26" t="s">
        <v>678</v>
      </c>
      <c r="D207" s="24" t="s">
        <v>3</v>
      </c>
      <c r="E207" s="24" t="s">
        <v>109</v>
      </c>
      <c r="F207" s="27" t="s">
        <v>195</v>
      </c>
      <c r="G207" s="24">
        <v>1341660</v>
      </c>
      <c r="H207" s="24" t="s">
        <v>130</v>
      </c>
      <c r="I207" s="25" t="s">
        <v>194</v>
      </c>
      <c r="J207" s="24" t="s">
        <v>76</v>
      </c>
      <c r="K207" s="24" t="s">
        <v>160</v>
      </c>
      <c r="L207" s="27" t="str">
        <f t="shared" si="27"/>
        <v>-</v>
      </c>
      <c r="M207" s="27" t="s">
        <v>368</v>
      </c>
      <c r="N207" s="26" t="s">
        <v>726</v>
      </c>
      <c r="O207" s="24" t="s">
        <v>85</v>
      </c>
      <c r="P207" s="24"/>
      <c r="Q207" s="24"/>
      <c r="R207" s="24">
        <v>141</v>
      </c>
      <c r="S207" s="54">
        <f t="shared" si="28"/>
        <v>141</v>
      </c>
      <c r="T207" s="24">
        <f t="shared" si="21"/>
        <v>141</v>
      </c>
      <c r="U207" s="24">
        <f>ROUNDDOWN(S207/HLOOKUP(D207,Table!$C$3:$D$4,2,0)*8,2)</f>
        <v>2.5</v>
      </c>
      <c r="V207" s="24">
        <f t="shared" si="22"/>
        <v>2.5</v>
      </c>
      <c r="W207" s="24" t="s">
        <v>21</v>
      </c>
      <c r="X207" s="123">
        <v>43913</v>
      </c>
      <c r="Y207" s="28">
        <v>43921</v>
      </c>
      <c r="Z207" s="28"/>
      <c r="AA207" s="28"/>
      <c r="AB207" s="28" t="s">
        <v>157</v>
      </c>
      <c r="AC207" s="24">
        <v>98</v>
      </c>
      <c r="AD207" s="24">
        <v>95</v>
      </c>
      <c r="AE207" s="24">
        <v>100</v>
      </c>
      <c r="AF207" s="42" t="s">
        <v>155</v>
      </c>
      <c r="AG207" s="27" t="s">
        <v>76</v>
      </c>
    </row>
    <row r="208" spans="2:33" hidden="1" x14ac:dyDescent="0.25">
      <c r="B208" s="136">
        <f t="shared" si="18"/>
        <v>206</v>
      </c>
      <c r="C208" s="26" t="s">
        <v>678</v>
      </c>
      <c r="D208" s="24" t="s">
        <v>3</v>
      </c>
      <c r="E208" s="24" t="s">
        <v>109</v>
      </c>
      <c r="F208" s="27" t="s">
        <v>195</v>
      </c>
      <c r="G208" s="24">
        <v>1341660</v>
      </c>
      <c r="H208" s="26" t="s">
        <v>131</v>
      </c>
      <c r="I208" s="25" t="s">
        <v>194</v>
      </c>
      <c r="J208" s="24" t="s">
        <v>76</v>
      </c>
      <c r="K208" s="24" t="s">
        <v>160</v>
      </c>
      <c r="L208" s="27" t="str">
        <f t="shared" si="27"/>
        <v>-</v>
      </c>
      <c r="M208" s="27" t="s">
        <v>368</v>
      </c>
      <c r="N208" s="26" t="s">
        <v>727</v>
      </c>
      <c r="O208" s="24" t="s">
        <v>84</v>
      </c>
      <c r="P208" s="24"/>
      <c r="Q208" s="24"/>
      <c r="R208" s="24">
        <v>190</v>
      </c>
      <c r="S208" s="54">
        <v>190</v>
      </c>
      <c r="T208" s="24">
        <f t="shared" si="21"/>
        <v>190</v>
      </c>
      <c r="U208" s="24">
        <f>ROUNDDOWN(S208/HLOOKUP(D208,Table!$C$3:$D$4,2,0)*8,2)</f>
        <v>3.37</v>
      </c>
      <c r="V208" s="24">
        <f t="shared" si="22"/>
        <v>3.37</v>
      </c>
      <c r="W208" s="24" t="s">
        <v>21</v>
      </c>
      <c r="X208" s="123">
        <v>43913</v>
      </c>
      <c r="Y208" s="28">
        <v>43921</v>
      </c>
      <c r="Z208" s="28">
        <v>43916</v>
      </c>
      <c r="AA208" s="28">
        <v>43916</v>
      </c>
      <c r="AB208" s="28" t="s">
        <v>157</v>
      </c>
      <c r="AC208" s="24">
        <v>66</v>
      </c>
      <c r="AD208" s="24">
        <v>100</v>
      </c>
      <c r="AE208" s="24">
        <v>100</v>
      </c>
      <c r="AF208" s="24" t="s">
        <v>208</v>
      </c>
      <c r="AG208" s="27" t="s">
        <v>76</v>
      </c>
    </row>
    <row r="209" spans="2:33" hidden="1" x14ac:dyDescent="0.25">
      <c r="B209" s="136">
        <f t="shared" si="18"/>
        <v>207</v>
      </c>
      <c r="C209" s="26" t="s">
        <v>678</v>
      </c>
      <c r="D209" s="24" t="s">
        <v>3</v>
      </c>
      <c r="E209" s="24" t="s">
        <v>109</v>
      </c>
      <c r="F209" s="27" t="s">
        <v>195</v>
      </c>
      <c r="G209" s="24">
        <v>1341660</v>
      </c>
      <c r="H209" s="26" t="s">
        <v>132</v>
      </c>
      <c r="I209" s="25" t="s">
        <v>194</v>
      </c>
      <c r="J209" s="24" t="s">
        <v>76</v>
      </c>
      <c r="K209" s="24" t="s">
        <v>160</v>
      </c>
      <c r="L209" s="27" t="str">
        <f t="shared" si="27"/>
        <v>-</v>
      </c>
      <c r="M209" s="27" t="s">
        <v>368</v>
      </c>
      <c r="N209" s="26" t="s">
        <v>728</v>
      </c>
      <c r="O209" s="24" t="s">
        <v>84</v>
      </c>
      <c r="P209" s="24"/>
      <c r="Q209" s="24"/>
      <c r="R209" s="24">
        <v>107</v>
      </c>
      <c r="S209" s="54">
        <v>107</v>
      </c>
      <c r="T209" s="24">
        <f t="shared" si="21"/>
        <v>107</v>
      </c>
      <c r="U209" s="24">
        <f>ROUNDDOWN(S209/HLOOKUP(D209,Table!$C$3:$D$4,2,0)*8,2)</f>
        <v>1.9</v>
      </c>
      <c r="V209" s="24">
        <f t="shared" si="22"/>
        <v>1.9</v>
      </c>
      <c r="W209" s="24" t="s">
        <v>21</v>
      </c>
      <c r="X209" s="123">
        <v>43913</v>
      </c>
      <c r="Y209" s="28">
        <v>43921</v>
      </c>
      <c r="Z209" s="28">
        <v>43916</v>
      </c>
      <c r="AA209" s="28">
        <v>43916</v>
      </c>
      <c r="AB209" s="28" t="s">
        <v>157</v>
      </c>
      <c r="AC209" s="24">
        <v>99</v>
      </c>
      <c r="AD209" s="24">
        <v>96</v>
      </c>
      <c r="AE209" s="24">
        <v>100</v>
      </c>
      <c r="AF209" s="24" t="s">
        <v>208</v>
      </c>
      <c r="AG209" s="27" t="s">
        <v>76</v>
      </c>
    </row>
    <row r="210" spans="2:33" hidden="1" x14ac:dyDescent="0.25">
      <c r="B210" s="136">
        <f t="shared" si="18"/>
        <v>208</v>
      </c>
      <c r="C210" s="26" t="s">
        <v>678</v>
      </c>
      <c r="D210" s="24" t="s">
        <v>3</v>
      </c>
      <c r="E210" s="24" t="s">
        <v>109</v>
      </c>
      <c r="F210" s="27" t="s">
        <v>195</v>
      </c>
      <c r="G210" s="24">
        <v>1341660</v>
      </c>
      <c r="H210" s="26" t="s">
        <v>133</v>
      </c>
      <c r="I210" s="25" t="s">
        <v>194</v>
      </c>
      <c r="J210" s="24" t="s">
        <v>76</v>
      </c>
      <c r="K210" s="24" t="s">
        <v>160</v>
      </c>
      <c r="L210" s="27" t="str">
        <f t="shared" si="27"/>
        <v>-</v>
      </c>
      <c r="M210" s="27" t="s">
        <v>368</v>
      </c>
      <c r="N210" s="26" t="s">
        <v>729</v>
      </c>
      <c r="O210" s="24" t="s">
        <v>84</v>
      </c>
      <c r="P210" s="24"/>
      <c r="Q210" s="24"/>
      <c r="R210" s="24">
        <v>269</v>
      </c>
      <c r="S210" s="54">
        <v>269</v>
      </c>
      <c r="T210" s="24">
        <f t="shared" si="21"/>
        <v>269</v>
      </c>
      <c r="U210" s="24">
        <f>ROUNDDOWN(S210/HLOOKUP(D210,Table!$C$3:$D$4,2,0)*8,2)</f>
        <v>4.78</v>
      </c>
      <c r="V210" s="24">
        <f t="shared" si="22"/>
        <v>4.78</v>
      </c>
      <c r="W210" s="24" t="s">
        <v>21</v>
      </c>
      <c r="X210" s="123">
        <v>43913</v>
      </c>
      <c r="Y210" s="28">
        <v>43921</v>
      </c>
      <c r="Z210" s="28">
        <v>43916</v>
      </c>
      <c r="AA210" s="28">
        <v>43916</v>
      </c>
      <c r="AB210" s="28" t="s">
        <v>157</v>
      </c>
      <c r="AC210" s="24">
        <v>99</v>
      </c>
      <c r="AD210" s="24">
        <v>97</v>
      </c>
      <c r="AE210" s="24">
        <v>100</v>
      </c>
      <c r="AF210" s="24" t="s">
        <v>208</v>
      </c>
      <c r="AG210" s="27" t="s">
        <v>76</v>
      </c>
    </row>
    <row r="211" spans="2:33" hidden="1" x14ac:dyDescent="0.25">
      <c r="B211" s="136">
        <f t="shared" si="18"/>
        <v>209</v>
      </c>
      <c r="C211" s="26" t="s">
        <v>678</v>
      </c>
      <c r="D211" s="24" t="s">
        <v>3</v>
      </c>
      <c r="E211" s="24" t="s">
        <v>109</v>
      </c>
      <c r="F211" s="27" t="s">
        <v>195</v>
      </c>
      <c r="G211" s="24">
        <v>1341660</v>
      </c>
      <c r="H211" s="24" t="s">
        <v>134</v>
      </c>
      <c r="I211" s="25" t="s">
        <v>194</v>
      </c>
      <c r="J211" s="24" t="s">
        <v>76</v>
      </c>
      <c r="K211" s="24" t="s">
        <v>160</v>
      </c>
      <c r="L211" s="27" t="str">
        <f t="shared" si="27"/>
        <v>-</v>
      </c>
      <c r="M211" s="27" t="s">
        <v>368</v>
      </c>
      <c r="N211" s="26" t="s">
        <v>730</v>
      </c>
      <c r="O211" s="24" t="s">
        <v>85</v>
      </c>
      <c r="P211" s="24"/>
      <c r="Q211" s="24"/>
      <c r="R211" s="24">
        <v>70</v>
      </c>
      <c r="S211" s="54">
        <f>R211</f>
        <v>70</v>
      </c>
      <c r="T211" s="24">
        <f t="shared" si="21"/>
        <v>70</v>
      </c>
      <c r="U211" s="24">
        <f>ROUNDDOWN(S211/HLOOKUP(D211,Table!$C$3:$D$4,2,0)*8,2)</f>
        <v>1.24</v>
      </c>
      <c r="V211" s="24">
        <f t="shared" si="22"/>
        <v>1.24</v>
      </c>
      <c r="W211" s="24" t="s">
        <v>21</v>
      </c>
      <c r="X211" s="123">
        <v>43913</v>
      </c>
      <c r="Y211" s="28">
        <v>43921</v>
      </c>
      <c r="Z211" s="28"/>
      <c r="AA211" s="28"/>
      <c r="AB211" s="28" t="s">
        <v>158</v>
      </c>
      <c r="AC211" s="24">
        <v>100</v>
      </c>
      <c r="AD211" s="24">
        <v>100</v>
      </c>
      <c r="AE211" s="24">
        <v>100</v>
      </c>
      <c r="AF211" s="27" t="s">
        <v>76</v>
      </c>
      <c r="AG211" s="27" t="s">
        <v>76</v>
      </c>
    </row>
    <row r="212" spans="2:33" hidden="1" x14ac:dyDescent="0.25">
      <c r="B212" s="136">
        <f t="shared" si="18"/>
        <v>210</v>
      </c>
      <c r="C212" s="26" t="s">
        <v>678</v>
      </c>
      <c r="D212" s="24" t="s">
        <v>3</v>
      </c>
      <c r="E212" s="24" t="s">
        <v>109</v>
      </c>
      <c r="F212" s="27" t="s">
        <v>198</v>
      </c>
      <c r="G212" s="24">
        <v>1341660</v>
      </c>
      <c r="H212" s="24" t="s">
        <v>135</v>
      </c>
      <c r="I212" s="25" t="s">
        <v>194</v>
      </c>
      <c r="J212" s="24" t="s">
        <v>76</v>
      </c>
      <c r="K212" s="24" t="s">
        <v>160</v>
      </c>
      <c r="L212" s="27" t="str">
        <f t="shared" si="27"/>
        <v>-</v>
      </c>
      <c r="M212" s="27" t="s">
        <v>368</v>
      </c>
      <c r="N212" s="26" t="s">
        <v>731</v>
      </c>
      <c r="O212" s="24" t="s">
        <v>84</v>
      </c>
      <c r="P212" s="24"/>
      <c r="Q212" s="24"/>
      <c r="R212" s="24">
        <v>204</v>
      </c>
      <c r="S212" s="24">
        <v>204</v>
      </c>
      <c r="T212" s="24">
        <f t="shared" si="21"/>
        <v>204</v>
      </c>
      <c r="U212" s="24">
        <f>ROUNDDOWN(S212/HLOOKUP(D212,Table!$C$3:$D$4,2,0)*8,2)</f>
        <v>3.62</v>
      </c>
      <c r="V212" s="24">
        <f t="shared" si="22"/>
        <v>3.62</v>
      </c>
      <c r="W212" s="24" t="s">
        <v>21</v>
      </c>
      <c r="X212" s="123">
        <v>43913</v>
      </c>
      <c r="Y212" s="28">
        <v>43921</v>
      </c>
      <c r="Z212" s="28">
        <v>43916</v>
      </c>
      <c r="AA212" s="28">
        <v>43916</v>
      </c>
      <c r="AB212" s="28" t="s">
        <v>158</v>
      </c>
      <c r="AC212" s="24">
        <v>100</v>
      </c>
      <c r="AD212" s="24">
        <v>100</v>
      </c>
      <c r="AE212" s="24">
        <v>100</v>
      </c>
      <c r="AF212" s="27" t="s">
        <v>76</v>
      </c>
      <c r="AG212" s="27" t="s">
        <v>76</v>
      </c>
    </row>
    <row r="213" spans="2:33" hidden="1" x14ac:dyDescent="0.25">
      <c r="B213" s="136">
        <f t="shared" si="18"/>
        <v>211</v>
      </c>
      <c r="C213" s="26" t="s">
        <v>678</v>
      </c>
      <c r="D213" s="24" t="s">
        <v>3</v>
      </c>
      <c r="E213" s="24" t="s">
        <v>109</v>
      </c>
      <c r="F213" s="27" t="s">
        <v>198</v>
      </c>
      <c r="G213" s="24">
        <v>1341660</v>
      </c>
      <c r="H213" s="24" t="s">
        <v>136</v>
      </c>
      <c r="I213" s="25" t="s">
        <v>194</v>
      </c>
      <c r="J213" s="24" t="s">
        <v>76</v>
      </c>
      <c r="K213" s="24" t="s">
        <v>160</v>
      </c>
      <c r="L213" s="27" t="str">
        <f t="shared" si="27"/>
        <v>-</v>
      </c>
      <c r="M213" s="27" t="s">
        <v>368</v>
      </c>
      <c r="N213" s="26" t="s">
        <v>732</v>
      </c>
      <c r="O213" s="24" t="s">
        <v>84</v>
      </c>
      <c r="P213" s="24"/>
      <c r="Q213" s="24"/>
      <c r="R213" s="24">
        <v>185</v>
      </c>
      <c r="S213" s="24">
        <v>185</v>
      </c>
      <c r="T213" s="24">
        <f t="shared" si="21"/>
        <v>185</v>
      </c>
      <c r="U213" s="24">
        <f>ROUNDDOWN(S213/HLOOKUP(D213,Table!$C$3:$D$4,2,0)*8,2)</f>
        <v>3.28</v>
      </c>
      <c r="V213" s="24">
        <f t="shared" si="22"/>
        <v>3.28</v>
      </c>
      <c r="W213" s="24" t="s">
        <v>21</v>
      </c>
      <c r="X213" s="123">
        <v>43913</v>
      </c>
      <c r="Y213" s="28">
        <v>43921</v>
      </c>
      <c r="Z213" s="28">
        <v>43916</v>
      </c>
      <c r="AA213" s="28">
        <v>43916</v>
      </c>
      <c r="AB213" s="28" t="s">
        <v>158</v>
      </c>
      <c r="AC213" s="24">
        <v>100</v>
      </c>
      <c r="AD213" s="24">
        <v>100</v>
      </c>
      <c r="AE213" s="24">
        <v>100</v>
      </c>
      <c r="AF213" s="27" t="s">
        <v>76</v>
      </c>
      <c r="AG213" s="27" t="s">
        <v>76</v>
      </c>
    </row>
    <row r="214" spans="2:33" x14ac:dyDescent="0.25">
      <c r="B214" s="136">
        <f t="shared" si="18"/>
        <v>212</v>
      </c>
      <c r="C214" s="26" t="s">
        <v>678</v>
      </c>
      <c r="D214" s="24" t="s">
        <v>3</v>
      </c>
      <c r="E214" s="24" t="s">
        <v>109</v>
      </c>
      <c r="F214" s="27" t="s">
        <v>198</v>
      </c>
      <c r="G214" s="24">
        <v>1341660</v>
      </c>
      <c r="H214" s="24" t="s">
        <v>137</v>
      </c>
      <c r="I214" s="25" t="s">
        <v>194</v>
      </c>
      <c r="J214" s="24" t="s">
        <v>76</v>
      </c>
      <c r="K214" s="24" t="s">
        <v>160</v>
      </c>
      <c r="L214" s="27" t="str">
        <f t="shared" si="27"/>
        <v>-</v>
      </c>
      <c r="M214" s="27" t="s">
        <v>368</v>
      </c>
      <c r="N214" s="26" t="s">
        <v>733</v>
      </c>
      <c r="O214" s="24" t="s">
        <v>82</v>
      </c>
      <c r="P214" s="24"/>
      <c r="Q214" s="24"/>
      <c r="R214" s="24">
        <v>68</v>
      </c>
      <c r="S214" s="24">
        <v>68</v>
      </c>
      <c r="T214" s="24">
        <v>68</v>
      </c>
      <c r="U214" s="24">
        <f>ROUNDDOWN(S214/HLOOKUP(D214,Table!$C$3:$D$4,2,0)*8,2)</f>
        <v>1.2</v>
      </c>
      <c r="V214" s="24">
        <v>1</v>
      </c>
      <c r="W214" s="24" t="s">
        <v>21</v>
      </c>
      <c r="X214" s="123">
        <v>43913</v>
      </c>
      <c r="Y214" s="28">
        <v>43921</v>
      </c>
      <c r="Z214" s="28">
        <v>43924</v>
      </c>
      <c r="AA214" s="28">
        <v>43924</v>
      </c>
      <c r="AB214" s="28" t="s">
        <v>158</v>
      </c>
      <c r="AC214" s="24">
        <v>100</v>
      </c>
      <c r="AD214" s="24">
        <v>100</v>
      </c>
      <c r="AE214" s="24">
        <v>100</v>
      </c>
      <c r="AF214" s="27" t="s">
        <v>76</v>
      </c>
      <c r="AG214" s="27" t="s">
        <v>76</v>
      </c>
    </row>
    <row r="215" spans="2:33" x14ac:dyDescent="0.25">
      <c r="B215" s="136">
        <f t="shared" si="18"/>
        <v>213</v>
      </c>
      <c r="C215" s="26" t="s">
        <v>678</v>
      </c>
      <c r="D215" s="24" t="s">
        <v>3</v>
      </c>
      <c r="E215" s="24" t="s">
        <v>109</v>
      </c>
      <c r="F215" s="27" t="s">
        <v>198</v>
      </c>
      <c r="G215" s="24">
        <v>1341660</v>
      </c>
      <c r="H215" s="24" t="s">
        <v>138</v>
      </c>
      <c r="I215" s="25" t="s">
        <v>194</v>
      </c>
      <c r="J215" s="24" t="s">
        <v>76</v>
      </c>
      <c r="K215" s="24" t="s">
        <v>160</v>
      </c>
      <c r="L215" s="27" t="str">
        <f t="shared" si="27"/>
        <v>-</v>
      </c>
      <c r="M215" s="27" t="s">
        <v>368</v>
      </c>
      <c r="N215" s="26" t="s">
        <v>734</v>
      </c>
      <c r="O215" s="24" t="s">
        <v>82</v>
      </c>
      <c r="P215" s="24"/>
      <c r="Q215" s="24"/>
      <c r="R215" s="24">
        <v>150</v>
      </c>
      <c r="S215" s="24">
        <v>150</v>
      </c>
      <c r="T215" s="24">
        <v>150</v>
      </c>
      <c r="U215" s="24">
        <f>ROUNDDOWN(S215/HLOOKUP(D215,Table!$C$3:$D$4,2,0)*8,2)</f>
        <v>2.66</v>
      </c>
      <c r="V215" s="24">
        <v>2</v>
      </c>
      <c r="W215" s="24" t="s">
        <v>21</v>
      </c>
      <c r="X215" s="123">
        <v>43913</v>
      </c>
      <c r="Y215" s="28">
        <v>43921</v>
      </c>
      <c r="Z215" s="28">
        <v>43924</v>
      </c>
      <c r="AA215" s="28">
        <v>43924</v>
      </c>
      <c r="AB215" s="28" t="s">
        <v>158</v>
      </c>
      <c r="AC215" s="24">
        <v>100</v>
      </c>
      <c r="AD215" s="24">
        <v>100</v>
      </c>
      <c r="AE215" s="24">
        <v>100</v>
      </c>
      <c r="AF215" s="27" t="s">
        <v>76</v>
      </c>
      <c r="AG215" s="27" t="s">
        <v>76</v>
      </c>
    </row>
    <row r="216" spans="2:33" hidden="1" x14ac:dyDescent="0.25">
      <c r="B216" s="136">
        <f t="shared" si="18"/>
        <v>214</v>
      </c>
      <c r="C216" s="26" t="s">
        <v>678</v>
      </c>
      <c r="D216" s="24" t="s">
        <v>3</v>
      </c>
      <c r="E216" s="24" t="s">
        <v>109</v>
      </c>
      <c r="F216" s="27" t="s">
        <v>198</v>
      </c>
      <c r="G216" s="24">
        <v>1341660</v>
      </c>
      <c r="H216" s="24" t="s">
        <v>139</v>
      </c>
      <c r="I216" s="25" t="s">
        <v>194</v>
      </c>
      <c r="J216" s="24" t="s">
        <v>76</v>
      </c>
      <c r="K216" s="24" t="s">
        <v>160</v>
      </c>
      <c r="L216" s="27" t="str">
        <f t="shared" si="27"/>
        <v>-</v>
      </c>
      <c r="M216" s="27" t="s">
        <v>368</v>
      </c>
      <c r="N216" s="26" t="s">
        <v>735</v>
      </c>
      <c r="O216" s="24" t="s">
        <v>84</v>
      </c>
      <c r="P216" s="24"/>
      <c r="Q216" s="24"/>
      <c r="R216" s="24">
        <v>25</v>
      </c>
      <c r="S216" s="24">
        <v>25</v>
      </c>
      <c r="T216" s="24">
        <f>S216</f>
        <v>25</v>
      </c>
      <c r="U216" s="24">
        <f>ROUNDDOWN(S216/HLOOKUP(D216,Table!$C$3:$D$4,2,0)*8,2)</f>
        <v>0.44</v>
      </c>
      <c r="V216" s="24">
        <f>U216</f>
        <v>0.44</v>
      </c>
      <c r="W216" s="24" t="s">
        <v>21</v>
      </c>
      <c r="X216" s="123">
        <v>43913</v>
      </c>
      <c r="Y216" s="28">
        <v>43921</v>
      </c>
      <c r="Z216" s="28">
        <v>43916</v>
      </c>
      <c r="AA216" s="28">
        <v>43916</v>
      </c>
      <c r="AB216" s="28" t="s">
        <v>158</v>
      </c>
      <c r="AC216" s="24">
        <v>100</v>
      </c>
      <c r="AD216" s="24">
        <v>100</v>
      </c>
      <c r="AE216" s="24">
        <v>100</v>
      </c>
      <c r="AF216" s="27" t="s">
        <v>76</v>
      </c>
      <c r="AG216" s="27" t="s">
        <v>76</v>
      </c>
    </row>
    <row r="217" spans="2:33" hidden="1" x14ac:dyDescent="0.25">
      <c r="B217" s="136">
        <f t="shared" si="18"/>
        <v>215</v>
      </c>
      <c r="C217" s="26" t="s">
        <v>678</v>
      </c>
      <c r="D217" s="24" t="s">
        <v>3</v>
      </c>
      <c r="E217" s="24" t="s">
        <v>109</v>
      </c>
      <c r="F217" s="27" t="s">
        <v>191</v>
      </c>
      <c r="G217" s="24">
        <v>1341660</v>
      </c>
      <c r="H217" s="24" t="s">
        <v>78</v>
      </c>
      <c r="I217" s="25" t="s">
        <v>194</v>
      </c>
      <c r="J217" s="24" t="s">
        <v>76</v>
      </c>
      <c r="K217" s="24" t="s">
        <v>160</v>
      </c>
      <c r="L217" s="27" t="str">
        <f t="shared" si="27"/>
        <v>-</v>
      </c>
      <c r="M217" s="27" t="s">
        <v>368</v>
      </c>
      <c r="N217" s="26" t="s">
        <v>736</v>
      </c>
      <c r="O217" s="24" t="s">
        <v>85</v>
      </c>
      <c r="P217" s="24"/>
      <c r="Q217" s="24"/>
      <c r="R217" s="24">
        <v>487</v>
      </c>
      <c r="S217" s="24">
        <f>R217</f>
        <v>487</v>
      </c>
      <c r="T217" s="24">
        <f>S217</f>
        <v>487</v>
      </c>
      <c r="U217" s="24">
        <f>ROUNDDOWN(S217/HLOOKUP(D217,Table!$C$3:$D$4,2,0)*8,2)</f>
        <v>8.65</v>
      </c>
      <c r="V217" s="24">
        <v>8</v>
      </c>
      <c r="W217" s="24" t="s">
        <v>21</v>
      </c>
      <c r="X217" s="123">
        <v>43913</v>
      </c>
      <c r="Y217" s="28">
        <v>43921</v>
      </c>
      <c r="Z217" s="28"/>
      <c r="AA217" s="28"/>
      <c r="AB217" s="28" t="s">
        <v>158</v>
      </c>
      <c r="AC217" s="24">
        <v>100</v>
      </c>
      <c r="AD217" s="24">
        <v>100</v>
      </c>
      <c r="AE217" s="24">
        <v>100</v>
      </c>
      <c r="AF217" s="27" t="s">
        <v>76</v>
      </c>
      <c r="AG217" s="27" t="s">
        <v>76</v>
      </c>
    </row>
    <row r="218" spans="2:33" hidden="1" x14ac:dyDescent="0.25">
      <c r="B218" s="136">
        <f t="shared" si="18"/>
        <v>216</v>
      </c>
      <c r="C218" s="26" t="s">
        <v>678</v>
      </c>
      <c r="D218" s="24" t="s">
        <v>3</v>
      </c>
      <c r="E218" s="24" t="s">
        <v>109</v>
      </c>
      <c r="F218" s="27" t="s">
        <v>191</v>
      </c>
      <c r="G218" s="24">
        <v>1341660</v>
      </c>
      <c r="H218" s="24" t="s">
        <v>140</v>
      </c>
      <c r="I218" s="25" t="s">
        <v>194</v>
      </c>
      <c r="J218" s="24" t="s">
        <v>76</v>
      </c>
      <c r="K218" s="24" t="s">
        <v>160</v>
      </c>
      <c r="L218" s="27" t="str">
        <f t="shared" si="27"/>
        <v>-</v>
      </c>
      <c r="M218" s="27" t="s">
        <v>368</v>
      </c>
      <c r="N218" s="26" t="s">
        <v>737</v>
      </c>
      <c r="O218" s="24" t="s">
        <v>84</v>
      </c>
      <c r="P218" s="24"/>
      <c r="Q218" s="24"/>
      <c r="R218" s="24">
        <v>110</v>
      </c>
      <c r="S218" s="24">
        <v>110</v>
      </c>
      <c r="T218" s="24">
        <f>S218</f>
        <v>110</v>
      </c>
      <c r="U218" s="24">
        <f>ROUNDDOWN(S218/HLOOKUP(D218,Table!$C$3:$D$4,2,0)*8,2)</f>
        <v>1.95</v>
      </c>
      <c r="V218" s="24">
        <f>U218</f>
        <v>1.95</v>
      </c>
      <c r="W218" s="24" t="s">
        <v>21</v>
      </c>
      <c r="X218" s="123">
        <v>43913</v>
      </c>
      <c r="Y218" s="28">
        <v>43921</v>
      </c>
      <c r="Z218" s="28">
        <v>43916</v>
      </c>
      <c r="AA218" s="28">
        <v>43916</v>
      </c>
      <c r="AB218" s="28" t="s">
        <v>158</v>
      </c>
      <c r="AC218" s="24">
        <v>100</v>
      </c>
      <c r="AD218" s="24">
        <v>100</v>
      </c>
      <c r="AE218" s="24">
        <v>100</v>
      </c>
      <c r="AF218" s="27" t="s">
        <v>76</v>
      </c>
      <c r="AG218" s="27" t="s">
        <v>76</v>
      </c>
    </row>
    <row r="219" spans="2:33" hidden="1" x14ac:dyDescent="0.25">
      <c r="B219" s="136">
        <f t="shared" si="18"/>
        <v>217</v>
      </c>
      <c r="C219" s="26" t="s">
        <v>678</v>
      </c>
      <c r="D219" s="24" t="s">
        <v>3</v>
      </c>
      <c r="E219" s="24" t="s">
        <v>109</v>
      </c>
      <c r="F219" s="27" t="s">
        <v>191</v>
      </c>
      <c r="G219" s="24">
        <v>1341660</v>
      </c>
      <c r="H219" s="24" t="s">
        <v>141</v>
      </c>
      <c r="I219" s="25" t="s">
        <v>194</v>
      </c>
      <c r="J219" s="24" t="s">
        <v>76</v>
      </c>
      <c r="K219" s="24" t="s">
        <v>160</v>
      </c>
      <c r="L219" s="27" t="str">
        <f t="shared" si="27"/>
        <v>-</v>
      </c>
      <c r="M219" s="27" t="s">
        <v>368</v>
      </c>
      <c r="N219" s="26" t="s">
        <v>738</v>
      </c>
      <c r="O219" s="24" t="s">
        <v>85</v>
      </c>
      <c r="P219" s="24"/>
      <c r="Q219" s="24"/>
      <c r="R219" s="24">
        <v>167</v>
      </c>
      <c r="S219" s="24">
        <f>R219</f>
        <v>167</v>
      </c>
      <c r="T219" s="24">
        <f>S219</f>
        <v>167</v>
      </c>
      <c r="U219" s="24">
        <f>ROUNDDOWN(S219/HLOOKUP(D219,Table!$C$3:$D$4,2,0)*8,2)</f>
        <v>2.96</v>
      </c>
      <c r="V219" s="24">
        <v>3</v>
      </c>
      <c r="W219" s="24" t="s">
        <v>21</v>
      </c>
      <c r="X219" s="123">
        <v>43913</v>
      </c>
      <c r="Y219" s="28">
        <v>43921</v>
      </c>
      <c r="Z219" s="28"/>
      <c r="AA219" s="28"/>
      <c r="AB219" s="28" t="s">
        <v>158</v>
      </c>
      <c r="AC219" s="24">
        <v>100</v>
      </c>
      <c r="AD219" s="24">
        <v>100</v>
      </c>
      <c r="AE219" s="24">
        <v>100</v>
      </c>
      <c r="AF219" s="27" t="s">
        <v>76</v>
      </c>
      <c r="AG219" s="27" t="s">
        <v>76</v>
      </c>
    </row>
    <row r="220" spans="2:33" hidden="1" x14ac:dyDescent="0.25">
      <c r="B220" s="136">
        <f t="shared" si="18"/>
        <v>218</v>
      </c>
      <c r="C220" s="26" t="s">
        <v>678</v>
      </c>
      <c r="D220" s="24" t="s">
        <v>3</v>
      </c>
      <c r="E220" s="24" t="s">
        <v>109</v>
      </c>
      <c r="F220" s="27" t="s">
        <v>191</v>
      </c>
      <c r="G220" s="24">
        <v>1341660</v>
      </c>
      <c r="H220" s="24" t="s">
        <v>142</v>
      </c>
      <c r="I220" s="25" t="s">
        <v>194</v>
      </c>
      <c r="J220" s="24" t="s">
        <v>76</v>
      </c>
      <c r="K220" s="24" t="s">
        <v>160</v>
      </c>
      <c r="L220" s="27" t="str">
        <f t="shared" si="27"/>
        <v>-</v>
      </c>
      <c r="M220" s="27" t="s">
        <v>368</v>
      </c>
      <c r="N220" s="26" t="s">
        <v>765</v>
      </c>
      <c r="O220" s="24" t="s">
        <v>84</v>
      </c>
      <c r="P220" s="24"/>
      <c r="Q220" s="24"/>
      <c r="R220" s="24">
        <v>42</v>
      </c>
      <c r="S220" s="24">
        <v>42</v>
      </c>
      <c r="T220" s="24">
        <f t="shared" ref="T220:T225" si="29">S220</f>
        <v>42</v>
      </c>
      <c r="U220" s="24">
        <f>ROUNDDOWN(S220/HLOOKUP(D220,Table!$C$3:$D$4,2,0)*8,2)</f>
        <v>0.74</v>
      </c>
      <c r="V220" s="24">
        <f t="shared" ref="V220:V225" si="30">U220</f>
        <v>0.74</v>
      </c>
      <c r="W220" s="24" t="s">
        <v>21</v>
      </c>
      <c r="X220" s="123">
        <v>43913</v>
      </c>
      <c r="Y220" s="28">
        <v>43921</v>
      </c>
      <c r="Z220" s="28">
        <v>43916</v>
      </c>
      <c r="AA220" s="28">
        <v>43916</v>
      </c>
      <c r="AB220" s="28" t="s">
        <v>158</v>
      </c>
      <c r="AC220" s="24">
        <v>100</v>
      </c>
      <c r="AD220" s="24">
        <v>100</v>
      </c>
      <c r="AE220" s="24">
        <v>100</v>
      </c>
      <c r="AF220" s="27" t="s">
        <v>76</v>
      </c>
      <c r="AG220" s="27" t="s">
        <v>76</v>
      </c>
    </row>
    <row r="221" spans="2:33" hidden="1" x14ac:dyDescent="0.25">
      <c r="B221" s="136">
        <f t="shared" si="18"/>
        <v>219</v>
      </c>
      <c r="C221" s="26" t="s">
        <v>678</v>
      </c>
      <c r="D221" s="24" t="s">
        <v>3</v>
      </c>
      <c r="E221" s="24" t="s">
        <v>109</v>
      </c>
      <c r="F221" s="27" t="s">
        <v>191</v>
      </c>
      <c r="G221" s="24">
        <v>1341660</v>
      </c>
      <c r="H221" s="24" t="s">
        <v>143</v>
      </c>
      <c r="I221" s="25" t="s">
        <v>194</v>
      </c>
      <c r="J221" s="24" t="s">
        <v>76</v>
      </c>
      <c r="K221" s="24" t="s">
        <v>160</v>
      </c>
      <c r="L221" s="27" t="str">
        <f t="shared" si="27"/>
        <v>-</v>
      </c>
      <c r="M221" s="27" t="s">
        <v>368</v>
      </c>
      <c r="N221" s="26" t="s">
        <v>766</v>
      </c>
      <c r="O221" s="24" t="s">
        <v>84</v>
      </c>
      <c r="P221" s="24"/>
      <c r="Q221" s="24"/>
      <c r="R221" s="24">
        <v>40</v>
      </c>
      <c r="S221" s="24">
        <v>40</v>
      </c>
      <c r="T221" s="24">
        <f t="shared" si="29"/>
        <v>40</v>
      </c>
      <c r="U221" s="24">
        <f>ROUNDDOWN(S221/HLOOKUP(D221,Table!$C$3:$D$4,2,0)*8,2)</f>
        <v>0.71</v>
      </c>
      <c r="V221" s="24">
        <f t="shared" si="30"/>
        <v>0.71</v>
      </c>
      <c r="W221" s="24" t="s">
        <v>21</v>
      </c>
      <c r="X221" s="123">
        <v>43913</v>
      </c>
      <c r="Y221" s="28">
        <v>43921</v>
      </c>
      <c r="Z221" s="28">
        <v>43916</v>
      </c>
      <c r="AA221" s="28">
        <v>43916</v>
      </c>
      <c r="AB221" s="28" t="s">
        <v>158</v>
      </c>
      <c r="AC221" s="24">
        <v>100</v>
      </c>
      <c r="AD221" s="24">
        <v>100</v>
      </c>
      <c r="AE221" s="24">
        <v>100</v>
      </c>
      <c r="AF221" s="27" t="s">
        <v>76</v>
      </c>
      <c r="AG221" s="27" t="s">
        <v>76</v>
      </c>
    </row>
    <row r="222" spans="2:33" hidden="1" x14ac:dyDescent="0.25">
      <c r="B222" s="136">
        <f t="shared" si="18"/>
        <v>220</v>
      </c>
      <c r="C222" s="26" t="s">
        <v>678</v>
      </c>
      <c r="D222" s="24" t="s">
        <v>3</v>
      </c>
      <c r="E222" s="24" t="s">
        <v>109</v>
      </c>
      <c r="F222" s="27" t="s">
        <v>146</v>
      </c>
      <c r="G222" s="24">
        <v>1341660</v>
      </c>
      <c r="H222" s="26" t="s">
        <v>145</v>
      </c>
      <c r="I222" s="25" t="s">
        <v>194</v>
      </c>
      <c r="J222" s="24" t="s">
        <v>76</v>
      </c>
      <c r="K222" s="24" t="s">
        <v>160</v>
      </c>
      <c r="L222" s="27" t="str">
        <f t="shared" si="27"/>
        <v>-</v>
      </c>
      <c r="M222" s="27" t="s">
        <v>368</v>
      </c>
      <c r="N222" s="26" t="s">
        <v>767</v>
      </c>
      <c r="O222" s="24" t="s">
        <v>84</v>
      </c>
      <c r="P222" s="24"/>
      <c r="Q222" s="24"/>
      <c r="R222" s="24">
        <v>29</v>
      </c>
      <c r="S222" s="24">
        <v>29</v>
      </c>
      <c r="T222" s="24">
        <f t="shared" si="29"/>
        <v>29</v>
      </c>
      <c r="U222" s="24">
        <f>ROUNDDOWN(S222/HLOOKUP(D222,Table!$C$3:$D$4,2,0)*8,2)</f>
        <v>0.51</v>
      </c>
      <c r="V222" s="24">
        <f t="shared" si="30"/>
        <v>0.51</v>
      </c>
      <c r="W222" s="24" t="s">
        <v>21</v>
      </c>
      <c r="X222" s="123">
        <v>43913</v>
      </c>
      <c r="Y222" s="28">
        <v>43921</v>
      </c>
      <c r="Z222" s="28">
        <v>43916</v>
      </c>
      <c r="AA222" s="28">
        <v>43916</v>
      </c>
      <c r="AB222" s="28" t="s">
        <v>158</v>
      </c>
      <c r="AC222" s="24">
        <v>100</v>
      </c>
      <c r="AD222" s="24">
        <v>100</v>
      </c>
      <c r="AE222" s="24">
        <v>100</v>
      </c>
      <c r="AF222" s="27" t="s">
        <v>76</v>
      </c>
      <c r="AG222" s="27" t="s">
        <v>76</v>
      </c>
    </row>
    <row r="223" spans="2:33" hidden="1" x14ac:dyDescent="0.25">
      <c r="B223" s="136">
        <f t="shared" si="18"/>
        <v>221</v>
      </c>
      <c r="C223" s="26" t="s">
        <v>678</v>
      </c>
      <c r="D223" s="24" t="s">
        <v>3</v>
      </c>
      <c r="E223" s="24" t="s">
        <v>109</v>
      </c>
      <c r="F223" s="27" t="s">
        <v>146</v>
      </c>
      <c r="G223" s="24">
        <v>1341660</v>
      </c>
      <c r="H223" s="26" t="s">
        <v>140</v>
      </c>
      <c r="I223" s="25" t="s">
        <v>194</v>
      </c>
      <c r="J223" s="24" t="s">
        <v>76</v>
      </c>
      <c r="K223" s="24" t="s">
        <v>160</v>
      </c>
      <c r="L223" s="27" t="str">
        <f t="shared" si="27"/>
        <v>-</v>
      </c>
      <c r="M223" s="27" t="s">
        <v>368</v>
      </c>
      <c r="N223" s="26" t="s">
        <v>768</v>
      </c>
      <c r="O223" s="24" t="s">
        <v>84</v>
      </c>
      <c r="P223" s="24"/>
      <c r="Q223" s="24"/>
      <c r="R223" s="24">
        <v>110</v>
      </c>
      <c r="S223" s="24">
        <v>110</v>
      </c>
      <c r="T223" s="24">
        <f t="shared" si="29"/>
        <v>110</v>
      </c>
      <c r="U223" s="24">
        <f>ROUNDDOWN(S223/HLOOKUP(D223,Table!$C$3:$D$4,2,0)*8,2)</f>
        <v>1.95</v>
      </c>
      <c r="V223" s="24">
        <f t="shared" si="30"/>
        <v>1.95</v>
      </c>
      <c r="W223" s="24" t="s">
        <v>21</v>
      </c>
      <c r="X223" s="123">
        <v>43913</v>
      </c>
      <c r="Y223" s="28">
        <v>43921</v>
      </c>
      <c r="Z223" s="28">
        <v>43916</v>
      </c>
      <c r="AA223" s="28">
        <v>43916</v>
      </c>
      <c r="AB223" s="28" t="s">
        <v>158</v>
      </c>
      <c r="AC223" s="24">
        <v>100</v>
      </c>
      <c r="AD223" s="24">
        <v>100</v>
      </c>
      <c r="AE223" s="24">
        <v>100</v>
      </c>
      <c r="AF223" s="27" t="s">
        <v>76</v>
      </c>
      <c r="AG223" s="27" t="s">
        <v>76</v>
      </c>
    </row>
    <row r="224" spans="2:33" hidden="1" x14ac:dyDescent="0.25">
      <c r="B224" s="136">
        <f t="shared" si="18"/>
        <v>222</v>
      </c>
      <c r="C224" s="26" t="s">
        <v>678</v>
      </c>
      <c r="D224" s="24" t="s">
        <v>3</v>
      </c>
      <c r="E224" s="24" t="s">
        <v>109</v>
      </c>
      <c r="F224" s="27" t="s">
        <v>146</v>
      </c>
      <c r="G224" s="24">
        <v>1341660</v>
      </c>
      <c r="H224" s="26" t="s">
        <v>142</v>
      </c>
      <c r="I224" s="25" t="s">
        <v>194</v>
      </c>
      <c r="J224" s="24" t="s">
        <v>76</v>
      </c>
      <c r="K224" s="24" t="s">
        <v>160</v>
      </c>
      <c r="L224" s="27" t="str">
        <f t="shared" si="27"/>
        <v>-</v>
      </c>
      <c r="M224" s="27" t="s">
        <v>368</v>
      </c>
      <c r="N224" s="26" t="s">
        <v>769</v>
      </c>
      <c r="O224" s="24" t="s">
        <v>84</v>
      </c>
      <c r="P224" s="24"/>
      <c r="Q224" s="24"/>
      <c r="R224" s="24">
        <v>42</v>
      </c>
      <c r="S224" s="24">
        <v>42</v>
      </c>
      <c r="T224" s="24">
        <f t="shared" si="29"/>
        <v>42</v>
      </c>
      <c r="U224" s="24">
        <f>ROUNDDOWN(S224/HLOOKUP(D224,Table!$C$3:$D$4,2,0)*8,2)</f>
        <v>0.74</v>
      </c>
      <c r="V224" s="24">
        <f t="shared" si="30"/>
        <v>0.74</v>
      </c>
      <c r="W224" s="24" t="s">
        <v>21</v>
      </c>
      <c r="X224" s="123">
        <v>43913</v>
      </c>
      <c r="Y224" s="28">
        <v>43921</v>
      </c>
      <c r="Z224" s="28">
        <v>43916</v>
      </c>
      <c r="AA224" s="28">
        <v>43916</v>
      </c>
      <c r="AB224" s="28" t="s">
        <v>158</v>
      </c>
      <c r="AC224" s="24">
        <v>100</v>
      </c>
      <c r="AD224" s="24">
        <v>100</v>
      </c>
      <c r="AE224" s="24">
        <v>100</v>
      </c>
      <c r="AF224" s="27" t="s">
        <v>76</v>
      </c>
      <c r="AG224" s="27" t="s">
        <v>76</v>
      </c>
    </row>
    <row r="225" spans="2:33" hidden="1" x14ac:dyDescent="0.25">
      <c r="B225" s="136">
        <f t="shared" ref="B225:B227" si="31">B224+1</f>
        <v>223</v>
      </c>
      <c r="C225" s="26" t="s">
        <v>678</v>
      </c>
      <c r="D225" s="24" t="s">
        <v>3</v>
      </c>
      <c r="E225" s="24" t="s">
        <v>109</v>
      </c>
      <c r="F225" s="27" t="s">
        <v>146</v>
      </c>
      <c r="G225" s="24">
        <v>1341660</v>
      </c>
      <c r="H225" s="26" t="s">
        <v>144</v>
      </c>
      <c r="I225" s="25" t="s">
        <v>194</v>
      </c>
      <c r="J225" s="24" t="s">
        <v>76</v>
      </c>
      <c r="K225" s="24" t="s">
        <v>160</v>
      </c>
      <c r="L225" s="27" t="str">
        <f t="shared" si="27"/>
        <v>-</v>
      </c>
      <c r="M225" s="27" t="s">
        <v>368</v>
      </c>
      <c r="N225" s="26" t="s">
        <v>770</v>
      </c>
      <c r="O225" s="24" t="s">
        <v>84</v>
      </c>
      <c r="P225" s="24"/>
      <c r="Q225" s="24"/>
      <c r="R225" s="24">
        <v>44</v>
      </c>
      <c r="S225" s="24">
        <v>44</v>
      </c>
      <c r="T225" s="24">
        <f t="shared" si="29"/>
        <v>44</v>
      </c>
      <c r="U225" s="24">
        <f>ROUNDDOWN(S225/HLOOKUP(D225,Table!$C$3:$D$4,2,0)*8,2)</f>
        <v>0.78</v>
      </c>
      <c r="V225" s="24">
        <f t="shared" si="30"/>
        <v>0.78</v>
      </c>
      <c r="W225" s="24" t="s">
        <v>21</v>
      </c>
      <c r="X225" s="123">
        <v>43913</v>
      </c>
      <c r="Y225" s="28">
        <v>43921</v>
      </c>
      <c r="Z225" s="28">
        <v>43916</v>
      </c>
      <c r="AA225" s="28">
        <v>43916</v>
      </c>
      <c r="AB225" s="28" t="s">
        <v>158</v>
      </c>
      <c r="AC225" s="24">
        <v>100</v>
      </c>
      <c r="AD225" s="24">
        <v>100</v>
      </c>
      <c r="AE225" s="24">
        <v>100</v>
      </c>
      <c r="AF225" s="27" t="s">
        <v>76</v>
      </c>
      <c r="AG225" s="27" t="s">
        <v>76</v>
      </c>
    </row>
    <row r="226" spans="2:33" hidden="1" x14ac:dyDescent="0.25">
      <c r="B226" s="32">
        <f t="shared" si="31"/>
        <v>224</v>
      </c>
      <c r="C226" s="26"/>
      <c r="D226" s="26"/>
      <c r="E226" s="26"/>
      <c r="F226" s="47"/>
      <c r="G226" s="26"/>
      <c r="H226" s="26"/>
      <c r="I226" s="26"/>
      <c r="J226" s="26"/>
      <c r="K226" s="26"/>
      <c r="L226" s="47"/>
      <c r="M226" s="47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148"/>
      <c r="Y226" s="87"/>
      <c r="Z226" s="87"/>
      <c r="AA226" s="87"/>
      <c r="AB226" s="87"/>
      <c r="AC226" s="26"/>
      <c r="AD226" s="26"/>
      <c r="AE226" s="26"/>
      <c r="AF226" s="47"/>
      <c r="AG226" s="47"/>
    </row>
    <row r="227" spans="2:33" hidden="1" x14ac:dyDescent="0.25">
      <c r="B227" s="32">
        <f t="shared" si="31"/>
        <v>225</v>
      </c>
      <c r="C227" s="26"/>
      <c r="D227" s="26"/>
      <c r="E227" s="26"/>
      <c r="F227" s="47"/>
      <c r="G227" s="26"/>
      <c r="H227" s="26"/>
      <c r="I227" s="26"/>
      <c r="J227" s="26"/>
      <c r="K227" s="26"/>
      <c r="L227" s="47"/>
      <c r="M227" s="47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148"/>
      <c r="Y227" s="87"/>
      <c r="Z227" s="87"/>
      <c r="AA227" s="87"/>
      <c r="AB227" s="87"/>
      <c r="AC227" s="26"/>
      <c r="AD227" s="26"/>
      <c r="AE227" s="26"/>
      <c r="AF227" s="47"/>
      <c r="AG227" s="47"/>
    </row>
    <row r="228" spans="2:33" x14ac:dyDescent="0.25">
      <c r="B228" s="33"/>
      <c r="C228" s="125"/>
      <c r="D228" s="125"/>
      <c r="E228" s="125"/>
      <c r="F228" s="126"/>
      <c r="G228" s="125"/>
      <c r="H228" s="125"/>
      <c r="I228" s="125"/>
      <c r="J228" s="125"/>
      <c r="K228" s="125"/>
      <c r="L228" s="125"/>
      <c r="M228" s="125"/>
      <c r="N228" s="127"/>
      <c r="O228" s="125"/>
      <c r="P228" s="125"/>
      <c r="Q228" s="125"/>
      <c r="R228" s="125"/>
      <c r="S228" s="125"/>
      <c r="T228" s="125"/>
      <c r="U228" s="125"/>
      <c r="V228" s="125"/>
      <c r="W228" s="125"/>
      <c r="X228" s="128"/>
      <c r="Y228" s="128"/>
      <c r="Z228" s="128"/>
      <c r="AA228" s="128"/>
      <c r="AB228" s="128"/>
      <c r="AC228" s="125"/>
      <c r="AD228" s="125"/>
      <c r="AE228" s="125"/>
      <c r="AF228" s="125"/>
      <c r="AG228" s="125"/>
    </row>
    <row r="229" spans="2:33" x14ac:dyDescent="0.25">
      <c r="B229" s="5"/>
      <c r="C229" s="5"/>
      <c r="D229" s="5"/>
      <c r="E229" s="5"/>
      <c r="F229" s="5"/>
      <c r="G229" s="5"/>
      <c r="H229" s="5"/>
      <c r="I229" s="5"/>
      <c r="J229" s="146"/>
      <c r="K229" s="5"/>
      <c r="L229" s="5"/>
      <c r="M229" s="5"/>
      <c r="N229" s="45"/>
      <c r="O229" s="5"/>
      <c r="P229" s="5"/>
    </row>
    <row r="230" spans="2:33" x14ac:dyDescent="0.25">
      <c r="B230" s="1" t="s">
        <v>56</v>
      </c>
    </row>
    <row r="231" spans="2:33" x14ac:dyDescent="0.25">
      <c r="B231" s="2" t="s">
        <v>0</v>
      </c>
      <c r="C231" s="2" t="s">
        <v>7</v>
      </c>
      <c r="D231" s="2" t="s">
        <v>462</v>
      </c>
      <c r="E231" s="2" t="s">
        <v>58</v>
      </c>
      <c r="F231" s="2" t="s">
        <v>463</v>
      </c>
      <c r="G231" s="2" t="s">
        <v>22</v>
      </c>
      <c r="H231" s="4" t="s">
        <v>24</v>
      </c>
      <c r="L231" s="46"/>
      <c r="N231"/>
    </row>
    <row r="232" spans="2:33" x14ac:dyDescent="0.25">
      <c r="B232" s="3">
        <v>1</v>
      </c>
      <c r="C232" s="40" t="s">
        <v>82</v>
      </c>
      <c r="D232" s="3">
        <f>SUMIFS($S$3:$S$225,$D$3:$D$225,Table!$C$3,$O$3:$O$225,C232)</f>
        <v>436</v>
      </c>
      <c r="E232" s="3">
        <f>SUMIFS($T$3:$T$225,$D$3:$D$225,Table!$C$3,$O$3:$O$225,C232)-SUM(SUMIFS($T$3:$T$225,$D$3:$D$225,Table!$C$3,$O$3:$O$225,C232,$W$3:$W$225,{"Ongoing","N\A",""}))</f>
        <v>424</v>
      </c>
      <c r="F232" s="3">
        <f>1/8*(SUMIFS($V$3:$V$225,$D$3:$D$225,Table!$C$3,$O$3:$O$225,C232)-SUM(SUMIFS($V$3:$V$225,$D$3:$D$225,Table!$C$3,$O$3:$O$225,C232,$W$3:$W$225,{"Ongoing","N/A",""})))</f>
        <v>4</v>
      </c>
      <c r="G232" s="3">
        <f>IF(ISERROR(E232/(F232)),"N/A",E232/F232)</f>
        <v>106</v>
      </c>
      <c r="H232" s="6">
        <f>IF(ISERROR(E232/D232),"N/A",E232/D232)</f>
        <v>0.97247706422018354</v>
      </c>
      <c r="L232" s="46"/>
      <c r="N232"/>
    </row>
    <row r="233" spans="2:33" x14ac:dyDescent="0.25">
      <c r="B233" s="3">
        <v>2</v>
      </c>
      <c r="C233" s="40" t="s">
        <v>83</v>
      </c>
      <c r="D233" s="3">
        <f>SUMIFS($S$3:$S$225,$D$3:$D$225,Table!$C$3,$O$3:$O$225,C233)</f>
        <v>194</v>
      </c>
      <c r="E233" s="3">
        <f>SUMIFS($T$3:$T$225,$D$3:$D$225,Table!$C$3,$O$3:$O$225,C233)-SUM(SUMIFS($T$3:$T$225,$D$3:$D$225,Table!$C$3,$O$3:$O$225,C233,$W$3:$W$225,{"Ongoing","N/A",""}))</f>
        <v>194</v>
      </c>
      <c r="F233" s="3">
        <f>1/8*(SUMIFS($V$3:$V$225,$D$3:$D$225,Table!$C$3,$O$3:$O$225,C233)-SUM(SUMIFS($V$3:$V$225,$D$3:$D$225,Table!$C$3,$O$3:$O$225,C233,$W$3:$W$225,{"Ongoing","N/A",""})))</f>
        <v>3.25</v>
      </c>
      <c r="G233" s="3">
        <f>IF(ISERROR(E233/(F233)),"N/A",E233/F233)</f>
        <v>59.692307692307693</v>
      </c>
      <c r="H233" s="6">
        <f>IF(ISERROR(E233/D233),"N/A",E233/D233)</f>
        <v>1</v>
      </c>
      <c r="L233" s="46"/>
      <c r="N233"/>
    </row>
    <row r="234" spans="2:33" x14ac:dyDescent="0.25">
      <c r="B234" s="3">
        <v>3</v>
      </c>
      <c r="C234" s="40" t="s">
        <v>84</v>
      </c>
      <c r="D234" s="3">
        <f>SUMIFS($S$3:$S$225,$D$3:$D$225,Table!$C$3,$O$3:$O$225,C234)</f>
        <v>109</v>
      </c>
      <c r="E234" s="3">
        <f>SUMIFS($T$3:$T$225,$D$3:$D$225,Table!$C$3,$O$3:$O$225,C234)-SUM(SUMIFS($T$3:$T$225,$D$3:$D$225,Table!$C$3,$O$3:$O$225,C234,$W$3:$W$225,{"Ongoing","N/A",""}))</f>
        <v>87</v>
      </c>
      <c r="F234" s="3">
        <f>1/8*(SUMIFS($V$3:$V$225,$D$3:$D$225,Table!$C$3,$O$3:$O$225,C234)-SUM(SUMIFS($V$3:$V$225,$D$3:$D$225,Table!$C$3,$O$3:$O$225,C234,$W$3:$W$225,{"Ongoing","N/A",""})))</f>
        <v>1.4125000000000001</v>
      </c>
      <c r="G234" s="3">
        <f>IF(ISERROR(E234/(F234)),"N/A",E234/F234)</f>
        <v>61.592920353982294</v>
      </c>
      <c r="H234" s="6">
        <f>IF(ISERROR(E234/D234),"N/A",E234/D234)</f>
        <v>0.79816513761467889</v>
      </c>
      <c r="L234" s="46"/>
      <c r="N234"/>
    </row>
    <row r="235" spans="2:33" x14ac:dyDescent="0.25">
      <c r="B235" s="3">
        <v>4</v>
      </c>
      <c r="C235" s="40" t="s">
        <v>85</v>
      </c>
      <c r="D235" s="3">
        <f>SUMIFS($S$3:$S$225,$D$3:$D$225,Table!$C$3,$O$3:$O$225,C235)</f>
        <v>43</v>
      </c>
      <c r="E235" s="3">
        <f>SUMIFS($T$3:$T$225,$D$3:$D$225,Table!$C$3,$O$3:$O$225,C235)-SUM(SUMIFS($T$3:$T$225,$D$3:$D$225,Table!$C$3,$O$3:$O$225,C235,$W$3:$W$225,{"Ongoing","N/A"}))</f>
        <v>43</v>
      </c>
      <c r="F235" s="3">
        <f>1/8*(SUMIFS($V$3:$V$225,$D$3:$D$225,Table!$C$3,$O$3:$O$225,C235)-SUM(SUMIFS($V$3:$V$225,$D$3:$D$225,Table!$C$3,$O$3:$O$225,C235,$W$3:$W$225,{"Ongoing","N/A",""})))</f>
        <v>0.3125</v>
      </c>
      <c r="G235" s="3">
        <f>IF(ISERROR(E235/(F235)),"N/A",E235/F235)</f>
        <v>137.6</v>
      </c>
      <c r="H235" s="6">
        <f>IF(ISERROR(E235/D235),"N/A",E235/D235)</f>
        <v>1</v>
      </c>
      <c r="L235" s="46"/>
      <c r="N235"/>
    </row>
    <row r="236" spans="2:33" x14ac:dyDescent="0.25">
      <c r="B236" s="2" t="s">
        <v>319</v>
      </c>
      <c r="C236" s="40"/>
      <c r="D236" s="110">
        <f>SUMIFS($S$3:$S$225,$D$3:$D$225,Table!$C$3)</f>
        <v>782</v>
      </c>
      <c r="E236" s="110">
        <f>SUMIFS($T$3:$T$225,$D$3:$D$225,Table!$C$3)-SUM(SUMIFS($T$3:$T$225,$D$3:$D$225,Table!$C$3,$W$3:$W$225,{"Ongoing","N/A",""}))</f>
        <v>748</v>
      </c>
      <c r="F236" s="110">
        <f>1/8*(SUMIFS($V$3:$V$225,$D$3:$D$225,Table!$C$3)-SUM(SUMIFS($V$3:$V$225,$D$3:$D$225,Table!$C$3,$W$3:$W$225,{"Ongoing","N/A",""})))</f>
        <v>8.9749999999999996</v>
      </c>
      <c r="G236" s="3">
        <f>IF(ISERROR(E236/(F236)),"N/A",E236/F236)</f>
        <v>83.342618384401121</v>
      </c>
      <c r="H236" s="6">
        <f>IF(ISERROR(E236/D236),"N/A",E236/D236)</f>
        <v>0.95652173913043481</v>
      </c>
      <c r="L236" s="46"/>
      <c r="N236"/>
    </row>
    <row r="237" spans="2:33" x14ac:dyDescent="0.25">
      <c r="L237" s="46"/>
      <c r="N237"/>
    </row>
    <row r="238" spans="2:33" x14ac:dyDescent="0.25">
      <c r="L238" s="46"/>
      <c r="N238"/>
    </row>
    <row r="239" spans="2:33" x14ac:dyDescent="0.25">
      <c r="B239" s="1" t="s">
        <v>57</v>
      </c>
      <c r="L239" s="46"/>
      <c r="N239"/>
    </row>
    <row r="240" spans="2:33" x14ac:dyDescent="0.25">
      <c r="B240" s="2" t="s">
        <v>0</v>
      </c>
      <c r="C240" s="2" t="s">
        <v>7</v>
      </c>
      <c r="D240" s="2" t="s">
        <v>462</v>
      </c>
      <c r="E240" s="2" t="s">
        <v>58</v>
      </c>
      <c r="F240" s="2" t="s">
        <v>463</v>
      </c>
      <c r="G240" s="2" t="s">
        <v>22</v>
      </c>
      <c r="H240" s="4" t="s">
        <v>24</v>
      </c>
      <c r="L240" s="46"/>
      <c r="N240"/>
    </row>
    <row r="241" spans="2:14" x14ac:dyDescent="0.25">
      <c r="B241" s="3">
        <v>1</v>
      </c>
      <c r="C241" s="40" t="s">
        <v>82</v>
      </c>
      <c r="D241" s="3">
        <f>SUMIFS($S$3:$S$225,$D$3:$D$225,Table!$D$3,$O$3:$O$225,C241)</f>
        <v>8901</v>
      </c>
      <c r="E241" s="3">
        <f>SUMIFS($S$3:$S$225,$D$3:$D$225,Table!$D$3,$O$3:$O$225,C241)-SUM(SUMIFS($S$3:$S$225,$D$3:$D$225,Table!$D$3,$O$3:$O$225,C241,$W$3:$W$225,{"Ongoing","N/A",""}))</f>
        <v>8901</v>
      </c>
      <c r="F241" s="3">
        <f>1/8*(SUMIFS($V$3:$V$225,$D$3:$D$225,Table!$D$3,$O$3:$O$225,C241)-SUM(SUMIFS($V$3:$V$225,$D$3:$D$225,Table!$D$3,$O$3:$O$225,C241,$W$3:$W$225,{"Ongoing","N/A",""})))</f>
        <v>17.94125</v>
      </c>
      <c r="G241" s="3">
        <f>IF(ISERROR(E241/(F241)),"N/A",E241/F241)</f>
        <v>496.11927819967951</v>
      </c>
      <c r="H241" s="6">
        <f>IF(ISERROR(E241/D241),"N/A",E241/D241)</f>
        <v>1</v>
      </c>
      <c r="L241" s="46"/>
      <c r="N241"/>
    </row>
    <row r="242" spans="2:14" x14ac:dyDescent="0.25">
      <c r="B242" s="3">
        <v>2</v>
      </c>
      <c r="C242" s="40" t="s">
        <v>83</v>
      </c>
      <c r="D242" s="3">
        <f>SUMIFS($S$3:$S$225,$D$3:$D$225,Table!$D$3,$O$3:$O$225,C242)</f>
        <v>9356</v>
      </c>
      <c r="E242" s="3">
        <f>SUMIFS($S$3:$S$225,$D$3:$D$225,Table!$D$3,$O$3:$O$225,C242)-SUM(SUMIFS($S$3:$S$225,$D$3:$D$225,Table!$D$3,$O$3:$O$225,C242,$W$3:$W$225,{"Ongoing","N/A",""}))</f>
        <v>9356</v>
      </c>
      <c r="F242" s="3">
        <f>1/8*(SUMIFS($V$3:$V$225,$D$3:$D$225,Table!$D$3,$O$3:$O$225,C242)-SUM(SUMIFS($V$3:$V$225,$D$3:$D$225,Table!$D$3,$O$3:$O$225,C242,$W$3:$W$225,{"Ongoing","N/A",""})))</f>
        <v>14.397499999999999</v>
      </c>
      <c r="G242" s="3">
        <f>IF(ISERROR(E242/(F242)),"N/A",E242/F242)</f>
        <v>649.83504080569548</v>
      </c>
      <c r="H242" s="6">
        <f>IF(ISERROR(E242/D242),"N/A",E242/D242)</f>
        <v>1</v>
      </c>
    </row>
    <row r="243" spans="2:14" x14ac:dyDescent="0.25">
      <c r="B243" s="3">
        <v>3</v>
      </c>
      <c r="C243" s="40" t="s">
        <v>84</v>
      </c>
      <c r="D243" s="3">
        <f>SUMIFS($S$3:$S$225,$D$3:$D$225,Table!$D$3,$O$3:$O$225,C243)</f>
        <v>9292</v>
      </c>
      <c r="E243" s="3">
        <f>SUMIFS($S$3:$S$225,$D$3:$D$225,Table!$D$3,$O$3:$O$225,C243)-SUM(SUMIFS($S$3:$S$225,$D$3:$D$225,Table!$D$3,$O$3:$O$225,C243,$W$3:$W$225,{"Ongoing","N/A",""}))</f>
        <v>9248</v>
      </c>
      <c r="F243" s="3">
        <f>1/8*(SUMIFS($V$3:$V$225,$D$3:$D$225,Table!$D$3,$O$3:$O$225,C243)-SUM(SUMIFS($V$3:$V$225,$D$3:$D$225,Table!$D$3,$O$3:$O$225,C243,$W$3:$W$225,{"Ongoing","N/A",""})))</f>
        <v>18.686250000000001</v>
      </c>
      <c r="G243" s="3">
        <f>IF(ISERROR(E243/(F243)),"N/A",E243/F243)</f>
        <v>494.90935848551737</v>
      </c>
      <c r="H243" s="6">
        <f>IF(ISERROR(E243/D243),"N/A",E243/D243)</f>
        <v>0.99526474386569097</v>
      </c>
    </row>
    <row r="244" spans="2:14" x14ac:dyDescent="0.25">
      <c r="B244" s="3">
        <v>4</v>
      </c>
      <c r="C244" s="40" t="s">
        <v>85</v>
      </c>
      <c r="D244" s="3">
        <f>SUMIFS($S$3:$S$225,$D$3:$D$225,Table!$D$3,$O$3:$O$225,C244)</f>
        <v>10982</v>
      </c>
      <c r="E244" s="3">
        <f>SUMIFS($S$3:$S$225,$D$3:$D$225,Table!$D$3,$O$3:$O$225,C244)-SUM(SUMIFS($S$3:$S$225,$D$3:$D$225,Table!$D$3,$O$3:$O$225,C244,$W$3:$W$225,{"Ongoing","N/A",""}))</f>
        <v>10982</v>
      </c>
      <c r="F244" s="3">
        <f>1/8*(SUMIFS($V$3:$V$225,$D$3:$D$225,Table!$D$3,$O$3:$O$225,C244)-SUM(SUMIFS($V$3:$V$225,$D$3:$D$225,Table!$D$3,$O$3:$O$225,C244,$W$3:$W$225,{"Ongoing","N/A",""})))</f>
        <v>15.336250000000003</v>
      </c>
      <c r="G244" s="3">
        <f>IF(ISERROR(E244/(F244)),"N/A",E244/F244)</f>
        <v>716.08118021028588</v>
      </c>
      <c r="H244" s="6">
        <f>IF(ISERROR(E244/D244),"N/A",E244/D244)</f>
        <v>1</v>
      </c>
    </row>
    <row r="245" spans="2:14" x14ac:dyDescent="0.25">
      <c r="B245" s="2" t="s">
        <v>319</v>
      </c>
      <c r="C245" s="40"/>
      <c r="D245" s="110">
        <f>SUMIFS($S$3:$S$225,$D$3:$D$225,Table!$D$3)</f>
        <v>38531</v>
      </c>
      <c r="E245" s="110">
        <f>SUMIFS($T$3:$T$225,$D$3:$D$225,Table!$D$3)-SUM(SUMIFS($T$3:$T$225,$D$3:$D$225,Table!$D$3,$W$3:$W$225,{"Ongoing","N/A",""}))</f>
        <v>38487</v>
      </c>
      <c r="F245" s="110">
        <f>1/8*(SUMIFS($V$3:$V$225,$D$3:$D$225,Table!$D$3)-SUM(SUMIFS($V$3:$V$225,$D$3:$D$225,Table!$D$3,$W$3:$W$225,{"Ongoing","N/A",""})))</f>
        <v>66.361250000000013</v>
      </c>
      <c r="G245" s="3">
        <f>IF(ISERROR(E245/(F245)),"N/A",E245/F245)</f>
        <v>579.96195068658278</v>
      </c>
      <c r="H245" s="6">
        <f>IF(ISERROR(E245/D245),"N/A",E245/D245)</f>
        <v>0.99885806233941499</v>
      </c>
    </row>
    <row r="248" spans="2:14" x14ac:dyDescent="0.25">
      <c r="B248" s="1" t="s">
        <v>320</v>
      </c>
    </row>
    <row r="249" spans="2:14" x14ac:dyDescent="0.25">
      <c r="B249" s="2" t="s">
        <v>0</v>
      </c>
      <c r="C249" s="2" t="s">
        <v>7</v>
      </c>
      <c r="D249" s="2" t="s">
        <v>462</v>
      </c>
      <c r="E249" s="2" t="s">
        <v>58</v>
      </c>
      <c r="F249" s="2" t="s">
        <v>463</v>
      </c>
      <c r="G249" s="2" t="s">
        <v>22</v>
      </c>
      <c r="H249" s="4" t="s">
        <v>24</v>
      </c>
    </row>
    <row r="250" spans="2:14" x14ac:dyDescent="0.25">
      <c r="B250" s="3">
        <v>1</v>
      </c>
      <c r="C250" s="40" t="s">
        <v>82</v>
      </c>
      <c r="D250" s="3">
        <f>SUM(D232*Table!$D$4/Table!$C$4,D241)</f>
        <v>10410.23076923077</v>
      </c>
      <c r="E250" s="3">
        <f>SUM(E232*Table!$D$4/Table!$C$4,E241)</f>
        <v>10368.692307692309</v>
      </c>
      <c r="F250" s="3">
        <f ca="1">IF(OR(Template_Weekly_Report!E32="-",Template_Weekly_Report!E32=""),Template_Weekly_Report!$B$3,Template_Weekly_Report!$B$3-Template_Weekly_Report!E32)</f>
        <v>21.25</v>
      </c>
      <c r="G250" s="3">
        <f ca="1">IF(ISERROR(E250/(F250)),"N/A",E250/F250)</f>
        <v>487.93846153846158</v>
      </c>
      <c r="H250" s="6">
        <f>IF(ISERROR(E250/D250),"N/A",E250/D250)</f>
        <v>0.99600984238877444</v>
      </c>
    </row>
    <row r="251" spans="2:14" x14ac:dyDescent="0.25">
      <c r="B251" s="3">
        <v>2</v>
      </c>
      <c r="C251" s="40" t="s">
        <v>83</v>
      </c>
      <c r="D251" s="3">
        <f>SUM(D233*Table!$D$4/Table!$C$4,D242)</f>
        <v>10027.538461538461</v>
      </c>
      <c r="E251" s="3">
        <f>SUM(E233*Table!$D$4/Table!$C$4,E242)</f>
        <v>10027.538461538461</v>
      </c>
      <c r="F251" s="3">
        <f ca="1">IF(OR(Template_Weekly_Report!E33="-",Template_Weekly_Report!E33=""),Template_Weekly_Report!$B$3,Template_Weekly_Report!$B$3-Template_Weekly_Report!E33)</f>
        <v>20.25</v>
      </c>
      <c r="G251" s="3">
        <f ca="1">IF(ISERROR(E251/(F251)),"N/A",E251/F251)</f>
        <v>495.18708452041784</v>
      </c>
      <c r="H251" s="6">
        <f>IF(ISERROR(E251/D251),"N/A",E251/D251)</f>
        <v>1</v>
      </c>
    </row>
    <row r="252" spans="2:14" x14ac:dyDescent="0.25">
      <c r="B252" s="3">
        <v>3</v>
      </c>
      <c r="C252" s="40" t="s">
        <v>84</v>
      </c>
      <c r="D252" s="3">
        <f>SUM(D234*Table!$D$4/Table!$C$4,D243)</f>
        <v>9669.3076923076915</v>
      </c>
      <c r="E252" s="3">
        <f>SUM(E234*Table!$D$4/Table!$C$4,E243)</f>
        <v>9549.1538461538457</v>
      </c>
      <c r="F252" s="3">
        <f ca="1">IF(OR(Template_Weekly_Report!E34="-",Template_Weekly_Report!E34=""),Template_Weekly_Report!$B$3,Template_Weekly_Report!$B$3-Template_Weekly_Report!E34)</f>
        <v>20.25</v>
      </c>
      <c r="G252" s="3">
        <f ca="1">IF(ISERROR(E252/(F252)),"N/A",E252/F252)</f>
        <v>471.5631528964862</v>
      </c>
      <c r="H252" s="6">
        <f>IF(ISERROR(E252/D252),"N/A",E252/D252)</f>
        <v>0.98757368676462398</v>
      </c>
    </row>
    <row r="253" spans="2:14" x14ac:dyDescent="0.25">
      <c r="B253" s="3">
        <v>4</v>
      </c>
      <c r="C253" s="40" t="s">
        <v>85</v>
      </c>
      <c r="D253" s="3">
        <f>SUM(D235*Table!$D$4/Table!$C$4,D244)</f>
        <v>11130.846153846154</v>
      </c>
      <c r="E253" s="3">
        <f>SUM(E235*Table!$D$4/Table!$C$4,E244)</f>
        <v>11130.846153846154</v>
      </c>
      <c r="F253" s="3">
        <f ca="1">IF(OR(Template_Weekly_Report!E35="-",Template_Weekly_Report!E35=""),Template_Weekly_Report!$B$3,Template_Weekly_Report!$B$3-Template_Weekly_Report!E35)</f>
        <v>21.25</v>
      </c>
      <c r="G253" s="3">
        <f ca="1">IF(ISERROR(E253/(F253)),"N/A",E253/F253)</f>
        <v>523.80452488687786</v>
      </c>
      <c r="H253" s="6">
        <f>IF(ISERROR(E253/D253),"N/A",E253/D253)</f>
        <v>1</v>
      </c>
    </row>
    <row r="254" spans="2:14" x14ac:dyDescent="0.25">
      <c r="B254" s="2" t="s">
        <v>319</v>
      </c>
      <c r="C254" s="40"/>
      <c r="D254" s="3">
        <f>SUM(D250:D253)</f>
        <v>41237.923076923078</v>
      </c>
      <c r="E254" s="3">
        <f>SUM(E250:E253)</f>
        <v>41076.230769230773</v>
      </c>
      <c r="F254" s="3">
        <f ca="1">Template_Weekly_Report!B3*COUNTA(C250:C253)</f>
        <v>85</v>
      </c>
      <c r="G254" s="3">
        <f ca="1">IF(ISERROR(E254/(F254)),"N/A",E254/F254)</f>
        <v>483.24977375565618</v>
      </c>
      <c r="H254" s="6">
        <f t="shared" ref="H254" si="32">IF(ISERROR(E254/D254),"N/A",E254/D254)</f>
        <v>0.9960790385250321</v>
      </c>
    </row>
  </sheetData>
  <autoFilter ref="A2:AG227">
    <filterColumn colId="14">
      <filters>
        <filter val="duong.nguyen"/>
      </filters>
    </filterColumn>
  </autoFilter>
  <customSheetViews>
    <customSheetView guid="{7E0EA425-A420-4443-B9E0-CDF0AA9E5D09}" scale="85" filter="1" showAutoFilter="1" hiddenColumns="1" topLeftCell="A105">
      <selection activeCell="H127" sqref="H127"/>
      <pageMargins left="0.7" right="0.7" top="0.75" bottom="0.75" header="0.3" footer="0.3"/>
      <pageSetup orientation="portrait" r:id="rId1"/>
      <autoFilter ref="A2:AG227">
        <filterColumn colId="14">
          <filters>
            <filter val="duong.nguyen"/>
          </filters>
        </filterColumn>
      </autoFilter>
    </customSheetView>
    <customSheetView guid="{4E06BDBF-2CED-473B-850B-2A6C7311FF41}" scale="85" showAutoFilter="1" topLeftCell="A97">
      <selection activeCell="A128" sqref="A128:XFD128"/>
      <pageMargins left="0.7" right="0.7" top="0.75" bottom="0.75" header="0.3" footer="0.3"/>
      <pageSetup orientation="portrait" r:id="rId2"/>
      <autoFilter ref="A2:AG227"/>
    </customSheetView>
    <customSheetView guid="{72A6EB0A-84D5-4B8A-AC51-54CCD061630B}" scale="85" filter="1" showAutoFilter="1" topLeftCell="A160">
      <selection activeCell="F256" sqref="F256"/>
      <pageMargins left="0.7" right="0.7" top="0.75" bottom="0.75" header="0.3" footer="0.3"/>
      <pageSetup orientation="portrait" r:id="rId3"/>
      <autoFilter ref="A2:AG227">
        <filterColumn colId="14">
          <filters>
            <filter val="loc.do-phu"/>
          </filters>
        </filterColumn>
      </autoFilter>
    </customSheetView>
    <customSheetView guid="{60D2C030-4E31-4E07-8E1C-44D2EE84B177}" scale="85" filter="1" showAutoFilter="1">
      <selection activeCell="M240" sqref="M240"/>
      <pageMargins left="0.7" right="0.7" top="0.75" bottom="0.75" header="0.3" footer="0.3"/>
      <pageSetup orientation="portrait" r:id="rId4"/>
      <autoFilter ref="B2:AG227">
        <filterColumn colId="3">
          <filters>
            <filter val="CNMS Super Deuterium BSS01"/>
          </filters>
        </filterColumn>
        <filterColumn colId="13">
          <filters>
            <filter val="chung.ly"/>
          </filters>
        </filterColumn>
      </autoFilter>
    </customSheetView>
    <customSheetView guid="{D1F7047B-CC2E-48BC-8022-C8013AE2B1E1}" scale="85" filter="1" showAutoFilter="1">
      <selection activeCell="H172" sqref="H172"/>
      <pageMargins left="0.7" right="0.7" top="0.75" bottom="0.75" header="0.3" footer="0.3"/>
      <pageSetup orientation="portrait" r:id="rId5"/>
      <autoFilter ref="A2:AG225">
        <filterColumn colId="14">
          <filters>
            <filter val="duong.nguyen"/>
          </filters>
        </filterColumn>
      </autoFilter>
    </customSheetView>
    <customSheetView guid="{7ECC2B8E-6A82-42F5-8AB0-4A51C54EA5EC}" hiddenColumns="1" topLeftCell="O28">
      <selection activeCell="AG47" sqref="AG47"/>
      <pageMargins left="0.7" right="0.7" top="0.75" bottom="0.75" header="0.3" footer="0.3"/>
      <pageSetup orientation="portrait" r:id="rId6"/>
    </customSheetView>
    <customSheetView guid="{250915DF-0B97-45D7-B29D-7EED4C89C1C1}" topLeftCell="AB1">
      <selection activeCell="AF34" sqref="AF33:AF34"/>
      <pageMargins left="0.7" right="0.7" top="0.75" bottom="0.75" header="0.3" footer="0.3"/>
      <pageSetup orientation="portrait" r:id="rId7"/>
    </customSheetView>
  </customSheetViews>
  <conditionalFormatting sqref="H241:H244 H232:H236">
    <cfRule type="cellIs" dxfId="205" priority="41" operator="equal">
      <formula>1</formula>
    </cfRule>
    <cfRule type="cellIs" dxfId="204" priority="42" operator="lessThan">
      <formula>1</formula>
    </cfRule>
  </conditionalFormatting>
  <conditionalFormatting sqref="AB3:AB135 AB137:AB228">
    <cfRule type="cellIs" dxfId="203" priority="37" operator="equal">
      <formula>"OK"</formula>
    </cfRule>
    <cfRule type="cellIs" dxfId="202" priority="38" operator="equal">
      <formula>"NG"</formula>
    </cfRule>
  </conditionalFormatting>
  <conditionalFormatting sqref="L3:M19 L26:M66">
    <cfRule type="cellIs" dxfId="201" priority="36" operator="equal">
      <formula>"PUT_VERSION"</formula>
    </cfRule>
  </conditionalFormatting>
  <conditionalFormatting sqref="E236">
    <cfRule type="expression" dxfId="200" priority="34">
      <formula>$E$236=SUM($E$232:$E$235)</formula>
    </cfRule>
  </conditionalFormatting>
  <conditionalFormatting sqref="F236">
    <cfRule type="expression" dxfId="199" priority="33">
      <formula>$F$236=SUM($F$232:$F$235)</formula>
    </cfRule>
  </conditionalFormatting>
  <conditionalFormatting sqref="D236:F236">
    <cfRule type="expression" dxfId="198" priority="26">
      <formula>D236=SUM(D232:D235)</formula>
    </cfRule>
  </conditionalFormatting>
  <conditionalFormatting sqref="D245:F245">
    <cfRule type="expression" dxfId="197" priority="25">
      <formula>D245=SUM(D241:D244)</formula>
    </cfRule>
  </conditionalFormatting>
  <conditionalFormatting sqref="H254">
    <cfRule type="cellIs" dxfId="196" priority="21" operator="equal">
      <formula>1</formula>
    </cfRule>
    <cfRule type="cellIs" dxfId="195" priority="22" operator="lessThan">
      <formula>1</formula>
    </cfRule>
  </conditionalFormatting>
  <conditionalFormatting sqref="D3:D228">
    <cfRule type="cellIs" dxfId="194" priority="7" operator="equal">
      <formula>"PSW"</formula>
    </cfRule>
    <cfRule type="cellIs" dxfId="193" priority="8" operator="equal">
      <formula>"ASW"</formula>
    </cfRule>
  </conditionalFormatting>
  <conditionalFormatting sqref="I3:I228">
    <cfRule type="cellIs" dxfId="192" priority="5" operator="equal">
      <formula>"Manual"</formula>
    </cfRule>
    <cfRule type="cellIs" dxfId="191" priority="6" operator="equal">
      <formula>"Auto"</formula>
    </cfRule>
  </conditionalFormatting>
  <conditionalFormatting sqref="AE62">
    <cfRule type="cellIs" dxfId="190" priority="3" operator="equal">
      <formula>"OK"</formula>
    </cfRule>
    <cfRule type="cellIs" dxfId="189" priority="4" operator="equal">
      <formula>"NG"</formula>
    </cfRule>
  </conditionalFormatting>
  <conditionalFormatting sqref="AC62:AD62">
    <cfRule type="cellIs" dxfId="188" priority="1" operator="equal">
      <formula>"OK"</formula>
    </cfRule>
    <cfRule type="cellIs" dxfId="187" priority="2" operator="equal">
      <formula>"NG"</formula>
    </cfRule>
  </conditionalFormatting>
  <dataValidations count="3">
    <dataValidation type="list" allowBlank="1" showInputMessage="1" showErrorMessage="1" sqref="AB3:AB135 AB137:AB228">
      <formula1>"OK,NG"</formula1>
    </dataValidation>
    <dataValidation type="list" allowBlank="1" showInputMessage="1" showErrorMessage="1" sqref="Q3:Q135 Q137:Q228">
      <formula1>"Yes,No"</formula1>
    </dataValidation>
    <dataValidation type="list" allowBlank="1" showInputMessage="1" showErrorMessage="1" sqref="W137:W228">
      <formula1>$C$23:$C$29</formula1>
    </dataValidation>
  </dataValidations>
  <pageMargins left="0.7" right="0.7" top="0.75" bottom="0.75" header="0.3" footer="0.3"/>
  <pageSetup orientation="portrait" r:id="rId8"/>
  <legacyDrawing r:id="rId9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3" operator="greaterThanOrEqual" id="{A2DBCDAC-112C-4EB1-9137-4C59CE189EE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4" operator="lessThan" id="{F93A1AC6-53A2-4404-902D-A62DCB6880F9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G232:G236</xm:sqref>
        </x14:conditionalFormatting>
        <x14:conditionalFormatting xmlns:xm="http://schemas.microsoft.com/office/excel/2006/main">
          <x14:cfRule type="cellIs" priority="45" operator="greaterThanOrEqual" id="{4226BAC8-183D-4343-90C4-3398666B9C5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6" operator="lessThan" id="{2C456F9B-0386-48E4-B7ED-E463A343237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G241:G244</xm:sqref>
        </x14:conditionalFormatting>
        <x14:conditionalFormatting xmlns:xm="http://schemas.microsoft.com/office/excel/2006/main">
          <x14:cfRule type="cellIs" priority="19" operator="greaterThanOrEqual" id="{295A6A3F-F994-4B6C-A607-5A8443DBFF9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858843E8-38DD-42D4-B994-580FF1BCC371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G250</xm:sqref>
        </x14:conditionalFormatting>
        <x14:conditionalFormatting xmlns:xm="http://schemas.microsoft.com/office/excel/2006/main">
          <x14:cfRule type="cellIs" priority="17" operator="greaterThanOrEqual" id="{7423DD3F-F692-45D2-B638-B8498558E064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8" operator="lessThan" id="{C98FBD78-0665-4EF0-B065-3593F40C10D2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G251</xm:sqref>
        </x14:conditionalFormatting>
        <x14:conditionalFormatting xmlns:xm="http://schemas.microsoft.com/office/excel/2006/main">
          <x14:cfRule type="cellIs" priority="15" operator="greaterThanOrEqual" id="{B69101F0-4D56-48E3-9D00-2F61DFFC752E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6" operator="lessThan" id="{B8B8AF2C-AC92-4273-9306-A80199DA507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G252</xm:sqref>
        </x14:conditionalFormatting>
        <x14:conditionalFormatting xmlns:xm="http://schemas.microsoft.com/office/excel/2006/main">
          <x14:cfRule type="cellIs" priority="13" operator="greaterThanOrEqual" id="{FCF9E5C5-62D2-4FD3-B63D-51B357ACCAA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4" operator="lessThan" id="{66609C48-DA99-444E-9A1A-A50F0C4E62D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G253</xm:sqref>
        </x14:conditionalFormatting>
        <x14:conditionalFormatting xmlns:xm="http://schemas.microsoft.com/office/excel/2006/main">
          <x14:cfRule type="cellIs" priority="11" operator="greaterThanOrEqual" id="{E9C19EB7-CC60-4A09-9A83-07808570EA29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2" operator="lessThan" id="{B9DA6053-4438-4E17-89B9-7BEE810111CC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G254</xm:sqref>
        </x14:conditionalFormatting>
        <x14:conditionalFormatting xmlns:xm="http://schemas.microsoft.com/office/excel/2006/main">
          <x14:cfRule type="cellIs" priority="9" operator="greaterThanOrEqual" id="{19CD7661-893A-4677-8290-16A39E3862DB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10" operator="lessThan" id="{484E22E6-AB59-44DB-A327-F56601C3BCA5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G245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>
          <x14:formula1>
            <xm:f>Table!$C$22:$C$28</xm:f>
          </x14:formula1>
          <xm:sqref>W3:W135</xm:sqref>
        </x14:dataValidation>
        <x14:dataValidation type="list" allowBlank="1" showInputMessage="1" showErrorMessage="1">
          <x14:formula1>
            <xm:f>Table!$C$13:$C$16</xm:f>
          </x14:formula1>
          <xm:sqref>R89:R102 O3:P88 O103:P135 P89:P102 O137:P228</xm:sqref>
        </x14:dataValidation>
        <x14:dataValidation type="list" allowBlank="1" showInputMessage="1" showErrorMessage="1">
          <x14:formula1>
            <xm:f>Table!$C$32:$C$33</xm:f>
          </x14:formula1>
          <xm:sqref>I3:I227</xm:sqref>
        </x14:dataValidation>
        <x14:dataValidation type="list" allowBlank="1" showInputMessage="1" showErrorMessage="1">
          <x14:formula1>
            <xm:f>Table!$C$8:$C$9</xm:f>
          </x14:formula1>
          <xm:sqref>D3:D228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"/>
  <sheetViews>
    <sheetView workbookViewId="0">
      <selection activeCell="C39" sqref="C39"/>
    </sheetView>
  </sheetViews>
  <sheetFormatPr defaultRowHeight="15" x14ac:dyDescent="0.25"/>
  <sheetData/>
  <customSheetViews>
    <customSheetView guid="{7E0EA425-A420-4443-B9E0-CDF0AA9E5D09}">
      <selection activeCell="C39" sqref="C39"/>
      <pageMargins left="0.7" right="0.7" top="0.75" bottom="0.75" header="0.3" footer="0.3"/>
    </customSheetView>
    <customSheetView guid="{4E06BDBF-2CED-473B-850B-2A6C7311FF41}">
      <selection activeCell="C39" sqref="C39"/>
      <pageMargins left="0.7" right="0.7" top="0.75" bottom="0.75" header="0.3" footer="0.3"/>
    </customSheetView>
    <customSheetView guid="{72A6EB0A-84D5-4B8A-AC51-54CCD061630B}">
      <selection activeCell="C39" sqref="C39"/>
      <pageMargins left="0.7" right="0.7" top="0.75" bottom="0.75" header="0.3" footer="0.3"/>
    </customSheetView>
    <customSheetView guid="{60D2C030-4E31-4E07-8E1C-44D2EE84B177}">
      <selection activeCell="C39" sqref="C39"/>
      <pageMargins left="0.7" right="0.7" top="0.75" bottom="0.75" header="0.3" footer="0.3"/>
    </customSheetView>
    <customSheetView guid="{D1F7047B-CC2E-48BC-8022-C8013AE2B1E1}">
      <selection activeCell="C39" sqref="C39"/>
      <pageMargins left="0.7" right="0.7" top="0.75" bottom="0.75" header="0.3" footer="0.3"/>
    </customSheetView>
    <customSheetView guid="{7ECC2B8E-6A82-42F5-8AB0-4A51C54EA5EC}">
      <selection activeCell="C39" sqref="C39"/>
      <pageMargins left="0.7" right="0.7" top="0.75" bottom="0.75" header="0.3" footer="0.3"/>
    </customSheetView>
    <customSheetView guid="{250915DF-0B97-45D7-B29D-7EED4C89C1C1}">
      <selection activeCell="K28" sqref="K28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O44"/>
  <sheetViews>
    <sheetView workbookViewId="0">
      <selection activeCell="D24" sqref="D24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  <col min="13" max="13" width="14.85546875" bestFit="1" customWidth="1"/>
    <col min="14" max="14" width="21.140625" bestFit="1" customWidth="1"/>
  </cols>
  <sheetData>
    <row r="1" spans="1:15" x14ac:dyDescent="0.25">
      <c r="A1" s="1" t="s">
        <v>42</v>
      </c>
      <c r="B1" s="112">
        <v>43892</v>
      </c>
      <c r="D1" s="112">
        <v>43921</v>
      </c>
    </row>
    <row r="2" spans="1:15" x14ac:dyDescent="0.25">
      <c r="A2" s="1" t="s">
        <v>30</v>
      </c>
      <c r="B2" s="9">
        <f>SUM(INT((WEEKDAY(B1-{2,3,4,5,6}) +D1-B1)/7))</f>
        <v>22</v>
      </c>
    </row>
    <row r="3" spans="1:15" x14ac:dyDescent="0.25">
      <c r="A3" s="1" t="s">
        <v>318</v>
      </c>
      <c r="B3">
        <f ca="1">IF(TODAY()&lt;D1,SUM(INT((WEEKDAY(B1-{2,3,4,5,6})+TODAY()-B1)/7)),SUM(INT((WEEKDAY(B1-{2,3,4,5,6})+D1-B1)/7)))-0.75</f>
        <v>21.25</v>
      </c>
    </row>
    <row r="5" spans="1:15" x14ac:dyDescent="0.25">
      <c r="B5" s="1" t="s">
        <v>34</v>
      </c>
      <c r="J5" s="1" t="s">
        <v>879</v>
      </c>
    </row>
    <row r="6" spans="1:15" ht="75" x14ac:dyDescent="0.25">
      <c r="C6" s="12" t="s">
        <v>25</v>
      </c>
      <c r="D6" s="12" t="s">
        <v>26</v>
      </c>
      <c r="E6" s="12" t="s">
        <v>27</v>
      </c>
      <c r="F6" s="12" t="s">
        <v>28</v>
      </c>
      <c r="G6" s="13" t="s">
        <v>29</v>
      </c>
      <c r="K6" s="164" t="s">
        <v>25</v>
      </c>
      <c r="L6" s="164" t="s">
        <v>26</v>
      </c>
      <c r="M6" s="164" t="s">
        <v>27</v>
      </c>
      <c r="N6" s="164" t="s">
        <v>28</v>
      </c>
      <c r="O6" s="13" t="s">
        <v>29</v>
      </c>
    </row>
    <row r="7" spans="1:15" x14ac:dyDescent="0.25">
      <c r="C7" s="10">
        <v>1</v>
      </c>
      <c r="D7" s="11" t="s">
        <v>3</v>
      </c>
      <c r="E7" s="11">
        <f>COEM_Package_20200302!D245</f>
        <v>38531</v>
      </c>
      <c r="F7" s="11">
        <f>COEM_Package_20200302!E245</f>
        <v>38487</v>
      </c>
      <c r="G7" s="116">
        <f>F7/E7</f>
        <v>0.99885806233941499</v>
      </c>
      <c r="K7" s="10">
        <v>1</v>
      </c>
      <c r="L7" s="11" t="s">
        <v>3</v>
      </c>
      <c r="M7" s="11">
        <f>COEM_Package_20200302!D245+COEM_Package_20200401!D261</f>
        <v>77299</v>
      </c>
      <c r="N7" s="11">
        <f>COEM_Package_20200302!E245+COEM_Package_20200401!E261</f>
        <v>71997</v>
      </c>
      <c r="O7" s="170">
        <f>N7/M7</f>
        <v>0.93140920322384502</v>
      </c>
    </row>
    <row r="8" spans="1:15" x14ac:dyDescent="0.25">
      <c r="C8" s="10">
        <v>2</v>
      </c>
      <c r="D8" s="11" t="s">
        <v>2</v>
      </c>
      <c r="E8" s="11">
        <f>COEM_Package_20200302!D236</f>
        <v>782</v>
      </c>
      <c r="F8" s="11">
        <f>COEM_Package_20200302!E236</f>
        <v>748</v>
      </c>
      <c r="G8" s="116">
        <f>F8/E8</f>
        <v>0.95652173913043481</v>
      </c>
      <c r="K8" s="10">
        <v>2</v>
      </c>
      <c r="L8" s="11" t="s">
        <v>2</v>
      </c>
      <c r="M8" s="11">
        <f>COEM_Package_20200302!D236+COEM_Package_20200401!D250</f>
        <v>1203</v>
      </c>
      <c r="N8" s="11">
        <f>COEM_Package_20200302!E236+COEM_Package_20200401!E250</f>
        <v>1067</v>
      </c>
      <c r="O8" s="171">
        <f>N8/M8</f>
        <v>0.88694929343308393</v>
      </c>
    </row>
    <row r="10" spans="1:15" x14ac:dyDescent="0.25">
      <c r="B10" s="1" t="s">
        <v>35</v>
      </c>
      <c r="J10" s="1" t="s">
        <v>880</v>
      </c>
    </row>
    <row r="11" spans="1:15" ht="30" x14ac:dyDescent="0.25">
      <c r="C11" s="108" t="s">
        <v>25</v>
      </c>
      <c r="D11" s="108" t="s">
        <v>31</v>
      </c>
      <c r="E11" s="13" t="s">
        <v>32</v>
      </c>
      <c r="F11" s="13" t="s">
        <v>33</v>
      </c>
      <c r="K11" s="164" t="s">
        <v>25</v>
      </c>
      <c r="L11" s="164" t="s">
        <v>31</v>
      </c>
      <c r="M11" s="13" t="s">
        <v>32</v>
      </c>
      <c r="N11" s="13" t="s">
        <v>33</v>
      </c>
    </row>
    <row r="12" spans="1:15" x14ac:dyDescent="0.25">
      <c r="C12" s="7">
        <v>1</v>
      </c>
      <c r="D12" s="7" t="s">
        <v>464</v>
      </c>
      <c r="E12" s="11">
        <f>COEM_Package_20200302!E241</f>
        <v>8901</v>
      </c>
      <c r="F12" s="11">
        <f>COEM_Package_20200302!E232</f>
        <v>424</v>
      </c>
      <c r="K12" s="109">
        <v>1</v>
      </c>
      <c r="L12" s="109" t="s">
        <v>464</v>
      </c>
      <c r="M12" s="11">
        <f>COEM_Package_20200302!E241+COEM_Package_20200401!E255</f>
        <v>15583</v>
      </c>
      <c r="N12" s="11">
        <f>COEM_Package_20200302!E232+COEM_Package_20200401!E246</f>
        <v>623</v>
      </c>
    </row>
    <row r="13" spans="1:15" x14ac:dyDescent="0.25">
      <c r="C13" s="7">
        <v>2</v>
      </c>
      <c r="D13" s="61" t="s">
        <v>465</v>
      </c>
      <c r="E13" s="11">
        <f>COEM_Package_20200302!E242</f>
        <v>9356</v>
      </c>
      <c r="F13" s="11">
        <f>COEM_Package_20200302!E233</f>
        <v>194</v>
      </c>
      <c r="K13" s="109">
        <v>2</v>
      </c>
      <c r="L13" s="109" t="s">
        <v>465</v>
      </c>
      <c r="M13" s="11">
        <f>COEM_Package_20200302!E242+COEM_Package_20200401!E256</f>
        <v>19259</v>
      </c>
      <c r="N13" s="11">
        <f>COEM_Package_20200302!E233+COEM_Package_20200401!E247</f>
        <v>194</v>
      </c>
    </row>
    <row r="14" spans="1:15" x14ac:dyDescent="0.25">
      <c r="C14" s="61">
        <v>3</v>
      </c>
      <c r="D14" s="61" t="s">
        <v>466</v>
      </c>
      <c r="E14" s="11">
        <f>COEM_Package_20200302!E243</f>
        <v>9248</v>
      </c>
      <c r="F14" s="11">
        <f>COEM_Package_20200302!E234</f>
        <v>87</v>
      </c>
      <c r="K14" s="109">
        <v>3</v>
      </c>
      <c r="L14" s="109" t="s">
        <v>466</v>
      </c>
      <c r="M14" s="11">
        <f>COEM_Package_20200302!E243+COEM_Package_20200401!E257</f>
        <v>18153</v>
      </c>
      <c r="N14" s="11">
        <f>COEM_Package_20200302!E234+COEM_Package_20200401!E248</f>
        <v>207</v>
      </c>
    </row>
    <row r="15" spans="1:15" x14ac:dyDescent="0.25">
      <c r="C15" s="61">
        <v>4</v>
      </c>
      <c r="D15" s="61" t="s">
        <v>467</v>
      </c>
      <c r="E15" s="11">
        <f>COEM_Package_20200302!E244</f>
        <v>10982</v>
      </c>
      <c r="F15" s="11">
        <f>COEM_Package_20200302!D235</f>
        <v>43</v>
      </c>
      <c r="K15" s="109">
        <v>4</v>
      </c>
      <c r="L15" s="109" t="s">
        <v>467</v>
      </c>
      <c r="M15" s="11">
        <f>COEM_Package_20200302!E244+COEM_Package_20200401!E258</f>
        <v>19002</v>
      </c>
      <c r="N15" s="11">
        <f>COEM_Package_20200302!E235+COEM_Package_20200401!E249</f>
        <v>43</v>
      </c>
    </row>
    <row r="16" spans="1:15" x14ac:dyDescent="0.25">
      <c r="C16" s="66"/>
      <c r="D16" s="66"/>
      <c r="E16" s="67"/>
      <c r="F16" s="67"/>
    </row>
    <row r="18" spans="2:15" x14ac:dyDescent="0.25">
      <c r="B18" s="1" t="s">
        <v>36</v>
      </c>
      <c r="J18" s="1" t="s">
        <v>36</v>
      </c>
    </row>
    <row r="19" spans="2:15" ht="30" customHeight="1" x14ac:dyDescent="0.25">
      <c r="C19" s="108" t="s">
        <v>25</v>
      </c>
      <c r="D19" s="216" t="s">
        <v>37</v>
      </c>
      <c r="E19" s="217"/>
      <c r="F19" s="217"/>
      <c r="G19" s="218"/>
      <c r="K19" s="164" t="s">
        <v>25</v>
      </c>
      <c r="L19" s="161" t="s">
        <v>37</v>
      </c>
      <c r="M19" s="162"/>
      <c r="N19" s="162"/>
      <c r="O19" s="163"/>
    </row>
    <row r="20" spans="2:15" x14ac:dyDescent="0.25">
      <c r="C20" s="109">
        <v>1</v>
      </c>
      <c r="D20" s="113" t="s">
        <v>742</v>
      </c>
      <c r="E20" s="114"/>
      <c r="F20" s="114"/>
      <c r="G20" s="115"/>
      <c r="K20" s="109">
        <v>1</v>
      </c>
      <c r="L20" s="113" t="s">
        <v>878</v>
      </c>
      <c r="M20" s="114"/>
      <c r="N20" s="114"/>
      <c r="O20" s="115"/>
    </row>
    <row r="22" spans="2:15" x14ac:dyDescent="0.25">
      <c r="B22" s="1" t="s">
        <v>38</v>
      </c>
      <c r="J22" s="1" t="s">
        <v>38</v>
      </c>
    </row>
    <row r="23" spans="2:15" ht="30" customHeight="1" x14ac:dyDescent="0.25">
      <c r="C23" s="103" t="s">
        <v>25</v>
      </c>
      <c r="D23" s="103" t="s">
        <v>31</v>
      </c>
      <c r="E23" s="13" t="s">
        <v>455</v>
      </c>
      <c r="F23" s="13" t="s">
        <v>456</v>
      </c>
      <c r="K23" s="164" t="s">
        <v>25</v>
      </c>
      <c r="L23" s="164" t="s">
        <v>31</v>
      </c>
      <c r="M23" s="13" t="s">
        <v>455</v>
      </c>
      <c r="N23" s="13" t="s">
        <v>456</v>
      </c>
    </row>
    <row r="24" spans="2:15" x14ac:dyDescent="0.25">
      <c r="C24" s="104">
        <v>1</v>
      </c>
      <c r="D24" s="104" t="s">
        <v>464</v>
      </c>
      <c r="E24" s="68">
        <v>7</v>
      </c>
      <c r="F24" s="11">
        <v>1</v>
      </c>
      <c r="K24" s="109">
        <v>1</v>
      </c>
      <c r="L24" s="109" t="s">
        <v>464</v>
      </c>
      <c r="M24" s="68">
        <v>7</v>
      </c>
      <c r="N24" s="11">
        <v>1</v>
      </c>
    </row>
    <row r="25" spans="2:15" x14ac:dyDescent="0.25">
      <c r="C25" s="104">
        <v>2</v>
      </c>
      <c r="D25" s="104" t="s">
        <v>465</v>
      </c>
      <c r="E25" s="68">
        <v>9</v>
      </c>
      <c r="F25" s="11">
        <v>0</v>
      </c>
      <c r="K25" s="109">
        <v>2</v>
      </c>
      <c r="L25" s="109" t="s">
        <v>465</v>
      </c>
      <c r="M25" s="68">
        <v>10</v>
      </c>
      <c r="N25" s="11">
        <v>0</v>
      </c>
    </row>
    <row r="26" spans="2:15" x14ac:dyDescent="0.25">
      <c r="C26" s="104">
        <v>3</v>
      </c>
      <c r="D26" s="104" t="s">
        <v>466</v>
      </c>
      <c r="E26" s="11">
        <v>6</v>
      </c>
      <c r="F26" s="68">
        <v>0</v>
      </c>
      <c r="K26" s="109">
        <v>3</v>
      </c>
      <c r="L26" s="109" t="s">
        <v>466</v>
      </c>
      <c r="M26" s="11">
        <v>6</v>
      </c>
      <c r="N26" s="68">
        <v>0</v>
      </c>
    </row>
    <row r="27" spans="2:15" x14ac:dyDescent="0.25">
      <c r="C27" s="104">
        <v>4</v>
      </c>
      <c r="D27" s="104" t="s">
        <v>467</v>
      </c>
      <c r="E27" s="11">
        <v>8</v>
      </c>
      <c r="F27" s="11">
        <v>1</v>
      </c>
      <c r="K27" s="109">
        <v>4</v>
      </c>
      <c r="L27" s="109" t="s">
        <v>467</v>
      </c>
      <c r="M27" s="11">
        <v>8</v>
      </c>
      <c r="N27" s="11">
        <v>1</v>
      </c>
    </row>
    <row r="28" spans="2:15" x14ac:dyDescent="0.25">
      <c r="C28" s="66"/>
      <c r="D28" s="66"/>
      <c r="E28" s="66"/>
      <c r="F28" s="66"/>
      <c r="G28" s="66"/>
      <c r="K28" s="66"/>
      <c r="L28" s="66"/>
      <c r="M28" s="66"/>
      <c r="N28" s="66"/>
      <c r="O28" s="66"/>
    </row>
    <row r="30" spans="2:15" x14ac:dyDescent="0.25">
      <c r="B30" s="1" t="s">
        <v>677</v>
      </c>
      <c r="J30" s="1" t="s">
        <v>677</v>
      </c>
    </row>
    <row r="31" spans="2:15" x14ac:dyDescent="0.25">
      <c r="C31" s="12" t="s">
        <v>25</v>
      </c>
      <c r="D31" s="12" t="s">
        <v>31</v>
      </c>
      <c r="E31" s="13" t="s">
        <v>40</v>
      </c>
      <c r="F31" s="13" t="s">
        <v>41</v>
      </c>
      <c r="K31" s="164" t="s">
        <v>25</v>
      </c>
      <c r="L31" s="164" t="s">
        <v>31</v>
      </c>
      <c r="M31" s="13" t="s">
        <v>40</v>
      </c>
      <c r="N31" s="13" t="s">
        <v>41</v>
      </c>
    </row>
    <row r="32" spans="2:15" x14ac:dyDescent="0.25">
      <c r="C32" s="7">
        <v>1</v>
      </c>
      <c r="D32" s="61" t="s">
        <v>464</v>
      </c>
      <c r="E32" s="68" t="s">
        <v>76</v>
      </c>
      <c r="F32" s="107" t="s">
        <v>76</v>
      </c>
      <c r="K32" s="109">
        <v>1</v>
      </c>
      <c r="L32" s="109" t="s">
        <v>464</v>
      </c>
      <c r="M32" s="68" t="s">
        <v>76</v>
      </c>
      <c r="N32" s="107" t="s">
        <v>76</v>
      </c>
    </row>
    <row r="33" spans="2:14" x14ac:dyDescent="0.25">
      <c r="C33" s="61">
        <v>2</v>
      </c>
      <c r="D33" s="61" t="s">
        <v>465</v>
      </c>
      <c r="E33" s="68">
        <v>1</v>
      </c>
      <c r="F33" s="107" t="s">
        <v>675</v>
      </c>
      <c r="K33" s="109">
        <v>2</v>
      </c>
      <c r="L33" s="109" t="s">
        <v>465</v>
      </c>
      <c r="M33" s="68">
        <v>1</v>
      </c>
      <c r="N33" s="107" t="s">
        <v>877</v>
      </c>
    </row>
    <row r="34" spans="2:14" x14ac:dyDescent="0.25">
      <c r="C34" s="61">
        <v>3</v>
      </c>
      <c r="D34" s="61" t="s">
        <v>466</v>
      </c>
      <c r="E34" s="11">
        <v>1</v>
      </c>
      <c r="F34" s="107" t="s">
        <v>461</v>
      </c>
      <c r="K34" s="109">
        <v>3</v>
      </c>
      <c r="L34" s="109" t="s">
        <v>466</v>
      </c>
      <c r="M34" s="11">
        <v>1</v>
      </c>
      <c r="N34" s="107" t="s">
        <v>461</v>
      </c>
    </row>
    <row r="35" spans="2:14" x14ac:dyDescent="0.25">
      <c r="C35" s="61">
        <v>4</v>
      </c>
      <c r="D35" s="61" t="s">
        <v>467</v>
      </c>
      <c r="E35" s="11" t="s">
        <v>76</v>
      </c>
      <c r="F35" s="61" t="s">
        <v>76</v>
      </c>
      <c r="K35" s="109">
        <v>4</v>
      </c>
      <c r="L35" s="109" t="s">
        <v>467</v>
      </c>
      <c r="M35" s="11">
        <v>1</v>
      </c>
      <c r="N35" s="107" t="s">
        <v>876</v>
      </c>
    </row>
    <row r="36" spans="2:14" x14ac:dyDescent="0.25">
      <c r="C36" s="66"/>
      <c r="D36" s="66"/>
      <c r="E36" s="67"/>
      <c r="F36" s="66"/>
    </row>
    <row r="38" spans="2:14" x14ac:dyDescent="0.25">
      <c r="B38" s="1" t="s">
        <v>43</v>
      </c>
    </row>
    <row r="39" spans="2:14" x14ac:dyDescent="0.25">
      <c r="C39" s="1" t="s">
        <v>46</v>
      </c>
    </row>
    <row r="40" spans="2:14" x14ac:dyDescent="0.25">
      <c r="D40" t="s">
        <v>44</v>
      </c>
    </row>
    <row r="41" spans="2:14" x14ac:dyDescent="0.25">
      <c r="D41" t="s">
        <v>45</v>
      </c>
    </row>
    <row r="42" spans="2:14" x14ac:dyDescent="0.25">
      <c r="C42" s="1" t="s">
        <v>47</v>
      </c>
    </row>
    <row r="43" spans="2:14" x14ac:dyDescent="0.25">
      <c r="D43" t="s">
        <v>48</v>
      </c>
    </row>
    <row r="44" spans="2:14" x14ac:dyDescent="0.25">
      <c r="D44" t="s">
        <v>49</v>
      </c>
    </row>
  </sheetData>
  <customSheetViews>
    <customSheetView guid="{7E0EA425-A420-4443-B9E0-CDF0AA9E5D09}">
      <selection activeCell="D24" sqref="D24"/>
      <pageMargins left="0.7" right="0.7" top="0.75" bottom="0.75" header="0.3" footer="0.3"/>
    </customSheetView>
    <customSheetView guid="{4E06BDBF-2CED-473B-850B-2A6C7311FF41}">
      <selection activeCell="A21" sqref="A21:XFD21"/>
      <pageMargins left="0.7" right="0.7" top="0.75" bottom="0.75" header="0.3" footer="0.3"/>
    </customSheetView>
    <customSheetView guid="{72A6EB0A-84D5-4B8A-AC51-54CCD061630B}">
      <selection activeCell="E28" sqref="E28"/>
      <pageMargins left="0.7" right="0.7" top="0.75" bottom="0.75" header="0.3" footer="0.3"/>
    </customSheetView>
    <customSheetView guid="{60D2C030-4E31-4E07-8E1C-44D2EE84B177}" topLeftCell="A16">
      <selection activeCell="D6" sqref="D6"/>
      <pageMargins left="0.7" right="0.7" top="0.75" bottom="0.75" header="0.3" footer="0.3"/>
    </customSheetView>
    <customSheetView guid="{D1F7047B-CC2E-48BC-8022-C8013AE2B1E1}">
      <selection activeCell="E28" sqref="E28"/>
      <pageMargins left="0.7" right="0.7" top="0.75" bottom="0.75" header="0.3" footer="0.3"/>
    </customSheetView>
    <customSheetView guid="{7ECC2B8E-6A82-42F5-8AB0-4A51C54EA5EC}">
      <selection activeCell="H33" sqref="H33"/>
      <pageMargins left="0.7" right="0.7" top="0.75" bottom="0.75" header="0.3" footer="0.3"/>
    </customSheetView>
    <customSheetView guid="{250915DF-0B97-45D7-B29D-7EED4C89C1C1}">
      <selection sqref="A1:G47"/>
      <pageMargins left="0.7" right="0.7" top="0.75" bottom="0.75" header="0.3" footer="0.3"/>
      <pageSetup orientation="portrait" r:id="rId1"/>
    </customSheetView>
  </customSheetViews>
  <mergeCells count="1">
    <mergeCell ref="D19:G19"/>
  </mergeCells>
  <conditionalFormatting sqref="G7">
    <cfRule type="cellIs" dxfId="170" priority="3" operator="equal">
      <formula>1</formula>
    </cfRule>
    <cfRule type="cellIs" dxfId="169" priority="4" operator="lessThan">
      <formula>1</formula>
    </cfRule>
  </conditionalFormatting>
  <conditionalFormatting sqref="G8">
    <cfRule type="cellIs" dxfId="168" priority="1" operator="equal">
      <formula>1</formula>
    </cfRule>
    <cfRule type="cellIs" dxfId="167" priority="2" operator="lessThan">
      <formula>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2:AJ286"/>
  <sheetViews>
    <sheetView tabSelected="1" topLeftCell="D12" zoomScale="85" zoomScaleNormal="85" workbookViewId="0">
      <selection activeCell="F174" sqref="F174"/>
    </sheetView>
  </sheetViews>
  <sheetFormatPr defaultRowHeight="15" x14ac:dyDescent="0.25"/>
  <cols>
    <col min="3" max="3" width="17.85546875" bestFit="1" customWidth="1"/>
    <col min="4" max="4" width="17.42578125" customWidth="1"/>
    <col min="5" max="5" width="53.5703125" bestFit="1" customWidth="1"/>
    <col min="6" max="6" width="49.5703125" customWidth="1"/>
    <col min="7" max="7" width="22.7109375" customWidth="1"/>
    <col min="8" max="8" width="52.5703125" customWidth="1"/>
    <col min="9" max="9" width="16.85546875" customWidth="1"/>
    <col min="10" max="10" width="18.140625" style="147" customWidth="1"/>
    <col min="11" max="11" width="58.85546875" bestFit="1" customWidth="1"/>
    <col min="12" max="12" width="13.140625" customWidth="1"/>
    <col min="13" max="13" width="66.28515625" bestFit="1" customWidth="1"/>
    <col min="14" max="14" width="8.28515625" style="46" customWidth="1"/>
    <col min="15" max="15" width="23.7109375" customWidth="1"/>
    <col min="16" max="16" width="17.85546875" hidden="1" customWidth="1"/>
    <col min="17" max="17" width="13.5703125" hidden="1" customWidth="1"/>
    <col min="18" max="18" width="14" customWidth="1"/>
    <col min="19" max="19" width="22.7109375" bestFit="1" customWidth="1"/>
    <col min="20" max="20" width="12.85546875" customWidth="1"/>
    <col min="21" max="21" width="19.42578125" customWidth="1"/>
    <col min="22" max="22" width="11.140625" customWidth="1"/>
    <col min="23" max="23" width="16.42578125" bestFit="1" customWidth="1"/>
    <col min="24" max="24" width="12.85546875" bestFit="1" customWidth="1"/>
    <col min="25" max="25" width="12" bestFit="1" customWidth="1"/>
    <col min="26" max="27" width="12.140625" bestFit="1" customWidth="1"/>
    <col min="28" max="28" width="12.42578125" bestFit="1" customWidth="1"/>
    <col min="29" max="29" width="5" bestFit="1" customWidth="1"/>
    <col min="30" max="30" width="4" bestFit="1" customWidth="1"/>
    <col min="31" max="31" width="6.42578125" bestFit="1" customWidth="1"/>
    <col min="32" max="32" width="11.140625" bestFit="1" customWidth="1"/>
    <col min="33" max="33" width="108.5703125" bestFit="1" customWidth="1"/>
    <col min="34" max="34" width="102" bestFit="1" customWidth="1"/>
    <col min="35" max="35" width="39.85546875" customWidth="1"/>
  </cols>
  <sheetData>
    <row r="2" spans="1:34" x14ac:dyDescent="0.25">
      <c r="B2" s="2" t="s">
        <v>0</v>
      </c>
      <c r="C2" s="2" t="s">
        <v>81</v>
      </c>
      <c r="D2" s="2" t="s">
        <v>1</v>
      </c>
      <c r="E2" s="2" t="s">
        <v>62</v>
      </c>
      <c r="F2" s="2" t="s">
        <v>63</v>
      </c>
      <c r="G2" s="2" t="s">
        <v>64</v>
      </c>
      <c r="H2" s="2" t="s">
        <v>65</v>
      </c>
      <c r="I2" s="2" t="s">
        <v>192</v>
      </c>
      <c r="J2" s="145" t="s">
        <v>764</v>
      </c>
      <c r="K2" s="2" t="s">
        <v>88</v>
      </c>
      <c r="L2" s="2" t="s">
        <v>747</v>
      </c>
      <c r="M2" s="2" t="s">
        <v>164</v>
      </c>
      <c r="N2" s="4" t="s">
        <v>60</v>
      </c>
      <c r="O2" s="4" t="s">
        <v>7</v>
      </c>
      <c r="P2" s="4" t="s">
        <v>162</v>
      </c>
      <c r="Q2" s="4" t="s">
        <v>176</v>
      </c>
      <c r="R2" s="4" t="s">
        <v>152</v>
      </c>
      <c r="S2" s="4" t="s">
        <v>785</v>
      </c>
      <c r="T2" s="4" t="s">
        <v>58</v>
      </c>
      <c r="U2" s="4" t="s">
        <v>163</v>
      </c>
      <c r="V2" s="4" t="s">
        <v>59</v>
      </c>
      <c r="W2" s="4" t="s">
        <v>17</v>
      </c>
      <c r="X2" s="4" t="s">
        <v>74</v>
      </c>
      <c r="Y2" s="4" t="s">
        <v>75</v>
      </c>
      <c r="Z2" s="2" t="s">
        <v>11</v>
      </c>
      <c r="AA2" s="2" t="s">
        <v>12</v>
      </c>
      <c r="AB2" s="2" t="s">
        <v>156</v>
      </c>
      <c r="AC2" s="2" t="s">
        <v>13</v>
      </c>
      <c r="AD2" s="2" t="s">
        <v>14</v>
      </c>
      <c r="AE2" s="4" t="s">
        <v>15</v>
      </c>
      <c r="AF2" s="4" t="s">
        <v>791</v>
      </c>
      <c r="AG2" s="4" t="s">
        <v>16</v>
      </c>
      <c r="AH2" s="4" t="s">
        <v>165</v>
      </c>
    </row>
    <row r="3" spans="1:34" x14ac:dyDescent="0.25">
      <c r="B3" s="24">
        <v>1</v>
      </c>
      <c r="C3" s="26">
        <v>20200326</v>
      </c>
      <c r="D3" s="24" t="s">
        <v>2</v>
      </c>
      <c r="E3" s="24" t="s">
        <v>311</v>
      </c>
      <c r="F3" s="111" t="s">
        <v>76</v>
      </c>
      <c r="G3" s="24">
        <v>1390416</v>
      </c>
      <c r="H3" s="24" t="s">
        <v>314</v>
      </c>
      <c r="I3" s="27" t="s">
        <v>76</v>
      </c>
      <c r="J3" s="27" t="s">
        <v>76</v>
      </c>
      <c r="K3" s="24" t="s">
        <v>755</v>
      </c>
      <c r="L3" s="27">
        <v>1.2</v>
      </c>
      <c r="M3" s="27" t="s">
        <v>76</v>
      </c>
      <c r="N3" s="26" t="s">
        <v>765</v>
      </c>
      <c r="O3" s="24" t="s">
        <v>82</v>
      </c>
      <c r="P3" s="24"/>
      <c r="Q3" s="24"/>
      <c r="R3" s="24">
        <v>61</v>
      </c>
      <c r="S3" s="24">
        <f>R3</f>
        <v>61</v>
      </c>
      <c r="T3" s="24">
        <f>S3</f>
        <v>61</v>
      </c>
      <c r="U3" s="24">
        <f>ROUNDDOWN(S3/HLOOKUP(D3,Table!$C$3:$D$4,2,0)*8,2)</f>
        <v>3.75</v>
      </c>
      <c r="V3" s="24">
        <v>3</v>
      </c>
      <c r="W3" s="24" t="s">
        <v>105</v>
      </c>
      <c r="X3" s="28">
        <v>43922</v>
      </c>
      <c r="Y3" s="28">
        <v>43922</v>
      </c>
      <c r="Z3" s="28">
        <v>43922</v>
      </c>
      <c r="AA3" s="28">
        <v>43922</v>
      </c>
      <c r="AB3" s="32" t="s">
        <v>158</v>
      </c>
      <c r="AC3" s="32">
        <v>100</v>
      </c>
      <c r="AD3" s="32">
        <v>100</v>
      </c>
      <c r="AE3" s="32">
        <v>100</v>
      </c>
      <c r="AF3" s="32" t="s">
        <v>20</v>
      </c>
      <c r="AG3" s="27" t="s">
        <v>76</v>
      </c>
      <c r="AH3" s="27" t="s">
        <v>794</v>
      </c>
    </row>
    <row r="4" spans="1:34" x14ac:dyDescent="0.25">
      <c r="B4" s="24">
        <v>2</v>
      </c>
      <c r="C4" s="26">
        <v>20200323</v>
      </c>
      <c r="D4" s="24" t="s">
        <v>2</v>
      </c>
      <c r="E4" s="24" t="s">
        <v>802</v>
      </c>
      <c r="F4" s="207" t="s">
        <v>76</v>
      </c>
      <c r="G4" s="24">
        <v>1369164</v>
      </c>
      <c r="H4" s="24" t="s">
        <v>1258</v>
      </c>
      <c r="I4" s="27" t="s">
        <v>76</v>
      </c>
      <c r="J4" s="27" t="s">
        <v>76</v>
      </c>
      <c r="K4" s="203" t="s">
        <v>1263</v>
      </c>
      <c r="L4" s="209" t="s">
        <v>1260</v>
      </c>
      <c r="M4" s="209" t="s">
        <v>1262</v>
      </c>
      <c r="N4" s="206" t="s">
        <v>766</v>
      </c>
      <c r="O4" s="197" t="s">
        <v>84</v>
      </c>
      <c r="P4" s="208"/>
      <c r="Q4" s="208"/>
      <c r="R4" s="24">
        <v>98</v>
      </c>
      <c r="S4" s="24">
        <v>98</v>
      </c>
      <c r="T4" s="24">
        <v>98</v>
      </c>
      <c r="U4" s="24">
        <f>ROUNDDOWN(S4/HLOOKUP(D4,Table!$C$3:$D$4,2,0)*8,2)</f>
        <v>6.03</v>
      </c>
      <c r="V4" s="24">
        <v>6</v>
      </c>
      <c r="W4" s="24" t="s">
        <v>105</v>
      </c>
      <c r="X4" s="28">
        <v>43931</v>
      </c>
      <c r="Y4" s="28">
        <v>43934</v>
      </c>
      <c r="Z4" s="28">
        <v>43931</v>
      </c>
      <c r="AA4" s="28">
        <v>43934</v>
      </c>
      <c r="AB4" s="32" t="s">
        <v>158</v>
      </c>
      <c r="AC4" s="32">
        <v>100</v>
      </c>
      <c r="AD4" s="32">
        <v>100</v>
      </c>
      <c r="AE4" s="32">
        <v>100</v>
      </c>
      <c r="AF4" s="32" t="s">
        <v>20</v>
      </c>
      <c r="AG4" s="27" t="s">
        <v>76</v>
      </c>
      <c r="AH4" s="27" t="s">
        <v>76</v>
      </c>
    </row>
    <row r="5" spans="1:34" x14ac:dyDescent="0.25">
      <c r="B5" s="24">
        <v>3</v>
      </c>
      <c r="C5" s="26">
        <v>20200323</v>
      </c>
      <c r="D5" s="24" t="s">
        <v>2</v>
      </c>
      <c r="E5" s="24" t="s">
        <v>802</v>
      </c>
      <c r="F5" s="207" t="s">
        <v>76</v>
      </c>
      <c r="G5" s="24">
        <v>1369164</v>
      </c>
      <c r="H5" s="24" t="s">
        <v>1259</v>
      </c>
      <c r="I5" s="27" t="s">
        <v>76</v>
      </c>
      <c r="J5" s="27" t="s">
        <v>76</v>
      </c>
      <c r="K5" s="203" t="s">
        <v>1263</v>
      </c>
      <c r="L5" s="209" t="s">
        <v>1261</v>
      </c>
      <c r="M5" s="209" t="s">
        <v>1262</v>
      </c>
      <c r="N5" s="206" t="s">
        <v>767</v>
      </c>
      <c r="O5" s="24" t="s">
        <v>82</v>
      </c>
      <c r="P5" s="208"/>
      <c r="Q5" s="208"/>
      <c r="R5" s="24">
        <v>98</v>
      </c>
      <c r="S5" s="24">
        <v>98</v>
      </c>
      <c r="T5" s="24">
        <v>98</v>
      </c>
      <c r="U5" s="24">
        <f>ROUNDDOWN(S5/HLOOKUP(D5,Table!$C$3:$D$4,2,0)*8,2)</f>
        <v>6.03</v>
      </c>
      <c r="V5" s="24">
        <v>6</v>
      </c>
      <c r="W5" s="24" t="s">
        <v>105</v>
      </c>
      <c r="X5" s="28">
        <v>43931</v>
      </c>
      <c r="Y5" s="28">
        <v>43934</v>
      </c>
      <c r="Z5" s="28">
        <v>43931</v>
      </c>
      <c r="AA5" s="28">
        <v>43934</v>
      </c>
      <c r="AB5" s="32" t="s">
        <v>158</v>
      </c>
      <c r="AC5" s="32">
        <v>100</v>
      </c>
      <c r="AD5" s="32">
        <v>100</v>
      </c>
      <c r="AE5" s="32">
        <v>100</v>
      </c>
      <c r="AF5" s="32" t="s">
        <v>20</v>
      </c>
      <c r="AG5" s="27" t="s">
        <v>76</v>
      </c>
      <c r="AH5" s="27" t="s">
        <v>76</v>
      </c>
    </row>
    <row r="6" spans="1:34" s="19" customFormat="1" x14ac:dyDescent="0.2">
      <c r="B6" s="149">
        <f t="shared" ref="B6:B69" si="0">B5+1</f>
        <v>4</v>
      </c>
      <c r="C6" s="26">
        <v>20200330</v>
      </c>
      <c r="D6" s="32" t="s">
        <v>3</v>
      </c>
      <c r="E6" s="32" t="s">
        <v>94</v>
      </c>
      <c r="F6" s="32" t="s">
        <v>1295</v>
      </c>
      <c r="G6" s="24">
        <v>1394540</v>
      </c>
      <c r="H6" s="190" t="s">
        <v>660</v>
      </c>
      <c r="I6" s="24" t="s">
        <v>193</v>
      </c>
      <c r="J6" s="27" t="s">
        <v>76</v>
      </c>
      <c r="K6" s="24" t="s">
        <v>102</v>
      </c>
      <c r="L6" s="27" t="s">
        <v>76</v>
      </c>
      <c r="M6" s="27" t="s">
        <v>784</v>
      </c>
      <c r="N6" s="26" t="s">
        <v>768</v>
      </c>
      <c r="O6" s="32" t="s">
        <v>83</v>
      </c>
      <c r="P6" s="32"/>
      <c r="Q6" s="24"/>
      <c r="R6" s="24">
        <v>65</v>
      </c>
      <c r="S6" s="25">
        <f>R6+215-65</f>
        <v>215</v>
      </c>
      <c r="T6" s="32">
        <f>S6</f>
        <v>215</v>
      </c>
      <c r="U6" s="24">
        <f>ROUNDDOWN(S6/HLOOKUP(D6,Table!$C$3:$D$4,2,0)*8,2)</f>
        <v>3.82</v>
      </c>
      <c r="V6" s="32">
        <v>2</v>
      </c>
      <c r="W6" s="24" t="s">
        <v>105</v>
      </c>
      <c r="X6" s="91">
        <v>43921</v>
      </c>
      <c r="Y6" s="28">
        <v>43927</v>
      </c>
      <c r="Z6" s="22">
        <v>43921</v>
      </c>
      <c r="AA6" s="92">
        <v>43921</v>
      </c>
      <c r="AB6" s="32" t="s">
        <v>158</v>
      </c>
      <c r="AC6" s="32">
        <v>100</v>
      </c>
      <c r="AD6" s="32">
        <v>100</v>
      </c>
      <c r="AE6" s="32">
        <v>100</v>
      </c>
      <c r="AF6" s="32" t="s">
        <v>20</v>
      </c>
      <c r="AG6" s="27" t="s">
        <v>76</v>
      </c>
      <c r="AH6" s="27" t="s">
        <v>76</v>
      </c>
    </row>
    <row r="7" spans="1:34" x14ac:dyDescent="0.25">
      <c r="B7" s="149">
        <f t="shared" si="0"/>
        <v>5</v>
      </c>
      <c r="C7" s="26">
        <v>20200330</v>
      </c>
      <c r="D7" s="32" t="s">
        <v>3</v>
      </c>
      <c r="E7" s="24" t="s">
        <v>94</v>
      </c>
      <c r="F7" s="24" t="s">
        <v>1296</v>
      </c>
      <c r="G7" s="24">
        <v>1394540</v>
      </c>
      <c r="H7" s="26" t="s">
        <v>391</v>
      </c>
      <c r="I7" s="24" t="s">
        <v>193</v>
      </c>
      <c r="J7" s="27" t="s">
        <v>76</v>
      </c>
      <c r="K7" s="24" t="s">
        <v>102</v>
      </c>
      <c r="L7" s="27" t="s">
        <v>76</v>
      </c>
      <c r="M7" s="27" t="s">
        <v>784</v>
      </c>
      <c r="N7" s="26" t="s">
        <v>769</v>
      </c>
      <c r="O7" s="24" t="s">
        <v>83</v>
      </c>
      <c r="P7" s="24"/>
      <c r="Q7" s="24"/>
      <c r="R7" s="24">
        <v>34</v>
      </c>
      <c r="S7" s="25">
        <f>R7+117-34</f>
        <v>117</v>
      </c>
      <c r="T7" s="24">
        <f>S7</f>
        <v>117</v>
      </c>
      <c r="U7" s="24">
        <f>ROUNDDOWN(S7/HLOOKUP(D7,Table!$C$3:$D$4,2,0)*8,2)</f>
        <v>2.08</v>
      </c>
      <c r="V7" s="24">
        <v>2</v>
      </c>
      <c r="W7" s="24" t="s">
        <v>105</v>
      </c>
      <c r="X7" s="91">
        <v>43921</v>
      </c>
      <c r="Y7" s="28">
        <v>43927</v>
      </c>
      <c r="Z7" s="153">
        <v>43921</v>
      </c>
      <c r="AA7" s="153">
        <v>43921</v>
      </c>
      <c r="AB7" s="32" t="s">
        <v>158</v>
      </c>
      <c r="AC7" s="32">
        <v>100</v>
      </c>
      <c r="AD7" s="32">
        <v>100</v>
      </c>
      <c r="AE7" s="32">
        <v>100</v>
      </c>
      <c r="AF7" s="32" t="s">
        <v>20</v>
      </c>
      <c r="AG7" s="27" t="s">
        <v>76</v>
      </c>
      <c r="AH7" s="27" t="s">
        <v>76</v>
      </c>
    </row>
    <row r="8" spans="1:34" x14ac:dyDescent="0.25">
      <c r="B8" s="149">
        <f t="shared" si="0"/>
        <v>6</v>
      </c>
      <c r="C8" s="26">
        <v>20200330</v>
      </c>
      <c r="D8" s="32" t="s">
        <v>3</v>
      </c>
      <c r="E8" s="24" t="s">
        <v>753</v>
      </c>
      <c r="F8" s="24" t="s">
        <v>1297</v>
      </c>
      <c r="G8" s="24">
        <v>1394506</v>
      </c>
      <c r="H8" s="24" t="s">
        <v>756</v>
      </c>
      <c r="I8" s="24" t="s">
        <v>193</v>
      </c>
      <c r="J8" s="24" t="s">
        <v>786</v>
      </c>
      <c r="K8" s="24" t="s">
        <v>416</v>
      </c>
      <c r="L8" s="27" t="s">
        <v>76</v>
      </c>
      <c r="M8" s="27" t="s">
        <v>787</v>
      </c>
      <c r="N8" s="26" t="s">
        <v>770</v>
      </c>
      <c r="O8" s="24" t="s">
        <v>85</v>
      </c>
      <c r="P8" s="24"/>
      <c r="Q8" s="24"/>
      <c r="R8" s="24">
        <v>155</v>
      </c>
      <c r="S8" s="24">
        <f t="shared" ref="S8:S23" si="1">R8</f>
        <v>155</v>
      </c>
      <c r="T8" s="24">
        <f>S8</f>
        <v>155</v>
      </c>
      <c r="U8" s="24">
        <f>ROUNDDOWN(S8/HLOOKUP(D8,Table!$C$3:$D$4,2,0)*8,2)</f>
        <v>2.75</v>
      </c>
      <c r="V8" s="24">
        <v>2.75</v>
      </c>
      <c r="W8" s="24" t="s">
        <v>105</v>
      </c>
      <c r="X8" s="91">
        <v>43921</v>
      </c>
      <c r="Y8" s="28">
        <v>43927</v>
      </c>
      <c r="Z8" s="28">
        <v>43927</v>
      </c>
      <c r="AA8" s="28">
        <v>43927</v>
      </c>
      <c r="AB8" s="32" t="s">
        <v>158</v>
      </c>
      <c r="AC8" s="32">
        <v>100</v>
      </c>
      <c r="AD8" s="32">
        <v>100</v>
      </c>
      <c r="AE8" s="32">
        <v>100</v>
      </c>
      <c r="AF8" s="168" t="s">
        <v>20</v>
      </c>
      <c r="AG8" s="27" t="s">
        <v>76</v>
      </c>
      <c r="AH8" s="27" t="s">
        <v>76</v>
      </c>
    </row>
    <row r="9" spans="1:34" x14ac:dyDescent="0.25">
      <c r="B9" s="149">
        <f t="shared" si="0"/>
        <v>7</v>
      </c>
      <c r="C9" s="26">
        <v>20200330</v>
      </c>
      <c r="D9" s="32" t="s">
        <v>3</v>
      </c>
      <c r="E9" s="24" t="s">
        <v>225</v>
      </c>
      <c r="F9" s="27" t="s">
        <v>1298</v>
      </c>
      <c r="G9" s="24">
        <v>1390262</v>
      </c>
      <c r="H9" s="24" t="s">
        <v>267</v>
      </c>
      <c r="I9" s="24" t="s">
        <v>194</v>
      </c>
      <c r="J9" s="27" t="s">
        <v>76</v>
      </c>
      <c r="K9" s="24" t="s">
        <v>240</v>
      </c>
      <c r="L9" s="27" t="s">
        <v>76</v>
      </c>
      <c r="M9" s="27" t="s">
        <v>788</v>
      </c>
      <c r="N9" s="26" t="s">
        <v>771</v>
      </c>
      <c r="O9" s="24" t="s">
        <v>84</v>
      </c>
      <c r="P9" s="24"/>
      <c r="Q9" s="24"/>
      <c r="R9" s="24">
        <v>155</v>
      </c>
      <c r="S9" s="25">
        <f>R9+303-155</f>
        <v>303</v>
      </c>
      <c r="T9" s="24">
        <f t="shared" ref="T9:T15" si="2">S9</f>
        <v>303</v>
      </c>
      <c r="U9" s="24">
        <f>ROUNDDOWN(S9/HLOOKUP(D9,Table!$C$3:$D$4,2,0)*8,2)</f>
        <v>5.38</v>
      </c>
      <c r="V9" s="24">
        <v>5</v>
      </c>
      <c r="W9" s="24" t="s">
        <v>105</v>
      </c>
      <c r="X9" s="91">
        <v>43921</v>
      </c>
      <c r="Y9" s="28">
        <v>43927</v>
      </c>
      <c r="Z9" s="28">
        <v>43921</v>
      </c>
      <c r="AA9" s="28">
        <v>43921</v>
      </c>
      <c r="AB9" s="32" t="s">
        <v>158</v>
      </c>
      <c r="AC9" s="32">
        <v>100</v>
      </c>
      <c r="AD9" s="32">
        <v>100</v>
      </c>
      <c r="AE9" s="36">
        <v>100</v>
      </c>
      <c r="AF9" s="36" t="s">
        <v>20</v>
      </c>
      <c r="AG9" s="27" t="s">
        <v>76</v>
      </c>
      <c r="AH9" s="27" t="s">
        <v>76</v>
      </c>
    </row>
    <row r="10" spans="1:34" x14ac:dyDescent="0.25">
      <c r="B10" s="149">
        <f t="shared" si="0"/>
        <v>8</v>
      </c>
      <c r="C10" s="26">
        <v>20200330</v>
      </c>
      <c r="D10" s="32" t="s">
        <v>3</v>
      </c>
      <c r="E10" s="24" t="s">
        <v>225</v>
      </c>
      <c r="F10" s="27" t="s">
        <v>1299</v>
      </c>
      <c r="G10" s="24">
        <v>1390262</v>
      </c>
      <c r="H10" s="24" t="s">
        <v>757</v>
      </c>
      <c r="I10" s="24" t="s">
        <v>194</v>
      </c>
      <c r="J10" s="27" t="s">
        <v>76</v>
      </c>
      <c r="K10" s="24" t="s">
        <v>240</v>
      </c>
      <c r="L10" s="27" t="s">
        <v>76</v>
      </c>
      <c r="M10" s="27" t="s">
        <v>788</v>
      </c>
      <c r="N10" s="26" t="s">
        <v>772</v>
      </c>
      <c r="O10" s="24" t="s">
        <v>84</v>
      </c>
      <c r="P10" s="24"/>
      <c r="Q10" s="24"/>
      <c r="R10" s="24">
        <v>34</v>
      </c>
      <c r="S10" s="25">
        <f>R10+114-34</f>
        <v>114</v>
      </c>
      <c r="T10" s="24">
        <f t="shared" si="2"/>
        <v>114</v>
      </c>
      <c r="U10" s="24">
        <f>ROUNDDOWN(S10/HLOOKUP(D10,Table!$C$3:$D$4,2,0)*8,2)</f>
        <v>2.02</v>
      </c>
      <c r="V10" s="24">
        <v>1</v>
      </c>
      <c r="W10" s="24" t="s">
        <v>105</v>
      </c>
      <c r="X10" s="91">
        <v>43921</v>
      </c>
      <c r="Y10" s="28">
        <v>43927</v>
      </c>
      <c r="Z10" s="28">
        <v>43922</v>
      </c>
      <c r="AA10" s="28">
        <v>43922</v>
      </c>
      <c r="AB10" s="32" t="s">
        <v>158</v>
      </c>
      <c r="AC10" s="32">
        <v>100</v>
      </c>
      <c r="AD10" s="32">
        <v>100</v>
      </c>
      <c r="AE10" s="36">
        <v>100</v>
      </c>
      <c r="AF10" s="36" t="s">
        <v>20</v>
      </c>
      <c r="AG10" s="27" t="s">
        <v>76</v>
      </c>
      <c r="AH10" s="27" t="s">
        <v>76</v>
      </c>
    </row>
    <row r="11" spans="1:34" s="19" customFormat="1" x14ac:dyDescent="0.2">
      <c r="B11" s="149">
        <f t="shared" si="0"/>
        <v>9</v>
      </c>
      <c r="C11" s="26">
        <v>20200330</v>
      </c>
      <c r="D11" s="32" t="s">
        <v>3</v>
      </c>
      <c r="E11" s="33" t="s">
        <v>225</v>
      </c>
      <c r="F11" s="27" t="s">
        <v>1300</v>
      </c>
      <c r="G11" s="24">
        <v>1390262</v>
      </c>
      <c r="H11" s="26" t="s">
        <v>758</v>
      </c>
      <c r="I11" s="24" t="s">
        <v>194</v>
      </c>
      <c r="J11" s="27" t="s">
        <v>76</v>
      </c>
      <c r="K11" s="24" t="s">
        <v>240</v>
      </c>
      <c r="L11" s="27" t="s">
        <v>76</v>
      </c>
      <c r="M11" s="27" t="s">
        <v>788</v>
      </c>
      <c r="N11" s="26" t="s">
        <v>773</v>
      </c>
      <c r="O11" s="21" t="s">
        <v>84</v>
      </c>
      <c r="P11" s="26"/>
      <c r="Q11" s="24"/>
      <c r="R11" s="24">
        <v>280</v>
      </c>
      <c r="S11" s="25">
        <f>R11+213-280</f>
        <v>213</v>
      </c>
      <c r="T11" s="26">
        <f t="shared" si="2"/>
        <v>213</v>
      </c>
      <c r="U11" s="24">
        <f>ROUNDDOWN(S11/HLOOKUP(D11,Table!$C$3:$D$4,2,0)*8,2)</f>
        <v>3.78</v>
      </c>
      <c r="V11" s="21">
        <v>3</v>
      </c>
      <c r="W11" s="24" t="s">
        <v>105</v>
      </c>
      <c r="X11" s="91">
        <v>43921</v>
      </c>
      <c r="Y11" s="28">
        <v>43927</v>
      </c>
      <c r="Z11" s="28">
        <v>43921</v>
      </c>
      <c r="AA11" s="28">
        <v>43921</v>
      </c>
      <c r="AB11" s="32" t="s">
        <v>158</v>
      </c>
      <c r="AC11" s="32">
        <v>100</v>
      </c>
      <c r="AD11" s="32">
        <v>100</v>
      </c>
      <c r="AE11" s="32">
        <v>100</v>
      </c>
      <c r="AF11" s="32" t="s">
        <v>20</v>
      </c>
      <c r="AG11" s="27" t="s">
        <v>76</v>
      </c>
      <c r="AH11" s="27" t="s">
        <v>76</v>
      </c>
    </row>
    <row r="12" spans="1:34" ht="62.25" customHeight="1" x14ac:dyDescent="0.25">
      <c r="B12" s="149">
        <f t="shared" si="0"/>
        <v>10</v>
      </c>
      <c r="C12" s="26">
        <v>20200330</v>
      </c>
      <c r="D12" s="32" t="s">
        <v>3</v>
      </c>
      <c r="E12" s="23" t="s">
        <v>225</v>
      </c>
      <c r="F12" s="159" t="s">
        <v>1300</v>
      </c>
      <c r="G12" s="24">
        <v>1390262</v>
      </c>
      <c r="H12" s="26" t="s">
        <v>206</v>
      </c>
      <c r="I12" s="24" t="s">
        <v>194</v>
      </c>
      <c r="J12" s="27" t="s">
        <v>76</v>
      </c>
      <c r="K12" s="24" t="s">
        <v>240</v>
      </c>
      <c r="L12" s="27" t="s">
        <v>76</v>
      </c>
      <c r="M12" s="27" t="s">
        <v>788</v>
      </c>
      <c r="N12" s="26" t="s">
        <v>774</v>
      </c>
      <c r="O12" s="23" t="s">
        <v>83</v>
      </c>
      <c r="P12" s="24"/>
      <c r="Q12" s="24"/>
      <c r="R12" s="24">
        <v>65</v>
      </c>
      <c r="S12" s="184">
        <f>R12+243-R12</f>
        <v>243</v>
      </c>
      <c r="T12" s="57">
        <f>S12</f>
        <v>243</v>
      </c>
      <c r="U12" s="24">
        <f>ROUNDDOWN(S12/HLOOKUP(D12,Table!$C$3:$D$4,2,0)*8,2)</f>
        <v>4.32</v>
      </c>
      <c r="V12" s="44">
        <v>2</v>
      </c>
      <c r="W12" s="24" t="s">
        <v>105</v>
      </c>
      <c r="X12" s="91">
        <v>43921</v>
      </c>
      <c r="Y12" s="28">
        <v>43927</v>
      </c>
      <c r="Z12" s="156">
        <v>43921</v>
      </c>
      <c r="AA12" s="28">
        <v>43927</v>
      </c>
      <c r="AB12" s="32" t="s">
        <v>158</v>
      </c>
      <c r="AC12" s="32">
        <v>100</v>
      </c>
      <c r="AD12" s="32">
        <v>100</v>
      </c>
      <c r="AE12" s="32">
        <v>100</v>
      </c>
      <c r="AF12" s="32" t="s">
        <v>20</v>
      </c>
      <c r="AG12" s="27" t="s">
        <v>76</v>
      </c>
      <c r="AH12" s="27" t="s">
        <v>999</v>
      </c>
    </row>
    <row r="13" spans="1:34" s="20" customFormat="1" x14ac:dyDescent="0.25">
      <c r="B13" s="149">
        <f t="shared" si="0"/>
        <v>11</v>
      </c>
      <c r="C13" s="26">
        <v>20200330</v>
      </c>
      <c r="D13" s="32" t="s">
        <v>3</v>
      </c>
      <c r="E13" s="21" t="s">
        <v>754</v>
      </c>
      <c r="F13" s="150" t="s">
        <v>1301</v>
      </c>
      <c r="G13" s="24">
        <v>1374229</v>
      </c>
      <c r="H13" s="26" t="s">
        <v>117</v>
      </c>
      <c r="I13" s="24" t="s">
        <v>194</v>
      </c>
      <c r="J13" s="27" t="s">
        <v>76</v>
      </c>
      <c r="K13" s="24" t="s">
        <v>789</v>
      </c>
      <c r="L13" s="27" t="s">
        <v>76</v>
      </c>
      <c r="M13" s="27" t="s">
        <v>790</v>
      </c>
      <c r="N13" s="26" t="s">
        <v>775</v>
      </c>
      <c r="O13" s="21" t="s">
        <v>83</v>
      </c>
      <c r="P13" s="21"/>
      <c r="Q13" s="24"/>
      <c r="R13" s="24">
        <v>144</v>
      </c>
      <c r="S13" s="158">
        <f>R13+160-144</f>
        <v>160</v>
      </c>
      <c r="T13" s="21">
        <f t="shared" si="2"/>
        <v>160</v>
      </c>
      <c r="U13" s="24">
        <f>ROUNDDOWN(S13/HLOOKUP(D13,Table!$C$3:$D$4,2,0)*8,2)</f>
        <v>2.84</v>
      </c>
      <c r="V13" s="21">
        <v>1</v>
      </c>
      <c r="W13" s="24" t="s">
        <v>105</v>
      </c>
      <c r="X13" s="91">
        <v>43921</v>
      </c>
      <c r="Y13" s="28">
        <v>43927</v>
      </c>
      <c r="Z13" s="28">
        <v>43921</v>
      </c>
      <c r="AA13" s="28">
        <v>43921</v>
      </c>
      <c r="AB13" s="32" t="s">
        <v>158</v>
      </c>
      <c r="AC13" s="32">
        <v>100</v>
      </c>
      <c r="AD13" s="32">
        <v>100</v>
      </c>
      <c r="AE13" s="32">
        <v>100</v>
      </c>
      <c r="AF13" s="32" t="s">
        <v>20</v>
      </c>
      <c r="AG13" s="27" t="s">
        <v>76</v>
      </c>
      <c r="AH13" s="27" t="s">
        <v>76</v>
      </c>
    </row>
    <row r="14" spans="1:34" x14ac:dyDescent="0.25">
      <c r="B14" s="149">
        <f t="shared" si="0"/>
        <v>12</v>
      </c>
      <c r="C14" s="26">
        <v>20200330</v>
      </c>
      <c r="D14" s="32" t="s">
        <v>3</v>
      </c>
      <c r="E14" s="24" t="s">
        <v>754</v>
      </c>
      <c r="F14" s="150" t="s">
        <v>1301</v>
      </c>
      <c r="G14" s="24">
        <v>1374229</v>
      </c>
      <c r="H14" s="26" t="s">
        <v>119</v>
      </c>
      <c r="I14" s="24" t="s">
        <v>194</v>
      </c>
      <c r="J14" s="27" t="s">
        <v>76</v>
      </c>
      <c r="K14" s="24" t="s">
        <v>789</v>
      </c>
      <c r="L14" s="27" t="s">
        <v>76</v>
      </c>
      <c r="M14" s="27" t="s">
        <v>790</v>
      </c>
      <c r="N14" s="26" t="s">
        <v>776</v>
      </c>
      <c r="O14" s="23" t="s">
        <v>83</v>
      </c>
      <c r="P14" s="23"/>
      <c r="Q14" s="24"/>
      <c r="R14" s="24">
        <v>23</v>
      </c>
      <c r="S14" s="155">
        <f>R14</f>
        <v>23</v>
      </c>
      <c r="T14" s="24">
        <f t="shared" si="2"/>
        <v>23</v>
      </c>
      <c r="U14" s="24">
        <f>ROUNDDOWN(S14/HLOOKUP(D14,Table!$C$3:$D$4,2,0)*8,2)</f>
        <v>0.4</v>
      </c>
      <c r="V14" s="24">
        <v>0.5</v>
      </c>
      <c r="W14" s="24" t="s">
        <v>105</v>
      </c>
      <c r="X14" s="91">
        <v>43921</v>
      </c>
      <c r="Y14" s="28">
        <v>43927</v>
      </c>
      <c r="Z14" s="28">
        <v>43921</v>
      </c>
      <c r="AA14" s="28">
        <v>43921</v>
      </c>
      <c r="AB14" s="32" t="s">
        <v>158</v>
      </c>
      <c r="AC14" s="32">
        <v>100</v>
      </c>
      <c r="AD14" s="32">
        <v>100</v>
      </c>
      <c r="AE14" s="32">
        <v>100</v>
      </c>
      <c r="AF14" s="32" t="s">
        <v>20</v>
      </c>
      <c r="AG14" s="27" t="s">
        <v>76</v>
      </c>
      <c r="AH14" s="27" t="s">
        <v>76</v>
      </c>
    </row>
    <row r="15" spans="1:34" x14ac:dyDescent="0.25">
      <c r="B15" s="149">
        <f t="shared" si="0"/>
        <v>13</v>
      </c>
      <c r="C15" s="26">
        <v>20200330</v>
      </c>
      <c r="D15" s="32" t="s">
        <v>3</v>
      </c>
      <c r="E15" s="24" t="s">
        <v>754</v>
      </c>
      <c r="F15" s="150" t="s">
        <v>1301</v>
      </c>
      <c r="G15" s="24">
        <v>1374229</v>
      </c>
      <c r="H15" s="26" t="s">
        <v>759</v>
      </c>
      <c r="I15" s="24" t="s">
        <v>194</v>
      </c>
      <c r="J15" s="27" t="s">
        <v>76</v>
      </c>
      <c r="K15" s="24" t="s">
        <v>789</v>
      </c>
      <c r="L15" s="27" t="s">
        <v>76</v>
      </c>
      <c r="M15" s="27" t="s">
        <v>790</v>
      </c>
      <c r="N15" s="26" t="s">
        <v>777</v>
      </c>
      <c r="O15" s="23" t="s">
        <v>83</v>
      </c>
      <c r="P15" s="23"/>
      <c r="Q15" s="24"/>
      <c r="R15" s="24">
        <v>354</v>
      </c>
      <c r="S15" s="158">
        <f>R15+376-354</f>
        <v>376</v>
      </c>
      <c r="T15" s="24">
        <f t="shared" si="2"/>
        <v>376</v>
      </c>
      <c r="U15" s="24">
        <f>ROUNDDOWN(S15/HLOOKUP(D15,Table!$C$3:$D$4,2,0)*8,2)</f>
        <v>6.68</v>
      </c>
      <c r="V15" s="24">
        <v>2</v>
      </c>
      <c r="W15" s="24" t="s">
        <v>105</v>
      </c>
      <c r="X15" s="91">
        <v>43921</v>
      </c>
      <c r="Y15" s="28">
        <v>43927</v>
      </c>
      <c r="Z15" s="28">
        <v>43921</v>
      </c>
      <c r="AA15" s="28">
        <v>43921</v>
      </c>
      <c r="AB15" s="32" t="s">
        <v>158</v>
      </c>
      <c r="AC15" s="32">
        <v>100</v>
      </c>
      <c r="AD15" s="32">
        <v>100</v>
      </c>
      <c r="AE15" s="32">
        <v>100</v>
      </c>
      <c r="AF15" s="32" t="s">
        <v>20</v>
      </c>
      <c r="AG15" s="27" t="s">
        <v>76</v>
      </c>
      <c r="AH15" s="27" t="s">
        <v>76</v>
      </c>
    </row>
    <row r="16" spans="1:34" x14ac:dyDescent="0.25">
      <c r="B16" s="149">
        <f t="shared" si="0"/>
        <v>14</v>
      </c>
      <c r="C16" s="26">
        <v>20200330</v>
      </c>
      <c r="D16" s="32" t="s">
        <v>3</v>
      </c>
      <c r="E16" s="24" t="s">
        <v>754</v>
      </c>
      <c r="F16" s="150" t="s">
        <v>1302</v>
      </c>
      <c r="G16" s="24">
        <v>1374229</v>
      </c>
      <c r="H16" s="24" t="s">
        <v>760</v>
      </c>
      <c r="I16" s="24" t="s">
        <v>194</v>
      </c>
      <c r="J16" s="27" t="s">
        <v>76</v>
      </c>
      <c r="K16" s="24" t="s">
        <v>789</v>
      </c>
      <c r="L16" s="27" t="s">
        <v>76</v>
      </c>
      <c r="M16" s="27" t="s">
        <v>790</v>
      </c>
      <c r="N16" s="26" t="s">
        <v>778</v>
      </c>
      <c r="O16" s="23" t="s">
        <v>85</v>
      </c>
      <c r="P16" s="23"/>
      <c r="Q16" s="24"/>
      <c r="R16" s="24">
        <v>54</v>
      </c>
      <c r="S16" s="24">
        <f t="shared" si="1"/>
        <v>54</v>
      </c>
      <c r="T16" s="24">
        <f t="shared" ref="T16:T26" si="3">S16</f>
        <v>54</v>
      </c>
      <c r="U16" s="24">
        <f>ROUNDDOWN(S16/HLOOKUP(D16,Table!$C$3:$D$4,2,0)*8,2)</f>
        <v>0.96</v>
      </c>
      <c r="V16" s="24">
        <v>1</v>
      </c>
      <c r="W16" s="24" t="s">
        <v>105</v>
      </c>
      <c r="X16" s="91">
        <v>43921</v>
      </c>
      <c r="Y16" s="28">
        <v>43927</v>
      </c>
      <c r="Z16" s="28">
        <v>43927</v>
      </c>
      <c r="AA16" s="28">
        <v>43927</v>
      </c>
      <c r="AB16" s="32" t="s">
        <v>158</v>
      </c>
      <c r="AC16" s="32">
        <v>100</v>
      </c>
      <c r="AD16" s="32">
        <v>100</v>
      </c>
      <c r="AE16" s="32">
        <v>100</v>
      </c>
      <c r="AF16" s="168" t="s">
        <v>20</v>
      </c>
      <c r="AG16" s="27" t="s">
        <v>76</v>
      </c>
      <c r="AH16" s="27" t="s">
        <v>76</v>
      </c>
    </row>
    <row r="17" spans="1:34" x14ac:dyDescent="0.25">
      <c r="B17" s="149">
        <f t="shared" si="0"/>
        <v>15</v>
      </c>
      <c r="C17" s="26">
        <v>20200330</v>
      </c>
      <c r="D17" s="32" t="s">
        <v>3</v>
      </c>
      <c r="E17" s="24" t="s">
        <v>754</v>
      </c>
      <c r="F17" s="150" t="s">
        <v>1302</v>
      </c>
      <c r="G17" s="24">
        <v>1374229</v>
      </c>
      <c r="H17" s="24" t="s">
        <v>761</v>
      </c>
      <c r="I17" s="24" t="s">
        <v>194</v>
      </c>
      <c r="J17" s="27" t="s">
        <v>76</v>
      </c>
      <c r="K17" s="24" t="s">
        <v>789</v>
      </c>
      <c r="L17" s="27" t="s">
        <v>76</v>
      </c>
      <c r="M17" s="27" t="s">
        <v>790</v>
      </c>
      <c r="N17" s="26" t="s">
        <v>779</v>
      </c>
      <c r="O17" s="24" t="s">
        <v>85</v>
      </c>
      <c r="P17" s="24"/>
      <c r="Q17" s="24"/>
      <c r="R17" s="24">
        <v>159</v>
      </c>
      <c r="S17" s="24">
        <f t="shared" si="1"/>
        <v>159</v>
      </c>
      <c r="T17" s="24">
        <f t="shared" si="3"/>
        <v>159</v>
      </c>
      <c r="U17" s="24">
        <f>ROUNDDOWN(S17/HLOOKUP(D17,Table!$C$3:$D$4,2,0)*8,2)</f>
        <v>2.82</v>
      </c>
      <c r="V17" s="24">
        <v>2.82</v>
      </c>
      <c r="W17" s="24" t="s">
        <v>105</v>
      </c>
      <c r="X17" s="91">
        <v>43921</v>
      </c>
      <c r="Y17" s="28">
        <v>43927</v>
      </c>
      <c r="Z17" s="28">
        <v>43927</v>
      </c>
      <c r="AA17" s="28">
        <v>43927</v>
      </c>
      <c r="AB17" s="32" t="s">
        <v>158</v>
      </c>
      <c r="AC17" s="32">
        <v>100</v>
      </c>
      <c r="AD17" s="32">
        <v>100</v>
      </c>
      <c r="AE17" s="32">
        <v>100</v>
      </c>
      <c r="AF17" s="168" t="s">
        <v>20</v>
      </c>
      <c r="AG17" s="27" t="s">
        <v>76</v>
      </c>
      <c r="AH17" s="27" t="s">
        <v>76</v>
      </c>
    </row>
    <row r="18" spans="1:34" x14ac:dyDescent="0.25">
      <c r="B18" s="149">
        <f t="shared" si="0"/>
        <v>16</v>
      </c>
      <c r="C18" s="26">
        <v>20200330</v>
      </c>
      <c r="D18" s="32" t="s">
        <v>3</v>
      </c>
      <c r="E18" s="24" t="s">
        <v>754</v>
      </c>
      <c r="F18" s="150" t="s">
        <v>1303</v>
      </c>
      <c r="G18" s="24">
        <v>1374229</v>
      </c>
      <c r="H18" s="24" t="s">
        <v>110</v>
      </c>
      <c r="I18" s="24" t="s">
        <v>194</v>
      </c>
      <c r="J18" s="27" t="s">
        <v>76</v>
      </c>
      <c r="K18" s="24" t="s">
        <v>789</v>
      </c>
      <c r="L18" s="27" t="s">
        <v>76</v>
      </c>
      <c r="M18" s="27" t="s">
        <v>790</v>
      </c>
      <c r="N18" s="26" t="s">
        <v>780</v>
      </c>
      <c r="O18" s="24" t="s">
        <v>82</v>
      </c>
      <c r="P18" s="24"/>
      <c r="Q18" s="24"/>
      <c r="R18" s="24">
        <v>313</v>
      </c>
      <c r="S18" s="24">
        <f t="shared" si="1"/>
        <v>313</v>
      </c>
      <c r="T18" s="24">
        <f t="shared" si="3"/>
        <v>313</v>
      </c>
      <c r="U18" s="24">
        <f>ROUNDDOWN(S18/HLOOKUP(D18,Table!$C$3:$D$4,2,0)*8,2)</f>
        <v>5.56</v>
      </c>
      <c r="V18" s="24">
        <v>5</v>
      </c>
      <c r="W18" s="24" t="s">
        <v>105</v>
      </c>
      <c r="X18" s="91">
        <v>43921</v>
      </c>
      <c r="Y18" s="28">
        <v>43927</v>
      </c>
      <c r="Z18" s="28">
        <v>43922</v>
      </c>
      <c r="AA18" s="28">
        <v>43922</v>
      </c>
      <c r="AB18" s="32" t="s">
        <v>158</v>
      </c>
      <c r="AC18" s="32">
        <v>100</v>
      </c>
      <c r="AD18" s="32">
        <v>100</v>
      </c>
      <c r="AE18" s="32">
        <v>100</v>
      </c>
      <c r="AF18" s="32" t="s">
        <v>20</v>
      </c>
      <c r="AG18" s="27" t="s">
        <v>76</v>
      </c>
      <c r="AH18" s="27" t="s">
        <v>76</v>
      </c>
    </row>
    <row r="19" spans="1:34" x14ac:dyDescent="0.25">
      <c r="B19" s="149">
        <f t="shared" si="0"/>
        <v>17</v>
      </c>
      <c r="C19" s="26">
        <v>20200330</v>
      </c>
      <c r="D19" s="32" t="s">
        <v>3</v>
      </c>
      <c r="E19" s="24" t="s">
        <v>754</v>
      </c>
      <c r="F19" s="150" t="s">
        <v>1303</v>
      </c>
      <c r="G19" s="24">
        <v>1374229</v>
      </c>
      <c r="H19" s="24" t="s">
        <v>112</v>
      </c>
      <c r="I19" s="24" t="s">
        <v>194</v>
      </c>
      <c r="J19" s="27" t="s">
        <v>76</v>
      </c>
      <c r="K19" s="24" t="s">
        <v>789</v>
      </c>
      <c r="L19" s="27" t="s">
        <v>76</v>
      </c>
      <c r="M19" s="27" t="s">
        <v>790</v>
      </c>
      <c r="N19" s="26" t="s">
        <v>781</v>
      </c>
      <c r="O19" s="24" t="s">
        <v>84</v>
      </c>
      <c r="P19" s="24"/>
      <c r="Q19" s="24"/>
      <c r="R19" s="24">
        <v>186</v>
      </c>
      <c r="S19" s="25">
        <f>R19+200-R19</f>
        <v>200</v>
      </c>
      <c r="T19" s="24">
        <f t="shared" si="3"/>
        <v>200</v>
      </c>
      <c r="U19" s="24">
        <f>ROUNDDOWN(S19/HLOOKUP(D19,Table!$C$3:$D$4,2,0)*8,2)</f>
        <v>3.55</v>
      </c>
      <c r="V19" s="24">
        <v>1</v>
      </c>
      <c r="W19" s="24" t="s">
        <v>105</v>
      </c>
      <c r="X19" s="91">
        <v>43921</v>
      </c>
      <c r="Y19" s="28">
        <v>43927</v>
      </c>
      <c r="Z19" s="28">
        <v>43922</v>
      </c>
      <c r="AA19" s="28">
        <v>43922</v>
      </c>
      <c r="AB19" s="32" t="s">
        <v>158</v>
      </c>
      <c r="AC19" s="32">
        <v>100</v>
      </c>
      <c r="AD19" s="32">
        <v>100</v>
      </c>
      <c r="AE19" s="32">
        <v>100</v>
      </c>
      <c r="AF19" s="32" t="s">
        <v>20</v>
      </c>
      <c r="AG19" s="27" t="s">
        <v>76</v>
      </c>
      <c r="AH19" s="27" t="s">
        <v>76</v>
      </c>
    </row>
    <row r="20" spans="1:34" x14ac:dyDescent="0.25">
      <c r="B20" s="149">
        <f t="shared" si="0"/>
        <v>18</v>
      </c>
      <c r="C20" s="26">
        <v>20200330</v>
      </c>
      <c r="D20" s="32" t="s">
        <v>3</v>
      </c>
      <c r="E20" s="24" t="s">
        <v>754</v>
      </c>
      <c r="F20" s="150" t="s">
        <v>1304</v>
      </c>
      <c r="G20" s="24">
        <v>1374229</v>
      </c>
      <c r="H20" s="24" t="s">
        <v>762</v>
      </c>
      <c r="I20" s="24" t="s">
        <v>194</v>
      </c>
      <c r="J20" s="27" t="s">
        <v>76</v>
      </c>
      <c r="K20" s="24" t="s">
        <v>789</v>
      </c>
      <c r="L20" s="27" t="s">
        <v>76</v>
      </c>
      <c r="M20" s="27" t="s">
        <v>790</v>
      </c>
      <c r="N20" s="26" t="s">
        <v>782</v>
      </c>
      <c r="O20" s="24" t="s">
        <v>85</v>
      </c>
      <c r="P20" s="24"/>
      <c r="Q20" s="24"/>
      <c r="R20" s="24">
        <v>199</v>
      </c>
      <c r="S20" s="24">
        <f t="shared" si="1"/>
        <v>199</v>
      </c>
      <c r="T20" s="24">
        <f t="shared" si="3"/>
        <v>199</v>
      </c>
      <c r="U20" s="24">
        <f>ROUNDDOWN(S20/HLOOKUP(D20,Table!$C$3:$D$4,2,0)*8,2)</f>
        <v>3.53</v>
      </c>
      <c r="V20" s="24">
        <v>3.53</v>
      </c>
      <c r="W20" s="24" t="s">
        <v>105</v>
      </c>
      <c r="X20" s="91">
        <v>43921</v>
      </c>
      <c r="Y20" s="28">
        <v>43927</v>
      </c>
      <c r="Z20" s="28">
        <v>43927</v>
      </c>
      <c r="AA20" s="28">
        <v>43927</v>
      </c>
      <c r="AB20" s="32" t="s">
        <v>158</v>
      </c>
      <c r="AC20" s="168">
        <v>100</v>
      </c>
      <c r="AD20" s="168">
        <v>100</v>
      </c>
      <c r="AE20" s="168">
        <v>100</v>
      </c>
      <c r="AF20" s="168" t="s">
        <v>20</v>
      </c>
      <c r="AG20" s="27" t="s">
        <v>76</v>
      </c>
      <c r="AH20" s="27" t="s">
        <v>76</v>
      </c>
    </row>
    <row r="21" spans="1:34" x14ac:dyDescent="0.25">
      <c r="B21" s="149">
        <f t="shared" si="0"/>
        <v>19</v>
      </c>
      <c r="C21" s="26">
        <v>20200330</v>
      </c>
      <c r="D21" s="32" t="s">
        <v>3</v>
      </c>
      <c r="E21" s="24" t="s">
        <v>754</v>
      </c>
      <c r="F21" s="150" t="s">
        <v>1304</v>
      </c>
      <c r="G21" s="24">
        <v>1374229</v>
      </c>
      <c r="H21" s="24" t="s">
        <v>763</v>
      </c>
      <c r="I21" s="24" t="s">
        <v>194</v>
      </c>
      <c r="J21" s="27" t="s">
        <v>76</v>
      </c>
      <c r="K21" s="24" t="s">
        <v>789</v>
      </c>
      <c r="L21" s="27" t="s">
        <v>76</v>
      </c>
      <c r="M21" s="27" t="s">
        <v>790</v>
      </c>
      <c r="N21" s="26" t="s">
        <v>783</v>
      </c>
      <c r="O21" s="24" t="s">
        <v>85</v>
      </c>
      <c r="P21" s="24"/>
      <c r="Q21" s="24"/>
      <c r="R21" s="24">
        <v>6</v>
      </c>
      <c r="S21" s="24">
        <f t="shared" si="1"/>
        <v>6</v>
      </c>
      <c r="T21" s="24">
        <f t="shared" si="3"/>
        <v>6</v>
      </c>
      <c r="U21" s="24">
        <f>ROUNDDOWN(S21/HLOOKUP(D21,Table!$C$3:$D$4,2,0)*8,2)</f>
        <v>0.1</v>
      </c>
      <c r="V21" s="24">
        <v>0.5</v>
      </c>
      <c r="W21" s="24" t="s">
        <v>105</v>
      </c>
      <c r="X21" s="91">
        <v>43921</v>
      </c>
      <c r="Y21" s="28">
        <v>43927</v>
      </c>
      <c r="Z21" s="28">
        <v>43927</v>
      </c>
      <c r="AA21" s="28">
        <v>43927</v>
      </c>
      <c r="AB21" s="32" t="s">
        <v>158</v>
      </c>
      <c r="AC21" s="32" t="s">
        <v>76</v>
      </c>
      <c r="AD21" s="32" t="s">
        <v>76</v>
      </c>
      <c r="AE21" s="32" t="s">
        <v>76</v>
      </c>
      <c r="AF21" s="168" t="s">
        <v>20</v>
      </c>
      <c r="AG21" s="27" t="s">
        <v>925</v>
      </c>
      <c r="AH21" s="27" t="s">
        <v>76</v>
      </c>
    </row>
    <row r="22" spans="1:34" x14ac:dyDescent="0.25">
      <c r="B22" s="149">
        <f t="shared" si="0"/>
        <v>20</v>
      </c>
      <c r="C22" s="26">
        <v>20200330</v>
      </c>
      <c r="D22" s="32" t="s">
        <v>3</v>
      </c>
      <c r="E22" s="26" t="s">
        <v>754</v>
      </c>
      <c r="F22" s="150" t="s">
        <v>1305</v>
      </c>
      <c r="G22" s="26">
        <v>1373386</v>
      </c>
      <c r="H22" s="26" t="s">
        <v>390</v>
      </c>
      <c r="I22" s="24" t="s">
        <v>194</v>
      </c>
      <c r="J22" s="27" t="s">
        <v>76</v>
      </c>
      <c r="K22" s="24" t="s">
        <v>789</v>
      </c>
      <c r="L22" s="27" t="s">
        <v>76</v>
      </c>
      <c r="M22" s="27" t="s">
        <v>790</v>
      </c>
      <c r="N22" s="26" t="s">
        <v>807</v>
      </c>
      <c r="O22" s="24" t="s">
        <v>85</v>
      </c>
      <c r="P22" s="24"/>
      <c r="Q22" s="24"/>
      <c r="R22" s="24">
        <v>84</v>
      </c>
      <c r="S22" s="24">
        <f t="shared" si="1"/>
        <v>84</v>
      </c>
      <c r="T22" s="24">
        <f t="shared" si="3"/>
        <v>84</v>
      </c>
      <c r="U22" s="24">
        <f>ROUNDDOWN(S22/HLOOKUP(D22,Table!$C$3:$D$4,2,0)*8,2)</f>
        <v>1.49</v>
      </c>
      <c r="V22" s="24">
        <v>1.49</v>
      </c>
      <c r="W22" s="24" t="s">
        <v>105</v>
      </c>
      <c r="X22" s="91">
        <v>43921</v>
      </c>
      <c r="Y22" s="28">
        <v>43927</v>
      </c>
      <c r="Z22" s="28">
        <v>43927</v>
      </c>
      <c r="AA22" s="28">
        <v>43927</v>
      </c>
      <c r="AB22" s="32" t="s">
        <v>158</v>
      </c>
      <c r="AC22" s="32">
        <v>100</v>
      </c>
      <c r="AD22" s="32">
        <v>100</v>
      </c>
      <c r="AE22" s="32">
        <v>100</v>
      </c>
      <c r="AF22" s="168" t="s">
        <v>20</v>
      </c>
      <c r="AG22" s="27"/>
      <c r="AH22" s="27" t="s">
        <v>76</v>
      </c>
    </row>
    <row r="23" spans="1:34" x14ac:dyDescent="0.25">
      <c r="B23" s="149">
        <f t="shared" si="0"/>
        <v>21</v>
      </c>
      <c r="C23" s="26">
        <v>20200330</v>
      </c>
      <c r="D23" s="32" t="s">
        <v>3</v>
      </c>
      <c r="E23" s="26" t="s">
        <v>754</v>
      </c>
      <c r="F23" s="150" t="s">
        <v>1306</v>
      </c>
      <c r="G23" s="26">
        <v>1373386</v>
      </c>
      <c r="H23" s="26" t="s">
        <v>277</v>
      </c>
      <c r="I23" s="24" t="s">
        <v>194</v>
      </c>
      <c r="J23" s="27" t="s">
        <v>76</v>
      </c>
      <c r="K23" s="24" t="s">
        <v>789</v>
      </c>
      <c r="L23" s="27" t="s">
        <v>76</v>
      </c>
      <c r="M23" s="27" t="s">
        <v>790</v>
      </c>
      <c r="N23" s="26" t="s">
        <v>808</v>
      </c>
      <c r="O23" s="24" t="s">
        <v>82</v>
      </c>
      <c r="P23" s="24"/>
      <c r="Q23" s="24"/>
      <c r="R23" s="24">
        <v>259</v>
      </c>
      <c r="S23" s="24">
        <f t="shared" si="1"/>
        <v>259</v>
      </c>
      <c r="T23" s="24">
        <f t="shared" si="3"/>
        <v>259</v>
      </c>
      <c r="U23" s="24">
        <f>ROUNDDOWN(S23/HLOOKUP(D23,Table!$C$3:$D$4,2,0)*8,2)</f>
        <v>4.5999999999999996</v>
      </c>
      <c r="V23" s="24">
        <v>4.5</v>
      </c>
      <c r="W23" s="24" t="s">
        <v>105</v>
      </c>
      <c r="X23" s="91">
        <v>43921</v>
      </c>
      <c r="Y23" s="28">
        <v>43927</v>
      </c>
      <c r="Z23" s="28">
        <v>43922</v>
      </c>
      <c r="AA23" s="28">
        <v>43922</v>
      </c>
      <c r="AB23" s="31" t="s">
        <v>157</v>
      </c>
      <c r="AC23" s="32">
        <v>100</v>
      </c>
      <c r="AD23" s="32">
        <v>100</v>
      </c>
      <c r="AE23" s="32">
        <v>87</v>
      </c>
      <c r="AF23" s="32" t="s">
        <v>792</v>
      </c>
      <c r="AG23" s="27" t="s">
        <v>76</v>
      </c>
      <c r="AH23" s="27" t="s">
        <v>76</v>
      </c>
    </row>
    <row r="24" spans="1:34" x14ac:dyDescent="0.25">
      <c r="B24" s="133">
        <f t="shared" si="0"/>
        <v>22</v>
      </c>
      <c r="C24" s="26">
        <v>20200331</v>
      </c>
      <c r="D24" s="32" t="s">
        <v>3</v>
      </c>
      <c r="E24" s="26" t="s">
        <v>799</v>
      </c>
      <c r="F24" s="43" t="s">
        <v>1307</v>
      </c>
      <c r="G24" s="26">
        <v>1372839</v>
      </c>
      <c r="H24" s="231" t="s">
        <v>117</v>
      </c>
      <c r="I24" s="24" t="s">
        <v>194</v>
      </c>
      <c r="J24" s="54">
        <v>99180</v>
      </c>
      <c r="K24" s="24" t="s">
        <v>846</v>
      </c>
      <c r="L24" s="27" t="s">
        <v>76</v>
      </c>
      <c r="M24" s="27" t="s">
        <v>790</v>
      </c>
      <c r="N24" s="26" t="s">
        <v>809</v>
      </c>
      <c r="O24" s="21" t="s">
        <v>83</v>
      </c>
      <c r="P24" s="24"/>
      <c r="Q24" s="24"/>
      <c r="R24" s="24">
        <v>160</v>
      </c>
      <c r="S24" s="24">
        <f>R24</f>
        <v>160</v>
      </c>
      <c r="T24" s="24">
        <f t="shared" si="3"/>
        <v>160</v>
      </c>
      <c r="U24" s="24">
        <f>ROUNDDOWN(S24/HLOOKUP(D24,Table!$C$3:$D$4,2,0)*8,2)</f>
        <v>2.84</v>
      </c>
      <c r="V24" s="24">
        <v>2</v>
      </c>
      <c r="W24" s="24" t="s">
        <v>21</v>
      </c>
      <c r="X24" s="28">
        <v>43922</v>
      </c>
      <c r="Y24" s="28">
        <v>43929</v>
      </c>
      <c r="Z24" s="28">
        <v>43922</v>
      </c>
      <c r="AA24" s="28">
        <v>43922</v>
      </c>
      <c r="AB24" s="160" t="s">
        <v>158</v>
      </c>
      <c r="AC24" s="32">
        <v>100</v>
      </c>
      <c r="AD24" s="32">
        <v>100</v>
      </c>
      <c r="AE24" s="32">
        <v>100</v>
      </c>
      <c r="AF24" s="32" t="s">
        <v>20</v>
      </c>
      <c r="AG24" s="27" t="s">
        <v>76</v>
      </c>
      <c r="AH24" s="27" t="s">
        <v>76</v>
      </c>
    </row>
    <row r="25" spans="1:34" x14ac:dyDescent="0.25">
      <c r="B25" s="133">
        <f t="shared" si="0"/>
        <v>23</v>
      </c>
      <c r="C25" s="26">
        <v>20200331</v>
      </c>
      <c r="D25" s="32" t="s">
        <v>3</v>
      </c>
      <c r="E25" s="26" t="s">
        <v>799</v>
      </c>
      <c r="F25" s="43" t="s">
        <v>1307</v>
      </c>
      <c r="G25" s="26">
        <v>1372839</v>
      </c>
      <c r="H25" s="231" t="s">
        <v>119</v>
      </c>
      <c r="I25" s="24" t="s">
        <v>194</v>
      </c>
      <c r="J25" s="54">
        <v>99180</v>
      </c>
      <c r="K25" s="24" t="s">
        <v>846</v>
      </c>
      <c r="L25" s="27" t="s">
        <v>76</v>
      </c>
      <c r="M25" s="27" t="s">
        <v>790</v>
      </c>
      <c r="N25" s="26" t="s">
        <v>810</v>
      </c>
      <c r="O25" s="23" t="s">
        <v>83</v>
      </c>
      <c r="P25" s="24"/>
      <c r="Q25" s="24"/>
      <c r="R25" s="24">
        <v>23</v>
      </c>
      <c r="S25" s="24">
        <f t="shared" ref="S25:S50" si="4">R25</f>
        <v>23</v>
      </c>
      <c r="T25" s="24">
        <f t="shared" si="3"/>
        <v>23</v>
      </c>
      <c r="U25" s="24">
        <f>ROUNDDOWN(S25/HLOOKUP(D25,Table!$C$3:$D$4,2,0)*8,2)</f>
        <v>0.4</v>
      </c>
      <c r="V25" s="24">
        <v>2</v>
      </c>
      <c r="W25" s="24" t="s">
        <v>21</v>
      </c>
      <c r="X25" s="28">
        <v>43922</v>
      </c>
      <c r="Y25" s="28">
        <v>43929</v>
      </c>
      <c r="Z25" s="28">
        <v>43922</v>
      </c>
      <c r="AA25" s="28">
        <v>43922</v>
      </c>
      <c r="AB25" s="160" t="s">
        <v>158</v>
      </c>
      <c r="AC25" s="32">
        <v>100</v>
      </c>
      <c r="AD25" s="32">
        <v>100</v>
      </c>
      <c r="AE25" s="32">
        <v>100</v>
      </c>
      <c r="AF25" s="32" t="s">
        <v>20</v>
      </c>
      <c r="AG25" s="27" t="s">
        <v>76</v>
      </c>
      <c r="AH25" s="27" t="s">
        <v>76</v>
      </c>
    </row>
    <row r="26" spans="1:34" x14ac:dyDescent="0.25">
      <c r="B26" s="133">
        <f t="shared" si="0"/>
        <v>24</v>
      </c>
      <c r="C26" s="26">
        <v>20200331</v>
      </c>
      <c r="D26" s="32" t="s">
        <v>3</v>
      </c>
      <c r="E26" s="26" t="s">
        <v>799</v>
      </c>
      <c r="F26" s="47" t="s">
        <v>1307</v>
      </c>
      <c r="G26" s="26">
        <v>1372839</v>
      </c>
      <c r="H26" s="231" t="s">
        <v>759</v>
      </c>
      <c r="I26" s="24" t="s">
        <v>194</v>
      </c>
      <c r="J26" s="54">
        <v>99180</v>
      </c>
      <c r="K26" s="24" t="s">
        <v>846</v>
      </c>
      <c r="L26" s="27" t="s">
        <v>76</v>
      </c>
      <c r="M26" s="27" t="s">
        <v>790</v>
      </c>
      <c r="N26" s="26" t="s">
        <v>811</v>
      </c>
      <c r="O26" s="23" t="s">
        <v>83</v>
      </c>
      <c r="P26" s="24"/>
      <c r="Q26" s="24"/>
      <c r="R26" s="24">
        <v>376</v>
      </c>
      <c r="S26" s="24">
        <f t="shared" si="4"/>
        <v>376</v>
      </c>
      <c r="T26" s="24">
        <f t="shared" si="3"/>
        <v>376</v>
      </c>
      <c r="U26" s="24">
        <f>ROUNDDOWN(S26/HLOOKUP(D26,Table!$C$3:$D$4,2,0)*8,2)</f>
        <v>6.68</v>
      </c>
      <c r="V26" s="24">
        <v>1</v>
      </c>
      <c r="W26" s="24" t="s">
        <v>21</v>
      </c>
      <c r="X26" s="28">
        <v>43922</v>
      </c>
      <c r="Y26" s="28">
        <v>43929</v>
      </c>
      <c r="Z26" s="28">
        <v>43922</v>
      </c>
      <c r="AA26" s="28">
        <v>43922</v>
      </c>
      <c r="AB26" s="32" t="s">
        <v>158</v>
      </c>
      <c r="AC26" s="32">
        <v>100</v>
      </c>
      <c r="AD26" s="32">
        <v>100</v>
      </c>
      <c r="AE26" s="32">
        <v>100</v>
      </c>
      <c r="AF26" s="32" t="s">
        <v>20</v>
      </c>
      <c r="AG26" s="27" t="s">
        <v>76</v>
      </c>
      <c r="AH26" s="27" t="s">
        <v>76</v>
      </c>
    </row>
    <row r="27" spans="1:34" x14ac:dyDescent="0.25">
      <c r="B27" s="133">
        <f t="shared" si="0"/>
        <v>25</v>
      </c>
      <c r="C27" s="26">
        <v>20200331</v>
      </c>
      <c r="D27" s="32" t="s">
        <v>3</v>
      </c>
      <c r="E27" s="26" t="s">
        <v>799</v>
      </c>
      <c r="F27" s="150" t="s">
        <v>1308</v>
      </c>
      <c r="G27" s="26">
        <v>1372839</v>
      </c>
      <c r="H27" s="26" t="s">
        <v>760</v>
      </c>
      <c r="I27" s="24" t="s">
        <v>194</v>
      </c>
      <c r="J27" s="54">
        <v>99180</v>
      </c>
      <c r="K27" s="24" t="s">
        <v>846</v>
      </c>
      <c r="L27" s="27" t="s">
        <v>76</v>
      </c>
      <c r="M27" s="27" t="s">
        <v>790</v>
      </c>
      <c r="N27" s="26" t="s">
        <v>812</v>
      </c>
      <c r="O27" s="23" t="s">
        <v>85</v>
      </c>
      <c r="P27" s="24"/>
      <c r="Q27" s="24"/>
      <c r="R27" s="24">
        <v>54</v>
      </c>
      <c r="S27" s="24">
        <f t="shared" si="4"/>
        <v>54</v>
      </c>
      <c r="T27" s="24">
        <f t="shared" ref="T27:T28" si="5">S27</f>
        <v>54</v>
      </c>
      <c r="U27" s="24">
        <f>ROUNDDOWN(S27/HLOOKUP(D27,Table!$C$3:$D$4,2,0)*8,2)</f>
        <v>0.96</v>
      </c>
      <c r="V27" s="24">
        <v>0.96</v>
      </c>
      <c r="W27" s="24" t="s">
        <v>21</v>
      </c>
      <c r="X27" s="28">
        <v>43922</v>
      </c>
      <c r="Y27" s="28">
        <v>43929</v>
      </c>
      <c r="Z27" s="28">
        <v>43927</v>
      </c>
      <c r="AA27" s="28">
        <v>43927</v>
      </c>
      <c r="AB27" s="31" t="s">
        <v>158</v>
      </c>
      <c r="AC27" s="32">
        <v>100</v>
      </c>
      <c r="AD27" s="32">
        <v>100</v>
      </c>
      <c r="AE27" s="32">
        <v>100</v>
      </c>
      <c r="AF27" s="168" t="s">
        <v>20</v>
      </c>
      <c r="AG27" s="27" t="s">
        <v>76</v>
      </c>
      <c r="AH27" s="27" t="s">
        <v>76</v>
      </c>
    </row>
    <row r="28" spans="1:34" x14ac:dyDescent="0.25">
      <c r="B28" s="133">
        <f t="shared" si="0"/>
        <v>26</v>
      </c>
      <c r="C28" s="26">
        <v>20200331</v>
      </c>
      <c r="D28" s="32" t="s">
        <v>3</v>
      </c>
      <c r="E28" s="26" t="s">
        <v>799</v>
      </c>
      <c r="F28" s="150" t="s">
        <v>1308</v>
      </c>
      <c r="G28" s="26">
        <v>1372839</v>
      </c>
      <c r="H28" s="26" t="s">
        <v>761</v>
      </c>
      <c r="I28" s="24" t="s">
        <v>194</v>
      </c>
      <c r="J28" s="54">
        <v>99180</v>
      </c>
      <c r="K28" s="24" t="s">
        <v>846</v>
      </c>
      <c r="L28" s="27" t="s">
        <v>76</v>
      </c>
      <c r="M28" s="27" t="s">
        <v>790</v>
      </c>
      <c r="N28" s="26" t="s">
        <v>813</v>
      </c>
      <c r="O28" s="24" t="s">
        <v>85</v>
      </c>
      <c r="P28" s="24"/>
      <c r="Q28" s="24"/>
      <c r="R28" s="24">
        <v>130</v>
      </c>
      <c r="S28" s="24">
        <f t="shared" si="4"/>
        <v>130</v>
      </c>
      <c r="T28" s="24">
        <f t="shared" si="5"/>
        <v>130</v>
      </c>
      <c r="U28" s="24">
        <f>ROUNDDOWN(S28/HLOOKUP(D28,Table!$C$3:$D$4,2,0)*8,2)</f>
        <v>2.31</v>
      </c>
      <c r="V28" s="24">
        <v>2.2999999999999998</v>
      </c>
      <c r="W28" s="24" t="s">
        <v>21</v>
      </c>
      <c r="X28" s="28">
        <v>43922</v>
      </c>
      <c r="Y28" s="28">
        <v>43929</v>
      </c>
      <c r="Z28" s="28">
        <v>43927</v>
      </c>
      <c r="AA28" s="28">
        <v>43927</v>
      </c>
      <c r="AB28" s="31" t="s">
        <v>158</v>
      </c>
      <c r="AC28" s="32">
        <v>100</v>
      </c>
      <c r="AD28" s="32">
        <v>100</v>
      </c>
      <c r="AE28" s="32">
        <v>100</v>
      </c>
      <c r="AF28" s="168" t="s">
        <v>20</v>
      </c>
      <c r="AG28" s="27" t="s">
        <v>76</v>
      </c>
      <c r="AH28" s="27" t="s">
        <v>76</v>
      </c>
    </row>
    <row r="29" spans="1:34" x14ac:dyDescent="0.25">
      <c r="B29" s="133">
        <f t="shared" si="0"/>
        <v>27</v>
      </c>
      <c r="C29" s="26">
        <v>20200331</v>
      </c>
      <c r="D29" s="32" t="s">
        <v>3</v>
      </c>
      <c r="E29" s="26" t="s">
        <v>799</v>
      </c>
      <c r="F29" s="150" t="s">
        <v>1309</v>
      </c>
      <c r="G29" s="26">
        <v>1372839</v>
      </c>
      <c r="H29" s="26" t="s">
        <v>110</v>
      </c>
      <c r="I29" s="24" t="s">
        <v>194</v>
      </c>
      <c r="J29" s="54">
        <v>99180</v>
      </c>
      <c r="K29" s="24" t="s">
        <v>846</v>
      </c>
      <c r="L29" s="27" t="s">
        <v>76</v>
      </c>
      <c r="M29" s="27" t="s">
        <v>790</v>
      </c>
      <c r="N29" s="26" t="s">
        <v>814</v>
      </c>
      <c r="O29" s="24" t="s">
        <v>82</v>
      </c>
      <c r="P29" s="24"/>
      <c r="Q29" s="24"/>
      <c r="R29" s="24">
        <v>77</v>
      </c>
      <c r="S29" s="24">
        <f t="shared" si="4"/>
        <v>77</v>
      </c>
      <c r="T29" s="24">
        <f>S29</f>
        <v>77</v>
      </c>
      <c r="U29" s="24">
        <f>ROUNDDOWN(S29/HLOOKUP(D29,Table!$C$3:$D$4,2,0)*8,2)</f>
        <v>1.36</v>
      </c>
      <c r="V29" s="24">
        <v>1.5</v>
      </c>
      <c r="W29" s="24" t="s">
        <v>21</v>
      </c>
      <c r="X29" s="28">
        <v>43922</v>
      </c>
      <c r="Y29" s="28">
        <v>43929</v>
      </c>
      <c r="Z29" s="28">
        <v>43928</v>
      </c>
      <c r="AA29" s="28">
        <v>43928</v>
      </c>
      <c r="AB29" s="32" t="s">
        <v>158</v>
      </c>
      <c r="AC29" s="32">
        <v>100</v>
      </c>
      <c r="AD29" s="32">
        <v>100</v>
      </c>
      <c r="AE29" s="32">
        <v>100</v>
      </c>
      <c r="AF29" s="32" t="s">
        <v>20</v>
      </c>
      <c r="AG29" s="27" t="s">
        <v>76</v>
      </c>
      <c r="AH29" s="27" t="s">
        <v>76</v>
      </c>
    </row>
    <row r="30" spans="1:34" x14ac:dyDescent="0.25">
      <c r="B30" s="133">
        <f t="shared" si="0"/>
        <v>28</v>
      </c>
      <c r="C30" s="26">
        <v>20200331</v>
      </c>
      <c r="D30" s="32" t="s">
        <v>3</v>
      </c>
      <c r="E30" s="26" t="s">
        <v>799</v>
      </c>
      <c r="F30" s="150" t="s">
        <v>76</v>
      </c>
      <c r="G30" s="26">
        <v>1372839</v>
      </c>
      <c r="H30" s="26" t="s">
        <v>112</v>
      </c>
      <c r="I30" s="24" t="s">
        <v>194</v>
      </c>
      <c r="J30" s="54">
        <v>99180</v>
      </c>
      <c r="K30" s="24" t="s">
        <v>846</v>
      </c>
      <c r="L30" s="27" t="s">
        <v>76</v>
      </c>
      <c r="M30" s="27" t="s">
        <v>790</v>
      </c>
      <c r="N30" s="26" t="s">
        <v>815</v>
      </c>
      <c r="O30" s="24" t="s">
        <v>84</v>
      </c>
      <c r="P30" s="24"/>
      <c r="Q30" s="24"/>
      <c r="R30" s="24">
        <v>200</v>
      </c>
      <c r="S30" s="24">
        <f t="shared" si="4"/>
        <v>200</v>
      </c>
      <c r="T30" s="24">
        <v>200</v>
      </c>
      <c r="U30" s="24">
        <f>ROUNDDOWN(S30/HLOOKUP(D30,Table!$C$3:$D$4,2,0)*8,2)</f>
        <v>3.55</v>
      </c>
      <c r="V30" s="24">
        <v>1</v>
      </c>
      <c r="W30" s="24" t="s">
        <v>21</v>
      </c>
      <c r="X30" s="28">
        <v>43922</v>
      </c>
      <c r="Y30" s="28">
        <v>43929</v>
      </c>
      <c r="Z30" s="28">
        <v>43922</v>
      </c>
      <c r="AA30" s="28">
        <v>43922</v>
      </c>
      <c r="AB30" s="32" t="s">
        <v>158</v>
      </c>
      <c r="AC30" s="32">
        <v>100</v>
      </c>
      <c r="AD30" s="32">
        <v>100</v>
      </c>
      <c r="AE30" s="32">
        <v>100</v>
      </c>
      <c r="AF30" s="32" t="s">
        <v>20</v>
      </c>
      <c r="AG30" s="27" t="s">
        <v>76</v>
      </c>
      <c r="AH30" s="27" t="s">
        <v>76</v>
      </c>
    </row>
    <row r="31" spans="1:34" x14ac:dyDescent="0.25">
      <c r="B31" s="133">
        <f t="shared" si="0"/>
        <v>29</v>
      </c>
      <c r="C31" s="26">
        <v>20200331</v>
      </c>
      <c r="D31" s="32" t="s">
        <v>3</v>
      </c>
      <c r="E31" s="26" t="s">
        <v>799</v>
      </c>
      <c r="F31" s="150" t="s">
        <v>1310</v>
      </c>
      <c r="G31" s="26">
        <v>1372839</v>
      </c>
      <c r="H31" s="26" t="s">
        <v>762</v>
      </c>
      <c r="I31" s="24" t="s">
        <v>194</v>
      </c>
      <c r="J31" s="54">
        <v>99180</v>
      </c>
      <c r="K31" s="24" t="s">
        <v>846</v>
      </c>
      <c r="L31" s="27" t="s">
        <v>76</v>
      </c>
      <c r="M31" s="27" t="s">
        <v>790</v>
      </c>
      <c r="N31" s="26" t="s">
        <v>816</v>
      </c>
      <c r="O31" s="24" t="s">
        <v>85</v>
      </c>
      <c r="P31" s="24"/>
      <c r="Q31" s="24"/>
      <c r="R31" s="24">
        <v>199</v>
      </c>
      <c r="S31" s="24">
        <f t="shared" si="4"/>
        <v>199</v>
      </c>
      <c r="T31" s="24">
        <f t="shared" ref="T31:T33" si="6">S31</f>
        <v>199</v>
      </c>
      <c r="U31" s="24">
        <f>ROUNDDOWN(S31/HLOOKUP(D31,Table!$C$3:$D$4,2,0)*8,2)</f>
        <v>3.53</v>
      </c>
      <c r="V31" s="24">
        <v>3.53</v>
      </c>
      <c r="W31" s="24" t="s">
        <v>21</v>
      </c>
      <c r="X31" s="28">
        <v>43922</v>
      </c>
      <c r="Y31" s="28">
        <v>43929</v>
      </c>
      <c r="Z31" s="28">
        <v>43927</v>
      </c>
      <c r="AA31" s="28">
        <v>43927</v>
      </c>
      <c r="AB31" s="32" t="s">
        <v>158</v>
      </c>
      <c r="AC31" s="168">
        <v>100</v>
      </c>
      <c r="AD31" s="168">
        <v>100</v>
      </c>
      <c r="AE31" s="168">
        <v>100</v>
      </c>
      <c r="AF31" s="168" t="s">
        <v>20</v>
      </c>
      <c r="AG31" s="27" t="s">
        <v>76</v>
      </c>
      <c r="AH31" s="27" t="s">
        <v>76</v>
      </c>
    </row>
    <row r="32" spans="1:34" x14ac:dyDescent="0.25">
      <c r="B32" s="133">
        <f t="shared" si="0"/>
        <v>30</v>
      </c>
      <c r="C32" s="26">
        <v>20200331</v>
      </c>
      <c r="D32" s="32" t="s">
        <v>3</v>
      </c>
      <c r="E32" s="26" t="s">
        <v>799</v>
      </c>
      <c r="F32" s="150" t="s">
        <v>1310</v>
      </c>
      <c r="G32" s="26">
        <v>1372839</v>
      </c>
      <c r="H32" s="26" t="s">
        <v>763</v>
      </c>
      <c r="I32" s="24" t="s">
        <v>194</v>
      </c>
      <c r="J32" s="54">
        <v>99180</v>
      </c>
      <c r="K32" s="24" t="s">
        <v>846</v>
      </c>
      <c r="L32" s="27" t="s">
        <v>76</v>
      </c>
      <c r="M32" s="27" t="s">
        <v>790</v>
      </c>
      <c r="N32" s="26" t="s">
        <v>817</v>
      </c>
      <c r="O32" s="24" t="s">
        <v>85</v>
      </c>
      <c r="P32" s="24"/>
      <c r="Q32" s="24"/>
      <c r="R32" s="24">
        <v>6</v>
      </c>
      <c r="S32" s="24">
        <f t="shared" si="4"/>
        <v>6</v>
      </c>
      <c r="T32" s="24">
        <f t="shared" si="6"/>
        <v>6</v>
      </c>
      <c r="U32" s="24">
        <f>ROUNDDOWN(S32/HLOOKUP(D32,Table!$C$3:$D$4,2,0)*8,2)</f>
        <v>0.1</v>
      </c>
      <c r="V32" s="24">
        <v>0.1</v>
      </c>
      <c r="W32" s="24" t="s">
        <v>21</v>
      </c>
      <c r="X32" s="28">
        <v>43922</v>
      </c>
      <c r="Y32" s="28">
        <v>43929</v>
      </c>
      <c r="Z32" s="28">
        <v>43927</v>
      </c>
      <c r="AA32" s="28">
        <v>43927</v>
      </c>
      <c r="AB32" s="32" t="s">
        <v>158</v>
      </c>
      <c r="AC32" s="32">
        <v>100</v>
      </c>
      <c r="AD32" s="32">
        <v>100</v>
      </c>
      <c r="AE32" s="32">
        <v>100</v>
      </c>
      <c r="AF32" s="168" t="s">
        <v>20</v>
      </c>
      <c r="AG32" s="27" t="s">
        <v>925</v>
      </c>
      <c r="AH32" s="27" t="s">
        <v>76</v>
      </c>
    </row>
    <row r="33" spans="2:34" x14ac:dyDescent="0.25">
      <c r="B33" s="133">
        <f t="shared" si="0"/>
        <v>31</v>
      </c>
      <c r="C33" s="26">
        <v>20200331</v>
      </c>
      <c r="D33" s="32" t="s">
        <v>3</v>
      </c>
      <c r="E33" s="26" t="s">
        <v>799</v>
      </c>
      <c r="F33" s="150" t="s">
        <v>1311</v>
      </c>
      <c r="G33" s="26">
        <v>1372753</v>
      </c>
      <c r="H33" s="26" t="s">
        <v>390</v>
      </c>
      <c r="I33" s="24" t="s">
        <v>194</v>
      </c>
      <c r="J33" s="54">
        <v>99181</v>
      </c>
      <c r="K33" s="24" t="s">
        <v>846</v>
      </c>
      <c r="L33" s="27" t="s">
        <v>76</v>
      </c>
      <c r="M33" s="27" t="s">
        <v>790</v>
      </c>
      <c r="N33" s="26" t="s">
        <v>818</v>
      </c>
      <c r="O33" s="24" t="s">
        <v>85</v>
      </c>
      <c r="P33" s="24"/>
      <c r="Q33" s="24"/>
      <c r="R33" s="24">
        <v>84</v>
      </c>
      <c r="S33" s="24">
        <f t="shared" si="4"/>
        <v>84</v>
      </c>
      <c r="T33" s="24">
        <f t="shared" si="6"/>
        <v>84</v>
      </c>
      <c r="U33" s="24">
        <f>ROUNDDOWN(S33/HLOOKUP(D33,Table!$C$3:$D$4,2,0)*8,2)</f>
        <v>1.49</v>
      </c>
      <c r="V33" s="24">
        <v>1.49</v>
      </c>
      <c r="W33" s="24" t="s">
        <v>21</v>
      </c>
      <c r="X33" s="28">
        <v>43922</v>
      </c>
      <c r="Y33" s="28">
        <v>43929</v>
      </c>
      <c r="Z33" s="28">
        <v>43927</v>
      </c>
      <c r="AA33" s="28">
        <v>43927</v>
      </c>
      <c r="AB33" s="32" t="s">
        <v>158</v>
      </c>
      <c r="AC33" s="32">
        <v>100</v>
      </c>
      <c r="AD33" s="32">
        <v>100</v>
      </c>
      <c r="AE33" s="32">
        <v>100</v>
      </c>
      <c r="AF33" s="168" t="s">
        <v>20</v>
      </c>
      <c r="AG33" s="27" t="s">
        <v>76</v>
      </c>
      <c r="AH33" s="27" t="s">
        <v>76</v>
      </c>
    </row>
    <row r="34" spans="2:34" x14ac:dyDescent="0.25">
      <c r="B34" s="133">
        <f t="shared" si="0"/>
        <v>32</v>
      </c>
      <c r="C34" s="26">
        <v>20200331</v>
      </c>
      <c r="D34" s="32" t="s">
        <v>3</v>
      </c>
      <c r="E34" s="26" t="s">
        <v>799</v>
      </c>
      <c r="F34" s="150" t="s">
        <v>1312</v>
      </c>
      <c r="G34" s="26">
        <v>1372753</v>
      </c>
      <c r="H34" s="26" t="s">
        <v>277</v>
      </c>
      <c r="I34" s="24" t="s">
        <v>194</v>
      </c>
      <c r="J34" s="54">
        <v>99181</v>
      </c>
      <c r="K34" s="24" t="s">
        <v>846</v>
      </c>
      <c r="L34" s="27" t="s">
        <v>76</v>
      </c>
      <c r="M34" s="27" t="s">
        <v>790</v>
      </c>
      <c r="N34" s="26" t="s">
        <v>819</v>
      </c>
      <c r="O34" s="24" t="s">
        <v>82</v>
      </c>
      <c r="P34" s="24"/>
      <c r="Q34" s="24"/>
      <c r="R34" s="24">
        <v>259</v>
      </c>
      <c r="S34" s="24">
        <f t="shared" si="4"/>
        <v>259</v>
      </c>
      <c r="T34" s="24">
        <f>S34</f>
        <v>259</v>
      </c>
      <c r="U34" s="24">
        <f>ROUNDDOWN(S34/HLOOKUP(D34,Table!$C$3:$D$4,2,0)*8,2)</f>
        <v>4.5999999999999996</v>
      </c>
      <c r="V34" s="24">
        <v>4.5</v>
      </c>
      <c r="W34" s="24" t="s">
        <v>21</v>
      </c>
      <c r="X34" s="28">
        <v>43922</v>
      </c>
      <c r="Y34" s="28">
        <v>43929</v>
      </c>
      <c r="Z34" s="28">
        <v>43928</v>
      </c>
      <c r="AA34" s="28">
        <v>43928</v>
      </c>
      <c r="AB34" s="31" t="s">
        <v>157</v>
      </c>
      <c r="AC34" s="32">
        <v>100</v>
      </c>
      <c r="AD34" s="32">
        <v>100</v>
      </c>
      <c r="AE34" s="32">
        <v>87</v>
      </c>
      <c r="AF34" s="32" t="s">
        <v>792</v>
      </c>
      <c r="AG34" s="27" t="s">
        <v>76</v>
      </c>
      <c r="AH34" s="27" t="s">
        <v>76</v>
      </c>
    </row>
    <row r="35" spans="2:34" x14ac:dyDescent="0.25">
      <c r="B35" s="133">
        <f t="shared" si="0"/>
        <v>33</v>
      </c>
      <c r="C35" s="26">
        <v>20200331</v>
      </c>
      <c r="D35" s="32" t="s">
        <v>3</v>
      </c>
      <c r="E35" s="26" t="s">
        <v>800</v>
      </c>
      <c r="F35" s="47" t="s">
        <v>1313</v>
      </c>
      <c r="G35" s="26">
        <v>1398196</v>
      </c>
      <c r="H35" s="26" t="s">
        <v>648</v>
      </c>
      <c r="I35" s="24" t="s">
        <v>193</v>
      </c>
      <c r="J35" s="54" t="s">
        <v>835</v>
      </c>
      <c r="K35" s="24" t="s">
        <v>847</v>
      </c>
      <c r="L35" s="27" t="s">
        <v>76</v>
      </c>
      <c r="M35" s="27" t="s">
        <v>852</v>
      </c>
      <c r="N35" s="26" t="s">
        <v>820</v>
      </c>
      <c r="O35" s="24" t="s">
        <v>85</v>
      </c>
      <c r="P35" s="24"/>
      <c r="Q35" s="24"/>
      <c r="R35" s="24">
        <v>155</v>
      </c>
      <c r="S35" s="25">
        <f>R35 +164 -R35</f>
        <v>164</v>
      </c>
      <c r="T35" s="24">
        <f t="shared" ref="T35:T36" si="7">S35</f>
        <v>164</v>
      </c>
      <c r="U35" s="24">
        <f>ROUNDDOWN(S35/HLOOKUP(D35,Table!$C$3:$D$4,2,0)*8,2)</f>
        <v>2.91</v>
      </c>
      <c r="V35" s="24">
        <v>2</v>
      </c>
      <c r="W35" s="24" t="s">
        <v>21</v>
      </c>
      <c r="X35" s="28">
        <v>43922</v>
      </c>
      <c r="Y35" s="28">
        <v>43929</v>
      </c>
      <c r="Z35" s="28">
        <v>43928</v>
      </c>
      <c r="AA35" s="28">
        <v>43928</v>
      </c>
      <c r="AB35" s="31" t="s">
        <v>158</v>
      </c>
      <c r="AC35" s="32">
        <v>100</v>
      </c>
      <c r="AD35" s="32">
        <v>100</v>
      </c>
      <c r="AE35" s="32">
        <v>100</v>
      </c>
      <c r="AF35" s="168" t="s">
        <v>20</v>
      </c>
      <c r="AG35" s="27" t="s">
        <v>76</v>
      </c>
      <c r="AH35" s="27" t="s">
        <v>76</v>
      </c>
    </row>
    <row r="36" spans="2:34" x14ac:dyDescent="0.25">
      <c r="B36" s="133">
        <f t="shared" si="0"/>
        <v>34</v>
      </c>
      <c r="C36" s="26">
        <v>20200331</v>
      </c>
      <c r="D36" s="32" t="s">
        <v>3</v>
      </c>
      <c r="E36" s="26" t="s">
        <v>800</v>
      </c>
      <c r="F36" s="47" t="s">
        <v>1314</v>
      </c>
      <c r="G36" s="26">
        <v>1398196</v>
      </c>
      <c r="H36" s="26" t="s">
        <v>272</v>
      </c>
      <c r="I36" s="24" t="s">
        <v>193</v>
      </c>
      <c r="J36" s="54" t="s">
        <v>836</v>
      </c>
      <c r="K36" s="24" t="s">
        <v>847</v>
      </c>
      <c r="L36" s="27" t="s">
        <v>76</v>
      </c>
      <c r="M36" s="27" t="s">
        <v>852</v>
      </c>
      <c r="N36" s="26" t="s">
        <v>821</v>
      </c>
      <c r="O36" s="24" t="s">
        <v>85</v>
      </c>
      <c r="P36" s="24"/>
      <c r="Q36" s="24"/>
      <c r="R36" s="24">
        <v>21</v>
      </c>
      <c r="S36" s="24">
        <f t="shared" si="4"/>
        <v>21</v>
      </c>
      <c r="T36" s="24">
        <f t="shared" si="7"/>
        <v>21</v>
      </c>
      <c r="U36" s="24">
        <f>ROUNDDOWN(S36/HLOOKUP(D36,Table!$C$3:$D$4,2,0)*8,2)</f>
        <v>0.37</v>
      </c>
      <c r="V36" s="24">
        <v>0.3</v>
      </c>
      <c r="W36" s="24" t="s">
        <v>21</v>
      </c>
      <c r="X36" s="28">
        <v>43922</v>
      </c>
      <c r="Y36" s="28">
        <v>43929</v>
      </c>
      <c r="Z36" s="28">
        <v>43928</v>
      </c>
      <c r="AA36" s="28">
        <v>43928</v>
      </c>
      <c r="AB36" s="31" t="s">
        <v>158</v>
      </c>
      <c r="AC36" s="32">
        <v>100</v>
      </c>
      <c r="AD36" s="32">
        <v>100</v>
      </c>
      <c r="AE36" s="32">
        <v>100</v>
      </c>
      <c r="AF36" s="168" t="s">
        <v>20</v>
      </c>
      <c r="AG36" s="27" t="s">
        <v>76</v>
      </c>
      <c r="AH36" s="27" t="s">
        <v>76</v>
      </c>
    </row>
    <row r="37" spans="2:34" x14ac:dyDescent="0.25">
      <c r="B37" s="133">
        <f t="shared" si="0"/>
        <v>35</v>
      </c>
      <c r="C37" s="26">
        <v>20200331</v>
      </c>
      <c r="D37" s="32" t="s">
        <v>3</v>
      </c>
      <c r="E37" s="26" t="s">
        <v>800</v>
      </c>
      <c r="F37" s="47" t="s">
        <v>1315</v>
      </c>
      <c r="G37" s="26">
        <v>1398196</v>
      </c>
      <c r="H37" s="26" t="s">
        <v>229</v>
      </c>
      <c r="I37" s="24" t="s">
        <v>193</v>
      </c>
      <c r="J37" s="54" t="s">
        <v>837</v>
      </c>
      <c r="K37" s="24" t="s">
        <v>847</v>
      </c>
      <c r="L37" s="27" t="s">
        <v>76</v>
      </c>
      <c r="M37" s="27" t="s">
        <v>852</v>
      </c>
      <c r="N37" s="26" t="s">
        <v>822</v>
      </c>
      <c r="O37" s="24" t="s">
        <v>85</v>
      </c>
      <c r="P37" s="24"/>
      <c r="Q37" s="24"/>
      <c r="R37" s="24">
        <v>165</v>
      </c>
      <c r="S37" s="24">
        <f t="shared" si="4"/>
        <v>165</v>
      </c>
      <c r="T37" s="24">
        <f>S37</f>
        <v>165</v>
      </c>
      <c r="U37" s="24">
        <f>ROUNDDOWN(S37/HLOOKUP(D37,Table!$C$3:$D$4,2,0)*8,2)</f>
        <v>2.93</v>
      </c>
      <c r="V37" s="24">
        <v>0.5</v>
      </c>
      <c r="W37" s="24" t="s">
        <v>21</v>
      </c>
      <c r="X37" s="28">
        <v>43922</v>
      </c>
      <c r="Y37" s="28">
        <v>43929</v>
      </c>
      <c r="Z37" s="28">
        <v>43928</v>
      </c>
      <c r="AA37" s="28">
        <v>43928</v>
      </c>
      <c r="AB37" s="31" t="s">
        <v>158</v>
      </c>
      <c r="AC37" s="32">
        <v>100</v>
      </c>
      <c r="AD37" s="32">
        <v>100</v>
      </c>
      <c r="AE37" s="32">
        <v>100</v>
      </c>
      <c r="AF37" s="168" t="s">
        <v>20</v>
      </c>
      <c r="AG37" s="27" t="s">
        <v>76</v>
      </c>
      <c r="AH37" s="27" t="s">
        <v>76</v>
      </c>
    </row>
    <row r="38" spans="2:34" x14ac:dyDescent="0.25">
      <c r="B38" s="133">
        <f t="shared" si="0"/>
        <v>36</v>
      </c>
      <c r="C38" s="26">
        <v>20200331</v>
      </c>
      <c r="D38" s="32" t="s">
        <v>3</v>
      </c>
      <c r="E38" s="26" t="s">
        <v>800</v>
      </c>
      <c r="F38" s="47" t="s">
        <v>1316</v>
      </c>
      <c r="G38" s="26">
        <v>1398196</v>
      </c>
      <c r="H38" s="26" t="s">
        <v>276</v>
      </c>
      <c r="I38" s="24" t="s">
        <v>193</v>
      </c>
      <c r="J38" s="54" t="s">
        <v>838</v>
      </c>
      <c r="K38" s="24" t="s">
        <v>847</v>
      </c>
      <c r="L38" s="27" t="s">
        <v>76</v>
      </c>
      <c r="M38" s="27" t="s">
        <v>852</v>
      </c>
      <c r="N38" s="26" t="s">
        <v>823</v>
      </c>
      <c r="O38" s="24" t="s">
        <v>82</v>
      </c>
      <c r="P38" s="24"/>
      <c r="Q38" s="24"/>
      <c r="R38" s="24">
        <v>280</v>
      </c>
      <c r="S38" s="24">
        <f t="shared" si="4"/>
        <v>280</v>
      </c>
      <c r="T38" s="24">
        <f t="shared" ref="T38:T41" si="8">S38</f>
        <v>280</v>
      </c>
      <c r="U38" s="24">
        <f>ROUNDDOWN(S38/HLOOKUP(D38,Table!$C$3:$D$4,2,0)*8,2)</f>
        <v>4.97</v>
      </c>
      <c r="V38" s="24">
        <v>5</v>
      </c>
      <c r="W38" s="24" t="s">
        <v>21</v>
      </c>
      <c r="X38" s="28">
        <v>43922</v>
      </c>
      <c r="Y38" s="28">
        <v>43929</v>
      </c>
      <c r="Z38" s="28">
        <v>43928</v>
      </c>
      <c r="AA38" s="28">
        <v>43928</v>
      </c>
      <c r="AB38" s="32" t="s">
        <v>158</v>
      </c>
      <c r="AC38" s="32">
        <v>100</v>
      </c>
      <c r="AD38" s="32">
        <v>100</v>
      </c>
      <c r="AE38" s="32">
        <v>100</v>
      </c>
      <c r="AF38" s="32" t="s">
        <v>20</v>
      </c>
      <c r="AG38" s="27" t="s">
        <v>76</v>
      </c>
      <c r="AH38" s="27" t="s">
        <v>76</v>
      </c>
    </row>
    <row r="39" spans="2:34" x14ac:dyDescent="0.25">
      <c r="B39" s="133">
        <f t="shared" si="0"/>
        <v>37</v>
      </c>
      <c r="C39" s="26">
        <v>20200331</v>
      </c>
      <c r="D39" s="32" t="s">
        <v>3</v>
      </c>
      <c r="E39" s="26" t="s">
        <v>800</v>
      </c>
      <c r="F39" s="47" t="s">
        <v>1317</v>
      </c>
      <c r="G39" s="26">
        <v>1398196</v>
      </c>
      <c r="H39" s="26" t="s">
        <v>660</v>
      </c>
      <c r="I39" s="24" t="s">
        <v>193</v>
      </c>
      <c r="J39" s="54" t="s">
        <v>839</v>
      </c>
      <c r="K39" s="24" t="s">
        <v>847</v>
      </c>
      <c r="L39" s="27" t="s">
        <v>76</v>
      </c>
      <c r="M39" s="27" t="s">
        <v>852</v>
      </c>
      <c r="N39" s="26" t="s">
        <v>824</v>
      </c>
      <c r="O39" s="24" t="s">
        <v>82</v>
      </c>
      <c r="P39" s="24"/>
      <c r="Q39" s="24"/>
      <c r="R39" s="24">
        <v>65</v>
      </c>
      <c r="S39" s="24">
        <f t="shared" si="4"/>
        <v>65</v>
      </c>
      <c r="T39" s="24">
        <f t="shared" si="8"/>
        <v>65</v>
      </c>
      <c r="U39" s="24">
        <f>ROUNDDOWN(S39/HLOOKUP(D39,Table!$C$3:$D$4,2,0)*8,2)</f>
        <v>1.1499999999999999</v>
      </c>
      <c r="V39" s="24">
        <v>1</v>
      </c>
      <c r="W39" s="24" t="s">
        <v>21</v>
      </c>
      <c r="X39" s="28">
        <v>43922</v>
      </c>
      <c r="Y39" s="28">
        <v>43929</v>
      </c>
      <c r="Z39" s="28">
        <v>43928</v>
      </c>
      <c r="AA39" s="28">
        <v>43928</v>
      </c>
      <c r="AB39" s="32" t="s">
        <v>158</v>
      </c>
      <c r="AC39" s="32">
        <v>100</v>
      </c>
      <c r="AD39" s="32">
        <v>100</v>
      </c>
      <c r="AE39" s="32">
        <v>100</v>
      </c>
      <c r="AF39" s="32" t="s">
        <v>20</v>
      </c>
      <c r="AG39" s="27" t="s">
        <v>76</v>
      </c>
      <c r="AH39" s="27" t="s">
        <v>76</v>
      </c>
    </row>
    <row r="40" spans="2:34" x14ac:dyDescent="0.25">
      <c r="B40" s="133">
        <f t="shared" si="0"/>
        <v>38</v>
      </c>
      <c r="C40" s="26">
        <v>20200331</v>
      </c>
      <c r="D40" s="32" t="s">
        <v>3</v>
      </c>
      <c r="E40" s="26" t="s">
        <v>800</v>
      </c>
      <c r="F40" s="47" t="s">
        <v>1318</v>
      </c>
      <c r="G40" s="26">
        <v>1398196</v>
      </c>
      <c r="H40" s="26" t="s">
        <v>660</v>
      </c>
      <c r="I40" s="24" t="s">
        <v>193</v>
      </c>
      <c r="J40" s="54" t="s">
        <v>840</v>
      </c>
      <c r="K40" s="24" t="s">
        <v>847</v>
      </c>
      <c r="L40" s="27" t="s">
        <v>76</v>
      </c>
      <c r="M40" s="27" t="s">
        <v>852</v>
      </c>
      <c r="N40" s="26" t="s">
        <v>825</v>
      </c>
      <c r="O40" s="24" t="s">
        <v>82</v>
      </c>
      <c r="P40" s="24"/>
      <c r="Q40" s="24"/>
      <c r="R40" s="24">
        <v>65</v>
      </c>
      <c r="S40" s="24">
        <f t="shared" si="4"/>
        <v>65</v>
      </c>
      <c r="T40" s="24">
        <f t="shared" si="8"/>
        <v>65</v>
      </c>
      <c r="U40" s="24">
        <f>ROUNDDOWN(S40/HLOOKUP(D40,Table!$C$3:$D$4,2,0)*8,2)</f>
        <v>1.1499999999999999</v>
      </c>
      <c r="V40" s="24">
        <v>1</v>
      </c>
      <c r="W40" s="24" t="s">
        <v>21</v>
      </c>
      <c r="X40" s="28">
        <v>43922</v>
      </c>
      <c r="Y40" s="28">
        <v>43929</v>
      </c>
      <c r="Z40" s="28">
        <v>43928</v>
      </c>
      <c r="AA40" s="28">
        <v>43928</v>
      </c>
      <c r="AB40" s="32" t="s">
        <v>158</v>
      </c>
      <c r="AC40" s="32">
        <v>100</v>
      </c>
      <c r="AD40" s="32">
        <v>100</v>
      </c>
      <c r="AE40" s="32">
        <v>100</v>
      </c>
      <c r="AF40" s="32" t="s">
        <v>20</v>
      </c>
      <c r="AG40" s="27" t="s">
        <v>76</v>
      </c>
      <c r="AH40" s="27" t="s">
        <v>76</v>
      </c>
    </row>
    <row r="41" spans="2:34" x14ac:dyDescent="0.25">
      <c r="B41" s="133">
        <f t="shared" si="0"/>
        <v>39</v>
      </c>
      <c r="C41" s="26">
        <v>20200331</v>
      </c>
      <c r="D41" s="32" t="s">
        <v>3</v>
      </c>
      <c r="E41" s="26" t="s">
        <v>800</v>
      </c>
      <c r="F41" s="47" t="s">
        <v>1319</v>
      </c>
      <c r="G41" s="26">
        <v>1398196</v>
      </c>
      <c r="H41" s="26" t="s">
        <v>660</v>
      </c>
      <c r="I41" s="24" t="s">
        <v>193</v>
      </c>
      <c r="J41" s="54" t="s">
        <v>841</v>
      </c>
      <c r="K41" s="24" t="s">
        <v>847</v>
      </c>
      <c r="L41" s="27" t="s">
        <v>76</v>
      </c>
      <c r="M41" s="27" t="s">
        <v>852</v>
      </c>
      <c r="N41" s="26" t="s">
        <v>826</v>
      </c>
      <c r="O41" s="24" t="s">
        <v>82</v>
      </c>
      <c r="P41" s="24"/>
      <c r="Q41" s="24"/>
      <c r="R41" s="24">
        <v>65</v>
      </c>
      <c r="S41" s="24">
        <f t="shared" si="4"/>
        <v>65</v>
      </c>
      <c r="T41" s="24">
        <f t="shared" si="8"/>
        <v>65</v>
      </c>
      <c r="U41" s="24">
        <f>ROUNDDOWN(S41/HLOOKUP(D41,Table!$C$3:$D$4,2,0)*8,2)</f>
        <v>1.1499999999999999</v>
      </c>
      <c r="V41" s="24">
        <v>1</v>
      </c>
      <c r="W41" s="24" t="s">
        <v>21</v>
      </c>
      <c r="X41" s="28">
        <v>43922</v>
      </c>
      <c r="Y41" s="28">
        <v>43929</v>
      </c>
      <c r="Z41" s="28">
        <v>43928</v>
      </c>
      <c r="AA41" s="28">
        <v>43928</v>
      </c>
      <c r="AB41" s="167" t="s">
        <v>158</v>
      </c>
      <c r="AC41" s="32">
        <v>100</v>
      </c>
      <c r="AD41" s="32">
        <v>100</v>
      </c>
      <c r="AE41" s="32">
        <v>100</v>
      </c>
      <c r="AF41" s="32" t="s">
        <v>20</v>
      </c>
      <c r="AG41" s="27" t="s">
        <v>76</v>
      </c>
      <c r="AH41" s="27" t="s">
        <v>76</v>
      </c>
    </row>
    <row r="42" spans="2:34" x14ac:dyDescent="0.25">
      <c r="B42" s="133">
        <f t="shared" si="0"/>
        <v>40</v>
      </c>
      <c r="C42" s="26">
        <v>20200331</v>
      </c>
      <c r="D42" s="32" t="s">
        <v>3</v>
      </c>
      <c r="E42" s="26" t="s">
        <v>800</v>
      </c>
      <c r="F42" s="47" t="s">
        <v>1320</v>
      </c>
      <c r="G42" s="26">
        <v>1398196</v>
      </c>
      <c r="H42" s="231" t="s">
        <v>391</v>
      </c>
      <c r="I42" s="24" t="s">
        <v>193</v>
      </c>
      <c r="J42" s="54" t="s">
        <v>842</v>
      </c>
      <c r="K42" s="24" t="s">
        <v>847</v>
      </c>
      <c r="L42" s="27" t="s">
        <v>76</v>
      </c>
      <c r="M42" s="27" t="s">
        <v>852</v>
      </c>
      <c r="N42" s="26" t="s">
        <v>827</v>
      </c>
      <c r="O42" s="24" t="s">
        <v>83</v>
      </c>
      <c r="P42" s="24"/>
      <c r="Q42" s="24"/>
      <c r="R42" s="24">
        <v>34</v>
      </c>
      <c r="S42" s="25">
        <f>R42+255-34</f>
        <v>255</v>
      </c>
      <c r="T42" s="24">
        <f>S42</f>
        <v>255</v>
      </c>
      <c r="U42" s="24">
        <f>ROUNDDOWN(S42/HLOOKUP(D42,Table!$C$3:$D$4,2,0)*8,2)</f>
        <v>4.53</v>
      </c>
      <c r="V42" s="24">
        <v>1</v>
      </c>
      <c r="W42" s="24" t="s">
        <v>21</v>
      </c>
      <c r="X42" s="28">
        <v>43922</v>
      </c>
      <c r="Y42" s="28">
        <v>43929</v>
      </c>
      <c r="Z42" s="28">
        <v>43922</v>
      </c>
      <c r="AA42" s="28">
        <v>43922</v>
      </c>
      <c r="AB42" s="160" t="s">
        <v>158</v>
      </c>
      <c r="AC42" s="32">
        <v>100</v>
      </c>
      <c r="AD42" s="32">
        <v>100</v>
      </c>
      <c r="AE42" s="32">
        <v>100</v>
      </c>
      <c r="AF42" s="32" t="s">
        <v>20</v>
      </c>
      <c r="AG42" s="27" t="s">
        <v>76</v>
      </c>
      <c r="AH42" s="27" t="s">
        <v>76</v>
      </c>
    </row>
    <row r="43" spans="2:34" x14ac:dyDescent="0.25">
      <c r="B43" s="133">
        <f t="shared" si="0"/>
        <v>41</v>
      </c>
      <c r="C43" s="26">
        <v>20200331</v>
      </c>
      <c r="D43" s="32" t="s">
        <v>3</v>
      </c>
      <c r="E43" s="26" t="s">
        <v>800</v>
      </c>
      <c r="F43" s="47" t="s">
        <v>1321</v>
      </c>
      <c r="G43" s="26">
        <v>1398196</v>
      </c>
      <c r="H43" s="231" t="s">
        <v>391</v>
      </c>
      <c r="I43" s="24" t="s">
        <v>193</v>
      </c>
      <c r="J43" s="54" t="s">
        <v>843</v>
      </c>
      <c r="K43" s="24" t="s">
        <v>847</v>
      </c>
      <c r="L43" s="27" t="s">
        <v>76</v>
      </c>
      <c r="M43" s="27" t="s">
        <v>852</v>
      </c>
      <c r="N43" s="26" t="s">
        <v>828</v>
      </c>
      <c r="O43" s="24" t="s">
        <v>83</v>
      </c>
      <c r="P43" s="24"/>
      <c r="Q43" s="24"/>
      <c r="R43" s="24">
        <v>34</v>
      </c>
      <c r="S43" s="25">
        <f>R43+176-R43</f>
        <v>176</v>
      </c>
      <c r="T43" s="24">
        <f>S43</f>
        <v>176</v>
      </c>
      <c r="U43" s="24">
        <f>ROUNDDOWN(S43/HLOOKUP(D43,Table!$C$3:$D$4,2,0)*8,2)</f>
        <v>3.12</v>
      </c>
      <c r="V43" s="24">
        <v>1</v>
      </c>
      <c r="W43" s="24" t="s">
        <v>21</v>
      </c>
      <c r="X43" s="28">
        <v>43922</v>
      </c>
      <c r="Y43" s="28">
        <v>43929</v>
      </c>
      <c r="Z43" s="28">
        <v>43922</v>
      </c>
      <c r="AA43" s="28">
        <v>43922</v>
      </c>
      <c r="AB43" s="160" t="s">
        <v>158</v>
      </c>
      <c r="AC43" s="32">
        <v>100</v>
      </c>
      <c r="AD43" s="32">
        <v>100</v>
      </c>
      <c r="AE43" s="32">
        <v>100</v>
      </c>
      <c r="AF43" s="32" t="s">
        <v>20</v>
      </c>
      <c r="AG43" s="27" t="s">
        <v>76</v>
      </c>
      <c r="AH43" s="27" t="s">
        <v>76</v>
      </c>
    </row>
    <row r="44" spans="2:34" x14ac:dyDescent="0.25">
      <c r="B44" s="133">
        <f t="shared" si="0"/>
        <v>42</v>
      </c>
      <c r="C44" s="26">
        <v>20200331</v>
      </c>
      <c r="D44" s="32" t="s">
        <v>3</v>
      </c>
      <c r="E44" s="26" t="s">
        <v>800</v>
      </c>
      <c r="F44" s="47" t="s">
        <v>1322</v>
      </c>
      <c r="G44" s="26">
        <v>1398196</v>
      </c>
      <c r="H44" s="231" t="s">
        <v>391</v>
      </c>
      <c r="I44" s="24" t="s">
        <v>193</v>
      </c>
      <c r="J44" s="54" t="s">
        <v>844</v>
      </c>
      <c r="K44" s="24" t="s">
        <v>847</v>
      </c>
      <c r="L44" s="27" t="s">
        <v>76</v>
      </c>
      <c r="M44" s="27" t="s">
        <v>852</v>
      </c>
      <c r="N44" s="26" t="s">
        <v>829</v>
      </c>
      <c r="O44" s="24" t="s">
        <v>83</v>
      </c>
      <c r="P44" s="24"/>
      <c r="Q44" s="24"/>
      <c r="R44" s="24">
        <v>34</v>
      </c>
      <c r="S44" s="25">
        <f>R44+122-R44</f>
        <v>122</v>
      </c>
      <c r="T44" s="24">
        <f>S44</f>
        <v>122</v>
      </c>
      <c r="U44" s="24">
        <f>ROUNDDOWN(S44/HLOOKUP(D44,Table!$C$3:$D$4,2,0)*8,2)</f>
        <v>2.16</v>
      </c>
      <c r="V44" s="24">
        <v>1</v>
      </c>
      <c r="W44" s="24" t="s">
        <v>21</v>
      </c>
      <c r="X44" s="28">
        <v>43922</v>
      </c>
      <c r="Y44" s="28">
        <v>43929</v>
      </c>
      <c r="Z44" s="28">
        <v>43922</v>
      </c>
      <c r="AA44" s="28">
        <v>43922</v>
      </c>
      <c r="AB44" s="160" t="s">
        <v>158</v>
      </c>
      <c r="AC44" s="32">
        <v>100</v>
      </c>
      <c r="AD44" s="32">
        <v>100</v>
      </c>
      <c r="AE44" s="32">
        <v>100</v>
      </c>
      <c r="AF44" s="32" t="s">
        <v>20</v>
      </c>
      <c r="AG44" s="27" t="s">
        <v>76</v>
      </c>
      <c r="AH44" s="27" t="s">
        <v>76</v>
      </c>
    </row>
    <row r="45" spans="2:34" x14ac:dyDescent="0.25">
      <c r="B45" s="133">
        <f t="shared" si="0"/>
        <v>43</v>
      </c>
      <c r="C45" s="26">
        <v>20200331</v>
      </c>
      <c r="D45" s="32" t="s">
        <v>3</v>
      </c>
      <c r="E45" s="26" t="s">
        <v>800</v>
      </c>
      <c r="F45" s="47" t="s">
        <v>1323</v>
      </c>
      <c r="G45" s="26">
        <v>1398196</v>
      </c>
      <c r="H45" s="26" t="s">
        <v>236</v>
      </c>
      <c r="I45" s="24" t="s">
        <v>193</v>
      </c>
      <c r="J45" s="54" t="s">
        <v>845</v>
      </c>
      <c r="K45" s="24" t="s">
        <v>847</v>
      </c>
      <c r="L45" s="27" t="s">
        <v>76</v>
      </c>
      <c r="M45" s="27" t="s">
        <v>852</v>
      </c>
      <c r="N45" s="26" t="s">
        <v>830</v>
      </c>
      <c r="O45" s="24" t="s">
        <v>85</v>
      </c>
      <c r="P45" s="24"/>
      <c r="Q45" s="24"/>
      <c r="R45" s="24">
        <v>220</v>
      </c>
      <c r="S45" s="25">
        <f>R45 + 295 -R45</f>
        <v>295</v>
      </c>
      <c r="T45" s="24">
        <f>S45</f>
        <v>295</v>
      </c>
      <c r="U45" s="24">
        <f>ROUNDDOWN(S45/HLOOKUP(D45,Table!$C$3:$D$4,2,0)*8,2)</f>
        <v>5.24</v>
      </c>
      <c r="V45" s="24">
        <v>2</v>
      </c>
      <c r="W45" s="24" t="s">
        <v>21</v>
      </c>
      <c r="X45" s="28">
        <v>43922</v>
      </c>
      <c r="Y45" s="28">
        <v>43929</v>
      </c>
      <c r="Z45" s="28">
        <v>43928</v>
      </c>
      <c r="AA45" s="28">
        <v>43928</v>
      </c>
      <c r="AB45" s="31" t="s">
        <v>157</v>
      </c>
      <c r="AC45" s="32">
        <v>96</v>
      </c>
      <c r="AD45" s="32">
        <v>94</v>
      </c>
      <c r="AE45" s="32">
        <v>94</v>
      </c>
      <c r="AF45" s="32" t="s">
        <v>792</v>
      </c>
      <c r="AG45" s="75" t="s">
        <v>979</v>
      </c>
      <c r="AH45" s="27" t="s">
        <v>76</v>
      </c>
    </row>
    <row r="46" spans="2:34" x14ac:dyDescent="0.25">
      <c r="B46" s="133">
        <f t="shared" si="0"/>
        <v>44</v>
      </c>
      <c r="C46" s="26">
        <v>20200331</v>
      </c>
      <c r="D46" s="32" t="s">
        <v>3</v>
      </c>
      <c r="E46" s="26" t="s">
        <v>801</v>
      </c>
      <c r="F46" s="47" t="s">
        <v>1324</v>
      </c>
      <c r="G46" s="26">
        <v>1397051</v>
      </c>
      <c r="H46" s="26" t="s">
        <v>804</v>
      </c>
      <c r="I46" s="24" t="s">
        <v>193</v>
      </c>
      <c r="J46" s="54">
        <v>99377</v>
      </c>
      <c r="K46" s="24" t="s">
        <v>849</v>
      </c>
      <c r="L46" s="27" t="s">
        <v>76</v>
      </c>
      <c r="M46" s="27" t="s">
        <v>853</v>
      </c>
      <c r="N46" s="26" t="s">
        <v>831</v>
      </c>
      <c r="O46" s="24" t="s">
        <v>84</v>
      </c>
      <c r="P46" s="24"/>
      <c r="Q46" s="24"/>
      <c r="R46" s="24">
        <v>156</v>
      </c>
      <c r="S46" s="25">
        <f>R46+159-156</f>
        <v>159</v>
      </c>
      <c r="T46" s="24">
        <f t="shared" ref="T46:T51" si="9">S46</f>
        <v>159</v>
      </c>
      <c r="U46" s="24">
        <f>ROUNDDOWN(S46/HLOOKUP(D46,Table!$C$3:$D$4,2,0)*8,2)</f>
        <v>2.82</v>
      </c>
      <c r="V46" s="24">
        <v>1.5</v>
      </c>
      <c r="W46" s="24" t="s">
        <v>21</v>
      </c>
      <c r="X46" s="28">
        <v>43922</v>
      </c>
      <c r="Y46" s="28">
        <v>43929</v>
      </c>
      <c r="Z46" s="28">
        <v>43922</v>
      </c>
      <c r="AA46" s="28">
        <v>43922</v>
      </c>
      <c r="AB46" s="160" t="s">
        <v>158</v>
      </c>
      <c r="AC46" s="32">
        <v>100</v>
      </c>
      <c r="AD46" s="32">
        <v>100</v>
      </c>
      <c r="AE46" s="32">
        <v>100</v>
      </c>
      <c r="AF46" s="32" t="s">
        <v>20</v>
      </c>
      <c r="AG46" s="27" t="s">
        <v>76</v>
      </c>
      <c r="AH46" s="27" t="s">
        <v>76</v>
      </c>
    </row>
    <row r="47" spans="2:34" x14ac:dyDescent="0.25">
      <c r="B47" s="133">
        <f t="shared" si="0"/>
        <v>45</v>
      </c>
      <c r="C47" s="26">
        <v>20200331</v>
      </c>
      <c r="D47" s="32" t="s">
        <v>3</v>
      </c>
      <c r="E47" s="26" t="s">
        <v>801</v>
      </c>
      <c r="F47" s="47" t="s">
        <v>264</v>
      </c>
      <c r="G47" s="26">
        <v>1397036</v>
      </c>
      <c r="H47" s="26" t="s">
        <v>804</v>
      </c>
      <c r="I47" s="24" t="s">
        <v>193</v>
      </c>
      <c r="J47" s="54">
        <v>99301</v>
      </c>
      <c r="K47" s="24" t="s">
        <v>850</v>
      </c>
      <c r="L47" s="27" t="s">
        <v>76</v>
      </c>
      <c r="M47" s="27" t="s">
        <v>853</v>
      </c>
      <c r="N47" s="26" t="s">
        <v>832</v>
      </c>
      <c r="O47" s="24" t="s">
        <v>84</v>
      </c>
      <c r="P47" s="24"/>
      <c r="Q47" s="24"/>
      <c r="R47" s="24">
        <v>156</v>
      </c>
      <c r="S47" s="25">
        <f>R47+159-156</f>
        <v>159</v>
      </c>
      <c r="T47" s="24">
        <f t="shared" si="9"/>
        <v>159</v>
      </c>
      <c r="U47" s="24">
        <f>ROUNDDOWN(S47/HLOOKUP(D47,Table!$C$3:$D$4,2,0)*8,2)</f>
        <v>2.82</v>
      </c>
      <c r="V47" s="24">
        <v>1.5</v>
      </c>
      <c r="W47" s="24" t="s">
        <v>21</v>
      </c>
      <c r="X47" s="28">
        <v>43922</v>
      </c>
      <c r="Y47" s="28">
        <v>43929</v>
      </c>
      <c r="Z47" s="28">
        <v>43922</v>
      </c>
      <c r="AA47" s="28">
        <v>43922</v>
      </c>
      <c r="AB47" s="160" t="s">
        <v>158</v>
      </c>
      <c r="AC47" s="32">
        <v>100</v>
      </c>
      <c r="AD47" s="32">
        <v>100</v>
      </c>
      <c r="AE47" s="32">
        <v>100</v>
      </c>
      <c r="AF47" s="32" t="s">
        <v>20</v>
      </c>
      <c r="AG47" s="27" t="s">
        <v>76</v>
      </c>
      <c r="AH47" s="27" t="s">
        <v>76</v>
      </c>
    </row>
    <row r="48" spans="2:34" x14ac:dyDescent="0.25">
      <c r="B48" s="133">
        <f t="shared" si="0"/>
        <v>46</v>
      </c>
      <c r="C48" s="26">
        <v>20200331</v>
      </c>
      <c r="D48" s="32" t="s">
        <v>3</v>
      </c>
      <c r="E48" s="26" t="s">
        <v>802</v>
      </c>
      <c r="F48" s="47" t="s">
        <v>1325</v>
      </c>
      <c r="G48" s="26">
        <v>1396341</v>
      </c>
      <c r="H48" s="26" t="s">
        <v>805</v>
      </c>
      <c r="I48" s="24" t="s">
        <v>193</v>
      </c>
      <c r="J48" s="154" t="s">
        <v>76</v>
      </c>
      <c r="K48" s="24" t="s">
        <v>102</v>
      </c>
      <c r="L48" s="27" t="s">
        <v>76</v>
      </c>
      <c r="M48" s="27" t="s">
        <v>854</v>
      </c>
      <c r="N48" s="26" t="s">
        <v>833</v>
      </c>
      <c r="O48" s="24" t="s">
        <v>84</v>
      </c>
      <c r="P48" s="24"/>
      <c r="Q48" s="24"/>
      <c r="R48" s="24">
        <v>46</v>
      </c>
      <c r="S48" s="24">
        <f t="shared" si="4"/>
        <v>46</v>
      </c>
      <c r="T48" s="24">
        <f t="shared" si="9"/>
        <v>46</v>
      </c>
      <c r="U48" s="24">
        <f>ROUNDDOWN(S48/HLOOKUP(D48,Table!$C$3:$D$4,2,0)*8,2)</f>
        <v>0.81</v>
      </c>
      <c r="V48" s="24">
        <v>0.5</v>
      </c>
      <c r="W48" s="24" t="s">
        <v>21</v>
      </c>
      <c r="X48" s="28">
        <v>43922</v>
      </c>
      <c r="Y48" s="28">
        <v>43929</v>
      </c>
      <c r="Z48" s="28">
        <v>43922</v>
      </c>
      <c r="AA48" s="28">
        <v>43922</v>
      </c>
      <c r="AB48" s="160" t="s">
        <v>158</v>
      </c>
      <c r="AC48" s="32">
        <v>100</v>
      </c>
      <c r="AD48" s="32">
        <v>100</v>
      </c>
      <c r="AE48" s="32">
        <v>100</v>
      </c>
      <c r="AF48" s="32" t="s">
        <v>20</v>
      </c>
      <c r="AG48" s="27" t="s">
        <v>76</v>
      </c>
      <c r="AH48" s="27" t="s">
        <v>76</v>
      </c>
    </row>
    <row r="49" spans="1:34" x14ac:dyDescent="0.25">
      <c r="B49" s="133">
        <f t="shared" si="0"/>
        <v>47</v>
      </c>
      <c r="C49" s="26">
        <v>20200331</v>
      </c>
      <c r="D49" s="32" t="s">
        <v>3</v>
      </c>
      <c r="E49" s="26" t="s">
        <v>802</v>
      </c>
      <c r="F49" s="47" t="s">
        <v>1325</v>
      </c>
      <c r="G49" s="26">
        <v>1396341</v>
      </c>
      <c r="H49" s="26" t="s">
        <v>806</v>
      </c>
      <c r="I49" s="24" t="s">
        <v>193</v>
      </c>
      <c r="J49" s="154" t="s">
        <v>76</v>
      </c>
      <c r="K49" s="24" t="s">
        <v>102</v>
      </c>
      <c r="L49" s="27" t="s">
        <v>76</v>
      </c>
      <c r="M49" s="27" t="s">
        <v>854</v>
      </c>
      <c r="N49" s="26" t="s">
        <v>863</v>
      </c>
      <c r="O49" s="24" t="s">
        <v>84</v>
      </c>
      <c r="P49" s="24"/>
      <c r="Q49" s="24"/>
      <c r="R49" s="24">
        <v>40</v>
      </c>
      <c r="S49" s="24">
        <f t="shared" si="4"/>
        <v>40</v>
      </c>
      <c r="T49" s="24">
        <f t="shared" si="9"/>
        <v>40</v>
      </c>
      <c r="U49" s="24">
        <f>ROUNDDOWN(S49/HLOOKUP(D49,Table!$C$3:$D$4,2,0)*8,2)</f>
        <v>0.71</v>
      </c>
      <c r="V49" s="24">
        <v>0.5</v>
      </c>
      <c r="W49" s="24" t="s">
        <v>21</v>
      </c>
      <c r="X49" s="28">
        <v>43922</v>
      </c>
      <c r="Y49" s="28">
        <v>43929</v>
      </c>
      <c r="Z49" s="28">
        <v>43922</v>
      </c>
      <c r="AA49" s="28">
        <v>43922</v>
      </c>
      <c r="AB49" s="160" t="s">
        <v>158</v>
      </c>
      <c r="AC49" s="23">
        <v>100</v>
      </c>
      <c r="AD49" s="23">
        <v>100</v>
      </c>
      <c r="AE49" s="23">
        <v>100</v>
      </c>
      <c r="AF49" s="23" t="s">
        <v>20</v>
      </c>
      <c r="AG49" s="27" t="s">
        <v>76</v>
      </c>
      <c r="AH49" s="27" t="s">
        <v>76</v>
      </c>
    </row>
    <row r="50" spans="1:34" x14ac:dyDescent="0.25">
      <c r="B50" s="133">
        <f t="shared" si="0"/>
        <v>48</v>
      </c>
      <c r="C50" s="26">
        <v>20200331</v>
      </c>
      <c r="D50" s="32" t="s">
        <v>3</v>
      </c>
      <c r="E50" s="26" t="s">
        <v>803</v>
      </c>
      <c r="F50" s="47" t="s">
        <v>1326</v>
      </c>
      <c r="G50" s="26">
        <v>1395915</v>
      </c>
      <c r="H50" s="26" t="s">
        <v>834</v>
      </c>
      <c r="I50" s="24" t="s">
        <v>193</v>
      </c>
      <c r="J50" s="54">
        <v>81615</v>
      </c>
      <c r="K50" s="24" t="s">
        <v>851</v>
      </c>
      <c r="L50" s="27" t="s">
        <v>76</v>
      </c>
      <c r="M50" s="27" t="s">
        <v>855</v>
      </c>
      <c r="N50" s="26" t="s">
        <v>864</v>
      </c>
      <c r="O50" s="24" t="s">
        <v>84</v>
      </c>
      <c r="P50" s="24"/>
      <c r="Q50" s="24"/>
      <c r="R50" s="24">
        <v>136</v>
      </c>
      <c r="S50" s="24">
        <f t="shared" si="4"/>
        <v>136</v>
      </c>
      <c r="T50" s="24">
        <f t="shared" si="9"/>
        <v>136</v>
      </c>
      <c r="U50" s="24">
        <f>ROUNDDOWN(S50/HLOOKUP(D50,Table!$C$3:$D$4,2,0)*8,2)</f>
        <v>2.41</v>
      </c>
      <c r="V50" s="24">
        <v>1</v>
      </c>
      <c r="W50" s="24" t="s">
        <v>105</v>
      </c>
      <c r="X50" s="28">
        <v>43922</v>
      </c>
      <c r="Y50" s="28">
        <v>43929</v>
      </c>
      <c r="Z50" s="28">
        <v>43922</v>
      </c>
      <c r="AA50" s="28">
        <v>43922</v>
      </c>
      <c r="AB50" s="160" t="s">
        <v>158</v>
      </c>
      <c r="AC50" s="32">
        <v>100</v>
      </c>
      <c r="AD50" s="32">
        <v>100</v>
      </c>
      <c r="AE50" s="32">
        <v>100</v>
      </c>
      <c r="AF50" s="32" t="s">
        <v>20</v>
      </c>
      <c r="AG50" s="27" t="s">
        <v>76</v>
      </c>
      <c r="AH50" s="27" t="s">
        <v>76</v>
      </c>
    </row>
    <row r="51" spans="1:34" x14ac:dyDescent="0.25">
      <c r="B51" s="165">
        <f t="shared" si="0"/>
        <v>49</v>
      </c>
      <c r="C51" s="26">
        <v>20200403</v>
      </c>
      <c r="D51" s="32" t="s">
        <v>3</v>
      </c>
      <c r="E51" s="26" t="s">
        <v>856</v>
      </c>
      <c r="F51" s="150" t="s">
        <v>1327</v>
      </c>
      <c r="G51" s="26">
        <v>1401513</v>
      </c>
      <c r="H51" s="231" t="s">
        <v>857</v>
      </c>
      <c r="I51" s="24" t="s">
        <v>193</v>
      </c>
      <c r="J51" s="154" t="s">
        <v>76</v>
      </c>
      <c r="K51" s="24" t="s">
        <v>861</v>
      </c>
      <c r="L51" s="27" t="s">
        <v>76</v>
      </c>
      <c r="M51" s="27" t="s">
        <v>862</v>
      </c>
      <c r="N51" s="26" t="s">
        <v>865</v>
      </c>
      <c r="O51" s="24" t="s">
        <v>83</v>
      </c>
      <c r="P51" s="24"/>
      <c r="Q51" s="24"/>
      <c r="R51" s="24">
        <v>370</v>
      </c>
      <c r="S51" s="25">
        <f>R51+388-R51</f>
        <v>388</v>
      </c>
      <c r="T51" s="24">
        <f t="shared" si="9"/>
        <v>388</v>
      </c>
      <c r="U51" s="24">
        <f>ROUNDDOWN(S51/HLOOKUP(D51,Table!$C$3:$D$4,2,0)*8,2)</f>
        <v>6.89</v>
      </c>
      <c r="V51" s="24">
        <v>4</v>
      </c>
      <c r="W51" s="24" t="s">
        <v>21</v>
      </c>
      <c r="X51" s="28">
        <v>43924</v>
      </c>
      <c r="Y51" s="28">
        <v>43924</v>
      </c>
      <c r="Z51" s="28">
        <v>43924</v>
      </c>
      <c r="AA51" s="28">
        <v>43924</v>
      </c>
      <c r="AB51" s="160" t="s">
        <v>158</v>
      </c>
      <c r="AC51" s="32">
        <v>100</v>
      </c>
      <c r="AD51" s="32">
        <v>100</v>
      </c>
      <c r="AE51" s="32">
        <v>100</v>
      </c>
      <c r="AF51" s="32" t="s">
        <v>20</v>
      </c>
      <c r="AG51" s="27" t="s">
        <v>76</v>
      </c>
      <c r="AH51" s="27" t="s">
        <v>76</v>
      </c>
    </row>
    <row r="52" spans="1:34" x14ac:dyDescent="0.25">
      <c r="B52" s="165">
        <f t="shared" si="0"/>
        <v>50</v>
      </c>
      <c r="C52" s="26">
        <v>20200403</v>
      </c>
      <c r="D52" s="32" t="s">
        <v>3</v>
      </c>
      <c r="E52" s="26" t="s">
        <v>856</v>
      </c>
      <c r="F52" s="150" t="s">
        <v>76</v>
      </c>
      <c r="G52" s="26">
        <v>1401513</v>
      </c>
      <c r="H52" s="26" t="s">
        <v>760</v>
      </c>
      <c r="I52" s="24" t="s">
        <v>193</v>
      </c>
      <c r="J52" s="154" t="s">
        <v>76</v>
      </c>
      <c r="K52" s="24" t="s">
        <v>861</v>
      </c>
      <c r="L52" s="27" t="s">
        <v>76</v>
      </c>
      <c r="M52" s="27" t="s">
        <v>862</v>
      </c>
      <c r="N52" s="26" t="s">
        <v>866</v>
      </c>
      <c r="O52" s="24" t="s">
        <v>82</v>
      </c>
      <c r="P52" s="24"/>
      <c r="Q52" s="24"/>
      <c r="R52" s="24">
        <v>54</v>
      </c>
      <c r="S52" s="24">
        <f t="shared" ref="S52:S59" si="10">R52</f>
        <v>54</v>
      </c>
      <c r="T52" s="24">
        <f t="shared" ref="T52:T59" si="11">S52</f>
        <v>54</v>
      </c>
      <c r="U52" s="24">
        <f>ROUNDDOWN(S52/HLOOKUP(D52,Table!$C$3:$D$4,2,0)*8,2)</f>
        <v>0.96</v>
      </c>
      <c r="V52" s="24">
        <v>1</v>
      </c>
      <c r="W52" s="24" t="s">
        <v>21</v>
      </c>
      <c r="X52" s="28">
        <v>43924</v>
      </c>
      <c r="Y52" s="28">
        <v>43924</v>
      </c>
      <c r="Z52" s="28">
        <v>43924</v>
      </c>
      <c r="AA52" s="28">
        <v>43924</v>
      </c>
      <c r="AB52" s="160" t="s">
        <v>158</v>
      </c>
      <c r="AC52" s="32">
        <v>100</v>
      </c>
      <c r="AD52" s="32">
        <v>100</v>
      </c>
      <c r="AE52" s="32">
        <v>100</v>
      </c>
      <c r="AF52" s="32" t="s">
        <v>20</v>
      </c>
      <c r="AG52" s="27" t="s">
        <v>76</v>
      </c>
      <c r="AH52" s="27" t="s">
        <v>76</v>
      </c>
    </row>
    <row r="53" spans="1:34" x14ac:dyDescent="0.25">
      <c r="B53" s="165">
        <f t="shared" si="0"/>
        <v>51</v>
      </c>
      <c r="C53" s="26">
        <v>20200403</v>
      </c>
      <c r="D53" s="32" t="s">
        <v>3</v>
      </c>
      <c r="E53" s="26" t="s">
        <v>856</v>
      </c>
      <c r="F53" s="150" t="s">
        <v>76</v>
      </c>
      <c r="G53" s="26">
        <v>1401513</v>
      </c>
      <c r="H53" s="26" t="s">
        <v>79</v>
      </c>
      <c r="I53" s="24" t="s">
        <v>193</v>
      </c>
      <c r="J53" s="154" t="s">
        <v>76</v>
      </c>
      <c r="K53" s="24" t="s">
        <v>861</v>
      </c>
      <c r="L53" s="27" t="s">
        <v>76</v>
      </c>
      <c r="M53" s="27" t="s">
        <v>862</v>
      </c>
      <c r="N53" s="26" t="s">
        <v>867</v>
      </c>
      <c r="O53" s="24" t="s">
        <v>84</v>
      </c>
      <c r="P53" s="24"/>
      <c r="Q53" s="24"/>
      <c r="R53" s="24">
        <v>286</v>
      </c>
      <c r="S53" s="24">
        <f t="shared" si="10"/>
        <v>286</v>
      </c>
      <c r="T53" s="24">
        <f t="shared" si="11"/>
        <v>286</v>
      </c>
      <c r="U53" s="24">
        <f>ROUNDDOWN(S53/HLOOKUP(D53,Table!$C$3:$D$4,2,0)*8,2)</f>
        <v>5.08</v>
      </c>
      <c r="V53" s="24">
        <v>5</v>
      </c>
      <c r="W53" s="24" t="s">
        <v>18</v>
      </c>
      <c r="X53" s="28">
        <v>43924</v>
      </c>
      <c r="Y53" s="28">
        <v>43924</v>
      </c>
      <c r="Z53" s="28">
        <v>43924</v>
      </c>
      <c r="AA53" s="28">
        <v>43924</v>
      </c>
      <c r="AB53" s="160" t="s">
        <v>158</v>
      </c>
      <c r="AC53" s="32">
        <v>100</v>
      </c>
      <c r="AD53" s="32">
        <v>100</v>
      </c>
      <c r="AE53" s="32">
        <v>100</v>
      </c>
      <c r="AF53" s="32" t="s">
        <v>20</v>
      </c>
      <c r="AG53" s="27" t="s">
        <v>76</v>
      </c>
      <c r="AH53" s="27" t="s">
        <v>76</v>
      </c>
    </row>
    <row r="54" spans="1:34" ht="45" x14ac:dyDescent="0.25">
      <c r="B54" s="165">
        <f t="shared" si="0"/>
        <v>52</v>
      </c>
      <c r="C54" s="26">
        <v>20200403</v>
      </c>
      <c r="D54" s="32" t="s">
        <v>3</v>
      </c>
      <c r="E54" s="26" t="s">
        <v>856</v>
      </c>
      <c r="F54" s="150" t="s">
        <v>76</v>
      </c>
      <c r="G54" s="26">
        <v>1401513</v>
      </c>
      <c r="H54" s="26" t="s">
        <v>858</v>
      </c>
      <c r="I54" s="24" t="s">
        <v>193</v>
      </c>
      <c r="J54" s="154" t="s">
        <v>76</v>
      </c>
      <c r="K54" s="24" t="s">
        <v>861</v>
      </c>
      <c r="L54" s="27" t="s">
        <v>76</v>
      </c>
      <c r="M54" s="27" t="s">
        <v>862</v>
      </c>
      <c r="N54" s="26" t="s">
        <v>868</v>
      </c>
      <c r="O54" s="24" t="s">
        <v>84</v>
      </c>
      <c r="P54" s="24"/>
      <c r="Q54" s="24"/>
      <c r="R54" s="24">
        <v>158</v>
      </c>
      <c r="S54" s="24">
        <f t="shared" si="10"/>
        <v>158</v>
      </c>
      <c r="T54" s="24">
        <f t="shared" si="11"/>
        <v>158</v>
      </c>
      <c r="U54" s="24">
        <f>ROUNDDOWN(S54/HLOOKUP(D54,Table!$C$3:$D$4,2,0)*8,2)</f>
        <v>2.8</v>
      </c>
      <c r="V54" s="24">
        <v>3</v>
      </c>
      <c r="W54" s="24" t="s">
        <v>21</v>
      </c>
      <c r="X54" s="28">
        <v>43924</v>
      </c>
      <c r="Y54" s="28">
        <v>43924</v>
      </c>
      <c r="Z54" s="28">
        <v>43924</v>
      </c>
      <c r="AA54" s="28">
        <v>43924</v>
      </c>
      <c r="AB54" s="31" t="s">
        <v>157</v>
      </c>
      <c r="AC54" s="24">
        <v>95</v>
      </c>
      <c r="AD54" s="24">
        <v>97</v>
      </c>
      <c r="AE54" s="24">
        <v>100</v>
      </c>
      <c r="AF54" s="32" t="s">
        <v>792</v>
      </c>
      <c r="AG54" s="75" t="s">
        <v>881</v>
      </c>
      <c r="AH54" s="27" t="s">
        <v>882</v>
      </c>
    </row>
    <row r="55" spans="1:34" x14ac:dyDescent="0.25">
      <c r="B55" s="165">
        <f t="shared" si="0"/>
        <v>53</v>
      </c>
      <c r="C55" s="26">
        <v>20200403</v>
      </c>
      <c r="D55" s="32" t="s">
        <v>3</v>
      </c>
      <c r="E55" s="26" t="s">
        <v>856</v>
      </c>
      <c r="F55" s="169" t="s">
        <v>1328</v>
      </c>
      <c r="G55" s="26">
        <v>1401513</v>
      </c>
      <c r="H55" s="26" t="s">
        <v>859</v>
      </c>
      <c r="I55" s="24" t="s">
        <v>193</v>
      </c>
      <c r="J55" s="154" t="s">
        <v>76</v>
      </c>
      <c r="K55" s="24" t="s">
        <v>861</v>
      </c>
      <c r="L55" s="27" t="s">
        <v>76</v>
      </c>
      <c r="M55" s="27" t="s">
        <v>862</v>
      </c>
      <c r="N55" s="26" t="s">
        <v>869</v>
      </c>
      <c r="O55" s="24" t="s">
        <v>82</v>
      </c>
      <c r="P55" s="24"/>
      <c r="Q55" s="24"/>
      <c r="R55" s="24">
        <v>202</v>
      </c>
      <c r="S55" s="24">
        <f t="shared" si="10"/>
        <v>202</v>
      </c>
      <c r="T55" s="24">
        <f t="shared" si="11"/>
        <v>202</v>
      </c>
      <c r="U55" s="24">
        <f>ROUNDDOWN(S55/HLOOKUP(D55,Table!$C$3:$D$4,2,0)*8,2)</f>
        <v>3.59</v>
      </c>
      <c r="V55" s="24">
        <v>4</v>
      </c>
      <c r="W55" s="24" t="s">
        <v>105</v>
      </c>
      <c r="X55" s="28">
        <v>43924</v>
      </c>
      <c r="Y55" s="28">
        <v>43924</v>
      </c>
      <c r="Z55" s="28">
        <v>43924</v>
      </c>
      <c r="AA55" s="28">
        <v>43924</v>
      </c>
      <c r="AB55" s="160" t="s">
        <v>158</v>
      </c>
      <c r="AC55" s="32">
        <v>100</v>
      </c>
      <c r="AD55" s="32">
        <v>100</v>
      </c>
      <c r="AE55" s="32">
        <v>100</v>
      </c>
      <c r="AF55" s="32" t="s">
        <v>20</v>
      </c>
      <c r="AG55" s="27" t="s">
        <v>76</v>
      </c>
      <c r="AH55" s="27" t="s">
        <v>977</v>
      </c>
    </row>
    <row r="56" spans="1:34" x14ac:dyDescent="0.25">
      <c r="B56" s="165">
        <f t="shared" si="0"/>
        <v>54</v>
      </c>
      <c r="C56" s="26">
        <v>20200403</v>
      </c>
      <c r="D56" s="32" t="s">
        <v>3</v>
      </c>
      <c r="E56" s="26" t="s">
        <v>856</v>
      </c>
      <c r="F56" s="173" t="s">
        <v>1329</v>
      </c>
      <c r="G56" s="26">
        <v>1401513</v>
      </c>
      <c r="H56" s="231" t="s">
        <v>860</v>
      </c>
      <c r="I56" s="24" t="s">
        <v>193</v>
      </c>
      <c r="J56" s="154" t="s">
        <v>76</v>
      </c>
      <c r="K56" s="24" t="s">
        <v>861</v>
      </c>
      <c r="L56" s="27" t="s">
        <v>76</v>
      </c>
      <c r="M56" s="27" t="s">
        <v>862</v>
      </c>
      <c r="N56" s="26" t="s">
        <v>875</v>
      </c>
      <c r="O56" s="24" t="s">
        <v>83</v>
      </c>
      <c r="P56" s="24"/>
      <c r="Q56" s="24"/>
      <c r="R56" s="24">
        <v>133</v>
      </c>
      <c r="S56" s="24">
        <f t="shared" si="10"/>
        <v>133</v>
      </c>
      <c r="T56" s="24">
        <f t="shared" si="11"/>
        <v>133</v>
      </c>
      <c r="U56" s="24">
        <f>ROUNDDOWN(S56/HLOOKUP(D56,Table!$C$3:$D$4,2,0)*8,2)</f>
        <v>2.36</v>
      </c>
      <c r="V56" s="24">
        <v>2</v>
      </c>
      <c r="W56" s="24" t="s">
        <v>21</v>
      </c>
      <c r="X56" s="28">
        <v>43924</v>
      </c>
      <c r="Y56" s="28">
        <v>43924</v>
      </c>
      <c r="Z56" s="28">
        <v>43924</v>
      </c>
      <c r="AA56" s="28">
        <v>43924</v>
      </c>
      <c r="AB56" s="160" t="s">
        <v>158</v>
      </c>
      <c r="AC56" s="23">
        <v>100</v>
      </c>
      <c r="AD56" s="23">
        <v>100</v>
      </c>
      <c r="AE56" s="23">
        <v>100</v>
      </c>
      <c r="AF56" s="23" t="s">
        <v>20</v>
      </c>
      <c r="AG56" s="27" t="s">
        <v>76</v>
      </c>
      <c r="AH56" s="166" t="s">
        <v>873</v>
      </c>
    </row>
    <row r="57" spans="1:34" x14ac:dyDescent="0.25">
      <c r="B57" s="165">
        <f t="shared" si="0"/>
        <v>55</v>
      </c>
      <c r="C57" s="26">
        <v>20200403</v>
      </c>
      <c r="D57" s="32" t="s">
        <v>3</v>
      </c>
      <c r="E57" s="26" t="s">
        <v>66</v>
      </c>
      <c r="F57" s="150" t="s">
        <v>1330</v>
      </c>
      <c r="G57" s="26">
        <v>1399233</v>
      </c>
      <c r="H57" s="26" t="s">
        <v>275</v>
      </c>
      <c r="I57" s="24" t="s">
        <v>193</v>
      </c>
      <c r="J57" s="154" t="s">
        <v>76</v>
      </c>
      <c r="K57" s="24" t="s">
        <v>870</v>
      </c>
      <c r="L57" s="27" t="s">
        <v>76</v>
      </c>
      <c r="M57" s="27" t="s">
        <v>871</v>
      </c>
      <c r="N57" s="26" t="s">
        <v>892</v>
      </c>
      <c r="O57" s="24" t="s">
        <v>82</v>
      </c>
      <c r="P57" s="24"/>
      <c r="Q57" s="24"/>
      <c r="R57" s="24">
        <v>178</v>
      </c>
      <c r="S57" s="24">
        <f t="shared" si="10"/>
        <v>178</v>
      </c>
      <c r="T57" s="24">
        <f t="shared" si="11"/>
        <v>178</v>
      </c>
      <c r="U57" s="24">
        <f>ROUNDDOWN(S57/HLOOKUP(D57,Table!$C$3:$D$4,2,0)*8,2)</f>
        <v>3.16</v>
      </c>
      <c r="V57" s="24">
        <v>3</v>
      </c>
      <c r="W57" s="24" t="s">
        <v>21</v>
      </c>
      <c r="X57" s="28">
        <v>43924</v>
      </c>
      <c r="Y57" s="28">
        <v>43924</v>
      </c>
      <c r="Z57" s="28">
        <v>43924</v>
      </c>
      <c r="AA57" s="28">
        <v>43924</v>
      </c>
      <c r="AB57" s="160" t="s">
        <v>158</v>
      </c>
      <c r="AC57" s="32">
        <v>100</v>
      </c>
      <c r="AD57" s="32">
        <v>100</v>
      </c>
      <c r="AE57" s="32">
        <v>100</v>
      </c>
      <c r="AF57" s="32" t="s">
        <v>20</v>
      </c>
      <c r="AG57" s="27" t="s">
        <v>76</v>
      </c>
      <c r="AH57" s="27" t="s">
        <v>76</v>
      </c>
    </row>
    <row r="58" spans="1:34" x14ac:dyDescent="0.25">
      <c r="B58" s="165">
        <f t="shared" si="0"/>
        <v>56</v>
      </c>
      <c r="C58" s="26">
        <v>20200403</v>
      </c>
      <c r="D58" s="32" t="s">
        <v>3</v>
      </c>
      <c r="E58" s="26" t="s">
        <v>856</v>
      </c>
      <c r="F58" s="173" t="s">
        <v>1331</v>
      </c>
      <c r="G58" s="26">
        <v>1401513</v>
      </c>
      <c r="H58" s="231" t="s">
        <v>860</v>
      </c>
      <c r="I58" s="24" t="s">
        <v>193</v>
      </c>
      <c r="J58" s="154" t="s">
        <v>76</v>
      </c>
      <c r="K58" s="24" t="s">
        <v>861</v>
      </c>
      <c r="L58" s="27" t="s">
        <v>76</v>
      </c>
      <c r="M58" s="27" t="s">
        <v>862</v>
      </c>
      <c r="N58" s="26" t="s">
        <v>893</v>
      </c>
      <c r="O58" s="24" t="s">
        <v>83</v>
      </c>
      <c r="P58" s="24"/>
      <c r="Q58" s="24"/>
      <c r="R58" s="24">
        <v>133</v>
      </c>
      <c r="S58" s="24">
        <f>R58</f>
        <v>133</v>
      </c>
      <c r="T58" s="24">
        <f t="shared" si="11"/>
        <v>133</v>
      </c>
      <c r="U58" s="24">
        <f>ROUNDDOWN(S58/HLOOKUP(D58,Table!$C$3:$D$4,2,0)*8,2)</f>
        <v>2.36</v>
      </c>
      <c r="V58" s="24">
        <v>2</v>
      </c>
      <c r="W58" s="24" t="s">
        <v>21</v>
      </c>
      <c r="X58" s="28">
        <v>43924</v>
      </c>
      <c r="Y58" s="28">
        <v>43924</v>
      </c>
      <c r="Z58" s="28">
        <v>43924</v>
      </c>
      <c r="AA58" s="28">
        <v>43924</v>
      </c>
      <c r="AB58" s="167" t="s">
        <v>158</v>
      </c>
      <c r="AC58" s="168">
        <v>100</v>
      </c>
      <c r="AD58" s="168">
        <v>100</v>
      </c>
      <c r="AE58" s="168">
        <v>100</v>
      </c>
      <c r="AF58" s="168" t="s">
        <v>20</v>
      </c>
      <c r="AG58" s="27" t="s">
        <v>76</v>
      </c>
      <c r="AH58" s="166" t="s">
        <v>874</v>
      </c>
    </row>
    <row r="59" spans="1:34" x14ac:dyDescent="0.25">
      <c r="B59" s="165">
        <f t="shared" si="0"/>
        <v>57</v>
      </c>
      <c r="C59" s="26">
        <v>20200403</v>
      </c>
      <c r="D59" s="32" t="s">
        <v>3</v>
      </c>
      <c r="E59" s="26" t="s">
        <v>856</v>
      </c>
      <c r="F59" s="169" t="s">
        <v>1332</v>
      </c>
      <c r="G59" s="26">
        <v>1401513</v>
      </c>
      <c r="H59" s="26" t="s">
        <v>859</v>
      </c>
      <c r="I59" s="24" t="s">
        <v>193</v>
      </c>
      <c r="J59" s="154" t="s">
        <v>76</v>
      </c>
      <c r="K59" s="24" t="s">
        <v>861</v>
      </c>
      <c r="L59" s="27" t="s">
        <v>76</v>
      </c>
      <c r="M59" s="27" t="s">
        <v>862</v>
      </c>
      <c r="N59" s="26" t="s">
        <v>894</v>
      </c>
      <c r="O59" s="24" t="s">
        <v>82</v>
      </c>
      <c r="P59" s="24"/>
      <c r="Q59" s="24"/>
      <c r="R59" s="24">
        <v>202</v>
      </c>
      <c r="S59" s="24">
        <f t="shared" si="10"/>
        <v>202</v>
      </c>
      <c r="T59" s="24">
        <f t="shared" si="11"/>
        <v>202</v>
      </c>
      <c r="U59" s="24">
        <f>ROUNDDOWN(S59/HLOOKUP(D59,Table!$C$3:$D$4,2,0)*8,2)</f>
        <v>3.59</v>
      </c>
      <c r="V59" s="24">
        <v>4</v>
      </c>
      <c r="W59" s="24" t="s">
        <v>105</v>
      </c>
      <c r="X59" s="28">
        <v>43924</v>
      </c>
      <c r="Y59" s="28">
        <v>43924</v>
      </c>
      <c r="Z59" s="28">
        <v>43924</v>
      </c>
      <c r="AA59" s="28">
        <v>43924</v>
      </c>
      <c r="AB59" s="160" t="s">
        <v>158</v>
      </c>
      <c r="AC59" s="32">
        <v>100</v>
      </c>
      <c r="AD59" s="32">
        <v>100</v>
      </c>
      <c r="AE59" s="32">
        <v>100</v>
      </c>
      <c r="AF59" s="32" t="s">
        <v>20</v>
      </c>
      <c r="AG59" s="27" t="s">
        <v>76</v>
      </c>
      <c r="AH59" s="27" t="s">
        <v>978</v>
      </c>
    </row>
    <row r="60" spans="1:34" x14ac:dyDescent="0.25">
      <c r="B60" s="172">
        <f t="shared" si="0"/>
        <v>58</v>
      </c>
      <c r="C60" s="26">
        <v>20200403</v>
      </c>
      <c r="D60" s="32" t="s">
        <v>3</v>
      </c>
      <c r="E60" s="26" t="s">
        <v>883</v>
      </c>
      <c r="F60" s="47" t="s">
        <v>1333</v>
      </c>
      <c r="G60" s="26">
        <v>1404971</v>
      </c>
      <c r="H60" s="26" t="s">
        <v>267</v>
      </c>
      <c r="I60" s="24" t="s">
        <v>193</v>
      </c>
      <c r="J60" s="54">
        <v>81484</v>
      </c>
      <c r="K60" s="24" t="s">
        <v>888</v>
      </c>
      <c r="L60" s="27" t="s">
        <v>76</v>
      </c>
      <c r="M60" s="27" t="s">
        <v>889</v>
      </c>
      <c r="N60" s="26" t="s">
        <v>895</v>
      </c>
      <c r="O60" s="24" t="s">
        <v>84</v>
      </c>
      <c r="P60" s="24"/>
      <c r="Q60" s="24"/>
      <c r="R60" s="24">
        <v>130</v>
      </c>
      <c r="S60" s="25">
        <f>R60+357-R60</f>
        <v>357</v>
      </c>
      <c r="T60" s="24">
        <f t="shared" ref="T60:T65" si="12">S60</f>
        <v>357</v>
      </c>
      <c r="U60" s="24">
        <f>ROUNDDOWN(S60/HLOOKUP(D60,Table!$C$3:$D$4,2,0)*8,2)</f>
        <v>6.34</v>
      </c>
      <c r="V60" s="24">
        <v>8</v>
      </c>
      <c r="W60" s="24" t="s">
        <v>18</v>
      </c>
      <c r="X60" s="28">
        <v>43924</v>
      </c>
      <c r="Y60" s="28">
        <v>43928</v>
      </c>
      <c r="Z60" s="28">
        <v>43927</v>
      </c>
      <c r="AA60" s="28">
        <v>43927</v>
      </c>
      <c r="AB60" s="167" t="s">
        <v>158</v>
      </c>
      <c r="AC60" s="168">
        <v>100</v>
      </c>
      <c r="AD60" s="168">
        <v>100</v>
      </c>
      <c r="AE60" s="168">
        <v>100</v>
      </c>
      <c r="AF60" s="168" t="s">
        <v>20</v>
      </c>
      <c r="AG60" s="27" t="s">
        <v>76</v>
      </c>
      <c r="AH60" s="27" t="s">
        <v>76</v>
      </c>
    </row>
    <row r="61" spans="1:34" x14ac:dyDescent="0.25">
      <c r="B61" s="172">
        <f t="shared" si="0"/>
        <v>59</v>
      </c>
      <c r="C61" s="26">
        <v>20200403</v>
      </c>
      <c r="D61" s="32" t="s">
        <v>3</v>
      </c>
      <c r="E61" s="26" t="s">
        <v>884</v>
      </c>
      <c r="F61" s="47" t="s">
        <v>1334</v>
      </c>
      <c r="G61" s="26">
        <v>1404901</v>
      </c>
      <c r="H61" s="26" t="s">
        <v>885</v>
      </c>
      <c r="I61" s="24" t="s">
        <v>193</v>
      </c>
      <c r="J61" s="54">
        <v>99885</v>
      </c>
      <c r="K61" s="24" t="s">
        <v>90</v>
      </c>
      <c r="L61" s="27" t="s">
        <v>76</v>
      </c>
      <c r="M61" s="27" t="s">
        <v>890</v>
      </c>
      <c r="N61" s="26" t="s">
        <v>896</v>
      </c>
      <c r="O61" s="24" t="s">
        <v>84</v>
      </c>
      <c r="P61" s="24"/>
      <c r="Q61" s="24"/>
      <c r="R61" s="24">
        <v>180</v>
      </c>
      <c r="S61" s="25">
        <f>R61+210-180</f>
        <v>210</v>
      </c>
      <c r="T61" s="24">
        <f t="shared" si="12"/>
        <v>210</v>
      </c>
      <c r="U61" s="24">
        <f>ROUNDDOWN(S61/HLOOKUP(D61,Table!$C$3:$D$4,2,0)*8,2)</f>
        <v>3.73</v>
      </c>
      <c r="V61" s="24">
        <v>2</v>
      </c>
      <c r="W61" s="24" t="s">
        <v>18</v>
      </c>
      <c r="X61" s="28">
        <v>43924</v>
      </c>
      <c r="Y61" s="28">
        <v>43928</v>
      </c>
      <c r="Z61" s="28">
        <v>43928</v>
      </c>
      <c r="AA61" s="28">
        <v>43928</v>
      </c>
      <c r="AB61" s="167" t="s">
        <v>158</v>
      </c>
      <c r="AC61" s="168">
        <v>100</v>
      </c>
      <c r="AD61" s="168">
        <v>100</v>
      </c>
      <c r="AE61" s="168">
        <v>100</v>
      </c>
      <c r="AF61" s="168" t="s">
        <v>20</v>
      </c>
      <c r="AG61" s="27" t="s">
        <v>76</v>
      </c>
      <c r="AH61" s="27" t="s">
        <v>76</v>
      </c>
    </row>
    <row r="62" spans="1:34" x14ac:dyDescent="0.25">
      <c r="B62" s="172">
        <f t="shared" si="0"/>
        <v>60</v>
      </c>
      <c r="C62" s="26">
        <v>20200403</v>
      </c>
      <c r="D62" s="32" t="s">
        <v>3</v>
      </c>
      <c r="E62" s="26" t="s">
        <v>654</v>
      </c>
      <c r="F62" s="47" t="s">
        <v>1335</v>
      </c>
      <c r="G62" s="26">
        <v>1404877</v>
      </c>
      <c r="H62" s="26" t="s">
        <v>886</v>
      </c>
      <c r="I62" s="24" t="s">
        <v>193</v>
      </c>
      <c r="J62" s="154" t="s">
        <v>76</v>
      </c>
      <c r="K62" s="24" t="s">
        <v>662</v>
      </c>
      <c r="L62" s="27" t="s">
        <v>76</v>
      </c>
      <c r="M62" s="27" t="s">
        <v>891</v>
      </c>
      <c r="N62" s="26" t="s">
        <v>901</v>
      </c>
      <c r="O62" s="24" t="s">
        <v>82</v>
      </c>
      <c r="P62" s="24"/>
      <c r="Q62" s="24"/>
      <c r="R62" s="24">
        <v>291</v>
      </c>
      <c r="S62" s="24">
        <f t="shared" ref="S62:S63" si="13">R62</f>
        <v>291</v>
      </c>
      <c r="T62" s="24">
        <f>S62</f>
        <v>291</v>
      </c>
      <c r="U62" s="24">
        <f>ROUNDDOWN(S62/HLOOKUP(D62,Table!$C$3:$D$4,2,0)*8,2)</f>
        <v>5.17</v>
      </c>
      <c r="V62" s="24">
        <v>5</v>
      </c>
      <c r="W62" s="24" t="s">
        <v>21</v>
      </c>
      <c r="X62" s="28">
        <v>43924</v>
      </c>
      <c r="Y62" s="28">
        <v>43928</v>
      </c>
      <c r="Z62" s="28">
        <v>43928</v>
      </c>
      <c r="AA62" s="28">
        <v>43928</v>
      </c>
      <c r="AB62" s="32" t="s">
        <v>158</v>
      </c>
      <c r="AC62" s="32">
        <v>100</v>
      </c>
      <c r="AD62" s="32">
        <v>100</v>
      </c>
      <c r="AE62" s="32">
        <v>100</v>
      </c>
      <c r="AF62" s="168" t="s">
        <v>20</v>
      </c>
      <c r="AG62" s="27" t="s">
        <v>76</v>
      </c>
      <c r="AH62" s="27" t="s">
        <v>76</v>
      </c>
    </row>
    <row r="63" spans="1:34" x14ac:dyDescent="0.25">
      <c r="B63" s="172">
        <f t="shared" si="0"/>
        <v>61</v>
      </c>
      <c r="C63" s="26">
        <v>20200403</v>
      </c>
      <c r="D63" s="32" t="s">
        <v>3</v>
      </c>
      <c r="E63" s="26" t="s">
        <v>654</v>
      </c>
      <c r="F63" s="47" t="s">
        <v>294</v>
      </c>
      <c r="G63" s="26">
        <v>1400940</v>
      </c>
      <c r="H63" s="26" t="s">
        <v>887</v>
      </c>
      <c r="I63" s="24" t="s">
        <v>193</v>
      </c>
      <c r="J63" s="54">
        <v>99186</v>
      </c>
      <c r="K63" s="24" t="s">
        <v>662</v>
      </c>
      <c r="L63" s="27" t="s">
        <v>76</v>
      </c>
      <c r="M63" s="27" t="s">
        <v>890</v>
      </c>
      <c r="N63" s="26" t="s">
        <v>902</v>
      </c>
      <c r="O63" s="24" t="s">
        <v>85</v>
      </c>
      <c r="P63" s="24"/>
      <c r="Q63" s="24"/>
      <c r="R63" s="199">
        <v>138</v>
      </c>
      <c r="S63" s="24">
        <f t="shared" si="13"/>
        <v>138</v>
      </c>
      <c r="T63" s="24">
        <f t="shared" si="12"/>
        <v>138</v>
      </c>
      <c r="U63" s="24">
        <f>ROUNDDOWN(S63/HLOOKUP(D63,Table!$C$3:$D$4,2,0)*8,2)</f>
        <v>2.4500000000000002</v>
      </c>
      <c r="V63" s="24">
        <v>1</v>
      </c>
      <c r="W63" s="24" t="s">
        <v>18</v>
      </c>
      <c r="X63" s="28">
        <v>43924</v>
      </c>
      <c r="Y63" s="28">
        <v>43928</v>
      </c>
      <c r="Z63" s="28">
        <v>43927</v>
      </c>
      <c r="AA63" s="28">
        <v>43927</v>
      </c>
      <c r="AB63" s="32" t="s">
        <v>158</v>
      </c>
      <c r="AC63" s="32">
        <v>100</v>
      </c>
      <c r="AD63" s="32">
        <v>100</v>
      </c>
      <c r="AE63" s="32">
        <v>100</v>
      </c>
      <c r="AF63" s="168" t="s">
        <v>20</v>
      </c>
      <c r="AG63" s="27" t="s">
        <v>76</v>
      </c>
      <c r="AH63" s="27" t="s">
        <v>76</v>
      </c>
    </row>
    <row r="64" spans="1:34" x14ac:dyDescent="0.25">
      <c r="B64" s="133">
        <f t="shared" si="0"/>
        <v>62</v>
      </c>
      <c r="C64" s="26">
        <v>20200403</v>
      </c>
      <c r="D64" s="32" t="s">
        <v>3</v>
      </c>
      <c r="E64" s="26" t="s">
        <v>897</v>
      </c>
      <c r="F64" s="47" t="s">
        <v>1336</v>
      </c>
      <c r="G64" s="26">
        <v>1400247</v>
      </c>
      <c r="H64" s="26" t="s">
        <v>899</v>
      </c>
      <c r="I64" s="24" t="s">
        <v>193</v>
      </c>
      <c r="J64" s="54" t="s">
        <v>906</v>
      </c>
      <c r="K64" s="24" t="s">
        <v>908</v>
      </c>
      <c r="L64" s="27" t="s">
        <v>76</v>
      </c>
      <c r="M64" s="27" t="s">
        <v>910</v>
      </c>
      <c r="N64" s="26" t="s">
        <v>903</v>
      </c>
      <c r="O64" s="24" t="s">
        <v>85</v>
      </c>
      <c r="P64" s="24"/>
      <c r="Q64" s="24"/>
      <c r="R64" s="24">
        <v>471</v>
      </c>
      <c r="S64" s="25">
        <f>R64 + 666 -R64</f>
        <v>666</v>
      </c>
      <c r="T64" s="24">
        <f t="shared" si="12"/>
        <v>666</v>
      </c>
      <c r="U64" s="24">
        <f>ROUNDDOWN(S64/HLOOKUP(D64,Table!$C$3:$D$4,2,0)*8,2)</f>
        <v>11.84</v>
      </c>
      <c r="V64" s="24">
        <v>4</v>
      </c>
      <c r="W64" s="24" t="s">
        <v>21</v>
      </c>
      <c r="X64" s="28">
        <v>43924</v>
      </c>
      <c r="Y64" s="28">
        <v>43935</v>
      </c>
      <c r="Z64" s="28">
        <v>43930</v>
      </c>
      <c r="AA64" s="28">
        <v>43930</v>
      </c>
      <c r="AB64" s="31" t="s">
        <v>158</v>
      </c>
      <c r="AC64" s="24">
        <v>100</v>
      </c>
      <c r="AD64" s="24">
        <v>100</v>
      </c>
      <c r="AE64" s="24">
        <v>100</v>
      </c>
      <c r="AF64" s="168" t="s">
        <v>20</v>
      </c>
      <c r="AG64" s="27" t="s">
        <v>76</v>
      </c>
      <c r="AH64" s="27" t="s">
        <v>76</v>
      </c>
    </row>
    <row r="65" spans="1:36" x14ac:dyDescent="0.25">
      <c r="B65" s="133">
        <f t="shared" si="0"/>
        <v>63</v>
      </c>
      <c r="C65" s="26">
        <v>20200403</v>
      </c>
      <c r="D65" s="32" t="s">
        <v>3</v>
      </c>
      <c r="E65" s="26" t="s">
        <v>897</v>
      </c>
      <c r="F65" s="47" t="s">
        <v>1337</v>
      </c>
      <c r="G65" s="26">
        <v>1400247</v>
      </c>
      <c r="H65" s="26" t="s">
        <v>900</v>
      </c>
      <c r="I65" s="24" t="s">
        <v>193</v>
      </c>
      <c r="J65" s="54" t="s">
        <v>907</v>
      </c>
      <c r="K65" s="24" t="s">
        <v>908</v>
      </c>
      <c r="L65" s="27" t="s">
        <v>76</v>
      </c>
      <c r="M65" s="27" t="s">
        <v>910</v>
      </c>
      <c r="N65" s="26" t="s">
        <v>904</v>
      </c>
      <c r="O65" s="24" t="s">
        <v>85</v>
      </c>
      <c r="P65" s="24"/>
      <c r="Q65" s="24"/>
      <c r="R65" s="24">
        <v>142</v>
      </c>
      <c r="S65" s="24">
        <f t="shared" ref="S65" si="14">R65</f>
        <v>142</v>
      </c>
      <c r="T65" s="24">
        <f t="shared" si="12"/>
        <v>142</v>
      </c>
      <c r="U65" s="24">
        <f>ROUNDDOWN(S65/HLOOKUP(D65,Table!$C$3:$D$4,2,0)*8,2)</f>
        <v>2.52</v>
      </c>
      <c r="V65" s="24">
        <v>1</v>
      </c>
      <c r="W65" s="24" t="s">
        <v>21</v>
      </c>
      <c r="X65" s="28">
        <v>43924</v>
      </c>
      <c r="Y65" s="28">
        <v>43935</v>
      </c>
      <c r="Z65" s="28">
        <v>43930</v>
      </c>
      <c r="AA65" s="28">
        <v>43930</v>
      </c>
      <c r="AB65" s="31" t="s">
        <v>158</v>
      </c>
      <c r="AC65" s="24">
        <v>100</v>
      </c>
      <c r="AD65" s="24">
        <v>100</v>
      </c>
      <c r="AE65" s="24">
        <v>100</v>
      </c>
      <c r="AF65" s="168" t="s">
        <v>20</v>
      </c>
      <c r="AG65" s="27" t="s">
        <v>76</v>
      </c>
      <c r="AH65" s="27" t="s">
        <v>76</v>
      </c>
    </row>
    <row r="66" spans="1:36" x14ac:dyDescent="0.25">
      <c r="B66" s="133">
        <f t="shared" si="0"/>
        <v>64</v>
      </c>
      <c r="C66" s="26">
        <v>20200403</v>
      </c>
      <c r="D66" s="32" t="s">
        <v>3</v>
      </c>
      <c r="E66" s="26" t="s">
        <v>801</v>
      </c>
      <c r="F66" s="47" t="s">
        <v>1324</v>
      </c>
      <c r="G66" s="26">
        <v>1399090</v>
      </c>
      <c r="H66" s="231" t="s">
        <v>271</v>
      </c>
      <c r="I66" s="24" t="s">
        <v>193</v>
      </c>
      <c r="J66" s="54">
        <v>99377</v>
      </c>
      <c r="K66" s="24" t="s">
        <v>849</v>
      </c>
      <c r="L66" s="27" t="s">
        <v>76</v>
      </c>
      <c r="M66" s="27" t="s">
        <v>853</v>
      </c>
      <c r="N66" s="26" t="s">
        <v>905</v>
      </c>
      <c r="O66" s="24" t="s">
        <v>83</v>
      </c>
      <c r="P66" s="24"/>
      <c r="Q66" s="24"/>
      <c r="R66" s="24">
        <v>191</v>
      </c>
      <c r="S66" s="25">
        <f>R66+220-R66</f>
        <v>220</v>
      </c>
      <c r="T66" s="24">
        <f t="shared" ref="T66:T72" si="15">S66</f>
        <v>220</v>
      </c>
      <c r="U66" s="24">
        <f>ROUNDDOWN(S66/HLOOKUP(D66,Table!$C$3:$D$4,2,0)*8,2)</f>
        <v>3.91</v>
      </c>
      <c r="V66" s="24">
        <v>8</v>
      </c>
      <c r="W66" s="24" t="s">
        <v>105</v>
      </c>
      <c r="X66" s="28">
        <v>43924</v>
      </c>
      <c r="Y66" s="28">
        <v>43927</v>
      </c>
      <c r="Z66" s="28">
        <v>43927</v>
      </c>
      <c r="AA66" s="28">
        <v>43927</v>
      </c>
      <c r="AB66" s="167" t="s">
        <v>158</v>
      </c>
      <c r="AC66" s="168">
        <v>100</v>
      </c>
      <c r="AD66" s="168">
        <v>100</v>
      </c>
      <c r="AE66" s="168">
        <v>100</v>
      </c>
      <c r="AF66" s="168" t="s">
        <v>20</v>
      </c>
      <c r="AG66" s="27" t="s">
        <v>76</v>
      </c>
      <c r="AH66" s="27" t="s">
        <v>76</v>
      </c>
    </row>
    <row r="67" spans="1:36" x14ac:dyDescent="0.25">
      <c r="B67" s="133">
        <f t="shared" si="0"/>
        <v>65</v>
      </c>
      <c r="C67" s="26">
        <v>20200403</v>
      </c>
      <c r="D67" s="32" t="s">
        <v>3</v>
      </c>
      <c r="E67" s="26" t="s">
        <v>898</v>
      </c>
      <c r="F67" s="47" t="s">
        <v>1338</v>
      </c>
      <c r="G67" s="26">
        <v>1401728</v>
      </c>
      <c r="H67" s="26" t="s">
        <v>338</v>
      </c>
      <c r="I67" s="24" t="s">
        <v>193</v>
      </c>
      <c r="J67" s="54">
        <v>98982</v>
      </c>
      <c r="K67" s="24" t="s">
        <v>909</v>
      </c>
      <c r="L67" s="27" t="s">
        <v>76</v>
      </c>
      <c r="M67" s="27" t="s">
        <v>911</v>
      </c>
      <c r="N67" s="26" t="s">
        <v>916</v>
      </c>
      <c r="O67" s="24" t="s">
        <v>84</v>
      </c>
      <c r="P67" s="24"/>
      <c r="Q67" s="24"/>
      <c r="R67" s="24">
        <v>145</v>
      </c>
      <c r="S67" s="25">
        <f>R67+107-145</f>
        <v>107</v>
      </c>
      <c r="T67" s="24">
        <f t="shared" si="15"/>
        <v>107</v>
      </c>
      <c r="U67" s="24">
        <f>ROUNDDOWN(S67/HLOOKUP(D67,Table!$C$3:$D$4,2,0)*8,2)</f>
        <v>1.9</v>
      </c>
      <c r="V67" s="24">
        <v>1</v>
      </c>
      <c r="W67" s="24" t="s">
        <v>21</v>
      </c>
      <c r="X67" s="28">
        <v>43924</v>
      </c>
      <c r="Y67" s="28">
        <v>43935</v>
      </c>
      <c r="Z67" s="28">
        <v>43928</v>
      </c>
      <c r="AA67" s="28">
        <v>43928</v>
      </c>
      <c r="AB67" s="160" t="s">
        <v>158</v>
      </c>
      <c r="AC67" s="32">
        <v>100</v>
      </c>
      <c r="AD67" s="32">
        <v>100</v>
      </c>
      <c r="AE67" s="32">
        <v>100</v>
      </c>
      <c r="AF67" s="32" t="s">
        <v>20</v>
      </c>
      <c r="AG67" s="27" t="s">
        <v>76</v>
      </c>
      <c r="AH67" s="27" t="s">
        <v>76</v>
      </c>
    </row>
    <row r="68" spans="1:36" x14ac:dyDescent="0.25">
      <c r="B68" s="133">
        <f t="shared" si="0"/>
        <v>66</v>
      </c>
      <c r="C68" s="26">
        <v>20200403</v>
      </c>
      <c r="D68" s="32" t="s">
        <v>3</v>
      </c>
      <c r="E68" s="26" t="s">
        <v>898</v>
      </c>
      <c r="F68" s="47" t="s">
        <v>1338</v>
      </c>
      <c r="G68" s="26">
        <v>1401728</v>
      </c>
      <c r="H68" s="26" t="s">
        <v>337</v>
      </c>
      <c r="I68" s="24" t="s">
        <v>193</v>
      </c>
      <c r="J68" s="54">
        <v>98982</v>
      </c>
      <c r="K68" s="24" t="s">
        <v>909</v>
      </c>
      <c r="L68" s="27" t="s">
        <v>76</v>
      </c>
      <c r="M68" s="27" t="s">
        <v>853</v>
      </c>
      <c r="N68" s="26" t="s">
        <v>917</v>
      </c>
      <c r="O68" s="24" t="s">
        <v>84</v>
      </c>
      <c r="P68" s="24"/>
      <c r="Q68" s="24"/>
      <c r="R68" s="24">
        <v>120</v>
      </c>
      <c r="S68" s="25">
        <f>R68+342-120</f>
        <v>342</v>
      </c>
      <c r="T68" s="24">
        <f t="shared" si="15"/>
        <v>342</v>
      </c>
      <c r="U68" s="24">
        <f>ROUNDDOWN(S68/HLOOKUP(D68,Table!$C$3:$D$4,2,0)*8,2)</f>
        <v>6.08</v>
      </c>
      <c r="V68" s="24">
        <v>3</v>
      </c>
      <c r="W68" s="24" t="s">
        <v>21</v>
      </c>
      <c r="X68" s="28">
        <v>43924</v>
      </c>
      <c r="Y68" s="28">
        <v>43935</v>
      </c>
      <c r="Z68" s="28">
        <v>43928</v>
      </c>
      <c r="AA68" s="28">
        <v>43928</v>
      </c>
      <c r="AB68" s="167" t="s">
        <v>158</v>
      </c>
      <c r="AC68" s="168">
        <v>100</v>
      </c>
      <c r="AD68" s="168">
        <v>100</v>
      </c>
      <c r="AE68" s="168">
        <v>100</v>
      </c>
      <c r="AF68" s="168" t="s">
        <v>20</v>
      </c>
      <c r="AG68" s="27" t="s">
        <v>76</v>
      </c>
      <c r="AH68" s="27" t="s">
        <v>76</v>
      </c>
    </row>
    <row r="69" spans="1:36" x14ac:dyDescent="0.25">
      <c r="B69" s="174">
        <f t="shared" si="0"/>
        <v>67</v>
      </c>
      <c r="C69" s="26">
        <v>20200403</v>
      </c>
      <c r="D69" s="32" t="s">
        <v>3</v>
      </c>
      <c r="E69" s="26" t="s">
        <v>754</v>
      </c>
      <c r="F69" s="47" t="s">
        <v>1339</v>
      </c>
      <c r="G69" s="26">
        <v>1402131</v>
      </c>
      <c r="H69" s="26" t="s">
        <v>236</v>
      </c>
      <c r="I69" s="24" t="s">
        <v>194</v>
      </c>
      <c r="J69" s="54">
        <v>99185</v>
      </c>
      <c r="K69" s="24" t="s">
        <v>789</v>
      </c>
      <c r="L69" s="27" t="s">
        <v>76</v>
      </c>
      <c r="M69" s="27" t="s">
        <v>652</v>
      </c>
      <c r="N69" s="26" t="s">
        <v>918</v>
      </c>
      <c r="O69" s="24" t="s">
        <v>85</v>
      </c>
      <c r="P69" s="24"/>
      <c r="Q69" s="24"/>
      <c r="R69" s="24">
        <v>220</v>
      </c>
      <c r="S69" s="25">
        <f>R69+282-220</f>
        <v>282</v>
      </c>
      <c r="T69" s="24">
        <f t="shared" si="15"/>
        <v>282</v>
      </c>
      <c r="U69" s="24">
        <f>ROUNDDOWN(S69/HLOOKUP(D69,Table!$C$3:$D$4,2,0)*8,2)</f>
        <v>5.01</v>
      </c>
      <c r="V69" s="24">
        <v>1</v>
      </c>
      <c r="W69" s="24" t="s">
        <v>21</v>
      </c>
      <c r="X69" s="28">
        <v>43924</v>
      </c>
      <c r="Y69" s="28">
        <v>43931</v>
      </c>
      <c r="Z69" s="28">
        <v>43928</v>
      </c>
      <c r="AA69" s="28">
        <v>43928</v>
      </c>
      <c r="AB69" s="176" t="s">
        <v>157</v>
      </c>
      <c r="AC69" s="32">
        <v>100</v>
      </c>
      <c r="AD69" s="32">
        <v>96</v>
      </c>
      <c r="AE69" s="32">
        <v>94</v>
      </c>
      <c r="AF69" s="32" t="s">
        <v>792</v>
      </c>
      <c r="AG69" s="75" t="s">
        <v>979</v>
      </c>
      <c r="AH69" s="27" t="s">
        <v>76</v>
      </c>
    </row>
    <row r="70" spans="1:36" x14ac:dyDescent="0.25">
      <c r="B70" s="174">
        <f t="shared" ref="B70:B133" si="16">B69+1</f>
        <v>68</v>
      </c>
      <c r="C70" s="26">
        <v>20200403</v>
      </c>
      <c r="D70" s="32" t="s">
        <v>3</v>
      </c>
      <c r="E70" s="26" t="s">
        <v>754</v>
      </c>
      <c r="F70" s="47" t="s">
        <v>1340</v>
      </c>
      <c r="G70" s="26">
        <v>1402131</v>
      </c>
      <c r="H70" s="26" t="s">
        <v>647</v>
      </c>
      <c r="I70" s="24" t="s">
        <v>194</v>
      </c>
      <c r="J70" s="54">
        <v>99185</v>
      </c>
      <c r="K70" s="24" t="s">
        <v>789</v>
      </c>
      <c r="L70" s="27" t="s">
        <v>76</v>
      </c>
      <c r="M70" s="27" t="s">
        <v>652</v>
      </c>
      <c r="N70" s="26" t="s">
        <v>919</v>
      </c>
      <c r="O70" s="24" t="s">
        <v>85</v>
      </c>
      <c r="P70" s="24"/>
      <c r="Q70" s="24"/>
      <c r="R70" s="24">
        <v>189</v>
      </c>
      <c r="S70" s="25">
        <f>R70+42-R70</f>
        <v>42</v>
      </c>
      <c r="T70" s="24">
        <f t="shared" si="15"/>
        <v>42</v>
      </c>
      <c r="U70" s="24">
        <f>ROUNDDOWN(S70/HLOOKUP(D70,Table!$C$3:$D$4,2,0)*8,2)</f>
        <v>0.74</v>
      </c>
      <c r="V70" s="24">
        <v>0.7</v>
      </c>
      <c r="W70" s="24" t="s">
        <v>21</v>
      </c>
      <c r="X70" s="28">
        <v>43924</v>
      </c>
      <c r="Y70" s="28">
        <v>43931</v>
      </c>
      <c r="Z70" s="28">
        <v>43929</v>
      </c>
      <c r="AA70" s="28">
        <v>43929</v>
      </c>
      <c r="AB70" s="160" t="s">
        <v>158</v>
      </c>
      <c r="AC70" s="32">
        <v>100</v>
      </c>
      <c r="AD70" s="32">
        <v>100</v>
      </c>
      <c r="AE70" s="32">
        <v>100</v>
      </c>
      <c r="AF70" s="32" t="s">
        <v>20</v>
      </c>
      <c r="AG70" s="27" t="s">
        <v>76</v>
      </c>
      <c r="AH70" s="27" t="s">
        <v>76</v>
      </c>
    </row>
    <row r="71" spans="1:36" x14ac:dyDescent="0.25">
      <c r="B71" s="174">
        <f t="shared" si="16"/>
        <v>69</v>
      </c>
      <c r="C71" s="26">
        <v>20200403</v>
      </c>
      <c r="D71" s="32" t="s">
        <v>3</v>
      </c>
      <c r="E71" s="26" t="s">
        <v>799</v>
      </c>
      <c r="F71" s="47" t="s">
        <v>1341</v>
      </c>
      <c r="G71" s="26">
        <v>1402078</v>
      </c>
      <c r="H71" s="26" t="s">
        <v>647</v>
      </c>
      <c r="I71" s="24" t="s">
        <v>194</v>
      </c>
      <c r="J71" s="54">
        <v>99180</v>
      </c>
      <c r="K71" s="24" t="s">
        <v>846</v>
      </c>
      <c r="L71" s="27" t="s">
        <v>76</v>
      </c>
      <c r="M71" s="27" t="s">
        <v>652</v>
      </c>
      <c r="N71" s="26" t="s">
        <v>920</v>
      </c>
      <c r="O71" s="24" t="s">
        <v>84</v>
      </c>
      <c r="P71" s="24"/>
      <c r="Q71" s="24"/>
      <c r="R71" s="24">
        <v>189</v>
      </c>
      <c r="S71" s="25">
        <f>R71+42-R71</f>
        <v>42</v>
      </c>
      <c r="T71" s="24">
        <f t="shared" si="15"/>
        <v>42</v>
      </c>
      <c r="U71" s="24">
        <f>ROUNDDOWN(S71/HLOOKUP(D71,Table!$C$3:$D$4,2,0)*8,2)</f>
        <v>0.74</v>
      </c>
      <c r="V71" s="24">
        <v>0.5</v>
      </c>
      <c r="W71" s="24" t="s">
        <v>21</v>
      </c>
      <c r="X71" s="28">
        <v>43924</v>
      </c>
      <c r="Y71" s="28">
        <v>43931</v>
      </c>
      <c r="Z71" s="28">
        <v>43928</v>
      </c>
      <c r="AA71" s="28">
        <v>43928</v>
      </c>
      <c r="AB71" s="167" t="s">
        <v>158</v>
      </c>
      <c r="AC71" s="178">
        <v>100</v>
      </c>
      <c r="AD71" s="32">
        <v>100</v>
      </c>
      <c r="AE71" s="32">
        <v>100</v>
      </c>
      <c r="AF71" s="32" t="s">
        <v>20</v>
      </c>
      <c r="AG71" s="179" t="s">
        <v>76</v>
      </c>
      <c r="AH71" s="179" t="s">
        <v>76</v>
      </c>
      <c r="AI71" s="180"/>
      <c r="AJ71" s="180"/>
    </row>
    <row r="72" spans="1:36" x14ac:dyDescent="0.25">
      <c r="B72" s="174">
        <f t="shared" si="16"/>
        <v>70</v>
      </c>
      <c r="C72" s="26">
        <v>20200403</v>
      </c>
      <c r="D72" s="32" t="s">
        <v>3</v>
      </c>
      <c r="E72" s="26" t="s">
        <v>799</v>
      </c>
      <c r="F72" s="47" t="s">
        <v>1342</v>
      </c>
      <c r="G72" s="26">
        <v>1402078</v>
      </c>
      <c r="H72" s="26" t="s">
        <v>236</v>
      </c>
      <c r="I72" s="24" t="s">
        <v>194</v>
      </c>
      <c r="J72" s="54">
        <v>99180</v>
      </c>
      <c r="K72" s="24" t="s">
        <v>846</v>
      </c>
      <c r="L72" s="27" t="s">
        <v>76</v>
      </c>
      <c r="M72" s="27" t="s">
        <v>652</v>
      </c>
      <c r="N72" s="26" t="s">
        <v>921</v>
      </c>
      <c r="O72" s="24" t="s">
        <v>84</v>
      </c>
      <c r="P72" s="24"/>
      <c r="Q72" s="24"/>
      <c r="R72" s="24">
        <v>220</v>
      </c>
      <c r="S72" s="25">
        <f>R72+282-220</f>
        <v>282</v>
      </c>
      <c r="T72" s="24">
        <f t="shared" si="15"/>
        <v>282</v>
      </c>
      <c r="U72" s="24">
        <f>ROUNDDOWN(S72/HLOOKUP(D72,Table!$C$3:$D$4,2,0)*8,2)</f>
        <v>5.01</v>
      </c>
      <c r="V72" s="24">
        <v>1.5</v>
      </c>
      <c r="W72" s="24" t="s">
        <v>21</v>
      </c>
      <c r="X72" s="28">
        <v>43924</v>
      </c>
      <c r="Y72" s="28">
        <v>43931</v>
      </c>
      <c r="Z72" s="28">
        <v>43928</v>
      </c>
      <c r="AA72" s="28">
        <v>43928</v>
      </c>
      <c r="AB72" s="177" t="s">
        <v>157</v>
      </c>
      <c r="AC72" s="32">
        <v>100</v>
      </c>
      <c r="AD72" s="32">
        <v>96</v>
      </c>
      <c r="AE72" s="32">
        <v>94</v>
      </c>
      <c r="AF72" s="32" t="s">
        <v>792</v>
      </c>
      <c r="AG72" s="75" t="s">
        <v>979</v>
      </c>
      <c r="AH72" s="27" t="s">
        <v>76</v>
      </c>
    </row>
    <row r="73" spans="1:36" x14ac:dyDescent="0.25">
      <c r="B73" s="174">
        <f t="shared" si="16"/>
        <v>71</v>
      </c>
      <c r="C73" s="26">
        <v>20200403</v>
      </c>
      <c r="D73" s="32" t="s">
        <v>3</v>
      </c>
      <c r="E73" s="26" t="s">
        <v>803</v>
      </c>
      <c r="F73" s="47" t="s">
        <v>1343</v>
      </c>
      <c r="G73" s="26">
        <v>1401196</v>
      </c>
      <c r="H73" s="26" t="s">
        <v>912</v>
      </c>
      <c r="I73" s="24" t="s">
        <v>193</v>
      </c>
      <c r="J73" s="54">
        <v>81615</v>
      </c>
      <c r="K73" s="24" t="s">
        <v>851</v>
      </c>
      <c r="L73" s="27" t="s">
        <v>76</v>
      </c>
      <c r="M73" s="27" t="s">
        <v>915</v>
      </c>
      <c r="N73" s="26" t="s">
        <v>922</v>
      </c>
      <c r="O73" s="24" t="s">
        <v>82</v>
      </c>
      <c r="P73" s="24"/>
      <c r="Q73" s="24"/>
      <c r="R73" s="24">
        <v>34</v>
      </c>
      <c r="S73" s="24">
        <f t="shared" ref="S73:S74" si="17">R73</f>
        <v>34</v>
      </c>
      <c r="T73" s="24">
        <f>S73</f>
        <v>34</v>
      </c>
      <c r="U73" s="24">
        <f>ROUNDDOWN(S73/HLOOKUP(D73,Table!$C$3:$D$4,2,0)*8,2)</f>
        <v>0.6</v>
      </c>
      <c r="V73" s="24">
        <v>1</v>
      </c>
      <c r="W73" s="24" t="s">
        <v>21</v>
      </c>
      <c r="X73" s="28">
        <v>43924</v>
      </c>
      <c r="Y73" s="28">
        <v>43931</v>
      </c>
      <c r="Z73" s="28">
        <v>43930</v>
      </c>
      <c r="AA73" s="28">
        <v>43930</v>
      </c>
      <c r="AB73" s="160" t="s">
        <v>158</v>
      </c>
      <c r="AC73" s="32">
        <v>100</v>
      </c>
      <c r="AD73" s="32">
        <v>100</v>
      </c>
      <c r="AE73" s="32">
        <v>100</v>
      </c>
      <c r="AF73" s="168" t="s">
        <v>20</v>
      </c>
      <c r="AG73" s="27" t="s">
        <v>76</v>
      </c>
      <c r="AH73" s="27" t="s">
        <v>76</v>
      </c>
    </row>
    <row r="74" spans="1:36" x14ac:dyDescent="0.25">
      <c r="B74" s="174">
        <f t="shared" si="16"/>
        <v>72</v>
      </c>
      <c r="C74" s="26">
        <v>20200403</v>
      </c>
      <c r="D74" s="32" t="s">
        <v>3</v>
      </c>
      <c r="E74" s="26" t="s">
        <v>803</v>
      </c>
      <c r="F74" s="47" t="s">
        <v>1344</v>
      </c>
      <c r="G74" s="26">
        <v>1401196</v>
      </c>
      <c r="H74" s="26" t="s">
        <v>913</v>
      </c>
      <c r="I74" s="24" t="s">
        <v>193</v>
      </c>
      <c r="J74" s="54">
        <v>81615</v>
      </c>
      <c r="K74" s="24" t="s">
        <v>851</v>
      </c>
      <c r="L74" s="27" t="s">
        <v>76</v>
      </c>
      <c r="M74" s="27" t="s">
        <v>915</v>
      </c>
      <c r="N74" s="26" t="s">
        <v>959</v>
      </c>
      <c r="O74" s="24" t="s">
        <v>82</v>
      </c>
      <c r="P74" s="24"/>
      <c r="Q74" s="24"/>
      <c r="R74" s="24">
        <v>34</v>
      </c>
      <c r="S74" s="24">
        <f t="shared" si="17"/>
        <v>34</v>
      </c>
      <c r="T74" s="24">
        <f>S74</f>
        <v>34</v>
      </c>
      <c r="U74" s="24">
        <f>ROUNDDOWN(S74/HLOOKUP(D74,Table!$C$3:$D$4,2,0)*8,2)</f>
        <v>0.6</v>
      </c>
      <c r="V74" s="24">
        <v>1</v>
      </c>
      <c r="W74" s="24" t="s">
        <v>21</v>
      </c>
      <c r="X74" s="28">
        <v>43924</v>
      </c>
      <c r="Y74" s="28">
        <v>43931</v>
      </c>
      <c r="Z74" s="28">
        <v>43930</v>
      </c>
      <c r="AA74" s="28">
        <v>43930</v>
      </c>
      <c r="AB74" s="160" t="s">
        <v>158</v>
      </c>
      <c r="AC74" s="32">
        <v>100</v>
      </c>
      <c r="AD74" s="32">
        <v>100</v>
      </c>
      <c r="AE74" s="32">
        <v>100</v>
      </c>
      <c r="AF74" s="168" t="s">
        <v>20</v>
      </c>
      <c r="AG74" s="27" t="s">
        <v>76</v>
      </c>
      <c r="AH74" s="27" t="s">
        <v>76</v>
      </c>
    </row>
    <row r="75" spans="1:36" x14ac:dyDescent="0.25">
      <c r="B75" s="174">
        <f t="shared" si="16"/>
        <v>73</v>
      </c>
      <c r="C75" s="26">
        <v>20200403</v>
      </c>
      <c r="D75" s="32" t="s">
        <v>3</v>
      </c>
      <c r="E75" s="26" t="s">
        <v>803</v>
      </c>
      <c r="F75" s="47" t="s">
        <v>1345</v>
      </c>
      <c r="G75" s="26">
        <v>1401196</v>
      </c>
      <c r="H75" s="26" t="s">
        <v>914</v>
      </c>
      <c r="I75" s="24" t="s">
        <v>193</v>
      </c>
      <c r="J75" s="54">
        <v>81615</v>
      </c>
      <c r="K75" s="24" t="s">
        <v>851</v>
      </c>
      <c r="L75" s="27" t="s">
        <v>76</v>
      </c>
      <c r="M75" s="27" t="s">
        <v>915</v>
      </c>
      <c r="N75" s="26" t="s">
        <v>960</v>
      </c>
      <c r="O75" s="24" t="s">
        <v>82</v>
      </c>
      <c r="P75" s="24"/>
      <c r="Q75" s="24"/>
      <c r="R75" s="24">
        <v>489</v>
      </c>
      <c r="S75" s="182">
        <v>572</v>
      </c>
      <c r="T75" s="24">
        <f>S75</f>
        <v>572</v>
      </c>
      <c r="U75" s="24">
        <f>ROUNDDOWN(S75/HLOOKUP(D75,Table!$C$3:$D$4,2,0)*8,2)</f>
        <v>10.16</v>
      </c>
      <c r="V75" s="24">
        <v>8</v>
      </c>
      <c r="W75" s="24" t="s">
        <v>21</v>
      </c>
      <c r="X75" s="28">
        <v>43924</v>
      </c>
      <c r="Y75" s="28">
        <v>43931</v>
      </c>
      <c r="Z75" s="28">
        <v>43931</v>
      </c>
      <c r="AA75" s="28">
        <v>43931</v>
      </c>
      <c r="AB75" s="160" t="s">
        <v>158</v>
      </c>
      <c r="AC75" s="32">
        <v>100</v>
      </c>
      <c r="AD75" s="32">
        <v>100</v>
      </c>
      <c r="AE75" s="32">
        <v>100</v>
      </c>
      <c r="AF75" s="168" t="s">
        <v>20</v>
      </c>
      <c r="AG75" s="27" t="s">
        <v>76</v>
      </c>
      <c r="AH75" s="27" t="s">
        <v>76</v>
      </c>
    </row>
    <row r="76" spans="1:36" ht="28.5" customHeight="1" x14ac:dyDescent="0.25">
      <c r="B76" s="175">
        <f t="shared" si="16"/>
        <v>74</v>
      </c>
      <c r="C76" s="26">
        <v>20200406</v>
      </c>
      <c r="D76" s="32" t="s">
        <v>3</v>
      </c>
      <c r="E76" s="43" t="s">
        <v>76</v>
      </c>
      <c r="F76" s="47" t="s">
        <v>76</v>
      </c>
      <c r="G76" s="47" t="s">
        <v>76</v>
      </c>
      <c r="H76" s="231" t="s">
        <v>926</v>
      </c>
      <c r="I76" s="27" t="s">
        <v>193</v>
      </c>
      <c r="J76" s="154" t="s">
        <v>76</v>
      </c>
      <c r="K76" s="24" t="s">
        <v>980</v>
      </c>
      <c r="L76" s="43" t="s">
        <v>944</v>
      </c>
      <c r="M76" s="27" t="s">
        <v>76</v>
      </c>
      <c r="N76" s="26" t="s">
        <v>961</v>
      </c>
      <c r="O76" s="24" t="s">
        <v>83</v>
      </c>
      <c r="P76" s="24"/>
      <c r="Q76" s="24"/>
      <c r="R76" s="42">
        <v>195</v>
      </c>
      <c r="S76" s="24">
        <f t="shared" ref="S76:S93" si="18">R76</f>
        <v>195</v>
      </c>
      <c r="T76" s="24">
        <f t="shared" ref="T76:T80" si="19">S76</f>
        <v>195</v>
      </c>
      <c r="U76" s="42">
        <f>ROUNDDOWN(S76/HLOOKUP(D76,Table!$C$3:$D$4,2,0)*8,2)</f>
        <v>3.46</v>
      </c>
      <c r="V76" s="24">
        <v>2</v>
      </c>
      <c r="W76" s="24" t="s">
        <v>105</v>
      </c>
      <c r="X76" s="28">
        <v>43927</v>
      </c>
      <c r="Y76" s="28">
        <v>43933</v>
      </c>
      <c r="Z76" s="28">
        <v>43928</v>
      </c>
      <c r="AA76" s="28">
        <v>43928</v>
      </c>
      <c r="AB76" s="160" t="s">
        <v>157</v>
      </c>
      <c r="AC76" s="32">
        <v>72</v>
      </c>
      <c r="AD76" s="32">
        <v>30</v>
      </c>
      <c r="AE76" s="32">
        <v>100</v>
      </c>
      <c r="AF76" s="32" t="s">
        <v>792</v>
      </c>
      <c r="AG76" s="75" t="s">
        <v>981</v>
      </c>
      <c r="AH76" s="27" t="s">
        <v>998</v>
      </c>
    </row>
    <row r="77" spans="1:36" x14ac:dyDescent="0.25">
      <c r="B77" s="175">
        <f t="shared" si="16"/>
        <v>75</v>
      </c>
      <c r="C77" s="26">
        <v>20200406</v>
      </c>
      <c r="D77" s="32" t="s">
        <v>3</v>
      </c>
      <c r="E77" s="43" t="s">
        <v>76</v>
      </c>
      <c r="F77" s="47" t="s">
        <v>76</v>
      </c>
      <c r="G77" s="47" t="s">
        <v>76</v>
      </c>
      <c r="H77" s="230" t="s">
        <v>927</v>
      </c>
      <c r="I77" s="27" t="s">
        <v>193</v>
      </c>
      <c r="J77" s="154" t="s">
        <v>76</v>
      </c>
      <c r="K77" s="24" t="s">
        <v>980</v>
      </c>
      <c r="L77" s="42">
        <v>0.3</v>
      </c>
      <c r="M77" s="27" t="s">
        <v>76</v>
      </c>
      <c r="N77" s="26" t="s">
        <v>962</v>
      </c>
      <c r="O77" s="24" t="s">
        <v>83</v>
      </c>
      <c r="P77" s="24"/>
      <c r="Q77" s="24"/>
      <c r="R77" s="42">
        <v>7</v>
      </c>
      <c r="S77" s="24">
        <f t="shared" si="18"/>
        <v>7</v>
      </c>
      <c r="T77" s="24">
        <f t="shared" si="19"/>
        <v>7</v>
      </c>
      <c r="U77" s="42">
        <f>ROUNDDOWN(S77/HLOOKUP(D77,Table!$C$3:$D$4,2,0)*8,2)</f>
        <v>0.12</v>
      </c>
      <c r="V77" s="24">
        <v>0</v>
      </c>
      <c r="W77" s="24" t="s">
        <v>105</v>
      </c>
      <c r="X77" s="28">
        <v>43927</v>
      </c>
      <c r="Y77" s="28">
        <v>43933</v>
      </c>
      <c r="Z77" s="28">
        <v>43928</v>
      </c>
      <c r="AA77" s="28">
        <v>43928</v>
      </c>
      <c r="AB77" s="160" t="s">
        <v>158</v>
      </c>
      <c r="AC77" s="27" t="s">
        <v>76</v>
      </c>
      <c r="AD77" s="27" t="s">
        <v>76</v>
      </c>
      <c r="AE77" s="27" t="s">
        <v>76</v>
      </c>
      <c r="AF77" s="32" t="s">
        <v>20</v>
      </c>
      <c r="AG77" s="27" t="s">
        <v>76</v>
      </c>
      <c r="AH77" s="27" t="s">
        <v>982</v>
      </c>
    </row>
    <row r="78" spans="1:36" x14ac:dyDescent="0.25">
      <c r="B78" s="175">
        <f t="shared" si="16"/>
        <v>76</v>
      </c>
      <c r="C78" s="26">
        <v>20200406</v>
      </c>
      <c r="D78" s="32" t="s">
        <v>3</v>
      </c>
      <c r="E78" s="43" t="s">
        <v>76</v>
      </c>
      <c r="F78" s="47" t="s">
        <v>76</v>
      </c>
      <c r="G78" s="47" t="s">
        <v>76</v>
      </c>
      <c r="H78" s="230" t="s">
        <v>928</v>
      </c>
      <c r="I78" s="27" t="s">
        <v>193</v>
      </c>
      <c r="J78" s="154" t="s">
        <v>76</v>
      </c>
      <c r="K78" s="24" t="s">
        <v>980</v>
      </c>
      <c r="L78" s="42">
        <v>2.2000000000000002</v>
      </c>
      <c r="M78" s="27" t="s">
        <v>76</v>
      </c>
      <c r="N78" s="26" t="s">
        <v>963</v>
      </c>
      <c r="O78" s="24" t="s">
        <v>83</v>
      </c>
      <c r="P78" s="24"/>
      <c r="Q78" s="24"/>
      <c r="R78" s="42">
        <v>17</v>
      </c>
      <c r="S78" s="24">
        <f t="shared" si="18"/>
        <v>17</v>
      </c>
      <c r="T78" s="24">
        <f t="shared" si="19"/>
        <v>17</v>
      </c>
      <c r="U78" s="42">
        <f>ROUNDDOWN(S78/HLOOKUP(D78,Table!$C$3:$D$4,2,0)*8,2)</f>
        <v>0.3</v>
      </c>
      <c r="V78" s="24">
        <v>0</v>
      </c>
      <c r="W78" s="24" t="s">
        <v>105</v>
      </c>
      <c r="X78" s="28">
        <v>43927</v>
      </c>
      <c r="Y78" s="28">
        <v>43933</v>
      </c>
      <c r="Z78" s="28">
        <v>43928</v>
      </c>
      <c r="AA78" s="28">
        <v>43928</v>
      </c>
      <c r="AB78" s="160" t="s">
        <v>158</v>
      </c>
      <c r="AC78" s="27" t="s">
        <v>76</v>
      </c>
      <c r="AD78" s="27" t="s">
        <v>76</v>
      </c>
      <c r="AE78" s="27" t="s">
        <v>76</v>
      </c>
      <c r="AF78" s="32" t="s">
        <v>20</v>
      </c>
      <c r="AG78" s="27" t="s">
        <v>76</v>
      </c>
      <c r="AH78" s="27" t="s">
        <v>982</v>
      </c>
    </row>
    <row r="79" spans="1:36" x14ac:dyDescent="0.25">
      <c r="B79" s="175">
        <f t="shared" si="16"/>
        <v>77</v>
      </c>
      <c r="C79" s="26">
        <v>20200406</v>
      </c>
      <c r="D79" s="32" t="s">
        <v>3</v>
      </c>
      <c r="E79" s="43" t="s">
        <v>76</v>
      </c>
      <c r="F79" s="47" t="s">
        <v>76</v>
      </c>
      <c r="G79" s="47" t="s">
        <v>76</v>
      </c>
      <c r="H79" s="230" t="s">
        <v>929</v>
      </c>
      <c r="I79" s="27" t="s">
        <v>193</v>
      </c>
      <c r="J79" s="154" t="s">
        <v>76</v>
      </c>
      <c r="K79" s="24" t="s">
        <v>980</v>
      </c>
      <c r="L79" s="43" t="s">
        <v>945</v>
      </c>
      <c r="M79" s="27" t="s">
        <v>76</v>
      </c>
      <c r="N79" s="26" t="s">
        <v>964</v>
      </c>
      <c r="O79" s="24" t="s">
        <v>83</v>
      </c>
      <c r="P79" s="24"/>
      <c r="Q79" s="24"/>
      <c r="R79" s="42">
        <v>1</v>
      </c>
      <c r="S79" s="24">
        <f t="shared" si="18"/>
        <v>1</v>
      </c>
      <c r="T79" s="24">
        <f t="shared" si="19"/>
        <v>1</v>
      </c>
      <c r="U79" s="42">
        <f>ROUNDDOWN(S79/HLOOKUP(D79,Table!$C$3:$D$4,2,0)*8,2)</f>
        <v>0.01</v>
      </c>
      <c r="V79" s="24">
        <v>0</v>
      </c>
      <c r="W79" s="24" t="s">
        <v>105</v>
      </c>
      <c r="X79" s="28">
        <v>43927</v>
      </c>
      <c r="Y79" s="28">
        <v>43933</v>
      </c>
      <c r="Z79" s="28">
        <v>43928</v>
      </c>
      <c r="AA79" s="28">
        <v>43928</v>
      </c>
      <c r="AB79" s="160" t="s">
        <v>158</v>
      </c>
      <c r="AC79" s="27" t="s">
        <v>76</v>
      </c>
      <c r="AD79" s="27" t="s">
        <v>76</v>
      </c>
      <c r="AE79" s="27" t="s">
        <v>76</v>
      </c>
      <c r="AF79" s="32" t="s">
        <v>20</v>
      </c>
      <c r="AG79" s="27" t="s">
        <v>76</v>
      </c>
      <c r="AH79" s="27" t="s">
        <v>982</v>
      </c>
    </row>
    <row r="80" spans="1:36" x14ac:dyDescent="0.25">
      <c r="B80" s="175">
        <f t="shared" si="16"/>
        <v>78</v>
      </c>
      <c r="C80" s="26">
        <v>20200406</v>
      </c>
      <c r="D80" s="32" t="s">
        <v>3</v>
      </c>
      <c r="E80" s="43" t="s">
        <v>76</v>
      </c>
      <c r="F80" s="47" t="s">
        <v>76</v>
      </c>
      <c r="G80" s="47" t="s">
        <v>76</v>
      </c>
      <c r="H80" s="42" t="s">
        <v>930</v>
      </c>
      <c r="I80" s="27" t="s">
        <v>193</v>
      </c>
      <c r="J80" s="154" t="s">
        <v>76</v>
      </c>
      <c r="K80" s="24" t="s">
        <v>980</v>
      </c>
      <c r="L80" s="43" t="s">
        <v>946</v>
      </c>
      <c r="M80" s="27" t="s">
        <v>76</v>
      </c>
      <c r="N80" s="26" t="s">
        <v>965</v>
      </c>
      <c r="O80" s="24" t="s">
        <v>85</v>
      </c>
      <c r="P80" s="24"/>
      <c r="Q80" s="24"/>
      <c r="R80" s="42">
        <v>144</v>
      </c>
      <c r="S80" s="24">
        <f t="shared" si="18"/>
        <v>144</v>
      </c>
      <c r="T80" s="24">
        <f t="shared" si="19"/>
        <v>144</v>
      </c>
      <c r="U80" s="42">
        <f>ROUNDDOWN(S80/HLOOKUP(D80,Table!$C$3:$D$4,2,0)*8,2)</f>
        <v>2.56</v>
      </c>
      <c r="V80" s="24">
        <v>0.5</v>
      </c>
      <c r="W80" s="24" t="s">
        <v>105</v>
      </c>
      <c r="X80" s="28">
        <v>43927</v>
      </c>
      <c r="Y80" s="28">
        <v>43933</v>
      </c>
      <c r="Z80" s="28">
        <v>43928</v>
      </c>
      <c r="AA80" s="28">
        <v>43928</v>
      </c>
      <c r="AB80" s="160" t="s">
        <v>158</v>
      </c>
      <c r="AC80" s="32" t="s">
        <v>76</v>
      </c>
      <c r="AD80" s="32" t="s">
        <v>76</v>
      </c>
      <c r="AE80" s="32" t="s">
        <v>76</v>
      </c>
      <c r="AF80" s="32" t="s">
        <v>20</v>
      </c>
      <c r="AG80" s="27" t="s">
        <v>983</v>
      </c>
      <c r="AH80" s="27" t="s">
        <v>76</v>
      </c>
    </row>
    <row r="81" spans="1:34" x14ac:dyDescent="0.25">
      <c r="B81" s="175">
        <f t="shared" si="16"/>
        <v>79</v>
      </c>
      <c r="C81" s="26">
        <v>20200406</v>
      </c>
      <c r="D81" s="32" t="s">
        <v>3</v>
      </c>
      <c r="E81" s="43" t="s">
        <v>76</v>
      </c>
      <c r="F81" s="43" t="s">
        <v>1346</v>
      </c>
      <c r="G81" s="47" t="s">
        <v>76</v>
      </c>
      <c r="H81" s="42" t="s">
        <v>931</v>
      </c>
      <c r="I81" s="27" t="s">
        <v>193</v>
      </c>
      <c r="J81" s="154" t="s">
        <v>76</v>
      </c>
      <c r="K81" s="24" t="s">
        <v>980</v>
      </c>
      <c r="L81" s="43" t="s">
        <v>947</v>
      </c>
      <c r="M81" s="27" t="s">
        <v>76</v>
      </c>
      <c r="N81" s="26" t="s">
        <v>966</v>
      </c>
      <c r="O81" s="24" t="s">
        <v>85</v>
      </c>
      <c r="P81" s="24"/>
      <c r="Q81" s="24"/>
      <c r="R81" s="42">
        <v>456</v>
      </c>
      <c r="S81" s="24">
        <f t="shared" si="18"/>
        <v>456</v>
      </c>
      <c r="T81" s="24">
        <f>S81</f>
        <v>456</v>
      </c>
      <c r="U81" s="42">
        <f>ROUNDDOWN(S81/HLOOKUP(D81,Table!$C$3:$D$4,2,0)*8,2)</f>
        <v>8.1</v>
      </c>
      <c r="V81" s="24">
        <v>5</v>
      </c>
      <c r="W81" s="24" t="s">
        <v>105</v>
      </c>
      <c r="X81" s="28">
        <v>43927</v>
      </c>
      <c r="Y81" s="28">
        <v>43933</v>
      </c>
      <c r="Z81" s="28">
        <v>43929</v>
      </c>
      <c r="AA81" s="28">
        <v>43929</v>
      </c>
      <c r="AB81" s="160" t="s">
        <v>157</v>
      </c>
      <c r="AC81" s="32">
        <v>100</v>
      </c>
      <c r="AD81" s="32">
        <v>100</v>
      </c>
      <c r="AE81" s="32">
        <v>91</v>
      </c>
      <c r="AF81" s="32" t="s">
        <v>792</v>
      </c>
      <c r="AG81" s="27" t="s">
        <v>996</v>
      </c>
      <c r="AH81" s="27" t="s">
        <v>76</v>
      </c>
    </row>
    <row r="82" spans="1:34" x14ac:dyDescent="0.25">
      <c r="B82" s="175">
        <f t="shared" si="16"/>
        <v>80</v>
      </c>
      <c r="C82" s="26">
        <v>20200406</v>
      </c>
      <c r="D82" s="32" t="s">
        <v>3</v>
      </c>
      <c r="E82" s="43" t="s">
        <v>76</v>
      </c>
      <c r="F82" s="47" t="s">
        <v>76</v>
      </c>
      <c r="G82" s="47" t="s">
        <v>76</v>
      </c>
      <c r="H82" s="42" t="s">
        <v>932</v>
      </c>
      <c r="I82" s="27" t="s">
        <v>193</v>
      </c>
      <c r="J82" s="154" t="s">
        <v>76</v>
      </c>
      <c r="K82" s="24" t="s">
        <v>980</v>
      </c>
      <c r="L82" s="43" t="s">
        <v>948</v>
      </c>
      <c r="M82" s="27" t="s">
        <v>76</v>
      </c>
      <c r="N82" s="26" t="s">
        <v>967</v>
      </c>
      <c r="O82" s="24" t="s">
        <v>82</v>
      </c>
      <c r="P82" s="24"/>
      <c r="Q82" s="24"/>
      <c r="R82" s="42">
        <v>428</v>
      </c>
      <c r="S82" s="24">
        <f t="shared" si="18"/>
        <v>428</v>
      </c>
      <c r="T82" s="24">
        <f>S82</f>
        <v>428</v>
      </c>
      <c r="U82" s="42">
        <f>ROUNDDOWN(S82/HLOOKUP(D82,Table!$C$3:$D$4,2,0)*8,2)</f>
        <v>7.6</v>
      </c>
      <c r="V82" s="24">
        <v>7</v>
      </c>
      <c r="W82" s="24" t="s">
        <v>105</v>
      </c>
      <c r="X82" s="28">
        <v>43927</v>
      </c>
      <c r="Y82" s="28">
        <v>43933</v>
      </c>
      <c r="Z82" s="28">
        <v>43931</v>
      </c>
      <c r="AA82" s="28">
        <v>43931</v>
      </c>
      <c r="AB82" s="32" t="s">
        <v>158</v>
      </c>
      <c r="AC82" s="32">
        <v>100</v>
      </c>
      <c r="AD82" s="32">
        <v>100</v>
      </c>
      <c r="AE82" s="32">
        <v>100</v>
      </c>
      <c r="AF82" s="168" t="s">
        <v>20</v>
      </c>
      <c r="AG82" s="27" t="s">
        <v>76</v>
      </c>
      <c r="AH82" s="27" t="s">
        <v>76</v>
      </c>
    </row>
    <row r="83" spans="1:34" x14ac:dyDescent="0.25">
      <c r="B83" s="175">
        <f t="shared" si="16"/>
        <v>81</v>
      </c>
      <c r="C83" s="26">
        <v>20200406</v>
      </c>
      <c r="D83" s="32" t="s">
        <v>3</v>
      </c>
      <c r="E83" s="43" t="s">
        <v>76</v>
      </c>
      <c r="F83" s="47" t="s">
        <v>76</v>
      </c>
      <c r="G83" s="47" t="s">
        <v>76</v>
      </c>
      <c r="H83" s="42" t="s">
        <v>933</v>
      </c>
      <c r="I83" s="27" t="s">
        <v>193</v>
      </c>
      <c r="J83" s="154" t="s">
        <v>76</v>
      </c>
      <c r="K83" s="24" t="s">
        <v>980</v>
      </c>
      <c r="L83" s="43" t="s">
        <v>949</v>
      </c>
      <c r="M83" s="27" t="s">
        <v>76</v>
      </c>
      <c r="N83" s="26" t="s">
        <v>968</v>
      </c>
      <c r="O83" s="24" t="s">
        <v>82</v>
      </c>
      <c r="P83" s="24"/>
      <c r="Q83" s="24"/>
      <c r="R83" s="42">
        <v>135</v>
      </c>
      <c r="S83" s="24">
        <f t="shared" si="18"/>
        <v>135</v>
      </c>
      <c r="T83" s="24">
        <f>S83</f>
        <v>135</v>
      </c>
      <c r="U83" s="42">
        <f>ROUNDDOWN(S83/HLOOKUP(D83,Table!$C$3:$D$4,2,0)*8,2)</f>
        <v>2.4</v>
      </c>
      <c r="V83" s="24">
        <v>2.5</v>
      </c>
      <c r="W83" s="24" t="s">
        <v>105</v>
      </c>
      <c r="X83" s="28">
        <v>43927</v>
      </c>
      <c r="Y83" s="28">
        <v>43933</v>
      </c>
      <c r="Z83" s="28">
        <v>43930</v>
      </c>
      <c r="AA83" s="28">
        <v>43930</v>
      </c>
      <c r="AB83" s="32" t="s">
        <v>158</v>
      </c>
      <c r="AC83" s="32">
        <v>100</v>
      </c>
      <c r="AD83" s="32">
        <v>100</v>
      </c>
      <c r="AE83" s="32">
        <v>100</v>
      </c>
      <c r="AF83" s="168" t="s">
        <v>20</v>
      </c>
      <c r="AG83" s="27" t="s">
        <v>76</v>
      </c>
      <c r="AH83" s="27" t="s">
        <v>76</v>
      </c>
    </row>
    <row r="84" spans="1:34" x14ac:dyDescent="0.25">
      <c r="B84" s="175">
        <f t="shared" si="16"/>
        <v>82</v>
      </c>
      <c r="C84" s="26">
        <v>20200406</v>
      </c>
      <c r="D84" s="32" t="s">
        <v>3</v>
      </c>
      <c r="E84" s="43" t="s">
        <v>76</v>
      </c>
      <c r="F84" s="47" t="s">
        <v>76</v>
      </c>
      <c r="G84" s="47" t="s">
        <v>76</v>
      </c>
      <c r="H84" s="231" t="s">
        <v>934</v>
      </c>
      <c r="I84" s="27" t="s">
        <v>193</v>
      </c>
      <c r="J84" s="154" t="s">
        <v>76</v>
      </c>
      <c r="K84" s="24" t="s">
        <v>980</v>
      </c>
      <c r="L84" s="43" t="s">
        <v>950</v>
      </c>
      <c r="M84" s="27" t="s">
        <v>76</v>
      </c>
      <c r="N84" s="26" t="s">
        <v>969</v>
      </c>
      <c r="O84" s="24" t="s">
        <v>83</v>
      </c>
      <c r="P84" s="24"/>
      <c r="Q84" s="24"/>
      <c r="R84" s="42">
        <v>153</v>
      </c>
      <c r="S84" s="24">
        <f t="shared" si="18"/>
        <v>153</v>
      </c>
      <c r="T84" s="24">
        <f t="shared" ref="T84:T91" si="20">S84</f>
        <v>153</v>
      </c>
      <c r="U84" s="42">
        <f>ROUNDDOWN(S84/HLOOKUP(D84,Table!$C$3:$D$4,2,0)*8,2)</f>
        <v>2.72</v>
      </c>
      <c r="V84" s="24">
        <v>2</v>
      </c>
      <c r="W84" s="24" t="s">
        <v>105</v>
      </c>
      <c r="X84" s="28">
        <v>43927</v>
      </c>
      <c r="Y84" s="28">
        <v>43933</v>
      </c>
      <c r="Z84" s="28">
        <v>43928</v>
      </c>
      <c r="AA84" s="28">
        <v>43928</v>
      </c>
      <c r="AB84" s="160" t="s">
        <v>158</v>
      </c>
      <c r="AC84" s="32">
        <v>100</v>
      </c>
      <c r="AD84" s="32">
        <v>100</v>
      </c>
      <c r="AE84" s="32">
        <v>100</v>
      </c>
      <c r="AF84" s="32" t="s">
        <v>20</v>
      </c>
      <c r="AG84" s="27" t="s">
        <v>76</v>
      </c>
      <c r="AH84" s="27" t="s">
        <v>76</v>
      </c>
    </row>
    <row r="85" spans="1:34" x14ac:dyDescent="0.25">
      <c r="B85" s="175">
        <f t="shared" si="16"/>
        <v>83</v>
      </c>
      <c r="C85" s="26">
        <v>20200406</v>
      </c>
      <c r="D85" s="32" t="s">
        <v>3</v>
      </c>
      <c r="E85" s="43" t="s">
        <v>76</v>
      </c>
      <c r="F85" s="47" t="s">
        <v>76</v>
      </c>
      <c r="G85" s="47" t="s">
        <v>76</v>
      </c>
      <c r="H85" s="42" t="s">
        <v>935</v>
      </c>
      <c r="I85" s="27" t="s">
        <v>193</v>
      </c>
      <c r="J85" s="154" t="s">
        <v>76</v>
      </c>
      <c r="K85" s="24" t="s">
        <v>980</v>
      </c>
      <c r="L85" s="43" t="s">
        <v>951</v>
      </c>
      <c r="M85" s="27" t="s">
        <v>76</v>
      </c>
      <c r="N85" s="26" t="s">
        <v>970</v>
      </c>
      <c r="O85" s="24" t="s">
        <v>84</v>
      </c>
      <c r="P85" s="24"/>
      <c r="Q85" s="24"/>
      <c r="R85" s="42">
        <v>384</v>
      </c>
      <c r="S85" s="24">
        <f t="shared" si="18"/>
        <v>384</v>
      </c>
      <c r="T85" s="24">
        <f t="shared" si="20"/>
        <v>384</v>
      </c>
      <c r="U85" s="42">
        <f>ROUNDDOWN(S85/HLOOKUP(D85,Table!$C$3:$D$4,2,0)*8,2)</f>
        <v>6.82</v>
      </c>
      <c r="V85" s="24">
        <v>0.5</v>
      </c>
      <c r="W85" s="24" t="s">
        <v>105</v>
      </c>
      <c r="X85" s="28">
        <v>43927</v>
      </c>
      <c r="Y85" s="28">
        <v>43933</v>
      </c>
      <c r="Z85" s="28">
        <v>43929</v>
      </c>
      <c r="AA85" s="28">
        <v>43929</v>
      </c>
      <c r="AB85" s="160" t="s">
        <v>158</v>
      </c>
      <c r="AC85" s="32" t="s">
        <v>76</v>
      </c>
      <c r="AD85" s="32" t="s">
        <v>76</v>
      </c>
      <c r="AE85" s="32" t="s">
        <v>76</v>
      </c>
      <c r="AF85" s="32" t="s">
        <v>20</v>
      </c>
      <c r="AG85" s="27" t="s">
        <v>983</v>
      </c>
      <c r="AH85" s="27" t="s">
        <v>76</v>
      </c>
    </row>
    <row r="86" spans="1:34" x14ac:dyDescent="0.25">
      <c r="B86" s="175">
        <f t="shared" si="16"/>
        <v>84</v>
      </c>
      <c r="C86" s="26">
        <v>20200406</v>
      </c>
      <c r="D86" s="32" t="s">
        <v>3</v>
      </c>
      <c r="E86" s="43" t="s">
        <v>76</v>
      </c>
      <c r="F86" s="47" t="s">
        <v>76</v>
      </c>
      <c r="G86" s="47" t="s">
        <v>76</v>
      </c>
      <c r="H86" s="42" t="s">
        <v>936</v>
      </c>
      <c r="I86" s="27" t="s">
        <v>193</v>
      </c>
      <c r="J86" s="154" t="s">
        <v>76</v>
      </c>
      <c r="K86" s="24" t="s">
        <v>980</v>
      </c>
      <c r="L86" s="43" t="s">
        <v>952</v>
      </c>
      <c r="M86" s="27" t="s">
        <v>76</v>
      </c>
      <c r="N86" s="26" t="s">
        <v>971</v>
      </c>
      <c r="O86" s="24" t="s">
        <v>84</v>
      </c>
      <c r="P86" s="24"/>
      <c r="Q86" s="24"/>
      <c r="R86" s="42">
        <v>70</v>
      </c>
      <c r="S86" s="24">
        <f t="shared" si="18"/>
        <v>70</v>
      </c>
      <c r="T86" s="24">
        <f t="shared" si="20"/>
        <v>70</v>
      </c>
      <c r="U86" s="42">
        <f>ROUNDDOWN(S86/HLOOKUP(D86,Table!$C$3:$D$4,2,0)*8,2)</f>
        <v>1.24</v>
      </c>
      <c r="V86" s="24">
        <v>0.5</v>
      </c>
      <c r="W86" s="24" t="s">
        <v>105</v>
      </c>
      <c r="X86" s="28">
        <v>43927</v>
      </c>
      <c r="Y86" s="28">
        <v>43933</v>
      </c>
      <c r="Z86" s="28">
        <v>43929</v>
      </c>
      <c r="AA86" s="28">
        <v>43929</v>
      </c>
      <c r="AB86" s="160" t="s">
        <v>158</v>
      </c>
      <c r="AC86" s="32" t="s">
        <v>76</v>
      </c>
      <c r="AD86" s="32" t="s">
        <v>76</v>
      </c>
      <c r="AE86" s="32" t="s">
        <v>76</v>
      </c>
      <c r="AF86" s="32" t="s">
        <v>20</v>
      </c>
      <c r="AG86" s="27" t="s">
        <v>983</v>
      </c>
      <c r="AH86" s="27" t="s">
        <v>76</v>
      </c>
    </row>
    <row r="87" spans="1:34" x14ac:dyDescent="0.25">
      <c r="B87" s="175">
        <f t="shared" si="16"/>
        <v>85</v>
      </c>
      <c r="C87" s="26">
        <v>20200406</v>
      </c>
      <c r="D87" s="32" t="s">
        <v>3</v>
      </c>
      <c r="E87" s="43" t="s">
        <v>76</v>
      </c>
      <c r="F87" s="47" t="s">
        <v>76</v>
      </c>
      <c r="G87" s="47" t="s">
        <v>76</v>
      </c>
      <c r="H87" s="42" t="s">
        <v>937</v>
      </c>
      <c r="I87" s="27" t="s">
        <v>193</v>
      </c>
      <c r="J87" s="154" t="s">
        <v>76</v>
      </c>
      <c r="K87" s="24" t="s">
        <v>980</v>
      </c>
      <c r="L87" s="43" t="s">
        <v>953</v>
      </c>
      <c r="M87" s="27" t="s">
        <v>76</v>
      </c>
      <c r="N87" s="26" t="s">
        <v>972</v>
      </c>
      <c r="O87" s="24" t="s">
        <v>84</v>
      </c>
      <c r="P87" s="24"/>
      <c r="Q87" s="24"/>
      <c r="R87" s="42">
        <v>100</v>
      </c>
      <c r="S87" s="24">
        <f t="shared" si="18"/>
        <v>100</v>
      </c>
      <c r="T87" s="24">
        <f t="shared" si="20"/>
        <v>100</v>
      </c>
      <c r="U87" s="42">
        <f>ROUNDDOWN(S87/HLOOKUP(D87,Table!$C$3:$D$4,2,0)*8,2)</f>
        <v>1.77</v>
      </c>
      <c r="V87" s="24">
        <v>3</v>
      </c>
      <c r="W87" s="24" t="s">
        <v>105</v>
      </c>
      <c r="X87" s="28">
        <v>43927</v>
      </c>
      <c r="Y87" s="28">
        <v>43933</v>
      </c>
      <c r="Z87" s="28">
        <v>43929</v>
      </c>
      <c r="AA87" s="28">
        <v>43929</v>
      </c>
      <c r="AB87" s="160" t="s">
        <v>158</v>
      </c>
      <c r="AC87" s="32">
        <v>100</v>
      </c>
      <c r="AD87" s="32">
        <v>100</v>
      </c>
      <c r="AE87" s="32">
        <v>100</v>
      </c>
      <c r="AF87" s="32" t="s">
        <v>20</v>
      </c>
      <c r="AG87" s="27" t="s">
        <v>76</v>
      </c>
      <c r="AH87" s="27" t="s">
        <v>76</v>
      </c>
    </row>
    <row r="88" spans="1:34" x14ac:dyDescent="0.25">
      <c r="B88" s="175">
        <f t="shared" si="16"/>
        <v>86</v>
      </c>
      <c r="C88" s="26">
        <v>20200406</v>
      </c>
      <c r="D88" s="32" t="s">
        <v>3</v>
      </c>
      <c r="E88" s="43" t="s">
        <v>76</v>
      </c>
      <c r="F88" s="43" t="s">
        <v>1347</v>
      </c>
      <c r="G88" s="47" t="s">
        <v>76</v>
      </c>
      <c r="H88" s="42" t="s">
        <v>938</v>
      </c>
      <c r="I88" s="27" t="s">
        <v>193</v>
      </c>
      <c r="J88" s="154" t="s">
        <v>76</v>
      </c>
      <c r="K88" s="24" t="s">
        <v>980</v>
      </c>
      <c r="L88" s="43" t="s">
        <v>954</v>
      </c>
      <c r="M88" s="27" t="s">
        <v>76</v>
      </c>
      <c r="N88" s="26" t="s">
        <v>973</v>
      </c>
      <c r="O88" s="24" t="s">
        <v>85</v>
      </c>
      <c r="P88" s="24"/>
      <c r="Q88" s="24"/>
      <c r="R88" s="42">
        <v>290</v>
      </c>
      <c r="S88" s="24">
        <f t="shared" si="18"/>
        <v>290</v>
      </c>
      <c r="T88" s="24">
        <f t="shared" si="20"/>
        <v>290</v>
      </c>
      <c r="U88" s="42">
        <f>ROUNDDOWN(S88/HLOOKUP(D88,Table!$C$3:$D$4,2,0)*8,2)</f>
        <v>5.15</v>
      </c>
      <c r="V88" s="24">
        <v>3.5</v>
      </c>
      <c r="W88" s="24" t="s">
        <v>105</v>
      </c>
      <c r="X88" s="28">
        <v>43927</v>
      </c>
      <c r="Y88" s="28">
        <v>43933</v>
      </c>
      <c r="Z88" s="28">
        <v>43929</v>
      </c>
      <c r="AA88" s="28">
        <v>43929</v>
      </c>
      <c r="AB88" s="160" t="s">
        <v>157</v>
      </c>
      <c r="AC88" s="32">
        <v>46</v>
      </c>
      <c r="AD88" s="32">
        <v>41</v>
      </c>
      <c r="AE88" s="32">
        <v>56</v>
      </c>
      <c r="AF88" s="32" t="s">
        <v>792</v>
      </c>
      <c r="AG88" s="27" t="s">
        <v>996</v>
      </c>
      <c r="AH88" s="27" t="s">
        <v>76</v>
      </c>
    </row>
    <row r="89" spans="1:34" x14ac:dyDescent="0.25">
      <c r="B89" s="175">
        <f t="shared" si="16"/>
        <v>87</v>
      </c>
      <c r="C89" s="26">
        <v>20200406</v>
      </c>
      <c r="D89" s="32" t="s">
        <v>3</v>
      </c>
      <c r="E89" s="43" t="s">
        <v>76</v>
      </c>
      <c r="F89" s="47" t="s">
        <v>76</v>
      </c>
      <c r="G89" s="47" t="s">
        <v>76</v>
      </c>
      <c r="H89" s="231" t="s">
        <v>939</v>
      </c>
      <c r="I89" s="27" t="s">
        <v>193</v>
      </c>
      <c r="J89" s="154" t="s">
        <v>76</v>
      </c>
      <c r="K89" s="24" t="s">
        <v>980</v>
      </c>
      <c r="L89" s="43" t="s">
        <v>955</v>
      </c>
      <c r="M89" s="27" t="s">
        <v>76</v>
      </c>
      <c r="N89" s="26" t="s">
        <v>974</v>
      </c>
      <c r="O89" s="24" t="s">
        <v>83</v>
      </c>
      <c r="P89" s="24"/>
      <c r="Q89" s="24"/>
      <c r="R89" s="42">
        <v>275</v>
      </c>
      <c r="S89" s="24">
        <f t="shared" si="18"/>
        <v>275</v>
      </c>
      <c r="T89" s="24">
        <f t="shared" si="20"/>
        <v>275</v>
      </c>
      <c r="U89" s="42">
        <f>ROUNDDOWN(S89/HLOOKUP(D89,Table!$C$3:$D$4,2,0)*8,2)</f>
        <v>4.88</v>
      </c>
      <c r="V89" s="24">
        <v>2</v>
      </c>
      <c r="W89" s="24" t="s">
        <v>105</v>
      </c>
      <c r="X89" s="28">
        <v>43927</v>
      </c>
      <c r="Y89" s="28">
        <v>43933</v>
      </c>
      <c r="Z89" s="28">
        <v>43928</v>
      </c>
      <c r="AA89" s="28">
        <v>43928</v>
      </c>
      <c r="AB89" s="160" t="s">
        <v>158</v>
      </c>
      <c r="AC89" s="32">
        <v>100</v>
      </c>
      <c r="AD89" s="32">
        <v>100</v>
      </c>
      <c r="AE89" s="32">
        <v>100</v>
      </c>
      <c r="AF89" s="32" t="s">
        <v>20</v>
      </c>
      <c r="AG89" s="27" t="s">
        <v>76</v>
      </c>
      <c r="AH89" s="27" t="s">
        <v>76</v>
      </c>
    </row>
    <row r="90" spans="1:34" x14ac:dyDescent="0.25">
      <c r="B90" s="175">
        <f t="shared" si="16"/>
        <v>88</v>
      </c>
      <c r="C90" s="26">
        <v>20200406</v>
      </c>
      <c r="D90" s="32" t="s">
        <v>3</v>
      </c>
      <c r="E90" s="43" t="s">
        <v>76</v>
      </c>
      <c r="F90" s="47" t="s">
        <v>76</v>
      </c>
      <c r="G90" s="47" t="s">
        <v>76</v>
      </c>
      <c r="H90" s="231" t="s">
        <v>940</v>
      </c>
      <c r="I90" s="27" t="s">
        <v>193</v>
      </c>
      <c r="J90" s="154" t="s">
        <v>76</v>
      </c>
      <c r="K90" s="24" t="s">
        <v>980</v>
      </c>
      <c r="L90" s="43" t="s">
        <v>956</v>
      </c>
      <c r="M90" s="27" t="s">
        <v>76</v>
      </c>
      <c r="N90" s="26" t="s">
        <v>975</v>
      </c>
      <c r="O90" s="24" t="s">
        <v>83</v>
      </c>
      <c r="P90" s="24"/>
      <c r="Q90" s="24"/>
      <c r="R90" s="42">
        <v>55</v>
      </c>
      <c r="S90" s="24">
        <f t="shared" si="18"/>
        <v>55</v>
      </c>
      <c r="T90" s="24">
        <f t="shared" si="20"/>
        <v>55</v>
      </c>
      <c r="U90" s="42">
        <f>ROUNDDOWN(S90/HLOOKUP(D90,Table!$C$3:$D$4,2,0)*8,2)</f>
        <v>0.97</v>
      </c>
      <c r="V90" s="24">
        <v>2</v>
      </c>
      <c r="W90" s="24" t="s">
        <v>105</v>
      </c>
      <c r="X90" s="28">
        <v>43927</v>
      </c>
      <c r="Y90" s="28">
        <v>43933</v>
      </c>
      <c r="Z90" s="28">
        <v>43928</v>
      </c>
      <c r="AA90" s="28">
        <v>43928</v>
      </c>
      <c r="AB90" s="160" t="s">
        <v>158</v>
      </c>
      <c r="AC90" s="32">
        <v>100</v>
      </c>
      <c r="AD90" s="32">
        <v>100</v>
      </c>
      <c r="AE90" s="32">
        <v>100</v>
      </c>
      <c r="AF90" s="32" t="s">
        <v>20</v>
      </c>
      <c r="AG90" s="27" t="s">
        <v>76</v>
      </c>
      <c r="AH90" s="27" t="s">
        <v>76</v>
      </c>
    </row>
    <row r="91" spans="1:34" x14ac:dyDescent="0.25">
      <c r="B91" s="175">
        <f t="shared" si="16"/>
        <v>89</v>
      </c>
      <c r="C91" s="26">
        <v>20200406</v>
      </c>
      <c r="D91" s="32" t="s">
        <v>3</v>
      </c>
      <c r="E91" s="43" t="s">
        <v>76</v>
      </c>
      <c r="F91" s="47" t="s">
        <v>76</v>
      </c>
      <c r="G91" s="47" t="s">
        <v>76</v>
      </c>
      <c r="H91" s="231" t="s">
        <v>941</v>
      </c>
      <c r="I91" s="27" t="s">
        <v>193</v>
      </c>
      <c r="J91" s="154" t="s">
        <v>76</v>
      </c>
      <c r="K91" s="24" t="s">
        <v>980</v>
      </c>
      <c r="L91" s="43" t="s">
        <v>957</v>
      </c>
      <c r="M91" s="27" t="s">
        <v>76</v>
      </c>
      <c r="N91" s="26" t="s">
        <v>976</v>
      </c>
      <c r="O91" s="24" t="s">
        <v>83</v>
      </c>
      <c r="P91" s="24"/>
      <c r="Q91" s="24"/>
      <c r="R91" s="42">
        <v>131</v>
      </c>
      <c r="S91" s="24">
        <f t="shared" si="18"/>
        <v>131</v>
      </c>
      <c r="T91" s="24">
        <f t="shared" si="20"/>
        <v>131</v>
      </c>
      <c r="U91" s="42">
        <f>ROUNDDOWN(S91/HLOOKUP(D91,Table!$C$3:$D$4,2,0)*8,2)</f>
        <v>2.3199999999999998</v>
      </c>
      <c r="V91" s="24">
        <v>2</v>
      </c>
      <c r="W91" s="24" t="s">
        <v>105</v>
      </c>
      <c r="X91" s="28">
        <v>43927</v>
      </c>
      <c r="Y91" s="28">
        <v>43933</v>
      </c>
      <c r="Z91" s="28">
        <v>43928</v>
      </c>
      <c r="AA91" s="28">
        <v>43928</v>
      </c>
      <c r="AB91" s="160" t="s">
        <v>158</v>
      </c>
      <c r="AC91" s="32">
        <v>100</v>
      </c>
      <c r="AD91" s="32">
        <v>100</v>
      </c>
      <c r="AE91" s="32">
        <v>100</v>
      </c>
      <c r="AF91" s="32" t="s">
        <v>20</v>
      </c>
      <c r="AG91" s="27" t="s">
        <v>76</v>
      </c>
      <c r="AH91" s="27" t="s">
        <v>76</v>
      </c>
    </row>
    <row r="92" spans="1:34" x14ac:dyDescent="0.25">
      <c r="B92" s="175">
        <f t="shared" si="16"/>
        <v>90</v>
      </c>
      <c r="C92" s="26">
        <v>20200406</v>
      </c>
      <c r="D92" s="32" t="s">
        <v>3</v>
      </c>
      <c r="E92" s="43" t="s">
        <v>76</v>
      </c>
      <c r="F92" s="47" t="s">
        <v>76</v>
      </c>
      <c r="G92" s="47" t="s">
        <v>76</v>
      </c>
      <c r="H92" s="42" t="s">
        <v>942</v>
      </c>
      <c r="I92" s="27" t="s">
        <v>193</v>
      </c>
      <c r="J92" s="154" t="s">
        <v>76</v>
      </c>
      <c r="K92" s="24" t="s">
        <v>980</v>
      </c>
      <c r="L92" s="42">
        <v>3.2</v>
      </c>
      <c r="M92" s="27" t="s">
        <v>76</v>
      </c>
      <c r="N92" s="26" t="s">
        <v>990</v>
      </c>
      <c r="O92" s="24" t="s">
        <v>85</v>
      </c>
      <c r="P92" s="24"/>
      <c r="Q92" s="24"/>
      <c r="R92" s="42">
        <v>119</v>
      </c>
      <c r="S92" s="24">
        <f t="shared" si="18"/>
        <v>119</v>
      </c>
      <c r="T92" s="24">
        <f>S92</f>
        <v>119</v>
      </c>
      <c r="U92" s="42">
        <f>ROUNDDOWN(S92/HLOOKUP(D92,Table!$C$3:$D$4,2,0)*8,2)</f>
        <v>2.11</v>
      </c>
      <c r="V92" s="24">
        <v>1</v>
      </c>
      <c r="W92" s="24" t="s">
        <v>105</v>
      </c>
      <c r="X92" s="28">
        <v>43927</v>
      </c>
      <c r="Y92" s="28">
        <v>43933</v>
      </c>
      <c r="Z92" s="28">
        <v>43930</v>
      </c>
      <c r="AA92" s="28">
        <v>43930</v>
      </c>
      <c r="AB92" s="160" t="s">
        <v>158</v>
      </c>
      <c r="AC92" s="32">
        <v>100</v>
      </c>
      <c r="AD92" s="32">
        <v>100</v>
      </c>
      <c r="AE92" s="32">
        <v>100</v>
      </c>
      <c r="AF92" s="168" t="s">
        <v>20</v>
      </c>
      <c r="AG92" s="27" t="s">
        <v>76</v>
      </c>
      <c r="AH92" s="27" t="s">
        <v>76</v>
      </c>
    </row>
    <row r="93" spans="1:34" x14ac:dyDescent="0.25">
      <c r="B93" s="175">
        <f t="shared" si="16"/>
        <v>91</v>
      </c>
      <c r="C93" s="26">
        <v>20200406</v>
      </c>
      <c r="D93" s="32" t="s">
        <v>3</v>
      </c>
      <c r="E93" s="43" t="s">
        <v>76</v>
      </c>
      <c r="F93" s="47" t="s">
        <v>76</v>
      </c>
      <c r="G93" s="47" t="s">
        <v>76</v>
      </c>
      <c r="H93" s="42" t="s">
        <v>943</v>
      </c>
      <c r="I93" s="27" t="s">
        <v>193</v>
      </c>
      <c r="J93" s="154" t="s">
        <v>76</v>
      </c>
      <c r="K93" s="24" t="s">
        <v>980</v>
      </c>
      <c r="L93" s="43" t="s">
        <v>958</v>
      </c>
      <c r="M93" s="27" t="s">
        <v>76</v>
      </c>
      <c r="N93" s="26" t="s">
        <v>991</v>
      </c>
      <c r="O93" s="24" t="s">
        <v>85</v>
      </c>
      <c r="P93" s="24"/>
      <c r="Q93" s="24"/>
      <c r="R93" s="42">
        <v>147</v>
      </c>
      <c r="S93" s="24">
        <f t="shared" si="18"/>
        <v>147</v>
      </c>
      <c r="T93" s="24">
        <f>S93</f>
        <v>147</v>
      </c>
      <c r="U93" s="42">
        <f>ROUNDDOWN(S93/HLOOKUP(D93,Table!$C$3:$D$4,2,0)*8,2)</f>
        <v>2.61</v>
      </c>
      <c r="V93" s="24">
        <v>1.5</v>
      </c>
      <c r="W93" s="24" t="s">
        <v>105</v>
      </c>
      <c r="X93" s="28">
        <v>43927</v>
      </c>
      <c r="Y93" s="28">
        <v>43933</v>
      </c>
      <c r="Z93" s="28">
        <v>43930</v>
      </c>
      <c r="AA93" s="28">
        <v>43930</v>
      </c>
      <c r="AB93" s="160" t="s">
        <v>158</v>
      </c>
      <c r="AC93" s="32">
        <v>100</v>
      </c>
      <c r="AD93" s="32">
        <v>100</v>
      </c>
      <c r="AE93" s="32">
        <v>100</v>
      </c>
      <c r="AF93" s="32" t="s">
        <v>20</v>
      </c>
      <c r="AG93" s="27" t="s">
        <v>76</v>
      </c>
      <c r="AH93" s="27" t="s">
        <v>76</v>
      </c>
    </row>
    <row r="94" spans="1:34" x14ac:dyDescent="0.25">
      <c r="B94" s="133">
        <f t="shared" si="16"/>
        <v>92</v>
      </c>
      <c r="C94" s="26">
        <v>20200407</v>
      </c>
      <c r="D94" s="32" t="s">
        <v>3</v>
      </c>
      <c r="E94" s="42" t="s">
        <v>984</v>
      </c>
      <c r="F94" s="43" t="s">
        <v>1348</v>
      </c>
      <c r="G94" s="42">
        <v>1405783</v>
      </c>
      <c r="H94" s="42" t="s">
        <v>987</v>
      </c>
      <c r="I94" s="24" t="s">
        <v>193</v>
      </c>
      <c r="J94" s="154" t="s">
        <v>1062</v>
      </c>
      <c r="K94" s="42" t="s">
        <v>671</v>
      </c>
      <c r="L94" s="27" t="s">
        <v>76</v>
      </c>
      <c r="M94" s="43" t="s">
        <v>994</v>
      </c>
      <c r="N94" s="26" t="s">
        <v>992</v>
      </c>
      <c r="O94" s="24" t="s">
        <v>85</v>
      </c>
      <c r="P94" s="24"/>
      <c r="Q94" s="24"/>
      <c r="R94" s="42">
        <v>242</v>
      </c>
      <c r="S94" s="24">
        <f>R94</f>
        <v>242</v>
      </c>
      <c r="T94" s="24">
        <f>S94</f>
        <v>242</v>
      </c>
      <c r="U94" s="24">
        <f>ROUNDDOWN(S94/HLOOKUP(D94,Table!$C$3:$D$4,2,0)*8,2)</f>
        <v>4.3</v>
      </c>
      <c r="V94" s="24">
        <v>2.5</v>
      </c>
      <c r="W94" s="24" t="s">
        <v>18</v>
      </c>
      <c r="X94" s="28">
        <v>43928</v>
      </c>
      <c r="Y94" s="28">
        <v>43938</v>
      </c>
      <c r="Z94" s="28">
        <v>43930</v>
      </c>
      <c r="AA94" s="28">
        <v>43930</v>
      </c>
      <c r="AB94" s="31" t="s">
        <v>158</v>
      </c>
      <c r="AC94" s="24">
        <v>100</v>
      </c>
      <c r="AD94" s="24">
        <v>100</v>
      </c>
      <c r="AE94" s="24">
        <v>100</v>
      </c>
      <c r="AF94" s="168" t="s">
        <v>20</v>
      </c>
      <c r="AG94" s="27" t="s">
        <v>76</v>
      </c>
      <c r="AH94" s="27" t="s">
        <v>76</v>
      </c>
    </row>
    <row r="95" spans="1:34" x14ac:dyDescent="0.25">
      <c r="B95" s="133">
        <f t="shared" si="16"/>
        <v>93</v>
      </c>
      <c r="C95" s="26">
        <v>20200407</v>
      </c>
      <c r="D95" s="32" t="s">
        <v>3</v>
      </c>
      <c r="E95" s="42" t="s">
        <v>985</v>
      </c>
      <c r="F95" s="43" t="s">
        <v>1349</v>
      </c>
      <c r="G95" s="42">
        <v>1405633</v>
      </c>
      <c r="H95" s="231" t="s">
        <v>988</v>
      </c>
      <c r="I95" s="24" t="s">
        <v>194</v>
      </c>
      <c r="J95" s="154" t="s">
        <v>76</v>
      </c>
      <c r="K95" s="42" t="s">
        <v>989</v>
      </c>
      <c r="L95" s="27" t="s">
        <v>76</v>
      </c>
      <c r="M95" s="43" t="s">
        <v>995</v>
      </c>
      <c r="N95" s="26" t="s">
        <v>993</v>
      </c>
      <c r="O95" s="24" t="s">
        <v>83</v>
      </c>
      <c r="P95" s="24"/>
      <c r="Q95" s="24"/>
      <c r="R95" s="42">
        <v>300</v>
      </c>
      <c r="S95" s="24">
        <f>R95</f>
        <v>300</v>
      </c>
      <c r="T95" s="24">
        <f>S95</f>
        <v>300</v>
      </c>
      <c r="U95" s="24">
        <f>ROUNDDOWN(S95/HLOOKUP(D95,Table!$C$3:$D$4,2,0)*8,2)</f>
        <v>5.33</v>
      </c>
      <c r="V95" s="24">
        <v>4.5</v>
      </c>
      <c r="W95" s="24" t="s">
        <v>18</v>
      </c>
      <c r="X95" s="28">
        <v>43928</v>
      </c>
      <c r="Y95" s="28">
        <v>43938</v>
      </c>
      <c r="Z95" s="28">
        <v>43929</v>
      </c>
      <c r="AA95" s="28">
        <v>43929</v>
      </c>
      <c r="AB95" s="31" t="s">
        <v>157</v>
      </c>
      <c r="AC95" s="24">
        <v>98</v>
      </c>
      <c r="AD95" s="24">
        <v>96</v>
      </c>
      <c r="AE95" s="24">
        <v>100</v>
      </c>
      <c r="AF95" s="24" t="s">
        <v>792</v>
      </c>
      <c r="AG95" s="183" t="s">
        <v>997</v>
      </c>
      <c r="AH95" s="27" t="s">
        <v>998</v>
      </c>
    </row>
    <row r="96" spans="1:34" x14ac:dyDescent="0.25">
      <c r="B96" s="133">
        <f t="shared" si="16"/>
        <v>94</v>
      </c>
      <c r="C96" s="26">
        <v>20200407</v>
      </c>
      <c r="D96" s="32" t="s">
        <v>3</v>
      </c>
      <c r="E96" s="42" t="s">
        <v>985</v>
      </c>
      <c r="F96" s="43" t="s">
        <v>1349</v>
      </c>
      <c r="G96" s="42">
        <v>1405633</v>
      </c>
      <c r="H96" s="42" t="s">
        <v>670</v>
      </c>
      <c r="I96" s="24" t="s">
        <v>194</v>
      </c>
      <c r="J96" s="154" t="s">
        <v>76</v>
      </c>
      <c r="K96" s="24" t="s">
        <v>989</v>
      </c>
      <c r="L96" s="27" t="s">
        <v>76</v>
      </c>
      <c r="M96" s="27" t="s">
        <v>995</v>
      </c>
      <c r="N96" s="26" t="s">
        <v>1004</v>
      </c>
      <c r="O96" s="24" t="s">
        <v>82</v>
      </c>
      <c r="P96" s="24"/>
      <c r="Q96" s="24"/>
      <c r="R96" s="42">
        <v>115</v>
      </c>
      <c r="S96" s="24">
        <f t="shared" ref="S96:S109" si="21">R96</f>
        <v>115</v>
      </c>
      <c r="T96" s="24">
        <f>S96</f>
        <v>115</v>
      </c>
      <c r="U96" s="24">
        <f>ROUNDDOWN(S96/HLOOKUP(D96,Table!$C$3:$D$4,2,0)*8,2)</f>
        <v>2.04</v>
      </c>
      <c r="V96" s="24">
        <v>2</v>
      </c>
      <c r="W96" s="24" t="s">
        <v>18</v>
      </c>
      <c r="X96" s="28">
        <v>43928</v>
      </c>
      <c r="Y96" s="28">
        <v>43938</v>
      </c>
      <c r="Z96" s="28">
        <v>43930</v>
      </c>
      <c r="AA96" s="28">
        <v>43930</v>
      </c>
      <c r="AB96" s="32" t="s">
        <v>158</v>
      </c>
      <c r="AC96" s="32">
        <v>100</v>
      </c>
      <c r="AD96" s="32">
        <v>100</v>
      </c>
      <c r="AE96" s="32">
        <v>100</v>
      </c>
      <c r="AF96" s="168" t="s">
        <v>20</v>
      </c>
      <c r="AG96" s="27" t="s">
        <v>76</v>
      </c>
      <c r="AH96" s="27" t="s">
        <v>76</v>
      </c>
    </row>
    <row r="97" spans="1:34" x14ac:dyDescent="0.25">
      <c r="B97" s="133">
        <f t="shared" si="16"/>
        <v>95</v>
      </c>
      <c r="C97" s="26">
        <v>20200407</v>
      </c>
      <c r="D97" s="32" t="s">
        <v>3</v>
      </c>
      <c r="E97" s="42" t="s">
        <v>986</v>
      </c>
      <c r="F97" s="43" t="s">
        <v>185</v>
      </c>
      <c r="G97" s="42">
        <v>1407639</v>
      </c>
      <c r="H97" s="42" t="s">
        <v>80</v>
      </c>
      <c r="I97" s="24" t="s">
        <v>193</v>
      </c>
      <c r="J97" s="154" t="s">
        <v>76</v>
      </c>
      <c r="K97" s="42" t="s">
        <v>870</v>
      </c>
      <c r="L97" s="27" t="s">
        <v>76</v>
      </c>
      <c r="M97" s="27" t="s">
        <v>871</v>
      </c>
      <c r="N97" s="26" t="s">
        <v>1005</v>
      </c>
      <c r="O97" s="24" t="s">
        <v>84</v>
      </c>
      <c r="P97" s="24"/>
      <c r="Q97" s="24"/>
      <c r="R97" s="42">
        <v>110</v>
      </c>
      <c r="S97" s="24">
        <f t="shared" si="21"/>
        <v>110</v>
      </c>
      <c r="T97" s="24">
        <f t="shared" ref="T97:T102" si="22">S97</f>
        <v>110</v>
      </c>
      <c r="U97" s="24">
        <f>ROUNDDOWN(S97/HLOOKUP(D97,Table!$C$3:$D$4,2,0)*8,2)</f>
        <v>1.95</v>
      </c>
      <c r="V97" s="24">
        <v>4</v>
      </c>
      <c r="W97" s="24" t="s">
        <v>18</v>
      </c>
      <c r="X97" s="28">
        <v>43928</v>
      </c>
      <c r="Y97" s="28">
        <v>43934</v>
      </c>
      <c r="Z97" s="28">
        <v>43929</v>
      </c>
      <c r="AA97" s="28">
        <v>43929</v>
      </c>
      <c r="AB97" s="167" t="s">
        <v>158</v>
      </c>
      <c r="AC97" s="168">
        <v>100</v>
      </c>
      <c r="AD97" s="168">
        <v>100</v>
      </c>
      <c r="AE97" s="168">
        <v>100</v>
      </c>
      <c r="AF97" s="168" t="s">
        <v>20</v>
      </c>
      <c r="AG97" s="27" t="s">
        <v>76</v>
      </c>
      <c r="AH97" s="27" t="s">
        <v>76</v>
      </c>
    </row>
    <row r="98" spans="1:34" x14ac:dyDescent="0.25">
      <c r="B98" s="50">
        <f t="shared" si="16"/>
        <v>96</v>
      </c>
      <c r="C98" s="26">
        <v>20200408</v>
      </c>
      <c r="D98" s="32" t="s">
        <v>3</v>
      </c>
      <c r="E98" s="42" t="s">
        <v>986</v>
      </c>
      <c r="F98" s="43" t="s">
        <v>1350</v>
      </c>
      <c r="G98" s="42">
        <v>1403443</v>
      </c>
      <c r="H98" s="231" t="s">
        <v>1001</v>
      </c>
      <c r="I98" s="24" t="s">
        <v>193</v>
      </c>
      <c r="J98" s="191" t="s">
        <v>1024</v>
      </c>
      <c r="K98" s="42" t="s">
        <v>870</v>
      </c>
      <c r="L98" s="27" t="s">
        <v>76</v>
      </c>
      <c r="M98" s="43" t="s">
        <v>664</v>
      </c>
      <c r="N98" s="26" t="s">
        <v>1006</v>
      </c>
      <c r="O98" s="24" t="s">
        <v>83</v>
      </c>
      <c r="P98" s="24"/>
      <c r="Q98" s="24"/>
      <c r="R98" s="186">
        <v>456</v>
      </c>
      <c r="S98" s="198">
        <v>472</v>
      </c>
      <c r="T98" s="24">
        <f t="shared" si="22"/>
        <v>472</v>
      </c>
      <c r="U98" s="24">
        <f>ROUNDDOWN(S98/HLOOKUP(D98,Table!$C$3:$D$4,2,0)*8,2)</f>
        <v>8.39</v>
      </c>
      <c r="V98" s="24">
        <v>2</v>
      </c>
      <c r="W98" s="24" t="s">
        <v>105</v>
      </c>
      <c r="X98" s="28">
        <v>43929</v>
      </c>
      <c r="Y98" s="28">
        <v>43934</v>
      </c>
      <c r="Z98" s="28">
        <v>43930</v>
      </c>
      <c r="AA98" s="28">
        <v>43930</v>
      </c>
      <c r="AB98" s="31" t="s">
        <v>158</v>
      </c>
      <c r="AC98" s="197">
        <v>100</v>
      </c>
      <c r="AD98" s="197">
        <v>100</v>
      </c>
      <c r="AE98" s="197">
        <v>100</v>
      </c>
      <c r="AF98" s="197" t="s">
        <v>20</v>
      </c>
      <c r="AG98" s="27" t="s">
        <v>76</v>
      </c>
      <c r="AH98" s="27" t="s">
        <v>76</v>
      </c>
    </row>
    <row r="99" spans="1:34" x14ac:dyDescent="0.25">
      <c r="B99" s="50">
        <f t="shared" si="16"/>
        <v>97</v>
      </c>
      <c r="C99" s="26">
        <v>20200408</v>
      </c>
      <c r="D99" s="32" t="s">
        <v>3</v>
      </c>
      <c r="E99" s="42" t="s">
        <v>986</v>
      </c>
      <c r="F99" s="43" t="s">
        <v>1350</v>
      </c>
      <c r="G99" s="42">
        <v>1403443</v>
      </c>
      <c r="H99" s="42" t="s">
        <v>1002</v>
      </c>
      <c r="I99" s="24" t="s">
        <v>193</v>
      </c>
      <c r="J99" s="154" t="s">
        <v>1024</v>
      </c>
      <c r="K99" s="24" t="s">
        <v>870</v>
      </c>
      <c r="L99" s="27" t="s">
        <v>76</v>
      </c>
      <c r="M99" s="43" t="s">
        <v>664</v>
      </c>
      <c r="N99" s="26" t="s">
        <v>1007</v>
      </c>
      <c r="O99" s="24" t="s">
        <v>84</v>
      </c>
      <c r="P99" s="24"/>
      <c r="Q99" s="24"/>
      <c r="R99" s="42">
        <v>19</v>
      </c>
      <c r="S99" s="26">
        <f>R99</f>
        <v>19</v>
      </c>
      <c r="T99" s="24">
        <f t="shared" si="22"/>
        <v>19</v>
      </c>
      <c r="U99" s="24">
        <f>ROUNDDOWN(S99/HLOOKUP(D99,Table!$C$3:$D$4,2,0)*8,2)</f>
        <v>0.33</v>
      </c>
      <c r="V99" s="24">
        <v>0.1</v>
      </c>
      <c r="W99" s="24" t="s">
        <v>105</v>
      </c>
      <c r="X99" s="28">
        <v>43929</v>
      </c>
      <c r="Y99" s="28">
        <v>43934</v>
      </c>
      <c r="Z99" s="28">
        <v>43930</v>
      </c>
      <c r="AA99" s="28">
        <v>43930</v>
      </c>
      <c r="AB99" s="160" t="s">
        <v>158</v>
      </c>
      <c r="AC99" s="23" t="s">
        <v>76</v>
      </c>
      <c r="AD99" s="23" t="s">
        <v>76</v>
      </c>
      <c r="AE99" s="23" t="s">
        <v>76</v>
      </c>
      <c r="AF99" s="23" t="s">
        <v>20</v>
      </c>
      <c r="AG99" s="27" t="s">
        <v>1064</v>
      </c>
      <c r="AH99" s="27" t="s">
        <v>76</v>
      </c>
    </row>
    <row r="100" spans="1:34" x14ac:dyDescent="0.25">
      <c r="B100" s="50">
        <f t="shared" si="16"/>
        <v>98</v>
      </c>
      <c r="C100" s="26">
        <v>20200408</v>
      </c>
      <c r="D100" s="32" t="s">
        <v>3</v>
      </c>
      <c r="E100" s="42" t="s">
        <v>654</v>
      </c>
      <c r="F100" s="43" t="s">
        <v>659</v>
      </c>
      <c r="G100" s="42">
        <v>1402846</v>
      </c>
      <c r="H100" s="42" t="s">
        <v>1003</v>
      </c>
      <c r="I100" s="24" t="s">
        <v>193</v>
      </c>
      <c r="J100" s="154" t="s">
        <v>1025</v>
      </c>
      <c r="K100" s="42" t="s">
        <v>662</v>
      </c>
      <c r="L100" s="27" t="s">
        <v>76</v>
      </c>
      <c r="M100" s="43" t="s">
        <v>664</v>
      </c>
      <c r="N100" s="26" t="s">
        <v>1030</v>
      </c>
      <c r="O100" s="24" t="s">
        <v>84</v>
      </c>
      <c r="P100" s="24"/>
      <c r="Q100" s="24"/>
      <c r="R100" s="42">
        <v>60</v>
      </c>
      <c r="S100" s="26">
        <f>R100</f>
        <v>60</v>
      </c>
      <c r="T100" s="24">
        <f t="shared" si="22"/>
        <v>60</v>
      </c>
      <c r="U100" s="24">
        <f>ROUNDDOWN(S100/HLOOKUP(D100,Table!$C$3:$D$4,2,0)*8,2)</f>
        <v>1.06</v>
      </c>
      <c r="V100" s="24">
        <v>1</v>
      </c>
      <c r="W100" s="24" t="s">
        <v>105</v>
      </c>
      <c r="X100" s="28">
        <v>43929</v>
      </c>
      <c r="Y100" s="28">
        <v>43934</v>
      </c>
      <c r="Z100" s="28">
        <v>43930</v>
      </c>
      <c r="AA100" s="28">
        <v>43930</v>
      </c>
      <c r="AB100" s="160" t="s">
        <v>158</v>
      </c>
      <c r="AC100" s="23">
        <v>100</v>
      </c>
      <c r="AD100" s="23">
        <v>100</v>
      </c>
      <c r="AE100" s="23">
        <v>100</v>
      </c>
      <c r="AF100" s="23" t="s">
        <v>20</v>
      </c>
      <c r="AG100" s="27" t="s">
        <v>76</v>
      </c>
      <c r="AH100" s="27" t="s">
        <v>76</v>
      </c>
    </row>
    <row r="101" spans="1:34" x14ac:dyDescent="0.25">
      <c r="B101" s="50">
        <f t="shared" si="16"/>
        <v>99</v>
      </c>
      <c r="C101" s="26">
        <v>20200408</v>
      </c>
      <c r="D101" s="32" t="s">
        <v>3</v>
      </c>
      <c r="E101" s="42" t="s">
        <v>986</v>
      </c>
      <c r="F101" s="43" t="s">
        <v>1350</v>
      </c>
      <c r="G101" s="42">
        <v>1401698</v>
      </c>
      <c r="H101" s="231" t="s">
        <v>1001</v>
      </c>
      <c r="I101" s="24" t="s">
        <v>193</v>
      </c>
      <c r="J101" s="191" t="s">
        <v>1026</v>
      </c>
      <c r="K101" s="24" t="s">
        <v>870</v>
      </c>
      <c r="L101" s="27" t="s">
        <v>76</v>
      </c>
      <c r="M101" s="27" t="s">
        <v>664</v>
      </c>
      <c r="N101" s="26" t="s">
        <v>1031</v>
      </c>
      <c r="O101" s="24" t="s">
        <v>83</v>
      </c>
      <c r="P101" s="24"/>
      <c r="Q101" s="24"/>
      <c r="R101" s="187">
        <v>456</v>
      </c>
      <c r="S101" s="198">
        <v>472</v>
      </c>
      <c r="T101" s="24">
        <f t="shared" si="22"/>
        <v>472</v>
      </c>
      <c r="U101" s="24">
        <f>ROUNDDOWN(S101/HLOOKUP(D101,Table!$C$3:$D$4,2,0)*8,2)</f>
        <v>8.39</v>
      </c>
      <c r="V101" s="24">
        <v>2</v>
      </c>
      <c r="W101" s="24" t="s">
        <v>105</v>
      </c>
      <c r="X101" s="28">
        <v>43929</v>
      </c>
      <c r="Y101" s="28">
        <v>43934</v>
      </c>
      <c r="Z101" s="28">
        <v>43930</v>
      </c>
      <c r="AA101" s="28">
        <v>43930</v>
      </c>
      <c r="AB101" s="31" t="s">
        <v>158</v>
      </c>
      <c r="AC101" s="197">
        <v>100</v>
      </c>
      <c r="AD101" s="197">
        <v>100</v>
      </c>
      <c r="AE101" s="197">
        <v>100</v>
      </c>
      <c r="AF101" s="197" t="s">
        <v>20</v>
      </c>
      <c r="AG101" s="27" t="s">
        <v>76</v>
      </c>
      <c r="AH101" s="27" t="s">
        <v>76</v>
      </c>
    </row>
    <row r="102" spans="1:34" x14ac:dyDescent="0.25">
      <c r="B102" s="188">
        <f t="shared" si="16"/>
        <v>100</v>
      </c>
      <c r="C102" s="26">
        <v>20200408</v>
      </c>
      <c r="D102" s="32" t="s">
        <v>3</v>
      </c>
      <c r="E102" s="42" t="s">
        <v>1008</v>
      </c>
      <c r="F102" s="43" t="s">
        <v>1351</v>
      </c>
      <c r="G102" s="42">
        <v>1409332</v>
      </c>
      <c r="H102" s="42" t="s">
        <v>391</v>
      </c>
      <c r="I102" s="24" t="s">
        <v>193</v>
      </c>
      <c r="J102" s="154" t="s">
        <v>1027</v>
      </c>
      <c r="K102" s="42" t="s">
        <v>1028</v>
      </c>
      <c r="L102" s="27" t="s">
        <v>76</v>
      </c>
      <c r="M102" s="43" t="s">
        <v>852</v>
      </c>
      <c r="N102" s="26" t="s">
        <v>1032</v>
      </c>
      <c r="O102" s="24" t="s">
        <v>83</v>
      </c>
      <c r="P102" s="24"/>
      <c r="Q102" s="24"/>
      <c r="R102" s="42">
        <v>34</v>
      </c>
      <c r="S102" s="24">
        <f t="shared" si="21"/>
        <v>34</v>
      </c>
      <c r="T102" s="24">
        <f t="shared" si="22"/>
        <v>34</v>
      </c>
      <c r="U102" s="24">
        <f>ROUNDDOWN(S102/HLOOKUP(D102,Table!$C$3:$D$4,2,0)*8,2)</f>
        <v>0.6</v>
      </c>
      <c r="V102" s="24">
        <v>2</v>
      </c>
      <c r="W102" s="24" t="s">
        <v>18</v>
      </c>
      <c r="X102" s="28">
        <v>43929</v>
      </c>
      <c r="Y102" s="28">
        <v>43941</v>
      </c>
      <c r="Z102" s="28">
        <v>43930</v>
      </c>
      <c r="AA102" s="28">
        <v>43930</v>
      </c>
      <c r="AB102" s="31" t="s">
        <v>158</v>
      </c>
      <c r="AC102" s="197">
        <v>100</v>
      </c>
      <c r="AD102" s="197">
        <v>100</v>
      </c>
      <c r="AE102" s="197">
        <v>100</v>
      </c>
      <c r="AF102" s="197" t="s">
        <v>20</v>
      </c>
      <c r="AG102" s="27" t="s">
        <v>76</v>
      </c>
      <c r="AH102" s="27" t="s">
        <v>76</v>
      </c>
    </row>
    <row r="103" spans="1:34" x14ac:dyDescent="0.25">
      <c r="B103" s="188">
        <f t="shared" si="16"/>
        <v>101</v>
      </c>
      <c r="C103" s="26">
        <v>20200408</v>
      </c>
      <c r="D103" s="32" t="s">
        <v>3</v>
      </c>
      <c r="E103" s="42" t="s">
        <v>1008</v>
      </c>
      <c r="F103" s="43" t="s">
        <v>1352</v>
      </c>
      <c r="G103" s="42">
        <v>1409332</v>
      </c>
      <c r="H103" s="42" t="s">
        <v>660</v>
      </c>
      <c r="I103" s="24" t="s">
        <v>193</v>
      </c>
      <c r="J103" s="154" t="s">
        <v>1027</v>
      </c>
      <c r="K103" s="24" t="s">
        <v>1028</v>
      </c>
      <c r="L103" s="27" t="s">
        <v>76</v>
      </c>
      <c r="M103" s="27" t="s">
        <v>852</v>
      </c>
      <c r="N103" s="26" t="s">
        <v>1033</v>
      </c>
      <c r="O103" s="24" t="s">
        <v>82</v>
      </c>
      <c r="P103" s="24"/>
      <c r="Q103" s="24"/>
      <c r="R103" s="42">
        <v>65</v>
      </c>
      <c r="S103" s="24">
        <f t="shared" si="21"/>
        <v>65</v>
      </c>
      <c r="T103" s="24">
        <f>S103</f>
        <v>65</v>
      </c>
      <c r="U103" s="24">
        <f>ROUNDDOWN(S103/HLOOKUP(D103,Table!$C$3:$D$4,2,0)*8,2)</f>
        <v>1.1499999999999999</v>
      </c>
      <c r="V103" s="24">
        <v>1</v>
      </c>
      <c r="W103" s="24" t="s">
        <v>18</v>
      </c>
      <c r="X103" s="28">
        <v>43929</v>
      </c>
      <c r="Y103" s="28">
        <v>43941</v>
      </c>
      <c r="Z103" s="28">
        <v>43935</v>
      </c>
      <c r="AA103" s="28">
        <v>43935</v>
      </c>
      <c r="AB103" s="160" t="s">
        <v>158</v>
      </c>
      <c r="AC103" s="23">
        <v>100</v>
      </c>
      <c r="AD103" s="23">
        <v>100</v>
      </c>
      <c r="AE103" s="23">
        <v>100</v>
      </c>
      <c r="AF103" s="23" t="s">
        <v>20</v>
      </c>
      <c r="AG103" s="27" t="s">
        <v>76</v>
      </c>
      <c r="AH103" s="27" t="s">
        <v>76</v>
      </c>
    </row>
    <row r="104" spans="1:34" x14ac:dyDescent="0.25">
      <c r="B104" s="188">
        <f t="shared" si="16"/>
        <v>102</v>
      </c>
      <c r="C104" s="26">
        <v>20200408</v>
      </c>
      <c r="D104" s="32" t="s">
        <v>3</v>
      </c>
      <c r="E104" s="42" t="s">
        <v>1008</v>
      </c>
      <c r="F104" s="43" t="s">
        <v>1353</v>
      </c>
      <c r="G104" s="42">
        <v>1409332</v>
      </c>
      <c r="H104" s="42" t="s">
        <v>391</v>
      </c>
      <c r="I104" s="24" t="s">
        <v>193</v>
      </c>
      <c r="J104" s="154" t="s">
        <v>1027</v>
      </c>
      <c r="K104" s="24" t="s">
        <v>1028</v>
      </c>
      <c r="L104" s="27" t="s">
        <v>76</v>
      </c>
      <c r="M104" s="27" t="s">
        <v>852</v>
      </c>
      <c r="N104" s="26" t="s">
        <v>1034</v>
      </c>
      <c r="O104" s="24" t="s">
        <v>83</v>
      </c>
      <c r="P104" s="24"/>
      <c r="Q104" s="24"/>
      <c r="R104" s="42">
        <v>34</v>
      </c>
      <c r="S104" s="24">
        <f t="shared" si="21"/>
        <v>34</v>
      </c>
      <c r="T104" s="24">
        <f>S104</f>
        <v>34</v>
      </c>
      <c r="U104" s="24">
        <f>ROUNDDOWN(S104/HLOOKUP(D104,Table!$C$3:$D$4,2,0)*8,2)</f>
        <v>0.6</v>
      </c>
      <c r="V104" s="24">
        <v>2</v>
      </c>
      <c r="W104" s="24" t="s">
        <v>18</v>
      </c>
      <c r="X104" s="28">
        <v>43929</v>
      </c>
      <c r="Y104" s="28">
        <v>43941</v>
      </c>
      <c r="Z104" s="28">
        <v>43930</v>
      </c>
      <c r="AA104" s="28">
        <v>43930</v>
      </c>
      <c r="AB104" s="31" t="s">
        <v>158</v>
      </c>
      <c r="AC104" s="197">
        <v>100</v>
      </c>
      <c r="AD104" s="197">
        <v>100</v>
      </c>
      <c r="AE104" s="197">
        <v>100</v>
      </c>
      <c r="AF104" s="197" t="s">
        <v>20</v>
      </c>
      <c r="AG104" s="27" t="s">
        <v>76</v>
      </c>
      <c r="AH104" s="27" t="s">
        <v>76</v>
      </c>
    </row>
    <row r="105" spans="1:34" x14ac:dyDescent="0.25">
      <c r="B105" s="188">
        <f t="shared" si="16"/>
        <v>103</v>
      </c>
      <c r="C105" s="26">
        <v>20200408</v>
      </c>
      <c r="D105" s="32" t="s">
        <v>3</v>
      </c>
      <c r="E105" s="42" t="s">
        <v>1008</v>
      </c>
      <c r="F105" s="43" t="s">
        <v>1353</v>
      </c>
      <c r="G105" s="42">
        <v>1409332</v>
      </c>
      <c r="H105" s="42" t="s">
        <v>660</v>
      </c>
      <c r="I105" s="24" t="s">
        <v>193</v>
      </c>
      <c r="J105" s="154" t="s">
        <v>1027</v>
      </c>
      <c r="K105" s="24" t="s">
        <v>1028</v>
      </c>
      <c r="L105" s="27" t="s">
        <v>76</v>
      </c>
      <c r="M105" s="27" t="s">
        <v>852</v>
      </c>
      <c r="N105" s="26" t="s">
        <v>1035</v>
      </c>
      <c r="O105" s="24" t="s">
        <v>82</v>
      </c>
      <c r="P105" s="24"/>
      <c r="Q105" s="24"/>
      <c r="R105" s="42">
        <v>65</v>
      </c>
      <c r="S105" s="24">
        <f t="shared" si="21"/>
        <v>65</v>
      </c>
      <c r="T105" s="24">
        <f>S105</f>
        <v>65</v>
      </c>
      <c r="U105" s="24">
        <f>ROUNDDOWN(S105/HLOOKUP(D105,Table!$C$3:$D$4,2,0)*8,2)</f>
        <v>1.1499999999999999</v>
      </c>
      <c r="V105" s="24">
        <v>1</v>
      </c>
      <c r="W105" s="24" t="s">
        <v>18</v>
      </c>
      <c r="X105" s="28">
        <v>43929</v>
      </c>
      <c r="Y105" s="28">
        <v>43941</v>
      </c>
      <c r="Z105" s="28">
        <v>43935</v>
      </c>
      <c r="AA105" s="28">
        <v>43935</v>
      </c>
      <c r="AB105" s="160" t="s">
        <v>158</v>
      </c>
      <c r="AC105" s="23">
        <v>100</v>
      </c>
      <c r="AD105" s="23">
        <v>100</v>
      </c>
      <c r="AE105" s="23">
        <v>100</v>
      </c>
      <c r="AF105" s="23" t="s">
        <v>20</v>
      </c>
      <c r="AG105" s="27" t="s">
        <v>76</v>
      </c>
      <c r="AH105" s="27" t="s">
        <v>76</v>
      </c>
    </row>
    <row r="106" spans="1:34" x14ac:dyDescent="0.25">
      <c r="B106" s="188">
        <f t="shared" si="16"/>
        <v>104</v>
      </c>
      <c r="C106" s="26">
        <v>20200408</v>
      </c>
      <c r="D106" s="32" t="s">
        <v>3</v>
      </c>
      <c r="E106" s="42" t="s">
        <v>1008</v>
      </c>
      <c r="F106" s="43" t="s">
        <v>1354</v>
      </c>
      <c r="G106" s="42">
        <v>1409332</v>
      </c>
      <c r="H106" s="42" t="s">
        <v>1009</v>
      </c>
      <c r="I106" s="24" t="s">
        <v>193</v>
      </c>
      <c r="J106" s="154" t="s">
        <v>1027</v>
      </c>
      <c r="K106" s="24" t="s">
        <v>1028</v>
      </c>
      <c r="L106" s="27" t="s">
        <v>76</v>
      </c>
      <c r="M106" s="27" t="s">
        <v>852</v>
      </c>
      <c r="N106" s="26" t="s">
        <v>1036</v>
      </c>
      <c r="O106" s="24" t="s">
        <v>85</v>
      </c>
      <c r="P106" s="24"/>
      <c r="Q106" s="24"/>
      <c r="R106" s="42">
        <v>1011</v>
      </c>
      <c r="S106" s="24">
        <f t="shared" si="21"/>
        <v>1011</v>
      </c>
      <c r="T106" s="24">
        <f>S106</f>
        <v>1011</v>
      </c>
      <c r="U106" s="24">
        <f>ROUNDDOWN(S106/HLOOKUP(D106,Table!$C$3:$D$4,2,0)*8,2)</f>
        <v>17.97</v>
      </c>
      <c r="V106" s="24">
        <v>0.5</v>
      </c>
      <c r="W106" s="24" t="s">
        <v>18</v>
      </c>
      <c r="X106" s="28">
        <v>43929</v>
      </c>
      <c r="Y106" s="28">
        <v>43941</v>
      </c>
      <c r="Z106" s="28">
        <v>43930</v>
      </c>
      <c r="AA106" s="28">
        <v>43930</v>
      </c>
      <c r="AB106" s="31" t="s">
        <v>158</v>
      </c>
      <c r="AC106" s="197" t="s">
        <v>76</v>
      </c>
      <c r="AD106" s="197" t="s">
        <v>76</v>
      </c>
      <c r="AE106" s="197" t="s">
        <v>76</v>
      </c>
      <c r="AF106" s="24" t="s">
        <v>20</v>
      </c>
      <c r="AG106" s="27" t="s">
        <v>1063</v>
      </c>
      <c r="AH106" s="27" t="s">
        <v>76</v>
      </c>
    </row>
    <row r="107" spans="1:34" x14ac:dyDescent="0.25">
      <c r="B107" s="188">
        <f t="shared" si="16"/>
        <v>105</v>
      </c>
      <c r="C107" s="26">
        <v>20200408</v>
      </c>
      <c r="D107" s="32" t="s">
        <v>3</v>
      </c>
      <c r="E107" s="42" t="s">
        <v>1008</v>
      </c>
      <c r="F107" s="43" t="s">
        <v>1355</v>
      </c>
      <c r="G107" s="42">
        <v>1409332</v>
      </c>
      <c r="H107" s="42" t="s">
        <v>276</v>
      </c>
      <c r="I107" s="24" t="s">
        <v>193</v>
      </c>
      <c r="J107" s="154" t="s">
        <v>1027</v>
      </c>
      <c r="K107" s="24" t="s">
        <v>1028</v>
      </c>
      <c r="L107" s="27" t="s">
        <v>76</v>
      </c>
      <c r="M107" s="27" t="s">
        <v>852</v>
      </c>
      <c r="N107" s="26" t="s">
        <v>1038</v>
      </c>
      <c r="O107" s="24" t="s">
        <v>82</v>
      </c>
      <c r="P107" s="24"/>
      <c r="Q107" s="24"/>
      <c r="R107" s="42">
        <v>280</v>
      </c>
      <c r="S107" s="24">
        <f t="shared" si="21"/>
        <v>280</v>
      </c>
      <c r="T107" s="24">
        <v>280</v>
      </c>
      <c r="U107" s="24">
        <f>ROUNDDOWN(S107/HLOOKUP(D107,Table!$C$3:$D$4,2,0)*8,2)</f>
        <v>4.97</v>
      </c>
      <c r="V107" s="24">
        <v>5</v>
      </c>
      <c r="W107" s="24" t="s">
        <v>18</v>
      </c>
      <c r="X107" s="28">
        <v>43929</v>
      </c>
      <c r="Y107" s="28">
        <v>43941</v>
      </c>
      <c r="Z107" s="28">
        <v>43930</v>
      </c>
      <c r="AA107" s="28">
        <v>43930</v>
      </c>
      <c r="AB107" s="32" t="s">
        <v>158</v>
      </c>
      <c r="AC107" s="32">
        <v>100</v>
      </c>
      <c r="AD107" s="32">
        <v>100</v>
      </c>
      <c r="AE107" s="32">
        <v>100</v>
      </c>
      <c r="AF107" s="168" t="s">
        <v>20</v>
      </c>
      <c r="AG107" s="27" t="s">
        <v>76</v>
      </c>
      <c r="AH107" s="27" t="s">
        <v>76</v>
      </c>
    </row>
    <row r="108" spans="1:34" x14ac:dyDescent="0.25">
      <c r="B108" s="188">
        <f t="shared" si="16"/>
        <v>106</v>
      </c>
      <c r="C108" s="26">
        <v>20200408</v>
      </c>
      <c r="D108" s="32" t="s">
        <v>3</v>
      </c>
      <c r="E108" s="42" t="s">
        <v>1008</v>
      </c>
      <c r="F108" s="193" t="s">
        <v>1356</v>
      </c>
      <c r="G108" s="42">
        <v>1409332</v>
      </c>
      <c r="H108" s="42" t="s">
        <v>236</v>
      </c>
      <c r="I108" s="24" t="s">
        <v>193</v>
      </c>
      <c r="J108" s="154" t="s">
        <v>1027</v>
      </c>
      <c r="K108" s="24" t="s">
        <v>1028</v>
      </c>
      <c r="L108" s="27" t="s">
        <v>76</v>
      </c>
      <c r="M108" s="27" t="s">
        <v>852</v>
      </c>
      <c r="N108" s="26" t="s">
        <v>1039</v>
      </c>
      <c r="O108" s="24" t="s">
        <v>82</v>
      </c>
      <c r="P108" s="24"/>
      <c r="Q108" s="24"/>
      <c r="R108" s="42">
        <v>220</v>
      </c>
      <c r="S108" s="24">
        <f t="shared" si="21"/>
        <v>220</v>
      </c>
      <c r="T108" s="24">
        <f>S108</f>
        <v>220</v>
      </c>
      <c r="U108" s="24">
        <f>ROUNDDOWN(S108/HLOOKUP(D108,Table!$C$3:$D$4,2,0)*8,2)</f>
        <v>3.91</v>
      </c>
      <c r="V108" s="24">
        <v>4</v>
      </c>
      <c r="W108" s="24" t="s">
        <v>18</v>
      </c>
      <c r="X108" s="28">
        <v>43929</v>
      </c>
      <c r="Y108" s="28">
        <v>43941</v>
      </c>
      <c r="Z108" s="28">
        <v>43930</v>
      </c>
      <c r="AA108" s="28">
        <v>43930</v>
      </c>
      <c r="AB108" s="32" t="s">
        <v>158</v>
      </c>
      <c r="AC108" s="32">
        <v>100</v>
      </c>
      <c r="AD108" s="32">
        <v>100</v>
      </c>
      <c r="AE108" s="32">
        <v>100</v>
      </c>
      <c r="AF108" s="168" t="s">
        <v>20</v>
      </c>
      <c r="AG108" s="27" t="s">
        <v>76</v>
      </c>
      <c r="AH108" s="27" t="s">
        <v>76</v>
      </c>
    </row>
    <row r="109" spans="1:34" x14ac:dyDescent="0.25">
      <c r="B109" s="188">
        <f t="shared" si="16"/>
        <v>107</v>
      </c>
      <c r="C109" s="26">
        <v>20200408</v>
      </c>
      <c r="D109" s="32" t="s">
        <v>3</v>
      </c>
      <c r="E109" s="42" t="s">
        <v>1008</v>
      </c>
      <c r="F109" s="43" t="s">
        <v>1357</v>
      </c>
      <c r="G109" s="42">
        <v>1409394</v>
      </c>
      <c r="H109" s="42" t="s">
        <v>1010</v>
      </c>
      <c r="I109" s="24" t="s">
        <v>193</v>
      </c>
      <c r="J109" s="154" t="s">
        <v>1029</v>
      </c>
      <c r="K109" s="24" t="s">
        <v>1028</v>
      </c>
      <c r="L109" s="27" t="s">
        <v>76</v>
      </c>
      <c r="M109" s="43" t="s">
        <v>1037</v>
      </c>
      <c r="N109" s="26" t="s">
        <v>1040</v>
      </c>
      <c r="O109" s="24" t="s">
        <v>84</v>
      </c>
      <c r="P109" s="24"/>
      <c r="Q109" s="24"/>
      <c r="R109" s="42">
        <v>51</v>
      </c>
      <c r="S109" s="24">
        <f t="shared" si="21"/>
        <v>51</v>
      </c>
      <c r="T109" s="24">
        <f t="shared" ref="T109:T119" si="23">S109</f>
        <v>51</v>
      </c>
      <c r="U109" s="24">
        <f>ROUNDDOWN(S109/HLOOKUP(D109,Table!$C$3:$D$4,2,0)*8,2)</f>
        <v>0.9</v>
      </c>
      <c r="V109" s="24">
        <v>0.4</v>
      </c>
      <c r="W109" s="24" t="s">
        <v>18</v>
      </c>
      <c r="X109" s="28">
        <v>43929</v>
      </c>
      <c r="Y109" s="28">
        <v>43941</v>
      </c>
      <c r="Z109" s="28">
        <v>43930</v>
      </c>
      <c r="AA109" s="28">
        <v>43930</v>
      </c>
      <c r="AB109" s="160" t="s">
        <v>158</v>
      </c>
      <c r="AC109" s="23">
        <v>100</v>
      </c>
      <c r="AD109" s="23">
        <v>100</v>
      </c>
      <c r="AE109" s="23">
        <v>100</v>
      </c>
      <c r="AF109" s="23" t="s">
        <v>20</v>
      </c>
      <c r="AG109" s="27" t="s">
        <v>76</v>
      </c>
      <c r="AH109" s="27" t="s">
        <v>76</v>
      </c>
    </row>
    <row r="110" spans="1:34" x14ac:dyDescent="0.25">
      <c r="B110" s="188">
        <f t="shared" si="16"/>
        <v>108</v>
      </c>
      <c r="C110" s="26">
        <v>20200408</v>
      </c>
      <c r="D110" s="32" t="s">
        <v>3</v>
      </c>
      <c r="E110" s="42" t="s">
        <v>1008</v>
      </c>
      <c r="F110" s="43" t="s">
        <v>1358</v>
      </c>
      <c r="G110" s="42">
        <v>1409394</v>
      </c>
      <c r="H110" s="42" t="s">
        <v>266</v>
      </c>
      <c r="I110" s="24" t="s">
        <v>193</v>
      </c>
      <c r="J110" s="154" t="s">
        <v>1029</v>
      </c>
      <c r="K110" s="24" t="s">
        <v>1028</v>
      </c>
      <c r="L110" s="27" t="s">
        <v>76</v>
      </c>
      <c r="M110" s="27" t="s">
        <v>1037</v>
      </c>
      <c r="N110" s="26" t="s">
        <v>1041</v>
      </c>
      <c r="O110" s="24" t="s">
        <v>84</v>
      </c>
      <c r="P110" s="24"/>
      <c r="Q110" s="24"/>
      <c r="R110" s="42">
        <v>67</v>
      </c>
      <c r="S110" s="25">
        <f>R110+91-67</f>
        <v>91</v>
      </c>
      <c r="T110" s="24">
        <f t="shared" si="23"/>
        <v>91</v>
      </c>
      <c r="U110" s="24">
        <f>ROUNDDOWN(S110/HLOOKUP(D110,Table!$C$3:$D$4,2,0)*8,2)</f>
        <v>1.61</v>
      </c>
      <c r="V110" s="24">
        <v>1.5</v>
      </c>
      <c r="W110" s="24" t="s">
        <v>18</v>
      </c>
      <c r="X110" s="28">
        <v>43929</v>
      </c>
      <c r="Y110" s="28">
        <v>43941</v>
      </c>
      <c r="Z110" s="28">
        <v>43930</v>
      </c>
      <c r="AA110" s="28">
        <v>43930</v>
      </c>
      <c r="AB110" s="196" t="s">
        <v>158</v>
      </c>
      <c r="AC110" s="197">
        <v>100</v>
      </c>
      <c r="AD110" s="197">
        <v>100</v>
      </c>
      <c r="AE110" s="197">
        <v>100</v>
      </c>
      <c r="AF110" s="197" t="s">
        <v>20</v>
      </c>
      <c r="AG110" s="27" t="s">
        <v>76</v>
      </c>
      <c r="AH110" s="27" t="s">
        <v>76</v>
      </c>
    </row>
    <row r="111" spans="1:34" x14ac:dyDescent="0.25">
      <c r="B111" s="188">
        <f t="shared" si="16"/>
        <v>109</v>
      </c>
      <c r="C111" s="26">
        <v>20200408</v>
      </c>
      <c r="D111" s="32" t="s">
        <v>3</v>
      </c>
      <c r="E111" s="42" t="s">
        <v>1008</v>
      </c>
      <c r="F111" s="43" t="s">
        <v>1359</v>
      </c>
      <c r="G111" s="42">
        <v>1409394</v>
      </c>
      <c r="H111" s="42" t="s">
        <v>1011</v>
      </c>
      <c r="I111" s="24" t="s">
        <v>193</v>
      </c>
      <c r="J111" s="154" t="s">
        <v>1029</v>
      </c>
      <c r="K111" s="24" t="s">
        <v>1028</v>
      </c>
      <c r="L111" s="27" t="s">
        <v>76</v>
      </c>
      <c r="M111" s="27" t="s">
        <v>1037</v>
      </c>
      <c r="N111" s="26" t="s">
        <v>1042</v>
      </c>
      <c r="O111" s="24" t="s">
        <v>84</v>
      </c>
      <c r="P111" s="24"/>
      <c r="Q111" s="24"/>
      <c r="R111" s="42">
        <v>2</v>
      </c>
      <c r="S111" s="24">
        <f t="shared" ref="S111:S125" si="24">R111</f>
        <v>2</v>
      </c>
      <c r="T111" s="24">
        <f t="shared" si="23"/>
        <v>2</v>
      </c>
      <c r="U111" s="24">
        <f>ROUNDDOWN(S111/HLOOKUP(D111,Table!$C$3:$D$4,2,0)*8,2)</f>
        <v>0.03</v>
      </c>
      <c r="V111" s="24">
        <v>0</v>
      </c>
      <c r="W111" s="24" t="s">
        <v>18</v>
      </c>
      <c r="X111" s="28">
        <v>43929</v>
      </c>
      <c r="Y111" s="28">
        <v>43941</v>
      </c>
      <c r="Z111" s="28">
        <v>43930</v>
      </c>
      <c r="AA111" s="28">
        <v>43930</v>
      </c>
      <c r="AB111" s="196" t="s">
        <v>158</v>
      </c>
      <c r="AC111" s="197" t="s">
        <v>76</v>
      </c>
      <c r="AD111" s="197" t="s">
        <v>76</v>
      </c>
      <c r="AE111" s="197" t="s">
        <v>76</v>
      </c>
      <c r="AF111" s="197" t="s">
        <v>20</v>
      </c>
      <c r="AG111" s="27" t="s">
        <v>1064</v>
      </c>
      <c r="AH111" s="27" t="s">
        <v>76</v>
      </c>
    </row>
    <row r="112" spans="1:34" x14ac:dyDescent="0.25">
      <c r="B112" s="188">
        <f t="shared" si="16"/>
        <v>110</v>
      </c>
      <c r="C112" s="26">
        <v>20200408</v>
      </c>
      <c r="D112" s="32" t="s">
        <v>3</v>
      </c>
      <c r="E112" s="42" t="s">
        <v>1008</v>
      </c>
      <c r="F112" s="43" t="s">
        <v>1360</v>
      </c>
      <c r="G112" s="42">
        <v>1409394</v>
      </c>
      <c r="H112" s="42" t="s">
        <v>1012</v>
      </c>
      <c r="I112" s="24" t="s">
        <v>193</v>
      </c>
      <c r="J112" s="154" t="s">
        <v>1029</v>
      </c>
      <c r="K112" s="24" t="s">
        <v>1028</v>
      </c>
      <c r="L112" s="27" t="s">
        <v>76</v>
      </c>
      <c r="M112" s="27" t="s">
        <v>1037</v>
      </c>
      <c r="N112" s="26" t="s">
        <v>1043</v>
      </c>
      <c r="O112" s="24" t="s">
        <v>84</v>
      </c>
      <c r="P112" s="24"/>
      <c r="Q112" s="24"/>
      <c r="R112" s="42">
        <v>56</v>
      </c>
      <c r="S112" s="24">
        <f t="shared" si="24"/>
        <v>56</v>
      </c>
      <c r="T112" s="24">
        <f t="shared" si="23"/>
        <v>56</v>
      </c>
      <c r="U112" s="24">
        <f>ROUNDDOWN(S112/HLOOKUP(D112,Table!$C$3:$D$4,2,0)*8,2)</f>
        <v>0.99</v>
      </c>
      <c r="V112" s="24">
        <v>0.5</v>
      </c>
      <c r="W112" s="24" t="s">
        <v>18</v>
      </c>
      <c r="X112" s="28">
        <v>43929</v>
      </c>
      <c r="Y112" s="28">
        <v>43941</v>
      </c>
      <c r="Z112" s="28">
        <v>43930</v>
      </c>
      <c r="AA112" s="28">
        <v>43930</v>
      </c>
      <c r="AB112" s="196" t="s">
        <v>158</v>
      </c>
      <c r="AC112" s="197">
        <v>100</v>
      </c>
      <c r="AD112" s="197">
        <v>100</v>
      </c>
      <c r="AE112" s="197">
        <v>100</v>
      </c>
      <c r="AF112" s="197" t="s">
        <v>20</v>
      </c>
      <c r="AG112" s="27" t="s">
        <v>76</v>
      </c>
      <c r="AH112" s="27" t="s">
        <v>76</v>
      </c>
    </row>
    <row r="113" spans="1:34" x14ac:dyDescent="0.25">
      <c r="B113" s="188">
        <f t="shared" si="16"/>
        <v>111</v>
      </c>
      <c r="C113" s="26">
        <v>20200408</v>
      </c>
      <c r="D113" s="32" t="s">
        <v>3</v>
      </c>
      <c r="E113" s="42" t="s">
        <v>1008</v>
      </c>
      <c r="F113" s="43" t="s">
        <v>1361</v>
      </c>
      <c r="G113" s="42">
        <v>1409394</v>
      </c>
      <c r="H113" s="42" t="s">
        <v>1013</v>
      </c>
      <c r="I113" s="24" t="s">
        <v>193</v>
      </c>
      <c r="J113" s="154" t="s">
        <v>1029</v>
      </c>
      <c r="K113" s="24" t="s">
        <v>1028</v>
      </c>
      <c r="L113" s="27" t="s">
        <v>76</v>
      </c>
      <c r="M113" s="27" t="s">
        <v>1037</v>
      </c>
      <c r="N113" s="26" t="s">
        <v>1044</v>
      </c>
      <c r="O113" s="24" t="s">
        <v>84</v>
      </c>
      <c r="P113" s="24"/>
      <c r="Q113" s="24"/>
      <c r="R113" s="42">
        <v>233</v>
      </c>
      <c r="S113" s="24">
        <f t="shared" si="24"/>
        <v>233</v>
      </c>
      <c r="T113" s="24">
        <f t="shared" si="23"/>
        <v>233</v>
      </c>
      <c r="U113" s="24">
        <f>ROUNDDOWN(S113/HLOOKUP(D113,Table!$C$3:$D$4,2,0)*8,2)</f>
        <v>4.1399999999999997</v>
      </c>
      <c r="V113" s="24">
        <v>3.5</v>
      </c>
      <c r="W113" s="24" t="s">
        <v>18</v>
      </c>
      <c r="X113" s="28">
        <v>43929</v>
      </c>
      <c r="Y113" s="28">
        <v>43941</v>
      </c>
      <c r="Z113" s="28">
        <v>43930</v>
      </c>
      <c r="AA113" s="28">
        <v>43930</v>
      </c>
      <c r="AB113" s="196" t="s">
        <v>158</v>
      </c>
      <c r="AC113" s="197">
        <v>100</v>
      </c>
      <c r="AD113" s="197">
        <v>100</v>
      </c>
      <c r="AE113" s="197">
        <v>100</v>
      </c>
      <c r="AF113" s="197" t="s">
        <v>20</v>
      </c>
      <c r="AG113" s="27" t="s">
        <v>76</v>
      </c>
      <c r="AH113" s="27" t="s">
        <v>76</v>
      </c>
    </row>
    <row r="114" spans="1:34" x14ac:dyDescent="0.25">
      <c r="B114" s="188">
        <f t="shared" si="16"/>
        <v>112</v>
      </c>
      <c r="C114" s="26">
        <v>20200408</v>
      </c>
      <c r="D114" s="32" t="s">
        <v>3</v>
      </c>
      <c r="E114" s="42" t="s">
        <v>1008</v>
      </c>
      <c r="F114" s="43" t="s">
        <v>1361</v>
      </c>
      <c r="G114" s="42">
        <v>1409394</v>
      </c>
      <c r="H114" s="42" t="s">
        <v>1014</v>
      </c>
      <c r="I114" s="24" t="s">
        <v>193</v>
      </c>
      <c r="J114" s="154" t="s">
        <v>1029</v>
      </c>
      <c r="K114" s="24" t="s">
        <v>1028</v>
      </c>
      <c r="L114" s="27" t="s">
        <v>76</v>
      </c>
      <c r="M114" s="27" t="s">
        <v>1037</v>
      </c>
      <c r="N114" s="26" t="s">
        <v>1045</v>
      </c>
      <c r="O114" s="24" t="s">
        <v>84</v>
      </c>
      <c r="P114" s="24"/>
      <c r="Q114" s="24"/>
      <c r="R114" s="42">
        <v>78</v>
      </c>
      <c r="S114" s="24">
        <f t="shared" si="24"/>
        <v>78</v>
      </c>
      <c r="T114" s="24">
        <f t="shared" si="23"/>
        <v>78</v>
      </c>
      <c r="U114" s="24">
        <f>ROUNDDOWN(S114/HLOOKUP(D114,Table!$C$3:$D$4,2,0)*8,2)</f>
        <v>1.38</v>
      </c>
      <c r="V114" s="24">
        <v>1</v>
      </c>
      <c r="W114" s="24" t="s">
        <v>18</v>
      </c>
      <c r="X114" s="28">
        <v>43929</v>
      </c>
      <c r="Y114" s="28">
        <v>43941</v>
      </c>
      <c r="Z114" s="28">
        <v>43931</v>
      </c>
      <c r="AA114" s="28">
        <v>43931</v>
      </c>
      <c r="AB114" s="196" t="s">
        <v>158</v>
      </c>
      <c r="AC114" s="197">
        <v>100</v>
      </c>
      <c r="AD114" s="197">
        <v>100</v>
      </c>
      <c r="AE114" s="197">
        <v>100</v>
      </c>
      <c r="AF114" s="197" t="s">
        <v>20</v>
      </c>
      <c r="AG114" s="27" t="s">
        <v>76</v>
      </c>
      <c r="AH114" s="27" t="s">
        <v>76</v>
      </c>
    </row>
    <row r="115" spans="1:34" x14ac:dyDescent="0.25">
      <c r="B115" s="188">
        <f t="shared" si="16"/>
        <v>113</v>
      </c>
      <c r="C115" s="26">
        <v>20200408</v>
      </c>
      <c r="D115" s="32" t="s">
        <v>3</v>
      </c>
      <c r="E115" s="42" t="s">
        <v>1008</v>
      </c>
      <c r="F115" s="43" t="s">
        <v>1361</v>
      </c>
      <c r="G115" s="42">
        <v>1409394</v>
      </c>
      <c r="H115" s="42" t="s">
        <v>1015</v>
      </c>
      <c r="I115" s="24" t="s">
        <v>193</v>
      </c>
      <c r="J115" s="154" t="s">
        <v>1029</v>
      </c>
      <c r="K115" s="24" t="s">
        <v>1028</v>
      </c>
      <c r="L115" s="27" t="s">
        <v>76</v>
      </c>
      <c r="M115" s="27" t="s">
        <v>1037</v>
      </c>
      <c r="N115" s="26" t="s">
        <v>1046</v>
      </c>
      <c r="O115" s="24" t="s">
        <v>84</v>
      </c>
      <c r="P115" s="24"/>
      <c r="Q115" s="24"/>
      <c r="R115" s="42">
        <v>23</v>
      </c>
      <c r="S115" s="24">
        <f>R115</f>
        <v>23</v>
      </c>
      <c r="T115" s="24">
        <f t="shared" si="23"/>
        <v>23</v>
      </c>
      <c r="U115" s="24">
        <f>ROUNDDOWN(S115/HLOOKUP(D115,Table!$C$3:$D$4,2,0)*8,2)</f>
        <v>0.4</v>
      </c>
      <c r="V115" s="24">
        <v>0.2</v>
      </c>
      <c r="W115" s="24" t="s">
        <v>18</v>
      </c>
      <c r="X115" s="28">
        <v>43929</v>
      </c>
      <c r="Y115" s="28">
        <v>43941</v>
      </c>
      <c r="Z115" s="28">
        <v>43931</v>
      </c>
      <c r="AA115" s="28">
        <v>43931</v>
      </c>
      <c r="AB115" s="196" t="s">
        <v>158</v>
      </c>
      <c r="AC115" s="197">
        <v>100</v>
      </c>
      <c r="AD115" s="197">
        <v>100</v>
      </c>
      <c r="AE115" s="197">
        <v>100</v>
      </c>
      <c r="AF115" s="197" t="s">
        <v>20</v>
      </c>
      <c r="AG115" s="27" t="s">
        <v>76</v>
      </c>
      <c r="AH115" s="27" t="s">
        <v>76</v>
      </c>
    </row>
    <row r="116" spans="1:34" x14ac:dyDescent="0.25">
      <c r="B116" s="188">
        <f t="shared" si="16"/>
        <v>114</v>
      </c>
      <c r="C116" s="26">
        <v>20200408</v>
      </c>
      <c r="D116" s="32" t="s">
        <v>3</v>
      </c>
      <c r="E116" s="42" t="s">
        <v>1008</v>
      </c>
      <c r="F116" s="43" t="s">
        <v>1360</v>
      </c>
      <c r="G116" s="42">
        <v>1409394</v>
      </c>
      <c r="H116" s="42" t="s">
        <v>1016</v>
      </c>
      <c r="I116" s="24" t="s">
        <v>193</v>
      </c>
      <c r="J116" s="154" t="s">
        <v>1029</v>
      </c>
      <c r="K116" s="24" t="s">
        <v>1028</v>
      </c>
      <c r="L116" s="27" t="s">
        <v>76</v>
      </c>
      <c r="M116" s="27" t="s">
        <v>1037</v>
      </c>
      <c r="N116" s="26" t="s">
        <v>1047</v>
      </c>
      <c r="O116" s="24" t="s">
        <v>84</v>
      </c>
      <c r="P116" s="24"/>
      <c r="Q116" s="24"/>
      <c r="R116" s="42">
        <v>127</v>
      </c>
      <c r="S116" s="24">
        <f t="shared" si="24"/>
        <v>127</v>
      </c>
      <c r="T116" s="24">
        <f t="shared" si="23"/>
        <v>127</v>
      </c>
      <c r="U116" s="24">
        <f>ROUNDDOWN(S116/HLOOKUP(D116,Table!$C$3:$D$4,2,0)*8,2)</f>
        <v>2.25</v>
      </c>
      <c r="V116" s="24">
        <v>0.3</v>
      </c>
      <c r="W116" s="24" t="s">
        <v>18</v>
      </c>
      <c r="X116" s="28">
        <v>43929</v>
      </c>
      <c r="Y116" s="28">
        <v>43941</v>
      </c>
      <c r="Z116" s="28">
        <v>43931</v>
      </c>
      <c r="AA116" s="28">
        <v>43931</v>
      </c>
      <c r="AB116" s="196" t="s">
        <v>158</v>
      </c>
      <c r="AC116" s="197">
        <v>100</v>
      </c>
      <c r="AD116" s="197">
        <v>100</v>
      </c>
      <c r="AE116" s="197">
        <v>100</v>
      </c>
      <c r="AF116" s="197" t="s">
        <v>20</v>
      </c>
      <c r="AG116" s="27" t="s">
        <v>76</v>
      </c>
      <c r="AH116" s="27" t="s">
        <v>76</v>
      </c>
    </row>
    <row r="117" spans="1:34" x14ac:dyDescent="0.25">
      <c r="B117" s="188">
        <f t="shared" si="16"/>
        <v>115</v>
      </c>
      <c r="C117" s="26">
        <v>20200408</v>
      </c>
      <c r="D117" s="32" t="s">
        <v>3</v>
      </c>
      <c r="E117" s="42" t="s">
        <v>1008</v>
      </c>
      <c r="F117" s="43" t="s">
        <v>1361</v>
      </c>
      <c r="G117" s="42">
        <v>1409394</v>
      </c>
      <c r="H117" s="42" t="s">
        <v>1017</v>
      </c>
      <c r="I117" s="24" t="s">
        <v>193</v>
      </c>
      <c r="J117" s="154" t="s">
        <v>1029</v>
      </c>
      <c r="K117" s="24" t="s">
        <v>1028</v>
      </c>
      <c r="L117" s="27" t="s">
        <v>76</v>
      </c>
      <c r="M117" s="27" t="s">
        <v>1037</v>
      </c>
      <c r="N117" s="26" t="s">
        <v>1048</v>
      </c>
      <c r="O117" s="24" t="s">
        <v>84</v>
      </c>
      <c r="P117" s="24"/>
      <c r="Q117" s="24"/>
      <c r="R117" s="42">
        <v>41</v>
      </c>
      <c r="S117" s="24">
        <f t="shared" si="24"/>
        <v>41</v>
      </c>
      <c r="T117" s="24">
        <f t="shared" si="23"/>
        <v>41</v>
      </c>
      <c r="U117" s="24">
        <f>ROUNDDOWN(S117/HLOOKUP(D117,Table!$C$3:$D$4,2,0)*8,2)</f>
        <v>0.72</v>
      </c>
      <c r="V117" s="24">
        <v>0.2</v>
      </c>
      <c r="W117" s="24" t="s">
        <v>18</v>
      </c>
      <c r="X117" s="28">
        <v>43929</v>
      </c>
      <c r="Y117" s="28">
        <v>43941</v>
      </c>
      <c r="Z117" s="28">
        <v>43931</v>
      </c>
      <c r="AA117" s="28">
        <v>43931</v>
      </c>
      <c r="AB117" s="196" t="s">
        <v>158</v>
      </c>
      <c r="AC117" s="197">
        <v>100</v>
      </c>
      <c r="AD117" s="197">
        <v>100</v>
      </c>
      <c r="AE117" s="197">
        <v>100</v>
      </c>
      <c r="AF117" s="197" t="s">
        <v>20</v>
      </c>
      <c r="AG117" s="27" t="s">
        <v>76</v>
      </c>
      <c r="AH117" s="27" t="s">
        <v>76</v>
      </c>
    </row>
    <row r="118" spans="1:34" x14ac:dyDescent="0.25">
      <c r="B118" s="188">
        <f t="shared" si="16"/>
        <v>116</v>
      </c>
      <c r="C118" s="26">
        <v>20200408</v>
      </c>
      <c r="D118" s="32" t="s">
        <v>3</v>
      </c>
      <c r="E118" s="42" t="s">
        <v>1008</v>
      </c>
      <c r="F118" s="43" t="s">
        <v>1360</v>
      </c>
      <c r="G118" s="42">
        <v>1409394</v>
      </c>
      <c r="H118" s="42" t="s">
        <v>1018</v>
      </c>
      <c r="I118" s="24" t="s">
        <v>193</v>
      </c>
      <c r="J118" s="154" t="s">
        <v>1029</v>
      </c>
      <c r="K118" s="24" t="s">
        <v>1028</v>
      </c>
      <c r="L118" s="27" t="s">
        <v>76</v>
      </c>
      <c r="M118" s="27" t="s">
        <v>1037</v>
      </c>
      <c r="N118" s="26" t="s">
        <v>1049</v>
      </c>
      <c r="O118" s="24" t="s">
        <v>84</v>
      </c>
      <c r="P118" s="24"/>
      <c r="Q118" s="24"/>
      <c r="R118" s="42">
        <v>25</v>
      </c>
      <c r="S118" s="24">
        <f t="shared" si="24"/>
        <v>25</v>
      </c>
      <c r="T118" s="24">
        <f t="shared" si="23"/>
        <v>25</v>
      </c>
      <c r="U118" s="24">
        <f>ROUNDDOWN(S118/HLOOKUP(D118,Table!$C$3:$D$4,2,0)*8,2)</f>
        <v>0.44</v>
      </c>
      <c r="V118" s="24">
        <v>0.2</v>
      </c>
      <c r="W118" s="24" t="s">
        <v>18</v>
      </c>
      <c r="X118" s="28">
        <v>43929</v>
      </c>
      <c r="Y118" s="28">
        <v>43941</v>
      </c>
      <c r="Z118" s="28">
        <v>43931</v>
      </c>
      <c r="AA118" s="28">
        <v>43931</v>
      </c>
      <c r="AB118" s="196" t="s">
        <v>158</v>
      </c>
      <c r="AC118" s="197">
        <v>100</v>
      </c>
      <c r="AD118" s="197">
        <v>100</v>
      </c>
      <c r="AE118" s="197">
        <v>100</v>
      </c>
      <c r="AF118" s="197" t="s">
        <v>20</v>
      </c>
      <c r="AG118" s="27" t="s">
        <v>76</v>
      </c>
      <c r="AH118" s="27" t="s">
        <v>76</v>
      </c>
    </row>
    <row r="119" spans="1:34" x14ac:dyDescent="0.25">
      <c r="B119" s="188">
        <f t="shared" si="16"/>
        <v>117</v>
      </c>
      <c r="C119" s="26">
        <v>20200408</v>
      </c>
      <c r="D119" s="32" t="s">
        <v>3</v>
      </c>
      <c r="E119" s="42" t="s">
        <v>1008</v>
      </c>
      <c r="F119" s="43" t="s">
        <v>1361</v>
      </c>
      <c r="G119" s="42">
        <v>1409394</v>
      </c>
      <c r="H119" s="42" t="s">
        <v>1019</v>
      </c>
      <c r="I119" s="24" t="s">
        <v>193</v>
      </c>
      <c r="J119" s="154" t="s">
        <v>1029</v>
      </c>
      <c r="K119" s="24" t="s">
        <v>1028</v>
      </c>
      <c r="L119" s="27" t="s">
        <v>76</v>
      </c>
      <c r="M119" s="27" t="s">
        <v>1037</v>
      </c>
      <c r="N119" s="26" t="s">
        <v>1050</v>
      </c>
      <c r="O119" s="24" t="s">
        <v>84</v>
      </c>
      <c r="P119" s="24"/>
      <c r="Q119" s="24"/>
      <c r="R119" s="42">
        <v>8</v>
      </c>
      <c r="S119" s="24">
        <f t="shared" si="24"/>
        <v>8</v>
      </c>
      <c r="T119" s="24">
        <f t="shared" si="23"/>
        <v>8</v>
      </c>
      <c r="U119" s="24">
        <f>ROUNDDOWN(S119/HLOOKUP(D119,Table!$C$3:$D$4,2,0)*8,2)</f>
        <v>0.14000000000000001</v>
      </c>
      <c r="V119" s="24">
        <v>0.1</v>
      </c>
      <c r="W119" s="24" t="s">
        <v>18</v>
      </c>
      <c r="X119" s="28">
        <v>43929</v>
      </c>
      <c r="Y119" s="28">
        <v>43941</v>
      </c>
      <c r="Z119" s="28">
        <v>43931</v>
      </c>
      <c r="AA119" s="28">
        <v>43931</v>
      </c>
      <c r="AB119" s="196" t="s">
        <v>158</v>
      </c>
      <c r="AC119" s="197">
        <v>100</v>
      </c>
      <c r="AD119" s="197">
        <v>100</v>
      </c>
      <c r="AE119" s="197">
        <v>100</v>
      </c>
      <c r="AF119" s="197" t="s">
        <v>20</v>
      </c>
      <c r="AG119" s="27" t="s">
        <v>76</v>
      </c>
      <c r="AH119" s="27" t="s">
        <v>76</v>
      </c>
    </row>
    <row r="120" spans="1:34" x14ac:dyDescent="0.25">
      <c r="B120" s="188">
        <f t="shared" si="16"/>
        <v>118</v>
      </c>
      <c r="C120" s="26">
        <v>20200408</v>
      </c>
      <c r="D120" s="32" t="s">
        <v>3</v>
      </c>
      <c r="E120" s="42" t="s">
        <v>1008</v>
      </c>
      <c r="F120" s="43" t="s">
        <v>1360</v>
      </c>
      <c r="G120" s="42">
        <v>1409394</v>
      </c>
      <c r="H120" s="42" t="s">
        <v>1020</v>
      </c>
      <c r="I120" s="24" t="s">
        <v>193</v>
      </c>
      <c r="J120" s="154" t="s">
        <v>1029</v>
      </c>
      <c r="K120" s="24" t="s">
        <v>1028</v>
      </c>
      <c r="L120" s="27" t="s">
        <v>76</v>
      </c>
      <c r="M120" s="27" t="s">
        <v>1037</v>
      </c>
      <c r="N120" s="26" t="s">
        <v>1051</v>
      </c>
      <c r="O120" s="24" t="s">
        <v>84</v>
      </c>
      <c r="P120" s="24"/>
      <c r="Q120" s="24"/>
      <c r="R120" s="42">
        <v>314</v>
      </c>
      <c r="S120" s="24">
        <f t="shared" si="24"/>
        <v>314</v>
      </c>
      <c r="T120" s="24">
        <f>S120</f>
        <v>314</v>
      </c>
      <c r="U120" s="24">
        <f>ROUNDDOWN(S120/HLOOKUP(D120,Table!$C$3:$D$4,2,0)*8,2)</f>
        <v>5.58</v>
      </c>
      <c r="V120" s="24">
        <v>5</v>
      </c>
      <c r="W120" s="24" t="s">
        <v>18</v>
      </c>
      <c r="X120" s="28">
        <v>43929</v>
      </c>
      <c r="Y120" s="28">
        <v>43941</v>
      </c>
      <c r="Z120" s="28">
        <v>43934</v>
      </c>
      <c r="AA120" s="28">
        <v>43934</v>
      </c>
      <c r="AB120" s="196" t="s">
        <v>158</v>
      </c>
      <c r="AC120" s="197">
        <v>100</v>
      </c>
      <c r="AD120" s="197">
        <v>100</v>
      </c>
      <c r="AE120" s="197">
        <v>100</v>
      </c>
      <c r="AF120" s="197" t="s">
        <v>20</v>
      </c>
      <c r="AG120" s="27" t="s">
        <v>76</v>
      </c>
      <c r="AH120" s="27" t="s">
        <v>76</v>
      </c>
    </row>
    <row r="121" spans="1:34" x14ac:dyDescent="0.25">
      <c r="B121" s="188">
        <f t="shared" si="16"/>
        <v>119</v>
      </c>
      <c r="C121" s="26">
        <v>20200408</v>
      </c>
      <c r="D121" s="32" t="s">
        <v>3</v>
      </c>
      <c r="E121" s="42" t="s">
        <v>1008</v>
      </c>
      <c r="F121" s="43" t="s">
        <v>1359</v>
      </c>
      <c r="G121" s="42">
        <v>1409394</v>
      </c>
      <c r="H121" s="42" t="s">
        <v>1021</v>
      </c>
      <c r="I121" s="24" t="s">
        <v>193</v>
      </c>
      <c r="J121" s="154" t="s">
        <v>1029</v>
      </c>
      <c r="K121" s="24" t="s">
        <v>1028</v>
      </c>
      <c r="L121" s="27" t="s">
        <v>76</v>
      </c>
      <c r="M121" s="27" t="s">
        <v>1037</v>
      </c>
      <c r="N121" s="26" t="s">
        <v>1052</v>
      </c>
      <c r="O121" s="24" t="s">
        <v>82</v>
      </c>
      <c r="P121" s="24"/>
      <c r="Q121" s="24"/>
      <c r="R121" s="42">
        <v>576</v>
      </c>
      <c r="S121" s="24">
        <f t="shared" si="24"/>
        <v>576</v>
      </c>
      <c r="T121" s="24">
        <f t="shared" ref="T121:T128" si="25">S121</f>
        <v>576</v>
      </c>
      <c r="U121" s="24">
        <f>ROUNDDOWN(S121/HLOOKUP(D121,Table!$C$3:$D$4,2,0)*8,2)</f>
        <v>10.24</v>
      </c>
      <c r="V121" s="24">
        <v>6</v>
      </c>
      <c r="W121" s="24" t="s">
        <v>18</v>
      </c>
      <c r="X121" s="28">
        <v>43929</v>
      </c>
      <c r="Y121" s="28">
        <v>43941</v>
      </c>
      <c r="Z121" s="28">
        <v>43931</v>
      </c>
      <c r="AA121" s="28">
        <v>43931</v>
      </c>
      <c r="AB121" s="196" t="s">
        <v>158</v>
      </c>
      <c r="AC121" s="197">
        <v>100</v>
      </c>
      <c r="AD121" s="197">
        <v>100</v>
      </c>
      <c r="AE121" s="197">
        <v>100</v>
      </c>
      <c r="AF121" s="197" t="s">
        <v>20</v>
      </c>
      <c r="AG121" s="27" t="s">
        <v>76</v>
      </c>
      <c r="AH121" s="27" t="s">
        <v>76</v>
      </c>
    </row>
    <row r="122" spans="1:34" x14ac:dyDescent="0.25">
      <c r="B122" s="188">
        <f t="shared" si="16"/>
        <v>120</v>
      </c>
      <c r="C122" s="26">
        <v>20200408</v>
      </c>
      <c r="D122" s="32" t="s">
        <v>3</v>
      </c>
      <c r="E122" s="42" t="s">
        <v>1008</v>
      </c>
      <c r="F122" s="192" t="s">
        <v>1362</v>
      </c>
      <c r="G122" s="42">
        <v>1409394</v>
      </c>
      <c r="H122" s="42" t="s">
        <v>1022</v>
      </c>
      <c r="I122" s="24" t="s">
        <v>193</v>
      </c>
      <c r="J122" s="154" t="s">
        <v>1029</v>
      </c>
      <c r="K122" s="24" t="s">
        <v>1028</v>
      </c>
      <c r="L122" s="27" t="s">
        <v>76</v>
      </c>
      <c r="M122" s="27" t="s">
        <v>1037</v>
      </c>
      <c r="N122" s="26" t="s">
        <v>1060</v>
      </c>
      <c r="O122" s="24" t="s">
        <v>85</v>
      </c>
      <c r="P122" s="24"/>
      <c r="Q122" s="24"/>
      <c r="R122" s="42">
        <v>175</v>
      </c>
      <c r="S122" s="24">
        <f t="shared" si="24"/>
        <v>175</v>
      </c>
      <c r="T122" s="24">
        <f t="shared" si="25"/>
        <v>175</v>
      </c>
      <c r="U122" s="24">
        <f>ROUNDDOWN(S122/HLOOKUP(D122,Table!$C$3:$D$4,2,0)*8,2)</f>
        <v>3.11</v>
      </c>
      <c r="V122" s="24">
        <v>1</v>
      </c>
      <c r="W122" s="24" t="s">
        <v>18</v>
      </c>
      <c r="X122" s="28">
        <v>43929</v>
      </c>
      <c r="Y122" s="28">
        <v>43941</v>
      </c>
      <c r="Z122" s="28">
        <v>43930</v>
      </c>
      <c r="AA122" s="28">
        <v>43930</v>
      </c>
      <c r="AB122" s="31" t="s">
        <v>158</v>
      </c>
      <c r="AC122" s="24">
        <v>100</v>
      </c>
      <c r="AD122" s="24">
        <v>100</v>
      </c>
      <c r="AE122" s="24">
        <v>100</v>
      </c>
      <c r="AF122" s="23" t="s">
        <v>20</v>
      </c>
      <c r="AG122" s="27" t="s">
        <v>76</v>
      </c>
      <c r="AH122" s="27" t="s">
        <v>76</v>
      </c>
    </row>
    <row r="123" spans="1:34" x14ac:dyDescent="0.25">
      <c r="B123" s="188">
        <f t="shared" si="16"/>
        <v>121</v>
      </c>
      <c r="C123" s="26">
        <v>20200408</v>
      </c>
      <c r="D123" s="32" t="s">
        <v>3</v>
      </c>
      <c r="E123" s="42" t="s">
        <v>1008</v>
      </c>
      <c r="F123" s="43" t="s">
        <v>1357</v>
      </c>
      <c r="G123" s="42">
        <v>1409394</v>
      </c>
      <c r="H123" s="42" t="s">
        <v>1023</v>
      </c>
      <c r="I123" s="24" t="s">
        <v>193</v>
      </c>
      <c r="J123" s="154" t="s">
        <v>1029</v>
      </c>
      <c r="K123" s="24" t="s">
        <v>1028</v>
      </c>
      <c r="L123" s="27" t="s">
        <v>76</v>
      </c>
      <c r="M123" s="27" t="s">
        <v>1037</v>
      </c>
      <c r="N123" s="26" t="s">
        <v>1061</v>
      </c>
      <c r="O123" s="24" t="s">
        <v>84</v>
      </c>
      <c r="P123" s="24"/>
      <c r="Q123" s="24"/>
      <c r="R123" s="42">
        <v>33</v>
      </c>
      <c r="S123" s="25">
        <f>R123+12-33</f>
        <v>12</v>
      </c>
      <c r="T123" s="24">
        <f t="shared" si="25"/>
        <v>12</v>
      </c>
      <c r="U123" s="24">
        <f>ROUNDDOWN(S123/HLOOKUP(D123,Table!$C$3:$D$4,2,0)*8,2)</f>
        <v>0.21</v>
      </c>
      <c r="V123" s="24">
        <v>0.1</v>
      </c>
      <c r="W123" s="24" t="s">
        <v>18</v>
      </c>
      <c r="X123" s="28">
        <v>43929</v>
      </c>
      <c r="Y123" s="28">
        <v>43941</v>
      </c>
      <c r="Z123" s="28">
        <v>43931</v>
      </c>
      <c r="AA123" s="28">
        <v>43931</v>
      </c>
      <c r="AB123" s="196" t="s">
        <v>158</v>
      </c>
      <c r="AC123" s="197">
        <v>100</v>
      </c>
      <c r="AD123" s="197">
        <v>100</v>
      </c>
      <c r="AE123" s="197">
        <v>100</v>
      </c>
      <c r="AF123" s="197" t="s">
        <v>20</v>
      </c>
      <c r="AG123" s="27" t="s">
        <v>76</v>
      </c>
      <c r="AH123" s="27" t="s">
        <v>76</v>
      </c>
    </row>
    <row r="124" spans="1:34" x14ac:dyDescent="0.25">
      <c r="B124" s="69">
        <f t="shared" si="16"/>
        <v>122</v>
      </c>
      <c r="C124" s="26">
        <v>20200409</v>
      </c>
      <c r="D124" s="32" t="s">
        <v>2</v>
      </c>
      <c r="E124" s="42" t="s">
        <v>1053</v>
      </c>
      <c r="F124" s="47" t="s">
        <v>76</v>
      </c>
      <c r="G124" s="42">
        <v>1409364</v>
      </c>
      <c r="H124" s="42" t="s">
        <v>1054</v>
      </c>
      <c r="I124" s="27" t="s">
        <v>76</v>
      </c>
      <c r="J124" s="154" t="s">
        <v>76</v>
      </c>
      <c r="K124" s="24" t="s">
        <v>1056</v>
      </c>
      <c r="L124" s="43" t="s">
        <v>1058</v>
      </c>
      <c r="M124" s="27" t="s">
        <v>76</v>
      </c>
      <c r="N124" s="26" t="s">
        <v>1072</v>
      </c>
      <c r="O124" s="24" t="s">
        <v>82</v>
      </c>
      <c r="P124" s="24"/>
      <c r="Q124" s="24"/>
      <c r="R124" s="24">
        <v>40</v>
      </c>
      <c r="S124" s="24">
        <f t="shared" si="24"/>
        <v>40</v>
      </c>
      <c r="T124" s="24">
        <f t="shared" si="25"/>
        <v>40</v>
      </c>
      <c r="U124" s="24">
        <f>ROUNDDOWN(S124/HLOOKUP(D124,Table!$C$3:$D$4,2,0)*8,2)</f>
        <v>2.46</v>
      </c>
      <c r="V124" s="24">
        <v>3</v>
      </c>
      <c r="W124" s="24" t="s">
        <v>105</v>
      </c>
      <c r="X124" s="28">
        <v>43929</v>
      </c>
      <c r="Y124" s="28">
        <v>43929</v>
      </c>
      <c r="Z124" s="28">
        <v>43929</v>
      </c>
      <c r="AA124" s="28">
        <v>43929</v>
      </c>
      <c r="AB124" s="160" t="s">
        <v>158</v>
      </c>
      <c r="AC124" s="23">
        <v>100</v>
      </c>
      <c r="AD124" s="23">
        <v>100</v>
      </c>
      <c r="AE124" s="23">
        <v>100</v>
      </c>
      <c r="AF124" s="23" t="s">
        <v>20</v>
      </c>
      <c r="AG124" s="27" t="s">
        <v>76</v>
      </c>
      <c r="AH124" s="27" t="s">
        <v>76</v>
      </c>
    </row>
    <row r="125" spans="1:34" x14ac:dyDescent="0.25">
      <c r="B125" s="69">
        <f t="shared" si="16"/>
        <v>123</v>
      </c>
      <c r="C125" s="26">
        <v>20200409</v>
      </c>
      <c r="D125" s="32" t="s">
        <v>2</v>
      </c>
      <c r="E125" s="42" t="s">
        <v>1053</v>
      </c>
      <c r="F125" s="47" t="s">
        <v>76</v>
      </c>
      <c r="G125" s="42">
        <v>1409364</v>
      </c>
      <c r="H125" s="42" t="s">
        <v>1055</v>
      </c>
      <c r="I125" s="27" t="s">
        <v>76</v>
      </c>
      <c r="J125" s="154" t="s">
        <v>76</v>
      </c>
      <c r="K125" s="42" t="s">
        <v>1057</v>
      </c>
      <c r="L125" s="43" t="s">
        <v>1059</v>
      </c>
      <c r="M125" s="27" t="s">
        <v>76</v>
      </c>
      <c r="N125" s="26" t="s">
        <v>1073</v>
      </c>
      <c r="O125" s="24" t="s">
        <v>84</v>
      </c>
      <c r="P125" s="24"/>
      <c r="Q125" s="24"/>
      <c r="R125" s="24">
        <v>22</v>
      </c>
      <c r="S125" s="24">
        <f t="shared" si="24"/>
        <v>22</v>
      </c>
      <c r="T125" s="24">
        <f t="shared" si="25"/>
        <v>22</v>
      </c>
      <c r="U125" s="24">
        <f>ROUNDDOWN(S125/HLOOKUP(D125,Table!$C$3:$D$4,2,0)*8,2)</f>
        <v>1.35</v>
      </c>
      <c r="V125" s="24">
        <v>1</v>
      </c>
      <c r="W125" s="24" t="s">
        <v>105</v>
      </c>
      <c r="X125" s="28">
        <v>43929</v>
      </c>
      <c r="Y125" s="28">
        <v>43929</v>
      </c>
      <c r="Z125" s="28">
        <v>43930</v>
      </c>
      <c r="AA125" s="28">
        <v>43930</v>
      </c>
      <c r="AB125" s="160" t="s">
        <v>158</v>
      </c>
      <c r="AC125" s="23">
        <v>100</v>
      </c>
      <c r="AD125" s="23">
        <v>100</v>
      </c>
      <c r="AE125" s="23">
        <v>100</v>
      </c>
      <c r="AF125" s="23" t="s">
        <v>20</v>
      </c>
      <c r="AG125" s="27" t="s">
        <v>76</v>
      </c>
      <c r="AH125" s="27" t="s">
        <v>76</v>
      </c>
    </row>
    <row r="126" spans="1:34" x14ac:dyDescent="0.25">
      <c r="B126" s="55">
        <f t="shared" si="16"/>
        <v>124</v>
      </c>
      <c r="C126" s="26">
        <v>20200410</v>
      </c>
      <c r="D126" s="32" t="s">
        <v>3</v>
      </c>
      <c r="E126" s="42" t="s">
        <v>67</v>
      </c>
      <c r="F126" s="47" t="s">
        <v>1363</v>
      </c>
      <c r="G126" s="42">
        <v>1411220</v>
      </c>
      <c r="H126" s="42" t="s">
        <v>648</v>
      </c>
      <c r="I126" s="24" t="s">
        <v>193</v>
      </c>
      <c r="J126" s="154" t="s">
        <v>1071</v>
      </c>
      <c r="K126" s="42" t="s">
        <v>91</v>
      </c>
      <c r="L126" s="27" t="s">
        <v>76</v>
      </c>
      <c r="M126" s="27" t="s">
        <v>76</v>
      </c>
      <c r="N126" s="26" t="s">
        <v>1074</v>
      </c>
      <c r="O126" s="24" t="s">
        <v>85</v>
      </c>
      <c r="P126" s="24"/>
      <c r="Q126" s="24"/>
      <c r="R126" s="24">
        <v>147</v>
      </c>
      <c r="S126" s="25">
        <f>R126 + 164 -R126</f>
        <v>164</v>
      </c>
      <c r="T126" s="24">
        <f t="shared" si="25"/>
        <v>164</v>
      </c>
      <c r="U126" s="24">
        <f>ROUNDDOWN(S126/HLOOKUP(D126,Table!$C$3:$D$4,2,0)*8,2)</f>
        <v>2.91</v>
      </c>
      <c r="V126" s="24">
        <v>2</v>
      </c>
      <c r="W126" s="24" t="s">
        <v>21</v>
      </c>
      <c r="X126" s="28">
        <v>43934</v>
      </c>
      <c r="Y126" s="28">
        <v>43934</v>
      </c>
      <c r="Z126" s="28">
        <v>43934</v>
      </c>
      <c r="AA126" s="28">
        <v>43934</v>
      </c>
      <c r="AB126" s="202" t="s">
        <v>158</v>
      </c>
      <c r="AC126" s="203">
        <v>100</v>
      </c>
      <c r="AD126" s="203">
        <v>100</v>
      </c>
      <c r="AE126" s="203">
        <v>100</v>
      </c>
      <c r="AF126" s="23" t="s">
        <v>20</v>
      </c>
      <c r="AG126" s="27" t="s">
        <v>76</v>
      </c>
      <c r="AH126" s="27" t="s">
        <v>76</v>
      </c>
    </row>
    <row r="127" spans="1:34" x14ac:dyDescent="0.25">
      <c r="B127" s="55">
        <f t="shared" si="16"/>
        <v>125</v>
      </c>
      <c r="C127" s="26">
        <v>20200410</v>
      </c>
      <c r="D127" s="32" t="s">
        <v>3</v>
      </c>
      <c r="E127" s="42" t="s">
        <v>67</v>
      </c>
      <c r="F127" s="47" t="s">
        <v>1364</v>
      </c>
      <c r="G127" s="42">
        <v>1411220</v>
      </c>
      <c r="H127" s="42" t="s">
        <v>1069</v>
      </c>
      <c r="I127" s="24" t="s">
        <v>193</v>
      </c>
      <c r="J127" s="154" t="s">
        <v>1071</v>
      </c>
      <c r="K127" s="42" t="s">
        <v>91</v>
      </c>
      <c r="L127" s="27" t="s">
        <v>76</v>
      </c>
      <c r="M127" s="27" t="s">
        <v>76</v>
      </c>
      <c r="N127" s="26" t="s">
        <v>1122</v>
      </c>
      <c r="O127" s="24" t="s">
        <v>85</v>
      </c>
      <c r="P127" s="24"/>
      <c r="Q127" s="24"/>
      <c r="R127" s="24">
        <v>40</v>
      </c>
      <c r="S127" s="24">
        <f t="shared" ref="S127:S128" si="26">R127</f>
        <v>40</v>
      </c>
      <c r="T127" s="24">
        <f t="shared" si="25"/>
        <v>40</v>
      </c>
      <c r="U127" s="24">
        <f>ROUNDDOWN(S127/HLOOKUP(D127,Table!$C$3:$D$4,2,0)*8,2)</f>
        <v>0.71</v>
      </c>
      <c r="V127" s="24">
        <v>1</v>
      </c>
      <c r="W127" s="24" t="s">
        <v>21</v>
      </c>
      <c r="X127" s="28">
        <v>43934</v>
      </c>
      <c r="Y127" s="28">
        <v>43934</v>
      </c>
      <c r="Z127" s="28">
        <v>43934</v>
      </c>
      <c r="AA127" s="28">
        <v>43934</v>
      </c>
      <c r="AB127" s="202" t="s">
        <v>158</v>
      </c>
      <c r="AC127" s="203">
        <v>100</v>
      </c>
      <c r="AD127" s="203">
        <v>100</v>
      </c>
      <c r="AE127" s="203">
        <v>100</v>
      </c>
      <c r="AF127" s="23" t="s">
        <v>20</v>
      </c>
      <c r="AG127" s="27" t="s">
        <v>76</v>
      </c>
      <c r="AH127" s="27" t="s">
        <v>76</v>
      </c>
    </row>
    <row r="128" spans="1:34" x14ac:dyDescent="0.25">
      <c r="B128" s="55">
        <f t="shared" si="16"/>
        <v>126</v>
      </c>
      <c r="C128" s="26">
        <v>20200410</v>
      </c>
      <c r="D128" s="32" t="s">
        <v>3</v>
      </c>
      <c r="E128" s="42" t="s">
        <v>67</v>
      </c>
      <c r="F128" s="47" t="s">
        <v>1365</v>
      </c>
      <c r="G128" s="42">
        <v>1411220</v>
      </c>
      <c r="H128" s="42" t="s">
        <v>1070</v>
      </c>
      <c r="I128" s="24" t="s">
        <v>193</v>
      </c>
      <c r="J128" s="154" t="s">
        <v>1071</v>
      </c>
      <c r="K128" s="42" t="s">
        <v>91</v>
      </c>
      <c r="L128" s="27" t="s">
        <v>76</v>
      </c>
      <c r="M128" s="27" t="s">
        <v>76</v>
      </c>
      <c r="N128" s="26" t="s">
        <v>1123</v>
      </c>
      <c r="O128" s="24" t="s">
        <v>85</v>
      </c>
      <c r="P128" s="24"/>
      <c r="Q128" s="24"/>
      <c r="R128" s="24">
        <v>151</v>
      </c>
      <c r="S128" s="24">
        <f t="shared" si="26"/>
        <v>151</v>
      </c>
      <c r="T128" s="24">
        <f t="shared" si="25"/>
        <v>151</v>
      </c>
      <c r="U128" s="24">
        <f>ROUNDDOWN(S128/HLOOKUP(D128,Table!$C$3:$D$4,2,0)*8,2)</f>
        <v>2.68</v>
      </c>
      <c r="V128" s="24">
        <v>1</v>
      </c>
      <c r="W128" s="24" t="s">
        <v>21</v>
      </c>
      <c r="X128" s="28">
        <v>43934</v>
      </c>
      <c r="Y128" s="28">
        <v>43934</v>
      </c>
      <c r="Z128" s="28">
        <v>43934</v>
      </c>
      <c r="AA128" s="28">
        <v>43934</v>
      </c>
      <c r="AB128" s="160" t="s">
        <v>157</v>
      </c>
      <c r="AC128" s="23">
        <v>88</v>
      </c>
      <c r="AD128" s="23">
        <v>68</v>
      </c>
      <c r="AE128" s="23">
        <v>30</v>
      </c>
      <c r="AF128" s="23" t="s">
        <v>792</v>
      </c>
      <c r="AG128" s="27" t="s">
        <v>1176</v>
      </c>
      <c r="AH128" s="27" t="s">
        <v>76</v>
      </c>
    </row>
    <row r="129" spans="1:34" x14ac:dyDescent="0.25">
      <c r="B129" s="149">
        <f t="shared" si="16"/>
        <v>127</v>
      </c>
      <c r="C129" s="26">
        <v>20200410</v>
      </c>
      <c r="D129" s="32" t="s">
        <v>3</v>
      </c>
      <c r="E129" s="26" t="s">
        <v>1075</v>
      </c>
      <c r="F129" s="47" t="s">
        <v>1366</v>
      </c>
      <c r="G129" s="26">
        <v>1411876</v>
      </c>
      <c r="H129" s="26" t="s">
        <v>1076</v>
      </c>
      <c r="I129" s="24" t="s">
        <v>193</v>
      </c>
      <c r="J129" s="154" t="s">
        <v>76</v>
      </c>
      <c r="K129" s="24" t="s">
        <v>1175</v>
      </c>
      <c r="L129" s="27" t="s">
        <v>76</v>
      </c>
      <c r="M129" s="27" t="s">
        <v>1173</v>
      </c>
      <c r="N129" s="26" t="s">
        <v>1124</v>
      </c>
      <c r="O129" s="24" t="s">
        <v>84</v>
      </c>
      <c r="P129" s="24"/>
      <c r="Q129" s="24"/>
      <c r="R129" s="24">
        <v>278</v>
      </c>
      <c r="S129" s="24">
        <f>R129</f>
        <v>278</v>
      </c>
      <c r="T129" s="24">
        <f>S129</f>
        <v>278</v>
      </c>
      <c r="U129" s="24">
        <f>ROUNDDOWN(S129/HLOOKUP(D129,Table!$C$3:$D$4,2,0)*8,2)</f>
        <v>4.9400000000000004</v>
      </c>
      <c r="V129" s="24">
        <v>3</v>
      </c>
      <c r="W129" s="24" t="s">
        <v>18</v>
      </c>
      <c r="X129" s="28">
        <v>43934</v>
      </c>
      <c r="Y129" s="28">
        <v>43945</v>
      </c>
      <c r="Z129" s="28">
        <v>43934</v>
      </c>
      <c r="AA129" s="28">
        <v>43934</v>
      </c>
      <c r="AB129" s="160" t="s">
        <v>158</v>
      </c>
      <c r="AC129" s="23">
        <v>100</v>
      </c>
      <c r="AD129" s="23">
        <v>100</v>
      </c>
      <c r="AE129" s="23">
        <v>100</v>
      </c>
      <c r="AF129" s="23" t="s">
        <v>20</v>
      </c>
      <c r="AG129" s="27" t="s">
        <v>76</v>
      </c>
      <c r="AH129" s="27" t="s">
        <v>76</v>
      </c>
    </row>
    <row r="130" spans="1:34" x14ac:dyDescent="0.25">
      <c r="B130" s="149">
        <f t="shared" si="16"/>
        <v>128</v>
      </c>
      <c r="C130" s="26">
        <v>20200410</v>
      </c>
      <c r="D130" s="32" t="s">
        <v>3</v>
      </c>
      <c r="E130" s="26" t="s">
        <v>1075</v>
      </c>
      <c r="F130" s="47" t="s">
        <v>1366</v>
      </c>
      <c r="G130" s="26">
        <v>1411876</v>
      </c>
      <c r="H130" s="155" t="s">
        <v>1077</v>
      </c>
      <c r="I130" s="24" t="s">
        <v>193</v>
      </c>
      <c r="J130" s="154" t="s">
        <v>76</v>
      </c>
      <c r="K130" s="24" t="s">
        <v>1175</v>
      </c>
      <c r="L130" s="27" t="s">
        <v>76</v>
      </c>
      <c r="M130" s="27" t="s">
        <v>1173</v>
      </c>
      <c r="N130" s="26" t="s">
        <v>1125</v>
      </c>
      <c r="O130" s="24" t="s">
        <v>83</v>
      </c>
      <c r="P130" s="24"/>
      <c r="Q130" s="24"/>
      <c r="R130" s="24">
        <v>715</v>
      </c>
      <c r="S130" s="24">
        <f t="shared" ref="S130:S179" si="27">R130</f>
        <v>715</v>
      </c>
      <c r="T130" s="203">
        <f>S130</f>
        <v>715</v>
      </c>
      <c r="U130" s="24">
        <f>ROUNDDOWN(S130/HLOOKUP(D130,Table!$C$3:$D$4,2,0)*8,2)</f>
        <v>12.71</v>
      </c>
      <c r="V130" s="24">
        <v>2</v>
      </c>
      <c r="W130" s="24" t="s">
        <v>18</v>
      </c>
      <c r="X130" s="28">
        <v>43934</v>
      </c>
      <c r="Y130" s="28">
        <v>43945</v>
      </c>
      <c r="Z130" s="28">
        <v>43930</v>
      </c>
      <c r="AA130" s="28">
        <v>43930</v>
      </c>
      <c r="AB130" s="31" t="s">
        <v>157</v>
      </c>
      <c r="AC130" s="23">
        <v>100</v>
      </c>
      <c r="AD130" s="23">
        <v>100</v>
      </c>
      <c r="AE130" s="23">
        <v>100</v>
      </c>
      <c r="AF130" s="24" t="s">
        <v>792</v>
      </c>
      <c r="AG130" s="27" t="s">
        <v>1279</v>
      </c>
      <c r="AH130" s="27" t="s">
        <v>76</v>
      </c>
    </row>
    <row r="131" spans="1:34" x14ac:dyDescent="0.25">
      <c r="B131" s="149">
        <f t="shared" si="16"/>
        <v>129</v>
      </c>
      <c r="C131" s="26">
        <v>20200410</v>
      </c>
      <c r="D131" s="32" t="s">
        <v>3</v>
      </c>
      <c r="E131" s="26" t="s">
        <v>1075</v>
      </c>
      <c r="F131" s="47" t="s">
        <v>1366</v>
      </c>
      <c r="G131" s="26">
        <v>1411876</v>
      </c>
      <c r="H131" s="155" t="s">
        <v>1078</v>
      </c>
      <c r="I131" s="24" t="s">
        <v>193</v>
      </c>
      <c r="J131" s="154" t="s">
        <v>76</v>
      </c>
      <c r="K131" s="24" t="s">
        <v>1175</v>
      </c>
      <c r="L131" s="27" t="s">
        <v>76</v>
      </c>
      <c r="M131" s="27" t="s">
        <v>1173</v>
      </c>
      <c r="N131" s="26" t="s">
        <v>1126</v>
      </c>
      <c r="O131" s="24" t="s">
        <v>83</v>
      </c>
      <c r="P131" s="24"/>
      <c r="Q131" s="24"/>
      <c r="R131" s="24">
        <v>137</v>
      </c>
      <c r="S131" s="24">
        <f t="shared" si="27"/>
        <v>137</v>
      </c>
      <c r="T131" s="24">
        <f>S131</f>
        <v>137</v>
      </c>
      <c r="U131" s="24">
        <f>ROUNDDOWN(S131/HLOOKUP(D131,Table!$C$3:$D$4,2,0)*8,2)</f>
        <v>2.4300000000000002</v>
      </c>
      <c r="V131" s="24">
        <v>2</v>
      </c>
      <c r="W131" s="24" t="s">
        <v>18</v>
      </c>
      <c r="X131" s="28">
        <v>43934</v>
      </c>
      <c r="Y131" s="28">
        <v>43945</v>
      </c>
      <c r="Z131" s="28">
        <v>43935</v>
      </c>
      <c r="AA131" s="28">
        <v>43935</v>
      </c>
      <c r="AB131" s="31" t="s">
        <v>157</v>
      </c>
      <c r="AC131" s="24">
        <v>100</v>
      </c>
      <c r="AD131" s="24">
        <v>100</v>
      </c>
      <c r="AE131" s="24">
        <v>100</v>
      </c>
      <c r="AF131" s="24" t="s">
        <v>20</v>
      </c>
      <c r="AG131" s="27" t="s">
        <v>1278</v>
      </c>
      <c r="AH131" s="27" t="s">
        <v>76</v>
      </c>
    </row>
    <row r="132" spans="1:34" x14ac:dyDescent="0.25">
      <c r="B132" s="149">
        <f t="shared" si="16"/>
        <v>130</v>
      </c>
      <c r="C132" s="26">
        <v>20200410</v>
      </c>
      <c r="D132" s="32" t="s">
        <v>3</v>
      </c>
      <c r="E132" s="26" t="s">
        <v>1075</v>
      </c>
      <c r="F132" s="47" t="s">
        <v>1366</v>
      </c>
      <c r="G132" s="26">
        <v>1411876</v>
      </c>
      <c r="H132" s="205" t="s">
        <v>1079</v>
      </c>
      <c r="I132" s="24" t="s">
        <v>193</v>
      </c>
      <c r="J132" s="154" t="s">
        <v>76</v>
      </c>
      <c r="K132" s="24" t="s">
        <v>1175</v>
      </c>
      <c r="L132" s="27" t="s">
        <v>76</v>
      </c>
      <c r="M132" s="27" t="s">
        <v>1173</v>
      </c>
      <c r="N132" s="26" t="s">
        <v>1127</v>
      </c>
      <c r="O132" s="24" t="s">
        <v>83</v>
      </c>
      <c r="P132" s="24"/>
      <c r="Q132" s="24"/>
      <c r="R132" s="24">
        <v>132</v>
      </c>
      <c r="S132" s="24">
        <f t="shared" si="27"/>
        <v>132</v>
      </c>
      <c r="T132" s="203">
        <f t="shared" ref="T132:T141" si="28">S132</f>
        <v>132</v>
      </c>
      <c r="U132" s="24">
        <f>ROUNDDOWN(S132/HLOOKUP(D132,Table!$C$3:$D$4,2,0)*8,2)</f>
        <v>2.34</v>
      </c>
      <c r="V132" s="24">
        <v>1</v>
      </c>
      <c r="W132" s="24" t="s">
        <v>18</v>
      </c>
      <c r="X132" s="28">
        <v>43934</v>
      </c>
      <c r="Y132" s="28">
        <v>43945</v>
      </c>
      <c r="Z132" s="28">
        <v>43934</v>
      </c>
      <c r="AA132" s="28">
        <v>43934</v>
      </c>
      <c r="AB132" s="31" t="s">
        <v>158</v>
      </c>
      <c r="AC132" s="197">
        <v>100</v>
      </c>
      <c r="AD132" s="197">
        <v>100</v>
      </c>
      <c r="AE132" s="197">
        <v>100</v>
      </c>
      <c r="AF132" s="197" t="s">
        <v>20</v>
      </c>
      <c r="AG132" s="27" t="s">
        <v>76</v>
      </c>
      <c r="AH132" s="27" t="s">
        <v>76</v>
      </c>
    </row>
    <row r="133" spans="1:34" x14ac:dyDescent="0.25">
      <c r="B133" s="149">
        <f t="shared" si="16"/>
        <v>131</v>
      </c>
      <c r="C133" s="26">
        <v>20200410</v>
      </c>
      <c r="D133" s="32" t="s">
        <v>3</v>
      </c>
      <c r="E133" s="26" t="s">
        <v>1075</v>
      </c>
      <c r="F133" s="47" t="s">
        <v>1366</v>
      </c>
      <c r="G133" s="26">
        <v>1411876</v>
      </c>
      <c r="H133" s="205" t="s">
        <v>912</v>
      </c>
      <c r="I133" s="24" t="s">
        <v>193</v>
      </c>
      <c r="J133" s="154" t="s">
        <v>76</v>
      </c>
      <c r="K133" s="24" t="s">
        <v>1175</v>
      </c>
      <c r="L133" s="27" t="s">
        <v>76</v>
      </c>
      <c r="M133" s="27" t="s">
        <v>1173</v>
      </c>
      <c r="N133" s="26" t="s">
        <v>1128</v>
      </c>
      <c r="O133" s="24" t="s">
        <v>83</v>
      </c>
      <c r="P133" s="24"/>
      <c r="Q133" s="24"/>
      <c r="R133" s="24">
        <v>34</v>
      </c>
      <c r="S133" s="24">
        <f t="shared" si="27"/>
        <v>34</v>
      </c>
      <c r="T133" s="24">
        <f t="shared" si="28"/>
        <v>34</v>
      </c>
      <c r="U133" s="24">
        <f>ROUNDDOWN(S133/HLOOKUP(D133,Table!$C$3:$D$4,2,0)*8,2)</f>
        <v>0.6</v>
      </c>
      <c r="V133" s="24">
        <v>1</v>
      </c>
      <c r="W133" s="24" t="s">
        <v>18</v>
      </c>
      <c r="X133" s="28">
        <v>43934</v>
      </c>
      <c r="Y133" s="28">
        <v>43945</v>
      </c>
      <c r="Z133" s="28">
        <v>43934</v>
      </c>
      <c r="AA133" s="28">
        <v>43934</v>
      </c>
      <c r="AB133" s="31" t="s">
        <v>158</v>
      </c>
      <c r="AC133" s="197">
        <v>100</v>
      </c>
      <c r="AD133" s="197">
        <v>100</v>
      </c>
      <c r="AE133" s="197">
        <v>100</v>
      </c>
      <c r="AF133" s="197" t="s">
        <v>20</v>
      </c>
      <c r="AG133" s="27" t="s">
        <v>76</v>
      </c>
      <c r="AH133" s="27" t="s">
        <v>76</v>
      </c>
    </row>
    <row r="134" spans="1:34" x14ac:dyDescent="0.25">
      <c r="B134" s="149">
        <f t="shared" ref="B134:B197" si="29">B133+1</f>
        <v>132</v>
      </c>
      <c r="C134" s="26">
        <v>20200410</v>
      </c>
      <c r="D134" s="32" t="s">
        <v>3</v>
      </c>
      <c r="E134" s="26" t="s">
        <v>1075</v>
      </c>
      <c r="F134" s="47" t="s">
        <v>1366</v>
      </c>
      <c r="G134" s="26">
        <v>1411876</v>
      </c>
      <c r="H134" s="205" t="s">
        <v>1080</v>
      </c>
      <c r="I134" s="24" t="s">
        <v>193</v>
      </c>
      <c r="J134" s="154" t="s">
        <v>76</v>
      </c>
      <c r="K134" s="24" t="s">
        <v>1175</v>
      </c>
      <c r="L134" s="27" t="s">
        <v>76</v>
      </c>
      <c r="M134" s="27" t="s">
        <v>1173</v>
      </c>
      <c r="N134" s="26" t="s">
        <v>1129</v>
      </c>
      <c r="O134" s="24" t="s">
        <v>83</v>
      </c>
      <c r="P134" s="24"/>
      <c r="Q134" s="24"/>
      <c r="R134" s="24">
        <v>33</v>
      </c>
      <c r="S134" s="24">
        <f t="shared" si="27"/>
        <v>33</v>
      </c>
      <c r="T134" s="24">
        <f t="shared" si="28"/>
        <v>33</v>
      </c>
      <c r="U134" s="24">
        <f>ROUNDDOWN(S134/HLOOKUP(D134,Table!$C$3:$D$4,2,0)*8,2)</f>
        <v>0.57999999999999996</v>
      </c>
      <c r="V134" s="24">
        <v>1</v>
      </c>
      <c r="W134" s="24" t="s">
        <v>18</v>
      </c>
      <c r="X134" s="28">
        <v>43934</v>
      </c>
      <c r="Y134" s="28">
        <v>43945</v>
      </c>
      <c r="Z134" s="28">
        <v>43934</v>
      </c>
      <c r="AA134" s="28">
        <v>43934</v>
      </c>
      <c r="AB134" s="31" t="s">
        <v>158</v>
      </c>
      <c r="AC134" s="197">
        <v>100</v>
      </c>
      <c r="AD134" s="197">
        <v>100</v>
      </c>
      <c r="AE134" s="197">
        <v>100</v>
      </c>
      <c r="AF134" s="197" t="s">
        <v>20</v>
      </c>
      <c r="AG134" s="27" t="s">
        <v>76</v>
      </c>
      <c r="AH134" s="27" t="s">
        <v>76</v>
      </c>
    </row>
    <row r="135" spans="1:34" x14ac:dyDescent="0.25">
      <c r="B135" s="149">
        <f t="shared" si="29"/>
        <v>133</v>
      </c>
      <c r="C135" s="26">
        <v>20200410</v>
      </c>
      <c r="D135" s="32" t="s">
        <v>3</v>
      </c>
      <c r="E135" s="26" t="s">
        <v>1075</v>
      </c>
      <c r="F135" s="47" t="s">
        <v>1366</v>
      </c>
      <c r="G135" s="26">
        <v>1411876</v>
      </c>
      <c r="H135" s="205" t="s">
        <v>1081</v>
      </c>
      <c r="I135" s="24" t="s">
        <v>193</v>
      </c>
      <c r="J135" s="154" t="s">
        <v>76</v>
      </c>
      <c r="K135" s="24" t="s">
        <v>1175</v>
      </c>
      <c r="L135" s="27" t="s">
        <v>76</v>
      </c>
      <c r="M135" s="27" t="s">
        <v>1173</v>
      </c>
      <c r="N135" s="26" t="s">
        <v>1130</v>
      </c>
      <c r="O135" s="24" t="s">
        <v>83</v>
      </c>
      <c r="P135" s="24"/>
      <c r="Q135" s="24"/>
      <c r="R135" s="24">
        <v>78</v>
      </c>
      <c r="S135" s="24">
        <f t="shared" si="27"/>
        <v>78</v>
      </c>
      <c r="T135" s="24">
        <f t="shared" si="28"/>
        <v>78</v>
      </c>
      <c r="U135" s="24">
        <f>ROUNDDOWN(S135/HLOOKUP(D135,Table!$C$3:$D$4,2,0)*8,2)</f>
        <v>1.38</v>
      </c>
      <c r="V135" s="24">
        <v>1</v>
      </c>
      <c r="W135" s="24" t="s">
        <v>18</v>
      </c>
      <c r="X135" s="28">
        <v>43934</v>
      </c>
      <c r="Y135" s="28">
        <v>43945</v>
      </c>
      <c r="Z135" s="28">
        <v>43934</v>
      </c>
      <c r="AA135" s="28">
        <v>43934</v>
      </c>
      <c r="AB135" s="31" t="s">
        <v>158</v>
      </c>
      <c r="AC135" s="197">
        <v>100</v>
      </c>
      <c r="AD135" s="197">
        <v>100</v>
      </c>
      <c r="AE135" s="197">
        <v>100</v>
      </c>
      <c r="AF135" s="197" t="s">
        <v>20</v>
      </c>
      <c r="AG135" s="27" t="s">
        <v>76</v>
      </c>
      <c r="AH135" s="27" t="s">
        <v>76</v>
      </c>
    </row>
    <row r="136" spans="1:34" x14ac:dyDescent="0.25">
      <c r="B136" s="149">
        <f t="shared" si="29"/>
        <v>134</v>
      </c>
      <c r="C136" s="26">
        <v>20200410</v>
      </c>
      <c r="D136" s="32" t="s">
        <v>3</v>
      </c>
      <c r="E136" s="26" t="s">
        <v>1075</v>
      </c>
      <c r="F136" s="47" t="s">
        <v>1366</v>
      </c>
      <c r="G136" s="26">
        <v>1411876</v>
      </c>
      <c r="H136" s="205" t="s">
        <v>137</v>
      </c>
      <c r="I136" s="24" t="s">
        <v>193</v>
      </c>
      <c r="J136" s="154" t="s">
        <v>76</v>
      </c>
      <c r="K136" s="24" t="s">
        <v>1175</v>
      </c>
      <c r="L136" s="27" t="s">
        <v>76</v>
      </c>
      <c r="M136" s="27" t="s">
        <v>1173</v>
      </c>
      <c r="N136" s="26" t="s">
        <v>1131</v>
      </c>
      <c r="O136" s="24" t="s">
        <v>83</v>
      </c>
      <c r="P136" s="24"/>
      <c r="Q136" s="24"/>
      <c r="R136" s="24">
        <v>65</v>
      </c>
      <c r="S136" s="24">
        <f t="shared" si="27"/>
        <v>65</v>
      </c>
      <c r="T136" s="203">
        <f t="shared" si="28"/>
        <v>65</v>
      </c>
      <c r="U136" s="24">
        <f>ROUNDDOWN(S136/HLOOKUP(D136,Table!$C$3:$D$4,2,0)*8,2)</f>
        <v>1.1499999999999999</v>
      </c>
      <c r="V136" s="24">
        <v>2</v>
      </c>
      <c r="W136" s="24" t="s">
        <v>18</v>
      </c>
      <c r="X136" s="28">
        <v>43934</v>
      </c>
      <c r="Y136" s="28">
        <v>43945</v>
      </c>
      <c r="Z136" s="28">
        <v>43934</v>
      </c>
      <c r="AA136" s="28">
        <v>43934</v>
      </c>
      <c r="AB136" s="31" t="s">
        <v>158</v>
      </c>
      <c r="AC136" s="197">
        <v>100</v>
      </c>
      <c r="AD136" s="197">
        <v>100</v>
      </c>
      <c r="AE136" s="197">
        <v>100</v>
      </c>
      <c r="AF136" s="197" t="s">
        <v>20</v>
      </c>
      <c r="AG136" s="27" t="s">
        <v>76</v>
      </c>
      <c r="AH136" s="27" t="s">
        <v>76</v>
      </c>
    </row>
    <row r="137" spans="1:34" x14ac:dyDescent="0.25">
      <c r="B137" s="149">
        <f t="shared" si="29"/>
        <v>135</v>
      </c>
      <c r="C137" s="26">
        <v>20200410</v>
      </c>
      <c r="D137" s="32" t="s">
        <v>3</v>
      </c>
      <c r="E137" s="26" t="s">
        <v>1075</v>
      </c>
      <c r="F137" s="47" t="s">
        <v>1366</v>
      </c>
      <c r="G137" s="26">
        <v>1411876</v>
      </c>
      <c r="H137" s="205" t="s">
        <v>114</v>
      </c>
      <c r="I137" s="24" t="s">
        <v>193</v>
      </c>
      <c r="J137" s="154" t="s">
        <v>76</v>
      </c>
      <c r="K137" s="24" t="s">
        <v>1175</v>
      </c>
      <c r="L137" s="27" t="s">
        <v>76</v>
      </c>
      <c r="M137" s="27" t="s">
        <v>1173</v>
      </c>
      <c r="N137" s="26" t="s">
        <v>1132</v>
      </c>
      <c r="O137" s="24" t="s">
        <v>83</v>
      </c>
      <c r="P137" s="24"/>
      <c r="Q137" s="24"/>
      <c r="R137" s="24">
        <v>109</v>
      </c>
      <c r="S137" s="24">
        <f t="shared" si="27"/>
        <v>109</v>
      </c>
      <c r="T137" s="24">
        <f t="shared" si="28"/>
        <v>109</v>
      </c>
      <c r="U137" s="24">
        <f>ROUNDDOWN(S137/HLOOKUP(D137,Table!$C$3:$D$4,2,0)*8,2)</f>
        <v>1.93</v>
      </c>
      <c r="V137" s="24">
        <v>2</v>
      </c>
      <c r="W137" s="24" t="s">
        <v>18</v>
      </c>
      <c r="X137" s="28">
        <v>43934</v>
      </c>
      <c r="Y137" s="28">
        <v>43945</v>
      </c>
      <c r="Z137" s="28">
        <v>43934</v>
      </c>
      <c r="AA137" s="28">
        <v>43934</v>
      </c>
      <c r="AB137" s="31" t="s">
        <v>158</v>
      </c>
      <c r="AC137" s="197">
        <v>100</v>
      </c>
      <c r="AD137" s="197">
        <v>100</v>
      </c>
      <c r="AE137" s="197">
        <v>100</v>
      </c>
      <c r="AF137" s="197" t="s">
        <v>20</v>
      </c>
      <c r="AG137" s="27" t="s">
        <v>76</v>
      </c>
      <c r="AH137" s="27" t="s">
        <v>76</v>
      </c>
    </row>
    <row r="138" spans="1:34" x14ac:dyDescent="0.25">
      <c r="B138" s="149">
        <f t="shared" si="29"/>
        <v>136</v>
      </c>
      <c r="C138" s="26">
        <v>20200410</v>
      </c>
      <c r="D138" s="32" t="s">
        <v>3</v>
      </c>
      <c r="E138" s="26" t="s">
        <v>1075</v>
      </c>
      <c r="F138" s="47" t="s">
        <v>1366</v>
      </c>
      <c r="G138" s="26">
        <v>1411876</v>
      </c>
      <c r="H138" s="205" t="s">
        <v>1082</v>
      </c>
      <c r="I138" s="24" t="s">
        <v>193</v>
      </c>
      <c r="J138" s="154" t="s">
        <v>76</v>
      </c>
      <c r="K138" s="24" t="s">
        <v>1175</v>
      </c>
      <c r="L138" s="27" t="s">
        <v>76</v>
      </c>
      <c r="M138" s="27" t="s">
        <v>1173</v>
      </c>
      <c r="N138" s="26" t="s">
        <v>1133</v>
      </c>
      <c r="O138" s="24" t="s">
        <v>83</v>
      </c>
      <c r="P138" s="24"/>
      <c r="Q138" s="24"/>
      <c r="R138" s="24">
        <v>127</v>
      </c>
      <c r="S138" s="24">
        <f t="shared" si="27"/>
        <v>127</v>
      </c>
      <c r="T138" s="24">
        <f t="shared" si="28"/>
        <v>127</v>
      </c>
      <c r="U138" s="24">
        <f>ROUNDDOWN(S138/HLOOKUP(D138,Table!$C$3:$D$4,2,0)*8,2)</f>
        <v>2.25</v>
      </c>
      <c r="V138" s="24">
        <v>2</v>
      </c>
      <c r="W138" s="24" t="s">
        <v>18</v>
      </c>
      <c r="X138" s="28">
        <v>43934</v>
      </c>
      <c r="Y138" s="28">
        <v>43945</v>
      </c>
      <c r="Z138" s="28">
        <v>43934</v>
      </c>
      <c r="AA138" s="28">
        <v>43934</v>
      </c>
      <c r="AB138" s="31" t="s">
        <v>158</v>
      </c>
      <c r="AC138" s="197">
        <v>100</v>
      </c>
      <c r="AD138" s="197">
        <v>100</v>
      </c>
      <c r="AE138" s="197">
        <v>100</v>
      </c>
      <c r="AF138" s="197" t="s">
        <v>20</v>
      </c>
      <c r="AG138" s="27" t="s">
        <v>76</v>
      </c>
      <c r="AH138" s="27" t="s">
        <v>76</v>
      </c>
    </row>
    <row r="139" spans="1:34" x14ac:dyDescent="0.25">
      <c r="B139" s="149">
        <f t="shared" si="29"/>
        <v>137</v>
      </c>
      <c r="C139" s="26">
        <v>20200410</v>
      </c>
      <c r="D139" s="32" t="s">
        <v>3</v>
      </c>
      <c r="E139" s="26" t="s">
        <v>1075</v>
      </c>
      <c r="F139" s="47" t="s">
        <v>1366</v>
      </c>
      <c r="G139" s="26">
        <v>1411876</v>
      </c>
      <c r="H139" s="205" t="s">
        <v>1083</v>
      </c>
      <c r="I139" s="24" t="s">
        <v>193</v>
      </c>
      <c r="J139" s="154" t="s">
        <v>76</v>
      </c>
      <c r="K139" s="24" t="s">
        <v>1175</v>
      </c>
      <c r="L139" s="27" t="s">
        <v>76</v>
      </c>
      <c r="M139" s="27" t="s">
        <v>1173</v>
      </c>
      <c r="N139" s="26" t="s">
        <v>1134</v>
      </c>
      <c r="O139" s="24" t="s">
        <v>83</v>
      </c>
      <c r="P139" s="24"/>
      <c r="Q139" s="24"/>
      <c r="R139" s="24">
        <v>50</v>
      </c>
      <c r="S139" s="24">
        <f t="shared" si="27"/>
        <v>50</v>
      </c>
      <c r="T139" s="24">
        <f t="shared" si="28"/>
        <v>50</v>
      </c>
      <c r="U139" s="24">
        <f>ROUNDDOWN(S139/HLOOKUP(D139,Table!$C$3:$D$4,2,0)*8,2)</f>
        <v>0.88</v>
      </c>
      <c r="V139" s="24">
        <v>2</v>
      </c>
      <c r="W139" s="24" t="s">
        <v>18</v>
      </c>
      <c r="X139" s="28">
        <v>43934</v>
      </c>
      <c r="Y139" s="28">
        <v>43945</v>
      </c>
      <c r="Z139" s="28">
        <v>43934</v>
      </c>
      <c r="AA139" s="28">
        <v>43934</v>
      </c>
      <c r="AB139" s="31" t="s">
        <v>158</v>
      </c>
      <c r="AC139" s="197">
        <v>100</v>
      </c>
      <c r="AD139" s="197">
        <v>100</v>
      </c>
      <c r="AE139" s="197">
        <v>100</v>
      </c>
      <c r="AF139" s="197" t="s">
        <v>20</v>
      </c>
      <c r="AG139" s="27" t="s">
        <v>76</v>
      </c>
      <c r="AH139" s="27" t="s">
        <v>76</v>
      </c>
    </row>
    <row r="140" spans="1:34" x14ac:dyDescent="0.25">
      <c r="B140" s="149">
        <f t="shared" si="29"/>
        <v>138</v>
      </c>
      <c r="C140" s="26">
        <v>20200410</v>
      </c>
      <c r="D140" s="32" t="s">
        <v>3</v>
      </c>
      <c r="E140" s="26" t="s">
        <v>1075</v>
      </c>
      <c r="F140" s="47" t="s">
        <v>1366</v>
      </c>
      <c r="G140" s="26">
        <v>1411876</v>
      </c>
      <c r="H140" s="205" t="s">
        <v>1084</v>
      </c>
      <c r="I140" s="24" t="s">
        <v>193</v>
      </c>
      <c r="J140" s="154" t="s">
        <v>76</v>
      </c>
      <c r="K140" s="24" t="s">
        <v>1175</v>
      </c>
      <c r="L140" s="27" t="s">
        <v>76</v>
      </c>
      <c r="M140" s="27" t="s">
        <v>1173</v>
      </c>
      <c r="N140" s="26" t="s">
        <v>1135</v>
      </c>
      <c r="O140" s="24" t="s">
        <v>83</v>
      </c>
      <c r="P140" s="24"/>
      <c r="Q140" s="24"/>
      <c r="R140" s="24">
        <v>426</v>
      </c>
      <c r="S140" s="24">
        <f t="shared" si="27"/>
        <v>426</v>
      </c>
      <c r="T140" s="24">
        <f t="shared" si="28"/>
        <v>426</v>
      </c>
      <c r="U140" s="24">
        <f>ROUNDDOWN(S140/HLOOKUP(D140,Table!$C$3:$D$4,2,0)*8,2)</f>
        <v>7.57</v>
      </c>
      <c r="V140" s="24">
        <v>4</v>
      </c>
      <c r="W140" s="24" t="s">
        <v>18</v>
      </c>
      <c r="X140" s="28">
        <v>43934</v>
      </c>
      <c r="Y140" s="28">
        <v>43945</v>
      </c>
      <c r="Z140" s="28">
        <v>43934</v>
      </c>
      <c r="AA140" s="28">
        <v>43934</v>
      </c>
      <c r="AB140" s="31" t="s">
        <v>158</v>
      </c>
      <c r="AC140" s="197">
        <v>100</v>
      </c>
      <c r="AD140" s="197">
        <v>100</v>
      </c>
      <c r="AE140" s="197">
        <v>100</v>
      </c>
      <c r="AF140" s="197" t="s">
        <v>20</v>
      </c>
      <c r="AG140" s="27" t="s">
        <v>76</v>
      </c>
      <c r="AH140" s="27" t="s">
        <v>76</v>
      </c>
    </row>
    <row r="141" spans="1:34" x14ac:dyDescent="0.25">
      <c r="B141" s="149">
        <f t="shared" si="29"/>
        <v>139</v>
      </c>
      <c r="C141" s="26">
        <v>20200410</v>
      </c>
      <c r="D141" s="32" t="s">
        <v>3</v>
      </c>
      <c r="E141" s="26" t="s">
        <v>1075</v>
      </c>
      <c r="F141" s="47" t="s">
        <v>1366</v>
      </c>
      <c r="G141" s="26">
        <v>1411876</v>
      </c>
      <c r="H141" s="205" t="s">
        <v>1085</v>
      </c>
      <c r="I141" s="24" t="s">
        <v>193</v>
      </c>
      <c r="J141" s="154" t="s">
        <v>76</v>
      </c>
      <c r="K141" s="24" t="s">
        <v>1175</v>
      </c>
      <c r="L141" s="27" t="s">
        <v>76</v>
      </c>
      <c r="M141" s="27" t="s">
        <v>1173</v>
      </c>
      <c r="N141" s="26" t="s">
        <v>1136</v>
      </c>
      <c r="O141" s="24" t="s">
        <v>83</v>
      </c>
      <c r="P141" s="24"/>
      <c r="Q141" s="24"/>
      <c r="R141" s="24">
        <v>896</v>
      </c>
      <c r="S141" s="24">
        <f t="shared" si="27"/>
        <v>896</v>
      </c>
      <c r="T141" s="24">
        <f t="shared" si="28"/>
        <v>896</v>
      </c>
      <c r="U141" s="24">
        <f>ROUNDDOWN(S141/HLOOKUP(D141,Table!$C$3:$D$4,2,0)*8,2)</f>
        <v>15.92</v>
      </c>
      <c r="V141" s="24">
        <v>4</v>
      </c>
      <c r="W141" s="24" t="s">
        <v>18</v>
      </c>
      <c r="X141" s="28">
        <v>43934</v>
      </c>
      <c r="Y141" s="28">
        <v>43945</v>
      </c>
      <c r="Z141" s="28">
        <v>43934</v>
      </c>
      <c r="AA141" s="28">
        <v>43934</v>
      </c>
      <c r="AB141" s="31" t="s">
        <v>158</v>
      </c>
      <c r="AC141" s="197">
        <v>100</v>
      </c>
      <c r="AD141" s="197">
        <v>100</v>
      </c>
      <c r="AE141" s="197">
        <v>100</v>
      </c>
      <c r="AF141" s="197" t="s">
        <v>20</v>
      </c>
      <c r="AG141" s="27" t="s">
        <v>76</v>
      </c>
      <c r="AH141" s="27" t="s">
        <v>76</v>
      </c>
    </row>
    <row r="142" spans="1:34" x14ac:dyDescent="0.25">
      <c r="B142" s="149">
        <f t="shared" si="29"/>
        <v>140</v>
      </c>
      <c r="C142" s="26">
        <v>20200410</v>
      </c>
      <c r="D142" s="32" t="s">
        <v>3</v>
      </c>
      <c r="E142" s="26" t="s">
        <v>1075</v>
      </c>
      <c r="F142" s="47" t="s">
        <v>1366</v>
      </c>
      <c r="G142" s="26">
        <v>1411876</v>
      </c>
      <c r="H142" s="26" t="s">
        <v>1086</v>
      </c>
      <c r="I142" s="24" t="s">
        <v>193</v>
      </c>
      <c r="J142" s="154" t="s">
        <v>76</v>
      </c>
      <c r="K142" s="24" t="s">
        <v>1175</v>
      </c>
      <c r="L142" s="27" t="s">
        <v>76</v>
      </c>
      <c r="M142" s="27" t="s">
        <v>1173</v>
      </c>
      <c r="N142" s="26" t="s">
        <v>1137</v>
      </c>
      <c r="O142" s="24" t="s">
        <v>84</v>
      </c>
      <c r="P142" s="24"/>
      <c r="Q142" s="24"/>
      <c r="R142" s="24">
        <v>121</v>
      </c>
      <c r="S142" s="24">
        <f t="shared" si="27"/>
        <v>121</v>
      </c>
      <c r="T142" s="24">
        <f>S142</f>
        <v>121</v>
      </c>
      <c r="U142" s="24">
        <f>ROUNDDOWN(S142/HLOOKUP(D142,Table!$C$3:$D$4,2,0)*8,2)</f>
        <v>2.15</v>
      </c>
      <c r="V142" s="24">
        <v>1</v>
      </c>
      <c r="W142" s="24" t="s">
        <v>18</v>
      </c>
      <c r="X142" s="28">
        <v>43934</v>
      </c>
      <c r="Y142" s="28">
        <v>43945</v>
      </c>
      <c r="Z142" s="28">
        <v>43935</v>
      </c>
      <c r="AA142" s="28">
        <v>43935</v>
      </c>
      <c r="AB142" s="31" t="s">
        <v>158</v>
      </c>
      <c r="AC142" s="23">
        <v>100</v>
      </c>
      <c r="AD142" s="23">
        <v>100</v>
      </c>
      <c r="AE142" s="23">
        <v>100</v>
      </c>
      <c r="AF142" s="23" t="s">
        <v>20</v>
      </c>
      <c r="AG142" s="27" t="s">
        <v>76</v>
      </c>
      <c r="AH142" s="27" t="s">
        <v>76</v>
      </c>
    </row>
    <row r="143" spans="1:34" ht="60" x14ac:dyDescent="0.25">
      <c r="B143" s="149">
        <f t="shared" si="29"/>
        <v>141</v>
      </c>
      <c r="C143" s="26">
        <v>20200410</v>
      </c>
      <c r="D143" s="32" t="s">
        <v>3</v>
      </c>
      <c r="E143" s="26" t="s">
        <v>1075</v>
      </c>
      <c r="F143" s="47" t="s">
        <v>1366</v>
      </c>
      <c r="G143" s="26">
        <v>1411876</v>
      </c>
      <c r="H143" s="26" t="s">
        <v>1087</v>
      </c>
      <c r="I143" s="24" t="s">
        <v>193</v>
      </c>
      <c r="J143" s="154" t="s">
        <v>76</v>
      </c>
      <c r="K143" s="24" t="s">
        <v>1175</v>
      </c>
      <c r="L143" s="27" t="s">
        <v>76</v>
      </c>
      <c r="M143" s="27" t="s">
        <v>1173</v>
      </c>
      <c r="N143" s="26" t="s">
        <v>1138</v>
      </c>
      <c r="O143" s="24" t="s">
        <v>84</v>
      </c>
      <c r="P143" s="24"/>
      <c r="Q143" s="24"/>
      <c r="R143" s="24">
        <v>251</v>
      </c>
      <c r="S143" s="24">
        <f t="shared" si="27"/>
        <v>251</v>
      </c>
      <c r="T143" s="24">
        <f>S143</f>
        <v>251</v>
      </c>
      <c r="U143" s="24">
        <f>ROUNDDOWN(S143/HLOOKUP(D143,Table!$C$3:$D$4,2,0)*8,2)</f>
        <v>4.46</v>
      </c>
      <c r="V143" s="24">
        <v>6</v>
      </c>
      <c r="W143" s="24" t="s">
        <v>18</v>
      </c>
      <c r="X143" s="28">
        <v>43934</v>
      </c>
      <c r="Y143" s="28">
        <v>43945</v>
      </c>
      <c r="Z143" s="28">
        <v>43935</v>
      </c>
      <c r="AA143" s="28">
        <v>43936</v>
      </c>
      <c r="AB143" s="31" t="s">
        <v>157</v>
      </c>
      <c r="AC143" s="24">
        <v>100</v>
      </c>
      <c r="AD143" s="24">
        <v>97</v>
      </c>
      <c r="AE143" s="24">
        <v>60</v>
      </c>
      <c r="AF143" s="24" t="s">
        <v>792</v>
      </c>
      <c r="AG143" s="75" t="s">
        <v>1282</v>
      </c>
      <c r="AH143" s="27" t="s">
        <v>76</v>
      </c>
    </row>
    <row r="144" spans="1:34" x14ac:dyDescent="0.25">
      <c r="B144" s="149">
        <f t="shared" si="29"/>
        <v>142</v>
      </c>
      <c r="C144" s="26">
        <v>20200410</v>
      </c>
      <c r="D144" s="32" t="s">
        <v>3</v>
      </c>
      <c r="E144" s="26" t="s">
        <v>1075</v>
      </c>
      <c r="F144" s="47" t="s">
        <v>1366</v>
      </c>
      <c r="G144" s="26">
        <v>1411876</v>
      </c>
      <c r="H144" s="26" t="s">
        <v>1088</v>
      </c>
      <c r="I144" s="24" t="s">
        <v>193</v>
      </c>
      <c r="J144" s="154" t="s">
        <v>76</v>
      </c>
      <c r="K144" s="24" t="s">
        <v>1175</v>
      </c>
      <c r="L144" s="27" t="s">
        <v>76</v>
      </c>
      <c r="M144" s="27" t="s">
        <v>1173</v>
      </c>
      <c r="N144" s="26" t="s">
        <v>1139</v>
      </c>
      <c r="O144" s="24" t="s">
        <v>84</v>
      </c>
      <c r="P144" s="24"/>
      <c r="Q144" s="24"/>
      <c r="R144" s="24">
        <v>80</v>
      </c>
      <c r="S144" s="24">
        <f t="shared" si="27"/>
        <v>80</v>
      </c>
      <c r="T144" s="24">
        <f t="shared" ref="T144:T149" si="30">S144</f>
        <v>80</v>
      </c>
      <c r="U144" s="24">
        <f>ROUNDDOWN(S144/HLOOKUP(D144,Table!$C$3:$D$4,2,0)*8,2)</f>
        <v>1.42</v>
      </c>
      <c r="V144" s="24">
        <v>1</v>
      </c>
      <c r="W144" s="24" t="s">
        <v>18</v>
      </c>
      <c r="X144" s="28">
        <v>43934</v>
      </c>
      <c r="Y144" s="28">
        <v>43945</v>
      </c>
      <c r="Z144" s="28">
        <v>43935</v>
      </c>
      <c r="AA144" s="28">
        <v>43935</v>
      </c>
      <c r="AB144" s="31" t="s">
        <v>158</v>
      </c>
      <c r="AC144" s="23">
        <v>100</v>
      </c>
      <c r="AD144" s="23">
        <v>100</v>
      </c>
      <c r="AE144" s="23">
        <v>100</v>
      </c>
      <c r="AF144" s="23" t="s">
        <v>20</v>
      </c>
      <c r="AG144" s="27" t="s">
        <v>76</v>
      </c>
      <c r="AH144" s="27" t="s">
        <v>76</v>
      </c>
    </row>
    <row r="145" spans="2:34" x14ac:dyDescent="0.25">
      <c r="B145" s="149">
        <f t="shared" si="29"/>
        <v>143</v>
      </c>
      <c r="C145" s="26">
        <v>20200410</v>
      </c>
      <c r="D145" s="32" t="s">
        <v>3</v>
      </c>
      <c r="E145" s="26" t="s">
        <v>1075</v>
      </c>
      <c r="F145" s="47" t="s">
        <v>1366</v>
      </c>
      <c r="G145" s="26">
        <v>1411876</v>
      </c>
      <c r="H145" s="26" t="s">
        <v>1089</v>
      </c>
      <c r="I145" s="24" t="s">
        <v>193</v>
      </c>
      <c r="J145" s="154" t="s">
        <v>76</v>
      </c>
      <c r="K145" s="24" t="s">
        <v>1175</v>
      </c>
      <c r="L145" s="27" t="s">
        <v>76</v>
      </c>
      <c r="M145" s="27" t="s">
        <v>1173</v>
      </c>
      <c r="N145" s="26" t="s">
        <v>1140</v>
      </c>
      <c r="O145" s="24" t="s">
        <v>84</v>
      </c>
      <c r="P145" s="24"/>
      <c r="Q145" s="24"/>
      <c r="R145" s="24">
        <v>67</v>
      </c>
      <c r="S145" s="24">
        <f t="shared" si="27"/>
        <v>67</v>
      </c>
      <c r="T145" s="24">
        <f t="shared" si="30"/>
        <v>67</v>
      </c>
      <c r="U145" s="24">
        <f>ROUNDDOWN(S145/HLOOKUP(D145,Table!$C$3:$D$4,2,0)*8,2)</f>
        <v>1.19</v>
      </c>
      <c r="V145" s="24">
        <v>1</v>
      </c>
      <c r="W145" s="24" t="s">
        <v>18</v>
      </c>
      <c r="X145" s="28">
        <v>43934</v>
      </c>
      <c r="Y145" s="28">
        <v>43945</v>
      </c>
      <c r="Z145" s="28">
        <v>43935</v>
      </c>
      <c r="AA145" s="28">
        <v>43935</v>
      </c>
      <c r="AB145" s="31" t="s">
        <v>158</v>
      </c>
      <c r="AC145" s="23">
        <v>100</v>
      </c>
      <c r="AD145" s="23">
        <v>100</v>
      </c>
      <c r="AE145" s="23">
        <v>100</v>
      </c>
      <c r="AF145" s="23" t="s">
        <v>20</v>
      </c>
      <c r="AG145" s="27" t="s">
        <v>76</v>
      </c>
      <c r="AH145" s="27" t="s">
        <v>76</v>
      </c>
    </row>
    <row r="146" spans="2:34" x14ac:dyDescent="0.25">
      <c r="B146" s="149">
        <f t="shared" si="29"/>
        <v>144</v>
      </c>
      <c r="C146" s="26">
        <v>20200410</v>
      </c>
      <c r="D146" s="32" t="s">
        <v>3</v>
      </c>
      <c r="E146" s="26" t="s">
        <v>1075</v>
      </c>
      <c r="F146" s="47" t="s">
        <v>1366</v>
      </c>
      <c r="G146" s="26">
        <v>1411876</v>
      </c>
      <c r="H146" s="26" t="s">
        <v>1090</v>
      </c>
      <c r="I146" s="24" t="s">
        <v>193</v>
      </c>
      <c r="J146" s="154" t="s">
        <v>76</v>
      </c>
      <c r="K146" s="24" t="s">
        <v>1175</v>
      </c>
      <c r="L146" s="27" t="s">
        <v>76</v>
      </c>
      <c r="M146" s="27" t="s">
        <v>1173</v>
      </c>
      <c r="N146" s="26" t="s">
        <v>1141</v>
      </c>
      <c r="O146" s="24" t="s">
        <v>84</v>
      </c>
      <c r="P146" s="24"/>
      <c r="Q146" s="24"/>
      <c r="R146" s="24">
        <v>33</v>
      </c>
      <c r="S146" s="24">
        <f t="shared" si="27"/>
        <v>33</v>
      </c>
      <c r="T146" s="24">
        <f t="shared" si="30"/>
        <v>33</v>
      </c>
      <c r="U146" s="24">
        <f>ROUNDDOWN(S146/HLOOKUP(D146,Table!$C$3:$D$4,2,0)*8,2)</f>
        <v>0.57999999999999996</v>
      </c>
      <c r="V146" s="24">
        <v>0.5</v>
      </c>
      <c r="W146" s="24" t="s">
        <v>18</v>
      </c>
      <c r="X146" s="28">
        <v>43934</v>
      </c>
      <c r="Y146" s="28">
        <v>43945</v>
      </c>
      <c r="Z146" s="28">
        <v>43935</v>
      </c>
      <c r="AA146" s="28">
        <v>43935</v>
      </c>
      <c r="AB146" s="31" t="s">
        <v>158</v>
      </c>
      <c r="AC146" s="23">
        <v>100</v>
      </c>
      <c r="AD146" s="23">
        <v>100</v>
      </c>
      <c r="AE146" s="23">
        <v>100</v>
      </c>
      <c r="AF146" s="23" t="s">
        <v>20</v>
      </c>
      <c r="AG146" s="27" t="s">
        <v>76</v>
      </c>
      <c r="AH146" s="27" t="s">
        <v>76</v>
      </c>
    </row>
    <row r="147" spans="2:34" x14ac:dyDescent="0.25">
      <c r="B147" s="149">
        <f t="shared" si="29"/>
        <v>145</v>
      </c>
      <c r="C147" s="26">
        <v>20200410</v>
      </c>
      <c r="D147" s="32" t="s">
        <v>3</v>
      </c>
      <c r="E147" s="26" t="s">
        <v>1075</v>
      </c>
      <c r="F147" s="47" t="s">
        <v>1366</v>
      </c>
      <c r="G147" s="26">
        <v>1411876</v>
      </c>
      <c r="H147" s="26" t="s">
        <v>139</v>
      </c>
      <c r="I147" s="24" t="s">
        <v>193</v>
      </c>
      <c r="J147" s="154" t="s">
        <v>76</v>
      </c>
      <c r="K147" s="24" t="s">
        <v>1175</v>
      </c>
      <c r="L147" s="27" t="s">
        <v>76</v>
      </c>
      <c r="M147" s="27" t="s">
        <v>1173</v>
      </c>
      <c r="N147" s="26" t="s">
        <v>1142</v>
      </c>
      <c r="O147" s="24" t="s">
        <v>84</v>
      </c>
      <c r="P147" s="24"/>
      <c r="Q147" s="24"/>
      <c r="R147" s="24">
        <v>23</v>
      </c>
      <c r="S147" s="24">
        <f t="shared" si="27"/>
        <v>23</v>
      </c>
      <c r="T147" s="24">
        <f t="shared" si="30"/>
        <v>23</v>
      </c>
      <c r="U147" s="24">
        <f>ROUNDDOWN(S147/HLOOKUP(D147,Table!$C$3:$D$4,2,0)*8,2)</f>
        <v>0.4</v>
      </c>
      <c r="V147" s="24">
        <v>0.2</v>
      </c>
      <c r="W147" s="24" t="s">
        <v>18</v>
      </c>
      <c r="X147" s="28">
        <v>43934</v>
      </c>
      <c r="Y147" s="28">
        <v>43945</v>
      </c>
      <c r="Z147" s="28">
        <v>43935</v>
      </c>
      <c r="AA147" s="28">
        <v>43935</v>
      </c>
      <c r="AB147" s="31" t="s">
        <v>158</v>
      </c>
      <c r="AC147" s="23">
        <v>100</v>
      </c>
      <c r="AD147" s="23">
        <v>100</v>
      </c>
      <c r="AE147" s="23">
        <v>100</v>
      </c>
      <c r="AF147" s="23" t="s">
        <v>20</v>
      </c>
      <c r="AG147" s="27" t="s">
        <v>76</v>
      </c>
      <c r="AH147" s="27" t="s">
        <v>76</v>
      </c>
    </row>
    <row r="148" spans="2:34" x14ac:dyDescent="0.25">
      <c r="B148" s="149">
        <f t="shared" si="29"/>
        <v>146</v>
      </c>
      <c r="C148" s="26">
        <v>20200410</v>
      </c>
      <c r="D148" s="32" t="s">
        <v>3</v>
      </c>
      <c r="E148" s="26" t="s">
        <v>1075</v>
      </c>
      <c r="F148" s="47" t="s">
        <v>1366</v>
      </c>
      <c r="G148" s="26">
        <v>1411876</v>
      </c>
      <c r="H148" s="26" t="s">
        <v>141</v>
      </c>
      <c r="I148" s="24" t="s">
        <v>193</v>
      </c>
      <c r="J148" s="154" t="s">
        <v>76</v>
      </c>
      <c r="K148" s="24" t="s">
        <v>1175</v>
      </c>
      <c r="L148" s="27" t="s">
        <v>76</v>
      </c>
      <c r="M148" s="27" t="s">
        <v>1173</v>
      </c>
      <c r="N148" s="26" t="s">
        <v>1143</v>
      </c>
      <c r="O148" s="24" t="s">
        <v>84</v>
      </c>
      <c r="P148" s="24"/>
      <c r="Q148" s="24"/>
      <c r="R148" s="24">
        <v>124</v>
      </c>
      <c r="S148" s="24">
        <f t="shared" si="27"/>
        <v>124</v>
      </c>
      <c r="T148" s="24">
        <f t="shared" si="30"/>
        <v>124</v>
      </c>
      <c r="U148" s="24">
        <f>ROUNDDOWN(S148/HLOOKUP(D148,Table!$C$3:$D$4,2,0)*8,2)</f>
        <v>2.2000000000000002</v>
      </c>
      <c r="V148" s="24">
        <v>0.5</v>
      </c>
      <c r="W148" s="24" t="s">
        <v>18</v>
      </c>
      <c r="X148" s="28">
        <v>43934</v>
      </c>
      <c r="Y148" s="28">
        <v>43945</v>
      </c>
      <c r="Z148" s="28">
        <v>43935</v>
      </c>
      <c r="AA148" s="28">
        <v>43935</v>
      </c>
      <c r="AB148" s="31" t="s">
        <v>158</v>
      </c>
      <c r="AC148" s="23" t="s">
        <v>76</v>
      </c>
      <c r="AD148" s="23" t="s">
        <v>76</v>
      </c>
      <c r="AE148" s="23" t="s">
        <v>76</v>
      </c>
      <c r="AF148" s="24" t="s">
        <v>20</v>
      </c>
      <c r="AG148" s="27" t="s">
        <v>1063</v>
      </c>
      <c r="AH148" s="27" t="s">
        <v>76</v>
      </c>
    </row>
    <row r="149" spans="2:34" x14ac:dyDescent="0.25">
      <c r="B149" s="149">
        <f t="shared" si="29"/>
        <v>147</v>
      </c>
      <c r="C149" s="26">
        <v>20200410</v>
      </c>
      <c r="D149" s="32" t="s">
        <v>3</v>
      </c>
      <c r="E149" s="26" t="s">
        <v>1075</v>
      </c>
      <c r="F149" s="47" t="s">
        <v>1366</v>
      </c>
      <c r="G149" s="26">
        <v>1411876</v>
      </c>
      <c r="H149" s="26" t="s">
        <v>1091</v>
      </c>
      <c r="I149" s="24" t="s">
        <v>193</v>
      </c>
      <c r="J149" s="154" t="s">
        <v>76</v>
      </c>
      <c r="K149" s="24" t="s">
        <v>1175</v>
      </c>
      <c r="L149" s="27" t="s">
        <v>76</v>
      </c>
      <c r="M149" s="27" t="s">
        <v>1173</v>
      </c>
      <c r="N149" s="26" t="s">
        <v>1144</v>
      </c>
      <c r="O149" s="24" t="s">
        <v>84</v>
      </c>
      <c r="P149" s="24"/>
      <c r="Q149" s="24"/>
      <c r="R149" s="24">
        <v>131</v>
      </c>
      <c r="S149" s="24">
        <f t="shared" si="27"/>
        <v>131</v>
      </c>
      <c r="T149" s="24">
        <f t="shared" si="30"/>
        <v>131</v>
      </c>
      <c r="U149" s="24">
        <f>ROUNDDOWN(S149/HLOOKUP(D149,Table!$C$3:$D$4,2,0)*8,2)</f>
        <v>2.3199999999999998</v>
      </c>
      <c r="V149" s="24">
        <v>2</v>
      </c>
      <c r="W149" s="24" t="s">
        <v>18</v>
      </c>
      <c r="X149" s="28">
        <v>43934</v>
      </c>
      <c r="Y149" s="28">
        <v>43945</v>
      </c>
      <c r="Z149" s="28">
        <v>43935</v>
      </c>
      <c r="AA149" s="28">
        <v>43935</v>
      </c>
      <c r="AB149" s="31" t="s">
        <v>158</v>
      </c>
      <c r="AC149" s="23">
        <v>100</v>
      </c>
      <c r="AD149" s="23">
        <v>100</v>
      </c>
      <c r="AE149" s="23">
        <v>100</v>
      </c>
      <c r="AF149" s="23" t="s">
        <v>20</v>
      </c>
      <c r="AG149" s="27" t="s">
        <v>76</v>
      </c>
      <c r="AH149" s="27" t="s">
        <v>76</v>
      </c>
    </row>
    <row r="150" spans="2:34" s="225" customFormat="1" x14ac:dyDescent="0.25">
      <c r="B150" s="172">
        <f t="shared" si="29"/>
        <v>148</v>
      </c>
      <c r="C150" s="220">
        <v>20200410</v>
      </c>
      <c r="D150" s="172" t="s">
        <v>3</v>
      </c>
      <c r="E150" s="220" t="s">
        <v>1075</v>
      </c>
      <c r="F150" s="221" t="s">
        <v>1366</v>
      </c>
      <c r="G150" s="220">
        <v>1411876</v>
      </c>
      <c r="H150" s="220" t="s">
        <v>1092</v>
      </c>
      <c r="I150" s="220" t="s">
        <v>193</v>
      </c>
      <c r="J150" s="222" t="s">
        <v>76</v>
      </c>
      <c r="K150" s="220" t="s">
        <v>1175</v>
      </c>
      <c r="L150" s="221" t="s">
        <v>76</v>
      </c>
      <c r="M150" s="221" t="s">
        <v>1173</v>
      </c>
      <c r="N150" s="220" t="s">
        <v>1145</v>
      </c>
      <c r="O150" s="220" t="s">
        <v>84</v>
      </c>
      <c r="P150" s="220"/>
      <c r="Q150" s="220"/>
      <c r="R150" s="220">
        <v>227</v>
      </c>
      <c r="S150" s="220">
        <f t="shared" si="27"/>
        <v>227</v>
      </c>
      <c r="T150" s="220">
        <f>S150</f>
        <v>227</v>
      </c>
      <c r="U150" s="220">
        <f>ROUNDDOWN(S150/HLOOKUP(D150,Table!$C$3:$D$4,2,0)*8,2)</f>
        <v>4.03</v>
      </c>
      <c r="V150" s="220">
        <v>4</v>
      </c>
      <c r="W150" s="220" t="s">
        <v>18</v>
      </c>
      <c r="X150" s="223">
        <v>43934</v>
      </c>
      <c r="Y150" s="223">
        <v>43945</v>
      </c>
      <c r="Z150" s="223">
        <v>43935</v>
      </c>
      <c r="AA150" s="223">
        <v>43936</v>
      </c>
      <c r="AB150" s="224" t="s">
        <v>158</v>
      </c>
      <c r="AC150" s="220">
        <v>100</v>
      </c>
      <c r="AD150" s="220">
        <v>100</v>
      </c>
      <c r="AE150" s="220">
        <v>100</v>
      </c>
      <c r="AF150" s="220" t="s">
        <v>20</v>
      </c>
      <c r="AG150" s="221" t="s">
        <v>1281</v>
      </c>
      <c r="AH150" s="221" t="s">
        <v>76</v>
      </c>
    </row>
    <row r="151" spans="2:34" ht="45" x14ac:dyDescent="0.25">
      <c r="B151" s="149">
        <f t="shared" si="29"/>
        <v>149</v>
      </c>
      <c r="C151" s="26">
        <v>20200410</v>
      </c>
      <c r="D151" s="32" t="s">
        <v>3</v>
      </c>
      <c r="E151" s="26" t="s">
        <v>1075</v>
      </c>
      <c r="F151" s="47" t="s">
        <v>1366</v>
      </c>
      <c r="G151" s="26">
        <v>1411876</v>
      </c>
      <c r="H151" s="26" t="s">
        <v>1093</v>
      </c>
      <c r="I151" s="24" t="s">
        <v>193</v>
      </c>
      <c r="J151" s="154" t="s">
        <v>76</v>
      </c>
      <c r="K151" s="24" t="s">
        <v>1175</v>
      </c>
      <c r="L151" s="27" t="s">
        <v>76</v>
      </c>
      <c r="M151" s="27" t="s">
        <v>1173</v>
      </c>
      <c r="N151" s="26" t="s">
        <v>1146</v>
      </c>
      <c r="O151" s="24" t="s">
        <v>84</v>
      </c>
      <c r="P151" s="24"/>
      <c r="Q151" s="24"/>
      <c r="R151" s="24">
        <v>194</v>
      </c>
      <c r="S151" s="24">
        <f t="shared" si="27"/>
        <v>194</v>
      </c>
      <c r="T151" s="24">
        <f>S151</f>
        <v>194</v>
      </c>
      <c r="U151" s="24">
        <f>ROUNDDOWN(S151/HLOOKUP(D151,Table!$C$3:$D$4,2,0)*8,2)</f>
        <v>3.44</v>
      </c>
      <c r="V151" s="24">
        <v>3</v>
      </c>
      <c r="W151" s="24" t="s">
        <v>18</v>
      </c>
      <c r="X151" s="28">
        <v>43934</v>
      </c>
      <c r="Y151" s="28">
        <v>43945</v>
      </c>
      <c r="Z151" s="28">
        <v>43936</v>
      </c>
      <c r="AA151" s="28">
        <v>43937</v>
      </c>
      <c r="AB151" s="31" t="s">
        <v>157</v>
      </c>
      <c r="AC151" s="24">
        <v>100</v>
      </c>
      <c r="AD151" s="24">
        <v>100</v>
      </c>
      <c r="AE151" s="24">
        <v>95</v>
      </c>
      <c r="AF151" s="24" t="s">
        <v>792</v>
      </c>
      <c r="AG151" s="75" t="s">
        <v>1374</v>
      </c>
      <c r="AH151" s="27" t="s">
        <v>76</v>
      </c>
    </row>
    <row r="152" spans="2:34" ht="30" x14ac:dyDescent="0.25">
      <c r="B152" s="149">
        <f t="shared" si="29"/>
        <v>150</v>
      </c>
      <c r="C152" s="26">
        <v>20200410</v>
      </c>
      <c r="D152" s="32" t="s">
        <v>3</v>
      </c>
      <c r="E152" s="26" t="s">
        <v>1075</v>
      </c>
      <c r="F152" s="47" t="s">
        <v>1366</v>
      </c>
      <c r="G152" s="26">
        <v>1411876</v>
      </c>
      <c r="H152" s="26" t="s">
        <v>1094</v>
      </c>
      <c r="I152" s="24" t="s">
        <v>193</v>
      </c>
      <c r="J152" s="154" t="s">
        <v>76</v>
      </c>
      <c r="K152" s="24" t="s">
        <v>1175</v>
      </c>
      <c r="L152" s="27" t="s">
        <v>76</v>
      </c>
      <c r="M152" s="27" t="s">
        <v>1173</v>
      </c>
      <c r="N152" s="26" t="s">
        <v>1147</v>
      </c>
      <c r="O152" s="24" t="s">
        <v>84</v>
      </c>
      <c r="P152" s="24"/>
      <c r="Q152" s="24"/>
      <c r="R152" s="24">
        <v>186</v>
      </c>
      <c r="S152" s="24">
        <f t="shared" si="27"/>
        <v>186</v>
      </c>
      <c r="T152" s="24">
        <f>S152</f>
        <v>186</v>
      </c>
      <c r="U152" s="24">
        <f>ROUNDDOWN(S152/HLOOKUP(D152,Table!$C$3:$D$4,2,0)*8,2)</f>
        <v>3.3</v>
      </c>
      <c r="V152" s="24">
        <v>2</v>
      </c>
      <c r="W152" s="24" t="s">
        <v>18</v>
      </c>
      <c r="X152" s="28">
        <v>43934</v>
      </c>
      <c r="Y152" s="28">
        <v>43945</v>
      </c>
      <c r="Z152" s="28">
        <v>43937</v>
      </c>
      <c r="AA152" s="28">
        <v>43937</v>
      </c>
      <c r="AB152" s="31" t="s">
        <v>157</v>
      </c>
      <c r="AC152" s="24">
        <v>98</v>
      </c>
      <c r="AD152" s="24">
        <v>97</v>
      </c>
      <c r="AE152" s="24">
        <v>100</v>
      </c>
      <c r="AF152" s="24" t="s">
        <v>792</v>
      </c>
      <c r="AG152" s="75" t="s">
        <v>1375</v>
      </c>
      <c r="AH152" s="27" t="s">
        <v>76</v>
      </c>
    </row>
    <row r="153" spans="2:34" x14ac:dyDescent="0.25">
      <c r="B153" s="149">
        <f t="shared" si="29"/>
        <v>151</v>
      </c>
      <c r="C153" s="26">
        <v>20200410</v>
      </c>
      <c r="D153" s="32" t="s">
        <v>3</v>
      </c>
      <c r="E153" s="26" t="s">
        <v>1075</v>
      </c>
      <c r="F153" s="47" t="s">
        <v>1366</v>
      </c>
      <c r="G153" s="26">
        <v>1411876</v>
      </c>
      <c r="H153" s="26" t="s">
        <v>1095</v>
      </c>
      <c r="I153" s="24" t="s">
        <v>193</v>
      </c>
      <c r="J153" s="154" t="s">
        <v>76</v>
      </c>
      <c r="K153" s="24" t="s">
        <v>1175</v>
      </c>
      <c r="L153" s="27" t="s">
        <v>76</v>
      </c>
      <c r="M153" s="27" t="s">
        <v>1173</v>
      </c>
      <c r="N153" s="26" t="s">
        <v>1148</v>
      </c>
      <c r="O153" s="24" t="s">
        <v>84</v>
      </c>
      <c r="P153" s="24"/>
      <c r="Q153" s="24"/>
      <c r="R153" s="24">
        <v>439</v>
      </c>
      <c r="S153" s="24">
        <f t="shared" si="27"/>
        <v>439</v>
      </c>
      <c r="T153" s="24">
        <f>S153</f>
        <v>439</v>
      </c>
      <c r="U153" s="24">
        <f>ROUNDDOWN(S153/HLOOKUP(D153,Table!$C$3:$D$4,2,0)*8,2)</f>
        <v>7.8</v>
      </c>
      <c r="V153" s="24">
        <v>5</v>
      </c>
      <c r="W153" s="24" t="s">
        <v>18</v>
      </c>
      <c r="X153" s="28">
        <v>43934</v>
      </c>
      <c r="Y153" s="28">
        <v>43945</v>
      </c>
      <c r="Z153" s="28">
        <v>43937</v>
      </c>
      <c r="AA153" s="28">
        <v>43937</v>
      </c>
      <c r="AB153" s="31" t="s">
        <v>158</v>
      </c>
      <c r="AC153" s="24">
        <v>100</v>
      </c>
      <c r="AD153" s="24">
        <v>100</v>
      </c>
      <c r="AE153" s="24">
        <v>100</v>
      </c>
      <c r="AF153" s="24" t="s">
        <v>20</v>
      </c>
      <c r="AG153" s="27" t="s">
        <v>76</v>
      </c>
      <c r="AH153" s="27" t="s">
        <v>76</v>
      </c>
    </row>
    <row r="154" spans="2:34" x14ac:dyDescent="0.25">
      <c r="B154" s="149">
        <f t="shared" si="29"/>
        <v>152</v>
      </c>
      <c r="C154" s="26">
        <v>20200410</v>
      </c>
      <c r="D154" s="32" t="s">
        <v>3</v>
      </c>
      <c r="E154" s="26" t="s">
        <v>1075</v>
      </c>
      <c r="F154" s="47" t="s">
        <v>1366</v>
      </c>
      <c r="G154" s="26">
        <v>1411876</v>
      </c>
      <c r="H154" s="26" t="s">
        <v>1096</v>
      </c>
      <c r="I154" s="24" t="s">
        <v>193</v>
      </c>
      <c r="J154" s="154" t="s">
        <v>76</v>
      </c>
      <c r="K154" s="24" t="s">
        <v>1175</v>
      </c>
      <c r="L154" s="27" t="s">
        <v>76</v>
      </c>
      <c r="M154" s="27" t="s">
        <v>1173</v>
      </c>
      <c r="N154" s="26" t="s">
        <v>1149</v>
      </c>
      <c r="O154" s="24" t="s">
        <v>84</v>
      </c>
      <c r="P154" s="24"/>
      <c r="Q154" s="24"/>
      <c r="R154" s="24">
        <v>134</v>
      </c>
      <c r="S154" s="24">
        <f t="shared" si="27"/>
        <v>134</v>
      </c>
      <c r="T154" s="24">
        <f>S154</f>
        <v>134</v>
      </c>
      <c r="U154" s="24">
        <f>ROUNDDOWN(S154/HLOOKUP(D154,Table!$C$3:$D$4,2,0)*8,2)</f>
        <v>2.38</v>
      </c>
      <c r="V154" s="24">
        <v>1</v>
      </c>
      <c r="W154" s="24" t="s">
        <v>18</v>
      </c>
      <c r="X154" s="28">
        <v>43934</v>
      </c>
      <c r="Y154" s="28">
        <v>43945</v>
      </c>
      <c r="Z154" s="28">
        <v>43937</v>
      </c>
      <c r="AA154" s="28">
        <v>43937</v>
      </c>
      <c r="AB154" s="31" t="s">
        <v>158</v>
      </c>
      <c r="AC154" s="24">
        <v>100</v>
      </c>
      <c r="AD154" s="24">
        <v>100</v>
      </c>
      <c r="AE154" s="24">
        <v>100</v>
      </c>
      <c r="AF154" s="24" t="s">
        <v>20</v>
      </c>
      <c r="AG154" s="27" t="s">
        <v>76</v>
      </c>
      <c r="AH154" s="27" t="s">
        <v>76</v>
      </c>
    </row>
    <row r="155" spans="2:34" x14ac:dyDescent="0.25">
      <c r="B155" s="149">
        <f t="shared" si="29"/>
        <v>153</v>
      </c>
      <c r="C155" s="26">
        <v>20200410</v>
      </c>
      <c r="D155" s="32" t="s">
        <v>3</v>
      </c>
      <c r="E155" s="26" t="s">
        <v>1075</v>
      </c>
      <c r="F155" s="47" t="s">
        <v>1366</v>
      </c>
      <c r="G155" s="26">
        <v>1411876</v>
      </c>
      <c r="H155" s="26" t="s">
        <v>1097</v>
      </c>
      <c r="I155" s="24" t="s">
        <v>193</v>
      </c>
      <c r="J155" s="154" t="s">
        <v>76</v>
      </c>
      <c r="K155" s="24" t="s">
        <v>1175</v>
      </c>
      <c r="L155" s="27" t="s">
        <v>76</v>
      </c>
      <c r="M155" s="27" t="s">
        <v>1173</v>
      </c>
      <c r="N155" s="26" t="s">
        <v>1150</v>
      </c>
      <c r="O155" s="24" t="s">
        <v>84</v>
      </c>
      <c r="P155" s="24"/>
      <c r="Q155" s="24"/>
      <c r="R155" s="24">
        <v>237</v>
      </c>
      <c r="S155" s="24">
        <f t="shared" si="27"/>
        <v>237</v>
      </c>
      <c r="T155" s="24">
        <f>S155</f>
        <v>237</v>
      </c>
      <c r="U155" s="24">
        <f>ROUNDDOWN(S155/HLOOKUP(D155,Table!$C$3:$D$4,2,0)*8,2)</f>
        <v>4.21</v>
      </c>
      <c r="V155" s="24">
        <v>2</v>
      </c>
      <c r="W155" s="24" t="s">
        <v>18</v>
      </c>
      <c r="X155" s="28">
        <v>43934</v>
      </c>
      <c r="Y155" s="28">
        <v>43945</v>
      </c>
      <c r="Z155" s="28">
        <v>43937</v>
      </c>
      <c r="AA155" s="28">
        <v>43937</v>
      </c>
      <c r="AB155" s="31" t="s">
        <v>158</v>
      </c>
      <c r="AC155" s="24">
        <v>100</v>
      </c>
      <c r="AD155" s="24">
        <v>100</v>
      </c>
      <c r="AE155" s="24">
        <v>100</v>
      </c>
      <c r="AF155" s="24" t="s">
        <v>20</v>
      </c>
      <c r="AG155" s="27" t="s">
        <v>76</v>
      </c>
      <c r="AH155" s="27" t="s">
        <v>76</v>
      </c>
    </row>
    <row r="156" spans="2:34" x14ac:dyDescent="0.25">
      <c r="B156" s="149">
        <f t="shared" si="29"/>
        <v>154</v>
      </c>
      <c r="C156" s="26">
        <v>20200410</v>
      </c>
      <c r="D156" s="32" t="s">
        <v>3</v>
      </c>
      <c r="E156" s="26" t="s">
        <v>1075</v>
      </c>
      <c r="F156" s="192" t="s">
        <v>1177</v>
      </c>
      <c r="G156" s="26">
        <v>1411876</v>
      </c>
      <c r="H156" s="26" t="s">
        <v>1098</v>
      </c>
      <c r="I156" s="24" t="s">
        <v>193</v>
      </c>
      <c r="J156" s="154" t="s">
        <v>76</v>
      </c>
      <c r="K156" s="24" t="s">
        <v>1175</v>
      </c>
      <c r="L156" s="27" t="s">
        <v>76</v>
      </c>
      <c r="M156" s="27" t="s">
        <v>1173</v>
      </c>
      <c r="N156" s="26" t="s">
        <v>1151</v>
      </c>
      <c r="O156" s="24" t="s">
        <v>85</v>
      </c>
      <c r="P156" s="24"/>
      <c r="Q156" s="24"/>
      <c r="R156" s="24">
        <v>155</v>
      </c>
      <c r="S156" s="24">
        <f t="shared" si="27"/>
        <v>155</v>
      </c>
      <c r="T156" s="24">
        <f>S156</f>
        <v>155</v>
      </c>
      <c r="U156" s="24">
        <f>ROUNDDOWN(S156/HLOOKUP(D156,Table!$C$3:$D$4,2,0)*8,2)</f>
        <v>2.75</v>
      </c>
      <c r="V156" s="24">
        <v>2</v>
      </c>
      <c r="W156" s="24" t="s">
        <v>18</v>
      </c>
      <c r="X156" s="28">
        <v>43934</v>
      </c>
      <c r="Y156" s="28">
        <v>43945</v>
      </c>
      <c r="Z156" s="28">
        <v>43934</v>
      </c>
      <c r="AA156" s="28">
        <v>43934</v>
      </c>
      <c r="AB156" s="31" t="s">
        <v>157</v>
      </c>
      <c r="AC156" s="24">
        <v>100</v>
      </c>
      <c r="AD156" s="24">
        <v>100</v>
      </c>
      <c r="AE156" s="24">
        <v>85</v>
      </c>
      <c r="AF156" s="24" t="s">
        <v>792</v>
      </c>
      <c r="AG156" s="27" t="s">
        <v>76</v>
      </c>
      <c r="AH156" s="27" t="s">
        <v>76</v>
      </c>
    </row>
    <row r="157" spans="2:34" x14ac:dyDescent="0.25">
      <c r="B157" s="149">
        <f t="shared" si="29"/>
        <v>155</v>
      </c>
      <c r="C157" s="26">
        <v>20200410</v>
      </c>
      <c r="D157" s="32" t="s">
        <v>3</v>
      </c>
      <c r="E157" s="26" t="s">
        <v>1075</v>
      </c>
      <c r="F157" s="47" t="s">
        <v>1366</v>
      </c>
      <c r="G157" s="26">
        <v>1411876</v>
      </c>
      <c r="H157" s="26" t="s">
        <v>1099</v>
      </c>
      <c r="I157" s="24" t="s">
        <v>193</v>
      </c>
      <c r="J157" s="154" t="s">
        <v>76</v>
      </c>
      <c r="K157" s="24" t="s">
        <v>1175</v>
      </c>
      <c r="L157" s="27" t="s">
        <v>76</v>
      </c>
      <c r="M157" s="27" t="s">
        <v>1173</v>
      </c>
      <c r="N157" s="26" t="s">
        <v>1152</v>
      </c>
      <c r="O157" s="24" t="s">
        <v>82</v>
      </c>
      <c r="P157" s="24"/>
      <c r="Q157" s="24"/>
      <c r="R157" s="24">
        <v>261</v>
      </c>
      <c r="S157" s="24">
        <f t="shared" si="27"/>
        <v>261</v>
      </c>
      <c r="T157" s="24">
        <f>S157</f>
        <v>261</v>
      </c>
      <c r="U157" s="24">
        <f>ROUNDDOWN(S157/HLOOKUP(D157,Table!$C$3:$D$4,2,0)*8,2)</f>
        <v>4.6399999999999997</v>
      </c>
      <c r="V157" s="24">
        <v>4.5</v>
      </c>
      <c r="W157" s="24" t="s">
        <v>18</v>
      </c>
      <c r="X157" s="28">
        <v>43934</v>
      </c>
      <c r="Y157" s="28">
        <v>43945</v>
      </c>
      <c r="Z157" s="28">
        <v>43936</v>
      </c>
      <c r="AA157" s="28">
        <v>43936</v>
      </c>
      <c r="AB157" s="160" t="s">
        <v>158</v>
      </c>
      <c r="AC157" s="23">
        <v>100</v>
      </c>
      <c r="AD157" s="23">
        <v>100</v>
      </c>
      <c r="AE157" s="23">
        <v>100</v>
      </c>
      <c r="AF157" s="23" t="s">
        <v>20</v>
      </c>
      <c r="AG157" s="27" t="s">
        <v>76</v>
      </c>
      <c r="AH157" s="27" t="s">
        <v>1373</v>
      </c>
    </row>
    <row r="158" spans="2:34" x14ac:dyDescent="0.25">
      <c r="B158" s="149">
        <f t="shared" si="29"/>
        <v>156</v>
      </c>
      <c r="C158" s="26">
        <v>20200410</v>
      </c>
      <c r="D158" s="32" t="s">
        <v>3</v>
      </c>
      <c r="E158" s="26" t="s">
        <v>1075</v>
      </c>
      <c r="F158" s="47" t="s">
        <v>1366</v>
      </c>
      <c r="G158" s="26">
        <v>1411876</v>
      </c>
      <c r="H158" s="26" t="s">
        <v>1100</v>
      </c>
      <c r="I158" s="24" t="s">
        <v>193</v>
      </c>
      <c r="J158" s="154" t="s">
        <v>76</v>
      </c>
      <c r="K158" s="24" t="s">
        <v>1175</v>
      </c>
      <c r="L158" s="27" t="s">
        <v>76</v>
      </c>
      <c r="M158" s="27" t="s">
        <v>1173</v>
      </c>
      <c r="N158" s="26" t="s">
        <v>1153</v>
      </c>
      <c r="O158" s="24" t="s">
        <v>82</v>
      </c>
      <c r="P158" s="24"/>
      <c r="Q158" s="24"/>
      <c r="R158" s="24">
        <v>172</v>
      </c>
      <c r="S158" s="24">
        <f t="shared" si="27"/>
        <v>172</v>
      </c>
      <c r="T158" s="24">
        <f t="shared" ref="T158:T164" si="31">S158</f>
        <v>172</v>
      </c>
      <c r="U158" s="24">
        <f>ROUNDDOWN(S158/HLOOKUP(D158,Table!$C$3:$D$4,2,0)*8,2)</f>
        <v>3.05</v>
      </c>
      <c r="V158" s="24">
        <v>0.5</v>
      </c>
      <c r="W158" s="24" t="s">
        <v>18</v>
      </c>
      <c r="X158" s="28">
        <v>43934</v>
      </c>
      <c r="Y158" s="28">
        <v>43945</v>
      </c>
      <c r="Z158" s="28">
        <v>43936</v>
      </c>
      <c r="AA158" s="28">
        <v>43936</v>
      </c>
      <c r="AB158" s="27" t="s">
        <v>76</v>
      </c>
      <c r="AC158" s="27" t="s">
        <v>76</v>
      </c>
      <c r="AD158" s="27" t="s">
        <v>76</v>
      </c>
      <c r="AE158" s="27" t="s">
        <v>76</v>
      </c>
      <c r="AF158" s="23" t="s">
        <v>20</v>
      </c>
      <c r="AG158" s="27" t="s">
        <v>76</v>
      </c>
      <c r="AH158" s="27" t="s">
        <v>1283</v>
      </c>
    </row>
    <row r="159" spans="2:34" x14ac:dyDescent="0.25">
      <c r="B159" s="149">
        <f t="shared" si="29"/>
        <v>157</v>
      </c>
      <c r="C159" s="26">
        <v>20200410</v>
      </c>
      <c r="D159" s="32" t="s">
        <v>3</v>
      </c>
      <c r="E159" s="26" t="s">
        <v>1075</v>
      </c>
      <c r="F159" s="47" t="s">
        <v>1366</v>
      </c>
      <c r="G159" s="26">
        <v>1411876</v>
      </c>
      <c r="H159" s="26" t="s">
        <v>1101</v>
      </c>
      <c r="I159" s="24" t="s">
        <v>193</v>
      </c>
      <c r="J159" s="154" t="s">
        <v>76</v>
      </c>
      <c r="K159" s="24" t="s">
        <v>1175</v>
      </c>
      <c r="L159" s="27" t="s">
        <v>76</v>
      </c>
      <c r="M159" s="27" t="s">
        <v>1173</v>
      </c>
      <c r="N159" s="26" t="s">
        <v>1154</v>
      </c>
      <c r="O159" s="24" t="s">
        <v>82</v>
      </c>
      <c r="P159" s="24"/>
      <c r="Q159" s="24"/>
      <c r="R159" s="24">
        <v>91</v>
      </c>
      <c r="S159" s="24">
        <f t="shared" si="27"/>
        <v>91</v>
      </c>
      <c r="T159" s="24">
        <f t="shared" si="31"/>
        <v>91</v>
      </c>
      <c r="U159" s="24">
        <f>ROUNDDOWN(S159/HLOOKUP(D159,Table!$C$3:$D$4,2,0)*8,2)</f>
        <v>1.61</v>
      </c>
      <c r="V159" s="24">
        <v>1.5</v>
      </c>
      <c r="W159" s="24" t="s">
        <v>18</v>
      </c>
      <c r="X159" s="28">
        <v>43934</v>
      </c>
      <c r="Y159" s="28">
        <v>43945</v>
      </c>
      <c r="Z159" s="28">
        <v>43937</v>
      </c>
      <c r="AA159" s="28">
        <v>43937</v>
      </c>
      <c r="AB159" s="160" t="s">
        <v>158</v>
      </c>
      <c r="AC159" s="23">
        <v>100</v>
      </c>
      <c r="AD159" s="23">
        <v>100</v>
      </c>
      <c r="AE159" s="23">
        <v>100</v>
      </c>
      <c r="AF159" s="23" t="s">
        <v>20</v>
      </c>
      <c r="AG159" s="27" t="s">
        <v>76</v>
      </c>
      <c r="AH159" s="27" t="s">
        <v>1373</v>
      </c>
    </row>
    <row r="160" spans="2:34" x14ac:dyDescent="0.25">
      <c r="B160" s="149">
        <f t="shared" si="29"/>
        <v>158</v>
      </c>
      <c r="C160" s="26">
        <v>20200410</v>
      </c>
      <c r="D160" s="32" t="s">
        <v>3</v>
      </c>
      <c r="E160" s="26" t="s">
        <v>1075</v>
      </c>
      <c r="F160" s="47" t="s">
        <v>1366</v>
      </c>
      <c r="G160" s="26">
        <v>1411876</v>
      </c>
      <c r="H160" s="26" t="s">
        <v>1102</v>
      </c>
      <c r="I160" s="24" t="s">
        <v>193</v>
      </c>
      <c r="J160" s="154" t="s">
        <v>76</v>
      </c>
      <c r="K160" s="24" t="s">
        <v>1175</v>
      </c>
      <c r="L160" s="27" t="s">
        <v>76</v>
      </c>
      <c r="M160" s="27" t="s">
        <v>1173</v>
      </c>
      <c r="N160" s="26" t="s">
        <v>1155</v>
      </c>
      <c r="O160" s="24" t="s">
        <v>82</v>
      </c>
      <c r="P160" s="24"/>
      <c r="Q160" s="24"/>
      <c r="R160" s="24">
        <v>145</v>
      </c>
      <c r="S160" s="24">
        <f t="shared" si="27"/>
        <v>145</v>
      </c>
      <c r="T160" s="24">
        <f t="shared" si="31"/>
        <v>145</v>
      </c>
      <c r="U160" s="24">
        <f>ROUNDDOWN(S160/HLOOKUP(D160,Table!$C$3:$D$4,2,0)*8,2)</f>
        <v>2.57</v>
      </c>
      <c r="V160" s="24">
        <v>2.5</v>
      </c>
      <c r="W160" s="24" t="s">
        <v>18</v>
      </c>
      <c r="X160" s="28">
        <v>43934</v>
      </c>
      <c r="Y160" s="28">
        <v>43945</v>
      </c>
      <c r="Z160" s="28">
        <v>43937</v>
      </c>
      <c r="AA160" s="28">
        <v>43937</v>
      </c>
      <c r="AB160" s="31"/>
      <c r="AC160" s="24"/>
      <c r="AD160" s="24"/>
      <c r="AE160" s="24"/>
      <c r="AF160" s="24"/>
      <c r="AG160" s="27" t="s">
        <v>76</v>
      </c>
      <c r="AH160" s="27" t="s">
        <v>1373</v>
      </c>
    </row>
    <row r="161" spans="2:34" x14ac:dyDescent="0.25">
      <c r="B161" s="149">
        <f t="shared" si="29"/>
        <v>159</v>
      </c>
      <c r="C161" s="26">
        <v>20200410</v>
      </c>
      <c r="D161" s="32" t="s">
        <v>3</v>
      </c>
      <c r="E161" s="26" t="s">
        <v>1075</v>
      </c>
      <c r="F161" s="47" t="s">
        <v>1366</v>
      </c>
      <c r="G161" s="26">
        <v>1411876</v>
      </c>
      <c r="H161" s="26" t="s">
        <v>1103</v>
      </c>
      <c r="I161" s="24" t="s">
        <v>193</v>
      </c>
      <c r="J161" s="154" t="s">
        <v>76</v>
      </c>
      <c r="K161" s="24" t="s">
        <v>1175</v>
      </c>
      <c r="L161" s="27" t="s">
        <v>76</v>
      </c>
      <c r="M161" s="27" t="s">
        <v>1173</v>
      </c>
      <c r="N161" s="26" t="s">
        <v>1156</v>
      </c>
      <c r="O161" s="24" t="s">
        <v>82</v>
      </c>
      <c r="P161" s="24"/>
      <c r="Q161" s="24"/>
      <c r="R161" s="24">
        <v>169</v>
      </c>
      <c r="S161" s="24">
        <f t="shared" si="27"/>
        <v>169</v>
      </c>
      <c r="T161" s="24">
        <f t="shared" si="31"/>
        <v>169</v>
      </c>
      <c r="U161" s="24">
        <f>ROUNDDOWN(S161/HLOOKUP(D161,Table!$C$3:$D$4,2,0)*8,2)</f>
        <v>3</v>
      </c>
      <c r="V161" s="24">
        <v>3</v>
      </c>
      <c r="W161" s="24" t="s">
        <v>18</v>
      </c>
      <c r="X161" s="28">
        <v>43934</v>
      </c>
      <c r="Y161" s="28">
        <v>43945</v>
      </c>
      <c r="Z161" s="28">
        <v>43937</v>
      </c>
      <c r="AA161" s="28">
        <v>43937</v>
      </c>
      <c r="AB161" s="160" t="s">
        <v>158</v>
      </c>
      <c r="AC161" s="23">
        <v>100</v>
      </c>
      <c r="AD161" s="23">
        <v>100</v>
      </c>
      <c r="AE161" s="23">
        <v>100</v>
      </c>
      <c r="AF161" s="23" t="s">
        <v>20</v>
      </c>
      <c r="AG161" s="27" t="s">
        <v>76</v>
      </c>
      <c r="AH161" s="27" t="s">
        <v>1373</v>
      </c>
    </row>
    <row r="162" spans="2:34" x14ac:dyDescent="0.25">
      <c r="B162" s="149">
        <f t="shared" si="29"/>
        <v>160</v>
      </c>
      <c r="C162" s="26">
        <v>20200410</v>
      </c>
      <c r="D162" s="32" t="s">
        <v>3</v>
      </c>
      <c r="E162" s="26" t="s">
        <v>1075</v>
      </c>
      <c r="F162" s="47" t="s">
        <v>1366</v>
      </c>
      <c r="G162" s="26">
        <v>1411876</v>
      </c>
      <c r="H162" s="26" t="s">
        <v>1104</v>
      </c>
      <c r="I162" s="24" t="s">
        <v>193</v>
      </c>
      <c r="J162" s="154" t="s">
        <v>76</v>
      </c>
      <c r="K162" s="24" t="s">
        <v>1175</v>
      </c>
      <c r="L162" s="27" t="s">
        <v>76</v>
      </c>
      <c r="M162" s="27" t="s">
        <v>1173</v>
      </c>
      <c r="N162" s="26" t="s">
        <v>1157</v>
      </c>
      <c r="O162" s="24" t="s">
        <v>82</v>
      </c>
      <c r="P162" s="24"/>
      <c r="Q162" s="24"/>
      <c r="R162" s="24">
        <v>335</v>
      </c>
      <c r="S162" s="24">
        <f t="shared" si="27"/>
        <v>335</v>
      </c>
      <c r="T162" s="24">
        <f t="shared" si="31"/>
        <v>335</v>
      </c>
      <c r="U162" s="24">
        <f>ROUNDDOWN(S162/HLOOKUP(D162,Table!$C$3:$D$4,2,0)*8,2)</f>
        <v>5.95</v>
      </c>
      <c r="V162" s="24">
        <v>4</v>
      </c>
      <c r="W162" s="24" t="s">
        <v>18</v>
      </c>
      <c r="X162" s="28">
        <v>43934</v>
      </c>
      <c r="Y162" s="28">
        <v>43945</v>
      </c>
      <c r="Z162" s="28">
        <v>43937</v>
      </c>
      <c r="AA162" s="28">
        <v>43937</v>
      </c>
      <c r="AB162" s="160" t="s">
        <v>158</v>
      </c>
      <c r="AC162" s="23">
        <v>100</v>
      </c>
      <c r="AD162" s="23">
        <v>100</v>
      </c>
      <c r="AE162" s="23">
        <v>100</v>
      </c>
      <c r="AF162" s="23" t="s">
        <v>20</v>
      </c>
      <c r="AG162" s="27" t="s">
        <v>76</v>
      </c>
      <c r="AH162" s="27" t="s">
        <v>1373</v>
      </c>
    </row>
    <row r="163" spans="2:34" x14ac:dyDescent="0.25">
      <c r="B163" s="149">
        <f t="shared" si="29"/>
        <v>161</v>
      </c>
      <c r="C163" s="26">
        <v>20200410</v>
      </c>
      <c r="D163" s="32" t="s">
        <v>3</v>
      </c>
      <c r="E163" s="26" t="s">
        <v>1075</v>
      </c>
      <c r="F163" s="47" t="s">
        <v>1366</v>
      </c>
      <c r="G163" s="26">
        <v>1411876</v>
      </c>
      <c r="H163" s="26" t="s">
        <v>1105</v>
      </c>
      <c r="I163" s="24" t="s">
        <v>193</v>
      </c>
      <c r="J163" s="154" t="s">
        <v>76</v>
      </c>
      <c r="K163" s="24" t="s">
        <v>1175</v>
      </c>
      <c r="L163" s="27" t="s">
        <v>76</v>
      </c>
      <c r="M163" s="27" t="s">
        <v>1173</v>
      </c>
      <c r="N163" s="26" t="s">
        <v>1158</v>
      </c>
      <c r="O163" s="24" t="s">
        <v>82</v>
      </c>
      <c r="P163" s="24"/>
      <c r="Q163" s="24"/>
      <c r="R163" s="24">
        <v>675</v>
      </c>
      <c r="S163" s="24">
        <f t="shared" si="27"/>
        <v>675</v>
      </c>
      <c r="T163" s="24">
        <f t="shared" si="31"/>
        <v>675</v>
      </c>
      <c r="U163" s="24">
        <f>ROUNDDOWN(S163/HLOOKUP(D163,Table!$C$3:$D$4,2,0)*8,2)</f>
        <v>12</v>
      </c>
      <c r="V163" s="24">
        <v>4</v>
      </c>
      <c r="W163" s="24" t="s">
        <v>18</v>
      </c>
      <c r="X163" s="28">
        <v>43934</v>
      </c>
      <c r="Y163" s="28">
        <v>43945</v>
      </c>
      <c r="Z163" s="28">
        <v>43937</v>
      </c>
      <c r="AA163" s="28">
        <v>43937</v>
      </c>
      <c r="AB163" s="31"/>
      <c r="AC163" s="24"/>
      <c r="AD163" s="24"/>
      <c r="AE163" s="24"/>
      <c r="AF163" s="24"/>
      <c r="AG163" s="27" t="s">
        <v>76</v>
      </c>
      <c r="AH163" s="27" t="s">
        <v>1373</v>
      </c>
    </row>
    <row r="164" spans="2:34" x14ac:dyDescent="0.25">
      <c r="B164" s="149">
        <f t="shared" si="29"/>
        <v>162</v>
      </c>
      <c r="C164" s="26">
        <v>20200410</v>
      </c>
      <c r="D164" s="32" t="s">
        <v>3</v>
      </c>
      <c r="E164" s="26" t="s">
        <v>1075</v>
      </c>
      <c r="F164" s="47" t="s">
        <v>1366</v>
      </c>
      <c r="G164" s="26">
        <v>1411876</v>
      </c>
      <c r="H164" s="26" t="s">
        <v>1106</v>
      </c>
      <c r="I164" s="24" t="s">
        <v>193</v>
      </c>
      <c r="J164" s="154" t="s">
        <v>76</v>
      </c>
      <c r="K164" s="24" t="s">
        <v>1175</v>
      </c>
      <c r="L164" s="27" t="s">
        <v>76</v>
      </c>
      <c r="M164" s="27" t="s">
        <v>1173</v>
      </c>
      <c r="N164" s="26" t="s">
        <v>1159</v>
      </c>
      <c r="O164" s="24" t="s">
        <v>82</v>
      </c>
      <c r="P164" s="24"/>
      <c r="Q164" s="24"/>
      <c r="R164" s="24">
        <v>759</v>
      </c>
      <c r="S164" s="24">
        <f t="shared" si="27"/>
        <v>759</v>
      </c>
      <c r="T164" s="24">
        <f t="shared" si="31"/>
        <v>759</v>
      </c>
      <c r="U164" s="24">
        <f>ROUNDDOWN(S164/HLOOKUP(D164,Table!$C$3:$D$4,2,0)*8,2)</f>
        <v>13.49</v>
      </c>
      <c r="V164" s="24"/>
      <c r="W164" s="24"/>
      <c r="X164" s="28">
        <v>43934</v>
      </c>
      <c r="Y164" s="28">
        <v>43945</v>
      </c>
      <c r="Z164" s="28"/>
      <c r="AA164" s="28"/>
      <c r="AB164" s="31"/>
      <c r="AC164" s="24"/>
      <c r="AD164" s="24"/>
      <c r="AE164" s="24"/>
      <c r="AF164" s="24"/>
      <c r="AG164" s="27" t="s">
        <v>76</v>
      </c>
      <c r="AH164" s="27" t="s">
        <v>1373</v>
      </c>
    </row>
    <row r="165" spans="2:34" x14ac:dyDescent="0.25">
      <c r="B165" s="149">
        <f t="shared" si="29"/>
        <v>163</v>
      </c>
      <c r="C165" s="26">
        <v>20200410</v>
      </c>
      <c r="D165" s="32" t="s">
        <v>3</v>
      </c>
      <c r="E165" s="26" t="s">
        <v>1075</v>
      </c>
      <c r="F165" s="47" t="s">
        <v>1366</v>
      </c>
      <c r="G165" s="26">
        <v>1411876</v>
      </c>
      <c r="H165" s="26" t="s">
        <v>1107</v>
      </c>
      <c r="I165" s="24" t="s">
        <v>193</v>
      </c>
      <c r="J165" s="154" t="s">
        <v>76</v>
      </c>
      <c r="K165" s="24" t="s">
        <v>1175</v>
      </c>
      <c r="L165" s="27" t="s">
        <v>76</v>
      </c>
      <c r="M165" s="27" t="s">
        <v>1173</v>
      </c>
      <c r="N165" s="26" t="s">
        <v>1160</v>
      </c>
      <c r="O165" s="24" t="s">
        <v>85</v>
      </c>
      <c r="P165" s="24"/>
      <c r="Q165" s="24"/>
      <c r="R165" s="24">
        <v>138</v>
      </c>
      <c r="S165" s="24">
        <f t="shared" si="27"/>
        <v>138</v>
      </c>
      <c r="T165" s="24">
        <f>S165</f>
        <v>138</v>
      </c>
      <c r="U165" s="24">
        <f>ROUNDDOWN(S165/HLOOKUP(D165,Table!$C$3:$D$4,2,0)*8,2)</f>
        <v>2.4500000000000002</v>
      </c>
      <c r="V165" s="24">
        <v>4</v>
      </c>
      <c r="W165" s="24" t="s">
        <v>18</v>
      </c>
      <c r="X165" s="28">
        <v>43934</v>
      </c>
      <c r="Y165" s="28">
        <v>43945</v>
      </c>
      <c r="Z165" s="28">
        <v>43935</v>
      </c>
      <c r="AA165" s="28">
        <v>43935</v>
      </c>
      <c r="AB165" s="31" t="s">
        <v>158</v>
      </c>
      <c r="AC165" s="24">
        <v>100</v>
      </c>
      <c r="AD165" s="24">
        <v>100</v>
      </c>
      <c r="AE165" s="24">
        <v>100</v>
      </c>
      <c r="AF165" s="24" t="s">
        <v>20</v>
      </c>
      <c r="AG165" s="27" t="s">
        <v>76</v>
      </c>
      <c r="AH165" s="27" t="s">
        <v>76</v>
      </c>
    </row>
    <row r="166" spans="2:34" x14ac:dyDescent="0.25">
      <c r="B166" s="149">
        <f t="shared" si="29"/>
        <v>164</v>
      </c>
      <c r="C166" s="26">
        <v>20200410</v>
      </c>
      <c r="D166" s="32" t="s">
        <v>3</v>
      </c>
      <c r="E166" s="26" t="s">
        <v>1075</v>
      </c>
      <c r="F166" s="47" t="s">
        <v>1366</v>
      </c>
      <c r="G166" s="26">
        <v>1411876</v>
      </c>
      <c r="H166" s="26" t="s">
        <v>1108</v>
      </c>
      <c r="I166" s="24" t="s">
        <v>193</v>
      </c>
      <c r="J166" s="154" t="s">
        <v>76</v>
      </c>
      <c r="K166" s="24" t="s">
        <v>1175</v>
      </c>
      <c r="L166" s="27" t="s">
        <v>76</v>
      </c>
      <c r="M166" s="27" t="s">
        <v>1173</v>
      </c>
      <c r="N166" s="26" t="s">
        <v>1161</v>
      </c>
      <c r="O166" s="24" t="s">
        <v>85</v>
      </c>
      <c r="P166" s="24"/>
      <c r="Q166" s="24"/>
      <c r="R166" s="24">
        <v>266</v>
      </c>
      <c r="S166" s="24">
        <f t="shared" si="27"/>
        <v>266</v>
      </c>
      <c r="T166" s="24">
        <f>S166</f>
        <v>266</v>
      </c>
      <c r="U166" s="24">
        <f>ROUNDDOWN(S166/HLOOKUP(D166,Table!$C$3:$D$4,2,0)*8,2)</f>
        <v>4.72</v>
      </c>
      <c r="V166" s="24">
        <v>4.5</v>
      </c>
      <c r="W166" s="24" t="s">
        <v>18</v>
      </c>
      <c r="X166" s="28">
        <v>43934</v>
      </c>
      <c r="Y166" s="28">
        <v>43945</v>
      </c>
      <c r="Z166" s="28">
        <v>43935</v>
      </c>
      <c r="AA166" s="28">
        <v>43935</v>
      </c>
      <c r="AB166" s="31" t="s">
        <v>158</v>
      </c>
      <c r="AC166" s="24">
        <v>100</v>
      </c>
      <c r="AD166" s="24">
        <v>100</v>
      </c>
      <c r="AE166" s="24">
        <v>100</v>
      </c>
      <c r="AF166" s="24" t="s">
        <v>20</v>
      </c>
      <c r="AG166" s="27" t="s">
        <v>76</v>
      </c>
      <c r="AH166" s="27" t="s">
        <v>76</v>
      </c>
    </row>
    <row r="167" spans="2:34" x14ac:dyDescent="0.25">
      <c r="B167" s="149">
        <f t="shared" si="29"/>
        <v>165</v>
      </c>
      <c r="C167" s="26">
        <v>20200410</v>
      </c>
      <c r="D167" s="32" t="s">
        <v>3</v>
      </c>
      <c r="E167" s="26" t="s">
        <v>1075</v>
      </c>
      <c r="F167" s="47" t="s">
        <v>1366</v>
      </c>
      <c r="G167" s="26">
        <v>1411876</v>
      </c>
      <c r="H167" s="26" t="s">
        <v>1109</v>
      </c>
      <c r="I167" s="24" t="s">
        <v>193</v>
      </c>
      <c r="J167" s="154" t="s">
        <v>76</v>
      </c>
      <c r="K167" s="24" t="s">
        <v>1175</v>
      </c>
      <c r="L167" s="27" t="s">
        <v>76</v>
      </c>
      <c r="M167" s="27" t="s">
        <v>1173</v>
      </c>
      <c r="N167" s="26" t="s">
        <v>1162</v>
      </c>
      <c r="O167" s="24" t="s">
        <v>85</v>
      </c>
      <c r="P167" s="24"/>
      <c r="Q167" s="24"/>
      <c r="R167" s="24">
        <v>152</v>
      </c>
      <c r="S167" s="24">
        <f t="shared" si="27"/>
        <v>152</v>
      </c>
      <c r="T167" s="24">
        <f>S167</f>
        <v>152</v>
      </c>
      <c r="U167" s="24">
        <f>ROUNDDOWN(S167/HLOOKUP(D167,Table!$C$3:$D$4,2,0)*8,2)</f>
        <v>2.7</v>
      </c>
      <c r="V167" s="24">
        <v>2.5</v>
      </c>
      <c r="W167" s="24" t="s">
        <v>18</v>
      </c>
      <c r="X167" s="28">
        <v>43934</v>
      </c>
      <c r="Y167" s="28">
        <v>43945</v>
      </c>
      <c r="Z167" s="28">
        <v>43935</v>
      </c>
      <c r="AA167" s="28">
        <v>43935</v>
      </c>
      <c r="AB167" s="31" t="s">
        <v>157</v>
      </c>
      <c r="AC167" s="24">
        <v>100</v>
      </c>
      <c r="AD167" s="24">
        <v>100</v>
      </c>
      <c r="AE167" s="24">
        <v>96</v>
      </c>
      <c r="AF167" s="24" t="s">
        <v>792</v>
      </c>
      <c r="AG167" s="27" t="s">
        <v>76</v>
      </c>
      <c r="AH167" s="27" t="s">
        <v>76</v>
      </c>
    </row>
    <row r="168" spans="2:34" x14ac:dyDescent="0.25">
      <c r="B168" s="149">
        <f t="shared" si="29"/>
        <v>166</v>
      </c>
      <c r="C168" s="26">
        <v>20200410</v>
      </c>
      <c r="D168" s="32" t="s">
        <v>3</v>
      </c>
      <c r="E168" s="26" t="s">
        <v>1075</v>
      </c>
      <c r="F168" s="47" t="s">
        <v>1366</v>
      </c>
      <c r="G168" s="26">
        <v>1411876</v>
      </c>
      <c r="H168" s="26" t="s">
        <v>1110</v>
      </c>
      <c r="I168" s="24" t="s">
        <v>193</v>
      </c>
      <c r="J168" s="154" t="s">
        <v>76</v>
      </c>
      <c r="K168" s="24" t="s">
        <v>1175</v>
      </c>
      <c r="L168" s="27" t="s">
        <v>76</v>
      </c>
      <c r="M168" s="27" t="s">
        <v>1173</v>
      </c>
      <c r="N168" s="26" t="s">
        <v>1163</v>
      </c>
      <c r="O168" s="24" t="s">
        <v>82</v>
      </c>
      <c r="P168" s="24"/>
      <c r="Q168" s="24"/>
      <c r="R168" s="24">
        <v>9</v>
      </c>
      <c r="S168" s="24">
        <f t="shared" si="27"/>
        <v>9</v>
      </c>
      <c r="T168" s="24">
        <f>S168</f>
        <v>9</v>
      </c>
      <c r="U168" s="24">
        <f>ROUNDDOWN(S168/HLOOKUP(D168,Table!$C$3:$D$4,2,0)*8,2)</f>
        <v>0.16</v>
      </c>
      <c r="V168" s="24"/>
      <c r="W168" s="24"/>
      <c r="X168" s="28">
        <v>43934</v>
      </c>
      <c r="Y168" s="28">
        <v>43945</v>
      </c>
      <c r="Z168" s="28"/>
      <c r="AA168" s="28"/>
      <c r="AB168" s="31"/>
      <c r="AC168" s="24"/>
      <c r="AD168" s="24"/>
      <c r="AE168" s="24"/>
      <c r="AF168" s="24"/>
      <c r="AG168" s="27" t="s">
        <v>76</v>
      </c>
      <c r="AH168" s="27" t="s">
        <v>1373</v>
      </c>
    </row>
    <row r="169" spans="2:34" x14ac:dyDescent="0.25">
      <c r="B169" s="149">
        <f t="shared" si="29"/>
        <v>167</v>
      </c>
      <c r="C169" s="26">
        <v>20200410</v>
      </c>
      <c r="D169" s="32" t="s">
        <v>3</v>
      </c>
      <c r="E169" s="26" t="s">
        <v>1075</v>
      </c>
      <c r="F169" s="47" t="s">
        <v>1366</v>
      </c>
      <c r="G169" s="26">
        <v>1411876</v>
      </c>
      <c r="H169" s="26" t="s">
        <v>1111</v>
      </c>
      <c r="I169" s="24" t="s">
        <v>193</v>
      </c>
      <c r="J169" s="154" t="s">
        <v>76</v>
      </c>
      <c r="K169" s="24" t="s">
        <v>1175</v>
      </c>
      <c r="L169" s="27" t="s">
        <v>76</v>
      </c>
      <c r="M169" s="27" t="s">
        <v>1173</v>
      </c>
      <c r="N169" s="26" t="s">
        <v>1164</v>
      </c>
      <c r="O169" s="24" t="s">
        <v>85</v>
      </c>
      <c r="P169" s="24"/>
      <c r="Q169" s="24"/>
      <c r="R169" s="24">
        <v>254</v>
      </c>
      <c r="S169" s="24">
        <f t="shared" si="27"/>
        <v>254</v>
      </c>
      <c r="T169" s="24">
        <f>S169</f>
        <v>254</v>
      </c>
      <c r="U169" s="24">
        <f>ROUNDDOWN(S169/HLOOKUP(D169,Table!$C$3:$D$4,2,0)*8,2)</f>
        <v>4.51</v>
      </c>
      <c r="V169" s="24">
        <v>3</v>
      </c>
      <c r="W169" s="24" t="s">
        <v>18</v>
      </c>
      <c r="X169" s="28">
        <v>43934</v>
      </c>
      <c r="Y169" s="28">
        <v>43945</v>
      </c>
      <c r="Z169" s="28">
        <v>43935</v>
      </c>
      <c r="AA169" s="28">
        <v>43935</v>
      </c>
      <c r="AB169" s="31" t="s">
        <v>158</v>
      </c>
      <c r="AC169" s="24">
        <v>100</v>
      </c>
      <c r="AD169" s="24">
        <v>100</v>
      </c>
      <c r="AE169" s="24">
        <v>100</v>
      </c>
      <c r="AF169" s="24" t="s">
        <v>792</v>
      </c>
      <c r="AG169" s="27" t="s">
        <v>76</v>
      </c>
      <c r="AH169" s="27" t="s">
        <v>76</v>
      </c>
    </row>
    <row r="170" spans="2:34" x14ac:dyDescent="0.25">
      <c r="B170" s="149">
        <f t="shared" si="29"/>
        <v>168</v>
      </c>
      <c r="C170" s="26">
        <v>20200410</v>
      </c>
      <c r="D170" s="32" t="s">
        <v>3</v>
      </c>
      <c r="E170" s="26" t="s">
        <v>1075</v>
      </c>
      <c r="F170" s="47" t="s">
        <v>1366</v>
      </c>
      <c r="G170" s="26">
        <v>1411876</v>
      </c>
      <c r="H170" s="26" t="s">
        <v>1112</v>
      </c>
      <c r="I170" s="24" t="s">
        <v>193</v>
      </c>
      <c r="J170" s="154" t="s">
        <v>76</v>
      </c>
      <c r="K170" s="24" t="s">
        <v>1175</v>
      </c>
      <c r="L170" s="27" t="s">
        <v>76</v>
      </c>
      <c r="M170" s="27" t="s">
        <v>1173</v>
      </c>
      <c r="N170" s="26" t="s">
        <v>1165</v>
      </c>
      <c r="O170" s="24" t="s">
        <v>85</v>
      </c>
      <c r="P170" s="24"/>
      <c r="Q170" s="24"/>
      <c r="R170" s="24">
        <v>38</v>
      </c>
      <c r="S170" s="24">
        <f t="shared" si="27"/>
        <v>38</v>
      </c>
      <c r="T170" s="24">
        <f>S170</f>
        <v>38</v>
      </c>
      <c r="U170" s="24">
        <f>ROUNDDOWN(S170/HLOOKUP(D170,Table!$C$3:$D$4,2,0)*8,2)</f>
        <v>0.67</v>
      </c>
      <c r="V170" s="24">
        <v>1</v>
      </c>
      <c r="W170" s="24" t="s">
        <v>18</v>
      </c>
      <c r="X170" s="28">
        <v>43934</v>
      </c>
      <c r="Y170" s="28">
        <v>43945</v>
      </c>
      <c r="Z170" s="28">
        <v>43936</v>
      </c>
      <c r="AA170" s="28">
        <v>43936</v>
      </c>
      <c r="AB170" s="31" t="s">
        <v>158</v>
      </c>
      <c r="AC170" s="24">
        <v>100</v>
      </c>
      <c r="AD170" s="24">
        <v>100</v>
      </c>
      <c r="AE170" s="24">
        <v>100</v>
      </c>
      <c r="AF170" s="24" t="s">
        <v>20</v>
      </c>
      <c r="AG170" s="27" t="s">
        <v>76</v>
      </c>
      <c r="AH170" s="27" t="s">
        <v>76</v>
      </c>
    </row>
    <row r="171" spans="2:34" x14ac:dyDescent="0.25">
      <c r="B171" s="149">
        <f t="shared" si="29"/>
        <v>169</v>
      </c>
      <c r="C171" s="26">
        <v>20200410</v>
      </c>
      <c r="D171" s="32" t="s">
        <v>3</v>
      </c>
      <c r="E171" s="26" t="s">
        <v>1075</v>
      </c>
      <c r="F171" s="47" t="s">
        <v>1366</v>
      </c>
      <c r="G171" s="26">
        <v>1411876</v>
      </c>
      <c r="H171" s="26" t="s">
        <v>1113</v>
      </c>
      <c r="I171" s="24" t="s">
        <v>193</v>
      </c>
      <c r="J171" s="154" t="s">
        <v>76</v>
      </c>
      <c r="K171" s="24" t="s">
        <v>1175</v>
      </c>
      <c r="L171" s="27" t="s">
        <v>76</v>
      </c>
      <c r="M171" s="27" t="s">
        <v>1173</v>
      </c>
      <c r="N171" s="26" t="s">
        <v>1166</v>
      </c>
      <c r="O171" s="24" t="s">
        <v>85</v>
      </c>
      <c r="P171" s="24"/>
      <c r="Q171" s="24"/>
      <c r="R171" s="24">
        <v>81</v>
      </c>
      <c r="S171" s="24">
        <f t="shared" si="27"/>
        <v>81</v>
      </c>
      <c r="T171" s="24">
        <f>S171</f>
        <v>81</v>
      </c>
      <c r="U171" s="24">
        <f>ROUNDDOWN(S171/HLOOKUP(D171,Table!$C$3:$D$4,2,0)*8,2)</f>
        <v>1.44</v>
      </c>
      <c r="V171" s="24">
        <v>1.4</v>
      </c>
      <c r="W171" s="24" t="s">
        <v>18</v>
      </c>
      <c r="X171" s="28">
        <v>43934</v>
      </c>
      <c r="Y171" s="28">
        <v>43945</v>
      </c>
      <c r="Z171" s="28">
        <v>43936</v>
      </c>
      <c r="AA171" s="28">
        <v>43936</v>
      </c>
      <c r="AB171" s="31" t="s">
        <v>158</v>
      </c>
      <c r="AC171" s="24">
        <v>100</v>
      </c>
      <c r="AD171" s="24">
        <v>100</v>
      </c>
      <c r="AE171" s="24">
        <v>100</v>
      </c>
      <c r="AF171" s="24" t="s">
        <v>20</v>
      </c>
      <c r="AG171" s="27" t="s">
        <v>76</v>
      </c>
      <c r="AH171" s="27" t="s">
        <v>76</v>
      </c>
    </row>
    <row r="172" spans="2:34" x14ac:dyDescent="0.25">
      <c r="B172" s="149">
        <f t="shared" si="29"/>
        <v>170</v>
      </c>
      <c r="C172" s="26">
        <v>20200410</v>
      </c>
      <c r="D172" s="32" t="s">
        <v>3</v>
      </c>
      <c r="E172" s="26" t="s">
        <v>1075</v>
      </c>
      <c r="F172" s="47" t="s">
        <v>1366</v>
      </c>
      <c r="G172" s="26">
        <v>1411876</v>
      </c>
      <c r="H172" s="26" t="s">
        <v>1114</v>
      </c>
      <c r="I172" s="24" t="s">
        <v>193</v>
      </c>
      <c r="J172" s="154" t="s">
        <v>76</v>
      </c>
      <c r="K172" s="24" t="s">
        <v>1175</v>
      </c>
      <c r="L172" s="27" t="s">
        <v>76</v>
      </c>
      <c r="M172" s="27" t="s">
        <v>1173</v>
      </c>
      <c r="N172" s="26" t="s">
        <v>1167</v>
      </c>
      <c r="O172" s="24" t="s">
        <v>82</v>
      </c>
      <c r="P172" s="24"/>
      <c r="Q172" s="24"/>
      <c r="R172" s="24">
        <v>35</v>
      </c>
      <c r="S172" s="24">
        <f t="shared" si="27"/>
        <v>35</v>
      </c>
      <c r="T172" s="24">
        <f t="shared" ref="T172:T174" si="32">S172</f>
        <v>35</v>
      </c>
      <c r="U172" s="24">
        <f>ROUNDDOWN(S172/HLOOKUP(D172,Table!$C$3:$D$4,2,0)*8,2)</f>
        <v>0.62</v>
      </c>
      <c r="V172" s="24"/>
      <c r="W172" s="24"/>
      <c r="X172" s="28">
        <v>43934</v>
      </c>
      <c r="Y172" s="28">
        <v>43945</v>
      </c>
      <c r="Z172" s="28"/>
      <c r="AA172" s="28"/>
      <c r="AB172" s="31"/>
      <c r="AC172" s="24"/>
      <c r="AD172" s="24"/>
      <c r="AE172" s="24"/>
      <c r="AF172" s="24"/>
      <c r="AG172" s="27" t="s">
        <v>76</v>
      </c>
      <c r="AH172" s="27" t="s">
        <v>1373</v>
      </c>
    </row>
    <row r="173" spans="2:34" x14ac:dyDescent="0.25">
      <c r="B173" s="149">
        <f t="shared" si="29"/>
        <v>171</v>
      </c>
      <c r="C173" s="26">
        <v>20200410</v>
      </c>
      <c r="D173" s="32" t="s">
        <v>3</v>
      </c>
      <c r="E173" s="26" t="s">
        <v>1075</v>
      </c>
      <c r="F173" s="47" t="s">
        <v>1366</v>
      </c>
      <c r="G173" s="26">
        <v>1411876</v>
      </c>
      <c r="H173" s="26" t="s">
        <v>1115</v>
      </c>
      <c r="I173" s="24" t="s">
        <v>193</v>
      </c>
      <c r="J173" s="154" t="s">
        <v>76</v>
      </c>
      <c r="K173" s="24" t="s">
        <v>1175</v>
      </c>
      <c r="L173" s="27" t="s">
        <v>76</v>
      </c>
      <c r="M173" s="27" t="s">
        <v>1173</v>
      </c>
      <c r="N173" s="26" t="s">
        <v>1168</v>
      </c>
      <c r="O173" s="24" t="s">
        <v>82</v>
      </c>
      <c r="P173" s="24"/>
      <c r="Q173" s="24"/>
      <c r="R173" s="24">
        <v>17</v>
      </c>
      <c r="S173" s="24">
        <f t="shared" si="27"/>
        <v>17</v>
      </c>
      <c r="T173" s="24">
        <f t="shared" si="32"/>
        <v>17</v>
      </c>
      <c r="U173" s="24">
        <f>ROUNDDOWN(S173/HLOOKUP(D173,Table!$C$3:$D$4,2,0)*8,2)</f>
        <v>0.3</v>
      </c>
      <c r="V173" s="24"/>
      <c r="W173" s="24"/>
      <c r="X173" s="28">
        <v>43934</v>
      </c>
      <c r="Y173" s="28">
        <v>43945</v>
      </c>
      <c r="Z173" s="28"/>
      <c r="AA173" s="28"/>
      <c r="AB173" s="31"/>
      <c r="AC173" s="24"/>
      <c r="AD173" s="24"/>
      <c r="AE173" s="24"/>
      <c r="AF173" s="24"/>
      <c r="AG173" s="27" t="s">
        <v>76</v>
      </c>
      <c r="AH173" s="27" t="s">
        <v>1373</v>
      </c>
    </row>
    <row r="174" spans="2:34" x14ac:dyDescent="0.25">
      <c r="B174" s="149">
        <f t="shared" si="29"/>
        <v>172</v>
      </c>
      <c r="C174" s="26">
        <v>20200410</v>
      </c>
      <c r="D174" s="32" t="s">
        <v>3</v>
      </c>
      <c r="E174" s="26" t="s">
        <v>1075</v>
      </c>
      <c r="F174" s="47" t="s">
        <v>1366</v>
      </c>
      <c r="G174" s="26">
        <v>1411876</v>
      </c>
      <c r="H174" s="26" t="s">
        <v>1116</v>
      </c>
      <c r="I174" s="24" t="s">
        <v>193</v>
      </c>
      <c r="J174" s="154" t="s">
        <v>76</v>
      </c>
      <c r="K174" s="24" t="s">
        <v>1175</v>
      </c>
      <c r="L174" s="27" t="s">
        <v>76</v>
      </c>
      <c r="M174" s="27" t="s">
        <v>1173</v>
      </c>
      <c r="N174" s="26" t="s">
        <v>1169</v>
      </c>
      <c r="O174" s="24" t="s">
        <v>82</v>
      </c>
      <c r="P174" s="24"/>
      <c r="Q174" s="24"/>
      <c r="R174" s="24">
        <v>9</v>
      </c>
      <c r="S174" s="24">
        <f t="shared" si="27"/>
        <v>9</v>
      </c>
      <c r="T174" s="24">
        <f t="shared" si="32"/>
        <v>9</v>
      </c>
      <c r="U174" s="24">
        <f>ROUNDDOWN(S174/HLOOKUP(D174,Table!$C$3:$D$4,2,0)*8,2)</f>
        <v>0.16</v>
      </c>
      <c r="V174" s="24"/>
      <c r="W174" s="24"/>
      <c r="X174" s="28">
        <v>43934</v>
      </c>
      <c r="Y174" s="28">
        <v>43945</v>
      </c>
      <c r="Z174" s="28"/>
      <c r="AA174" s="28"/>
      <c r="AB174" s="31"/>
      <c r="AC174" s="24"/>
      <c r="AD174" s="24"/>
      <c r="AE174" s="24"/>
      <c r="AF174" s="24"/>
      <c r="AG174" s="27" t="s">
        <v>76</v>
      </c>
      <c r="AH174" s="27" t="s">
        <v>1373</v>
      </c>
    </row>
    <row r="175" spans="2:34" x14ac:dyDescent="0.25">
      <c r="B175" s="149">
        <f t="shared" si="29"/>
        <v>173</v>
      </c>
      <c r="C175" s="26">
        <v>20200410</v>
      </c>
      <c r="D175" s="32" t="s">
        <v>3</v>
      </c>
      <c r="E175" s="26" t="s">
        <v>1075</v>
      </c>
      <c r="F175" s="47" t="s">
        <v>1366</v>
      </c>
      <c r="G175" s="26">
        <v>1411876</v>
      </c>
      <c r="H175" s="26" t="s">
        <v>1117</v>
      </c>
      <c r="I175" s="24" t="s">
        <v>193</v>
      </c>
      <c r="J175" s="154" t="s">
        <v>76</v>
      </c>
      <c r="K175" s="24" t="s">
        <v>1175</v>
      </c>
      <c r="L175" s="27" t="s">
        <v>76</v>
      </c>
      <c r="M175" s="27" t="s">
        <v>1173</v>
      </c>
      <c r="N175" s="26" t="s">
        <v>1170</v>
      </c>
      <c r="O175" s="24" t="s">
        <v>85</v>
      </c>
      <c r="P175" s="24"/>
      <c r="Q175" s="24"/>
      <c r="R175" s="24">
        <v>123</v>
      </c>
      <c r="S175" s="24">
        <f t="shared" si="27"/>
        <v>123</v>
      </c>
      <c r="T175" s="24">
        <f>S175</f>
        <v>123</v>
      </c>
      <c r="U175" s="24">
        <f>ROUNDDOWN(S175/HLOOKUP(D175,Table!$C$3:$D$4,2,0)*8,2)</f>
        <v>2.1800000000000002</v>
      </c>
      <c r="V175" s="24">
        <v>1</v>
      </c>
      <c r="W175" s="24" t="s">
        <v>18</v>
      </c>
      <c r="X175" s="28">
        <v>43934</v>
      </c>
      <c r="Y175" s="28">
        <v>43945</v>
      </c>
      <c r="Z175" s="28">
        <v>43936</v>
      </c>
      <c r="AA175" s="28">
        <v>43936</v>
      </c>
      <c r="AB175" s="31" t="s">
        <v>158</v>
      </c>
      <c r="AC175" s="24">
        <v>100</v>
      </c>
      <c r="AD175" s="24">
        <v>100</v>
      </c>
      <c r="AE175" s="24">
        <v>100</v>
      </c>
      <c r="AF175" s="24" t="s">
        <v>20</v>
      </c>
      <c r="AG175" s="27" t="s">
        <v>76</v>
      </c>
      <c r="AH175" s="27" t="s">
        <v>76</v>
      </c>
    </row>
    <row r="176" spans="2:34" x14ac:dyDescent="0.25">
      <c r="B176" s="149">
        <f t="shared" si="29"/>
        <v>174</v>
      </c>
      <c r="C176" s="26">
        <v>20200410</v>
      </c>
      <c r="D176" s="32" t="s">
        <v>3</v>
      </c>
      <c r="E176" s="26" t="s">
        <v>1075</v>
      </c>
      <c r="F176" s="47" t="s">
        <v>1366</v>
      </c>
      <c r="G176" s="26">
        <v>1411876</v>
      </c>
      <c r="H176" s="26" t="s">
        <v>1118</v>
      </c>
      <c r="I176" s="24" t="s">
        <v>193</v>
      </c>
      <c r="J176" s="154" t="s">
        <v>76</v>
      </c>
      <c r="K176" s="24" t="s">
        <v>1175</v>
      </c>
      <c r="L176" s="27" t="s">
        <v>76</v>
      </c>
      <c r="M176" s="27" t="s">
        <v>1173</v>
      </c>
      <c r="N176" s="26" t="s">
        <v>1171</v>
      </c>
      <c r="O176" s="24" t="s">
        <v>85</v>
      </c>
      <c r="P176" s="24"/>
      <c r="Q176" s="24"/>
      <c r="R176" s="24">
        <v>371</v>
      </c>
      <c r="S176" s="24">
        <f t="shared" si="27"/>
        <v>371</v>
      </c>
      <c r="T176" s="24">
        <f>S176</f>
        <v>371</v>
      </c>
      <c r="U176" s="24">
        <f>ROUNDDOWN(S176/HLOOKUP(D176,Table!$C$3:$D$4,2,0)*8,2)</f>
        <v>6.59</v>
      </c>
      <c r="V176" s="24">
        <v>6</v>
      </c>
      <c r="W176" s="24" t="s">
        <v>18</v>
      </c>
      <c r="X176" s="28">
        <v>43934</v>
      </c>
      <c r="Y176" s="28">
        <v>43945</v>
      </c>
      <c r="Z176" s="28">
        <v>43937</v>
      </c>
      <c r="AA176" s="28">
        <v>43937</v>
      </c>
      <c r="AB176" s="31" t="s">
        <v>158</v>
      </c>
      <c r="AC176" s="24">
        <v>100</v>
      </c>
      <c r="AD176" s="24">
        <v>100</v>
      </c>
      <c r="AE176" s="24">
        <v>100</v>
      </c>
      <c r="AF176" s="24" t="s">
        <v>20</v>
      </c>
      <c r="AG176" s="27" t="s">
        <v>76</v>
      </c>
      <c r="AH176" s="27" t="s">
        <v>76</v>
      </c>
    </row>
    <row r="177" spans="1:34" x14ac:dyDescent="0.25">
      <c r="B177" s="149">
        <f t="shared" si="29"/>
        <v>175</v>
      </c>
      <c r="C177" s="26">
        <v>20200410</v>
      </c>
      <c r="D177" s="32" t="s">
        <v>3</v>
      </c>
      <c r="E177" s="26" t="s">
        <v>1075</v>
      </c>
      <c r="F177" s="229" t="s">
        <v>1376</v>
      </c>
      <c r="G177" s="26">
        <v>1411876</v>
      </c>
      <c r="H177" s="26" t="s">
        <v>1119</v>
      </c>
      <c r="I177" s="24" t="s">
        <v>193</v>
      </c>
      <c r="J177" s="154" t="s">
        <v>76</v>
      </c>
      <c r="K177" s="24" t="s">
        <v>1175</v>
      </c>
      <c r="L177" s="27" t="s">
        <v>76</v>
      </c>
      <c r="M177" s="27" t="s">
        <v>1174</v>
      </c>
      <c r="N177" s="26" t="s">
        <v>1172</v>
      </c>
      <c r="O177" s="24" t="s">
        <v>85</v>
      </c>
      <c r="P177" s="24"/>
      <c r="Q177" s="24"/>
      <c r="R177" s="24">
        <v>217</v>
      </c>
      <c r="S177" s="24">
        <f t="shared" si="27"/>
        <v>217</v>
      </c>
      <c r="T177" s="24">
        <f>S177</f>
        <v>217</v>
      </c>
      <c r="U177" s="24">
        <f>ROUNDDOWN(S177/HLOOKUP(D177,Table!$C$3:$D$4,2,0)*8,2)</f>
        <v>3.85</v>
      </c>
      <c r="V177" s="24">
        <v>3</v>
      </c>
      <c r="W177" s="24" t="s">
        <v>18</v>
      </c>
      <c r="X177" s="28">
        <v>43934</v>
      </c>
      <c r="Y177" s="28">
        <v>43945</v>
      </c>
      <c r="Z177" s="28">
        <v>43937</v>
      </c>
      <c r="AA177" s="28">
        <v>43937</v>
      </c>
      <c r="AB177" s="31" t="s">
        <v>158</v>
      </c>
      <c r="AC177" s="24">
        <v>100</v>
      </c>
      <c r="AD177" s="24">
        <v>100</v>
      </c>
      <c r="AE177" s="24">
        <v>100</v>
      </c>
      <c r="AF177" s="24" t="s">
        <v>20</v>
      </c>
      <c r="AG177" s="27" t="s">
        <v>76</v>
      </c>
      <c r="AH177" s="27" t="s">
        <v>76</v>
      </c>
    </row>
    <row r="178" spans="1:34" x14ac:dyDescent="0.25">
      <c r="B178" s="149">
        <f t="shared" si="29"/>
        <v>176</v>
      </c>
      <c r="C178" s="26">
        <v>20200410</v>
      </c>
      <c r="D178" s="32" t="s">
        <v>3</v>
      </c>
      <c r="E178" s="26" t="s">
        <v>1075</v>
      </c>
      <c r="F178" s="192" t="s">
        <v>1377</v>
      </c>
      <c r="G178" s="26">
        <v>1411876</v>
      </c>
      <c r="H178" s="26" t="s">
        <v>1120</v>
      </c>
      <c r="I178" s="24" t="s">
        <v>193</v>
      </c>
      <c r="J178" s="154" t="s">
        <v>76</v>
      </c>
      <c r="K178" s="24" t="s">
        <v>1175</v>
      </c>
      <c r="L178" s="27" t="s">
        <v>76</v>
      </c>
      <c r="M178" s="27" t="s">
        <v>1174</v>
      </c>
      <c r="N178" s="26" t="s">
        <v>1200</v>
      </c>
      <c r="O178" s="24" t="s">
        <v>85</v>
      </c>
      <c r="P178" s="24"/>
      <c r="Q178" s="24"/>
      <c r="R178" s="24">
        <v>144</v>
      </c>
      <c r="S178" s="24">
        <f t="shared" si="27"/>
        <v>144</v>
      </c>
      <c r="T178" s="24">
        <f>S178</f>
        <v>144</v>
      </c>
      <c r="U178" s="24">
        <f>ROUNDDOWN(S178/HLOOKUP(D178,Table!$C$3:$D$4,2,0)*8,2)</f>
        <v>2.56</v>
      </c>
      <c r="V178" s="24">
        <v>2</v>
      </c>
      <c r="W178" s="24" t="s">
        <v>18</v>
      </c>
      <c r="X178" s="28">
        <v>43934</v>
      </c>
      <c r="Y178" s="28">
        <v>43945</v>
      </c>
      <c r="Z178" s="28">
        <v>43937</v>
      </c>
      <c r="AA178" s="28">
        <v>43937</v>
      </c>
      <c r="AB178" s="31" t="s">
        <v>158</v>
      </c>
      <c r="AC178" s="24">
        <v>100</v>
      </c>
      <c r="AD178" s="24">
        <v>100</v>
      </c>
      <c r="AE178" s="24">
        <v>100</v>
      </c>
      <c r="AF178" s="24" t="s">
        <v>20</v>
      </c>
      <c r="AG178" s="27" t="s">
        <v>76</v>
      </c>
      <c r="AH178" s="27" t="s">
        <v>76</v>
      </c>
    </row>
    <row r="179" spans="1:34" x14ac:dyDescent="0.25">
      <c r="B179" s="149">
        <f t="shared" si="29"/>
        <v>177</v>
      </c>
      <c r="C179" s="26">
        <v>20200410</v>
      </c>
      <c r="D179" s="32" t="s">
        <v>3</v>
      </c>
      <c r="E179" s="26" t="s">
        <v>1075</v>
      </c>
      <c r="F179" s="192" t="s">
        <v>1378</v>
      </c>
      <c r="G179" s="26">
        <v>1411876</v>
      </c>
      <c r="H179" s="26" t="s">
        <v>1121</v>
      </c>
      <c r="I179" s="24" t="s">
        <v>193</v>
      </c>
      <c r="J179" s="154" t="s">
        <v>76</v>
      </c>
      <c r="K179" s="24" t="s">
        <v>1175</v>
      </c>
      <c r="L179" s="27" t="s">
        <v>76</v>
      </c>
      <c r="M179" s="27" t="s">
        <v>1174</v>
      </c>
      <c r="N179" s="26" t="s">
        <v>1201</v>
      </c>
      <c r="O179" s="24" t="s">
        <v>85</v>
      </c>
      <c r="P179" s="24"/>
      <c r="Q179" s="24"/>
      <c r="R179" s="24">
        <v>97</v>
      </c>
      <c r="S179" s="24">
        <f t="shared" si="27"/>
        <v>97</v>
      </c>
      <c r="T179" s="24">
        <f>S179</f>
        <v>97</v>
      </c>
      <c r="U179" s="24">
        <f>ROUNDDOWN(S179/HLOOKUP(D179,Table!$C$3:$D$4,2,0)*8,2)</f>
        <v>1.72</v>
      </c>
      <c r="V179" s="24">
        <v>1</v>
      </c>
      <c r="W179" s="24" t="s">
        <v>18</v>
      </c>
      <c r="X179" s="28">
        <v>43934</v>
      </c>
      <c r="Y179" s="28">
        <v>43945</v>
      </c>
      <c r="Z179" s="28">
        <v>43937</v>
      </c>
      <c r="AA179" s="28">
        <v>43937</v>
      </c>
      <c r="AB179" s="31" t="s">
        <v>157</v>
      </c>
      <c r="AC179" s="24">
        <v>100</v>
      </c>
      <c r="AD179" s="24">
        <v>97</v>
      </c>
      <c r="AE179" s="24">
        <v>100</v>
      </c>
      <c r="AF179" s="24" t="s">
        <v>792</v>
      </c>
      <c r="AG179" s="27" t="s">
        <v>76</v>
      </c>
      <c r="AH179" s="27" t="s">
        <v>76</v>
      </c>
    </row>
    <row r="180" spans="1:34" x14ac:dyDescent="0.25">
      <c r="B180" s="204">
        <f t="shared" si="29"/>
        <v>178</v>
      </c>
      <c r="C180" s="26">
        <v>20200413</v>
      </c>
      <c r="D180" s="32" t="s">
        <v>3</v>
      </c>
      <c r="E180" s="42" t="s">
        <v>1178</v>
      </c>
      <c r="F180" s="43" t="s">
        <v>1367</v>
      </c>
      <c r="G180" s="42">
        <v>1375671</v>
      </c>
      <c r="H180" s="228" t="s">
        <v>806</v>
      </c>
      <c r="I180" s="24" t="s">
        <v>193</v>
      </c>
      <c r="J180" s="54">
        <v>81728</v>
      </c>
      <c r="K180" s="42" t="s">
        <v>309</v>
      </c>
      <c r="L180" s="27" t="s">
        <v>76</v>
      </c>
      <c r="M180" s="43" t="s">
        <v>1199</v>
      </c>
      <c r="N180" s="26" t="s">
        <v>1202</v>
      </c>
      <c r="O180" s="24" t="s">
        <v>83</v>
      </c>
      <c r="P180" s="24"/>
      <c r="Q180" s="24"/>
      <c r="R180" s="42">
        <v>52</v>
      </c>
      <c r="S180" s="26">
        <f>R180</f>
        <v>52</v>
      </c>
      <c r="T180" s="24"/>
      <c r="U180" s="24">
        <f>ROUNDDOWN(S180/HLOOKUP(D180,Table!$C$3:$D$4,2,0)*8,2)</f>
        <v>0.92</v>
      </c>
      <c r="V180" s="24"/>
      <c r="W180" s="24"/>
      <c r="X180" s="28">
        <v>43934</v>
      </c>
      <c r="Y180" s="28">
        <v>43950</v>
      </c>
      <c r="Z180" s="28"/>
      <c r="AA180" s="28"/>
      <c r="AB180" s="31"/>
      <c r="AC180" s="24"/>
      <c r="AD180" s="24"/>
      <c r="AE180" s="24"/>
      <c r="AF180" s="24"/>
      <c r="AG180" s="27" t="s">
        <v>76</v>
      </c>
      <c r="AH180" s="27" t="s">
        <v>76</v>
      </c>
    </row>
    <row r="181" spans="1:34" x14ac:dyDescent="0.25">
      <c r="B181" s="204">
        <f t="shared" si="29"/>
        <v>179</v>
      </c>
      <c r="C181" s="26">
        <v>20200413</v>
      </c>
      <c r="D181" s="32" t="s">
        <v>3</v>
      </c>
      <c r="E181" s="42" t="s">
        <v>1178</v>
      </c>
      <c r="F181" s="43" t="s">
        <v>1367</v>
      </c>
      <c r="G181" s="42">
        <v>1375671</v>
      </c>
      <c r="H181" s="228" t="s">
        <v>1179</v>
      </c>
      <c r="I181" s="24" t="s">
        <v>193</v>
      </c>
      <c r="J181" s="54">
        <v>81728</v>
      </c>
      <c r="K181" s="24" t="s">
        <v>309</v>
      </c>
      <c r="L181" s="27" t="s">
        <v>76</v>
      </c>
      <c r="M181" s="27" t="s">
        <v>1199</v>
      </c>
      <c r="N181" s="26" t="s">
        <v>1203</v>
      </c>
      <c r="O181" s="24" t="s">
        <v>83</v>
      </c>
      <c r="P181" s="24"/>
      <c r="Q181" s="24"/>
      <c r="R181" s="42">
        <v>40</v>
      </c>
      <c r="S181" s="26">
        <f>R181</f>
        <v>40</v>
      </c>
      <c r="T181" s="24"/>
      <c r="U181" s="24">
        <f>ROUNDDOWN(S181/HLOOKUP(D181,Table!$C$3:$D$4,2,0)*8,2)</f>
        <v>0.71</v>
      </c>
      <c r="V181" s="24"/>
      <c r="W181" s="24"/>
      <c r="X181" s="28">
        <v>43934</v>
      </c>
      <c r="Y181" s="28">
        <v>43950</v>
      </c>
      <c r="Z181" s="28"/>
      <c r="AA181" s="28"/>
      <c r="AB181" s="31"/>
      <c r="AC181" s="24"/>
      <c r="AD181" s="24"/>
      <c r="AE181" s="24"/>
      <c r="AF181" s="24"/>
      <c r="AG181" s="27" t="s">
        <v>76</v>
      </c>
      <c r="AH181" s="27" t="s">
        <v>76</v>
      </c>
    </row>
    <row r="182" spans="1:34" x14ac:dyDescent="0.25">
      <c r="B182" s="204">
        <f t="shared" si="29"/>
        <v>180</v>
      </c>
      <c r="C182" s="26">
        <v>20200413</v>
      </c>
      <c r="D182" s="32" t="s">
        <v>3</v>
      </c>
      <c r="E182" s="42" t="s">
        <v>1178</v>
      </c>
      <c r="F182" s="43" t="s">
        <v>1367</v>
      </c>
      <c r="G182" s="42">
        <v>1375671</v>
      </c>
      <c r="H182" s="228" t="s">
        <v>1180</v>
      </c>
      <c r="I182" s="24" t="s">
        <v>193</v>
      </c>
      <c r="J182" s="54">
        <v>81728</v>
      </c>
      <c r="K182" s="24" t="s">
        <v>309</v>
      </c>
      <c r="L182" s="27" t="s">
        <v>76</v>
      </c>
      <c r="M182" s="27" t="s">
        <v>1199</v>
      </c>
      <c r="N182" s="26" t="s">
        <v>1204</v>
      </c>
      <c r="O182" s="24" t="s">
        <v>83</v>
      </c>
      <c r="P182" s="24"/>
      <c r="Q182" s="24"/>
      <c r="R182" s="42">
        <v>81</v>
      </c>
      <c r="S182" s="26">
        <f>R182</f>
        <v>81</v>
      </c>
      <c r="T182" s="24"/>
      <c r="U182" s="24">
        <f>ROUNDDOWN(S182/HLOOKUP(D182,Table!$C$3:$D$4,2,0)*8,2)</f>
        <v>1.44</v>
      </c>
      <c r="V182" s="24"/>
      <c r="W182" s="24"/>
      <c r="X182" s="28">
        <v>43934</v>
      </c>
      <c r="Y182" s="28">
        <v>43950</v>
      </c>
      <c r="Z182" s="28"/>
      <c r="AA182" s="28"/>
      <c r="AB182" s="31"/>
      <c r="AC182" s="24"/>
      <c r="AD182" s="24"/>
      <c r="AE182" s="24"/>
      <c r="AF182" s="24"/>
      <c r="AG182" s="27" t="s">
        <v>76</v>
      </c>
      <c r="AH182" s="27" t="s">
        <v>76</v>
      </c>
    </row>
    <row r="183" spans="1:34" x14ac:dyDescent="0.25">
      <c r="B183" s="204">
        <f t="shared" si="29"/>
        <v>181</v>
      </c>
      <c r="C183" s="26">
        <v>20200413</v>
      </c>
      <c r="D183" s="32" t="s">
        <v>3</v>
      </c>
      <c r="E183" s="42" t="s">
        <v>1178</v>
      </c>
      <c r="F183" s="43" t="s">
        <v>1367</v>
      </c>
      <c r="G183" s="42">
        <v>1375671</v>
      </c>
      <c r="H183" s="228" t="s">
        <v>1181</v>
      </c>
      <c r="I183" s="24" t="s">
        <v>193</v>
      </c>
      <c r="J183" s="54">
        <v>81728</v>
      </c>
      <c r="K183" s="24" t="s">
        <v>309</v>
      </c>
      <c r="L183" s="27" t="s">
        <v>76</v>
      </c>
      <c r="M183" s="27" t="s">
        <v>1199</v>
      </c>
      <c r="N183" s="26" t="s">
        <v>1205</v>
      </c>
      <c r="O183" s="24" t="s">
        <v>83</v>
      </c>
      <c r="P183" s="24"/>
      <c r="Q183" s="24"/>
      <c r="R183" s="42">
        <v>18</v>
      </c>
      <c r="S183" s="26">
        <f>R183</f>
        <v>18</v>
      </c>
      <c r="T183" s="24"/>
      <c r="U183" s="24">
        <f>ROUNDDOWN(S183/HLOOKUP(D183,Table!$C$3:$D$4,2,0)*8,2)</f>
        <v>0.32</v>
      </c>
      <c r="V183" s="24"/>
      <c r="W183" s="24"/>
      <c r="X183" s="28">
        <v>43934</v>
      </c>
      <c r="Y183" s="28">
        <v>43950</v>
      </c>
      <c r="Z183" s="28"/>
      <c r="AA183" s="28"/>
      <c r="AB183" s="31"/>
      <c r="AC183" s="24"/>
      <c r="AD183" s="24"/>
      <c r="AE183" s="24"/>
      <c r="AF183" s="24"/>
      <c r="AG183" s="27" t="s">
        <v>76</v>
      </c>
      <c r="AH183" s="27" t="s">
        <v>76</v>
      </c>
    </row>
    <row r="184" spans="1:34" x14ac:dyDescent="0.25">
      <c r="B184" s="204">
        <f t="shared" si="29"/>
        <v>182</v>
      </c>
      <c r="C184" s="26">
        <v>20200413</v>
      </c>
      <c r="D184" s="32" t="s">
        <v>3</v>
      </c>
      <c r="E184" s="42" t="s">
        <v>1178</v>
      </c>
      <c r="F184" s="43" t="s">
        <v>1367</v>
      </c>
      <c r="G184" s="42">
        <v>1375671</v>
      </c>
      <c r="H184" s="230" t="s">
        <v>1182</v>
      </c>
      <c r="I184" s="24" t="s">
        <v>193</v>
      </c>
      <c r="J184" s="54">
        <v>81728</v>
      </c>
      <c r="K184" s="24" t="s">
        <v>309</v>
      </c>
      <c r="L184" s="27" t="s">
        <v>76</v>
      </c>
      <c r="M184" s="27" t="s">
        <v>1199</v>
      </c>
      <c r="N184" s="26" t="s">
        <v>1206</v>
      </c>
      <c r="O184" s="24" t="s">
        <v>83</v>
      </c>
      <c r="P184" s="24"/>
      <c r="Q184" s="24"/>
      <c r="R184" s="42">
        <v>101</v>
      </c>
      <c r="S184" s="26">
        <f>R184</f>
        <v>101</v>
      </c>
      <c r="T184" s="24">
        <f>S184</f>
        <v>101</v>
      </c>
      <c r="U184" s="24">
        <f>ROUNDDOWN(S184/HLOOKUP(D184,Table!$C$3:$D$4,2,0)*8,2)</f>
        <v>1.79</v>
      </c>
      <c r="V184" s="24"/>
      <c r="W184" s="24" t="s">
        <v>18</v>
      </c>
      <c r="X184" s="28">
        <v>43934</v>
      </c>
      <c r="Y184" s="28">
        <v>43950</v>
      </c>
      <c r="Z184" s="28">
        <v>43937</v>
      </c>
      <c r="AA184" s="28">
        <v>43937</v>
      </c>
      <c r="AB184" s="31" t="s">
        <v>158</v>
      </c>
      <c r="AC184" s="226">
        <v>100</v>
      </c>
      <c r="AD184" s="226">
        <v>100</v>
      </c>
      <c r="AE184" s="226">
        <v>100</v>
      </c>
      <c r="AF184" s="226" t="s">
        <v>20</v>
      </c>
      <c r="AG184" s="27" t="s">
        <v>76</v>
      </c>
      <c r="AH184" s="27" t="s">
        <v>76</v>
      </c>
    </row>
    <row r="185" spans="1:34" x14ac:dyDescent="0.25">
      <c r="B185" s="204">
        <f t="shared" si="29"/>
        <v>183</v>
      </c>
      <c r="C185" s="26">
        <v>20200413</v>
      </c>
      <c r="D185" s="32" t="s">
        <v>3</v>
      </c>
      <c r="E185" s="42" t="s">
        <v>1178</v>
      </c>
      <c r="F185" s="43" t="s">
        <v>1367</v>
      </c>
      <c r="G185" s="42">
        <v>1375671</v>
      </c>
      <c r="H185" s="232" t="s">
        <v>1183</v>
      </c>
      <c r="I185" s="24" t="s">
        <v>193</v>
      </c>
      <c r="J185" s="54">
        <v>81728</v>
      </c>
      <c r="K185" s="24" t="s">
        <v>309</v>
      </c>
      <c r="L185" s="27" t="s">
        <v>76</v>
      </c>
      <c r="M185" s="27" t="s">
        <v>1199</v>
      </c>
      <c r="N185" s="26" t="s">
        <v>1207</v>
      </c>
      <c r="O185" s="24" t="s">
        <v>84</v>
      </c>
      <c r="P185" s="24"/>
      <c r="Q185" s="24"/>
      <c r="R185" s="42">
        <v>72</v>
      </c>
      <c r="S185" s="24">
        <f t="shared" ref="S180:S211" si="33">R185</f>
        <v>72</v>
      </c>
      <c r="T185" s="24">
        <f>S185</f>
        <v>72</v>
      </c>
      <c r="U185" s="24">
        <f>ROUNDDOWN(S185/HLOOKUP(D185,Table!$C$3:$D$4,2,0)*8,2)</f>
        <v>1.28</v>
      </c>
      <c r="V185" s="24">
        <v>1</v>
      </c>
      <c r="W185" s="24" t="s">
        <v>18</v>
      </c>
      <c r="X185" s="28">
        <v>43934</v>
      </c>
      <c r="Y185" s="28">
        <v>43950</v>
      </c>
      <c r="Z185" s="28">
        <v>43937</v>
      </c>
      <c r="AA185" s="28">
        <v>43937</v>
      </c>
      <c r="AB185" s="31" t="s">
        <v>158</v>
      </c>
      <c r="AC185" s="24">
        <v>100</v>
      </c>
      <c r="AD185" s="24">
        <v>100</v>
      </c>
      <c r="AE185" s="24">
        <v>100</v>
      </c>
      <c r="AF185" s="24" t="s">
        <v>20</v>
      </c>
      <c r="AG185" s="27" t="s">
        <v>76</v>
      </c>
      <c r="AH185" s="27" t="s">
        <v>76</v>
      </c>
    </row>
    <row r="186" spans="1:34" x14ac:dyDescent="0.25">
      <c r="B186" s="204">
        <f t="shared" si="29"/>
        <v>184</v>
      </c>
      <c r="C186" s="26">
        <v>20200413</v>
      </c>
      <c r="D186" s="32" t="s">
        <v>3</v>
      </c>
      <c r="E186" s="42" t="s">
        <v>1178</v>
      </c>
      <c r="F186" s="43" t="s">
        <v>1367</v>
      </c>
      <c r="G186" s="42">
        <v>1375671</v>
      </c>
      <c r="H186" s="232" t="s">
        <v>1184</v>
      </c>
      <c r="I186" s="24" t="s">
        <v>193</v>
      </c>
      <c r="J186" s="54">
        <v>81728</v>
      </c>
      <c r="K186" s="24" t="s">
        <v>309</v>
      </c>
      <c r="L186" s="27" t="s">
        <v>76</v>
      </c>
      <c r="M186" s="27" t="s">
        <v>1199</v>
      </c>
      <c r="N186" s="26" t="s">
        <v>1208</v>
      </c>
      <c r="O186" s="24" t="s">
        <v>84</v>
      </c>
      <c r="P186" s="24"/>
      <c r="Q186" s="24"/>
      <c r="R186" s="42">
        <v>82</v>
      </c>
      <c r="S186" s="24">
        <f t="shared" si="33"/>
        <v>82</v>
      </c>
      <c r="T186" s="24">
        <f>S186</f>
        <v>82</v>
      </c>
      <c r="U186" s="24">
        <f>ROUNDDOWN(S186/HLOOKUP(D186,Table!$C$3:$D$4,2,0)*8,2)</f>
        <v>1.45</v>
      </c>
      <c r="V186" s="24">
        <v>1</v>
      </c>
      <c r="W186" s="24" t="s">
        <v>18</v>
      </c>
      <c r="X186" s="28">
        <v>43934</v>
      </c>
      <c r="Y186" s="28">
        <v>43950</v>
      </c>
      <c r="Z186" s="28">
        <v>43937</v>
      </c>
      <c r="AA186" s="28">
        <v>43937</v>
      </c>
      <c r="AB186" s="31" t="s">
        <v>158</v>
      </c>
      <c r="AC186" s="24">
        <v>100</v>
      </c>
      <c r="AD186" s="24">
        <v>100</v>
      </c>
      <c r="AE186" s="24">
        <v>100</v>
      </c>
      <c r="AF186" s="24" t="s">
        <v>20</v>
      </c>
      <c r="AG186" s="27" t="s">
        <v>76</v>
      </c>
      <c r="AH186" s="27" t="s">
        <v>76</v>
      </c>
    </row>
    <row r="187" spans="1:34" x14ac:dyDescent="0.25">
      <c r="B187" s="204">
        <f t="shared" si="29"/>
        <v>185</v>
      </c>
      <c r="C187" s="26">
        <v>20200413</v>
      </c>
      <c r="D187" s="32" t="s">
        <v>3</v>
      </c>
      <c r="E187" s="42" t="s">
        <v>1178</v>
      </c>
      <c r="F187" s="43" t="s">
        <v>1367</v>
      </c>
      <c r="G187" s="42">
        <v>1375671</v>
      </c>
      <c r="H187" s="232" t="s">
        <v>805</v>
      </c>
      <c r="I187" s="24" t="s">
        <v>193</v>
      </c>
      <c r="J187" s="54">
        <v>81728</v>
      </c>
      <c r="K187" s="24" t="s">
        <v>309</v>
      </c>
      <c r="L187" s="27" t="s">
        <v>76</v>
      </c>
      <c r="M187" s="27" t="s">
        <v>1199</v>
      </c>
      <c r="N187" s="26" t="s">
        <v>1209</v>
      </c>
      <c r="O187" s="24" t="s">
        <v>84</v>
      </c>
      <c r="P187" s="24"/>
      <c r="Q187" s="24"/>
      <c r="R187" s="42">
        <v>31</v>
      </c>
      <c r="S187" s="24">
        <f t="shared" si="33"/>
        <v>31</v>
      </c>
      <c r="T187" s="24">
        <f>S187</f>
        <v>31</v>
      </c>
      <c r="U187" s="24">
        <f>ROUNDDOWN(S187/HLOOKUP(D187,Table!$C$3:$D$4,2,0)*8,2)</f>
        <v>0.55000000000000004</v>
      </c>
      <c r="V187" s="24">
        <v>0.5</v>
      </c>
      <c r="W187" s="24" t="s">
        <v>18</v>
      </c>
      <c r="X187" s="28">
        <v>43934</v>
      </c>
      <c r="Y187" s="28">
        <v>43950</v>
      </c>
      <c r="Z187" s="28">
        <v>43937</v>
      </c>
      <c r="AA187" s="28">
        <v>43937</v>
      </c>
      <c r="AB187" s="31" t="s">
        <v>158</v>
      </c>
      <c r="AC187" s="24">
        <v>100</v>
      </c>
      <c r="AD187" s="24">
        <v>100</v>
      </c>
      <c r="AE187" s="24">
        <v>100</v>
      </c>
      <c r="AF187" s="24" t="s">
        <v>20</v>
      </c>
      <c r="AG187" s="27" t="s">
        <v>76</v>
      </c>
      <c r="AH187" s="27" t="s">
        <v>76</v>
      </c>
    </row>
    <row r="188" spans="1:34" x14ac:dyDescent="0.25">
      <c r="B188" s="204">
        <f t="shared" si="29"/>
        <v>186</v>
      </c>
      <c r="C188" s="26">
        <v>20200413</v>
      </c>
      <c r="D188" s="32" t="s">
        <v>3</v>
      </c>
      <c r="E188" s="42" t="s">
        <v>1178</v>
      </c>
      <c r="F188" s="43" t="s">
        <v>1367</v>
      </c>
      <c r="G188" s="42">
        <v>1375671</v>
      </c>
      <c r="H188" s="232" t="s">
        <v>1185</v>
      </c>
      <c r="I188" s="24" t="s">
        <v>193</v>
      </c>
      <c r="J188" s="54">
        <v>81728</v>
      </c>
      <c r="K188" s="24" t="s">
        <v>309</v>
      </c>
      <c r="L188" s="27" t="s">
        <v>76</v>
      </c>
      <c r="M188" s="27" t="s">
        <v>1199</v>
      </c>
      <c r="N188" s="26" t="s">
        <v>1210</v>
      </c>
      <c r="O188" s="24" t="s">
        <v>84</v>
      </c>
      <c r="P188" s="24"/>
      <c r="Q188" s="24"/>
      <c r="R188" s="42">
        <v>38</v>
      </c>
      <c r="S188" s="24">
        <f t="shared" si="33"/>
        <v>38</v>
      </c>
      <c r="T188" s="24">
        <f>S188</f>
        <v>38</v>
      </c>
      <c r="U188" s="24">
        <f>ROUNDDOWN(S188/HLOOKUP(D188,Table!$C$3:$D$4,2,0)*8,2)</f>
        <v>0.67</v>
      </c>
      <c r="V188" s="24">
        <v>0.5</v>
      </c>
      <c r="W188" s="24" t="s">
        <v>18</v>
      </c>
      <c r="X188" s="28">
        <v>43934</v>
      </c>
      <c r="Y188" s="28">
        <v>43950</v>
      </c>
      <c r="Z188" s="28">
        <v>43937</v>
      </c>
      <c r="AA188" s="28">
        <v>43937</v>
      </c>
      <c r="AB188" s="31" t="s">
        <v>158</v>
      </c>
      <c r="AC188" s="24">
        <v>100</v>
      </c>
      <c r="AD188" s="24">
        <v>100</v>
      </c>
      <c r="AE188" s="24">
        <v>100</v>
      </c>
      <c r="AF188" s="24" t="s">
        <v>20</v>
      </c>
      <c r="AG188" s="27" t="s">
        <v>76</v>
      </c>
      <c r="AH188" s="27" t="s">
        <v>76</v>
      </c>
    </row>
    <row r="189" spans="1:34" x14ac:dyDescent="0.25">
      <c r="B189" s="204">
        <f t="shared" si="29"/>
        <v>187</v>
      </c>
      <c r="C189" s="26">
        <v>20200413</v>
      </c>
      <c r="D189" s="32" t="s">
        <v>3</v>
      </c>
      <c r="E189" s="42" t="s">
        <v>1178</v>
      </c>
      <c r="F189" s="43" t="s">
        <v>1367</v>
      </c>
      <c r="G189" s="42">
        <v>1375671</v>
      </c>
      <c r="H189" s="232" t="s">
        <v>1186</v>
      </c>
      <c r="I189" s="24" t="s">
        <v>193</v>
      </c>
      <c r="J189" s="54">
        <v>81728</v>
      </c>
      <c r="K189" s="24" t="s">
        <v>309</v>
      </c>
      <c r="L189" s="27" t="s">
        <v>76</v>
      </c>
      <c r="M189" s="27" t="s">
        <v>1199</v>
      </c>
      <c r="N189" s="26" t="s">
        <v>1211</v>
      </c>
      <c r="O189" s="24" t="s">
        <v>82</v>
      </c>
      <c r="P189" s="24"/>
      <c r="Q189" s="24"/>
      <c r="R189" s="42">
        <v>28</v>
      </c>
      <c r="S189" s="24">
        <f t="shared" si="33"/>
        <v>28</v>
      </c>
      <c r="T189" s="24"/>
      <c r="U189" s="24">
        <f>ROUNDDOWN(S189/HLOOKUP(D189,Table!$C$3:$D$4,2,0)*8,2)</f>
        <v>0.49</v>
      </c>
      <c r="V189" s="24"/>
      <c r="W189" s="24"/>
      <c r="X189" s="28">
        <v>43934</v>
      </c>
      <c r="Y189" s="28">
        <v>43950</v>
      </c>
      <c r="Z189" s="28"/>
      <c r="AA189" s="28"/>
      <c r="AB189" s="31"/>
      <c r="AC189" s="24"/>
      <c r="AD189" s="24"/>
      <c r="AE189" s="24"/>
      <c r="AF189" s="24"/>
      <c r="AG189" s="27" t="s">
        <v>76</v>
      </c>
      <c r="AH189" s="27" t="s">
        <v>76</v>
      </c>
    </row>
    <row r="190" spans="1:34" x14ac:dyDescent="0.25">
      <c r="B190" s="204">
        <f t="shared" si="29"/>
        <v>188</v>
      </c>
      <c r="C190" s="26">
        <v>20200413</v>
      </c>
      <c r="D190" s="32" t="s">
        <v>3</v>
      </c>
      <c r="E190" s="42" t="s">
        <v>1178</v>
      </c>
      <c r="F190" s="43" t="s">
        <v>1367</v>
      </c>
      <c r="G190" s="42">
        <v>1375671</v>
      </c>
      <c r="H190" s="232" t="s">
        <v>1187</v>
      </c>
      <c r="I190" s="24" t="s">
        <v>193</v>
      </c>
      <c r="J190" s="54">
        <v>81728</v>
      </c>
      <c r="K190" s="24" t="s">
        <v>309</v>
      </c>
      <c r="L190" s="27" t="s">
        <v>76</v>
      </c>
      <c r="M190" s="27" t="s">
        <v>1199</v>
      </c>
      <c r="N190" s="26" t="s">
        <v>1212</v>
      </c>
      <c r="O190" s="24" t="s">
        <v>82</v>
      </c>
      <c r="P190" s="24"/>
      <c r="Q190" s="24"/>
      <c r="R190" s="42">
        <v>35</v>
      </c>
      <c r="S190" s="24">
        <f t="shared" si="33"/>
        <v>35</v>
      </c>
      <c r="T190" s="24"/>
      <c r="U190" s="24">
        <f>ROUNDDOWN(S190/HLOOKUP(D190,Table!$C$3:$D$4,2,0)*8,2)</f>
        <v>0.62</v>
      </c>
      <c r="V190" s="24"/>
      <c r="W190" s="24"/>
      <c r="X190" s="28">
        <v>43934</v>
      </c>
      <c r="Y190" s="28">
        <v>43950</v>
      </c>
      <c r="Z190" s="28"/>
      <c r="AA190" s="28"/>
      <c r="AB190" s="31"/>
      <c r="AC190" s="24"/>
      <c r="AD190" s="24"/>
      <c r="AE190" s="24"/>
      <c r="AF190" s="24"/>
      <c r="AG190" s="27" t="s">
        <v>76</v>
      </c>
      <c r="AH190" s="27" t="s">
        <v>76</v>
      </c>
    </row>
    <row r="191" spans="1:34" x14ac:dyDescent="0.25">
      <c r="B191" s="204">
        <f t="shared" si="29"/>
        <v>189</v>
      </c>
      <c r="C191" s="26">
        <v>20200413</v>
      </c>
      <c r="D191" s="32" t="s">
        <v>3</v>
      </c>
      <c r="E191" s="42" t="s">
        <v>1178</v>
      </c>
      <c r="F191" s="43" t="s">
        <v>1367</v>
      </c>
      <c r="G191" s="42">
        <v>1375671</v>
      </c>
      <c r="H191" s="232" t="s">
        <v>277</v>
      </c>
      <c r="I191" s="24" t="s">
        <v>193</v>
      </c>
      <c r="J191" s="54">
        <v>81728</v>
      </c>
      <c r="K191" s="24" t="s">
        <v>309</v>
      </c>
      <c r="L191" s="27" t="s">
        <v>76</v>
      </c>
      <c r="M191" s="27" t="s">
        <v>1199</v>
      </c>
      <c r="N191" s="26" t="s">
        <v>1213</v>
      </c>
      <c r="O191" s="24" t="s">
        <v>82</v>
      </c>
      <c r="P191" s="24"/>
      <c r="Q191" s="24"/>
      <c r="R191" s="42">
        <v>259</v>
      </c>
      <c r="S191" s="24">
        <f t="shared" si="33"/>
        <v>259</v>
      </c>
      <c r="T191" s="24"/>
      <c r="U191" s="24">
        <f>ROUNDDOWN(S191/HLOOKUP(D191,Table!$C$3:$D$4,2,0)*8,2)</f>
        <v>4.5999999999999996</v>
      </c>
      <c r="V191" s="24"/>
      <c r="W191" s="24"/>
      <c r="X191" s="28">
        <v>43934</v>
      </c>
      <c r="Y191" s="28">
        <v>43950</v>
      </c>
      <c r="Z191" s="28"/>
      <c r="AA191" s="28"/>
      <c r="AB191" s="31"/>
      <c r="AC191" s="24"/>
      <c r="AD191" s="24"/>
      <c r="AE191" s="24"/>
      <c r="AF191" s="24"/>
      <c r="AG191" s="27" t="s">
        <v>76</v>
      </c>
      <c r="AH191" s="27" t="s">
        <v>76</v>
      </c>
    </row>
    <row r="192" spans="1:34" x14ac:dyDescent="0.25">
      <c r="B192" s="204">
        <f t="shared" si="29"/>
        <v>190</v>
      </c>
      <c r="C192" s="26">
        <v>20200413</v>
      </c>
      <c r="D192" s="32" t="s">
        <v>3</v>
      </c>
      <c r="E192" s="42" t="s">
        <v>1178</v>
      </c>
      <c r="F192" s="43" t="s">
        <v>1367</v>
      </c>
      <c r="G192" s="42">
        <v>1375671</v>
      </c>
      <c r="H192" s="232" t="s">
        <v>1089</v>
      </c>
      <c r="I192" s="24" t="s">
        <v>193</v>
      </c>
      <c r="J192" s="54">
        <v>81728</v>
      </c>
      <c r="K192" s="24" t="s">
        <v>309</v>
      </c>
      <c r="L192" s="27" t="s">
        <v>76</v>
      </c>
      <c r="M192" s="27" t="s">
        <v>1199</v>
      </c>
      <c r="N192" s="26" t="s">
        <v>1214</v>
      </c>
      <c r="O192" s="24" t="s">
        <v>82</v>
      </c>
      <c r="P192" s="24"/>
      <c r="Q192" s="24"/>
      <c r="R192" s="42">
        <v>67</v>
      </c>
      <c r="S192" s="24">
        <f t="shared" si="33"/>
        <v>67</v>
      </c>
      <c r="T192" s="24"/>
      <c r="U192" s="24">
        <f>ROUNDDOWN(S192/HLOOKUP(D192,Table!$C$3:$D$4,2,0)*8,2)</f>
        <v>1.19</v>
      </c>
      <c r="V192" s="24"/>
      <c r="W192" s="24"/>
      <c r="X192" s="28">
        <v>43934</v>
      </c>
      <c r="Y192" s="28">
        <v>43950</v>
      </c>
      <c r="Z192" s="28"/>
      <c r="AA192" s="28"/>
      <c r="AB192" s="31"/>
      <c r="AC192" s="24"/>
      <c r="AD192" s="24"/>
      <c r="AE192" s="24"/>
      <c r="AF192" s="24"/>
      <c r="AG192" s="27" t="s">
        <v>76</v>
      </c>
      <c r="AH192" s="27" t="s">
        <v>76</v>
      </c>
    </row>
    <row r="193" spans="2:34" x14ac:dyDescent="0.25">
      <c r="B193" s="204">
        <f t="shared" si="29"/>
        <v>191</v>
      </c>
      <c r="C193" s="26">
        <v>20200413</v>
      </c>
      <c r="D193" s="32" t="s">
        <v>3</v>
      </c>
      <c r="E193" s="42" t="s">
        <v>1178</v>
      </c>
      <c r="F193" s="43" t="s">
        <v>1367</v>
      </c>
      <c r="G193" s="42">
        <v>1375671</v>
      </c>
      <c r="H193" s="232" t="s">
        <v>97</v>
      </c>
      <c r="I193" s="24" t="s">
        <v>193</v>
      </c>
      <c r="J193" s="54">
        <v>81728</v>
      </c>
      <c r="K193" s="24" t="s">
        <v>309</v>
      </c>
      <c r="L193" s="27" t="s">
        <v>76</v>
      </c>
      <c r="M193" s="27" t="s">
        <v>1199</v>
      </c>
      <c r="N193" s="26" t="s">
        <v>1215</v>
      </c>
      <c r="O193" s="24" t="s">
        <v>85</v>
      </c>
      <c r="P193" s="24"/>
      <c r="Q193" s="24"/>
      <c r="R193" s="42">
        <v>11</v>
      </c>
      <c r="S193" s="24">
        <f t="shared" si="33"/>
        <v>11</v>
      </c>
      <c r="T193" s="24"/>
      <c r="U193" s="24">
        <f>ROUNDDOWN(S193/HLOOKUP(D193,Table!$C$3:$D$4,2,0)*8,2)</f>
        <v>0.19</v>
      </c>
      <c r="V193" s="24"/>
      <c r="W193" s="24"/>
      <c r="X193" s="28">
        <v>43934</v>
      </c>
      <c r="Y193" s="28">
        <v>43950</v>
      </c>
      <c r="Z193" s="28"/>
      <c r="AA193" s="28"/>
      <c r="AB193" s="31"/>
      <c r="AC193" s="24"/>
      <c r="AD193" s="24"/>
      <c r="AE193" s="24"/>
      <c r="AF193" s="24"/>
      <c r="AG193" s="27" t="s">
        <v>76</v>
      </c>
      <c r="AH193" s="27" t="s">
        <v>76</v>
      </c>
    </row>
    <row r="194" spans="2:34" x14ac:dyDescent="0.25">
      <c r="B194" s="204">
        <f t="shared" si="29"/>
        <v>192</v>
      </c>
      <c r="C194" s="26">
        <v>20200413</v>
      </c>
      <c r="D194" s="32" t="s">
        <v>3</v>
      </c>
      <c r="E194" s="42" t="s">
        <v>1178</v>
      </c>
      <c r="F194" s="43" t="s">
        <v>1367</v>
      </c>
      <c r="G194" s="42">
        <v>1375671</v>
      </c>
      <c r="H194" s="232" t="s">
        <v>387</v>
      </c>
      <c r="I194" s="24" t="s">
        <v>193</v>
      </c>
      <c r="J194" s="54">
        <v>81728</v>
      </c>
      <c r="K194" s="24" t="s">
        <v>309</v>
      </c>
      <c r="L194" s="27" t="s">
        <v>76</v>
      </c>
      <c r="M194" s="27" t="s">
        <v>1199</v>
      </c>
      <c r="N194" s="26" t="s">
        <v>1216</v>
      </c>
      <c r="O194" s="24" t="s">
        <v>85</v>
      </c>
      <c r="P194" s="24"/>
      <c r="Q194" s="24"/>
      <c r="R194" s="42">
        <v>148</v>
      </c>
      <c r="S194" s="24">
        <f t="shared" si="33"/>
        <v>148</v>
      </c>
      <c r="T194" s="24"/>
      <c r="U194" s="24">
        <f>ROUNDDOWN(S194/HLOOKUP(D194,Table!$C$3:$D$4,2,0)*8,2)</f>
        <v>2.63</v>
      </c>
      <c r="V194" s="24"/>
      <c r="W194" s="24"/>
      <c r="X194" s="28">
        <v>43934</v>
      </c>
      <c r="Y194" s="28">
        <v>43950</v>
      </c>
      <c r="Z194" s="28"/>
      <c r="AA194" s="28"/>
      <c r="AB194" s="31"/>
      <c r="AC194" s="24"/>
      <c r="AD194" s="24"/>
      <c r="AE194" s="24"/>
      <c r="AF194" s="24"/>
      <c r="AG194" s="27" t="s">
        <v>76</v>
      </c>
      <c r="AH194" s="27" t="s">
        <v>76</v>
      </c>
    </row>
    <row r="195" spans="2:34" x14ac:dyDescent="0.25">
      <c r="B195" s="204">
        <f t="shared" si="29"/>
        <v>193</v>
      </c>
      <c r="C195" s="26">
        <v>20200413</v>
      </c>
      <c r="D195" s="32" t="s">
        <v>3</v>
      </c>
      <c r="E195" s="42" t="s">
        <v>1178</v>
      </c>
      <c r="F195" s="43" t="s">
        <v>1367</v>
      </c>
      <c r="G195" s="42">
        <v>1375671</v>
      </c>
      <c r="H195" s="232" t="s">
        <v>1090</v>
      </c>
      <c r="I195" s="24" t="s">
        <v>193</v>
      </c>
      <c r="J195" s="54">
        <v>81728</v>
      </c>
      <c r="K195" s="24" t="s">
        <v>309</v>
      </c>
      <c r="L195" s="27" t="s">
        <v>76</v>
      </c>
      <c r="M195" s="27" t="s">
        <v>1199</v>
      </c>
      <c r="N195" s="26" t="s">
        <v>1217</v>
      </c>
      <c r="O195" s="24" t="s">
        <v>85</v>
      </c>
      <c r="P195" s="24"/>
      <c r="Q195" s="24"/>
      <c r="R195" s="42">
        <v>33</v>
      </c>
      <c r="S195" s="24">
        <f t="shared" si="33"/>
        <v>33</v>
      </c>
      <c r="T195" s="24"/>
      <c r="U195" s="24">
        <f>ROUNDDOWN(S195/HLOOKUP(D195,Table!$C$3:$D$4,2,0)*8,2)</f>
        <v>0.57999999999999996</v>
      </c>
      <c r="V195" s="24"/>
      <c r="W195" s="24"/>
      <c r="X195" s="28">
        <v>43934</v>
      </c>
      <c r="Y195" s="28">
        <v>43950</v>
      </c>
      <c r="Z195" s="28"/>
      <c r="AA195" s="28"/>
      <c r="AB195" s="31"/>
      <c r="AC195" s="24"/>
      <c r="AD195" s="24"/>
      <c r="AE195" s="24"/>
      <c r="AF195" s="24"/>
      <c r="AG195" s="27" t="s">
        <v>76</v>
      </c>
      <c r="AH195" s="27" t="s">
        <v>76</v>
      </c>
    </row>
    <row r="196" spans="2:34" x14ac:dyDescent="0.25">
      <c r="B196" s="204">
        <f t="shared" si="29"/>
        <v>194</v>
      </c>
      <c r="C196" s="26">
        <v>20200413</v>
      </c>
      <c r="D196" s="32" t="s">
        <v>3</v>
      </c>
      <c r="E196" s="42" t="s">
        <v>1178</v>
      </c>
      <c r="F196" s="43" t="s">
        <v>1367</v>
      </c>
      <c r="G196" s="42">
        <v>1375671</v>
      </c>
      <c r="H196" s="232" t="s">
        <v>760</v>
      </c>
      <c r="I196" s="24" t="s">
        <v>193</v>
      </c>
      <c r="J196" s="54">
        <v>81728</v>
      </c>
      <c r="K196" s="24" t="s">
        <v>309</v>
      </c>
      <c r="L196" s="27" t="s">
        <v>76</v>
      </c>
      <c r="M196" s="27" t="s">
        <v>1199</v>
      </c>
      <c r="N196" s="26" t="s">
        <v>1218</v>
      </c>
      <c r="O196" s="24" t="s">
        <v>85</v>
      </c>
      <c r="P196" s="24"/>
      <c r="Q196" s="24"/>
      <c r="R196" s="42">
        <v>54</v>
      </c>
      <c r="S196" s="24">
        <f t="shared" si="33"/>
        <v>54</v>
      </c>
      <c r="T196" s="24"/>
      <c r="U196" s="24">
        <f>ROUNDDOWN(S196/HLOOKUP(D196,Table!$C$3:$D$4,2,0)*8,2)</f>
        <v>0.96</v>
      </c>
      <c r="V196" s="24"/>
      <c r="W196" s="24"/>
      <c r="X196" s="28">
        <v>43934</v>
      </c>
      <c r="Y196" s="28">
        <v>43950</v>
      </c>
      <c r="Z196" s="28"/>
      <c r="AA196" s="28"/>
      <c r="AB196" s="31"/>
      <c r="AC196" s="24"/>
      <c r="AD196" s="24"/>
      <c r="AE196" s="24"/>
      <c r="AF196" s="24"/>
      <c r="AG196" s="27" t="s">
        <v>76</v>
      </c>
      <c r="AH196" s="27" t="s">
        <v>76</v>
      </c>
    </row>
    <row r="197" spans="2:34" x14ac:dyDescent="0.25">
      <c r="B197" s="204">
        <f t="shared" si="29"/>
        <v>195</v>
      </c>
      <c r="C197" s="26">
        <v>20200413</v>
      </c>
      <c r="D197" s="32" t="s">
        <v>3</v>
      </c>
      <c r="E197" s="42" t="s">
        <v>1178</v>
      </c>
      <c r="F197" s="43" t="s">
        <v>1367</v>
      </c>
      <c r="G197" s="42">
        <v>1375671</v>
      </c>
      <c r="H197" s="230" t="s">
        <v>1188</v>
      </c>
      <c r="I197" s="24" t="s">
        <v>193</v>
      </c>
      <c r="J197" s="54">
        <v>81728</v>
      </c>
      <c r="K197" s="24" t="s">
        <v>309</v>
      </c>
      <c r="L197" s="27" t="s">
        <v>76</v>
      </c>
      <c r="M197" s="27" t="s">
        <v>1199</v>
      </c>
      <c r="N197" s="26" t="s">
        <v>1219</v>
      </c>
      <c r="O197" s="24" t="s">
        <v>83</v>
      </c>
      <c r="P197" s="24"/>
      <c r="Q197" s="24"/>
      <c r="R197" s="42">
        <v>132</v>
      </c>
      <c r="S197" s="155">
        <f>R197</f>
        <v>132</v>
      </c>
      <c r="T197" s="24">
        <f>S197</f>
        <v>132</v>
      </c>
      <c r="U197" s="24">
        <f>ROUNDDOWN(S197/HLOOKUP(D197,Table!$C$3:$D$4,2,0)*8,2)</f>
        <v>2.34</v>
      </c>
      <c r="V197" s="24"/>
      <c r="W197" s="24" t="s">
        <v>18</v>
      </c>
      <c r="X197" s="28">
        <v>43934</v>
      </c>
      <c r="Y197" s="28">
        <v>43950</v>
      </c>
      <c r="Z197" s="28">
        <v>43937</v>
      </c>
      <c r="AA197" s="28">
        <v>43937</v>
      </c>
      <c r="AB197" s="31" t="s">
        <v>158</v>
      </c>
      <c r="AC197" s="226">
        <v>100</v>
      </c>
      <c r="AD197" s="226">
        <v>100</v>
      </c>
      <c r="AE197" s="226">
        <v>100</v>
      </c>
      <c r="AF197" s="226" t="s">
        <v>20</v>
      </c>
      <c r="AG197" s="27" t="s">
        <v>76</v>
      </c>
      <c r="AH197" s="27" t="s">
        <v>76</v>
      </c>
    </row>
    <row r="198" spans="2:34" x14ac:dyDescent="0.25">
      <c r="B198" s="204">
        <f t="shared" ref="B198:B241" si="34">B197+1</f>
        <v>196</v>
      </c>
      <c r="C198" s="26">
        <v>20200413</v>
      </c>
      <c r="D198" s="32" t="s">
        <v>3</v>
      </c>
      <c r="E198" s="42" t="s">
        <v>1178</v>
      </c>
      <c r="F198" s="43" t="s">
        <v>1367</v>
      </c>
      <c r="G198" s="42">
        <v>1375671</v>
      </c>
      <c r="H198" s="230" t="s">
        <v>1189</v>
      </c>
      <c r="I198" s="24" t="s">
        <v>193</v>
      </c>
      <c r="J198" s="54">
        <v>81728</v>
      </c>
      <c r="K198" s="24" t="s">
        <v>309</v>
      </c>
      <c r="L198" s="27" t="s">
        <v>76</v>
      </c>
      <c r="M198" s="27" t="s">
        <v>1199</v>
      </c>
      <c r="N198" s="26" t="s">
        <v>1220</v>
      </c>
      <c r="O198" s="24" t="s">
        <v>83</v>
      </c>
      <c r="P198" s="24"/>
      <c r="Q198" s="24"/>
      <c r="R198" s="42">
        <v>116</v>
      </c>
      <c r="S198" s="155">
        <f>R198</f>
        <v>116</v>
      </c>
      <c r="T198" s="24">
        <f>S198</f>
        <v>116</v>
      </c>
      <c r="U198" s="24">
        <f>ROUNDDOWN(S198/HLOOKUP(D198,Table!$C$3:$D$4,2,0)*8,2)</f>
        <v>2.06</v>
      </c>
      <c r="V198" s="24">
        <v>1</v>
      </c>
      <c r="W198" s="24" t="s">
        <v>18</v>
      </c>
      <c r="X198" s="28">
        <v>43934</v>
      </c>
      <c r="Y198" s="28">
        <v>43950</v>
      </c>
      <c r="Z198" s="28">
        <v>43937</v>
      </c>
      <c r="AA198" s="28">
        <v>43937</v>
      </c>
      <c r="AB198" s="31" t="s">
        <v>158</v>
      </c>
      <c r="AC198" s="226">
        <v>100</v>
      </c>
      <c r="AD198" s="226">
        <v>100</v>
      </c>
      <c r="AE198" s="226">
        <v>100</v>
      </c>
      <c r="AF198" s="226" t="s">
        <v>20</v>
      </c>
      <c r="AG198" s="27" t="s">
        <v>76</v>
      </c>
      <c r="AH198" s="27" t="s">
        <v>76</v>
      </c>
    </row>
    <row r="199" spans="2:34" x14ac:dyDescent="0.25">
      <c r="B199" s="204">
        <f t="shared" si="34"/>
        <v>197</v>
      </c>
      <c r="C199" s="26">
        <v>20200413</v>
      </c>
      <c r="D199" s="32" t="s">
        <v>3</v>
      </c>
      <c r="E199" s="42" t="s">
        <v>1178</v>
      </c>
      <c r="F199" s="43" t="s">
        <v>1367</v>
      </c>
      <c r="G199" s="42">
        <v>1375671</v>
      </c>
      <c r="H199" s="230" t="s">
        <v>80</v>
      </c>
      <c r="I199" s="24" t="s">
        <v>193</v>
      </c>
      <c r="J199" s="54">
        <v>81728</v>
      </c>
      <c r="K199" s="24" t="s">
        <v>309</v>
      </c>
      <c r="L199" s="27" t="s">
        <v>76</v>
      </c>
      <c r="M199" s="27" t="s">
        <v>1199</v>
      </c>
      <c r="N199" s="26" t="s">
        <v>1221</v>
      </c>
      <c r="O199" s="24" t="s">
        <v>83</v>
      </c>
      <c r="P199" s="24"/>
      <c r="Q199" s="24"/>
      <c r="R199" s="42">
        <v>134</v>
      </c>
      <c r="S199" s="155">
        <f>R199</f>
        <v>134</v>
      </c>
      <c r="T199" s="24">
        <f>S199</f>
        <v>134</v>
      </c>
      <c r="U199" s="24">
        <f>ROUNDDOWN(S199/HLOOKUP(D199,Table!$C$3:$D$4,2,0)*8,2)</f>
        <v>2.38</v>
      </c>
      <c r="V199" s="24">
        <v>1</v>
      </c>
      <c r="W199" s="24" t="s">
        <v>18</v>
      </c>
      <c r="X199" s="28">
        <v>43934</v>
      </c>
      <c r="Y199" s="28">
        <v>43950</v>
      </c>
      <c r="Z199" s="28">
        <v>43937</v>
      </c>
      <c r="AA199" s="28">
        <v>43937</v>
      </c>
      <c r="AB199" s="31" t="s">
        <v>158</v>
      </c>
      <c r="AC199" s="226">
        <v>100</v>
      </c>
      <c r="AD199" s="226">
        <v>100</v>
      </c>
      <c r="AE199" s="226">
        <v>100</v>
      </c>
      <c r="AF199" s="226" t="s">
        <v>20</v>
      </c>
      <c r="AG199" s="27" t="s">
        <v>76</v>
      </c>
      <c r="AH199" s="27" t="s">
        <v>76</v>
      </c>
    </row>
    <row r="200" spans="2:34" x14ac:dyDescent="0.25">
      <c r="B200" s="204">
        <f t="shared" si="34"/>
        <v>198</v>
      </c>
      <c r="C200" s="26">
        <v>20200413</v>
      </c>
      <c r="D200" s="32" t="s">
        <v>3</v>
      </c>
      <c r="E200" s="42" t="s">
        <v>1178</v>
      </c>
      <c r="F200" s="43" t="s">
        <v>1367</v>
      </c>
      <c r="G200" s="42">
        <v>1375671</v>
      </c>
      <c r="H200" s="230" t="s">
        <v>988</v>
      </c>
      <c r="I200" s="24" t="s">
        <v>193</v>
      </c>
      <c r="J200" s="54">
        <v>81728</v>
      </c>
      <c r="K200" s="24" t="s">
        <v>309</v>
      </c>
      <c r="L200" s="27" t="s">
        <v>76</v>
      </c>
      <c r="M200" s="27" t="s">
        <v>1199</v>
      </c>
      <c r="N200" s="26" t="s">
        <v>1222</v>
      </c>
      <c r="O200" s="24" t="s">
        <v>83</v>
      </c>
      <c r="P200" s="24"/>
      <c r="Q200" s="24"/>
      <c r="R200" s="42">
        <v>257</v>
      </c>
      <c r="S200" s="155">
        <f>R200</f>
        <v>257</v>
      </c>
      <c r="T200" s="24">
        <f>S200</f>
        <v>257</v>
      </c>
      <c r="U200" s="24">
        <f>ROUNDDOWN(S200/HLOOKUP(D200,Table!$C$3:$D$4,2,0)*8,2)</f>
        <v>4.5599999999999996</v>
      </c>
      <c r="V200" s="24">
        <v>1</v>
      </c>
      <c r="W200" s="24" t="s">
        <v>18</v>
      </c>
      <c r="X200" s="28">
        <v>43934</v>
      </c>
      <c r="Y200" s="28">
        <v>43950</v>
      </c>
      <c r="Z200" s="28">
        <v>43937</v>
      </c>
      <c r="AA200" s="28">
        <v>43937</v>
      </c>
      <c r="AB200" s="31" t="s">
        <v>158</v>
      </c>
      <c r="AC200" s="226">
        <v>100</v>
      </c>
      <c r="AD200" s="226">
        <v>100</v>
      </c>
      <c r="AE200" s="226">
        <v>100</v>
      </c>
      <c r="AF200" s="226" t="s">
        <v>20</v>
      </c>
      <c r="AG200" s="27" t="s">
        <v>76</v>
      </c>
      <c r="AH200" s="27" t="s">
        <v>76</v>
      </c>
    </row>
    <row r="201" spans="2:34" x14ac:dyDescent="0.25">
      <c r="B201" s="204">
        <f t="shared" si="34"/>
        <v>199</v>
      </c>
      <c r="C201" s="26">
        <v>20200413</v>
      </c>
      <c r="D201" s="32" t="s">
        <v>3</v>
      </c>
      <c r="E201" s="42" t="s">
        <v>1178</v>
      </c>
      <c r="F201" s="43" t="s">
        <v>1367</v>
      </c>
      <c r="G201" s="42">
        <v>1375671</v>
      </c>
      <c r="H201" s="230" t="s">
        <v>761</v>
      </c>
      <c r="I201" s="24" t="s">
        <v>193</v>
      </c>
      <c r="J201" s="54">
        <v>81728</v>
      </c>
      <c r="K201" s="24" t="s">
        <v>309</v>
      </c>
      <c r="L201" s="27" t="s">
        <v>76</v>
      </c>
      <c r="M201" s="27" t="s">
        <v>1199</v>
      </c>
      <c r="N201" s="26" t="s">
        <v>1223</v>
      </c>
      <c r="O201" s="24" t="s">
        <v>83</v>
      </c>
      <c r="P201" s="24"/>
      <c r="Q201" s="24"/>
      <c r="R201" s="42">
        <v>132</v>
      </c>
      <c r="S201" s="155">
        <f>R201</f>
        <v>132</v>
      </c>
      <c r="T201" s="24">
        <f>S201</f>
        <v>132</v>
      </c>
      <c r="U201" s="24">
        <f>ROUNDDOWN(S201/HLOOKUP(D201,Table!$C$3:$D$4,2,0)*8,2)</f>
        <v>2.34</v>
      </c>
      <c r="V201" s="24">
        <v>1</v>
      </c>
      <c r="W201" s="24" t="s">
        <v>18</v>
      </c>
      <c r="X201" s="28">
        <v>43934</v>
      </c>
      <c r="Y201" s="28">
        <v>43950</v>
      </c>
      <c r="Z201" s="28">
        <v>43937</v>
      </c>
      <c r="AA201" s="28">
        <v>43937</v>
      </c>
      <c r="AB201" s="31" t="s">
        <v>158</v>
      </c>
      <c r="AC201" s="226">
        <v>100</v>
      </c>
      <c r="AD201" s="226">
        <v>100</v>
      </c>
      <c r="AE201" s="226">
        <v>100</v>
      </c>
      <c r="AF201" s="226" t="s">
        <v>20</v>
      </c>
      <c r="AG201" s="27" t="s">
        <v>76</v>
      </c>
      <c r="AH201" s="27" t="s">
        <v>76</v>
      </c>
    </row>
    <row r="202" spans="2:34" x14ac:dyDescent="0.25">
      <c r="B202" s="204">
        <f t="shared" si="34"/>
        <v>200</v>
      </c>
      <c r="C202" s="26">
        <v>20200413</v>
      </c>
      <c r="D202" s="32" t="s">
        <v>3</v>
      </c>
      <c r="E202" s="42" t="s">
        <v>1178</v>
      </c>
      <c r="F202" s="43" t="s">
        <v>1368</v>
      </c>
      <c r="G202" s="42">
        <v>1375671</v>
      </c>
      <c r="H202" s="232" t="s">
        <v>113</v>
      </c>
      <c r="I202" s="24" t="s">
        <v>193</v>
      </c>
      <c r="J202" s="54">
        <v>81728</v>
      </c>
      <c r="K202" s="24" t="s">
        <v>309</v>
      </c>
      <c r="L202" s="27" t="s">
        <v>76</v>
      </c>
      <c r="M202" s="27" t="s">
        <v>1199</v>
      </c>
      <c r="N202" s="26" t="s">
        <v>1224</v>
      </c>
      <c r="O202" s="24" t="s">
        <v>84</v>
      </c>
      <c r="P202" s="24"/>
      <c r="Q202" s="24"/>
      <c r="R202" s="42">
        <v>630</v>
      </c>
      <c r="S202" s="24">
        <f t="shared" si="33"/>
        <v>630</v>
      </c>
      <c r="T202" s="24">
        <f>S202</f>
        <v>630</v>
      </c>
      <c r="U202" s="24">
        <f>ROUNDDOWN(S202/HLOOKUP(D202,Table!$C$3:$D$4,2,0)*8,2)</f>
        <v>11.2</v>
      </c>
      <c r="V202" s="24">
        <v>5</v>
      </c>
      <c r="W202" s="24" t="s">
        <v>18</v>
      </c>
      <c r="X202" s="28">
        <v>43934</v>
      </c>
      <c r="Y202" s="28">
        <v>43950</v>
      </c>
      <c r="Z202" s="28">
        <v>43937</v>
      </c>
      <c r="AA202" s="28">
        <v>43937</v>
      </c>
      <c r="AB202" s="31" t="s">
        <v>158</v>
      </c>
      <c r="AC202" s="23">
        <v>100</v>
      </c>
      <c r="AD202" s="23">
        <v>100</v>
      </c>
      <c r="AE202" s="23">
        <v>100</v>
      </c>
      <c r="AF202" s="23" t="s">
        <v>20</v>
      </c>
      <c r="AG202" s="27" t="s">
        <v>76</v>
      </c>
      <c r="AH202" s="27" t="s">
        <v>76</v>
      </c>
    </row>
    <row r="203" spans="2:34" x14ac:dyDescent="0.25">
      <c r="B203" s="204">
        <f t="shared" si="34"/>
        <v>201</v>
      </c>
      <c r="C203" s="26">
        <v>20200413</v>
      </c>
      <c r="D203" s="32" t="s">
        <v>3</v>
      </c>
      <c r="E203" s="42" t="s">
        <v>1178</v>
      </c>
      <c r="F203" s="43" t="s">
        <v>1368</v>
      </c>
      <c r="G203" s="42">
        <v>1375671</v>
      </c>
      <c r="H203" s="232" t="s">
        <v>114</v>
      </c>
      <c r="I203" s="24" t="s">
        <v>193</v>
      </c>
      <c r="J203" s="54">
        <v>81728</v>
      </c>
      <c r="K203" s="24" t="s">
        <v>309</v>
      </c>
      <c r="L203" s="27" t="s">
        <v>76</v>
      </c>
      <c r="M203" s="27" t="s">
        <v>1199</v>
      </c>
      <c r="N203" s="26" t="s">
        <v>1225</v>
      </c>
      <c r="O203" s="24" t="s">
        <v>84</v>
      </c>
      <c r="P203" s="24"/>
      <c r="Q203" s="24"/>
      <c r="R203" s="42">
        <v>109</v>
      </c>
      <c r="S203" s="24">
        <f t="shared" si="33"/>
        <v>109</v>
      </c>
      <c r="T203" s="24">
        <f>S203</f>
        <v>109</v>
      </c>
      <c r="U203" s="24">
        <f>ROUNDDOWN(S203/HLOOKUP(D203,Table!$C$3:$D$4,2,0)*8,2)</f>
        <v>1.93</v>
      </c>
      <c r="V203" s="24">
        <v>1</v>
      </c>
      <c r="W203" s="24" t="s">
        <v>18</v>
      </c>
      <c r="X203" s="28">
        <v>43934</v>
      </c>
      <c r="Y203" s="28">
        <v>43950</v>
      </c>
      <c r="Z203" s="28">
        <v>43937</v>
      </c>
      <c r="AA203" s="28">
        <v>43937</v>
      </c>
      <c r="AB203" s="31" t="s">
        <v>158</v>
      </c>
      <c r="AC203" s="226">
        <v>100</v>
      </c>
      <c r="AD203" s="226">
        <v>100</v>
      </c>
      <c r="AE203" s="226">
        <v>100</v>
      </c>
      <c r="AF203" s="226" t="s">
        <v>20</v>
      </c>
      <c r="AG203" s="27" t="s">
        <v>76</v>
      </c>
      <c r="AH203" s="27" t="s">
        <v>76</v>
      </c>
    </row>
    <row r="204" spans="2:34" x14ac:dyDescent="0.25">
      <c r="B204" s="204">
        <f t="shared" si="34"/>
        <v>202</v>
      </c>
      <c r="C204" s="26">
        <v>20200413</v>
      </c>
      <c r="D204" s="32" t="s">
        <v>3</v>
      </c>
      <c r="E204" s="42" t="s">
        <v>1178</v>
      </c>
      <c r="F204" s="43" t="s">
        <v>1368</v>
      </c>
      <c r="G204" s="42">
        <v>1375671</v>
      </c>
      <c r="H204" s="232" t="s">
        <v>115</v>
      </c>
      <c r="I204" s="24" t="s">
        <v>193</v>
      </c>
      <c r="J204" s="54">
        <v>81728</v>
      </c>
      <c r="K204" s="24" t="s">
        <v>309</v>
      </c>
      <c r="L204" s="27" t="s">
        <v>76</v>
      </c>
      <c r="M204" s="27" t="s">
        <v>1199</v>
      </c>
      <c r="N204" s="26" t="s">
        <v>1226</v>
      </c>
      <c r="O204" s="24" t="s">
        <v>84</v>
      </c>
      <c r="P204" s="24"/>
      <c r="Q204" s="24"/>
      <c r="R204" s="42">
        <v>100</v>
      </c>
      <c r="S204" s="24">
        <f t="shared" si="33"/>
        <v>100</v>
      </c>
      <c r="T204" s="24">
        <f>S204</f>
        <v>100</v>
      </c>
      <c r="U204" s="24">
        <f>ROUNDDOWN(S204/HLOOKUP(D204,Table!$C$3:$D$4,2,0)*8,2)</f>
        <v>1.77</v>
      </c>
      <c r="V204" s="24">
        <v>1</v>
      </c>
      <c r="W204" s="24" t="s">
        <v>18</v>
      </c>
      <c r="X204" s="28">
        <v>43934</v>
      </c>
      <c r="Y204" s="28">
        <v>43950</v>
      </c>
      <c r="Z204" s="28">
        <v>43937</v>
      </c>
      <c r="AA204" s="28">
        <v>43937</v>
      </c>
      <c r="AB204" s="31" t="s">
        <v>158</v>
      </c>
      <c r="AC204" s="226">
        <v>100</v>
      </c>
      <c r="AD204" s="226">
        <v>100</v>
      </c>
      <c r="AE204" s="226">
        <v>100</v>
      </c>
      <c r="AF204" s="226" t="s">
        <v>20</v>
      </c>
      <c r="AG204" s="27" t="s">
        <v>76</v>
      </c>
      <c r="AH204" s="27" t="s">
        <v>76</v>
      </c>
    </row>
    <row r="205" spans="2:34" x14ac:dyDescent="0.25">
      <c r="B205" s="204">
        <f t="shared" si="34"/>
        <v>203</v>
      </c>
      <c r="C205" s="26">
        <v>20200413</v>
      </c>
      <c r="D205" s="32" t="s">
        <v>3</v>
      </c>
      <c r="E205" s="42" t="s">
        <v>1178</v>
      </c>
      <c r="F205" s="43" t="s">
        <v>1368</v>
      </c>
      <c r="G205" s="42">
        <v>1375671</v>
      </c>
      <c r="H205" s="232" t="s">
        <v>117</v>
      </c>
      <c r="I205" s="24" t="s">
        <v>193</v>
      </c>
      <c r="J205" s="54">
        <v>81728</v>
      </c>
      <c r="K205" s="24" t="s">
        <v>309</v>
      </c>
      <c r="L205" s="27" t="s">
        <v>76</v>
      </c>
      <c r="M205" s="27" t="s">
        <v>1199</v>
      </c>
      <c r="N205" s="26" t="s">
        <v>1227</v>
      </c>
      <c r="O205" s="24" t="s">
        <v>84</v>
      </c>
      <c r="P205" s="24"/>
      <c r="Q205" s="24"/>
      <c r="R205" s="42">
        <v>160</v>
      </c>
      <c r="S205" s="24">
        <f t="shared" si="33"/>
        <v>160</v>
      </c>
      <c r="T205" s="24">
        <f>S205</f>
        <v>160</v>
      </c>
      <c r="U205" s="24">
        <f>ROUNDDOWN(S205/HLOOKUP(D205,Table!$C$3:$D$4,2,0)*8,2)</f>
        <v>2.84</v>
      </c>
      <c r="V205" s="24">
        <v>2</v>
      </c>
      <c r="W205" s="24" t="s">
        <v>18</v>
      </c>
      <c r="X205" s="28">
        <v>43934</v>
      </c>
      <c r="Y205" s="28">
        <v>43950</v>
      </c>
      <c r="Z205" s="28">
        <v>43937</v>
      </c>
      <c r="AA205" s="28">
        <v>43937</v>
      </c>
      <c r="AB205" s="31" t="s">
        <v>158</v>
      </c>
      <c r="AC205" s="226">
        <v>100</v>
      </c>
      <c r="AD205" s="226">
        <v>100</v>
      </c>
      <c r="AE205" s="226">
        <v>100</v>
      </c>
      <c r="AF205" s="226" t="s">
        <v>20</v>
      </c>
      <c r="AG205" s="27" t="s">
        <v>76</v>
      </c>
      <c r="AH205" s="27" t="s">
        <v>76</v>
      </c>
    </row>
    <row r="206" spans="2:34" x14ac:dyDescent="0.25">
      <c r="B206" s="204">
        <f t="shared" si="34"/>
        <v>204</v>
      </c>
      <c r="C206" s="26">
        <v>20200413</v>
      </c>
      <c r="D206" s="32" t="s">
        <v>3</v>
      </c>
      <c r="E206" s="42" t="s">
        <v>1178</v>
      </c>
      <c r="F206" s="43" t="s">
        <v>1368</v>
      </c>
      <c r="G206" s="42">
        <v>1375671</v>
      </c>
      <c r="H206" s="232" t="s">
        <v>119</v>
      </c>
      <c r="I206" s="24" t="s">
        <v>193</v>
      </c>
      <c r="J206" s="54">
        <v>81728</v>
      </c>
      <c r="K206" s="24" t="s">
        <v>309</v>
      </c>
      <c r="L206" s="27" t="s">
        <v>76</v>
      </c>
      <c r="M206" s="27" t="s">
        <v>1199</v>
      </c>
      <c r="N206" s="26" t="s">
        <v>1228</v>
      </c>
      <c r="O206" s="24" t="s">
        <v>82</v>
      </c>
      <c r="P206" s="24"/>
      <c r="Q206" s="24"/>
      <c r="R206" s="42">
        <v>23</v>
      </c>
      <c r="S206" s="24">
        <f t="shared" si="33"/>
        <v>23</v>
      </c>
      <c r="T206" s="24"/>
      <c r="U206" s="24">
        <f>ROUNDDOWN(S206/HLOOKUP(D206,Table!$C$3:$D$4,2,0)*8,2)</f>
        <v>0.4</v>
      </c>
      <c r="V206" s="24"/>
      <c r="W206" s="24"/>
      <c r="X206" s="28">
        <v>43934</v>
      </c>
      <c r="Y206" s="28">
        <v>43950</v>
      </c>
      <c r="Z206" s="28"/>
      <c r="AA206" s="28"/>
      <c r="AB206" s="31"/>
      <c r="AC206" s="24"/>
      <c r="AD206" s="24"/>
      <c r="AE206" s="24"/>
      <c r="AF206" s="24"/>
      <c r="AG206" s="27" t="s">
        <v>76</v>
      </c>
      <c r="AH206" s="27" t="s">
        <v>76</v>
      </c>
    </row>
    <row r="207" spans="2:34" x14ac:dyDescent="0.25">
      <c r="B207" s="204">
        <f t="shared" si="34"/>
        <v>205</v>
      </c>
      <c r="C207" s="26">
        <v>20200413</v>
      </c>
      <c r="D207" s="32" t="s">
        <v>3</v>
      </c>
      <c r="E207" s="42" t="s">
        <v>1178</v>
      </c>
      <c r="F207" s="43" t="s">
        <v>1368</v>
      </c>
      <c r="G207" s="42">
        <v>1375671</v>
      </c>
      <c r="H207" s="230" t="s">
        <v>121</v>
      </c>
      <c r="I207" s="24" t="s">
        <v>193</v>
      </c>
      <c r="J207" s="54">
        <v>81728</v>
      </c>
      <c r="K207" s="24" t="s">
        <v>309</v>
      </c>
      <c r="L207" s="27" t="s">
        <v>76</v>
      </c>
      <c r="M207" s="27" t="s">
        <v>1199</v>
      </c>
      <c r="N207" s="26" t="s">
        <v>1229</v>
      </c>
      <c r="O207" s="24" t="s">
        <v>83</v>
      </c>
      <c r="P207" s="24"/>
      <c r="Q207" s="24"/>
      <c r="R207" s="42">
        <v>169</v>
      </c>
      <c r="S207" s="26">
        <f>R207</f>
        <v>169</v>
      </c>
      <c r="T207" s="24">
        <f>S207</f>
        <v>169</v>
      </c>
      <c r="U207" s="24">
        <f>ROUNDDOWN(S207/HLOOKUP(D207,Table!$C$3:$D$4,2,0)*8,2)</f>
        <v>3</v>
      </c>
      <c r="V207" s="24">
        <v>1</v>
      </c>
      <c r="W207" s="24" t="s">
        <v>18</v>
      </c>
      <c r="X207" s="28">
        <v>43934</v>
      </c>
      <c r="Y207" s="28">
        <v>43950</v>
      </c>
      <c r="Z207" s="28">
        <v>43937</v>
      </c>
      <c r="AA207" s="28">
        <v>43937</v>
      </c>
      <c r="AB207" s="31" t="s">
        <v>158</v>
      </c>
      <c r="AC207" s="226">
        <v>100</v>
      </c>
      <c r="AD207" s="226">
        <v>100</v>
      </c>
      <c r="AE207" s="226">
        <v>100</v>
      </c>
      <c r="AF207" s="226" t="s">
        <v>20</v>
      </c>
      <c r="AG207" s="27" t="s">
        <v>76</v>
      </c>
      <c r="AH207" s="27" t="s">
        <v>76</v>
      </c>
    </row>
    <row r="208" spans="2:34" x14ac:dyDescent="0.25">
      <c r="B208" s="204">
        <f t="shared" si="34"/>
        <v>206</v>
      </c>
      <c r="C208" s="26">
        <v>20200413</v>
      </c>
      <c r="D208" s="32" t="s">
        <v>3</v>
      </c>
      <c r="E208" s="42" t="s">
        <v>1178</v>
      </c>
      <c r="F208" s="43" t="s">
        <v>1368</v>
      </c>
      <c r="G208" s="42">
        <v>1375671</v>
      </c>
      <c r="H208" s="232" t="s">
        <v>1190</v>
      </c>
      <c r="I208" s="24" t="s">
        <v>193</v>
      </c>
      <c r="J208" s="54">
        <v>81728</v>
      </c>
      <c r="K208" s="24" t="s">
        <v>309</v>
      </c>
      <c r="L208" s="27" t="s">
        <v>76</v>
      </c>
      <c r="M208" s="27" t="s">
        <v>1199</v>
      </c>
      <c r="N208" s="26" t="s">
        <v>1230</v>
      </c>
      <c r="O208" s="24" t="s">
        <v>82</v>
      </c>
      <c r="P208" s="24"/>
      <c r="Q208" s="24"/>
      <c r="R208" s="42">
        <v>187</v>
      </c>
      <c r="S208" s="24">
        <f>R208</f>
        <v>187</v>
      </c>
      <c r="T208" s="24"/>
      <c r="U208" s="24">
        <f>ROUNDDOWN(S208/HLOOKUP(D208,Table!$C$3:$D$4,2,0)*8,2)</f>
        <v>3.32</v>
      </c>
      <c r="V208" s="24"/>
      <c r="W208" s="24"/>
      <c r="X208" s="28">
        <v>43934</v>
      </c>
      <c r="Y208" s="28">
        <v>43950</v>
      </c>
      <c r="Z208" s="28"/>
      <c r="AA208" s="28"/>
      <c r="AB208" s="31"/>
      <c r="AC208" s="24"/>
      <c r="AD208" s="24"/>
      <c r="AE208" s="24"/>
      <c r="AF208" s="24"/>
      <c r="AG208" s="27" t="s">
        <v>76</v>
      </c>
      <c r="AH208" s="27" t="s">
        <v>76</v>
      </c>
    </row>
    <row r="209" spans="2:34" x14ac:dyDescent="0.25">
      <c r="B209" s="204">
        <f t="shared" si="34"/>
        <v>207</v>
      </c>
      <c r="C209" s="26">
        <v>20200413</v>
      </c>
      <c r="D209" s="32" t="s">
        <v>3</v>
      </c>
      <c r="E209" s="42" t="s">
        <v>1178</v>
      </c>
      <c r="F209" s="43" t="s">
        <v>1368</v>
      </c>
      <c r="G209" s="42">
        <v>1375671</v>
      </c>
      <c r="H209" s="232" t="s">
        <v>759</v>
      </c>
      <c r="I209" s="24" t="s">
        <v>193</v>
      </c>
      <c r="J209" s="54">
        <v>81728</v>
      </c>
      <c r="K209" s="24" t="s">
        <v>309</v>
      </c>
      <c r="L209" s="27" t="s">
        <v>76</v>
      </c>
      <c r="M209" s="27" t="s">
        <v>1199</v>
      </c>
      <c r="N209" s="26" t="s">
        <v>1231</v>
      </c>
      <c r="O209" s="24" t="s">
        <v>82</v>
      </c>
      <c r="P209" s="24"/>
      <c r="Q209" s="24"/>
      <c r="R209" s="42">
        <v>390</v>
      </c>
      <c r="S209" s="24">
        <f>R209</f>
        <v>390</v>
      </c>
      <c r="T209" s="24"/>
      <c r="U209" s="24">
        <f>ROUNDDOWN(S209/HLOOKUP(D209,Table!$C$3:$D$4,2,0)*8,2)</f>
        <v>6.93</v>
      </c>
      <c r="V209" s="24"/>
      <c r="W209" s="24"/>
      <c r="X209" s="28">
        <v>43934</v>
      </c>
      <c r="Y209" s="28">
        <v>43950</v>
      </c>
      <c r="Z209" s="28"/>
      <c r="AA209" s="28"/>
      <c r="AB209" s="31"/>
      <c r="AC209" s="24"/>
      <c r="AD209" s="24"/>
      <c r="AE209" s="24"/>
      <c r="AF209" s="24"/>
      <c r="AG209" s="27" t="s">
        <v>76</v>
      </c>
      <c r="AH209" s="27" t="s">
        <v>76</v>
      </c>
    </row>
    <row r="210" spans="2:34" x14ac:dyDescent="0.25">
      <c r="B210" s="204">
        <f t="shared" si="34"/>
        <v>208</v>
      </c>
      <c r="C210" s="26">
        <v>20200413</v>
      </c>
      <c r="D210" s="32" t="s">
        <v>3</v>
      </c>
      <c r="E210" s="42" t="s">
        <v>1178</v>
      </c>
      <c r="F210" s="43" t="s">
        <v>1368</v>
      </c>
      <c r="G210" s="42">
        <v>1375671</v>
      </c>
      <c r="H210" s="232" t="s">
        <v>661</v>
      </c>
      <c r="I210" s="24" t="s">
        <v>193</v>
      </c>
      <c r="J210" s="54">
        <v>81728</v>
      </c>
      <c r="K210" s="24" t="s">
        <v>309</v>
      </c>
      <c r="L210" s="27" t="s">
        <v>76</v>
      </c>
      <c r="M210" s="27" t="s">
        <v>1199</v>
      </c>
      <c r="N210" s="26" t="s">
        <v>1232</v>
      </c>
      <c r="O210" s="24" t="s">
        <v>82</v>
      </c>
      <c r="P210" s="24"/>
      <c r="Q210" s="24"/>
      <c r="R210" s="42">
        <v>61</v>
      </c>
      <c r="S210" s="24">
        <f>R210</f>
        <v>61</v>
      </c>
      <c r="T210" s="24"/>
      <c r="U210" s="24">
        <f>ROUNDDOWN(S210/HLOOKUP(D210,Table!$C$3:$D$4,2,0)*8,2)</f>
        <v>1.08</v>
      </c>
      <c r="V210" s="24"/>
      <c r="W210" s="24"/>
      <c r="X210" s="28">
        <v>43934</v>
      </c>
      <c r="Y210" s="28">
        <v>43950</v>
      </c>
      <c r="Z210" s="28"/>
      <c r="AA210" s="28"/>
      <c r="AB210" s="31"/>
      <c r="AC210" s="24"/>
      <c r="AD210" s="24"/>
      <c r="AE210" s="24"/>
      <c r="AF210" s="24"/>
      <c r="AG210" s="27" t="s">
        <v>76</v>
      </c>
      <c r="AH210" s="27" t="s">
        <v>76</v>
      </c>
    </row>
    <row r="211" spans="2:34" x14ac:dyDescent="0.25">
      <c r="B211" s="204">
        <f t="shared" si="34"/>
        <v>209</v>
      </c>
      <c r="C211" s="26">
        <v>20200413</v>
      </c>
      <c r="D211" s="32" t="s">
        <v>3</v>
      </c>
      <c r="E211" s="42" t="s">
        <v>1178</v>
      </c>
      <c r="F211" s="43" t="s">
        <v>1368</v>
      </c>
      <c r="G211" s="42">
        <v>1375671</v>
      </c>
      <c r="H211" s="232" t="s">
        <v>1191</v>
      </c>
      <c r="I211" s="24" t="s">
        <v>193</v>
      </c>
      <c r="J211" s="54">
        <v>81728</v>
      </c>
      <c r="K211" s="24" t="s">
        <v>309</v>
      </c>
      <c r="L211" s="27" t="s">
        <v>76</v>
      </c>
      <c r="M211" s="27" t="s">
        <v>1199</v>
      </c>
      <c r="N211" s="26" t="s">
        <v>1233</v>
      </c>
      <c r="O211" s="24" t="s">
        <v>82</v>
      </c>
      <c r="P211" s="24"/>
      <c r="Q211" s="24"/>
      <c r="R211" s="42">
        <v>130</v>
      </c>
      <c r="S211" s="24">
        <f>R211</f>
        <v>130</v>
      </c>
      <c r="T211" s="24"/>
      <c r="U211" s="24">
        <f>ROUNDDOWN(S211/HLOOKUP(D211,Table!$C$3:$D$4,2,0)*8,2)</f>
        <v>2.31</v>
      </c>
      <c r="V211" s="24"/>
      <c r="W211" s="24"/>
      <c r="X211" s="28">
        <v>43934</v>
      </c>
      <c r="Y211" s="28">
        <v>43950</v>
      </c>
      <c r="Z211" s="28"/>
      <c r="AA211" s="28"/>
      <c r="AB211" s="31"/>
      <c r="AC211" s="24"/>
      <c r="AD211" s="24"/>
      <c r="AE211" s="24"/>
      <c r="AF211" s="24"/>
      <c r="AG211" s="27" t="s">
        <v>76</v>
      </c>
      <c r="AH211" s="27" t="s">
        <v>76</v>
      </c>
    </row>
    <row r="212" spans="2:34" x14ac:dyDescent="0.25">
      <c r="B212" s="204">
        <f t="shared" si="34"/>
        <v>210</v>
      </c>
      <c r="C212" s="26">
        <v>20200413</v>
      </c>
      <c r="D212" s="32" t="s">
        <v>3</v>
      </c>
      <c r="E212" s="42" t="s">
        <v>1178</v>
      </c>
      <c r="F212" s="43" t="s">
        <v>1368</v>
      </c>
      <c r="G212" s="42">
        <v>1375671</v>
      </c>
      <c r="H212" s="232" t="s">
        <v>1192</v>
      </c>
      <c r="I212" s="24" t="s">
        <v>193</v>
      </c>
      <c r="J212" s="54">
        <v>81728</v>
      </c>
      <c r="K212" s="24" t="s">
        <v>309</v>
      </c>
      <c r="L212" s="27" t="s">
        <v>76</v>
      </c>
      <c r="M212" s="27" t="s">
        <v>1199</v>
      </c>
      <c r="N212" s="26" t="s">
        <v>1234</v>
      </c>
      <c r="O212" s="24" t="s">
        <v>82</v>
      </c>
      <c r="P212" s="24"/>
      <c r="Q212" s="24"/>
      <c r="R212" s="42">
        <v>196</v>
      </c>
      <c r="S212" s="24">
        <f>R212</f>
        <v>196</v>
      </c>
      <c r="T212" s="24"/>
      <c r="U212" s="24">
        <f>ROUNDDOWN(S212/HLOOKUP(D212,Table!$C$3:$D$4,2,0)*8,2)</f>
        <v>3.48</v>
      </c>
      <c r="V212" s="24"/>
      <c r="W212" s="24"/>
      <c r="X212" s="28">
        <v>43934</v>
      </c>
      <c r="Y212" s="28">
        <v>43950</v>
      </c>
      <c r="Z212" s="28"/>
      <c r="AA212" s="28"/>
      <c r="AB212" s="31"/>
      <c r="AC212" s="24"/>
      <c r="AD212" s="24"/>
      <c r="AE212" s="24"/>
      <c r="AF212" s="24"/>
      <c r="AG212" s="27" t="s">
        <v>76</v>
      </c>
      <c r="AH212" s="27" t="s">
        <v>76</v>
      </c>
    </row>
    <row r="213" spans="2:34" x14ac:dyDescent="0.25">
      <c r="B213" s="204">
        <f t="shared" si="34"/>
        <v>211</v>
      </c>
      <c r="C213" s="26">
        <v>20200413</v>
      </c>
      <c r="D213" s="32" t="s">
        <v>3</v>
      </c>
      <c r="E213" s="42" t="s">
        <v>1178</v>
      </c>
      <c r="F213" s="43" t="s">
        <v>1368</v>
      </c>
      <c r="G213" s="42">
        <v>1375671</v>
      </c>
      <c r="H213" s="232" t="s">
        <v>1193</v>
      </c>
      <c r="I213" s="24" t="s">
        <v>193</v>
      </c>
      <c r="J213" s="54">
        <v>81728</v>
      </c>
      <c r="K213" s="24" t="s">
        <v>309</v>
      </c>
      <c r="L213" s="27" t="s">
        <v>76</v>
      </c>
      <c r="M213" s="27" t="s">
        <v>1199</v>
      </c>
      <c r="N213" s="26" t="s">
        <v>1235</v>
      </c>
      <c r="O213" s="24" t="s">
        <v>82</v>
      </c>
      <c r="P213" s="24"/>
      <c r="Q213" s="24"/>
      <c r="R213" s="42">
        <v>173</v>
      </c>
      <c r="S213" s="24">
        <f>R213</f>
        <v>173</v>
      </c>
      <c r="T213" s="24"/>
      <c r="U213" s="24">
        <f>ROUNDDOWN(S213/HLOOKUP(D213,Table!$C$3:$D$4,2,0)*8,2)</f>
        <v>3.07</v>
      </c>
      <c r="V213" s="24"/>
      <c r="W213" s="24"/>
      <c r="X213" s="28">
        <v>43934</v>
      </c>
      <c r="Y213" s="28">
        <v>43950</v>
      </c>
      <c r="Z213" s="28"/>
      <c r="AA213" s="28"/>
      <c r="AB213" s="31"/>
      <c r="AC213" s="24"/>
      <c r="AD213" s="24"/>
      <c r="AE213" s="24"/>
      <c r="AF213" s="24"/>
      <c r="AG213" s="27" t="s">
        <v>76</v>
      </c>
      <c r="AH213" s="27" t="s">
        <v>76</v>
      </c>
    </row>
    <row r="214" spans="2:34" x14ac:dyDescent="0.25">
      <c r="B214" s="204">
        <f t="shared" si="34"/>
        <v>212</v>
      </c>
      <c r="C214" s="26">
        <v>20200413</v>
      </c>
      <c r="D214" s="32" t="s">
        <v>3</v>
      </c>
      <c r="E214" s="42" t="s">
        <v>1178</v>
      </c>
      <c r="F214" s="43" t="s">
        <v>1368</v>
      </c>
      <c r="G214" s="42">
        <v>1375671</v>
      </c>
      <c r="H214" s="232" t="s">
        <v>122</v>
      </c>
      <c r="I214" s="24" t="s">
        <v>193</v>
      </c>
      <c r="J214" s="54">
        <v>81728</v>
      </c>
      <c r="K214" s="24" t="s">
        <v>309</v>
      </c>
      <c r="L214" s="27" t="s">
        <v>76</v>
      </c>
      <c r="M214" s="27" t="s">
        <v>1199</v>
      </c>
      <c r="N214" s="26" t="s">
        <v>1236</v>
      </c>
      <c r="O214" s="24" t="s">
        <v>82</v>
      </c>
      <c r="P214" s="24"/>
      <c r="Q214" s="24"/>
      <c r="R214" s="42">
        <v>119</v>
      </c>
      <c r="S214" s="24">
        <f>R214</f>
        <v>119</v>
      </c>
      <c r="T214" s="24"/>
      <c r="U214" s="24">
        <f>ROUNDDOWN(S214/HLOOKUP(D214,Table!$C$3:$D$4,2,0)*8,2)</f>
        <v>2.11</v>
      </c>
      <c r="V214" s="24"/>
      <c r="W214" s="24"/>
      <c r="X214" s="28">
        <v>43934</v>
      </c>
      <c r="Y214" s="28">
        <v>43950</v>
      </c>
      <c r="Z214" s="28"/>
      <c r="AA214" s="28"/>
      <c r="AB214" s="31"/>
      <c r="AC214" s="24"/>
      <c r="AD214" s="24"/>
      <c r="AE214" s="24"/>
      <c r="AF214" s="24"/>
      <c r="AG214" s="27" t="s">
        <v>76</v>
      </c>
      <c r="AH214" s="27" t="s">
        <v>76</v>
      </c>
    </row>
    <row r="215" spans="2:34" x14ac:dyDescent="0.25">
      <c r="B215" s="204">
        <f t="shared" si="34"/>
        <v>213</v>
      </c>
      <c r="C215" s="26">
        <v>20200413</v>
      </c>
      <c r="D215" s="32" t="s">
        <v>3</v>
      </c>
      <c r="E215" s="42" t="s">
        <v>1178</v>
      </c>
      <c r="F215" s="43" t="s">
        <v>1368</v>
      </c>
      <c r="G215" s="42">
        <v>1375671</v>
      </c>
      <c r="H215" s="232" t="s">
        <v>1194</v>
      </c>
      <c r="I215" s="24" t="s">
        <v>193</v>
      </c>
      <c r="J215" s="54">
        <v>81728</v>
      </c>
      <c r="K215" s="24" t="s">
        <v>309</v>
      </c>
      <c r="L215" s="27" t="s">
        <v>76</v>
      </c>
      <c r="M215" s="27" t="s">
        <v>1199</v>
      </c>
      <c r="N215" s="26" t="s">
        <v>1237</v>
      </c>
      <c r="O215" s="24" t="s">
        <v>82</v>
      </c>
      <c r="P215" s="24"/>
      <c r="Q215" s="24"/>
      <c r="R215" s="42">
        <v>176</v>
      </c>
      <c r="S215" s="24">
        <f>R215</f>
        <v>176</v>
      </c>
      <c r="T215" s="24"/>
      <c r="U215" s="24">
        <f>ROUNDDOWN(S215/HLOOKUP(D215,Table!$C$3:$D$4,2,0)*8,2)</f>
        <v>3.12</v>
      </c>
      <c r="V215" s="24"/>
      <c r="W215" s="24"/>
      <c r="X215" s="28">
        <v>43934</v>
      </c>
      <c r="Y215" s="28">
        <v>43950</v>
      </c>
      <c r="Z215" s="28"/>
      <c r="AA215" s="28"/>
      <c r="AB215" s="31"/>
      <c r="AC215" s="24"/>
      <c r="AD215" s="24"/>
      <c r="AE215" s="24"/>
      <c r="AF215" s="24"/>
      <c r="AG215" s="27" t="s">
        <v>76</v>
      </c>
      <c r="AH215" s="27" t="s">
        <v>76</v>
      </c>
    </row>
    <row r="216" spans="2:34" x14ac:dyDescent="0.25">
      <c r="B216" s="204">
        <f t="shared" si="34"/>
        <v>214</v>
      </c>
      <c r="C216" s="26">
        <v>20200413</v>
      </c>
      <c r="D216" s="32" t="s">
        <v>3</v>
      </c>
      <c r="E216" s="42" t="s">
        <v>1178</v>
      </c>
      <c r="F216" s="43" t="s">
        <v>1368</v>
      </c>
      <c r="G216" s="42">
        <v>1375671</v>
      </c>
      <c r="H216" s="232" t="s">
        <v>132</v>
      </c>
      <c r="I216" s="24" t="s">
        <v>193</v>
      </c>
      <c r="J216" s="54">
        <v>81728</v>
      </c>
      <c r="K216" s="24" t="s">
        <v>309</v>
      </c>
      <c r="L216" s="27" t="s">
        <v>76</v>
      </c>
      <c r="M216" s="27" t="s">
        <v>1199</v>
      </c>
      <c r="N216" s="26" t="s">
        <v>1238</v>
      </c>
      <c r="O216" s="24" t="s">
        <v>82</v>
      </c>
      <c r="P216" s="24"/>
      <c r="Q216" s="24"/>
      <c r="R216" s="42">
        <v>116</v>
      </c>
      <c r="S216" s="24">
        <f>R216</f>
        <v>116</v>
      </c>
      <c r="T216" s="24"/>
      <c r="U216" s="24">
        <f>ROUNDDOWN(S216/HLOOKUP(D216,Table!$C$3:$D$4,2,0)*8,2)</f>
        <v>2.06</v>
      </c>
      <c r="V216" s="24"/>
      <c r="W216" s="24"/>
      <c r="X216" s="28">
        <v>43934</v>
      </c>
      <c r="Y216" s="28">
        <v>43950</v>
      </c>
      <c r="Z216" s="28"/>
      <c r="AA216" s="28"/>
      <c r="AB216" s="31"/>
      <c r="AC216" s="24"/>
      <c r="AD216" s="24"/>
      <c r="AE216" s="24"/>
      <c r="AF216" s="24"/>
      <c r="AG216" s="27" t="s">
        <v>76</v>
      </c>
      <c r="AH216" s="27" t="s">
        <v>76</v>
      </c>
    </row>
    <row r="217" spans="2:34" x14ac:dyDescent="0.25">
      <c r="B217" s="204">
        <f t="shared" si="34"/>
        <v>215</v>
      </c>
      <c r="C217" s="26">
        <v>20200413</v>
      </c>
      <c r="D217" s="32" t="s">
        <v>3</v>
      </c>
      <c r="E217" s="42" t="s">
        <v>1178</v>
      </c>
      <c r="F217" s="43" t="s">
        <v>1368</v>
      </c>
      <c r="G217" s="42">
        <v>1375671</v>
      </c>
      <c r="H217" s="232" t="s">
        <v>133</v>
      </c>
      <c r="I217" s="24" t="s">
        <v>193</v>
      </c>
      <c r="J217" s="54">
        <v>81728</v>
      </c>
      <c r="K217" s="24" t="s">
        <v>309</v>
      </c>
      <c r="L217" s="27" t="s">
        <v>76</v>
      </c>
      <c r="M217" s="27" t="s">
        <v>1199</v>
      </c>
      <c r="N217" s="26" t="s">
        <v>1239</v>
      </c>
      <c r="O217" s="24" t="s">
        <v>85</v>
      </c>
      <c r="P217" s="24"/>
      <c r="Q217" s="24"/>
      <c r="R217" s="42">
        <v>268</v>
      </c>
      <c r="S217" s="24">
        <f>R217</f>
        <v>268</v>
      </c>
      <c r="T217" s="24"/>
      <c r="U217" s="24">
        <f>ROUNDDOWN(S217/HLOOKUP(D217,Table!$C$3:$D$4,2,0)*8,2)</f>
        <v>4.76</v>
      </c>
      <c r="V217" s="24"/>
      <c r="W217" s="24"/>
      <c r="X217" s="28">
        <v>43934</v>
      </c>
      <c r="Y217" s="28">
        <v>43950</v>
      </c>
      <c r="Z217" s="28"/>
      <c r="AA217" s="28"/>
      <c r="AB217" s="31"/>
      <c r="AC217" s="24"/>
      <c r="AD217" s="24"/>
      <c r="AE217" s="24"/>
      <c r="AF217" s="24"/>
      <c r="AG217" s="27" t="s">
        <v>76</v>
      </c>
      <c r="AH217" s="27" t="s">
        <v>76</v>
      </c>
    </row>
    <row r="218" spans="2:34" x14ac:dyDescent="0.25">
      <c r="B218" s="204">
        <f t="shared" si="34"/>
        <v>216</v>
      </c>
      <c r="C218" s="26">
        <v>20200413</v>
      </c>
      <c r="D218" s="32" t="s">
        <v>3</v>
      </c>
      <c r="E218" s="42" t="s">
        <v>1178</v>
      </c>
      <c r="F218" s="43" t="s">
        <v>1368</v>
      </c>
      <c r="G218" s="42">
        <v>1375671</v>
      </c>
      <c r="H218" s="232" t="s">
        <v>1097</v>
      </c>
      <c r="I218" s="24" t="s">
        <v>193</v>
      </c>
      <c r="J218" s="54">
        <v>81728</v>
      </c>
      <c r="K218" s="24" t="s">
        <v>309</v>
      </c>
      <c r="L218" s="27" t="s">
        <v>76</v>
      </c>
      <c r="M218" s="27" t="s">
        <v>1199</v>
      </c>
      <c r="N218" s="26" t="s">
        <v>1240</v>
      </c>
      <c r="O218" s="24" t="s">
        <v>85</v>
      </c>
      <c r="P218" s="24"/>
      <c r="Q218" s="24"/>
      <c r="R218" s="42">
        <v>237</v>
      </c>
      <c r="S218" s="24">
        <f>R218</f>
        <v>237</v>
      </c>
      <c r="T218" s="24"/>
      <c r="U218" s="24">
        <f>ROUNDDOWN(S218/HLOOKUP(D218,Table!$C$3:$D$4,2,0)*8,2)</f>
        <v>4.21</v>
      </c>
      <c r="V218" s="24"/>
      <c r="W218" s="24"/>
      <c r="X218" s="28">
        <v>43934</v>
      </c>
      <c r="Y218" s="28">
        <v>43950</v>
      </c>
      <c r="Z218" s="28"/>
      <c r="AA218" s="28"/>
      <c r="AB218" s="31"/>
      <c r="AC218" s="24"/>
      <c r="AD218" s="24"/>
      <c r="AE218" s="24"/>
      <c r="AF218" s="24"/>
      <c r="AG218" s="27" t="s">
        <v>76</v>
      </c>
      <c r="AH218" s="27" t="s">
        <v>76</v>
      </c>
    </row>
    <row r="219" spans="2:34" x14ac:dyDescent="0.25">
      <c r="B219" s="204">
        <f t="shared" si="34"/>
        <v>217</v>
      </c>
      <c r="C219" s="26">
        <v>20200413</v>
      </c>
      <c r="D219" s="32" t="s">
        <v>3</v>
      </c>
      <c r="E219" s="42" t="s">
        <v>1178</v>
      </c>
      <c r="F219" s="43" t="s">
        <v>1369</v>
      </c>
      <c r="G219" s="42">
        <v>1375671</v>
      </c>
      <c r="H219" s="232" t="s">
        <v>110</v>
      </c>
      <c r="I219" s="24" t="s">
        <v>193</v>
      </c>
      <c r="J219" s="54">
        <v>81728</v>
      </c>
      <c r="K219" s="24" t="s">
        <v>309</v>
      </c>
      <c r="L219" s="27" t="s">
        <v>76</v>
      </c>
      <c r="M219" s="27" t="s">
        <v>1199</v>
      </c>
      <c r="N219" s="26" t="s">
        <v>1241</v>
      </c>
      <c r="O219" s="24" t="s">
        <v>85</v>
      </c>
      <c r="P219" s="24"/>
      <c r="Q219" s="24"/>
      <c r="R219" s="42">
        <v>77</v>
      </c>
      <c r="S219" s="24">
        <f>R219</f>
        <v>77</v>
      </c>
      <c r="T219" s="24"/>
      <c r="U219" s="24">
        <f>ROUNDDOWN(S219/HLOOKUP(D219,Table!$C$3:$D$4,2,0)*8,2)</f>
        <v>1.36</v>
      </c>
      <c r="V219" s="24"/>
      <c r="W219" s="24"/>
      <c r="X219" s="28">
        <v>43934</v>
      </c>
      <c r="Y219" s="28">
        <v>43950</v>
      </c>
      <c r="Z219" s="28"/>
      <c r="AA219" s="28"/>
      <c r="AB219" s="31"/>
      <c r="AC219" s="24"/>
      <c r="AD219" s="24"/>
      <c r="AE219" s="24"/>
      <c r="AF219" s="24"/>
      <c r="AG219" s="27" t="s">
        <v>76</v>
      </c>
      <c r="AH219" s="27" t="s">
        <v>76</v>
      </c>
    </row>
    <row r="220" spans="2:34" x14ac:dyDescent="0.25">
      <c r="B220" s="204">
        <f t="shared" si="34"/>
        <v>218</v>
      </c>
      <c r="C220" s="26">
        <v>20200413</v>
      </c>
      <c r="D220" s="32" t="s">
        <v>3</v>
      </c>
      <c r="E220" s="42" t="s">
        <v>1178</v>
      </c>
      <c r="F220" s="43" t="s">
        <v>1369</v>
      </c>
      <c r="G220" s="42">
        <v>1375671</v>
      </c>
      <c r="H220" s="232" t="s">
        <v>111</v>
      </c>
      <c r="I220" s="24" t="s">
        <v>193</v>
      </c>
      <c r="J220" s="54">
        <v>81728</v>
      </c>
      <c r="K220" s="24" t="s">
        <v>309</v>
      </c>
      <c r="L220" s="27" t="s">
        <v>76</v>
      </c>
      <c r="M220" s="27" t="s">
        <v>1199</v>
      </c>
      <c r="N220" s="26" t="s">
        <v>1242</v>
      </c>
      <c r="O220" s="24" t="s">
        <v>85</v>
      </c>
      <c r="P220" s="24"/>
      <c r="Q220" s="24"/>
      <c r="R220" s="42">
        <v>44</v>
      </c>
      <c r="S220" s="24">
        <f>R220</f>
        <v>44</v>
      </c>
      <c r="T220" s="24"/>
      <c r="U220" s="24">
        <f>ROUNDDOWN(S220/HLOOKUP(D220,Table!$C$3:$D$4,2,0)*8,2)</f>
        <v>0.78</v>
      </c>
      <c r="V220" s="24"/>
      <c r="W220" s="24"/>
      <c r="X220" s="28">
        <v>43934</v>
      </c>
      <c r="Y220" s="28">
        <v>43950</v>
      </c>
      <c r="Z220" s="28"/>
      <c r="AA220" s="28"/>
      <c r="AB220" s="31"/>
      <c r="AC220" s="24"/>
      <c r="AD220" s="24"/>
      <c r="AE220" s="24"/>
      <c r="AF220" s="24"/>
      <c r="AG220" s="27" t="s">
        <v>76</v>
      </c>
      <c r="AH220" s="27" t="s">
        <v>76</v>
      </c>
    </row>
    <row r="221" spans="2:34" x14ac:dyDescent="0.25">
      <c r="B221" s="204">
        <f t="shared" si="34"/>
        <v>219</v>
      </c>
      <c r="C221" s="26">
        <v>20200413</v>
      </c>
      <c r="D221" s="32" t="s">
        <v>3</v>
      </c>
      <c r="E221" s="42" t="s">
        <v>1178</v>
      </c>
      <c r="F221" s="43" t="s">
        <v>1369</v>
      </c>
      <c r="G221" s="42">
        <v>1375671</v>
      </c>
      <c r="H221" s="232" t="s">
        <v>112</v>
      </c>
      <c r="I221" s="24" t="s">
        <v>193</v>
      </c>
      <c r="J221" s="54">
        <v>81728</v>
      </c>
      <c r="K221" s="24" t="s">
        <v>309</v>
      </c>
      <c r="L221" s="27" t="s">
        <v>76</v>
      </c>
      <c r="M221" s="27" t="s">
        <v>1199</v>
      </c>
      <c r="N221" s="26" t="s">
        <v>1243</v>
      </c>
      <c r="O221" s="24" t="s">
        <v>85</v>
      </c>
      <c r="P221" s="24"/>
      <c r="Q221" s="24"/>
      <c r="R221" s="42">
        <v>200</v>
      </c>
      <c r="S221" s="24">
        <f>R221</f>
        <v>200</v>
      </c>
      <c r="T221" s="24"/>
      <c r="U221" s="24">
        <f>ROUNDDOWN(S221/HLOOKUP(D221,Table!$C$3:$D$4,2,0)*8,2)</f>
        <v>3.55</v>
      </c>
      <c r="V221" s="24"/>
      <c r="W221" s="24"/>
      <c r="X221" s="28">
        <v>43934</v>
      </c>
      <c r="Y221" s="28">
        <v>43950</v>
      </c>
      <c r="Z221" s="28"/>
      <c r="AA221" s="28"/>
      <c r="AB221" s="31"/>
      <c r="AC221" s="24"/>
      <c r="AD221" s="24"/>
      <c r="AE221" s="24"/>
      <c r="AF221" s="24"/>
      <c r="AG221" s="27" t="s">
        <v>76</v>
      </c>
      <c r="AH221" s="27" t="s">
        <v>76</v>
      </c>
    </row>
    <row r="222" spans="2:34" x14ac:dyDescent="0.25">
      <c r="B222" s="204">
        <f t="shared" si="34"/>
        <v>220</v>
      </c>
      <c r="C222" s="26">
        <v>20200413</v>
      </c>
      <c r="D222" s="32" t="s">
        <v>3</v>
      </c>
      <c r="E222" s="42" t="s">
        <v>1178</v>
      </c>
      <c r="F222" s="43" t="s">
        <v>198</v>
      </c>
      <c r="G222" s="42">
        <v>1375671</v>
      </c>
      <c r="H222" s="230" t="s">
        <v>912</v>
      </c>
      <c r="I222" s="24" t="s">
        <v>193</v>
      </c>
      <c r="J222" s="54">
        <v>81728</v>
      </c>
      <c r="K222" s="24" t="s">
        <v>309</v>
      </c>
      <c r="L222" s="27" t="s">
        <v>76</v>
      </c>
      <c r="M222" s="27" t="s">
        <v>1199</v>
      </c>
      <c r="N222" s="26" t="s">
        <v>1244</v>
      </c>
      <c r="O222" s="24" t="s">
        <v>83</v>
      </c>
      <c r="P222" s="24"/>
      <c r="Q222" s="24"/>
      <c r="R222" s="42">
        <v>34</v>
      </c>
      <c r="S222" s="26">
        <f>R222</f>
        <v>34</v>
      </c>
      <c r="T222" s="24">
        <f>S222</f>
        <v>34</v>
      </c>
      <c r="U222" s="24">
        <f>ROUNDDOWN(S222/HLOOKUP(D222,Table!$C$3:$D$4,2,0)*8,2)</f>
        <v>0.6</v>
      </c>
      <c r="V222" s="24">
        <v>1</v>
      </c>
      <c r="W222" s="24" t="s">
        <v>18</v>
      </c>
      <c r="X222" s="28">
        <v>43934</v>
      </c>
      <c r="Y222" s="28">
        <v>43950</v>
      </c>
      <c r="Z222" s="28">
        <v>43937</v>
      </c>
      <c r="AA222" s="28">
        <v>43937</v>
      </c>
      <c r="AB222" s="31" t="s">
        <v>158</v>
      </c>
      <c r="AC222" s="23">
        <v>100</v>
      </c>
      <c r="AD222" s="23">
        <v>100</v>
      </c>
      <c r="AE222" s="23">
        <v>100</v>
      </c>
      <c r="AF222" s="23" t="s">
        <v>20</v>
      </c>
      <c r="AG222" s="27" t="s">
        <v>76</v>
      </c>
      <c r="AH222" s="27" t="s">
        <v>76</v>
      </c>
    </row>
    <row r="223" spans="2:34" x14ac:dyDescent="0.25">
      <c r="B223" s="204">
        <f t="shared" si="34"/>
        <v>221</v>
      </c>
      <c r="C223" s="26">
        <v>20200413</v>
      </c>
      <c r="D223" s="32" t="s">
        <v>3</v>
      </c>
      <c r="E223" s="42" t="s">
        <v>1178</v>
      </c>
      <c r="F223" s="43" t="s">
        <v>198</v>
      </c>
      <c r="G223" s="42">
        <v>1375671</v>
      </c>
      <c r="H223" s="232" t="s">
        <v>1080</v>
      </c>
      <c r="I223" s="24" t="s">
        <v>193</v>
      </c>
      <c r="J223" s="54">
        <v>81728</v>
      </c>
      <c r="K223" s="24" t="s">
        <v>309</v>
      </c>
      <c r="L223" s="27" t="s">
        <v>76</v>
      </c>
      <c r="M223" s="27" t="s">
        <v>1199</v>
      </c>
      <c r="N223" s="26" t="s">
        <v>1245</v>
      </c>
      <c r="O223" s="24" t="s">
        <v>84</v>
      </c>
      <c r="P223" s="24"/>
      <c r="Q223" s="24"/>
      <c r="R223" s="42">
        <v>33</v>
      </c>
      <c r="S223" s="24">
        <f>R223</f>
        <v>33</v>
      </c>
      <c r="T223" s="24"/>
      <c r="U223" s="24">
        <f>ROUNDDOWN(S223/HLOOKUP(D223,Table!$C$3:$D$4,2,0)*8,2)</f>
        <v>0.57999999999999996</v>
      </c>
      <c r="V223" s="24"/>
      <c r="W223" s="24"/>
      <c r="X223" s="28">
        <v>43934</v>
      </c>
      <c r="Y223" s="28">
        <v>43950</v>
      </c>
      <c r="Z223" s="28"/>
      <c r="AA223" s="28"/>
      <c r="AB223" s="31"/>
      <c r="AC223" s="24"/>
      <c r="AD223" s="24"/>
      <c r="AE223" s="24"/>
      <c r="AF223" s="24"/>
      <c r="AG223" s="27" t="s">
        <v>76</v>
      </c>
      <c r="AH223" s="27" t="s">
        <v>76</v>
      </c>
    </row>
    <row r="224" spans="2:34" x14ac:dyDescent="0.25">
      <c r="B224" s="204">
        <f t="shared" si="34"/>
        <v>222</v>
      </c>
      <c r="C224" s="26">
        <v>20200413</v>
      </c>
      <c r="D224" s="32" t="s">
        <v>3</v>
      </c>
      <c r="E224" s="42" t="s">
        <v>1178</v>
      </c>
      <c r="F224" s="43" t="s">
        <v>198</v>
      </c>
      <c r="G224" s="42">
        <v>1375671</v>
      </c>
      <c r="H224" s="232" t="s">
        <v>1195</v>
      </c>
      <c r="I224" s="24" t="s">
        <v>193</v>
      </c>
      <c r="J224" s="54">
        <v>81728</v>
      </c>
      <c r="K224" s="24" t="s">
        <v>309</v>
      </c>
      <c r="L224" s="27" t="s">
        <v>76</v>
      </c>
      <c r="M224" s="27" t="s">
        <v>1199</v>
      </c>
      <c r="N224" s="26" t="s">
        <v>1246</v>
      </c>
      <c r="O224" s="24" t="s">
        <v>82</v>
      </c>
      <c r="P224" s="24"/>
      <c r="Q224" s="24"/>
      <c r="R224" s="42">
        <v>21</v>
      </c>
      <c r="S224" s="24">
        <f>R224</f>
        <v>21</v>
      </c>
      <c r="T224" s="24"/>
      <c r="U224" s="24">
        <f>ROUNDDOWN(S224/HLOOKUP(D224,Table!$C$3:$D$4,2,0)*8,2)</f>
        <v>0.37</v>
      </c>
      <c r="V224" s="24"/>
      <c r="W224" s="24"/>
      <c r="X224" s="28">
        <v>43934</v>
      </c>
      <c r="Y224" s="28">
        <v>43950</v>
      </c>
      <c r="Z224" s="28"/>
      <c r="AA224" s="28"/>
      <c r="AB224" s="31"/>
      <c r="AC224" s="24"/>
      <c r="AD224" s="24"/>
      <c r="AE224" s="24"/>
      <c r="AF224" s="24"/>
      <c r="AG224" s="27" t="s">
        <v>76</v>
      </c>
      <c r="AH224" s="27" t="s">
        <v>76</v>
      </c>
    </row>
    <row r="225" spans="1:34" x14ac:dyDescent="0.25">
      <c r="B225" s="204">
        <f t="shared" si="34"/>
        <v>223</v>
      </c>
      <c r="C225" s="26">
        <v>20200413</v>
      </c>
      <c r="D225" s="32" t="s">
        <v>3</v>
      </c>
      <c r="E225" s="42" t="s">
        <v>1178</v>
      </c>
      <c r="F225" s="43" t="s">
        <v>198</v>
      </c>
      <c r="G225" s="42">
        <v>1375671</v>
      </c>
      <c r="H225" s="232" t="s">
        <v>136</v>
      </c>
      <c r="I225" s="24" t="s">
        <v>193</v>
      </c>
      <c r="J225" s="54">
        <v>81728</v>
      </c>
      <c r="K225" s="24" t="s">
        <v>309</v>
      </c>
      <c r="L225" s="27" t="s">
        <v>76</v>
      </c>
      <c r="M225" s="27" t="s">
        <v>1199</v>
      </c>
      <c r="N225" s="26" t="s">
        <v>1247</v>
      </c>
      <c r="O225" s="24" t="s">
        <v>84</v>
      </c>
      <c r="P225" s="24"/>
      <c r="Q225" s="24"/>
      <c r="R225" s="42">
        <v>54</v>
      </c>
      <c r="S225" s="24">
        <f>R225</f>
        <v>54</v>
      </c>
      <c r="T225" s="24"/>
      <c r="U225" s="24">
        <f>ROUNDDOWN(S225/HLOOKUP(D225,Table!$C$3:$D$4,2,0)*8,2)</f>
        <v>0.96</v>
      </c>
      <c r="V225" s="24"/>
      <c r="W225" s="24"/>
      <c r="X225" s="28">
        <v>43934</v>
      </c>
      <c r="Y225" s="28">
        <v>43950</v>
      </c>
      <c r="Z225" s="28"/>
      <c r="AA225" s="28"/>
      <c r="AB225" s="31"/>
      <c r="AC225" s="24"/>
      <c r="AD225" s="24"/>
      <c r="AE225" s="24"/>
      <c r="AF225" s="24"/>
      <c r="AG225" s="27" t="s">
        <v>76</v>
      </c>
      <c r="AH225" s="27" t="s">
        <v>76</v>
      </c>
    </row>
    <row r="226" spans="1:34" x14ac:dyDescent="0.25">
      <c r="B226" s="204">
        <f t="shared" si="34"/>
        <v>224</v>
      </c>
      <c r="C226" s="26">
        <v>20200413</v>
      </c>
      <c r="D226" s="32" t="s">
        <v>3</v>
      </c>
      <c r="E226" s="42" t="s">
        <v>1178</v>
      </c>
      <c r="F226" s="43" t="s">
        <v>198</v>
      </c>
      <c r="G226" s="42">
        <v>1375671</v>
      </c>
      <c r="H226" s="232" t="s">
        <v>137</v>
      </c>
      <c r="I226" s="24" t="s">
        <v>193</v>
      </c>
      <c r="J226" s="54">
        <v>81728</v>
      </c>
      <c r="K226" s="24" t="s">
        <v>309</v>
      </c>
      <c r="L226" s="27" t="s">
        <v>76</v>
      </c>
      <c r="M226" s="27" t="s">
        <v>1199</v>
      </c>
      <c r="N226" s="26" t="s">
        <v>1248</v>
      </c>
      <c r="O226" s="24" t="s">
        <v>85</v>
      </c>
      <c r="P226" s="24"/>
      <c r="Q226" s="24"/>
      <c r="R226" s="42">
        <v>65</v>
      </c>
      <c r="S226" s="24">
        <f>R226</f>
        <v>65</v>
      </c>
      <c r="T226" s="24"/>
      <c r="U226" s="24">
        <f>ROUNDDOWN(S226/HLOOKUP(D226,Table!$C$3:$D$4,2,0)*8,2)</f>
        <v>1.1499999999999999</v>
      </c>
      <c r="V226" s="24"/>
      <c r="W226" s="24"/>
      <c r="X226" s="28">
        <v>43934</v>
      </c>
      <c r="Y226" s="28">
        <v>43950</v>
      </c>
      <c r="Z226" s="28"/>
      <c r="AA226" s="28"/>
      <c r="AB226" s="31"/>
      <c r="AC226" s="24"/>
      <c r="AD226" s="24"/>
      <c r="AE226" s="24"/>
      <c r="AF226" s="24"/>
      <c r="AG226" s="27" t="s">
        <v>76</v>
      </c>
      <c r="AH226" s="27" t="s">
        <v>76</v>
      </c>
    </row>
    <row r="227" spans="1:34" x14ac:dyDescent="0.25">
      <c r="B227" s="204">
        <f t="shared" si="34"/>
        <v>225</v>
      </c>
      <c r="C227" s="26">
        <v>20200413</v>
      </c>
      <c r="D227" s="32" t="s">
        <v>3</v>
      </c>
      <c r="E227" s="42" t="s">
        <v>1178</v>
      </c>
      <c r="F227" s="43" t="s">
        <v>198</v>
      </c>
      <c r="G227" s="42">
        <v>1375671</v>
      </c>
      <c r="H227" s="232" t="s">
        <v>138</v>
      </c>
      <c r="I227" s="24" t="s">
        <v>193</v>
      </c>
      <c r="J227" s="54">
        <v>81728</v>
      </c>
      <c r="K227" s="24" t="s">
        <v>309</v>
      </c>
      <c r="L227" s="27" t="s">
        <v>76</v>
      </c>
      <c r="M227" s="27" t="s">
        <v>1199</v>
      </c>
      <c r="N227" s="26" t="s">
        <v>1249</v>
      </c>
      <c r="O227" s="24" t="s">
        <v>85</v>
      </c>
      <c r="P227" s="24"/>
      <c r="Q227" s="24"/>
      <c r="R227" s="42">
        <v>149</v>
      </c>
      <c r="S227" s="24">
        <f>R227</f>
        <v>149</v>
      </c>
      <c r="T227" s="24"/>
      <c r="U227" s="24">
        <f>ROUNDDOWN(S227/HLOOKUP(D227,Table!$C$3:$D$4,2,0)*8,2)</f>
        <v>2.64</v>
      </c>
      <c r="V227" s="24"/>
      <c r="W227" s="24"/>
      <c r="X227" s="28">
        <v>43934</v>
      </c>
      <c r="Y227" s="28">
        <v>43950</v>
      </c>
      <c r="Z227" s="28"/>
      <c r="AA227" s="28"/>
      <c r="AB227" s="31"/>
      <c r="AC227" s="24"/>
      <c r="AD227" s="24"/>
      <c r="AE227" s="24"/>
      <c r="AF227" s="24"/>
      <c r="AG227" s="27" t="s">
        <v>76</v>
      </c>
      <c r="AH227" s="27" t="s">
        <v>76</v>
      </c>
    </row>
    <row r="228" spans="1:34" x14ac:dyDescent="0.25">
      <c r="B228" s="204">
        <f t="shared" si="34"/>
        <v>226</v>
      </c>
      <c r="C228" s="26">
        <v>20200413</v>
      </c>
      <c r="D228" s="32" t="s">
        <v>3</v>
      </c>
      <c r="E228" s="42" t="s">
        <v>1178</v>
      </c>
      <c r="F228" s="43" t="s">
        <v>198</v>
      </c>
      <c r="G228" s="42">
        <v>1375671</v>
      </c>
      <c r="H228" s="232" t="s">
        <v>135</v>
      </c>
      <c r="I228" s="24" t="s">
        <v>193</v>
      </c>
      <c r="J228" s="54">
        <v>81728</v>
      </c>
      <c r="K228" s="24" t="s">
        <v>309</v>
      </c>
      <c r="L228" s="27" t="s">
        <v>76</v>
      </c>
      <c r="M228" s="27" t="s">
        <v>1199</v>
      </c>
      <c r="N228" s="26" t="s">
        <v>1250</v>
      </c>
      <c r="O228" s="24" t="s">
        <v>85</v>
      </c>
      <c r="P228" s="24"/>
      <c r="Q228" s="24"/>
      <c r="R228" s="42">
        <v>200</v>
      </c>
      <c r="S228" s="24">
        <f>R228</f>
        <v>200</v>
      </c>
      <c r="T228" s="24"/>
      <c r="U228" s="24">
        <f>ROUNDDOWN(S228/HLOOKUP(D228,Table!$C$3:$D$4,2,0)*8,2)</f>
        <v>3.55</v>
      </c>
      <c r="V228" s="24"/>
      <c r="W228" s="24"/>
      <c r="X228" s="28">
        <v>43934</v>
      </c>
      <c r="Y228" s="28">
        <v>43950</v>
      </c>
      <c r="Z228" s="28"/>
      <c r="AA228" s="28"/>
      <c r="AB228" s="31"/>
      <c r="AC228" s="24"/>
      <c r="AD228" s="24"/>
      <c r="AE228" s="24"/>
      <c r="AF228" s="24"/>
      <c r="AG228" s="27" t="s">
        <v>76</v>
      </c>
      <c r="AH228" s="27" t="s">
        <v>76</v>
      </c>
    </row>
    <row r="229" spans="1:34" x14ac:dyDescent="0.25">
      <c r="B229" s="204">
        <f t="shared" si="34"/>
        <v>227</v>
      </c>
      <c r="C229" s="26">
        <v>20200413</v>
      </c>
      <c r="D229" s="32" t="s">
        <v>3</v>
      </c>
      <c r="E229" s="42" t="s">
        <v>1178</v>
      </c>
      <c r="F229" s="43" t="s">
        <v>198</v>
      </c>
      <c r="G229" s="42">
        <v>1375671</v>
      </c>
      <c r="H229" s="232" t="s">
        <v>1196</v>
      </c>
      <c r="I229" s="24" t="s">
        <v>193</v>
      </c>
      <c r="J229" s="54">
        <v>81728</v>
      </c>
      <c r="K229" s="24" t="s">
        <v>309</v>
      </c>
      <c r="L229" s="27" t="s">
        <v>76</v>
      </c>
      <c r="M229" s="27" t="s">
        <v>1199</v>
      </c>
      <c r="N229" s="26" t="s">
        <v>1251</v>
      </c>
      <c r="O229" s="24" t="s">
        <v>82</v>
      </c>
      <c r="P229" s="24"/>
      <c r="Q229" s="24"/>
      <c r="R229" s="42">
        <v>25</v>
      </c>
      <c r="S229" s="24">
        <f>R229</f>
        <v>25</v>
      </c>
      <c r="T229" s="24"/>
      <c r="U229" s="24">
        <f>ROUNDDOWN(S229/HLOOKUP(D229,Table!$C$3:$D$4,2,0)*8,2)</f>
        <v>0.44</v>
      </c>
      <c r="V229" s="24"/>
      <c r="W229" s="24"/>
      <c r="X229" s="28">
        <v>43934</v>
      </c>
      <c r="Y229" s="28">
        <v>43950</v>
      </c>
      <c r="Z229" s="28"/>
      <c r="AA229" s="28"/>
      <c r="AB229" s="31"/>
      <c r="AC229" s="24"/>
      <c r="AD229" s="24"/>
      <c r="AE229" s="24"/>
      <c r="AF229" s="24"/>
      <c r="AG229" s="27" t="s">
        <v>76</v>
      </c>
      <c r="AH229" s="27" t="s">
        <v>76</v>
      </c>
    </row>
    <row r="230" spans="1:34" x14ac:dyDescent="0.25">
      <c r="B230" s="204">
        <f t="shared" si="34"/>
        <v>228</v>
      </c>
      <c r="C230" s="26">
        <v>20200413</v>
      </c>
      <c r="D230" s="32" t="s">
        <v>3</v>
      </c>
      <c r="E230" s="42" t="s">
        <v>1178</v>
      </c>
      <c r="F230" s="43" t="s">
        <v>198</v>
      </c>
      <c r="G230" s="42">
        <v>1375671</v>
      </c>
      <c r="H230" s="230" t="s">
        <v>1197</v>
      </c>
      <c r="I230" s="24" t="s">
        <v>193</v>
      </c>
      <c r="J230" s="54">
        <v>81728</v>
      </c>
      <c r="K230" s="24" t="s">
        <v>309</v>
      </c>
      <c r="L230" s="27" t="s">
        <v>76</v>
      </c>
      <c r="M230" s="27" t="s">
        <v>1199</v>
      </c>
      <c r="N230" s="26" t="s">
        <v>1252</v>
      </c>
      <c r="O230" s="24" t="s">
        <v>83</v>
      </c>
      <c r="P230" s="24"/>
      <c r="Q230" s="24"/>
      <c r="R230" s="42">
        <v>82</v>
      </c>
      <c r="S230" s="26">
        <f>R230</f>
        <v>82</v>
      </c>
      <c r="T230" s="24">
        <f>S230</f>
        <v>82</v>
      </c>
      <c r="U230" s="24">
        <f>ROUNDDOWN(S230/HLOOKUP(D230,Table!$C$3:$D$4,2,0)*8,2)</f>
        <v>1.45</v>
      </c>
      <c r="V230" s="24">
        <v>1</v>
      </c>
      <c r="W230" s="24" t="s">
        <v>18</v>
      </c>
      <c r="X230" s="28">
        <v>43934</v>
      </c>
      <c r="Y230" s="28">
        <v>43950</v>
      </c>
      <c r="Z230" s="28">
        <v>43937</v>
      </c>
      <c r="AA230" s="28">
        <v>43937</v>
      </c>
      <c r="AB230" s="31" t="s">
        <v>158</v>
      </c>
      <c r="AC230" s="226">
        <v>100</v>
      </c>
      <c r="AD230" s="226">
        <v>100</v>
      </c>
      <c r="AE230" s="226">
        <v>100</v>
      </c>
      <c r="AF230" s="226" t="s">
        <v>20</v>
      </c>
      <c r="AG230" s="27" t="s">
        <v>76</v>
      </c>
      <c r="AH230" s="27" t="s">
        <v>76</v>
      </c>
    </row>
    <row r="231" spans="1:34" x14ac:dyDescent="0.25">
      <c r="B231" s="204">
        <f t="shared" si="34"/>
        <v>229</v>
      </c>
      <c r="C231" s="26">
        <v>20200413</v>
      </c>
      <c r="D231" s="32" t="s">
        <v>3</v>
      </c>
      <c r="E231" s="42" t="s">
        <v>1178</v>
      </c>
      <c r="F231" s="43" t="s">
        <v>198</v>
      </c>
      <c r="G231" s="42">
        <v>1375671</v>
      </c>
      <c r="H231" s="232" t="s">
        <v>670</v>
      </c>
      <c r="I231" s="24" t="s">
        <v>193</v>
      </c>
      <c r="J231" s="54">
        <v>81728</v>
      </c>
      <c r="K231" s="24" t="s">
        <v>309</v>
      </c>
      <c r="L231" s="27" t="s">
        <v>76</v>
      </c>
      <c r="M231" s="27" t="s">
        <v>1199</v>
      </c>
      <c r="N231" s="26" t="s">
        <v>1253</v>
      </c>
      <c r="O231" s="24" t="s">
        <v>84</v>
      </c>
      <c r="P231" s="24"/>
      <c r="Q231" s="24"/>
      <c r="R231" s="42">
        <v>46</v>
      </c>
      <c r="S231" s="24">
        <f>R231</f>
        <v>46</v>
      </c>
      <c r="T231" s="24"/>
      <c r="U231" s="24">
        <f>ROUNDDOWN(S231/HLOOKUP(D231,Table!$C$3:$D$4,2,0)*8,2)</f>
        <v>0.81</v>
      </c>
      <c r="V231" s="24"/>
      <c r="W231" s="24"/>
      <c r="X231" s="28">
        <v>43934</v>
      </c>
      <c r="Y231" s="28">
        <v>43950</v>
      </c>
      <c r="Z231" s="28"/>
      <c r="AA231" s="28"/>
      <c r="AB231" s="31"/>
      <c r="AC231" s="24"/>
      <c r="AD231" s="24"/>
      <c r="AE231" s="24"/>
      <c r="AF231" s="24"/>
      <c r="AG231" s="27" t="s">
        <v>76</v>
      </c>
      <c r="AH231" s="27" t="s">
        <v>76</v>
      </c>
    </row>
    <row r="232" spans="1:34" x14ac:dyDescent="0.25">
      <c r="B232" s="204">
        <f t="shared" si="34"/>
        <v>230</v>
      </c>
      <c r="C232" s="26">
        <v>20200413</v>
      </c>
      <c r="D232" s="32" t="s">
        <v>3</v>
      </c>
      <c r="E232" s="42" t="s">
        <v>1178</v>
      </c>
      <c r="F232" s="43" t="s">
        <v>191</v>
      </c>
      <c r="G232" s="42">
        <v>1375671</v>
      </c>
      <c r="H232" s="232" t="s">
        <v>78</v>
      </c>
      <c r="I232" s="24" t="s">
        <v>193</v>
      </c>
      <c r="J232" s="54">
        <v>81728</v>
      </c>
      <c r="K232" s="24" t="s">
        <v>309</v>
      </c>
      <c r="L232" s="27" t="s">
        <v>76</v>
      </c>
      <c r="M232" s="27" t="s">
        <v>1199</v>
      </c>
      <c r="N232" s="26" t="s">
        <v>1254</v>
      </c>
      <c r="O232" s="24" t="s">
        <v>84</v>
      </c>
      <c r="P232" s="24"/>
      <c r="Q232" s="24"/>
      <c r="R232" s="42">
        <v>441</v>
      </c>
      <c r="S232" s="24">
        <f>R232</f>
        <v>441</v>
      </c>
      <c r="T232" s="24"/>
      <c r="U232" s="24">
        <f>ROUNDDOWN(S232/HLOOKUP(D232,Table!$C$3:$D$4,2,0)*8,2)</f>
        <v>7.84</v>
      </c>
      <c r="V232" s="24"/>
      <c r="W232" s="24"/>
      <c r="X232" s="28">
        <v>43934</v>
      </c>
      <c r="Y232" s="28">
        <v>43950</v>
      </c>
      <c r="Z232" s="28"/>
      <c r="AA232" s="28"/>
      <c r="AB232" s="31"/>
      <c r="AC232" s="24"/>
      <c r="AD232" s="24"/>
      <c r="AE232" s="24"/>
      <c r="AF232" s="24"/>
      <c r="AG232" s="27" t="s">
        <v>76</v>
      </c>
      <c r="AH232" s="27" t="s">
        <v>76</v>
      </c>
    </row>
    <row r="233" spans="1:34" x14ac:dyDescent="0.25">
      <c r="B233" s="204">
        <f t="shared" si="34"/>
        <v>231</v>
      </c>
      <c r="C233" s="26">
        <v>20200413</v>
      </c>
      <c r="D233" s="32" t="s">
        <v>3</v>
      </c>
      <c r="E233" s="42" t="s">
        <v>1178</v>
      </c>
      <c r="F233" s="43" t="s">
        <v>191</v>
      </c>
      <c r="G233" s="42">
        <v>1375671</v>
      </c>
      <c r="H233" s="232" t="s">
        <v>145</v>
      </c>
      <c r="I233" s="24" t="s">
        <v>193</v>
      </c>
      <c r="J233" s="54">
        <v>81728</v>
      </c>
      <c r="K233" s="24" t="s">
        <v>309</v>
      </c>
      <c r="L233" s="27" t="s">
        <v>76</v>
      </c>
      <c r="M233" s="27" t="s">
        <v>1199</v>
      </c>
      <c r="N233" s="26" t="s">
        <v>1255</v>
      </c>
      <c r="O233" s="24" t="s">
        <v>85</v>
      </c>
      <c r="P233" s="24"/>
      <c r="Q233" s="24"/>
      <c r="R233" s="42">
        <v>29</v>
      </c>
      <c r="S233" s="24">
        <f>R233</f>
        <v>29</v>
      </c>
      <c r="T233" s="24"/>
      <c r="U233" s="24">
        <f>ROUNDDOWN(S233/HLOOKUP(D233,Table!$C$3:$D$4,2,0)*8,2)</f>
        <v>0.51</v>
      </c>
      <c r="V233" s="24"/>
      <c r="W233" s="24"/>
      <c r="X233" s="28">
        <v>43934</v>
      </c>
      <c r="Y233" s="28">
        <v>43950</v>
      </c>
      <c r="Z233" s="28"/>
      <c r="AA233" s="28"/>
      <c r="AB233" s="31"/>
      <c r="AC233" s="24"/>
      <c r="AD233" s="24"/>
      <c r="AE233" s="24"/>
      <c r="AF233" s="24"/>
      <c r="AG233" s="27" t="s">
        <v>76</v>
      </c>
      <c r="AH233" s="27" t="s">
        <v>76</v>
      </c>
    </row>
    <row r="234" spans="1:34" x14ac:dyDescent="0.25">
      <c r="B234" s="204">
        <f t="shared" si="34"/>
        <v>232</v>
      </c>
      <c r="C234" s="26">
        <v>20200413</v>
      </c>
      <c r="D234" s="32" t="s">
        <v>3</v>
      </c>
      <c r="E234" s="42" t="s">
        <v>1178</v>
      </c>
      <c r="F234" s="43" t="s">
        <v>191</v>
      </c>
      <c r="G234" s="42">
        <v>1375671</v>
      </c>
      <c r="H234" s="232" t="s">
        <v>141</v>
      </c>
      <c r="I234" s="24" t="s">
        <v>193</v>
      </c>
      <c r="J234" s="54">
        <v>81728</v>
      </c>
      <c r="K234" s="24" t="s">
        <v>309</v>
      </c>
      <c r="L234" s="27" t="s">
        <v>76</v>
      </c>
      <c r="M234" s="27" t="s">
        <v>1199</v>
      </c>
      <c r="N234" s="26" t="s">
        <v>1256</v>
      </c>
      <c r="O234" s="24" t="s">
        <v>83</v>
      </c>
      <c r="P234" s="24"/>
      <c r="Q234" s="24"/>
      <c r="R234" s="42">
        <v>124</v>
      </c>
      <c r="S234" s="26">
        <f>R234</f>
        <v>124</v>
      </c>
      <c r="T234" s="24">
        <f>S234</f>
        <v>124</v>
      </c>
      <c r="U234" s="24">
        <f>ROUNDDOWN(S234/HLOOKUP(D234,Table!$C$3:$D$4,2,0)*8,2)</f>
        <v>2.2000000000000002</v>
      </c>
      <c r="V234" s="24">
        <v>1</v>
      </c>
      <c r="W234" s="24" t="s">
        <v>18</v>
      </c>
      <c r="X234" s="28">
        <v>43934</v>
      </c>
      <c r="Y234" s="28">
        <v>43950</v>
      </c>
      <c r="Z234" s="28">
        <v>43937</v>
      </c>
      <c r="AA234" s="28">
        <v>43937</v>
      </c>
      <c r="AB234" s="31" t="s">
        <v>158</v>
      </c>
      <c r="AC234" s="226">
        <v>100</v>
      </c>
      <c r="AD234" s="226">
        <v>100</v>
      </c>
      <c r="AE234" s="226">
        <v>100</v>
      </c>
      <c r="AF234" s="226" t="s">
        <v>20</v>
      </c>
      <c r="AG234" s="27" t="s">
        <v>76</v>
      </c>
      <c r="AH234" s="27" t="s">
        <v>76</v>
      </c>
    </row>
    <row r="235" spans="1:34" x14ac:dyDescent="0.25">
      <c r="B235" s="204">
        <f t="shared" si="34"/>
        <v>233</v>
      </c>
      <c r="C235" s="26">
        <v>20200413</v>
      </c>
      <c r="D235" s="32" t="s">
        <v>3</v>
      </c>
      <c r="E235" s="42" t="s">
        <v>1178</v>
      </c>
      <c r="F235" s="43" t="s">
        <v>191</v>
      </c>
      <c r="G235" s="42">
        <v>1375671</v>
      </c>
      <c r="H235" s="42" t="s">
        <v>1198</v>
      </c>
      <c r="I235" s="24" t="s">
        <v>193</v>
      </c>
      <c r="J235" s="54">
        <v>81728</v>
      </c>
      <c r="K235" s="24" t="s">
        <v>309</v>
      </c>
      <c r="L235" s="27" t="s">
        <v>76</v>
      </c>
      <c r="M235" s="27" t="s">
        <v>1199</v>
      </c>
      <c r="N235" s="26" t="s">
        <v>1257</v>
      </c>
      <c r="O235" s="24" t="s">
        <v>82</v>
      </c>
      <c r="P235" s="24"/>
      <c r="Q235" s="24"/>
      <c r="R235" s="42">
        <v>61</v>
      </c>
      <c r="S235" s="24">
        <f>R235</f>
        <v>61</v>
      </c>
      <c r="T235" s="24"/>
      <c r="U235" s="24">
        <f>ROUNDDOWN(S235/HLOOKUP(D235,Table!$C$3:$D$4,2,0)*8,2)</f>
        <v>1.08</v>
      </c>
      <c r="V235" s="24"/>
      <c r="W235" s="24"/>
      <c r="X235" s="28">
        <v>43934</v>
      </c>
      <c r="Y235" s="28">
        <v>43950</v>
      </c>
      <c r="Z235" s="28"/>
      <c r="AA235" s="28"/>
      <c r="AB235" s="31"/>
      <c r="AC235" s="24"/>
      <c r="AD235" s="24"/>
      <c r="AE235" s="24"/>
      <c r="AF235" s="24"/>
      <c r="AG235" s="27" t="s">
        <v>76</v>
      </c>
      <c r="AH235" s="27" t="s">
        <v>76</v>
      </c>
    </row>
    <row r="236" spans="1:34" x14ac:dyDescent="0.25">
      <c r="B236" s="204">
        <f t="shared" si="34"/>
        <v>234</v>
      </c>
      <c r="C236" s="26">
        <v>20200413</v>
      </c>
      <c r="D236" s="32" t="s">
        <v>3</v>
      </c>
      <c r="E236" s="42" t="s">
        <v>1178</v>
      </c>
      <c r="F236" s="43" t="s">
        <v>191</v>
      </c>
      <c r="G236" s="42">
        <v>1375671</v>
      </c>
      <c r="H236" s="42" t="s">
        <v>142</v>
      </c>
      <c r="I236" s="24" t="s">
        <v>193</v>
      </c>
      <c r="J236" s="54">
        <v>81728</v>
      </c>
      <c r="K236" s="24" t="s">
        <v>309</v>
      </c>
      <c r="L236" s="27" t="s">
        <v>76</v>
      </c>
      <c r="M236" s="27" t="s">
        <v>1199</v>
      </c>
      <c r="N236" s="26" t="s">
        <v>1264</v>
      </c>
      <c r="O236" s="24" t="s">
        <v>84</v>
      </c>
      <c r="P236" s="24"/>
      <c r="Q236" s="24"/>
      <c r="R236" s="42">
        <v>42</v>
      </c>
      <c r="S236" s="24">
        <f>R236</f>
        <v>42</v>
      </c>
      <c r="T236" s="24"/>
      <c r="U236" s="24">
        <f>ROUNDDOWN(S236/HLOOKUP(D236,Table!$C$3:$D$4,2,0)*8,2)</f>
        <v>0.74</v>
      </c>
      <c r="V236" s="24"/>
      <c r="W236" s="24"/>
      <c r="X236" s="28">
        <v>43934</v>
      </c>
      <c r="Y236" s="28">
        <v>43950</v>
      </c>
      <c r="Z236" s="28"/>
      <c r="AA236" s="28"/>
      <c r="AB236" s="31"/>
      <c r="AC236" s="24"/>
      <c r="AD236" s="24"/>
      <c r="AE236" s="24"/>
      <c r="AF236" s="24"/>
      <c r="AG236" s="27" t="s">
        <v>76</v>
      </c>
      <c r="AH236" s="27" t="s">
        <v>76</v>
      </c>
    </row>
    <row r="237" spans="1:34" x14ac:dyDescent="0.25">
      <c r="B237" s="204">
        <f t="shared" si="34"/>
        <v>235</v>
      </c>
      <c r="C237" s="26">
        <v>20200413</v>
      </c>
      <c r="D237" s="32" t="s">
        <v>3</v>
      </c>
      <c r="E237" s="42" t="s">
        <v>1178</v>
      </c>
      <c r="F237" s="43" t="s">
        <v>191</v>
      </c>
      <c r="G237" s="42">
        <v>1375671</v>
      </c>
      <c r="H237" s="42" t="s">
        <v>143</v>
      </c>
      <c r="I237" s="24" t="s">
        <v>193</v>
      </c>
      <c r="J237" s="54">
        <v>81728</v>
      </c>
      <c r="K237" s="24" t="s">
        <v>309</v>
      </c>
      <c r="L237" s="27" t="s">
        <v>76</v>
      </c>
      <c r="M237" s="27" t="s">
        <v>1199</v>
      </c>
      <c r="N237" s="26" t="s">
        <v>1265</v>
      </c>
      <c r="O237" s="24" t="s">
        <v>84</v>
      </c>
      <c r="P237" s="24"/>
      <c r="Q237" s="24"/>
      <c r="R237" s="42">
        <v>40</v>
      </c>
      <c r="S237" s="24">
        <f>R237</f>
        <v>40</v>
      </c>
      <c r="T237" s="24"/>
      <c r="U237" s="24">
        <f>ROUNDDOWN(S237/HLOOKUP(D237,Table!$C$3:$D$4,2,0)*8,2)</f>
        <v>0.71</v>
      </c>
      <c r="V237" s="24"/>
      <c r="W237" s="24"/>
      <c r="X237" s="28">
        <v>43934</v>
      </c>
      <c r="Y237" s="28">
        <v>43950</v>
      </c>
      <c r="Z237" s="28"/>
      <c r="AA237" s="28"/>
      <c r="AB237" s="31"/>
      <c r="AC237" s="24"/>
      <c r="AD237" s="24"/>
      <c r="AE237" s="24"/>
      <c r="AF237" s="24"/>
      <c r="AG237" s="27" t="s">
        <v>76</v>
      </c>
      <c r="AH237" s="27" t="s">
        <v>76</v>
      </c>
    </row>
    <row r="238" spans="1:34" x14ac:dyDescent="0.25">
      <c r="B238" s="227">
        <f t="shared" si="34"/>
        <v>236</v>
      </c>
      <c r="C238" s="26">
        <v>20200415</v>
      </c>
      <c r="D238" s="32" t="s">
        <v>2</v>
      </c>
      <c r="E238" s="26" t="s">
        <v>1285</v>
      </c>
      <c r="F238" s="47"/>
      <c r="G238" s="26">
        <v>1419102</v>
      </c>
      <c r="H238" s="26" t="s">
        <v>1286</v>
      </c>
      <c r="I238" s="27" t="s">
        <v>76</v>
      </c>
      <c r="J238" s="27" t="s">
        <v>76</v>
      </c>
      <c r="K238" s="42" t="s">
        <v>1379</v>
      </c>
      <c r="L238" s="27" t="s">
        <v>1276</v>
      </c>
      <c r="M238" s="27" t="s">
        <v>1288</v>
      </c>
      <c r="N238" s="26" t="s">
        <v>1289</v>
      </c>
      <c r="O238" s="24" t="s">
        <v>85</v>
      </c>
      <c r="P238" s="24"/>
      <c r="Q238" s="24"/>
      <c r="R238" s="24">
        <v>64</v>
      </c>
      <c r="S238" s="24">
        <f>R238</f>
        <v>64</v>
      </c>
      <c r="T238" s="24"/>
      <c r="U238" s="24">
        <f>ROUNDDOWN(S238/HLOOKUP(D238,Table!$C$3:$D$4,2,0)*8,2)</f>
        <v>3.93</v>
      </c>
      <c r="V238" s="24"/>
      <c r="W238" s="24"/>
      <c r="X238" s="28">
        <v>43937</v>
      </c>
      <c r="Y238" s="28">
        <v>43938</v>
      </c>
      <c r="Z238" s="28">
        <v>43938</v>
      </c>
      <c r="AA238" s="28">
        <v>43938</v>
      </c>
      <c r="AB238" s="31"/>
      <c r="AC238" s="24"/>
      <c r="AD238" s="24"/>
      <c r="AE238" s="24"/>
      <c r="AF238" s="24"/>
      <c r="AG238" s="27" t="s">
        <v>76</v>
      </c>
      <c r="AH238" s="27" t="s">
        <v>76</v>
      </c>
    </row>
    <row r="239" spans="1:34" x14ac:dyDescent="0.25">
      <c r="B239" s="227">
        <f t="shared" si="34"/>
        <v>237</v>
      </c>
      <c r="C239" s="26">
        <v>20200415</v>
      </c>
      <c r="D239" s="32" t="s">
        <v>2</v>
      </c>
      <c r="E239" s="26" t="s">
        <v>1285</v>
      </c>
      <c r="F239" s="47"/>
      <c r="G239" s="26">
        <v>1419102</v>
      </c>
      <c r="H239" s="228" t="s">
        <v>1287</v>
      </c>
      <c r="I239" s="27" t="s">
        <v>76</v>
      </c>
      <c r="J239" s="27" t="s">
        <v>76</v>
      </c>
      <c r="K239" s="42" t="s">
        <v>1379</v>
      </c>
      <c r="L239" s="27" t="s">
        <v>1276</v>
      </c>
      <c r="M239" s="27" t="s">
        <v>1288</v>
      </c>
      <c r="N239" s="26" t="s">
        <v>1290</v>
      </c>
      <c r="O239" s="24" t="s">
        <v>83</v>
      </c>
      <c r="P239" s="24"/>
      <c r="Q239" s="24"/>
      <c r="R239" s="24">
        <v>38</v>
      </c>
      <c r="S239" s="230">
        <f>R239</f>
        <v>38</v>
      </c>
      <c r="T239" s="24"/>
      <c r="U239" s="24">
        <f>ROUNDDOWN(S239/HLOOKUP(D239,Table!$C$3:$D$4,2,0)*8,2)</f>
        <v>2.33</v>
      </c>
      <c r="V239" s="24"/>
      <c r="W239" s="24"/>
      <c r="X239" s="28">
        <v>43937</v>
      </c>
      <c r="Y239" s="28">
        <v>43937</v>
      </c>
      <c r="Z239" s="28">
        <v>43938</v>
      </c>
      <c r="AA239" s="28">
        <v>43938</v>
      </c>
      <c r="AB239" s="31"/>
      <c r="AC239" s="24"/>
      <c r="AD239" s="24"/>
      <c r="AE239" s="24"/>
      <c r="AF239" s="24"/>
      <c r="AG239" s="27" t="s">
        <v>76</v>
      </c>
      <c r="AH239" s="27" t="s">
        <v>76</v>
      </c>
    </row>
    <row r="240" spans="1:34" x14ac:dyDescent="0.25">
      <c r="B240" s="172">
        <f t="shared" si="34"/>
        <v>238</v>
      </c>
      <c r="C240" s="26">
        <v>20200416</v>
      </c>
      <c r="D240" s="32" t="s">
        <v>3</v>
      </c>
      <c r="E240" s="26" t="s">
        <v>1293</v>
      </c>
      <c r="F240" s="47" t="s">
        <v>1294</v>
      </c>
      <c r="G240" s="26">
        <v>1421044</v>
      </c>
      <c r="H240" s="118" t="s">
        <v>1370</v>
      </c>
      <c r="I240" s="24" t="s">
        <v>193</v>
      </c>
      <c r="J240" s="154">
        <v>80336</v>
      </c>
      <c r="K240" s="24" t="s">
        <v>1371</v>
      </c>
      <c r="L240" s="27" t="s">
        <v>76</v>
      </c>
      <c r="M240" s="27" t="s">
        <v>76</v>
      </c>
      <c r="N240" s="26" t="s">
        <v>1291</v>
      </c>
      <c r="O240" s="24" t="s">
        <v>83</v>
      </c>
      <c r="P240" s="24"/>
      <c r="Q240" s="24"/>
      <c r="R240" s="24">
        <v>277</v>
      </c>
      <c r="S240" s="26">
        <f>R240</f>
        <v>277</v>
      </c>
      <c r="T240" s="24">
        <f>S240</f>
        <v>277</v>
      </c>
      <c r="U240" s="24">
        <f>ROUNDDOWN(S240/HLOOKUP(D240,Table!$C$3:$D$4,2,0)*8,2)</f>
        <v>4.92</v>
      </c>
      <c r="V240" s="24">
        <v>3</v>
      </c>
      <c r="W240" s="24" t="s">
        <v>21</v>
      </c>
      <c r="X240" s="28">
        <v>43937</v>
      </c>
      <c r="Y240" s="28">
        <v>43937</v>
      </c>
      <c r="Z240" s="28">
        <v>43937</v>
      </c>
      <c r="AA240" s="28">
        <v>43937</v>
      </c>
      <c r="AB240" s="31" t="s">
        <v>157</v>
      </c>
      <c r="AC240" s="24">
        <v>100</v>
      </c>
      <c r="AD240" s="24">
        <v>98</v>
      </c>
      <c r="AE240" s="24">
        <v>100</v>
      </c>
      <c r="AF240" s="24" t="s">
        <v>792</v>
      </c>
      <c r="AG240" s="27" t="s">
        <v>1380</v>
      </c>
      <c r="AH240" s="27" t="s">
        <v>76</v>
      </c>
    </row>
    <row r="241" spans="2:34" x14ac:dyDescent="0.25">
      <c r="B241" s="172">
        <f t="shared" si="34"/>
        <v>239</v>
      </c>
      <c r="C241" s="26">
        <v>20200416</v>
      </c>
      <c r="D241" s="32" t="s">
        <v>3</v>
      </c>
      <c r="E241" s="26" t="s">
        <v>1293</v>
      </c>
      <c r="F241" s="47" t="s">
        <v>1294</v>
      </c>
      <c r="G241" s="26">
        <v>1421052</v>
      </c>
      <c r="H241" s="118" t="s">
        <v>1370</v>
      </c>
      <c r="I241" s="24" t="s">
        <v>193</v>
      </c>
      <c r="J241" s="154">
        <v>80336</v>
      </c>
      <c r="K241" s="24" t="s">
        <v>1372</v>
      </c>
      <c r="L241" s="27" t="s">
        <v>76</v>
      </c>
      <c r="M241" s="27" t="s">
        <v>76</v>
      </c>
      <c r="N241" s="26" t="s">
        <v>1292</v>
      </c>
      <c r="O241" s="24" t="s">
        <v>83</v>
      </c>
      <c r="P241" s="24"/>
      <c r="Q241" s="24"/>
      <c r="R241" s="24">
        <v>277</v>
      </c>
      <c r="S241" s="26">
        <f>R241</f>
        <v>277</v>
      </c>
      <c r="T241" s="24">
        <f>S241</f>
        <v>277</v>
      </c>
      <c r="U241" s="24">
        <f>ROUNDDOWN(S241/HLOOKUP(D241,Table!$C$3:$D$4,2,0)*8,2)</f>
        <v>4.92</v>
      </c>
      <c r="V241" s="24">
        <v>3</v>
      </c>
      <c r="W241" s="24" t="s">
        <v>21</v>
      </c>
      <c r="X241" s="28">
        <v>43937</v>
      </c>
      <c r="Y241" s="28">
        <v>43937</v>
      </c>
      <c r="Z241" s="28">
        <v>43937</v>
      </c>
      <c r="AA241" s="28">
        <v>43937</v>
      </c>
      <c r="AB241" s="31" t="s">
        <v>157</v>
      </c>
      <c r="AC241" s="24">
        <v>100</v>
      </c>
      <c r="AD241" s="24">
        <v>98</v>
      </c>
      <c r="AE241" s="24">
        <v>100</v>
      </c>
      <c r="AF241" s="24" t="s">
        <v>792</v>
      </c>
      <c r="AG241" s="27" t="s">
        <v>1380</v>
      </c>
      <c r="AH241" s="27" t="s">
        <v>76</v>
      </c>
    </row>
    <row r="242" spans="2:34" x14ac:dyDescent="0.25">
      <c r="B242" s="33"/>
      <c r="C242" s="125"/>
      <c r="D242" s="125"/>
      <c r="E242" s="125"/>
      <c r="G242" s="125"/>
      <c r="H242" s="125"/>
      <c r="I242" s="125"/>
      <c r="J242" s="125"/>
      <c r="K242" s="125"/>
      <c r="L242" s="125"/>
      <c r="M242" s="125"/>
      <c r="N242" s="127"/>
      <c r="O242" s="125"/>
      <c r="P242" s="125"/>
      <c r="Q242" s="125"/>
      <c r="R242" s="125"/>
      <c r="S242" s="125"/>
      <c r="T242" s="125"/>
      <c r="U242" s="125"/>
      <c r="V242" s="125"/>
      <c r="W242" s="125"/>
      <c r="X242" s="128"/>
      <c r="Y242" s="128"/>
      <c r="Z242" s="128"/>
      <c r="AA242" s="128"/>
      <c r="AB242" s="128"/>
      <c r="AC242" s="125"/>
      <c r="AD242" s="125"/>
      <c r="AE242" s="125"/>
      <c r="AF242" s="125"/>
      <c r="AG242" s="125"/>
      <c r="AH242" s="125"/>
    </row>
    <row r="243" spans="2:34" x14ac:dyDescent="0.25">
      <c r="B243" s="5"/>
      <c r="C243" s="5"/>
      <c r="D243" s="5"/>
      <c r="E243" s="5"/>
      <c r="F243" s="5"/>
      <c r="G243" s="5"/>
      <c r="H243" s="5"/>
      <c r="I243" s="5"/>
      <c r="J243" s="146"/>
      <c r="K243" s="5"/>
      <c r="L243" s="5"/>
      <c r="M243" s="5"/>
      <c r="N243" s="45"/>
      <c r="O243" s="5"/>
      <c r="P243" s="5"/>
      <c r="S243" s="152"/>
    </row>
    <row r="244" spans="2:34" x14ac:dyDescent="0.25">
      <c r="B244" s="1" t="s">
        <v>56</v>
      </c>
      <c r="S244" s="181"/>
    </row>
    <row r="245" spans="2:34" x14ac:dyDescent="0.25">
      <c r="B245" s="2" t="s">
        <v>0</v>
      </c>
      <c r="C245" s="2" t="s">
        <v>7</v>
      </c>
      <c r="D245" s="2" t="s">
        <v>462</v>
      </c>
      <c r="E245" s="2" t="s">
        <v>58</v>
      </c>
      <c r="F245" s="2" t="s">
        <v>463</v>
      </c>
      <c r="G245" s="2" t="s">
        <v>22</v>
      </c>
      <c r="H245" s="4" t="s">
        <v>24</v>
      </c>
      <c r="L245" s="46"/>
      <c r="N245"/>
    </row>
    <row r="246" spans="2:34" x14ac:dyDescent="0.25">
      <c r="B246" s="3">
        <v>1</v>
      </c>
      <c r="C246" s="40" t="s">
        <v>82</v>
      </c>
      <c r="D246" s="3">
        <f>SUMIFS($S$3:$S$241,$D$3:$D$241,Table!$C$3,$O$3:$O$241,C246)</f>
        <v>199</v>
      </c>
      <c r="E246" s="3">
        <f>SUMIFS($T$3:$T$241,$D$3:$D$241,Table!$C$3,$O$3:$O$241,C246)-SUM(SUMIFS($T$3:$T$241,$D$3:$D$241,Table!$C$3,$O$3:$O$241,C246,$W$3:$W$241,{"Ongoing","N/A",""}))</f>
        <v>199</v>
      </c>
      <c r="F246" s="3">
        <f>1/8*(SUMIFS($V$3:$V$241,$D$3:$D$241,Table!$C$3,$O$3:$O$241,C246)-SUM(SUMIFS($V$3:$V$241,$D$3:$D$241,Table!$C$3,$O$3:$O$241,C246,$W$3:$W$241,{"Ongoing","N/A",""})))</f>
        <v>1.5</v>
      </c>
      <c r="G246" s="3">
        <f>IF(ISERROR(E246/(F246)),"N/A",E246/F246)</f>
        <v>132.66666666666666</v>
      </c>
      <c r="H246" s="6">
        <f>IF(ISERROR(E246/D246),"N/A",E246/D246)</f>
        <v>1</v>
      </c>
      <c r="L246" s="46"/>
      <c r="N246"/>
      <c r="T246" s="157"/>
    </row>
    <row r="247" spans="2:34" x14ac:dyDescent="0.25">
      <c r="B247" s="3">
        <v>2</v>
      </c>
      <c r="C247" s="40" t="s">
        <v>83</v>
      </c>
      <c r="D247" s="3">
        <f>SUMIFS($S$3:$S$241,$D$3:$D$241,Table!$C$3,$O$3:$O$241,C247)</f>
        <v>38</v>
      </c>
      <c r="E247" s="3">
        <f>SUMIFS($T$3:$T$241,$D$3:$D$241,Table!$C$3,$O$3:$O$241,C247)-SUM(SUMIFS($T$3:$T$241,$D$3:$D$241,Table!$C$3,$O$3:$O$241,C247,$W$3:$W$241,{"Ongoing","N/A",""}))</f>
        <v>0</v>
      </c>
      <c r="F247" s="3">
        <f>1/8*(SUMIFS($V$3:$V$241,$D$3:$D$241,Table!$C$3,$O$3:$O$241,C247)-SUM(SUMIFS($V$3:$V$241,$D$3:$D$241,Table!$C$3,$O$3:$O$241,C247,$W$3:$W$241,{"Ongoing","N/A",""})))</f>
        <v>0</v>
      </c>
      <c r="G247" s="3" t="str">
        <f>IF(ISERROR(E247/(F247)),"N/A",E247/F247)</f>
        <v>N/A</v>
      </c>
      <c r="H247" s="6">
        <f>IF(ISERROR(E247/D247),"N/A",E247/D247)</f>
        <v>0</v>
      </c>
      <c r="L247" s="46"/>
      <c r="N247"/>
      <c r="T247" s="5"/>
    </row>
    <row r="248" spans="2:34" x14ac:dyDescent="0.25">
      <c r="B248" s="3">
        <v>3</v>
      </c>
      <c r="C248" s="40" t="s">
        <v>84</v>
      </c>
      <c r="D248" s="3">
        <f>SUMIFS($S$3:$S$241,$D$3:$D$241,Table!$C$3,$O$3:$O$241,C248)</f>
        <v>120</v>
      </c>
      <c r="E248" s="3">
        <f>SUMIFS($T$3:$T$241,$D$3:$D$241,Table!$C$3,$O$3:$O$241,C248)-SUM(SUMIFS($T$3:$T$241,$D$3:$D$241,Table!$C$3,$O$3:$O$241,C248,$W$3:$W$241,{"Ongoing","N/A",""}))</f>
        <v>120</v>
      </c>
      <c r="F248" s="3">
        <f>1/8*(SUMIFS($V$3:$V$241,$D$3:$D$241,Table!$C$3,$O$3:$O$241,C248)-SUM(SUMIFS($V$3:$V$241,$D$3:$D$241,Table!$C$3,$O$3:$O$241,C248,$W$3:$W$241,{"Ongoing","N/A",""})))</f>
        <v>0.875</v>
      </c>
      <c r="G248" s="3">
        <f>IF(ISERROR(E248/(F248)),"N/A",E248/F248)</f>
        <v>137.14285714285714</v>
      </c>
      <c r="H248" s="6">
        <f>IF(ISERROR(E248/D248),"N/A",E248/D248)</f>
        <v>1</v>
      </c>
      <c r="L248" s="46"/>
      <c r="N248"/>
      <c r="T248" s="157"/>
    </row>
    <row r="249" spans="2:34" ht="15.75" x14ac:dyDescent="0.25">
      <c r="B249" s="3">
        <v>4</v>
      </c>
      <c r="C249" s="40" t="s">
        <v>85</v>
      </c>
      <c r="D249" s="3">
        <f>SUMIFS($S$3:$S$241,$D$3:$D$241,Table!$C$3,$O$3:$O$241,C249)</f>
        <v>64</v>
      </c>
      <c r="E249" s="3">
        <f>SUMIFS($T$3:$T$241,$D$3:$D$241,Table!$C$3,$O$3:$O$241,C249)-SUM(SUMIFS($T$3:$T$241,$D$3:$D$241,Table!$C$3,$O$3:$O$241,C249,$W$3:$W$241,{"Ongoing","N/A"}))</f>
        <v>0</v>
      </c>
      <c r="F249" s="3">
        <f>1/8*(SUMIFS($V$3:$V$241,$D$3:$D$241,Table!$C$3,$O$3:$O$241,C249)-SUM(SUMIFS($V$3:$V$241,$D$3:$D$241,Table!$C$3,$O$3:$O$241,C249,$W$3:$W$241,{"Ongoing","N/A",""})))</f>
        <v>0</v>
      </c>
      <c r="G249" s="3" t="str">
        <f>IF(ISERROR(E249/(F249)),"N/A",E249/F249)</f>
        <v>N/A</v>
      </c>
      <c r="H249" s="6">
        <f>IF(ISERROR(E249/D249),"N/A",E249/D249)</f>
        <v>0</v>
      </c>
      <c r="J249" s="189"/>
      <c r="N249"/>
    </row>
    <row r="250" spans="2:34" x14ac:dyDescent="0.25">
      <c r="B250" s="2" t="s">
        <v>319</v>
      </c>
      <c r="C250" s="40"/>
      <c r="D250" s="110">
        <f>SUMIFS($S$3:$S$241,$D$3:$D$241,Table!$C$3)</f>
        <v>421</v>
      </c>
      <c r="E250" s="110">
        <f>SUMIFS($T$3:$T$241,$D$3:$D$241,Table!$C$3)-SUM(SUMIFS($T$3:$T$241,$D$3:$D$241,Table!$C$3,$W$3:$W$241,{"Ongoing","N/A",""}))</f>
        <v>319</v>
      </c>
      <c r="F250" s="110">
        <f>1/8*(SUMIFS($V$3:$V$241,$D$3:$D$241,Table!$C$3)-SUM(SUMIFS($V$3:$V$241,$D$3:$D$241,Table!$C$3,$W$3:$W$241,{"Ongoing","N/A",""})))</f>
        <v>2.375</v>
      </c>
      <c r="G250" s="3">
        <f>IF(ISERROR(E250/(F250)),"N/A",E250/F250)</f>
        <v>134.31578947368422</v>
      </c>
      <c r="H250" s="6">
        <f>IF(ISERROR(E250/D250),"N/A",E250/D250)</f>
        <v>0.75771971496437052</v>
      </c>
      <c r="N250"/>
    </row>
    <row r="251" spans="2:34" x14ac:dyDescent="0.25">
      <c r="J251"/>
    </row>
    <row r="252" spans="2:34" x14ac:dyDescent="0.25">
      <c r="V252" s="46"/>
    </row>
    <row r="253" spans="2:34" x14ac:dyDescent="0.25">
      <c r="B253" s="1" t="s">
        <v>57</v>
      </c>
      <c r="V253" s="46"/>
    </row>
    <row r="254" spans="2:34" x14ac:dyDescent="0.25">
      <c r="B254" s="2" t="s">
        <v>0</v>
      </c>
      <c r="C254" s="2" t="s">
        <v>7</v>
      </c>
      <c r="D254" s="2" t="s">
        <v>462</v>
      </c>
      <c r="E254" s="2" t="s">
        <v>58</v>
      </c>
      <c r="F254" s="2" t="s">
        <v>463</v>
      </c>
      <c r="G254" s="2" t="s">
        <v>22</v>
      </c>
      <c r="H254" s="4" t="s">
        <v>24</v>
      </c>
      <c r="V254" s="46"/>
    </row>
    <row r="255" spans="2:34" x14ac:dyDescent="0.25">
      <c r="B255" s="3">
        <v>1</v>
      </c>
      <c r="C255" s="40" t="s">
        <v>82</v>
      </c>
      <c r="D255" s="3">
        <f>SUMIFS($S$3:$S$241,$D$3:$D$241,Table!$D$3,$O$3:$O$241,C255)</f>
        <v>9578</v>
      </c>
      <c r="E255" s="3">
        <f>SUMIFS($S$3:$S$241,$D$3:$D$241,Table!$D$3,$O$3:$O$241,C255)-SUM(SUMIFS($S$3:$S$241,$D$3:$D$241,Table!$D$3,$O$3:$O$241,C255,$W$3:$W$241,{"Ongoing","N/A",""}))</f>
        <v>6682</v>
      </c>
      <c r="F255" s="3">
        <f>1/8*(SUMIFS($V$3:$V$241,$D$3:$D$241,Table!$D$3,$O$3:$O$241,C255)-SUM(SUMIFS($V$3:$V$241,$D$3:$D$241,Table!$D$3,$O$3:$O$241,C255,$W$3:$W$241,{"Ongoing","N/A",""})))</f>
        <v>12.375</v>
      </c>
      <c r="G255" s="3">
        <f t="shared" ref="G255:G261" si="35">IF(ISERROR(E255/(F255)),"N/A",E255/F255)</f>
        <v>539.95959595959596</v>
      </c>
      <c r="H255" s="6">
        <f t="shared" ref="H255:H261" si="36">IF(ISERROR(E255/D255),"N/A",E255/D255)</f>
        <v>0.69764042597619547</v>
      </c>
      <c r="V255" s="46"/>
    </row>
    <row r="256" spans="2:34" x14ac:dyDescent="0.25">
      <c r="B256" s="3">
        <v>2</v>
      </c>
      <c r="C256" s="40" t="s">
        <v>83</v>
      </c>
      <c r="D256" s="3">
        <f>SUMIFS($S$3:$S$241,$D$3:$D$241,Table!$D$3,$O$3:$O$241,C256)</f>
        <v>10094</v>
      </c>
      <c r="E256" s="3">
        <f>SUMIFS($S$3:$S$241,$D$3:$D$241,Table!$D$3,$O$3:$O$241,C256)-SUM(SUMIFS($S$3:$S$241,$D$3:$D$241,Table!$D$3,$O$3:$O$241,C256,$W$3:$W$241,{"Ongoing","N/A",""}))</f>
        <v>9903</v>
      </c>
      <c r="F256" s="3">
        <f>1/8*(SUMIFS($V$3:$V$241,$D$3:$D$241,Table!$D$3,$O$3:$O$241,C256)-SUM(SUMIFS($V$3:$V$241,$D$3:$D$241,Table!$D$3,$O$3:$O$241,C256,$W$3:$W$241,{"Ongoing","N/A",""})))</f>
        <v>11.75</v>
      </c>
      <c r="G256" s="3">
        <f t="shared" si="35"/>
        <v>842.80851063829789</v>
      </c>
      <c r="H256" s="6">
        <f t="shared" si="36"/>
        <v>0.98107786804042008</v>
      </c>
      <c r="V256" s="46"/>
    </row>
    <row r="257" spans="2:8" x14ac:dyDescent="0.25">
      <c r="B257" s="3">
        <v>3</v>
      </c>
      <c r="C257" s="40" t="s">
        <v>84</v>
      </c>
      <c r="D257" s="3">
        <f>SUMIFS($S$3:$S$241,$D$3:$D$241,Table!$D$3,$O$3:$O$241,C257)</f>
        <v>9561</v>
      </c>
      <c r="E257" s="3">
        <f>SUMIFS($S$3:$S$241,$D$3:$D$241,Table!$D$3,$O$3:$O$241,C257)-SUM(SUMIFS($S$3:$S$241,$D$3:$D$241,Table!$D$3,$O$3:$O$241,C257,$W$3:$W$241,{"Ongoing","N/A",""}))</f>
        <v>8905</v>
      </c>
      <c r="F257" s="3">
        <f>1/8*(SUMIFS($V$3:$V$241,$D$3:$D$241,Table!$D$3,$O$3:$O$241,C257)-SUM(SUMIFS($V$3:$V$241,$D$3:$D$241,Table!$D$3,$O$3:$O$241,C257,$W$3:$W$241,{"Ongoing","N/A",""})))</f>
        <v>13.287500000000001</v>
      </c>
      <c r="G257" s="3">
        <f t="shared" si="35"/>
        <v>670.17873941674497</v>
      </c>
      <c r="H257" s="6">
        <f t="shared" si="36"/>
        <v>0.93138793013283128</v>
      </c>
    </row>
    <row r="258" spans="2:8" x14ac:dyDescent="0.25">
      <c r="B258" s="3">
        <v>4</v>
      </c>
      <c r="C258" s="40" t="s">
        <v>85</v>
      </c>
      <c r="D258" s="3">
        <f>SUMIFS($S$3:$S$241,$D$3:$D$241,Table!$D$3,$O$3:$O$241,C258)</f>
        <v>9535</v>
      </c>
      <c r="E258" s="3">
        <f>SUMIFS($S$3:$S$241,$D$3:$D$241,Table!$D$3,$O$3:$O$241,C258)-SUM(SUMIFS($S$3:$S$241,$D$3:$D$241,Table!$D$3,$O$3:$O$241,C258,$W$3:$W$241,{"Ongoing","N/A",""}))</f>
        <v>8020</v>
      </c>
      <c r="F258" s="3">
        <f>1/8*(SUMIFS($V$3:$V$241,$D$3:$D$241,Table!$D$3,$O$3:$O$241,C258)-SUM(SUMIFS($V$3:$V$241,$D$3:$D$241,Table!$D$3,$O$3:$O$241,C258,$W$3:$W$241,{"Ongoing","N/A",""})))</f>
        <v>10.483750000000001</v>
      </c>
      <c r="G258" s="3">
        <f t="shared" si="35"/>
        <v>764.9934422320257</v>
      </c>
      <c r="H258" s="6">
        <f t="shared" si="36"/>
        <v>0.84111169375983219</v>
      </c>
    </row>
    <row r="259" spans="2:8" x14ac:dyDescent="0.25">
      <c r="B259" s="3">
        <v>5</v>
      </c>
      <c r="C259" s="40" t="s">
        <v>1066</v>
      </c>
      <c r="D259" s="3">
        <f>SUMIFS($S$3:$S$241,$D$3:$D$241,Table!$D$3,$O$3:$O$241,C259)</f>
        <v>0</v>
      </c>
      <c r="E259" s="3">
        <f>SUMIFS($S$3:$S$241,$D$3:$D$241,Table!$D$3,$O$3:$O$241,C259)-SUM(SUMIFS($S$3:$S$241,$D$3:$D$241,Table!$D$3,$O$3:$O$241,C259,$W$3:$W$241,{"Ongoing","N/A",""}))</f>
        <v>0</v>
      </c>
      <c r="F259" s="3">
        <f>1/8*(SUMIFS($V$3:$V$241,$D$3:$D$241,Table!$D$3,$O$3:$O$241,C259)-SUM(SUMIFS($V$3:$V$241,$D$3:$D$241,Table!$D$3,$O$3:$O$241,C259,$W$3:$W$241,{"Ongoing","N/A",""})))</f>
        <v>0</v>
      </c>
      <c r="G259" s="3" t="str">
        <f>IF(ISERROR(E259/(F259)),"N/A",E259/F259)</f>
        <v>N/A</v>
      </c>
      <c r="H259" s="6" t="str">
        <f>IF(ISERROR(E259/D259),"N/A",E259/D259)</f>
        <v>N/A</v>
      </c>
    </row>
    <row r="260" spans="2:8" x14ac:dyDescent="0.25">
      <c r="B260" s="3">
        <v>6</v>
      </c>
      <c r="C260" s="40" t="s">
        <v>1067</v>
      </c>
      <c r="D260" s="3">
        <f>SUMIFS($S$3:$S$241,$D$3:$D$241,Table!$D$3,$O$3:$O$241,C260)</f>
        <v>0</v>
      </c>
      <c r="E260" s="3">
        <f>SUMIFS($S$3:$S$241,$D$3:$D$241,Table!$D$3,$O$3:$O$241,C260)-SUM(SUMIFS($S$3:$S$241,$D$3:$D$241,Table!$D$3,$O$3:$O$241,C260,$W$3:$W$241,{"Ongoing","N/A",""}))</f>
        <v>0</v>
      </c>
      <c r="F260" s="3">
        <f>1/8*(SUMIFS($V$3:$V$241,$D$3:$D$241,Table!$D$3,$O$3:$O$241,C260)-SUM(SUMIFS($V$3:$V$241,$D$3:$D$241,Table!$D$3,$O$3:$O$241,C260,$W$3:$W$241,{"Ongoing","N/A",""})))</f>
        <v>0</v>
      </c>
      <c r="G260" s="3" t="str">
        <f>IF(ISERROR(E260/(F260)),"N/A",E260/F260)</f>
        <v>N/A</v>
      </c>
      <c r="H260" s="6" t="str">
        <f>IF(ISERROR(E260/D260),"N/A",E260/D260)</f>
        <v>N/A</v>
      </c>
    </row>
    <row r="261" spans="2:8" x14ac:dyDescent="0.25">
      <c r="B261" s="2" t="s">
        <v>319</v>
      </c>
      <c r="C261" s="40"/>
      <c r="D261" s="110">
        <f>SUMIFS($S$3:$S$241,$D$3:$D$241,Table!$D$3)</f>
        <v>38768</v>
      </c>
      <c r="E261" s="110">
        <f>SUMIFS($T$3:$T$241,$D$3:$D$241,Table!$D$3)-SUM(SUMIFS($T$3:$T$241,$D$3:$D$241,Table!$D$3,$W$3:$W$241,{"Ongoing","N/A",""}))</f>
        <v>33510</v>
      </c>
      <c r="F261" s="110">
        <f>1/8*(SUMIFS($V$3:$V$241,$D$3:$D$241,Table!$D$3)-SUM(SUMIFS($V$3:$V$241,$D$3:$D$241,Table!$D$3,$W$3:$W$241,{"Ongoing","N/A",""})))</f>
        <v>47.896249999999988</v>
      </c>
      <c r="G261" s="3">
        <f t="shared" si="35"/>
        <v>699.63723673565278</v>
      </c>
      <c r="H261" s="6">
        <f t="shared" si="36"/>
        <v>0.86437267849773014</v>
      </c>
    </row>
    <row r="264" spans="2:8" x14ac:dyDescent="0.25">
      <c r="B264" s="1" t="s">
        <v>320</v>
      </c>
    </row>
    <row r="265" spans="2:8" x14ac:dyDescent="0.25">
      <c r="B265" s="2" t="s">
        <v>0</v>
      </c>
      <c r="C265" s="2" t="s">
        <v>7</v>
      </c>
      <c r="D265" s="2" t="s">
        <v>462</v>
      </c>
      <c r="E265" s="2" t="s">
        <v>58</v>
      </c>
      <c r="F265" s="2" t="s">
        <v>463</v>
      </c>
      <c r="G265" s="2" t="s">
        <v>22</v>
      </c>
      <c r="H265" s="4" t="s">
        <v>24</v>
      </c>
    </row>
    <row r="266" spans="2:8" x14ac:dyDescent="0.25">
      <c r="B266" s="3">
        <v>1</v>
      </c>
      <c r="C266" s="40" t="s">
        <v>82</v>
      </c>
      <c r="D266" s="3">
        <f>SUM(D246*Table!$D$4/Table!$C$4,D255)</f>
        <v>10266.846153846154</v>
      </c>
      <c r="E266" s="3">
        <f>SUM(E246*Table!$D$4/Table!$C$4,E255)</f>
        <v>7370.8461538461543</v>
      </c>
      <c r="F266" s="3">
        <f ca="1">IF(OR(Template_Weekly_Report_Apr!E35="-",Template_Weekly_Report_Apr!E35=""),Template_Weekly_Report_Apr!$B$3,Template_Weekly_Report_Apr!$B$3-Template_Weekly_Report_Apr!E35)</f>
        <v>12</v>
      </c>
      <c r="G266" s="3">
        <f ca="1">IF(ISERROR(E266/(F266)),"N/A",E266/F266)</f>
        <v>614.23717948717956</v>
      </c>
      <c r="H266" s="6">
        <f>IF(ISERROR(E266/D266),"N/A",E266/D266)</f>
        <v>0.71792700926806974</v>
      </c>
    </row>
    <row r="267" spans="2:8" x14ac:dyDescent="0.25">
      <c r="B267" s="3">
        <v>2</v>
      </c>
      <c r="C267" s="40" t="s">
        <v>83</v>
      </c>
      <c r="D267" s="3">
        <f>SUM(D247*Table!$D$4/Table!$C$4,D256)</f>
        <v>10225.538461538461</v>
      </c>
      <c r="E267" s="3">
        <f>SUM(E247*Table!$D$4/Table!$C$4,E256)</f>
        <v>9903</v>
      </c>
      <c r="F267" s="3">
        <f ca="1">IF(OR(Template_Weekly_Report_Apr!E36="-",Template_Weekly_Report_Apr!E36=""),Template_Weekly_Report_Apr!$B$3,Template_Weekly_Report_Apr!$B$3-Template_Weekly_Report_Apr!E36)</f>
        <v>11</v>
      </c>
      <c r="G267" s="3">
        <f ca="1">IF(ISERROR(E267/(F267)),"N/A",E267/F267)</f>
        <v>900.27272727272725</v>
      </c>
      <c r="H267" s="6">
        <f>IF(ISERROR(E267/D267),"N/A",E267/D267)</f>
        <v>0.96845755724731442</v>
      </c>
    </row>
    <row r="268" spans="2:8" x14ac:dyDescent="0.25">
      <c r="B268" s="3">
        <v>3</v>
      </c>
      <c r="C268" s="40" t="s">
        <v>84</v>
      </c>
      <c r="D268" s="3">
        <f>SUM(D248*Table!$D$4/Table!$C$4,D257)</f>
        <v>9976.3846153846152</v>
      </c>
      <c r="E268" s="3">
        <f>SUM(E248*Table!$D$4/Table!$C$4,E257)</f>
        <v>9320.3846153846152</v>
      </c>
      <c r="F268" s="3">
        <f ca="1">IF(OR(Template_Weekly_Report_Apr!E37="-",Template_Weekly_Report_Apr!E37=""),Template_Weekly_Report_Apr!$B$3,Template_Weekly_Report_Apr!$B$3-Template_Weekly_Report_Apr!E37)</f>
        <v>12</v>
      </c>
      <c r="G268" s="3">
        <f ca="1">IF(ISERROR(E268/(F268)),"N/A",E268/F268)</f>
        <v>776.6987179487179</v>
      </c>
      <c r="H268" s="6">
        <f>IF(ISERROR(E268/D268),"N/A",E268/D268)</f>
        <v>0.93424471636865525</v>
      </c>
    </row>
    <row r="269" spans="2:8" x14ac:dyDescent="0.25">
      <c r="B269" s="3">
        <v>4</v>
      </c>
      <c r="C269" s="40" t="s">
        <v>85</v>
      </c>
      <c r="D269" s="3">
        <f>SUM(D249*Table!$D$4/Table!$C$4,D258)</f>
        <v>9756.538461538461</v>
      </c>
      <c r="E269" s="3">
        <f>SUM(E249*Table!$D$4/Table!$C$4,E258)</f>
        <v>8020</v>
      </c>
      <c r="F269" s="3">
        <f ca="1">IF(OR(Template_Weekly_Report_Apr!E38="-",Template_Weekly_Report_Apr!E38=""),Template_Weekly_Report_Apr!$B$3,Template_Weekly_Report_Apr!$B$3-Template_Weekly_Report_Apr!E38)</f>
        <v>11</v>
      </c>
      <c r="G269" s="3">
        <f ca="1">IF(ISERROR(E269/(F269)),"N/A",E269/F269)</f>
        <v>729.09090909090912</v>
      </c>
      <c r="H269" s="6">
        <f>IF(ISERROR(E269/D269),"N/A",E269/D269)</f>
        <v>0.82201285134229518</v>
      </c>
    </row>
    <row r="270" spans="2:8" x14ac:dyDescent="0.25">
      <c r="B270" s="2" t="s">
        <v>319</v>
      </c>
      <c r="C270" s="40"/>
      <c r="D270" s="3">
        <f>SUM(D266:D269)</f>
        <v>40225.307692307695</v>
      </c>
      <c r="E270" s="3">
        <f>SUM(E266:E269)</f>
        <v>34614.230769230773</v>
      </c>
      <c r="F270" s="3">
        <f ca="1">Template_Weekly_Report_Apr!B3*COUNTA(C266:C269)-1</f>
        <v>47</v>
      </c>
      <c r="G270" s="3">
        <f ca="1">IF(ISERROR(E270/(F270)),"N/A",E270/F270)</f>
        <v>736.47299509001641</v>
      </c>
      <c r="H270" s="6">
        <f t="shared" ref="H270" si="37">IF(ISERROR(E270/D270),"N/A",E270/D270)</f>
        <v>0.8605087879999006</v>
      </c>
    </row>
    <row r="274" spans="18:18" x14ac:dyDescent="0.25">
      <c r="R274" s="194"/>
    </row>
    <row r="275" spans="18:18" x14ac:dyDescent="0.25">
      <c r="R275" s="194"/>
    </row>
    <row r="276" spans="18:18" x14ac:dyDescent="0.25">
      <c r="R276" s="194"/>
    </row>
    <row r="277" spans="18:18" x14ac:dyDescent="0.25">
      <c r="R277" s="194"/>
    </row>
    <row r="278" spans="18:18" x14ac:dyDescent="0.25">
      <c r="R278" s="194"/>
    </row>
    <row r="279" spans="18:18" x14ac:dyDescent="0.25">
      <c r="R279" s="194"/>
    </row>
    <row r="280" spans="18:18" x14ac:dyDescent="0.25">
      <c r="R280" s="194"/>
    </row>
    <row r="281" spans="18:18" x14ac:dyDescent="0.25">
      <c r="R281" s="194"/>
    </row>
    <row r="282" spans="18:18" x14ac:dyDescent="0.25">
      <c r="R282" s="5"/>
    </row>
    <row r="283" spans="18:18" x14ac:dyDescent="0.25">
      <c r="R283" s="5"/>
    </row>
    <row r="284" spans="18:18" x14ac:dyDescent="0.25">
      <c r="R284" s="5"/>
    </row>
    <row r="285" spans="18:18" x14ac:dyDescent="0.25">
      <c r="R285" s="5"/>
    </row>
    <row r="286" spans="18:18" x14ac:dyDescent="0.25">
      <c r="R286" s="195"/>
    </row>
  </sheetData>
  <customSheetViews>
    <customSheetView guid="{7E0EA425-A420-4443-B9E0-CDF0AA9E5D09}" scale="85" hiddenColumns="1" topLeftCell="D12">
      <selection activeCell="F174" sqref="F174"/>
      <pageMargins left="0.7" right="0.7" top="0.75" bottom="0.75" header="0.3" footer="0.3"/>
      <pageSetup orientation="portrait" r:id="rId1"/>
    </customSheetView>
    <customSheetView guid="{4E06BDBF-2CED-473B-850B-2A6C7311FF41}" scale="85" showAutoFilter="1" hiddenColumns="1" topLeftCell="W172">
      <selection activeCell="W205" sqref="W205:AH205"/>
      <pageMargins left="0.7" right="0.7" top="0.75" bottom="0.75" header="0.3" footer="0.3"/>
      <pageSetup orientation="portrait" r:id="rId2"/>
      <autoFilter ref="B2:AH241"/>
    </customSheetView>
    <customSheetView guid="{72A6EB0A-84D5-4B8A-AC51-54CCD061630B}" scale="85" filter="1" showAutoFilter="1" hiddenColumns="1" topLeftCell="I66">
      <selection activeCell="Z184" sqref="Z184:AF184"/>
      <pageMargins left="0.7" right="0.7" top="0.75" bottom="0.75" header="0.3" footer="0.3"/>
      <pageSetup orientation="portrait" r:id="rId3"/>
      <autoFilter ref="B2:AH241">
        <filterColumn colId="13">
          <filters>
            <filter val="loc.do-phu"/>
          </filters>
        </filterColumn>
      </autoFilter>
    </customSheetView>
    <customSheetView guid="{60D2C030-4E31-4E07-8E1C-44D2EE84B177}" scale="85" filter="1" showAutoFilter="1" hiddenColumns="1" topLeftCell="F1">
      <selection activeCell="K247" sqref="K247"/>
      <pageMargins left="0.7" right="0.7" top="0.75" bottom="0.75" header="0.3" footer="0.3"/>
      <pageSetup orientation="portrait" r:id="rId4"/>
      <autoFilter ref="B2:AH241">
        <filterColumn colId="13">
          <filters>
            <filter val="chung.ly"/>
          </filters>
        </filterColumn>
        <filterColumn colId="25">
          <filters blank="1">
            <dateGroupItem year="2020" month="4" day="17" dateTimeGrouping="day"/>
          </filters>
        </filterColumn>
      </autoFilter>
    </customSheetView>
    <customSheetView guid="{D1F7047B-CC2E-48BC-8022-C8013AE2B1E1}" scale="70" showAutoFilter="1" hiddenColumns="1" topLeftCell="A64">
      <selection activeCell="E85" sqref="E85"/>
      <pageMargins left="0.7" right="0.7" top="0.75" bottom="0.75" header="0.3" footer="0.3"/>
      <pageSetup orientation="portrait" r:id="rId5"/>
      <autoFilter ref="B2:AH108"/>
    </customSheetView>
    <customSheetView guid="{250915DF-0B97-45D7-B29D-7EED4C89C1C1}" scale="85" filter="1" showAutoFilter="1" hiddenColumns="1" topLeftCell="V1">
      <selection activeCell="AF3" sqref="AF3"/>
      <pageMargins left="0.7" right="0.7" top="0.75" bottom="0.75" header="0.3" footer="0.3"/>
      <pageSetup orientation="portrait" r:id="rId6"/>
      <autoFilter ref="B2:AH239">
        <filterColumn colId="13">
          <filters>
            <filter val="duong.nguyen"/>
          </filters>
        </filterColumn>
      </autoFilter>
    </customSheetView>
  </customSheetViews>
  <conditionalFormatting sqref="H255:H260 H246:H250">
    <cfRule type="cellIs" dxfId="166" priority="40" operator="equal">
      <formula>1</formula>
    </cfRule>
    <cfRule type="cellIs" dxfId="165" priority="41" operator="lessThan">
      <formula>1</formula>
    </cfRule>
  </conditionalFormatting>
  <conditionalFormatting sqref="AB3:AB107 AB109:AB120 AB122:AB242">
    <cfRule type="cellIs" dxfId="164" priority="38" operator="equal">
      <formula>"OK"</formula>
    </cfRule>
    <cfRule type="cellIs" dxfId="163" priority="39" operator="equal">
      <formula>"NG"</formula>
    </cfRule>
  </conditionalFormatting>
  <conditionalFormatting sqref="M7:M23 L3:M6 L7:L241">
    <cfRule type="cellIs" dxfId="162" priority="37" operator="equal">
      <formula>"PUT_VERSION"</formula>
    </cfRule>
  </conditionalFormatting>
  <conditionalFormatting sqref="E250">
    <cfRule type="expression" dxfId="161" priority="36">
      <formula>$E$250=SUM($E$246:$E$249)</formula>
    </cfRule>
  </conditionalFormatting>
  <conditionalFormatting sqref="F250">
    <cfRule type="expression" dxfId="160" priority="35">
      <formula>$F$250=SUM($F$246:$F$249)</formula>
    </cfRule>
  </conditionalFormatting>
  <conditionalFormatting sqref="D250:F250">
    <cfRule type="expression" dxfId="159" priority="34">
      <formula>D250=SUM(D246:D249)</formula>
    </cfRule>
  </conditionalFormatting>
  <conditionalFormatting sqref="D261:F261">
    <cfRule type="expression" dxfId="158" priority="33">
      <formula>D261=SUM(D255:D260)</formula>
    </cfRule>
  </conditionalFormatting>
  <conditionalFormatting sqref="H270">
    <cfRule type="cellIs" dxfId="157" priority="31" operator="equal">
      <formula>1</formula>
    </cfRule>
    <cfRule type="cellIs" dxfId="156" priority="32" operator="lessThan">
      <formula>1</formula>
    </cfRule>
  </conditionalFormatting>
  <conditionalFormatting sqref="D3:D242">
    <cfRule type="cellIs" dxfId="155" priority="17" operator="equal">
      <formula>"PSW"</formula>
    </cfRule>
    <cfRule type="cellIs" dxfId="154" priority="18" operator="equal">
      <formula>"ASW"</formula>
    </cfRule>
  </conditionalFormatting>
  <conditionalFormatting sqref="I6:I242">
    <cfRule type="cellIs" dxfId="153" priority="15" operator="equal">
      <formula>"Manual"</formula>
    </cfRule>
    <cfRule type="cellIs" dxfId="152" priority="16" operator="equal">
      <formula>"Auto"</formula>
    </cfRule>
  </conditionalFormatting>
  <conditionalFormatting sqref="AB121">
    <cfRule type="cellIs" dxfId="151" priority="7" operator="equal">
      <formula>"OK"</formula>
    </cfRule>
    <cfRule type="cellIs" dxfId="150" priority="8" operator="equal">
      <formula>"NG"</formula>
    </cfRule>
  </conditionalFormatting>
  <conditionalFormatting sqref="AB108">
    <cfRule type="cellIs" dxfId="149" priority="3" operator="equal">
      <formula>"OK"</formula>
    </cfRule>
    <cfRule type="cellIs" dxfId="148" priority="4" operator="equal">
      <formula>"NG"</formula>
    </cfRule>
  </conditionalFormatting>
  <dataValidations count="2">
    <dataValidation type="list" allowBlank="1" showInputMessage="1" showErrorMessage="1" sqref="Q3:Q242">
      <formula1>"Yes,No"</formula1>
    </dataValidation>
    <dataValidation type="list" allowBlank="1" showInputMessage="1" showErrorMessage="1" sqref="AB3:AB242">
      <formula1>"OK,NG"</formula1>
    </dataValidation>
  </dataValidations>
  <pageMargins left="0.7" right="0.7" top="0.75" bottom="0.75" header="0.3" footer="0.3"/>
  <pageSetup orientation="portrait" r:id="rId7"/>
  <ignoredErrors>
    <ignoredError sqref="J109:J123" numberStoredAsText="1"/>
  </ignoredErrors>
  <legacyDrawing r:id="rId8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42" operator="greaterThanOrEqual" id="{347F6A8E-6B4E-46FC-95D6-7B23A475568E}">
            <xm:f>Table!$C$4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3" operator="lessThan" id="{38A793D7-4802-4839-ACF8-226CEE33C03F}">
            <xm:f>Table!$C$4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G246:G250</xm:sqref>
        </x14:conditionalFormatting>
        <x14:conditionalFormatting xmlns:xm="http://schemas.microsoft.com/office/excel/2006/main">
          <x14:cfRule type="cellIs" priority="44" operator="greaterThanOrEqual" id="{E36D9CBE-873F-4511-9CE5-785548098787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45" operator="lessThan" id="{89A681C3-11B1-47F1-BEBC-860C3EF0BA5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G255:G260</xm:sqref>
        </x14:conditionalFormatting>
        <x14:conditionalFormatting xmlns:xm="http://schemas.microsoft.com/office/excel/2006/main">
          <x14:cfRule type="cellIs" priority="29" operator="greaterThanOrEqual" id="{2E2D3F91-C82C-4647-8E2C-B0CCF7740DCA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30" operator="lessThan" id="{3098A695-ACA3-42E4-8C0E-C7A55F7ADD6B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G266</xm:sqref>
        </x14:conditionalFormatting>
        <x14:conditionalFormatting xmlns:xm="http://schemas.microsoft.com/office/excel/2006/main">
          <x14:cfRule type="cellIs" priority="27" operator="greaterThanOrEqual" id="{4885DF0E-3249-4456-B778-A122F50B14E5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8" operator="lessThan" id="{3B504B27-38AF-4C6B-9961-A984AB47814A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G267</xm:sqref>
        </x14:conditionalFormatting>
        <x14:conditionalFormatting xmlns:xm="http://schemas.microsoft.com/office/excel/2006/main">
          <x14:cfRule type="cellIs" priority="25" operator="greaterThanOrEqual" id="{581ADB50-8299-4CB0-87F4-36298DD8668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6" operator="lessThan" id="{4EA94FA6-F50F-4524-8D1B-809E56A3000E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G268</xm:sqref>
        </x14:conditionalFormatting>
        <x14:conditionalFormatting xmlns:xm="http://schemas.microsoft.com/office/excel/2006/main">
          <x14:cfRule type="cellIs" priority="23" operator="greaterThanOrEqual" id="{F7A38F0F-3522-4AF0-82B3-513902228C03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4" operator="lessThan" id="{CF8A85DE-2A04-423A-936F-F8C2C43B0D08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G269</xm:sqref>
        </x14:conditionalFormatting>
        <x14:conditionalFormatting xmlns:xm="http://schemas.microsoft.com/office/excel/2006/main">
          <x14:cfRule type="cellIs" priority="21" operator="greaterThanOrEqual" id="{FA0EDBA4-B1FD-4961-93C5-70C17B6B0B1D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2" operator="lessThan" id="{B38138B3-44D1-47BC-971C-F62F0537AF73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G270</xm:sqref>
        </x14:conditionalFormatting>
        <x14:conditionalFormatting xmlns:xm="http://schemas.microsoft.com/office/excel/2006/main">
          <x14:cfRule type="cellIs" priority="19" operator="greaterThanOrEqual" id="{88832BEC-02C4-4C35-90A5-8BC19ADB7FE6}">
            <xm:f>Table!$D$4</xm:f>
            <x14:dxf>
              <font>
                <color rgb="FF006100"/>
              </font>
              <fill>
                <patternFill>
                  <bgColor rgb="FFC6EFCE"/>
                </patternFill>
              </fill>
            </x14:dxf>
          </x14:cfRule>
          <x14:cfRule type="cellIs" priority="20" operator="lessThan" id="{E9DE131A-5600-466D-8551-BD3B727844E7}">
            <xm:f>Table!$D$4</xm:f>
            <x14:dxf>
              <font>
                <color rgb="FF9C0006"/>
              </font>
              <fill>
                <patternFill>
                  <bgColor rgb="FFFFC7CE"/>
                </patternFill>
              </fill>
            </x14:dxf>
          </x14:cfRule>
          <xm:sqref>G261</xm:sqref>
        </x14:conditionalFormatting>
        <x14:conditionalFormatting xmlns:xm="http://schemas.microsoft.com/office/excel/2006/main">
          <x14:cfRule type="cellIs" priority="9" operator="equal" id="{ABB1B4C4-A2DB-4E81-BBA5-56917CD84F86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10" operator="equal" id="{E3532A23-8EAE-4349-98FC-36AA57B67598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AF3:AF107 AF109:AF120 AF122:AF241</xm:sqref>
        </x14:conditionalFormatting>
        <x14:conditionalFormatting xmlns:xm="http://schemas.microsoft.com/office/excel/2006/main">
          <x14:cfRule type="cellIs" priority="5" operator="equal" id="{C7BEB8D1-C461-4640-9475-F9017306452F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6" operator="equal" id="{0C04F9FC-DD1B-4FB2-BB5A-E6CCC2B3D033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AF121</xm:sqref>
        </x14:conditionalFormatting>
        <x14:conditionalFormatting xmlns:xm="http://schemas.microsoft.com/office/excel/2006/main">
          <x14:cfRule type="cellIs" priority="1" operator="equal" id="{45EF9EFE-C69E-42C6-83EA-69C1B2CA427C}">
            <xm:f>Table!$C$38</xm:f>
            <x14:dxf>
              <fill>
                <patternFill>
                  <bgColor rgb="FFFF0000"/>
                </patternFill>
              </fill>
            </x14:dxf>
          </x14:cfRule>
          <x14:cfRule type="cellIs" priority="2" operator="equal" id="{91540693-D2B0-4B9E-A55F-7252275419E6}">
            <xm:f>Table!$C$37</xm:f>
            <x14:dxf>
              <fill>
                <patternFill>
                  <bgColor rgb="FFFFFF00"/>
                </patternFill>
              </fill>
            </x14:dxf>
          </x14:cfRule>
          <xm:sqref>AF108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>
          <x14:formula1>
            <xm:f>Table!$C$13:$C$16</xm:f>
          </x14:formula1>
          <xm:sqref>O242 P3:P242</xm:sqref>
        </x14:dataValidation>
        <x14:dataValidation type="list" allowBlank="1" showInputMessage="1" showErrorMessage="1">
          <x14:formula1>
            <xm:f>Table!$C$32:$C$33</xm:f>
          </x14:formula1>
          <xm:sqref>I6:I241</xm:sqref>
        </x14:dataValidation>
        <x14:dataValidation type="list" allowBlank="1" showInputMessage="1" showErrorMessage="1">
          <x14:formula1>
            <xm:f>Table!$C$37:$C$39</xm:f>
          </x14:formula1>
          <xm:sqref>AF3:AF241</xm:sqref>
        </x14:dataValidation>
        <x14:dataValidation type="list" allowBlank="1" showInputMessage="1" showErrorMessage="1">
          <x14:formula1>
            <xm:f>Table!$C$13:$C$18</xm:f>
          </x14:formula1>
          <xm:sqref>O3:O241</xm:sqref>
        </x14:dataValidation>
        <x14:dataValidation type="list" allowBlank="1" showInputMessage="1" showErrorMessage="1">
          <x14:formula1>
            <xm:f>Table!$C$22:$C$28</xm:f>
          </x14:formula1>
          <xm:sqref>W3:W242</xm:sqref>
        </x14:dataValidation>
        <x14:dataValidation type="list" allowBlank="1" showInputMessage="1" showErrorMessage="1">
          <x14:formula1>
            <xm:f>Table!$C$8:$C$9</xm:f>
          </x14:formula1>
          <xm:sqref>D3:D242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I276"/>
  <sheetViews>
    <sheetView topLeftCell="A243" workbookViewId="0">
      <selection activeCell="H269" sqref="H269"/>
    </sheetView>
  </sheetViews>
  <sheetFormatPr defaultRowHeight="15" x14ac:dyDescent="0.25"/>
  <cols>
    <col min="2" max="2" width="16.28515625" bestFit="1" customWidth="1"/>
    <col min="3" max="3" width="10" customWidth="1"/>
    <col min="6" max="6" width="13.42578125" customWidth="1"/>
    <col min="7" max="7" width="14.5703125" customWidth="1"/>
    <col min="8" max="8" width="12.85546875" customWidth="1"/>
    <col min="9" max="9" width="22.5703125" customWidth="1"/>
  </cols>
  <sheetData>
    <row r="2" spans="1:9" x14ac:dyDescent="0.25">
      <c r="A2" s="1">
        <v>1</v>
      </c>
      <c r="B2" s="1" t="s">
        <v>62</v>
      </c>
      <c r="C2" s="1">
        <v>20200302</v>
      </c>
    </row>
    <row r="3" spans="1:9" x14ac:dyDescent="0.25">
      <c r="B3" s="1" t="s">
        <v>449</v>
      </c>
      <c r="C3" s="105">
        <f>SUM(G9:G10)</f>
        <v>5.8283760683760688</v>
      </c>
      <c r="D3" t="s">
        <v>450</v>
      </c>
    </row>
    <row r="4" spans="1:9" x14ac:dyDescent="0.25">
      <c r="B4" s="1" t="s">
        <v>457</v>
      </c>
      <c r="C4" s="9"/>
      <c r="F4" s="8"/>
      <c r="G4" s="8"/>
      <c r="H4" s="8"/>
    </row>
    <row r="5" spans="1:9" x14ac:dyDescent="0.25">
      <c r="B5" s="1" t="s">
        <v>458</v>
      </c>
      <c r="C5" s="9"/>
      <c r="F5" s="8"/>
      <c r="G5" s="8"/>
      <c r="H5" s="8"/>
    </row>
    <row r="6" spans="1:9" x14ac:dyDescent="0.25">
      <c r="B6" s="1" t="s">
        <v>17</v>
      </c>
      <c r="C6" t="str">
        <f>IF(SUM(H9:H10)&gt;SUM(G9:G10),"Delayed",IF(SUM(H9:H10)&lt;SUM(G9:G10),"InAdvanced","Ontime"))</f>
        <v>Delayed</v>
      </c>
    </row>
    <row r="8" spans="1:9" ht="30" x14ac:dyDescent="0.25">
      <c r="C8" s="108" t="s">
        <v>25</v>
      </c>
      <c r="D8" s="108" t="s">
        <v>26</v>
      </c>
      <c r="E8" s="13" t="s">
        <v>451</v>
      </c>
      <c r="F8" s="13" t="s">
        <v>452</v>
      </c>
      <c r="G8" s="13" t="s">
        <v>453</v>
      </c>
      <c r="H8" s="13" t="s">
        <v>454</v>
      </c>
      <c r="I8" s="13" t="s">
        <v>29</v>
      </c>
    </row>
    <row r="9" spans="1:9" x14ac:dyDescent="0.25">
      <c r="C9" s="10">
        <v>1</v>
      </c>
      <c r="D9" s="11" t="s">
        <v>3</v>
      </c>
      <c r="E9" s="11">
        <f>SUMIFS(COEM_Package_20200302!$S$3:$S$225,COEM_Package_20200302!$D$3:$D$225,Table!$D$3,COEM_Package_20200302!$C$3:$C$225,Report_For_Each_Project!C2)</f>
        <v>2557</v>
      </c>
      <c r="F9" s="11">
        <f>SUMIFS(COEM_Package_20200302!$T$3:$T$225,COEM_Package_20200302!$D$3:$D$225,Table!$D$3,COEM_Package_20200302!$C$3:$C$225,Report_For_Each_Project!C2)-SUM(SUMIFS(COEM_Package_20200302!$T$3:$T$225,COEM_Package_20200302!$D$3:$D$225,Table!$D$3,COEM_Package_20200302!$W$3:$W$225,{"Ongoing","N/A",""},COEM_Package_20200302!$C$3:$C$225,Report_For_Each_Project!C2))</f>
        <v>2557</v>
      </c>
      <c r="G9" s="11">
        <f>E9/Table!$D$4</f>
        <v>5.6822222222222223</v>
      </c>
      <c r="H9" s="11">
        <f>1/8*(SUMIFS(COEM_Package_20200302!$V$3:$V$225,COEM_Package_20200302!$D$3:$D$225,Table!$D$3,COEM_Package_20200302!$C$3:$C$225,Report_For_Each_Project!C2)-SUM(SUMIFS(COEM_Package_20200302!$V$3:$V$225,COEM_Package_20200302!$D$3:$D$225,Table!$D$3,COEM_Package_20200302!$W$3:$W$225,{"Ongoing","N/A",""},COEM_Package_20200302!$C$3:$C$225,Report_For_Each_Project!C2)))</f>
        <v>7.75</v>
      </c>
      <c r="I9" s="116">
        <f>IF(E9=0,"N/A",F9/E9)</f>
        <v>1</v>
      </c>
    </row>
    <row r="10" spans="1:9" x14ac:dyDescent="0.25">
      <c r="C10" s="10">
        <v>2</v>
      </c>
      <c r="D10" s="11" t="s">
        <v>2</v>
      </c>
      <c r="E10" s="11">
        <f>SUMIFS(COEM_Package_20200302!$S$3:$S$225,COEM_Package_20200302!$D$3:$D$225,Table!$C$3,COEM_Package_20200302!$C$3:$C$225,Report_For_Each_Project!C2)</f>
        <v>19</v>
      </c>
      <c r="F10" s="11">
        <f>SUMIFS(COEM_Package_20200302!$T$3:$T$225,COEM_Package_20200302!$D$3:$D$225,Table!$C$3,COEM_Package_20200302!$C$3:$C$225,Report_For_Each_Project!C2)-SUM(SUMIFS(COEM_Package_20200302!$T$3:$T$225,COEM_Package_20200302!$D$3:$D$225,Table!$C$3,COEM_Package_20200302!$W$3:$W$225,{"Ongoing","N/A",""},COEM_Package_20200302!$C$3:$C$225,Report_For_Each_Project!C2))</f>
        <v>19</v>
      </c>
      <c r="G10" s="11">
        <f>E10/Table!$C$4</f>
        <v>0.14615384615384616</v>
      </c>
      <c r="H10" s="11">
        <f>1/8*(SUMIFS(COEM_Package_20200302!$V$3:$V$225,COEM_Package_20200302!$D$3:$D$225,Table!$C$3,COEM_Package_20200302!$C$3:$C$225,Report_For_Each_Project!C2)-SUM(SUMIFS(COEM_Package_20200302!$V$3:$V$225,COEM_Package_20200302!$D$3:$D$225,Table!$C$3,COEM_Package_20200302!$W$3:$W$225,{"Ongoing","N/A",""},COEM_Package_20200302!$C$3:$C$225,Report_For_Each_Project!C2)))</f>
        <v>0.5</v>
      </c>
      <c r="I10" s="116">
        <f>IF(E10=0,"N/A",F10/E10)</f>
        <v>1</v>
      </c>
    </row>
    <row r="11" spans="1:9" x14ac:dyDescent="0.25">
      <c r="I11" s="117"/>
    </row>
    <row r="12" spans="1:9" x14ac:dyDescent="0.25">
      <c r="C12" t="s">
        <v>459</v>
      </c>
    </row>
    <row r="13" spans="1:9" x14ac:dyDescent="0.25">
      <c r="D13" s="111"/>
    </row>
    <row r="14" spans="1:9" x14ac:dyDescent="0.25">
      <c r="A14" s="1">
        <f>A2+1</f>
        <v>2</v>
      </c>
      <c r="B14" s="1" t="s">
        <v>62</v>
      </c>
      <c r="C14" s="1">
        <v>20200303</v>
      </c>
    </row>
    <row r="15" spans="1:9" x14ac:dyDescent="0.25">
      <c r="B15" s="1" t="s">
        <v>449</v>
      </c>
      <c r="C15" s="105">
        <f>SUM(G21:G22)</f>
        <v>17.829059829059826</v>
      </c>
      <c r="D15" t="s">
        <v>450</v>
      </c>
    </row>
    <row r="16" spans="1:9" x14ac:dyDescent="0.25">
      <c r="B16" s="1" t="s">
        <v>457</v>
      </c>
      <c r="C16" s="9"/>
      <c r="F16" s="8"/>
      <c r="G16" s="8"/>
      <c r="H16" s="8"/>
    </row>
    <row r="17" spans="1:9" x14ac:dyDescent="0.25">
      <c r="B17" s="1" t="s">
        <v>458</v>
      </c>
      <c r="C17" s="9"/>
      <c r="F17" s="8"/>
      <c r="G17" s="8"/>
      <c r="H17" s="8"/>
    </row>
    <row r="18" spans="1:9" x14ac:dyDescent="0.25">
      <c r="B18" s="1" t="s">
        <v>17</v>
      </c>
      <c r="C18" t="str">
        <f>IF(SUM(H21:H22)&gt;SUM(G21:G22),"Delayed",IF(SUM(H21:H22)&lt;SUM(G21:G22),"InAdvanced","Ontime"))</f>
        <v>InAdvanced</v>
      </c>
    </row>
    <row r="20" spans="1:9" ht="30" x14ac:dyDescent="0.25">
      <c r="C20" s="108" t="s">
        <v>25</v>
      </c>
      <c r="D20" s="108" t="s">
        <v>26</v>
      </c>
      <c r="E20" s="13" t="s">
        <v>451</v>
      </c>
      <c r="F20" s="13" t="s">
        <v>452</v>
      </c>
      <c r="G20" s="13" t="s">
        <v>453</v>
      </c>
      <c r="H20" s="13" t="s">
        <v>454</v>
      </c>
      <c r="I20" s="13" t="s">
        <v>29</v>
      </c>
    </row>
    <row r="21" spans="1:9" x14ac:dyDescent="0.25">
      <c r="C21" s="10">
        <v>1</v>
      </c>
      <c r="D21" s="11" t="s">
        <v>3</v>
      </c>
      <c r="E21" s="11">
        <f>SUMIFS(COEM_Package_20200302!$S$3:$S$225,COEM_Package_20200302!$D$3:$D$225,Table!$D$3,COEM_Package_20200302!$C$3:$C$225,Report_For_Each_Project!C14)</f>
        <v>7850</v>
      </c>
      <c r="F21" s="11">
        <f>SUMIFS(COEM_Package_20200302!$T$3:$T$225,COEM_Package_20200302!$D$3:$D$225,Table!$D$3,COEM_Package_20200302!$C$3:$C$225,Report_For_Each_Project!C14)-SUM(SUMIFS(COEM_Package_20200302!$T$3:$T$225,COEM_Package_20200302!$D$3:$D$225,Table!$D$3,COEM_Package_20200302!$W$3:$W$225,{"Ongoing","N/A",""},COEM_Package_20200302!$C$3:$C$225,Report_For_Each_Project!C14))</f>
        <v>7806</v>
      </c>
      <c r="G21" s="11">
        <f>E21/Table!$D$4</f>
        <v>17.444444444444443</v>
      </c>
      <c r="H21" s="11">
        <f>1/8*(SUMIFS(COEM_Package_20200302!$V$3:$V$225,COEM_Package_20200302!$D$3:$D$225,Table!$D$3,COEM_Package_20200302!$C$3:$C$225,Report_For_Each_Project!C14)-SUM(SUMIFS(COEM_Package_20200302!$V$3:$V$225,COEM_Package_20200302!$D$3:$D$225,Table!$D$3,COEM_Package_20200302!$W$3:$W$225,{"Ongoing","N/A",""},COEM_Package_20200302!$C$3:$C$225,Report_For_Each_Project!C14)))</f>
        <v>13.743750000000002</v>
      </c>
      <c r="I21" s="116">
        <f>IF(E21=0,"N/A",F21/E21)</f>
        <v>0.99439490445859868</v>
      </c>
    </row>
    <row r="22" spans="1:9" x14ac:dyDescent="0.25">
      <c r="C22" s="10">
        <v>2</v>
      </c>
      <c r="D22" s="11" t="s">
        <v>2</v>
      </c>
      <c r="E22" s="11">
        <f>SUMIFS(COEM_Package_20200302!$S$3:$S$225,COEM_Package_20200302!$D$3:$D$225,Table!$C$3,COEM_Package_20200302!$C$3:$C$225,Report_For_Each_Project!C14)</f>
        <v>50</v>
      </c>
      <c r="F22" s="11">
        <f>SUMIFS(COEM_Package_20200302!$T$3:$T$225,COEM_Package_20200302!$D$3:$D$225,Table!$C$3,COEM_Package_20200302!$C$3:$C$225,Report_For_Each_Project!C14)-SUM(SUMIFS(COEM_Package_20200302!$T$3:$T$225,COEM_Package_20200302!$D$3:$D$225,Table!$C$3,COEM_Package_20200302!$W$3:$W$225,{"Ongoing","N/A",""},COEM_Package_20200302!$C$3:$C$225,Report_For_Each_Project!C14))</f>
        <v>50</v>
      </c>
      <c r="G22" s="11">
        <f>E22/Table!$C$4</f>
        <v>0.38461538461538464</v>
      </c>
      <c r="H22" s="11">
        <f>1/8*(SUMIFS(COEM_Package_20200302!$V$3:$V$225,COEM_Package_20200302!$D$3:$D$225,Table!$C$3,COEM_Package_20200302!$C$3:$C$225,Report_For_Each_Project!C14)-SUM(SUMIFS(COEM_Package_20200302!$V$3:$V$225,COEM_Package_20200302!$D$3:$D$225,Table!$C$3,COEM_Package_20200302!$W$3:$W$225,{"Ongoing","N/A",""},COEM_Package_20200302!$C$3:$C$225,Report_For_Each_Project!C14)))</f>
        <v>0.75</v>
      </c>
      <c r="I22" s="116">
        <f>IF(E22=0,"N/A",F22/E22)</f>
        <v>1</v>
      </c>
    </row>
    <row r="24" spans="1:9" x14ac:dyDescent="0.25">
      <c r="C24" t="s">
        <v>459</v>
      </c>
    </row>
    <row r="25" spans="1:9" x14ac:dyDescent="0.25">
      <c r="D25" s="111"/>
    </row>
    <row r="26" spans="1:9" x14ac:dyDescent="0.25">
      <c r="A26" s="1">
        <f>A14+1</f>
        <v>3</v>
      </c>
      <c r="B26" s="1" t="s">
        <v>62</v>
      </c>
      <c r="C26" s="1">
        <v>20200304</v>
      </c>
    </row>
    <row r="27" spans="1:9" x14ac:dyDescent="0.25">
      <c r="B27" s="1" t="s">
        <v>449</v>
      </c>
      <c r="C27" s="105">
        <f>SUM(G33:G34)</f>
        <v>8.4044444444444437</v>
      </c>
      <c r="D27" t="s">
        <v>450</v>
      </c>
    </row>
    <row r="28" spans="1:9" x14ac:dyDescent="0.25">
      <c r="B28" s="1" t="s">
        <v>457</v>
      </c>
      <c r="C28" s="9"/>
      <c r="F28" s="8"/>
      <c r="G28" s="8"/>
      <c r="H28" s="8"/>
    </row>
    <row r="29" spans="1:9" x14ac:dyDescent="0.25">
      <c r="B29" s="1" t="s">
        <v>458</v>
      </c>
      <c r="C29" s="9"/>
      <c r="F29" s="8"/>
      <c r="G29" s="8"/>
      <c r="H29" s="8"/>
    </row>
    <row r="30" spans="1:9" x14ac:dyDescent="0.25">
      <c r="B30" s="1" t="s">
        <v>17</v>
      </c>
      <c r="C30" t="str">
        <f>IF(SUM(H33:H34)&gt;SUM(G33:G34),"Delayed",IF(SUM(H33:H34)&lt;SUM(G33:G34),"InAdvanced","Ontime"))</f>
        <v>InAdvanced</v>
      </c>
    </row>
    <row r="32" spans="1:9" ht="30" x14ac:dyDescent="0.25">
      <c r="C32" s="108" t="s">
        <v>25</v>
      </c>
      <c r="D32" s="108" t="s">
        <v>26</v>
      </c>
      <c r="E32" s="13" t="s">
        <v>451</v>
      </c>
      <c r="F32" s="13" t="s">
        <v>452</v>
      </c>
      <c r="G32" s="13" t="s">
        <v>453</v>
      </c>
      <c r="H32" s="13" t="s">
        <v>454</v>
      </c>
      <c r="I32" s="13" t="s">
        <v>29</v>
      </c>
    </row>
    <row r="33" spans="1:9" x14ac:dyDescent="0.25">
      <c r="C33" s="10">
        <v>1</v>
      </c>
      <c r="D33" s="11" t="s">
        <v>3</v>
      </c>
      <c r="E33" s="11">
        <f>SUMIFS(COEM_Package_20200302!$S$3:$S$225,COEM_Package_20200302!$D$3:$D$225,Table!$D$3,COEM_Package_20200302!$C$3:$C$225,Report_For_Each_Project!C26)</f>
        <v>3782</v>
      </c>
      <c r="F33" s="11">
        <f>SUMIFS(COEM_Package_20200302!$T$3:$T$225,COEM_Package_20200302!$D$3:$D$225,Table!$D$3,COEM_Package_20200302!$C$3:$C$225,Report_For_Each_Project!C26)-SUM(SUMIFS(COEM_Package_20200302!$T$3:$T$225,COEM_Package_20200302!$D$3:$D$225,Table!$D$3,COEM_Package_20200302!$W$3:$W$225,{"Ongoing","N/A",""},COEM_Package_20200302!$C$3:$C$225,Report_For_Each_Project!C26))</f>
        <v>3782</v>
      </c>
      <c r="G33" s="11">
        <f>E33/Table!$D$4</f>
        <v>8.4044444444444437</v>
      </c>
      <c r="H33" s="11">
        <f>1/8*(SUMIFS(COEM_Package_20200302!$V$3:$V$225,COEM_Package_20200302!$D$3:$D$225,Table!$D$3,COEM_Package_20200302!$C$3:$C$225,Report_For_Each_Project!C26)-SUM(SUMIFS(COEM_Package_20200302!$V$3:$V$225,COEM_Package_20200302!$D$3:$D$225,Table!$D$3,COEM_Package_20200302!$W$3:$W$225,{"Ongoing","N/A",""},COEM_Package_20200302!$C$3:$C$225,Report_For_Each_Project!C26)))</f>
        <v>4.1500000000000004</v>
      </c>
      <c r="I33" s="116">
        <f>IF(E33=0,"N/A",F33/E33)</f>
        <v>1</v>
      </c>
    </row>
    <row r="34" spans="1:9" x14ac:dyDescent="0.25">
      <c r="C34" s="10">
        <v>2</v>
      </c>
      <c r="D34" s="11" t="s">
        <v>2</v>
      </c>
      <c r="E34" s="11">
        <f>SUMIFS(COEM_Package_20200302!$S$3:$S$225,COEM_Package_20200302!$D$3:$D$225,Table!$C$3,COEM_Package_20200302!$C$3:$C$225,Report_For_Each_Project!C26)</f>
        <v>0</v>
      </c>
      <c r="F34" s="11">
        <f>SUMIFS(COEM_Package_20200302!$T$3:$T$225,COEM_Package_20200302!$D$3:$D$225,Table!$C$3,COEM_Package_20200302!$C$3:$C$225,Report_For_Each_Project!C26)-SUM(SUMIFS(COEM_Package_20200302!$T$3:$T$225,COEM_Package_20200302!$D$3:$D$225,Table!$C$3,COEM_Package_20200302!$W$3:$W$225,{"Ongoing","N/A",""},COEM_Package_20200302!$C$3:$C$225,Report_For_Each_Project!C26))</f>
        <v>0</v>
      </c>
      <c r="G34" s="11">
        <f>E34/Table!$C$4</f>
        <v>0</v>
      </c>
      <c r="H34" s="11">
        <f>1/8*(SUMIFS(COEM_Package_20200302!$V$3:$V$225,COEM_Package_20200302!$D$3:$D$225,Table!$C$3,COEM_Package_20200302!$C$3:$C$225,Report_For_Each_Project!C26)-SUM(SUMIFS(COEM_Package_20200302!$V$3:$V$225,COEM_Package_20200302!$D$3:$D$225,Table!$C$3,COEM_Package_20200302!$W$3:$W$225,{"Ongoing","N/A",""},COEM_Package_20200302!$C$3:$C$225,Report_For_Each_Project!C26)))</f>
        <v>0</v>
      </c>
      <c r="I34" s="116" t="str">
        <f>IF(E34=0,"N/A",F34/E34)</f>
        <v>N/A</v>
      </c>
    </row>
    <row r="36" spans="1:9" x14ac:dyDescent="0.25">
      <c r="C36" t="s">
        <v>459</v>
      </c>
    </row>
    <row r="38" spans="1:9" x14ac:dyDescent="0.25">
      <c r="A38" s="1">
        <f>A26+1</f>
        <v>4</v>
      </c>
      <c r="B38" s="1" t="s">
        <v>62</v>
      </c>
      <c r="C38" s="1">
        <v>20200305</v>
      </c>
    </row>
    <row r="39" spans="1:9" x14ac:dyDescent="0.25">
      <c r="B39" s="1" t="s">
        <v>449</v>
      </c>
      <c r="C39" s="105">
        <f>SUM(G45:G46)</f>
        <v>2.5577777777777779</v>
      </c>
      <c r="D39" t="s">
        <v>450</v>
      </c>
    </row>
    <row r="40" spans="1:9" x14ac:dyDescent="0.25">
      <c r="B40" s="1" t="s">
        <v>457</v>
      </c>
      <c r="C40" s="9"/>
      <c r="F40" s="8"/>
      <c r="G40" s="8"/>
      <c r="H40" s="8"/>
    </row>
    <row r="41" spans="1:9" x14ac:dyDescent="0.25">
      <c r="B41" s="1" t="s">
        <v>458</v>
      </c>
      <c r="C41" s="9"/>
      <c r="F41" s="8"/>
      <c r="G41" s="8"/>
      <c r="H41" s="8"/>
    </row>
    <row r="42" spans="1:9" x14ac:dyDescent="0.25">
      <c r="B42" s="1" t="s">
        <v>17</v>
      </c>
      <c r="C42" t="str">
        <f>IF(SUM(H45:H46)&gt;SUM(G45:G46),"Delayed",IF(SUM(H45:H46)&lt;SUM(G45:G46),"InAdvanced","Ontime"))</f>
        <v>InAdvanced</v>
      </c>
    </row>
    <row r="44" spans="1:9" ht="30" x14ac:dyDescent="0.25">
      <c r="C44" s="108" t="s">
        <v>25</v>
      </c>
      <c r="D44" s="108" t="s">
        <v>26</v>
      </c>
      <c r="E44" s="13" t="s">
        <v>451</v>
      </c>
      <c r="F44" s="13" t="s">
        <v>452</v>
      </c>
      <c r="G44" s="13" t="s">
        <v>453</v>
      </c>
      <c r="H44" s="13" t="s">
        <v>454</v>
      </c>
      <c r="I44" s="13" t="s">
        <v>29</v>
      </c>
    </row>
    <row r="45" spans="1:9" x14ac:dyDescent="0.25">
      <c r="C45" s="10">
        <v>1</v>
      </c>
      <c r="D45" s="11" t="s">
        <v>3</v>
      </c>
      <c r="E45" s="11">
        <f>SUMIFS(COEM_Package_20200302!$S$3:$S$225,COEM_Package_20200302!$D$3:$D$225,Table!$D$3,COEM_Package_20200302!$C$3:$C$225,Report_For_Each_Project!C38)</f>
        <v>1151</v>
      </c>
      <c r="F45" s="11">
        <f>SUMIFS(COEM_Package_20200302!$T$3:$T$225,COEM_Package_20200302!$D$3:$D$225,Table!$D$3,COEM_Package_20200302!$C$3:$C$225,Report_For_Each_Project!C38)-SUM(SUMIFS(COEM_Package_20200302!$T$3:$T$225,COEM_Package_20200302!$D$3:$D$225,Table!$D$3,COEM_Package_20200302!$W$3:$W$225,{"Ongoing","N/A",""},COEM_Package_20200302!$C$3:$C$225,Report_For_Each_Project!C38))</f>
        <v>1151</v>
      </c>
      <c r="G45" s="11">
        <f>E45/Table!$D$4</f>
        <v>2.5577777777777779</v>
      </c>
      <c r="H45" s="11">
        <f>1/8*(SUMIFS(COEM_Package_20200302!$V$3:$V$225,COEM_Package_20200302!$D$3:$D$225,Table!$D$3,COEM_Package_20200302!$C$3:$C$225,Report_For_Each_Project!C38)-SUM(SUMIFS(COEM_Package_20200302!$V$3:$V$225,COEM_Package_20200302!$D$3:$D$225,Table!$D$3,COEM_Package_20200302!$W$3:$W$225,{"Ongoing","N/A",""},COEM_Package_20200302!$C$3:$C$225,Report_For_Each_Project!C38)))</f>
        <v>2.4375</v>
      </c>
      <c r="I45" s="116">
        <f>IF(E45=0,"N/A",F45/E45)</f>
        <v>1</v>
      </c>
    </row>
    <row r="46" spans="1:9" x14ac:dyDescent="0.25">
      <c r="C46" s="10">
        <v>2</v>
      </c>
      <c r="D46" s="11" t="s">
        <v>2</v>
      </c>
      <c r="E46" s="11">
        <f>SUMIFS(COEM_Package_20200302!$S$3:$S$225,COEM_Package_20200302!$D$3:$D$225,Table!$C$3,COEM_Package_20200302!$C$3:$C$225,Report_For_Each_Project!C38)</f>
        <v>0</v>
      </c>
      <c r="F46" s="11">
        <f>SUMIFS(COEM_Package_20200302!$T$3:$T$225,COEM_Package_20200302!$D$3:$D$225,Table!$C$3,COEM_Package_20200302!$C$3:$C$225,Report_For_Each_Project!C38)-SUM(SUMIFS(COEM_Package_20200302!$T$3:$T$225,COEM_Package_20200302!$D$3:$D$225,Table!$C$3,COEM_Package_20200302!$W$3:$W$225,{"Ongoing","N/A",""},COEM_Package_20200302!$C$3:$C$225,Report_For_Each_Project!C38))</f>
        <v>0</v>
      </c>
      <c r="G46" s="11">
        <f>E46/Table!$C$4</f>
        <v>0</v>
      </c>
      <c r="H46" s="11">
        <f>1/8*(SUMIFS(COEM_Package_20200302!$V$3:$V$225,COEM_Package_20200302!$D$3:$D$225,Table!$C$3,COEM_Package_20200302!$C$3:$C$225,Report_For_Each_Project!C38)-SUM(SUMIFS(COEM_Package_20200302!$V$3:$V$225,COEM_Package_20200302!$D$3:$D$225,Table!$C$3,COEM_Package_20200302!$W$3:$W$225,{"Ongoing","N/A",""},COEM_Package_20200302!$C$3:$C$225,Report_For_Each_Project!C38)))</f>
        <v>0</v>
      </c>
      <c r="I46" s="116" t="str">
        <f>IF(E46=0,"N/A",F46/E46)</f>
        <v>N/A</v>
      </c>
    </row>
    <row r="48" spans="1:9" x14ac:dyDescent="0.25">
      <c r="C48" t="s">
        <v>459</v>
      </c>
    </row>
    <row r="50" spans="1:9" x14ac:dyDescent="0.25">
      <c r="A50" s="1">
        <f>A38+1</f>
        <v>5</v>
      </c>
      <c r="B50" s="1" t="s">
        <v>62</v>
      </c>
      <c r="C50" s="1">
        <v>20200306</v>
      </c>
    </row>
    <row r="51" spans="1:9" x14ac:dyDescent="0.25">
      <c r="B51" s="1" t="s">
        <v>449</v>
      </c>
      <c r="C51" s="105">
        <f>SUM(G57:G58)</f>
        <v>1.0777777777777777</v>
      </c>
      <c r="D51" t="s">
        <v>450</v>
      </c>
    </row>
    <row r="52" spans="1:9" x14ac:dyDescent="0.25">
      <c r="B52" s="1" t="s">
        <v>457</v>
      </c>
      <c r="C52" s="9"/>
      <c r="F52" s="8"/>
      <c r="G52" s="8"/>
      <c r="H52" s="8"/>
    </row>
    <row r="53" spans="1:9" x14ac:dyDescent="0.25">
      <c r="B53" s="1" t="s">
        <v>458</v>
      </c>
      <c r="C53" s="9"/>
      <c r="F53" s="8"/>
      <c r="G53" s="8"/>
      <c r="H53" s="8"/>
    </row>
    <row r="54" spans="1:9" x14ac:dyDescent="0.25">
      <c r="B54" s="1" t="s">
        <v>17</v>
      </c>
      <c r="C54" t="str">
        <f>IF(SUM(H57:H58)&gt;SUM(G57:G58),"Delayed",IF(SUM(H57:H58)&lt;SUM(G57:G58),"InAdvanced","Ontime"))</f>
        <v>Delayed</v>
      </c>
    </row>
    <row r="56" spans="1:9" ht="30" x14ac:dyDescent="0.25">
      <c r="C56" s="108" t="s">
        <v>25</v>
      </c>
      <c r="D56" s="108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f>SUMIFS(COEM_Package_20200302!$S$3:$S$225,COEM_Package_20200302!$D$3:$D$225,Table!$D$3,COEM_Package_20200302!$C$3:$C$225,Report_For_Each_Project!C50)</f>
        <v>485</v>
      </c>
      <c r="F57" s="11">
        <f>SUMIFS(COEM_Package_20200302!$T$3:$T$225,COEM_Package_20200302!$D$3:$D$225,Table!$D$3,COEM_Package_20200302!$C$3:$C$225,Report_For_Each_Project!C50)-SUM(SUMIFS(COEM_Package_20200302!$T$3:$T$225,COEM_Package_20200302!$D$3:$D$225,Table!$D$3,COEM_Package_20200302!$W$3:$W$225,{"Ongoing","N/A",""},COEM_Package_20200302!$C$3:$C$225,Report_For_Each_Project!C50))</f>
        <v>485</v>
      </c>
      <c r="G57" s="11">
        <f>E57/Table!$D$4</f>
        <v>1.0777777777777777</v>
      </c>
      <c r="H57" s="11">
        <f>1/8*(SUMIFS(COEM_Package_20200302!$V$3:$V$225,COEM_Package_20200302!$D$3:$D$225,Table!$D$3,COEM_Package_20200302!$C$3:$C$225,Report_For_Each_Project!C50)-SUM(SUMIFS(COEM_Package_20200302!$V$3:$V$225,COEM_Package_20200302!$D$3:$D$225,Table!$D$3,COEM_Package_20200302!$W$3:$W$225,{"Ongoing","N/A",""},COEM_Package_20200302!$C$3:$C$225,Report_For_Each_Project!C50)))</f>
        <v>1.25</v>
      </c>
      <c r="I57" s="116">
        <f>IF(E57=0,"N/A",F57/E57)</f>
        <v>1</v>
      </c>
    </row>
    <row r="58" spans="1:9" x14ac:dyDescent="0.25">
      <c r="C58" s="10">
        <v>2</v>
      </c>
      <c r="D58" s="11" t="s">
        <v>2</v>
      </c>
      <c r="E58" s="11">
        <f>SUMIFS(COEM_Package_20200302!$S$3:$S$225,COEM_Package_20200302!$D$3:$D$225,Table!$C$3,COEM_Package_20200302!$C$3:$C$225,Report_For_Each_Project!C50)</f>
        <v>0</v>
      </c>
      <c r="F58" s="11">
        <f>SUMIFS(COEM_Package_20200302!$T$3:$T$225,COEM_Package_20200302!$D$3:$D$225,Table!$C$3,COEM_Package_20200302!$C$3:$C$225,Report_For_Each_Project!C50)-SUM(SUMIFS(COEM_Package_20200302!$T$3:$T$225,COEM_Package_20200302!$D$3:$D$225,Table!$C$3,COEM_Package_20200302!$W$3:$W$225,{"Ongoing","N/A",""},COEM_Package_20200302!$C$3:$C$225,Report_For_Each_Project!C50))</f>
        <v>0</v>
      </c>
      <c r="G58" s="11">
        <f>E58/Table!$C$4</f>
        <v>0</v>
      </c>
      <c r="H58" s="11">
        <f>1/8*(SUMIFS(COEM_Package_20200302!$V$3:$V$225,COEM_Package_20200302!$D$3:$D$225,Table!$C$3,COEM_Package_20200302!$C$3:$C$225,Report_For_Each_Project!C50)-SUM(SUMIFS(COEM_Package_20200302!$V$3:$V$225,COEM_Package_20200302!$D$3:$D$225,Table!$C$3,COEM_Package_20200302!$W$3:$W$225,{"Ongoing","N/A",""},COEM_Package_20200302!$C$3:$C$225,Report_For_Each_Project!C50)))</f>
        <v>0</v>
      </c>
      <c r="I58" s="116" t="str">
        <f>IF(E58=0,"N/A",F58/E58)</f>
        <v>N/A</v>
      </c>
    </row>
    <row r="60" spans="1:9" x14ac:dyDescent="0.25">
      <c r="C60" t="s">
        <v>459</v>
      </c>
    </row>
    <row r="62" spans="1:9" x14ac:dyDescent="0.25">
      <c r="A62" s="1">
        <f>A50+1</f>
        <v>6</v>
      </c>
      <c r="B62" s="1" t="s">
        <v>62</v>
      </c>
      <c r="C62" s="1">
        <v>20200309</v>
      </c>
    </row>
    <row r="63" spans="1:9" x14ac:dyDescent="0.25">
      <c r="B63" s="1" t="s">
        <v>449</v>
      </c>
      <c r="C63" s="105">
        <f>SUM(G69:G70)</f>
        <v>7.9844444444444447</v>
      </c>
      <c r="D63" t="s">
        <v>450</v>
      </c>
    </row>
    <row r="64" spans="1:9" x14ac:dyDescent="0.25">
      <c r="B64" s="1" t="s">
        <v>457</v>
      </c>
      <c r="C64" s="9"/>
      <c r="F64" s="8"/>
      <c r="G64" s="8"/>
      <c r="H64" s="8"/>
    </row>
    <row r="65" spans="1:9" x14ac:dyDescent="0.25">
      <c r="B65" s="1" t="s">
        <v>458</v>
      </c>
      <c r="C65" s="9"/>
      <c r="F65" s="8"/>
      <c r="G65" s="8"/>
      <c r="H65" s="8"/>
    </row>
    <row r="66" spans="1:9" x14ac:dyDescent="0.25">
      <c r="B66" s="1" t="s">
        <v>17</v>
      </c>
      <c r="C66" t="str">
        <f>IF(SUM(H69:H70)&gt;SUM(G69:G70),"Delayed",IF(SUM(H69:H70)&lt;SUM(G69:G70),"InAdvanced","Ontime"))</f>
        <v>InAdvanced</v>
      </c>
    </row>
    <row r="68" spans="1:9" ht="30" x14ac:dyDescent="0.25">
      <c r="C68" s="108" t="s">
        <v>25</v>
      </c>
      <c r="D68" s="108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f>SUMIFS(COEM_Package_20200302!$S$3:$S$225,COEM_Package_20200302!$D$3:$D$225,Table!$D$3,COEM_Package_20200302!$C$3:$C$225,Report_For_Each_Project!C62)</f>
        <v>3593</v>
      </c>
      <c r="F69" s="11">
        <f>SUMIFS(COEM_Package_20200302!$T$3:$T$225,COEM_Package_20200302!$D$3:$D$225,Table!$D$3,COEM_Package_20200302!$C$3:$C$225,Report_For_Each_Project!C62)-SUM(SUMIFS(COEM_Package_20200302!$T$3:$T$225,COEM_Package_20200302!$D$3:$D$225,Table!$D$3,COEM_Package_20200302!$W$3:$W$225,{"Ongoing","N/A",""},COEM_Package_20200302!$C$3:$C$225,Report_For_Each_Project!C62))</f>
        <v>3593</v>
      </c>
      <c r="G69" s="11">
        <f>E69/Table!$D$4</f>
        <v>7.9844444444444447</v>
      </c>
      <c r="H69" s="11">
        <f>1/8*(SUMIFS(COEM_Package_20200302!$V$3:$V$225,COEM_Package_20200302!$D$3:$D$225,Table!$D$3,COEM_Package_20200302!$C$3:$C$225,Report_For_Each_Project!C62)-SUM(SUMIFS(COEM_Package_20200302!$V$3:$V$225,COEM_Package_20200302!$D$3:$D$225,Table!$D$3,COEM_Package_20200302!$W$3:$W$225,{"Ongoing","N/A",""},COEM_Package_20200302!$C$3:$C$225,Report_For_Each_Project!C62)))</f>
        <v>5.8562499999999993</v>
      </c>
      <c r="I69" s="116">
        <f>IF(E69=0,"N/A",F69/E69)</f>
        <v>1</v>
      </c>
    </row>
    <row r="70" spans="1:9" x14ac:dyDescent="0.25">
      <c r="C70" s="10">
        <v>2</v>
      </c>
      <c r="D70" s="11" t="s">
        <v>2</v>
      </c>
      <c r="E70" s="11">
        <f>SUMIFS(COEM_Package_20200302!$S$3:$S$225,COEM_Package_20200302!$D$3:$D$225,Table!$C$3,COEM_Package_20200302!$C$3:$C$225,Report_For_Each_Project!C62)</f>
        <v>0</v>
      </c>
      <c r="F70" s="11">
        <f>SUMIFS(COEM_Package_20200302!$T$3:$T$225,COEM_Package_20200302!$D$3:$D$225,Table!$C$3,COEM_Package_20200302!$C$3:$C$225,Report_For_Each_Project!C62)-SUM(SUMIFS(COEM_Package_20200302!$T$3:$T$225,COEM_Package_20200302!$D$3:$D$225,Table!$C$3,COEM_Package_20200302!$W$3:$W$225,{"Ongoing","N/A",""},COEM_Package_20200302!$C$3:$C$225,Report_For_Each_Project!C62))</f>
        <v>0</v>
      </c>
      <c r="G70" s="11">
        <f>E70/Table!$C$4</f>
        <v>0</v>
      </c>
      <c r="H70" s="11">
        <f>1/8*(SUMIFS(COEM_Package_20200302!$V$3:$V$225,COEM_Package_20200302!$D$3:$D$225,Table!$C$3,COEM_Package_20200302!$C$3:$C$225,Report_For_Each_Project!C62)-SUM(SUMIFS(COEM_Package_20200302!$V$3:$V$225,COEM_Package_20200302!$D$3:$D$225,Table!$C$3,COEM_Package_20200302!$W$3:$W$225,{"Ongoing","N/A",""},COEM_Package_20200302!$C$3:$C$225,Report_For_Each_Project!C62)))</f>
        <v>0</v>
      </c>
      <c r="I70" s="116" t="str">
        <f>IF(E70=0,"N/A",F70/E70)</f>
        <v>N/A</v>
      </c>
    </row>
    <row r="72" spans="1:9" x14ac:dyDescent="0.25">
      <c r="C72" t="s">
        <v>459</v>
      </c>
    </row>
    <row r="74" spans="1:9" x14ac:dyDescent="0.25">
      <c r="A74" s="1">
        <f>A62+1</f>
        <v>7</v>
      </c>
      <c r="B74" s="1" t="s">
        <v>62</v>
      </c>
      <c r="C74" s="1">
        <v>20200313</v>
      </c>
    </row>
    <row r="75" spans="1:9" x14ac:dyDescent="0.25">
      <c r="B75" s="1" t="s">
        <v>449</v>
      </c>
      <c r="C75" s="105">
        <f>SUM(G81:G82)</f>
        <v>2.9172649572649574</v>
      </c>
      <c r="D75" t="s">
        <v>450</v>
      </c>
    </row>
    <row r="76" spans="1:9" x14ac:dyDescent="0.25">
      <c r="B76" s="1" t="s">
        <v>457</v>
      </c>
      <c r="C76" s="9"/>
      <c r="F76" s="8"/>
      <c r="G76" s="8"/>
      <c r="H76" s="8"/>
    </row>
    <row r="77" spans="1:9" x14ac:dyDescent="0.25">
      <c r="B77" s="1" t="s">
        <v>458</v>
      </c>
      <c r="C77" s="9"/>
      <c r="F77" s="8"/>
      <c r="G77" s="8"/>
      <c r="H77" s="8"/>
    </row>
    <row r="78" spans="1:9" x14ac:dyDescent="0.25">
      <c r="B78" s="1" t="s">
        <v>17</v>
      </c>
      <c r="C78" t="str">
        <f>IF(SUM(H81:H82)&gt;SUM(G81:G82),"Delayed",IF(SUM(H81:H82)&lt;SUM(G81:G82),"InAdvanced","Ontime"))</f>
        <v>InAdvanced</v>
      </c>
    </row>
    <row r="80" spans="1:9" ht="30" x14ac:dyDescent="0.25">
      <c r="C80" s="108" t="s">
        <v>25</v>
      </c>
      <c r="D80" s="108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f>SUMIFS(COEM_Package_20200302!$S$3:$S$225,COEM_Package_20200302!$D$3:$D$225,Table!$D$3,COEM_Package_20200302!$C$3:$C$225,Report_For_Each_Project!C74)</f>
        <v>527</v>
      </c>
      <c r="F81" s="11">
        <f>SUMIFS(COEM_Package_20200302!$T$3:$T$225,COEM_Package_20200302!$D$3:$D$225,Table!$D$3,COEM_Package_20200302!$C$3:$C$225,Report_For_Each_Project!C74)-SUM(SUMIFS(COEM_Package_20200302!$T$3:$T$225,COEM_Package_20200302!$D$3:$D$225,Table!$D$3,COEM_Package_20200302!$W$3:$W$225,{"Ongoing","N/A",""},COEM_Package_20200302!$C$3:$C$225,Report_For_Each_Project!C74))</f>
        <v>527</v>
      </c>
      <c r="G81" s="11">
        <f>E81/Table!$D$4</f>
        <v>1.1711111111111112</v>
      </c>
      <c r="H81" s="11">
        <f>1/8*(SUMIFS(COEM_Package_20200302!$V$3:$V$225,COEM_Package_20200302!$D$3:$D$225,Table!$D$3,COEM_Package_20200302!$C$3:$C$225,Report_For_Each_Project!C74)-SUM(SUMIFS(COEM_Package_20200302!$V$3:$V$225,COEM_Package_20200302!$D$3:$D$225,Table!$D$3,COEM_Package_20200302!$W$3:$W$225,{"Ongoing","N/A",""},COEM_Package_20200302!$C$3:$C$225,Report_For_Each_Project!C74)))</f>
        <v>0.87874999999999992</v>
      </c>
      <c r="I81" s="116">
        <f>IF(E81=0,"N/A",F81/E81)</f>
        <v>1</v>
      </c>
    </row>
    <row r="82" spans="1:9" x14ac:dyDescent="0.25">
      <c r="C82" s="10">
        <v>2</v>
      </c>
      <c r="D82" s="11" t="s">
        <v>2</v>
      </c>
      <c r="E82" s="11">
        <f>SUMIFS(COEM_Package_20200302!$S$3:$S$225,COEM_Package_20200302!$D$3:$D$225,Table!$C$3,COEM_Package_20200302!$C$3:$C$225,Report_For_Each_Project!C74)</f>
        <v>227</v>
      </c>
      <c r="F82" s="11">
        <f>SUMIFS(COEM_Package_20200302!$T$3:$T$225,COEM_Package_20200302!$D$3:$D$225,Table!$C$3,COEM_Package_20200302!$C$3:$C$225,Report_For_Each_Project!C74)-SUM(SUMIFS(COEM_Package_20200302!$T$3:$T$225,COEM_Package_20200302!$D$3:$D$225,Table!$C$3,COEM_Package_20200302!$W$3:$W$225,{"Ongoing","N/A",""},COEM_Package_20200302!$C$3:$C$225,Report_For_Each_Project!C74))</f>
        <v>193</v>
      </c>
      <c r="G82" s="11">
        <f>E82/Table!$C$4</f>
        <v>1.7461538461538462</v>
      </c>
      <c r="H82" s="11">
        <f>1/8*(SUMIFS(COEM_Package_20200302!$V$3:$V$225,COEM_Package_20200302!$D$3:$D$225,Table!$C$3,COEM_Package_20200302!$C$3:$C$225,Report_For_Each_Project!C74)-SUM(SUMIFS(COEM_Package_20200302!$V$3:$V$225,COEM_Package_20200302!$D$3:$D$225,Table!$C$3,COEM_Package_20200302!$W$3:$W$225,{"Ongoing","N/A",""},COEM_Package_20200302!$C$3:$C$225,Report_For_Each_Project!C74)))</f>
        <v>1.625</v>
      </c>
      <c r="I82" s="116">
        <f>IF(E82=0,"N/A",F82/E82)</f>
        <v>0.85022026431718056</v>
      </c>
    </row>
    <row r="84" spans="1:9" x14ac:dyDescent="0.25">
      <c r="C84" t="s">
        <v>459</v>
      </c>
    </row>
    <row r="86" spans="1:9" x14ac:dyDescent="0.25">
      <c r="A86" s="1">
        <f>A74+1</f>
        <v>8</v>
      </c>
      <c r="B86" s="1" t="s">
        <v>62</v>
      </c>
      <c r="C86" s="1">
        <v>20200317</v>
      </c>
    </row>
    <row r="87" spans="1:9" x14ac:dyDescent="0.25">
      <c r="B87" s="1" t="s">
        <v>449</v>
      </c>
      <c r="C87" s="105">
        <f>SUM(G93:G94)</f>
        <v>6.9420512820512821</v>
      </c>
      <c r="D87" t="s">
        <v>450</v>
      </c>
    </row>
    <row r="88" spans="1:9" x14ac:dyDescent="0.25">
      <c r="B88" s="1" t="s">
        <v>457</v>
      </c>
      <c r="C88" s="9">
        <f>SUM(INT((WEEKDAY(F88-{2,3,4,5,6}) +H88-F88)/7))</f>
        <v>7</v>
      </c>
      <c r="D88" t="s">
        <v>450</v>
      </c>
      <c r="E88" t="s">
        <v>739</v>
      </c>
      <c r="F88" s="8">
        <v>43907</v>
      </c>
      <c r="G88" s="8" t="s">
        <v>740</v>
      </c>
      <c r="H88" s="8">
        <v>43915</v>
      </c>
    </row>
    <row r="89" spans="1:9" x14ac:dyDescent="0.25">
      <c r="B89" s="1" t="s">
        <v>458</v>
      </c>
      <c r="C89" s="9"/>
      <c r="F89" s="8"/>
      <c r="G89" s="8"/>
      <c r="H89" s="8"/>
    </row>
    <row r="90" spans="1:9" x14ac:dyDescent="0.25">
      <c r="B90" s="1" t="s">
        <v>17</v>
      </c>
      <c r="C90" t="str">
        <f>IF(SUM(H93:H94)&gt;SUM(G93:G94),"Delayed",IF(SUM(H93:H94)&lt;SUM(G93:G94),"InAdvanced","Ontime"))</f>
        <v>InAdvanced</v>
      </c>
    </row>
    <row r="92" spans="1:9" ht="30" x14ac:dyDescent="0.25">
      <c r="C92" s="108" t="s">
        <v>25</v>
      </c>
      <c r="D92" s="108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f>SUMIFS(COEM_Package_20200302!$S$3:$S$225,COEM_Package_20200302!$D$3:$D$225,Table!$D$3,COEM_Package_20200302!$C$3:$C$225,Report_For_Each_Project!C86)</f>
        <v>3072</v>
      </c>
      <c r="F93" s="11">
        <f>SUMIFS(COEM_Package_20200302!$T$3:$T$225,COEM_Package_20200302!$D$3:$D$225,Table!$D$3,COEM_Package_20200302!$C$3:$C$225,Report_For_Each_Project!C86)-SUM(SUMIFS(COEM_Package_20200302!$T$3:$T$225,COEM_Package_20200302!$D$3:$D$225,Table!$D$3,COEM_Package_20200302!$W$3:$W$225,{"Ongoing","N/A",""},COEM_Package_20200302!$C$3:$C$225,Report_For_Each_Project!C86))</f>
        <v>3072</v>
      </c>
      <c r="G93" s="11">
        <f>E93/Table!$D$4</f>
        <v>6.8266666666666671</v>
      </c>
      <c r="H93" s="11">
        <f>1/8*(SUMIFS(COEM_Package_20200302!$V$3:$V$225,COEM_Package_20200302!$D$3:$D$225,Table!$D$3,COEM_Package_20200302!$C$3:$C$225,Report_For_Each_Project!C86)-SUM(SUMIFS(COEM_Package_20200302!$V$3:$V$225,COEM_Package_20200302!$D$3:$D$225,Table!$D$3,COEM_Package_20200302!$W$3:$W$225,{"Ongoing","N/A",""},COEM_Package_20200302!$C$3:$C$225,Report_For_Each_Project!C86)))</f>
        <v>4.625</v>
      </c>
      <c r="I93" s="116">
        <f>IF(E93=0,"N/A",F93/E93)</f>
        <v>1</v>
      </c>
    </row>
    <row r="94" spans="1:9" x14ac:dyDescent="0.25">
      <c r="C94" s="10">
        <v>2</v>
      </c>
      <c r="D94" s="11" t="s">
        <v>2</v>
      </c>
      <c r="E94" s="11">
        <f>SUMIFS(COEM_Package_20200302!$S$3:$S$225,COEM_Package_20200302!$D$3:$D$225,Table!$C$3,COEM_Package_20200302!$C$3:$C$225,Report_For_Each_Project!C86)</f>
        <v>15</v>
      </c>
      <c r="F94" s="11">
        <f>SUMIFS(COEM_Package_20200302!$T$3:$T$225,COEM_Package_20200302!$D$3:$D$225,Table!$C$3,COEM_Package_20200302!$C$3:$C$225,Report_For_Each_Project!C86)-SUM(SUMIFS(COEM_Package_20200302!$T$3:$T$225,COEM_Package_20200302!$D$3:$D$225,Table!$C$3,COEM_Package_20200302!$W$3:$W$225,{"Ongoing","N/A",""},COEM_Package_20200302!$C$3:$C$225,Report_For_Each_Project!C86))</f>
        <v>15</v>
      </c>
      <c r="G94" s="11">
        <f>E94/Table!$C$4</f>
        <v>0.11538461538461539</v>
      </c>
      <c r="H94" s="11">
        <f>1/8*(SUMIFS(COEM_Package_20200302!$V$3:$V$225,COEM_Package_20200302!$D$3:$D$225,Table!$C$3,COEM_Package_20200302!$C$3:$C$225,Report_For_Each_Project!C86)-SUM(SUMIFS(COEM_Package_20200302!$V$3:$V$225,COEM_Package_20200302!$D$3:$D$225,Table!$C$3,COEM_Package_20200302!$W$3:$W$225,{"Ongoing","N/A",""},COEM_Package_20200302!$C$3:$C$225,Report_For_Each_Project!C86)))</f>
        <v>0.25</v>
      </c>
      <c r="I94" s="116">
        <f>IF(E94=0,"N/A",F94/E94)</f>
        <v>1</v>
      </c>
    </row>
    <row r="96" spans="1:9" x14ac:dyDescent="0.25">
      <c r="C96" t="s">
        <v>459</v>
      </c>
    </row>
    <row r="98" spans="1:9" x14ac:dyDescent="0.25">
      <c r="A98" s="1">
        <f>A86+1</f>
        <v>9</v>
      </c>
      <c r="B98" s="1" t="s">
        <v>62</v>
      </c>
      <c r="C98" s="1">
        <v>20200318</v>
      </c>
    </row>
    <row r="99" spans="1:9" x14ac:dyDescent="0.25">
      <c r="B99" s="1" t="s">
        <v>449</v>
      </c>
      <c r="C99" s="105">
        <f>SUM(G105:G106)</f>
        <v>1.1822222222222223</v>
      </c>
      <c r="D99" t="s">
        <v>450</v>
      </c>
    </row>
    <row r="100" spans="1:9" x14ac:dyDescent="0.25">
      <c r="B100" s="1" t="s">
        <v>457</v>
      </c>
      <c r="C100" s="9">
        <f>SUM(INT((WEEKDAY(F100-{2,3,4,5,6}) +H100-F100)/7))</f>
        <v>2</v>
      </c>
      <c r="D100" t="s">
        <v>450</v>
      </c>
      <c r="E100" t="s">
        <v>739</v>
      </c>
      <c r="F100" s="8">
        <v>43915</v>
      </c>
      <c r="G100" s="8" t="s">
        <v>741</v>
      </c>
      <c r="H100" s="8">
        <v>43916</v>
      </c>
    </row>
    <row r="101" spans="1:9" x14ac:dyDescent="0.25">
      <c r="B101" s="1" t="s">
        <v>458</v>
      </c>
      <c r="C101" s="9"/>
      <c r="F101" s="8"/>
      <c r="G101" s="8"/>
      <c r="H101" s="8"/>
    </row>
    <row r="102" spans="1:9" x14ac:dyDescent="0.25">
      <c r="B102" s="1" t="s">
        <v>17</v>
      </c>
      <c r="C102" t="str">
        <f>IF(SUM(H105:H106)&gt;SUM(G105:G106),"Delayed",IF(SUM(H105:H106)&lt;SUM(G105:G106),"InAdvanced","Ontime"))</f>
        <v>InAdvanced</v>
      </c>
    </row>
    <row r="104" spans="1:9" ht="30" x14ac:dyDescent="0.25">
      <c r="C104" s="108" t="s">
        <v>25</v>
      </c>
      <c r="D104" s="108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f>SUMIFS(COEM_Package_20200302!$S$3:$S$225,COEM_Package_20200302!$D$3:$D$225,Table!$D$3,COEM_Package_20200302!$C$3:$C$225,Report_For_Each_Project!C98)</f>
        <v>532</v>
      </c>
      <c r="F105" s="11">
        <f>SUMIFS(COEM_Package_20200302!$T$3:$T$225,COEM_Package_20200302!$D$3:$D$225,Table!$D$3,COEM_Package_20200302!$C$3:$C$225,Report_For_Each_Project!C98)-SUM(SUMIFS(COEM_Package_20200302!$T$3:$T$225,COEM_Package_20200302!$D$3:$D$225,Table!$D$3,COEM_Package_20200302!$W$3:$W$225,{"Ongoing","N/A",""},COEM_Package_20200302!$C$3:$C$225,Report_For_Each_Project!C98))</f>
        <v>532</v>
      </c>
      <c r="G105" s="11">
        <f>E105/Table!$D$4</f>
        <v>1.1822222222222223</v>
      </c>
      <c r="H105" s="11">
        <f>1/8*(SUMIFS(COEM_Package_20200302!$V$3:$V$225,COEM_Package_20200302!$D$3:$D$225,Table!$D$3,COEM_Package_20200302!$C$3:$C$225,Report_For_Each_Project!C98)-SUM(SUMIFS(COEM_Package_20200302!$V$3:$V$225,COEM_Package_20200302!$D$3:$D$225,Table!$D$3,COEM_Package_20200302!$W$3:$W$225,{"Ongoing","N/A",""},COEM_Package_20200302!$C$3:$C$225,Report_For_Each_Project!C98)))</f>
        <v>1.0625</v>
      </c>
      <c r="I105" s="116">
        <f>IF(E105=0,"N/A",F105/E105)</f>
        <v>1</v>
      </c>
    </row>
    <row r="106" spans="1:9" x14ac:dyDescent="0.25">
      <c r="C106" s="10">
        <v>2</v>
      </c>
      <c r="D106" s="11" t="s">
        <v>2</v>
      </c>
      <c r="E106" s="11">
        <f>SUMIFS(COEM_Package_20200302!$S$3:$S$225,COEM_Package_20200302!$D$3:$D$225,Table!$C$3,COEM_Package_20200302!$C$3:$C$225,Report_For_Each_Project!C98)</f>
        <v>0</v>
      </c>
      <c r="F106" s="11">
        <f>SUMIFS(COEM_Package_20200302!$T$3:$T$225,COEM_Package_20200302!$D$3:$D$225,Table!$C$3,COEM_Package_20200302!$C$3:$C$225,Report_For_Each_Project!C98)-SUM(SUMIFS(COEM_Package_20200302!$T$3:$T$225,COEM_Package_20200302!$D$3:$D$225,Table!$C$3,COEM_Package_20200302!$W$3:$W$225,{"Ongoing","N/A",""},COEM_Package_20200302!$C$3:$C$225,Report_For_Each_Project!C98))</f>
        <v>0</v>
      </c>
      <c r="G106" s="11">
        <f>E106/Table!$C$4</f>
        <v>0</v>
      </c>
      <c r="H106" s="11">
        <f>1/8*(SUMIFS(COEM_Package_20200302!$V$3:$V$225,COEM_Package_20200302!$D$3:$D$225,Table!$C$3,COEM_Package_20200302!$C$3:$C$225,Report_For_Each_Project!C98)-SUM(SUMIFS(COEM_Package_20200302!$V$3:$V$225,COEM_Package_20200302!$D$3:$D$225,Table!$C$3,COEM_Package_20200302!$W$3:$W$225,{"Ongoing","N/A",""},COEM_Package_20200302!$C$3:$C$225,Report_For_Each_Project!C98)))</f>
        <v>0</v>
      </c>
      <c r="I106" s="116" t="str">
        <f>IF(E106=0,"N/A",F106/E106)</f>
        <v>N/A</v>
      </c>
    </row>
    <row r="108" spans="1:9" x14ac:dyDescent="0.25">
      <c r="C108" t="s">
        <v>459</v>
      </c>
    </row>
    <row r="110" spans="1:9" x14ac:dyDescent="0.25">
      <c r="A110" s="1">
        <f>A98+1</f>
        <v>10</v>
      </c>
      <c r="B110" s="1" t="s">
        <v>62</v>
      </c>
      <c r="C110" s="1">
        <v>20200319</v>
      </c>
    </row>
    <row r="111" spans="1:9" x14ac:dyDescent="0.25">
      <c r="B111" s="1" t="s">
        <v>449</v>
      </c>
      <c r="C111" s="105">
        <f>SUM(G117:G118)</f>
        <v>3.6958974358974359</v>
      </c>
      <c r="D111" t="s">
        <v>450</v>
      </c>
    </row>
    <row r="112" spans="1:9" x14ac:dyDescent="0.25">
      <c r="B112" s="1" t="s">
        <v>457</v>
      </c>
      <c r="C112" s="9">
        <f>SUM(INT((WEEKDAY(F112-{2,3,4,5,6}) +H112-F112)/7))</f>
        <v>3</v>
      </c>
      <c r="D112" t="s">
        <v>450</v>
      </c>
      <c r="E112" t="s">
        <v>739</v>
      </c>
      <c r="F112" s="8">
        <v>43915</v>
      </c>
      <c r="G112" s="8" t="s">
        <v>740</v>
      </c>
      <c r="H112" s="8">
        <v>43917</v>
      </c>
    </row>
    <row r="113" spans="1:9" x14ac:dyDescent="0.25">
      <c r="B113" s="1" t="s">
        <v>458</v>
      </c>
      <c r="C113" s="9">
        <f>SUM(INT((WEEKDAY(F113-{2,3,4,5,6}) +H113-F113)/7))</f>
        <v>4</v>
      </c>
      <c r="D113" t="s">
        <v>450</v>
      </c>
      <c r="E113" t="s">
        <v>739</v>
      </c>
      <c r="F113" s="8">
        <v>43914</v>
      </c>
      <c r="G113" s="8" t="s">
        <v>740</v>
      </c>
      <c r="H113" s="8">
        <v>43917</v>
      </c>
    </row>
    <row r="114" spans="1:9" x14ac:dyDescent="0.25">
      <c r="B114" s="1" t="s">
        <v>17</v>
      </c>
      <c r="C114" t="str">
        <f>IF(SUM(H117:H118)&gt;SUM(G117:G118),"Delayed",IF(SUM(H117:H118)&lt;SUM(G117:G118),"InAdvanced","Ontime"))</f>
        <v>Delayed</v>
      </c>
    </row>
    <row r="116" spans="1:9" ht="30" x14ac:dyDescent="0.25">
      <c r="C116" s="108" t="s">
        <v>25</v>
      </c>
      <c r="D116" s="108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f>SUMIFS(COEM_Package_20200302!$S$3:$S$225,COEM_Package_20200302!$D$3:$D$225,Table!$D$3,COEM_Package_20200302!$C$3:$C$225,Report_For_Each_Project!C110)</f>
        <v>417</v>
      </c>
      <c r="F117" s="11">
        <f>SUMIFS(COEM_Package_20200302!$T$3:$T$225,COEM_Package_20200302!$D$3:$D$225,Table!$D$3,COEM_Package_20200302!$C$3:$C$225,Report_For_Each_Project!C110)-SUM(SUMIFS(COEM_Package_20200302!$T$3:$T$225,COEM_Package_20200302!$D$3:$D$225,Table!$D$3,COEM_Package_20200302!$W$3:$W$225,{"Ongoing","N/A",""},COEM_Package_20200302!$C$3:$C$225,Report_For_Each_Project!C110))</f>
        <v>417</v>
      </c>
      <c r="G117" s="11">
        <f>E117/Table!$D$4</f>
        <v>0.92666666666666664</v>
      </c>
      <c r="H117" s="11">
        <f>1/8*(SUMIFS(COEM_Package_20200302!$V$3:$V$225,COEM_Package_20200302!$D$3:$D$225,Table!$D$3,COEM_Package_20200302!$C$3:$C$225,Report_For_Each_Project!C110)-SUM(SUMIFS(COEM_Package_20200302!$V$3:$V$225,COEM_Package_20200302!$D$3:$D$225,Table!$D$3,COEM_Package_20200302!$W$3:$W$225,{"Ongoing","N/A",""},COEM_Package_20200302!$C$3:$C$225,Report_For_Each_Project!C110)))</f>
        <v>0.625</v>
      </c>
      <c r="I117" s="116">
        <f>IF(E117=0,"N/A",F117/E117)</f>
        <v>1</v>
      </c>
    </row>
    <row r="118" spans="1:9" x14ac:dyDescent="0.25">
      <c r="C118" s="10">
        <v>2</v>
      </c>
      <c r="D118" s="11" t="s">
        <v>2</v>
      </c>
      <c r="E118" s="11">
        <f>SUMIFS(COEM_Package_20200302!$S$3:$S$225,COEM_Package_20200302!$D$3:$D$225,Table!$C$3,COEM_Package_20200302!$C$3:$C$225,Report_For_Each_Project!C110)</f>
        <v>360</v>
      </c>
      <c r="F118" s="11">
        <f>SUMIFS(COEM_Package_20200302!$T$3:$T$225,COEM_Package_20200302!$D$3:$D$225,Table!$C$3,COEM_Package_20200302!$C$3:$C$225,Report_For_Each_Project!C110)-SUM(SUMIFS(COEM_Package_20200302!$T$3:$T$225,COEM_Package_20200302!$D$3:$D$225,Table!$C$3,COEM_Package_20200302!$W$3:$W$225,{"Ongoing","N/A",""},COEM_Package_20200302!$C$3:$C$225,Report_For_Each_Project!C110))</f>
        <v>360</v>
      </c>
      <c r="G118" s="11">
        <f>E118/Table!$C$4</f>
        <v>2.7692307692307692</v>
      </c>
      <c r="H118" s="11">
        <f>1/8*(SUMIFS(COEM_Package_20200302!$V$3:$V$225,COEM_Package_20200302!$D$3:$D$225,Table!$C$3,COEM_Package_20200302!$C$3:$C$225,Report_For_Each_Project!C110)-SUM(SUMIFS(COEM_Package_20200302!$V$3:$V$225,COEM_Package_20200302!$D$3:$D$225,Table!$C$3,COEM_Package_20200302!$W$3:$W$225,{"Ongoing","N/A",""},COEM_Package_20200302!$C$3:$C$225,Report_For_Each_Project!C110)))</f>
        <v>3.5625</v>
      </c>
      <c r="I118" s="116">
        <f>IF(E118=0,"N/A",F118/E118)</f>
        <v>1</v>
      </c>
    </row>
    <row r="120" spans="1:9" x14ac:dyDescent="0.25">
      <c r="C120" t="s">
        <v>459</v>
      </c>
    </row>
    <row r="122" spans="1:9" x14ac:dyDescent="0.25">
      <c r="A122" s="1">
        <f>A110+1</f>
        <v>11</v>
      </c>
      <c r="B122" s="1" t="s">
        <v>62</v>
      </c>
      <c r="C122" s="1">
        <v>20200324</v>
      </c>
    </row>
    <row r="123" spans="1:9" x14ac:dyDescent="0.25">
      <c r="B123" s="1" t="s">
        <v>449</v>
      </c>
      <c r="C123" s="105">
        <f>SUM(G129:G130)</f>
        <v>2.9355555555555557</v>
      </c>
      <c r="D123" t="s">
        <v>450</v>
      </c>
    </row>
    <row r="124" spans="1:9" x14ac:dyDescent="0.25">
      <c r="B124" s="1" t="s">
        <v>457</v>
      </c>
      <c r="C124" s="9">
        <f>SUM(INT((WEEKDAY(F124-{2,3,4,5,6}) +H124-F124)/7))</f>
        <v>6</v>
      </c>
      <c r="D124" t="s">
        <v>450</v>
      </c>
      <c r="E124" t="s">
        <v>739</v>
      </c>
      <c r="F124" s="8">
        <v>43914</v>
      </c>
      <c r="G124" s="8" t="s">
        <v>740</v>
      </c>
      <c r="H124" s="8">
        <v>43921</v>
      </c>
    </row>
    <row r="125" spans="1:9" x14ac:dyDescent="0.25">
      <c r="B125" s="1" t="s">
        <v>458</v>
      </c>
      <c r="C125" s="9">
        <f>SUM(INT((WEEKDAY(F125-{2,3,4,5,6}) +H125-F125)/7))</f>
        <v>2</v>
      </c>
      <c r="D125" t="s">
        <v>450</v>
      </c>
      <c r="E125" t="s">
        <v>739</v>
      </c>
      <c r="F125" s="8">
        <v>43916</v>
      </c>
      <c r="G125" s="8" t="s">
        <v>740</v>
      </c>
      <c r="H125" s="8">
        <v>43917</v>
      </c>
    </row>
    <row r="126" spans="1:9" x14ac:dyDescent="0.25">
      <c r="B126" s="1" t="s">
        <v>17</v>
      </c>
      <c r="C126" t="str">
        <f>IF(SUM(H129:H130)&gt;SUM(G129:G130),"Delayed",IF(SUM(H129:H130)&lt;SUM(G129:G130),"InAdvanced","Ontime"))</f>
        <v>InAdvanced</v>
      </c>
    </row>
    <row r="128" spans="1:9" ht="30" x14ac:dyDescent="0.25">
      <c r="C128" s="185" t="s">
        <v>25</v>
      </c>
      <c r="D128" s="185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f>SUMIFS(COEM_Package_20200302!$S$3:$S$225,COEM_Package_20200302!$D$3:$D$225,Table!$D$3,COEM_Package_20200302!$C$3:$C$225,Report_For_Each_Project!C122)</f>
        <v>1321</v>
      </c>
      <c r="F129" s="11">
        <f>SUMIFS(COEM_Package_20200302!$T$3:$T$225,COEM_Package_20200302!$D$3:$D$225,Table!$D$3,COEM_Package_20200302!$C$3:$C$225,Report_For_Each_Project!C122)-SUM(SUMIFS(COEM_Package_20200302!$T$3:$T$225,COEM_Package_20200302!$D$3:$D$225,Table!$D$3,COEM_Package_20200302!$W$3:$W$225,{"Ongoing","N/A",""},COEM_Package_20200302!$C$3:$C$225,Report_For_Each_Project!C122))</f>
        <v>1321</v>
      </c>
      <c r="G129" s="11">
        <f>E129/Table!$D$4</f>
        <v>2.9355555555555557</v>
      </c>
      <c r="H129" s="11">
        <f>1/8*(SUMIFS(COEM_Package_20200302!$V$3:$V$225,COEM_Package_20200302!$D$3:$D$225,Table!$D$3,COEM_Package_20200302!$C$3:$C$225,Report_For_Each_Project!C122)-SUM(SUMIFS(COEM_Package_20200302!$V$3:$V$225,COEM_Package_20200302!$D$3:$D$225,Table!$D$3,COEM_Package_20200302!$W$3:$W$225,{"Ongoing","N/A",""},COEM_Package_20200302!$C$3:$C$225,Report_For_Each_Project!C122)))</f>
        <v>2.8825000000000003</v>
      </c>
      <c r="I129" s="116">
        <f>IF(E129=0,"N/A",F129/E129)</f>
        <v>1</v>
      </c>
    </row>
    <row r="130" spans="1:9" x14ac:dyDescent="0.25">
      <c r="C130" s="10">
        <v>2</v>
      </c>
      <c r="D130" s="11" t="s">
        <v>2</v>
      </c>
      <c r="E130" s="11">
        <f>SUMIFS(COEM_Package_20200302!$S$3:$S$225,COEM_Package_20200302!$D$3:$D$225,Table!$C$3,COEM_Package_20200302!$C$3:$C$225,Report_For_Each_Project!C122)</f>
        <v>0</v>
      </c>
      <c r="F130" s="11">
        <f>SUMIFS(COEM_Package_20200302!$T$3:$T$225,COEM_Package_20200302!$D$3:$D$225,Table!$C$3,COEM_Package_20200302!$C$3:$C$225,Report_For_Each_Project!C122)-SUM(SUMIFS(COEM_Package_20200302!$T$3:$T$225,COEM_Package_20200302!$D$3:$D$225,Table!$C$3,COEM_Package_20200302!$W$3:$W$225,{"Ongoing","N/A",""},COEM_Package_20200302!$C$3:$C$225,Report_For_Each_Project!C122))</f>
        <v>0</v>
      </c>
      <c r="G130" s="11">
        <f>E130/Table!$C$4</f>
        <v>0</v>
      </c>
      <c r="H130" s="11">
        <f>1/8*(SUMIFS(COEM_Package_20200302!$V$3:$V$225,COEM_Package_20200302!$D$3:$D$225,Table!$C$3,COEM_Package_20200302!$C$3:$C$225,Report_For_Each_Project!C122)-SUM(SUMIFS(COEM_Package_20200302!$V$3:$V$225,COEM_Package_20200302!$D$3:$D$225,Table!$C$3,COEM_Package_20200302!$W$3:$W$225,{"Ongoing","N/A",""},COEM_Package_20200302!$C$3:$C$225,Report_For_Each_Project!C122)))</f>
        <v>0</v>
      </c>
      <c r="I130" s="116" t="str">
        <f>IF(E130=0,"N/A",F130/E130)</f>
        <v>N/A</v>
      </c>
    </row>
    <row r="132" spans="1:9" x14ac:dyDescent="0.25">
      <c r="C132" t="s">
        <v>459</v>
      </c>
    </row>
    <row r="134" spans="1:9" x14ac:dyDescent="0.25">
      <c r="A134" s="1">
        <f>A122+1</f>
        <v>12</v>
      </c>
      <c r="B134" s="1" t="s">
        <v>62</v>
      </c>
      <c r="C134" s="1">
        <v>20200325</v>
      </c>
    </row>
    <row r="135" spans="1:9" x14ac:dyDescent="0.25">
      <c r="B135" s="1" t="s">
        <v>449</v>
      </c>
      <c r="C135" s="105">
        <f>SUM(G141:G142)</f>
        <v>2.8777777777777778</v>
      </c>
      <c r="D135" t="s">
        <v>450</v>
      </c>
    </row>
    <row r="136" spans="1:9" x14ac:dyDescent="0.25">
      <c r="B136" s="1" t="s">
        <v>457</v>
      </c>
      <c r="C136" s="9">
        <f>SUM(INT((WEEKDAY(F136-{2,3,4,5,6}) +H136-F136)/7))</f>
        <v>5</v>
      </c>
      <c r="D136" t="s">
        <v>450</v>
      </c>
      <c r="E136" t="s">
        <v>739</v>
      </c>
      <c r="F136" s="8">
        <v>43915</v>
      </c>
      <c r="G136" s="8" t="s">
        <v>740</v>
      </c>
      <c r="H136" s="8">
        <v>43921</v>
      </c>
    </row>
    <row r="137" spans="1:9" x14ac:dyDescent="0.25">
      <c r="B137" s="1" t="s">
        <v>458</v>
      </c>
      <c r="C137" s="9">
        <f>SUM(INT((WEEKDAY(F137-{2,3,4,5,6}) +H137-F137)/7))</f>
        <v>1</v>
      </c>
      <c r="D137" t="s">
        <v>450</v>
      </c>
      <c r="E137" t="s">
        <v>739</v>
      </c>
      <c r="F137" s="8">
        <v>43920</v>
      </c>
      <c r="G137" s="8" t="s">
        <v>740</v>
      </c>
      <c r="H137" s="8">
        <v>43920</v>
      </c>
    </row>
    <row r="138" spans="1:9" x14ac:dyDescent="0.25">
      <c r="B138" s="1" t="s">
        <v>17</v>
      </c>
      <c r="C138" t="str">
        <f>IF(SUM(H141:H142)&gt;SUM(G141:G142),"Delayed",IF(SUM(H141:H142)&lt;SUM(G141:G142),"InAdvanced","Ontime"))</f>
        <v>InAdvanced</v>
      </c>
    </row>
    <row r="140" spans="1:9" ht="30" x14ac:dyDescent="0.25">
      <c r="C140" s="138" t="s">
        <v>25</v>
      </c>
      <c r="D140" s="138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f>SUMIFS(COEM_Package_20200302!$S$3:$S$225,COEM_Package_20200302!$D$3:$D$225,Table!$D$3,COEM_Package_20200302!$C$3:$C$225,Report_For_Each_Project!C134)</f>
        <v>1295</v>
      </c>
      <c r="F141" s="11">
        <f>SUMIFS(COEM_Package_20200302!$T$3:$T$225,COEM_Package_20200302!$D$3:$D$225,Table!$D$3,COEM_Package_20200302!$C$3:$C$225,Report_For_Each_Project!C134)-SUM(SUMIFS(COEM_Package_20200302!$T$3:$T$225,COEM_Package_20200302!$D$3:$D$225,Table!$D$3,COEM_Package_20200302!$W$3:$W$225,{"Ongoing","N/A",""},COEM_Package_20200302!$C$3:$C$225,Report_For_Each_Project!C134))</f>
        <v>1295</v>
      </c>
      <c r="G141" s="11">
        <f>E141/Table!$D$4</f>
        <v>2.8777777777777778</v>
      </c>
      <c r="H141" s="11">
        <f>1/8*(SUMIFS(COEM_Package_20200302!$V$3:$V$225,COEM_Package_20200302!$D$3:$D$225,Table!$D$3,COEM_Package_20200302!$C$3:$C$225,Report_For_Each_Project!C134)-SUM(SUMIFS(COEM_Package_20200302!$V$3:$V$225,COEM_Package_20200302!$D$3:$D$225,Table!$D$3,COEM_Package_20200302!$W$3:$W$225,{"Ongoing","N/A",""},COEM_Package_20200302!$C$3:$C$225,Report_For_Each_Project!C134)))</f>
        <v>1.875</v>
      </c>
      <c r="I141" s="116">
        <f>IF(E141=0,"N/A",F141/E141)</f>
        <v>1</v>
      </c>
    </row>
    <row r="142" spans="1:9" x14ac:dyDescent="0.25">
      <c r="C142" s="10">
        <v>2</v>
      </c>
      <c r="D142" s="11" t="s">
        <v>2</v>
      </c>
      <c r="E142" s="11">
        <f>SUMIFS(COEM_Package_20200302!$S$3:$S$225,COEM_Package_20200302!$D$3:$D$225,Table!$C$3,COEM_Package_20200302!$C$3:$C$225,Report_For_Each_Project!C134)</f>
        <v>0</v>
      </c>
      <c r="F142" s="11">
        <f>SUMIFS(COEM_Package_20200302!$T$3:$T$225,COEM_Package_20200302!$D$3:$D$225,Table!$C$3,COEM_Package_20200302!$C$3:$C$225,Report_For_Each_Project!C134)-SUM(SUMIFS(COEM_Package_20200302!$T$3:$T$225,COEM_Package_20200302!$D$3:$D$225,Table!$C$3,COEM_Package_20200302!$W$3:$W$225,{"Ongoing","N/A",""},COEM_Package_20200302!$C$3:$C$225,Report_For_Each_Project!C134))</f>
        <v>0</v>
      </c>
      <c r="G142" s="11">
        <f>E142/Table!$C$4</f>
        <v>0</v>
      </c>
      <c r="H142" s="11">
        <f>1/8*(SUMIFS(COEM_Package_20200302!$V$3:$V$225,COEM_Package_20200302!$D$3:$D$225,Table!$C$3,COEM_Package_20200302!$C$3:$C$225,Report_For_Each_Project!C134)-SUM(SUMIFS(COEM_Package_20200302!$V$3:$V$225,COEM_Package_20200302!$D$3:$D$225,Table!$C$3,COEM_Package_20200302!$W$3:$W$225,{"Ongoing","N/A",""},COEM_Package_20200302!$C$3:$C$225,Report_For_Each_Project!C134)))</f>
        <v>0</v>
      </c>
      <c r="I142" s="116" t="str">
        <f>IF(E142=0,"N/A",F142/E142)</f>
        <v>N/A</v>
      </c>
    </row>
    <row r="144" spans="1:9" x14ac:dyDescent="0.25">
      <c r="C144" t="s">
        <v>459</v>
      </c>
    </row>
    <row r="146" spans="1:9" x14ac:dyDescent="0.25">
      <c r="A146" s="1">
        <f>A134+1</f>
        <v>13</v>
      </c>
      <c r="B146" s="1" t="s">
        <v>62</v>
      </c>
      <c r="C146" s="1" t="s">
        <v>678</v>
      </c>
    </row>
    <row r="147" spans="1:9" x14ac:dyDescent="0.25">
      <c r="B147" s="1" t="s">
        <v>449</v>
      </c>
      <c r="C147" s="105">
        <f>SUM(G153:G154)</f>
        <v>12.362222222222222</v>
      </c>
      <c r="D147" t="s">
        <v>450</v>
      </c>
    </row>
    <row r="148" spans="1:9" x14ac:dyDescent="0.25">
      <c r="B148" s="1" t="s">
        <v>457</v>
      </c>
      <c r="C148" s="9">
        <f>SUM(INT((WEEKDAY(F148-{2,3,4,5,6}) +H148-F148)/7))</f>
        <v>12</v>
      </c>
      <c r="D148" t="s">
        <v>450</v>
      </c>
      <c r="E148" t="s">
        <v>739</v>
      </c>
      <c r="F148" s="8">
        <v>43913</v>
      </c>
      <c r="G148" s="8" t="s">
        <v>740</v>
      </c>
      <c r="H148" s="8">
        <v>43928</v>
      </c>
    </row>
    <row r="149" spans="1:9" x14ac:dyDescent="0.25">
      <c r="B149" s="1" t="s">
        <v>458</v>
      </c>
      <c r="C149" s="9">
        <f>SUM(INT((WEEKDAY(F149-{2,3,4,5,6}) +H149-F149)/7))</f>
        <v>9</v>
      </c>
      <c r="D149" t="s">
        <v>450</v>
      </c>
      <c r="E149" t="s">
        <v>739</v>
      </c>
      <c r="F149" s="8">
        <v>43916</v>
      </c>
      <c r="G149" s="8" t="s">
        <v>740</v>
      </c>
      <c r="H149" s="8">
        <v>43928</v>
      </c>
    </row>
    <row r="150" spans="1:9" x14ac:dyDescent="0.25">
      <c r="B150" s="1" t="s">
        <v>17</v>
      </c>
      <c r="C150" t="str">
        <f>IF(SUM(H153:H154)&gt;SUM(G153:G154),"Delayed",IF(SUM(H153:H154)&lt;SUM(G153:G154),"InAdvanced","Ontime"))</f>
        <v>InAdvanced</v>
      </c>
    </row>
    <row r="152" spans="1:9" ht="30" x14ac:dyDescent="0.25">
      <c r="C152" s="139" t="s">
        <v>25</v>
      </c>
      <c r="D152" s="139" t="s">
        <v>26</v>
      </c>
      <c r="E152" s="13" t="s">
        <v>451</v>
      </c>
      <c r="F152" s="13" t="s">
        <v>452</v>
      </c>
      <c r="G152" s="13" t="s">
        <v>1065</v>
      </c>
      <c r="H152" s="13" t="s">
        <v>454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f>SUMIFS(COEM_Package_20200302!$S$3:$S$225,COEM_Package_20200302!$D$3:$D$225,Table!$D$3,COEM_Package_20200302!$C$3:$C$225,Report_For_Each_Project!C146)</f>
        <v>5563</v>
      </c>
      <c r="F153" s="11">
        <f>SUMIFS(COEM_Package_20200302!$T$3:$T$225,COEM_Package_20200302!$D$3:$D$225,Table!$D$3,COEM_Package_20200302!$C$3:$C$225,Report_For_Each_Project!C146)-SUM(SUMIFS(COEM_Package_20200302!$T$3:$T$225,COEM_Package_20200302!$D$3:$D$225,Table!$D$3,COEM_Package_20200302!$W$3:$W$225,{"Ongoing","N/A",""},COEM_Package_20200302!$C$3:$C$225,Report_For_Each_Project!C146))</f>
        <v>5563</v>
      </c>
      <c r="G153" s="11">
        <f>E153/Table!$D$4</f>
        <v>12.362222222222222</v>
      </c>
      <c r="H153" s="11">
        <f>1/8*(SUMIFS(COEM_Package_20200302!$V$3:$V$225,COEM_Package_20200302!$D$3:$D$225,Table!$D$3,COEM_Package_20200302!$C$3:$C$225,Report_For_Each_Project!C146)-SUM(SUMIFS(COEM_Package_20200302!$V$3:$V$225,COEM_Package_20200302!$D$3:$D$225,Table!$D$3,COEM_Package_20200302!$W$3:$W$225,{"Ongoing","N/A",""},COEM_Package_20200302!$C$3:$C$225,Report_For_Each_Project!C146)))</f>
        <v>11.475</v>
      </c>
      <c r="I153" s="116">
        <f>IF(E153=0,"N/A",F153/E153)</f>
        <v>1</v>
      </c>
    </row>
    <row r="154" spans="1:9" x14ac:dyDescent="0.25">
      <c r="C154" s="10">
        <v>2</v>
      </c>
      <c r="D154" s="11" t="s">
        <v>2</v>
      </c>
      <c r="E154" s="11">
        <f>SUMIFS(COEM_Package_20200302!$S$3:$S$225,COEM_Package_20200302!$D$3:$D$225,Table!$C$3,COEM_Package_20200302!$C$3:$C$225,Report_For_Each_Project!C146)</f>
        <v>0</v>
      </c>
      <c r="F154" s="11">
        <f>SUMIFS(COEM_Package_20200302!$T$3:$T$225,COEM_Package_20200302!$D$3:$D$225,Table!$C$3,COEM_Package_20200302!$C$3:$C$225,Report_For_Each_Project!C146)-SUM(SUMIFS(COEM_Package_20200302!$T$3:$T$225,COEM_Package_20200302!$D$3:$D$225,Table!$C$3,COEM_Package_20200302!$W$3:$W$225,{"Ongoing","N/A",""},COEM_Package_20200302!$C$3:$C$225,Report_For_Each_Project!C146))</f>
        <v>0</v>
      </c>
      <c r="G154" s="11">
        <f>E154/Table!$C$4</f>
        <v>0</v>
      </c>
      <c r="H154" s="11">
        <f>1/8*(SUMIFS(COEM_Package_20200302!$V$3:$V$225,COEM_Package_20200302!$D$3:$D$225,Table!$C$3,COEM_Package_20200302!$C$3:$C$225,Report_For_Each_Project!C146)-SUM(SUMIFS(COEM_Package_20200302!$V$3:$V$225,COEM_Package_20200302!$D$3:$D$225,Table!$C$3,COEM_Package_20200302!$W$3:$W$225,{"Ongoing","N/A",""},COEM_Package_20200302!$C$3:$C$225,Report_For_Each_Project!C146)))</f>
        <v>0</v>
      </c>
      <c r="I154" s="116" t="str">
        <f>IF(E154=0,"N/A",F154/E154)</f>
        <v>N/A</v>
      </c>
    </row>
    <row r="156" spans="1:9" x14ac:dyDescent="0.25">
      <c r="C156" t="s">
        <v>459</v>
      </c>
    </row>
    <row r="158" spans="1:9" x14ac:dyDescent="0.25">
      <c r="A158">
        <v>14</v>
      </c>
      <c r="B158" s="1" t="s">
        <v>62</v>
      </c>
      <c r="C158" s="1">
        <v>20200326</v>
      </c>
    </row>
    <row r="159" spans="1:9" x14ac:dyDescent="0.25">
      <c r="B159" s="1" t="s">
        <v>449</v>
      </c>
      <c r="C159" s="105">
        <f>SUM(G165:G166)</f>
        <v>0.46923076923076923</v>
      </c>
      <c r="D159" t="s">
        <v>450</v>
      </c>
    </row>
    <row r="160" spans="1:9" x14ac:dyDescent="0.25">
      <c r="B160" s="2" t="s">
        <v>457</v>
      </c>
      <c r="C160" s="200">
        <f>SUM(INT((WEEKDAY(F160-{2,3,4,5,6}) +H160-F160)/7))</f>
        <v>1</v>
      </c>
      <c r="D160" s="3" t="s">
        <v>450</v>
      </c>
      <c r="E160" s="3" t="s">
        <v>739</v>
      </c>
      <c r="F160" s="201">
        <v>43922</v>
      </c>
      <c r="G160" s="201" t="s">
        <v>741</v>
      </c>
      <c r="H160" s="201">
        <v>43922</v>
      </c>
    </row>
    <row r="161" spans="1:9" x14ac:dyDescent="0.25">
      <c r="B161" s="2" t="s">
        <v>458</v>
      </c>
      <c r="C161" s="200">
        <f>SUM(INT((WEEKDAY(F161-{2,3,4,5,6}) +H161-F161)/7))</f>
        <v>1</v>
      </c>
      <c r="D161" s="3" t="s">
        <v>450</v>
      </c>
      <c r="E161" s="3" t="s">
        <v>739</v>
      </c>
      <c r="F161" s="201">
        <v>43922</v>
      </c>
      <c r="G161" s="201" t="s">
        <v>741</v>
      </c>
      <c r="H161" s="201">
        <v>43922</v>
      </c>
    </row>
    <row r="162" spans="1:9" x14ac:dyDescent="0.25">
      <c r="B162" s="1" t="s">
        <v>17</v>
      </c>
      <c r="C162" t="str">
        <f>IF(SUM(H165:H166)&gt;SUM(G165:G166),"Delayed",IF(SUM(H165:H166)&lt;SUM(G165:G166),"InAdvanced","Ontime"))</f>
        <v>InAdvanced</v>
      </c>
    </row>
    <row r="164" spans="1:9" ht="30" x14ac:dyDescent="0.25">
      <c r="C164" s="185" t="s">
        <v>25</v>
      </c>
      <c r="D164" s="185" t="s">
        <v>26</v>
      </c>
      <c r="E164" s="13" t="s">
        <v>451</v>
      </c>
      <c r="F164" s="13" t="s">
        <v>452</v>
      </c>
      <c r="G164" s="13" t="s">
        <v>1065</v>
      </c>
      <c r="H164" s="13" t="s">
        <v>454</v>
      </c>
      <c r="I164" s="13" t="s">
        <v>29</v>
      </c>
    </row>
    <row r="165" spans="1:9" x14ac:dyDescent="0.25">
      <c r="C165" s="10">
        <v>1</v>
      </c>
      <c r="D165" s="11" t="s">
        <v>3</v>
      </c>
      <c r="E165" s="11">
        <f>SUMIFS(COEM_Package_20200401!$S$3:$S$336,COEM_Package_20200401!$D$3:$D$336,Table!$D$3,COEM_Package_20200401!$C$3:$C$336,Report_For_Each_Project!C158)</f>
        <v>0</v>
      </c>
      <c r="F165" s="11">
        <f>SUMIFS(COEM_Package_20200401!$S$3:$S$336,COEM_Package_20200401!$D$3:$D$336,Table!$D$3,COEM_Package_20200401!$C$3:$C$336,Report_For_Each_Project!D158)</f>
        <v>0</v>
      </c>
      <c r="G165" s="11">
        <f>SUMIFS(COEM_Package_20200401!$S$3:$S$336,COEM_Package_20200401!$D$3:$D$336,Table!$D$3,COEM_Package_20200401!$C$3:$C$336,Report_For_Each_Project!E158)</f>
        <v>0</v>
      </c>
      <c r="H165" s="11">
        <f>SUMIFS(COEM_Package_20200401!$S$3:$S$336,COEM_Package_20200401!$D$3:$D$336,Table!$D$3,COEM_Package_20200401!$C$3:$C$336,Report_For_Each_Project!F158)</f>
        <v>0</v>
      </c>
      <c r="I165" s="116" t="str">
        <f>IF(E165=0,"N/A",F165/E165)</f>
        <v>N/A</v>
      </c>
    </row>
    <row r="166" spans="1:9" x14ac:dyDescent="0.25">
      <c r="C166" s="10">
        <v>2</v>
      </c>
      <c r="D166" s="11" t="s">
        <v>2</v>
      </c>
      <c r="E166" s="11">
        <f>SUMIFS(COEM_Package_20200401!$S$3:$S$58,COEM_Package_20200401!$D$3:$D$58,Table!$C$3,COEM_Package_20200401!$C$3:$C$58,Report_For_Each_Project!C158)</f>
        <v>61</v>
      </c>
      <c r="F166" s="11">
        <f>SUMIFS(COEM_Package_20200401!$T$3:$T$58,COEM_Package_20200401!$D$3:$D$58,Table!$C$3,COEM_Package_20200401!$C$3:$C$58,Report_For_Each_Project!C158)-SUM(SUMIFS(COEM_Package_20200401!$T$3:$T$58,COEM_Package_20200401!$D$3:$D$58,Table!$C$3,COEM_Package_20200401!$W$3:$W$58,{"Ongoing","N/A",""},COEM_Package_20200401!$C$3:$C$58,Report_For_Each_Project!C158))</f>
        <v>61</v>
      </c>
      <c r="G166" s="11">
        <f>E166/Table!$C$4</f>
        <v>0.46923076923076923</v>
      </c>
      <c r="H166" s="11">
        <f>1/8*(SUMIFS(COEM_Package_20200401!$V$3:$V$58,COEM_Package_20200401!$D$3:$D$58,Table!$C$3,COEM_Package_20200401!$C$3:$C$58,Report_For_Each_Project!C158)-SUM(SUMIFS(COEM_Package_20200401!$V$3:$V$58,COEM_Package_20200401!$D$3:$D$58,Table!$C$3,COEM_Package_20200401!$W$3:$W$58,{"Ongoing","N/A",""},COEM_Package_20200401!$C$3:$C$58,Report_For_Each_Project!C158)))</f>
        <v>0.375</v>
      </c>
      <c r="I166" s="116">
        <f>IF(E166=0,"N/A",F166/E166)</f>
        <v>1</v>
      </c>
    </row>
    <row r="168" spans="1:9" x14ac:dyDescent="0.25">
      <c r="C168" t="s">
        <v>459</v>
      </c>
      <c r="E168" t="s">
        <v>20</v>
      </c>
    </row>
    <row r="170" spans="1:9" x14ac:dyDescent="0.25">
      <c r="A170">
        <v>15</v>
      </c>
      <c r="B170" s="1" t="s">
        <v>62</v>
      </c>
      <c r="C170" s="1">
        <v>20200330</v>
      </c>
    </row>
    <row r="171" spans="1:9" x14ac:dyDescent="0.25">
      <c r="B171" s="1" t="s">
        <v>449</v>
      </c>
      <c r="C171" s="105">
        <f>SUM(G177:G178)</f>
        <v>7.0955555555555554</v>
      </c>
      <c r="D171" t="s">
        <v>450</v>
      </c>
    </row>
    <row r="172" spans="1:9" x14ac:dyDescent="0.25">
      <c r="B172" s="2" t="s">
        <v>457</v>
      </c>
      <c r="C172" s="200">
        <f>SUM(INT((WEEKDAY(F172-{2,3,4,5,6}) +H172-F172)/7))</f>
        <v>6</v>
      </c>
      <c r="D172" s="3" t="s">
        <v>450</v>
      </c>
      <c r="E172" s="3" t="s">
        <v>739</v>
      </c>
      <c r="F172" s="201">
        <v>43920</v>
      </c>
      <c r="G172" s="201" t="s">
        <v>740</v>
      </c>
      <c r="H172" s="201">
        <v>43927</v>
      </c>
    </row>
    <row r="173" spans="1:9" x14ac:dyDescent="0.25">
      <c r="B173" s="2" t="s">
        <v>458</v>
      </c>
      <c r="C173" s="200">
        <f>SUM(INT((WEEKDAY(F173-{2,3,4,5,6}) +H173-F173)/7))</f>
        <v>5</v>
      </c>
      <c r="D173" s="3" t="s">
        <v>450</v>
      </c>
      <c r="E173" s="3" t="s">
        <v>739</v>
      </c>
      <c r="F173" s="201">
        <v>43921</v>
      </c>
      <c r="G173" s="201" t="s">
        <v>740</v>
      </c>
      <c r="H173" s="201">
        <v>43927</v>
      </c>
    </row>
    <row r="174" spans="1:9" x14ac:dyDescent="0.25">
      <c r="B174" s="1" t="s">
        <v>17</v>
      </c>
      <c r="C174" t="str">
        <f>IF(SUM(H177:H178)&gt;SUM(G177:G178),"Delayed",IF(SUM(H177:H178)&lt;SUM(G177:G178),"InAdvanced","Ontime"))</f>
        <v>InAdvanced</v>
      </c>
    </row>
    <row r="176" spans="1:9" ht="30" x14ac:dyDescent="0.25">
      <c r="C176" s="164" t="s">
        <v>25</v>
      </c>
      <c r="D176" s="164" t="s">
        <v>26</v>
      </c>
      <c r="E176" s="13" t="s">
        <v>451</v>
      </c>
      <c r="F176" s="13" t="s">
        <v>452</v>
      </c>
      <c r="G176" s="13" t="s">
        <v>1065</v>
      </c>
      <c r="H176" s="13" t="s">
        <v>454</v>
      </c>
      <c r="I176" s="13" t="s">
        <v>29</v>
      </c>
    </row>
    <row r="177" spans="1:9" x14ac:dyDescent="0.25">
      <c r="C177" s="10">
        <v>1</v>
      </c>
      <c r="D177" s="11" t="s">
        <v>3</v>
      </c>
      <c r="E177" s="11">
        <f>SUMIFS(COEM_Package_20200401!$S$3:$S$58,COEM_Package_20200401!$D$3:$D$58,Table!$D$3,COEM_Package_20200401!$C$3:$C$58,Report_For_Each_Project!C170)</f>
        <v>3193</v>
      </c>
      <c r="F177" s="11">
        <f>SUMIFS(COEM_Package_20200401!$T$3:$T$58,COEM_Package_20200401!$D$3:$D$58,Table!$D$3,COEM_Package_20200401!$C$3:$C$58,Report_For_Each_Project!C170)-SUM(SUMIFS(COEM_Package_20200401!$T$3:$T$58,COEM_Package_20200401!$D$3:$D$58,Table!$D$3,COEM_Package_20200401!$W$3:$W$58,{"Ongoing","N/A",""},COEM_Package_20200401!$C$3:$C$58,Report_For_Each_Project!C170))</f>
        <v>3193</v>
      </c>
      <c r="G177" s="11">
        <f>E177/Table!$D$4</f>
        <v>7.0955555555555554</v>
      </c>
      <c r="H177" s="11">
        <f>1/8*(SUMIFS(COEM_Package_20200401!$V$3:$V$58,COEM_Package_20200401!$D$3:$D$58,Table!$D$3,COEM_Package_20200401!$C$3:$C$58,Report_For_Each_Project!C170)-SUM(SUMIFS(COEM_Package_20200401!$V$3:$V$58,COEM_Package_20200401!$D$3:$D$58,Table!$D$3,COEM_Package_20200401!$W$3:$W$58,{"Ongoing","N/A",""},COEM_Package_20200401!$C$3:$C$58,Report_For_Each_Project!C170)))</f>
        <v>5.1362500000000004</v>
      </c>
      <c r="I177" s="116">
        <f>IF(E177=0,"N/A",F177/E177)</f>
        <v>1</v>
      </c>
    </row>
    <row r="178" spans="1:9" x14ac:dyDescent="0.25">
      <c r="C178" s="10">
        <v>2</v>
      </c>
      <c r="D178" s="11" t="s">
        <v>2</v>
      </c>
      <c r="E178" s="11">
        <f>SUMIFS(COEM_Package_20200401!$S$3:$S$58,COEM_Package_20200401!$D$3:$D$58,Table!$C$3,COEM_Package_20200401!$C$3:$C$58,Report_For_Each_Project!C170)</f>
        <v>0</v>
      </c>
      <c r="F178" s="11">
        <f>SUMIFS(COEM_Package_20200401!$T$3:$T$58,COEM_Package_20200401!$D$3:$D$58,Table!$C$3,COEM_Package_20200401!$C$3:$C$58,Report_For_Each_Project!C170)-SUM(SUMIFS(COEM_Package_20200401!$T$3:$T$58,COEM_Package_20200401!$D$3:$D$58,Table!$C$3,COEM_Package_20200401!$W$3:$W$58,{"Ongoing","N/A",""},COEM_Package_20200401!$C$3:$C$58,Report_For_Each_Project!C170))</f>
        <v>0</v>
      </c>
      <c r="G178" s="11">
        <f>E178/Table!$C$4</f>
        <v>0</v>
      </c>
      <c r="H178" s="11">
        <f>1/8*(SUMIFS(COEM_Package_20200401!$V$3:$V$58,COEM_Package_20200401!$D$3:$D$58,Table!$C$3,COEM_Package_20200401!$C$3:$C$58,Report_For_Each_Project!C170)-SUM(SUMIFS(COEM_Package_20200401!$V$3:$V$58,COEM_Package_20200401!$D$3:$D$58,Table!$C$3,COEM_Package_20200401!$W$3:$W$58,{"Ongoing","N/A",""},COEM_Package_20200401!$C$3:$C$58,Report_For_Each_Project!C170)))</f>
        <v>0</v>
      </c>
      <c r="I178" s="116" t="str">
        <f>IF(E178=0,"N/A",F178/E178)</f>
        <v>N/A</v>
      </c>
    </row>
    <row r="180" spans="1:9" x14ac:dyDescent="0.25">
      <c r="C180" t="s">
        <v>459</v>
      </c>
      <c r="E180" t="s">
        <v>20</v>
      </c>
    </row>
    <row r="182" spans="1:9" x14ac:dyDescent="0.25">
      <c r="A182">
        <v>16</v>
      </c>
      <c r="B182" s="1" t="s">
        <v>62</v>
      </c>
      <c r="C182" s="1">
        <v>20200331</v>
      </c>
    </row>
    <row r="183" spans="1:9" x14ac:dyDescent="0.25">
      <c r="B183" s="1" t="s">
        <v>449</v>
      </c>
      <c r="C183" s="105">
        <f>SUM(G189:G190)</f>
        <v>8.4022222222222229</v>
      </c>
      <c r="D183" t="s">
        <v>450</v>
      </c>
    </row>
    <row r="184" spans="1:9" x14ac:dyDescent="0.25">
      <c r="B184" s="2" t="s">
        <v>457</v>
      </c>
      <c r="C184" s="200">
        <f>SUM(INT((WEEKDAY(F184-{2,3,4,5,6}) +H184-F184)/7))</f>
        <v>7</v>
      </c>
      <c r="D184" s="3" t="s">
        <v>450</v>
      </c>
      <c r="E184" s="3" t="s">
        <v>739</v>
      </c>
      <c r="F184" s="201">
        <v>43921</v>
      </c>
      <c r="G184" s="201" t="s">
        <v>740</v>
      </c>
      <c r="H184" s="201">
        <v>43929</v>
      </c>
    </row>
    <row r="185" spans="1:9" x14ac:dyDescent="0.25">
      <c r="B185" s="2" t="s">
        <v>458</v>
      </c>
      <c r="C185" s="200">
        <f>SUM(INT((WEEKDAY(F185-{2,3,4,5,6}) +H185-F185)/7))</f>
        <v>5</v>
      </c>
      <c r="D185" s="3" t="s">
        <v>450</v>
      </c>
      <c r="E185" s="3" t="s">
        <v>739</v>
      </c>
      <c r="F185" s="201">
        <v>43922</v>
      </c>
      <c r="G185" s="201" t="s">
        <v>740</v>
      </c>
      <c r="H185" s="201">
        <v>43928</v>
      </c>
    </row>
    <row r="186" spans="1:9" x14ac:dyDescent="0.25">
      <c r="B186" s="1" t="s">
        <v>17</v>
      </c>
      <c r="C186" t="str">
        <f>IF(SUM(H189:H190)&gt;SUM(G189:G190),"Delayed",IF(SUM(H189:H190)&lt;SUM(G189:G190),"InAdvanced","Ontime"))</f>
        <v>InAdvanced</v>
      </c>
    </row>
    <row r="188" spans="1:9" ht="30" x14ac:dyDescent="0.25">
      <c r="C188" s="164" t="s">
        <v>25</v>
      </c>
      <c r="D188" s="164" t="s">
        <v>26</v>
      </c>
      <c r="E188" s="13" t="s">
        <v>451</v>
      </c>
      <c r="F188" s="13" t="s">
        <v>452</v>
      </c>
      <c r="G188" s="13" t="s">
        <v>1065</v>
      </c>
      <c r="H188" s="13" t="s">
        <v>454</v>
      </c>
      <c r="I188" s="13" t="s">
        <v>29</v>
      </c>
    </row>
    <row r="189" spans="1:9" x14ac:dyDescent="0.25">
      <c r="C189" s="10">
        <v>1</v>
      </c>
      <c r="D189" s="11" t="s">
        <v>3</v>
      </c>
      <c r="E189" s="11">
        <f>SUMIFS(COEM_Package_20200401!$S$3:$S$58,COEM_Package_20200401!$D$3:$D$58,Table!$D$3,COEM_Package_20200401!$C$3:$C$58,Report_For_Each_Project!C182)</f>
        <v>3781</v>
      </c>
      <c r="F189" s="11">
        <f>SUMIFS(COEM_Package_20200401!$T$3:$T$58,COEM_Package_20200401!$D$3:$D$58,Table!$D$3,COEM_Package_20200401!$C$3:$C$58,Report_For_Each_Project!C182)-SUM(SUMIFS(COEM_Package_20200401!$T$3:$T$58,COEM_Package_20200401!$D$3:$D$58,Table!$D$3,COEM_Package_20200401!$W$3:$W$58,{"Ongoing","N/A",""},COEM_Package_20200401!$C$3:$C$58,Report_For_Each_Project!C182))</f>
        <v>3781</v>
      </c>
      <c r="G189" s="11">
        <f>E189/Table!$D$4</f>
        <v>8.4022222222222229</v>
      </c>
      <c r="H189" s="11">
        <f>1/8*(SUMIFS(COEM_Package_20200401!$V$3:$V$58,COEM_Package_20200401!$D$3:$D$58,Table!$D$3,COEM_Package_20200401!$C$3:$C$58,Report_For_Each_Project!C182)-SUM(SUMIFS(COEM_Package_20200401!$V$3:$V$58,COEM_Package_20200401!$D$3:$D$58,Table!$D$3,COEM_Package_20200401!$W$3:$W$58,{"Ongoing","N/A",""},COEM_Package_20200401!$C$3:$C$58,Report_For_Each_Project!C182)))</f>
        <v>5.1475</v>
      </c>
      <c r="I189" s="116">
        <f>IF(E189=0,"N/A",F189/E189)</f>
        <v>1</v>
      </c>
    </row>
    <row r="190" spans="1:9" x14ac:dyDescent="0.25">
      <c r="C190" s="10">
        <v>2</v>
      </c>
      <c r="D190" s="11" t="s">
        <v>2</v>
      </c>
      <c r="E190" s="11">
        <f>SUMIFS(COEM_Package_20200401!$S$3:$S$58,COEM_Package_20200401!$D$3:$D$58,Table!$C$3,COEM_Package_20200401!$C$3:$C$58,Report_For_Each_Project!C182)</f>
        <v>0</v>
      </c>
      <c r="F190" s="11">
        <f>SUMIFS(COEM_Package_20200401!$T$3:$T$58,COEM_Package_20200401!$D$3:$D$58,Table!$C$3,COEM_Package_20200401!$C$3:$C$58,Report_For_Each_Project!C182)-SUM(SUMIFS(COEM_Package_20200401!$T$3:$T$58,COEM_Package_20200401!$D$3:$D$58,Table!$C$3,COEM_Package_20200401!$W$3:$W$58,{"Ongoing","N/A",""},COEM_Package_20200401!$C$3:$C$58,Report_For_Each_Project!C182))</f>
        <v>0</v>
      </c>
      <c r="G190" s="11">
        <f>E190/Table!$C$4</f>
        <v>0</v>
      </c>
      <c r="H190" s="11">
        <f>1/8*(SUMIFS(COEM_Package_20200401!$V$3:$V$58,COEM_Package_20200401!$D$3:$D$58,Table!$C$3,COEM_Package_20200401!$C$3:$C$58,Report_For_Each_Project!C182)-SUM(SUMIFS(COEM_Package_20200401!$V$3:$V$58,COEM_Package_20200401!$D$3:$D$58,Table!$C$3,COEM_Package_20200401!$W$3:$W$58,{"Ongoing","N/A",""},COEM_Package_20200401!$C$3:$C$58,Report_For_Each_Project!C182)))</f>
        <v>0</v>
      </c>
      <c r="I190" s="116" t="str">
        <f>IF(E190=0,"N/A",F190/E190)</f>
        <v>N/A</v>
      </c>
    </row>
    <row r="192" spans="1:9" x14ac:dyDescent="0.25">
      <c r="C192" t="s">
        <v>459</v>
      </c>
      <c r="E192" t="s">
        <v>20</v>
      </c>
    </row>
    <row r="194" spans="1:9" x14ac:dyDescent="0.25">
      <c r="A194">
        <v>17</v>
      </c>
      <c r="B194" s="1" t="s">
        <v>62</v>
      </c>
      <c r="C194" s="1">
        <v>20200403</v>
      </c>
    </row>
    <row r="195" spans="1:9" x14ac:dyDescent="0.25">
      <c r="B195" s="1" t="s">
        <v>449</v>
      </c>
      <c r="C195" s="105">
        <f>SUM(G201:G202)</f>
        <v>10.864444444444445</v>
      </c>
      <c r="D195" t="s">
        <v>450</v>
      </c>
    </row>
    <row r="196" spans="1:9" x14ac:dyDescent="0.25">
      <c r="B196" s="2" t="s">
        <v>457</v>
      </c>
      <c r="C196" s="200">
        <f>SUM(INT((WEEKDAY(F196-{2,3,4,5,6}) +H196-F196)/7))</f>
        <v>8</v>
      </c>
      <c r="D196" s="3" t="s">
        <v>450</v>
      </c>
      <c r="E196" s="3" t="s">
        <v>741</v>
      </c>
      <c r="F196" s="201">
        <v>43924</v>
      </c>
      <c r="G196" s="201" t="s">
        <v>872</v>
      </c>
      <c r="H196" s="201">
        <v>43935</v>
      </c>
    </row>
    <row r="197" spans="1:9" x14ac:dyDescent="0.25">
      <c r="B197" s="2" t="s">
        <v>458</v>
      </c>
      <c r="C197" s="200">
        <f>SUM(INT((WEEKDAY(F197-{2,3,4,5,6}) +H197-F197)/7))</f>
        <v>6</v>
      </c>
      <c r="D197" s="3" t="s">
        <v>450</v>
      </c>
      <c r="E197" s="3" t="s">
        <v>741</v>
      </c>
      <c r="F197" s="201">
        <v>43924</v>
      </c>
      <c r="G197" s="201" t="s">
        <v>872</v>
      </c>
      <c r="H197" s="201">
        <v>43931</v>
      </c>
    </row>
    <row r="198" spans="1:9" x14ac:dyDescent="0.25">
      <c r="B198" s="1" t="s">
        <v>17</v>
      </c>
      <c r="C198" t="str">
        <f>IF(SUM(H201:H202)&gt;SUM(G201:G202),"Delayed",IF(SUM(H201:H202)&lt;SUM(G201:G202),"InAdvanced","Ontime"))</f>
        <v>InAdvanced</v>
      </c>
    </row>
    <row r="200" spans="1:9" ht="30" x14ac:dyDescent="0.25">
      <c r="C200" s="164" t="s">
        <v>25</v>
      </c>
      <c r="D200" s="164" t="s">
        <v>26</v>
      </c>
      <c r="E200" s="13" t="s">
        <v>451</v>
      </c>
      <c r="F200" s="13" t="s">
        <v>452</v>
      </c>
      <c r="G200" s="13" t="s">
        <v>1065</v>
      </c>
      <c r="H200" s="13" t="s">
        <v>454</v>
      </c>
      <c r="I200" s="13" t="s">
        <v>29</v>
      </c>
    </row>
    <row r="201" spans="1:9" x14ac:dyDescent="0.25">
      <c r="C201" s="10">
        <v>1</v>
      </c>
      <c r="D201" s="11" t="s">
        <v>3</v>
      </c>
      <c r="E201" s="11">
        <f>SUMIFS(COEM_Package_20200401!$S$3:$S$73,COEM_Package_20200401!$D$3:$D$73,Table!$D$3,COEM_Package_20200401!$C$3:$C$73,Report_For_Each_Project!C194)</f>
        <v>4889</v>
      </c>
      <c r="F201" s="11">
        <f>SUMIFS(COEM_Package_20200401!$T$3:$T$73,COEM_Package_20200401!$D$3:$D$73,Table!$D$3,COEM_Package_20200401!$C$3:$C$73,Report_For_Each_Project!C194)-SUM(SUMIFS(COEM_Package_20200401!$T$3:$T$73,COEM_Package_20200401!$D$3:$D$73,Table!$D$3,COEM_Package_20200401!$W$3:$W$73,{"Ongoing","N/A",""},COEM_Package_20200401!$C$3:$C$73,Report_For_Each_Project!C194))</f>
        <v>4889</v>
      </c>
      <c r="G201" s="11">
        <f>E201/Table!$D$4</f>
        <v>10.864444444444445</v>
      </c>
      <c r="H201" s="11">
        <f>1/8*(SUMIFS(COEM_Package_20200401!$V$3:$V$73,COEM_Package_20200401!$D$3:$D$73,Table!$D$3,COEM_Package_20200401!$C$3:$C$73,Report_For_Each_Project!C194)-SUM(SUMIFS(COEM_Package_20200401!$V$3:$V$73,COEM_Package_20200401!$D$3:$D$73,Table!$D$3,COEM_Package_20200401!$W$3:$W$73,{"Ongoing","N/A",""},COEM_Package_20200401!$C$3:$C$73,Report_For_Each_Project!C194)))</f>
        <v>8.2125000000000004</v>
      </c>
      <c r="I201" s="116">
        <f>IF(E201=0,"N/A",F201/E201)</f>
        <v>1</v>
      </c>
    </row>
    <row r="202" spans="1:9" x14ac:dyDescent="0.25">
      <c r="C202" s="10">
        <v>2</v>
      </c>
      <c r="D202" s="11" t="s">
        <v>2</v>
      </c>
      <c r="E202" s="11">
        <f>SUMIFS(COEM_Package_20200401!$S$3:$S$73,COEM_Package_20200401!$D$3:$D$73,Table!$C$3,COEM_Package_20200401!$C$3:$C$73,Report_For_Each_Project!C194)</f>
        <v>0</v>
      </c>
      <c r="F202" s="11">
        <f>SUMIFS(COEM_Package_20200401!$T$3:$T$73,COEM_Package_20200401!$D$3:$D$73,Table!$C$3,COEM_Package_20200401!$C$3:$C$73,Report_For_Each_Project!C194)-SUM(SUMIFS(COEM_Package_20200401!$T$3:$T$73,COEM_Package_20200401!$D$3:$D$73,Table!$C$3,COEM_Package_20200401!$W$3:$W$73,{"Ongoing","N/A",""},COEM_Package_20200401!$C$3:$C$73,Report_For_Each_Project!C194))</f>
        <v>0</v>
      </c>
      <c r="G202" s="11">
        <f>E202/Table!$C$4</f>
        <v>0</v>
      </c>
      <c r="H202" s="11">
        <f>1/8*(SUMIFS(COEM_Package_20200401!$V$3:$V$73,COEM_Package_20200401!$D$3:$D$73,Table!$C$3,COEM_Package_20200401!$C$3:$C$73,Report_For_Each_Project!C194)-SUM(SUMIFS(COEM_Package_20200401!$V$3:$V$73,COEM_Package_20200401!$D$3:$D$73,Table!$C$3,COEM_Package_20200401!$W$3:$W$73,{"Ongoing","N/A",""},COEM_Package_20200401!$C$3:$C$73,Report_For_Each_Project!C194)))</f>
        <v>0</v>
      </c>
      <c r="I202" s="116" t="str">
        <f>IF(E202=0,"N/A",F202/E202)</f>
        <v>N/A</v>
      </c>
    </row>
    <row r="204" spans="1:9" x14ac:dyDescent="0.25">
      <c r="C204" t="s">
        <v>459</v>
      </c>
      <c r="E204" t="s">
        <v>20</v>
      </c>
    </row>
    <row r="206" spans="1:9" x14ac:dyDescent="0.25">
      <c r="A206">
        <v>18</v>
      </c>
      <c r="B206" s="1" t="s">
        <v>62</v>
      </c>
      <c r="C206" s="1">
        <v>20200406</v>
      </c>
    </row>
    <row r="207" spans="1:9" x14ac:dyDescent="0.25">
      <c r="B207" s="1" t="s">
        <v>449</v>
      </c>
      <c r="C207" s="105">
        <f>SUM(G213:G214)</f>
        <v>6.9044444444444446</v>
      </c>
      <c r="D207" t="s">
        <v>450</v>
      </c>
    </row>
    <row r="208" spans="1:9" x14ac:dyDescent="0.25">
      <c r="B208" s="2" t="s">
        <v>457</v>
      </c>
      <c r="C208" s="200">
        <f>SUM(INT((WEEKDAY(F208-{2,3,4,5,6}) +H208-F208)/7))</f>
        <v>5</v>
      </c>
      <c r="D208" s="3" t="s">
        <v>450</v>
      </c>
      <c r="E208" s="3" t="s">
        <v>741</v>
      </c>
      <c r="F208" s="201">
        <v>43927</v>
      </c>
      <c r="G208" s="201" t="s">
        <v>872</v>
      </c>
      <c r="H208" s="201">
        <v>43933</v>
      </c>
    </row>
    <row r="209" spans="1:9" x14ac:dyDescent="0.25">
      <c r="B209" s="2" t="s">
        <v>458</v>
      </c>
      <c r="C209" s="200">
        <f>SUM(INT((WEEKDAY(F209-{2,3,4,5,6}) +H209-F209)/7))</f>
        <v>4</v>
      </c>
      <c r="D209" s="3" t="s">
        <v>450</v>
      </c>
      <c r="E209" s="3" t="s">
        <v>741</v>
      </c>
      <c r="F209" s="201">
        <v>43928</v>
      </c>
      <c r="G209" s="201" t="s">
        <v>872</v>
      </c>
      <c r="H209" s="201">
        <v>43931</v>
      </c>
    </row>
    <row r="210" spans="1:9" x14ac:dyDescent="0.25">
      <c r="B210" s="1" t="s">
        <v>17</v>
      </c>
      <c r="C210" t="str">
        <f>IF(SUM(H213:H214)&gt;SUM(G213:G214),"Delayed",IF(SUM(H213:H214)&lt;SUM(G213:G214),"InAdvanced","Ontime"))</f>
        <v>InAdvanced</v>
      </c>
    </row>
    <row r="212" spans="1:9" ht="30" x14ac:dyDescent="0.25">
      <c r="C212" s="185" t="s">
        <v>25</v>
      </c>
      <c r="D212" s="185" t="s">
        <v>26</v>
      </c>
      <c r="E212" s="13" t="s">
        <v>451</v>
      </c>
      <c r="F212" s="13" t="s">
        <v>452</v>
      </c>
      <c r="G212" s="13" t="s">
        <v>1065</v>
      </c>
      <c r="H212" s="13" t="s">
        <v>454</v>
      </c>
      <c r="I212" s="13" t="s">
        <v>29</v>
      </c>
    </row>
    <row r="213" spans="1:9" x14ac:dyDescent="0.25">
      <c r="C213" s="10">
        <v>1</v>
      </c>
      <c r="D213" s="11" t="s">
        <v>3</v>
      </c>
      <c r="E213" s="11">
        <f>SUMIFS(COEM_Package_20200401!$S$3:$S$315,COEM_Package_20200401!$D$3:$D$315,Table!$D$3,COEM_Package_20200401!$C$3:$C$315,Report_For_Each_Project!C206)</f>
        <v>3107</v>
      </c>
      <c r="F213" s="11">
        <f>SUMIFS(COEM_Package_20200401!$T$3:$T$315,COEM_Package_20200401!$D$3:$D$315,Table!$D$3,COEM_Package_20200401!$C$3:$C$315,Report_For_Each_Project!C206)-SUM(SUMIFS(COEM_Package_20200401!$T$3:$T$315,COEM_Package_20200401!$D$3:$D$315,Table!$D$3,COEM_Package_20200401!$W$3:$W$315,{"Ongoing","N/A",""},COEM_Package_20200401!$C$3:$C$315,Report_For_Each_Project!C206))</f>
        <v>3107</v>
      </c>
      <c r="G213" s="11">
        <f>E213/Table!$D$4</f>
        <v>6.9044444444444446</v>
      </c>
      <c r="H213" s="11">
        <f>1/8*(SUMIFS(COEM_Package_20200401!$V$3:$V$315,COEM_Package_20200401!$D$3:$D$315,Table!$D$3,COEM_Package_20200401!$C$3:$C$315,Report_For_Each_Project!C206)-SUM(SUMIFS(COEM_Package_20200401!$V$3:$V$315,COEM_Package_20200401!$D$3:$D$315,Table!$D$3,COEM_Package_20200401!$W$3:$W$315,{"Ongoing","N/A",""},COEM_Package_20200401!$C$3:$C$315,Report_For_Each_Project!C206)))</f>
        <v>4.375</v>
      </c>
      <c r="I213" s="116">
        <f>IF(E213=0,"N/A",F213/E213)</f>
        <v>1</v>
      </c>
    </row>
    <row r="214" spans="1:9" x14ac:dyDescent="0.25">
      <c r="C214" s="10">
        <v>2</v>
      </c>
      <c r="D214" s="11" t="s">
        <v>2</v>
      </c>
      <c r="E214" s="11">
        <f>SUMIFS(COEM_Package_20200401!$S$3:$S$315,COEM_Package_20200401!$D$3:$D$315,Table!$C$3,COEM_Package_20200401!$C$3:$C$315,Report_For_Each_Project!C206)</f>
        <v>0</v>
      </c>
      <c r="F214" s="11">
        <f>SUMIFS(COEM_Package_20200401!$T$3:$T$315,COEM_Package_20200401!$D$3:$D$315,Table!$C$3,COEM_Package_20200401!$C$3:$C$315,Report_For_Each_Project!C206)-SUM(SUMIFS(COEM_Package_20200401!$T$3:$T$315,COEM_Package_20200401!$D$3:$D$315,Table!$C$3,COEM_Package_20200401!$W$3:$W$315,{"Ongoing","N/A",""},COEM_Package_20200401!$C$3:$C$315,Report_For_Each_Project!C206))</f>
        <v>0</v>
      </c>
      <c r="G214" s="11">
        <f>E214/Table!$C$4</f>
        <v>0</v>
      </c>
      <c r="H214" s="11">
        <f>1/8*(SUMIFS(COEM_Package_20200401!$V$3:$V$315,COEM_Package_20200401!$D$3:$D$315,Table!$C$3,COEM_Package_20200401!$C$3:$C$315,Report_For_Each_Project!C206)-SUM(SUMIFS(COEM_Package_20200401!$V$3:$V$315,COEM_Package_20200401!$D$3:$D$315,Table!$C$3,COEM_Package_20200401!$W$3:$W$315,{"Ongoing","N/A",""},COEM_Package_20200401!$C$3:$C$315,Report_For_Each_Project!C206)))</f>
        <v>0</v>
      </c>
      <c r="I214" s="116" t="str">
        <f>IF(E214=0,"N/A",F214/E214)</f>
        <v>N/A</v>
      </c>
    </row>
    <row r="216" spans="1:9" x14ac:dyDescent="0.25">
      <c r="C216" t="s">
        <v>459</v>
      </c>
      <c r="E216" t="s">
        <v>20</v>
      </c>
    </row>
    <row r="218" spans="1:9" x14ac:dyDescent="0.25">
      <c r="A218">
        <v>19</v>
      </c>
      <c r="B218" s="1" t="s">
        <v>62</v>
      </c>
      <c r="C218" s="1">
        <v>20200407</v>
      </c>
    </row>
    <row r="219" spans="1:9" x14ac:dyDescent="0.25">
      <c r="B219" s="1" t="s">
        <v>449</v>
      </c>
      <c r="C219" s="105">
        <f>SUM(G225:G226)</f>
        <v>1.7044444444444444</v>
      </c>
      <c r="D219" t="s">
        <v>450</v>
      </c>
    </row>
    <row r="220" spans="1:9" x14ac:dyDescent="0.25">
      <c r="B220" s="2" t="s">
        <v>457</v>
      </c>
      <c r="C220" s="200">
        <f>SUM(INT((WEEKDAY(F220-{2,3,4,5,6}) +H220-F220)/7))</f>
        <v>5</v>
      </c>
      <c r="D220" s="3" t="s">
        <v>450</v>
      </c>
      <c r="E220" s="3" t="s">
        <v>741</v>
      </c>
      <c r="F220" s="201">
        <v>43928</v>
      </c>
      <c r="G220" s="201" t="s">
        <v>872</v>
      </c>
      <c r="H220" s="201">
        <v>43934</v>
      </c>
    </row>
    <row r="221" spans="1:9" x14ac:dyDescent="0.25">
      <c r="B221" s="2" t="s">
        <v>458</v>
      </c>
      <c r="C221" s="200">
        <f>SUM(INT((WEEKDAY(F221-{2,3,4,5,6}) +H221-F221)/7))</f>
        <v>2</v>
      </c>
      <c r="D221" s="3" t="s">
        <v>450</v>
      </c>
      <c r="E221" s="3" t="s">
        <v>741</v>
      </c>
      <c r="F221" s="201">
        <v>43929</v>
      </c>
      <c r="G221" s="201" t="s">
        <v>872</v>
      </c>
      <c r="H221" s="201">
        <v>43930</v>
      </c>
    </row>
    <row r="222" spans="1:9" x14ac:dyDescent="0.25">
      <c r="B222" s="1" t="s">
        <v>17</v>
      </c>
      <c r="C222" t="str">
        <f>IF(SUM(H225:H226)&gt;SUM(G225:G226),"Delayed",IF(SUM(H225:H226)&lt;SUM(G225:G226),"InAdvanced","Ontime"))</f>
        <v>InAdvanced</v>
      </c>
    </row>
    <row r="224" spans="1:9" ht="30" x14ac:dyDescent="0.25">
      <c r="C224" s="210" t="s">
        <v>25</v>
      </c>
      <c r="D224" s="210" t="s">
        <v>26</v>
      </c>
      <c r="E224" s="13" t="s">
        <v>451</v>
      </c>
      <c r="F224" s="13" t="s">
        <v>452</v>
      </c>
      <c r="G224" s="13" t="s">
        <v>1065</v>
      </c>
      <c r="H224" s="13" t="s">
        <v>454</v>
      </c>
      <c r="I224" s="13" t="s">
        <v>29</v>
      </c>
    </row>
    <row r="225" spans="1:9" x14ac:dyDescent="0.25">
      <c r="C225" s="10">
        <v>1</v>
      </c>
      <c r="D225" s="11" t="s">
        <v>3</v>
      </c>
      <c r="E225" s="11">
        <f>SUMIFS(COEM_Package_20200401!$S$3:$S$315,COEM_Package_20200401!$D$3:$D$315,Table!$D$3,COEM_Package_20200401!$C$3:$C$315,Report_For_Each_Project!C218)</f>
        <v>767</v>
      </c>
      <c r="F225" s="11">
        <f>SUMIFS(COEM_Package_20200401!$T$3:$T$315,COEM_Package_20200401!$D$3:$D$315,Table!$D$3,COEM_Package_20200401!$C$3:$C$315,Report_For_Each_Project!C218)-SUM(SUMIFS(COEM_Package_20200401!$T$3:$T$315,COEM_Package_20200401!$D$3:$D$315,Table!$D$3,COEM_Package_20200401!$W$3:$W$315,{"Ongoing","N/A",""},COEM_Package_20200401!$C$3:$C$315,Report_For_Each_Project!C218))</f>
        <v>767</v>
      </c>
      <c r="G225" s="11">
        <f>E225/Table!$D$4</f>
        <v>1.7044444444444444</v>
      </c>
      <c r="H225" s="11">
        <f>1/8*(SUMIFS(COEM_Package_20200401!$V$3:$V$315,COEM_Package_20200401!$D$3:$D$315,Table!$D$3,COEM_Package_20200401!$C$3:$C$315,Report_For_Each_Project!C218)-SUM(SUMIFS(COEM_Package_20200401!$V$3:$V$315,COEM_Package_20200401!$D$3:$D$315,Table!$D$3,COEM_Package_20200401!$W$3:$W$315,{"Ongoing","N/A",""},COEM_Package_20200401!$C$3:$C$315,Report_For_Each_Project!C218)))</f>
        <v>1.625</v>
      </c>
      <c r="I225" s="116">
        <f>IF(E225=0,"N/A",F225/E225)</f>
        <v>1</v>
      </c>
    </row>
    <row r="226" spans="1:9" x14ac:dyDescent="0.25">
      <c r="C226" s="10">
        <v>2</v>
      </c>
      <c r="D226" s="11" t="s">
        <v>2</v>
      </c>
      <c r="E226" s="11">
        <f>SUMIFS(COEM_Package_20200401!$S$3:$S$315,COEM_Package_20200401!$D$3:$D$315,Table!$C$3,COEM_Package_20200401!$C$3:$C$315,Report_For_Each_Project!C218)</f>
        <v>0</v>
      </c>
      <c r="F226" s="11">
        <f>SUMIFS(COEM_Package_20200401!$T$3:$T$315,COEM_Package_20200401!$D$3:$D$315,Table!$C$3,COEM_Package_20200401!$C$3:$C$315,Report_For_Each_Project!C218)-SUM(SUMIFS(COEM_Package_20200401!$T$3:$T$315,COEM_Package_20200401!$D$3:$D$315,Table!$C$3,COEM_Package_20200401!$W$3:$W$315,{"Ongoing","N/A",""},COEM_Package_20200401!$C$3:$C$315,Report_For_Each_Project!C218))</f>
        <v>0</v>
      </c>
      <c r="G226" s="11">
        <f>E226/Table!$C$4</f>
        <v>0</v>
      </c>
      <c r="H226" s="11">
        <f>1/8*(SUMIFS(COEM_Package_20200401!$V$3:$V$315,COEM_Package_20200401!$D$3:$D$315,Table!$C$3,COEM_Package_20200401!$C$3:$C$315,Report_For_Each_Project!C218)-SUM(SUMIFS(COEM_Package_20200401!$V$3:$V$315,COEM_Package_20200401!$D$3:$D$315,Table!$C$3,COEM_Package_20200401!$W$3:$W$315,{"Ongoing","N/A",""},COEM_Package_20200401!$C$3:$C$315,Report_For_Each_Project!C218)))</f>
        <v>0</v>
      </c>
      <c r="I226" s="116" t="str">
        <f>IF(E226=0,"N/A",F226/E226)</f>
        <v>N/A</v>
      </c>
    </row>
    <row r="228" spans="1:9" x14ac:dyDescent="0.25">
      <c r="C228" t="s">
        <v>459</v>
      </c>
      <c r="E228" t="s">
        <v>20</v>
      </c>
    </row>
    <row r="230" spans="1:9" x14ac:dyDescent="0.25">
      <c r="A230">
        <v>19</v>
      </c>
      <c r="B230" s="1" t="s">
        <v>62</v>
      </c>
      <c r="C230" s="1">
        <v>20200408</v>
      </c>
    </row>
    <row r="231" spans="1:9" x14ac:dyDescent="0.25">
      <c r="B231" s="1" t="s">
        <v>449</v>
      </c>
      <c r="C231" s="105">
        <f>SUM(G237:G238)</f>
        <v>10.097777777777777</v>
      </c>
      <c r="D231" t="s">
        <v>450</v>
      </c>
    </row>
    <row r="232" spans="1:9" x14ac:dyDescent="0.25">
      <c r="B232" s="2" t="s">
        <v>457</v>
      </c>
      <c r="C232" s="200">
        <f>SUM(INT((WEEKDAY(F232-{2,3,4,5,6}) +H232-F232)/7))</f>
        <v>6</v>
      </c>
      <c r="D232" s="3" t="s">
        <v>450</v>
      </c>
      <c r="E232" s="3" t="s">
        <v>741</v>
      </c>
      <c r="F232" s="201">
        <v>43934</v>
      </c>
      <c r="G232" s="201" t="s">
        <v>872</v>
      </c>
      <c r="H232" s="201">
        <v>43941</v>
      </c>
    </row>
    <row r="233" spans="1:9" x14ac:dyDescent="0.25">
      <c r="B233" s="2" t="s">
        <v>458</v>
      </c>
      <c r="C233" s="200">
        <f>SUM(INT((WEEKDAY(F233-{2,3,4,5,6}) +H233-F233)/7))</f>
        <v>5</v>
      </c>
      <c r="D233" s="3" t="s">
        <v>450</v>
      </c>
      <c r="E233" s="3" t="s">
        <v>741</v>
      </c>
      <c r="F233" s="201">
        <v>43934</v>
      </c>
      <c r="G233" s="201" t="s">
        <v>872</v>
      </c>
      <c r="H233" s="201">
        <v>43938</v>
      </c>
    </row>
    <row r="234" spans="1:9" x14ac:dyDescent="0.25">
      <c r="B234" s="1" t="s">
        <v>17</v>
      </c>
      <c r="C234" t="str">
        <f>IF(SUM(H237:H238)&gt;SUM(G237:G238),"Delayed",IF(SUM(H237:H238)&lt;SUM(G237:G238),"InAdvanced","Ontime"))</f>
        <v>InAdvanced</v>
      </c>
    </row>
    <row r="236" spans="1:9" ht="30" x14ac:dyDescent="0.25">
      <c r="C236" s="210" t="s">
        <v>25</v>
      </c>
      <c r="D236" s="210" t="s">
        <v>26</v>
      </c>
      <c r="E236" s="13" t="s">
        <v>451</v>
      </c>
      <c r="F236" s="13" t="s">
        <v>452</v>
      </c>
      <c r="G236" s="13" t="s">
        <v>1065</v>
      </c>
      <c r="H236" s="13" t="s">
        <v>454</v>
      </c>
      <c r="I236" s="13" t="s">
        <v>29</v>
      </c>
    </row>
    <row r="237" spans="1:9" x14ac:dyDescent="0.25">
      <c r="C237" s="10">
        <v>1</v>
      </c>
      <c r="D237" s="11" t="s">
        <v>3</v>
      </c>
      <c r="E237" s="11">
        <f>SUMIFS(COEM_Package_20200401!$S$3:$S$315,COEM_Package_20200401!$D$3:$D$315,Table!$D$3,COEM_Package_20200401!$C$3:$C$315,Report_For_Each_Project!C230)</f>
        <v>4544</v>
      </c>
      <c r="F237" s="11">
        <f>SUMIFS(COEM_Package_20200401!$T$3:$T$315,COEM_Package_20200401!$D$3:$D$315,Table!$D$3,COEM_Package_20200401!$C$3:$C$315,Report_For_Each_Project!C230)-SUM(SUMIFS(COEM_Package_20200401!$T$3:$T$315,COEM_Package_20200401!$D$3:$D$315,Table!$D$3,COEM_Package_20200401!$W$3:$W$315,{"Ongoing","N/A",""},COEM_Package_20200401!$C$3:$C$315,Report_For_Each_Project!C230))</f>
        <v>4544</v>
      </c>
      <c r="G237" s="11">
        <f>E237/Table!$D$4</f>
        <v>10.097777777777777</v>
      </c>
      <c r="H237" s="11">
        <f>1/8*(SUMIFS(COEM_Package_20200401!$V$3:$V$315,COEM_Package_20200401!$D$3:$D$315,Table!$D$3,COEM_Package_20200401!$C$3:$C$315,Report_For_Each_Project!C230)-SUM(SUMIFS(COEM_Package_20200401!$V$3:$V$315,COEM_Package_20200401!$D$3:$D$315,Table!$D$3,COEM_Package_20200401!$W$3:$W$315,{"Ongoing","N/A",""},COEM_Package_20200401!$C$3:$C$315,Report_For_Each_Project!C230)))</f>
        <v>5.0750000000000002</v>
      </c>
      <c r="I237" s="116">
        <f>IF(E237=0,"N/A",F237/E237)</f>
        <v>1</v>
      </c>
    </row>
    <row r="238" spans="1:9" x14ac:dyDescent="0.25">
      <c r="C238" s="10">
        <v>2</v>
      </c>
      <c r="D238" s="11" t="s">
        <v>2</v>
      </c>
      <c r="E238" s="11">
        <f>SUMIFS(COEM_Package_20200401!$S$3:$S$315,COEM_Package_20200401!$D$3:$D$315,Table!$C$3,COEM_Package_20200401!$C$3:$C$315,Report_For_Each_Project!C230)</f>
        <v>0</v>
      </c>
      <c r="F238" s="11">
        <f>SUMIFS(COEM_Package_20200401!$T$3:$T$315,COEM_Package_20200401!$D$3:$D$315,Table!$C$3,COEM_Package_20200401!$C$3:$C$315,Report_For_Each_Project!C230)-SUM(SUMIFS(COEM_Package_20200401!$T$3:$T$315,COEM_Package_20200401!$D$3:$D$315,Table!$C$3,COEM_Package_20200401!$W$3:$W$315,{"Ongoing","N/A",""},COEM_Package_20200401!$C$3:$C$315,Report_For_Each_Project!C230))</f>
        <v>0</v>
      </c>
      <c r="G238" s="11">
        <f>E238/Table!$C$4</f>
        <v>0</v>
      </c>
      <c r="H238" s="11">
        <f>1/8*(SUMIFS(COEM_Package_20200401!$V$3:$V$315,COEM_Package_20200401!$D$3:$D$315,Table!$C$3,COEM_Package_20200401!$C$3:$C$315,Report_For_Each_Project!C230)-SUM(SUMIFS(COEM_Package_20200401!$V$3:$V$315,COEM_Package_20200401!$D$3:$D$315,Table!$C$3,COEM_Package_20200401!$W$3:$W$315,{"Ongoing","N/A",""},COEM_Package_20200401!$C$3:$C$315,Report_For_Each_Project!C230)))</f>
        <v>0</v>
      </c>
      <c r="I238" s="116" t="str">
        <f>IF(E238=0,"N/A",F238/E238)</f>
        <v>N/A</v>
      </c>
    </row>
    <row r="240" spans="1:9" x14ac:dyDescent="0.25">
      <c r="C240" t="s">
        <v>459</v>
      </c>
      <c r="E240" t="s">
        <v>20</v>
      </c>
    </row>
    <row r="242" spans="1:9" x14ac:dyDescent="0.25">
      <c r="A242">
        <v>20</v>
      </c>
      <c r="B242" s="1" t="s">
        <v>62</v>
      </c>
      <c r="C242" s="1">
        <v>20200409</v>
      </c>
    </row>
    <row r="243" spans="1:9" x14ac:dyDescent="0.25">
      <c r="B243" s="1" t="s">
        <v>449</v>
      </c>
      <c r="C243" s="105">
        <f>SUM(G249:G250)</f>
        <v>0.47692307692307695</v>
      </c>
      <c r="D243" t="s">
        <v>450</v>
      </c>
    </row>
    <row r="244" spans="1:9" x14ac:dyDescent="0.25">
      <c r="B244" s="2" t="s">
        <v>457</v>
      </c>
      <c r="C244" s="200">
        <f>SUM(INT((WEEKDAY(F244-{2,3,4,5,6}) +H244-F244)/7))</f>
        <v>2</v>
      </c>
      <c r="D244" s="3" t="s">
        <v>450</v>
      </c>
      <c r="E244" s="3" t="s">
        <v>741</v>
      </c>
      <c r="F244" s="201">
        <v>43929</v>
      </c>
      <c r="G244" s="201" t="s">
        <v>872</v>
      </c>
      <c r="H244" s="201">
        <v>43930</v>
      </c>
    </row>
    <row r="245" spans="1:9" x14ac:dyDescent="0.25">
      <c r="B245" s="2" t="s">
        <v>458</v>
      </c>
      <c r="C245" s="200">
        <f>SUM(INT((WEEKDAY(F245-{2,3,4,5,6}) +H245-F245)/7))</f>
        <v>2</v>
      </c>
      <c r="D245" s="3" t="s">
        <v>450</v>
      </c>
      <c r="E245" s="3" t="s">
        <v>741</v>
      </c>
      <c r="F245" s="201">
        <v>43929</v>
      </c>
      <c r="G245" s="201" t="s">
        <v>872</v>
      </c>
      <c r="H245" s="201">
        <v>43930</v>
      </c>
    </row>
    <row r="246" spans="1:9" x14ac:dyDescent="0.25">
      <c r="B246" s="1" t="s">
        <v>17</v>
      </c>
      <c r="C246" t="str">
        <f>IF(SUM(H249:H250)&gt;SUM(G249:G250),"Delayed",IF(SUM(H249:H250)&lt;SUM(G249:G250),"InAdvanced","Ontime"))</f>
        <v>Delayed</v>
      </c>
    </row>
    <row r="248" spans="1:9" ht="30" x14ac:dyDescent="0.25">
      <c r="C248" s="210" t="s">
        <v>25</v>
      </c>
      <c r="D248" s="210" t="s">
        <v>26</v>
      </c>
      <c r="E248" s="13" t="s">
        <v>451</v>
      </c>
      <c r="F248" s="13" t="s">
        <v>452</v>
      </c>
      <c r="G248" s="13" t="s">
        <v>1065</v>
      </c>
      <c r="H248" s="13" t="s">
        <v>454</v>
      </c>
      <c r="I248" s="13" t="s">
        <v>29</v>
      </c>
    </row>
    <row r="249" spans="1:9" x14ac:dyDescent="0.25">
      <c r="C249" s="10">
        <v>1</v>
      </c>
      <c r="D249" s="11" t="s">
        <v>3</v>
      </c>
      <c r="E249" s="11">
        <f>SUMIFS(COEM_Package_20200401!$S$3:$S$315,COEM_Package_20200401!$D$3:$D$315,Table!$D$3,COEM_Package_20200401!$C$3:$C$315,Report_For_Each_Project!C242)</f>
        <v>0</v>
      </c>
      <c r="F249" s="11">
        <f>SUMIFS(COEM_Package_20200401!$T$3:$T$315,COEM_Package_20200401!$D$3:$D$315,Table!$D$3,COEM_Package_20200401!$C$3:$C$315,Report_For_Each_Project!C242)-SUM(SUMIFS(COEM_Package_20200401!$T$3:$T$315,COEM_Package_20200401!$D$3:$D$315,Table!$D$3,COEM_Package_20200401!$W$3:$W$315,{"Ongoing","N/A",""},COEM_Package_20200401!$C$3:$C$315,Report_For_Each_Project!C242))</f>
        <v>0</v>
      </c>
      <c r="G249" s="11">
        <f>E249/Table!$D$4</f>
        <v>0</v>
      </c>
      <c r="H249" s="11">
        <f>1/8*(SUMIFS(COEM_Package_20200401!$V$3:$V$315,COEM_Package_20200401!$D$3:$D$315,Table!$D$3,COEM_Package_20200401!$C$3:$C$315,Report_For_Each_Project!C242)-SUM(SUMIFS(COEM_Package_20200401!$V$3:$V$315,COEM_Package_20200401!$D$3:$D$315,Table!$D$3,COEM_Package_20200401!$W$3:$W$315,{"Ongoing","N/A",""},COEM_Package_20200401!$C$3:$C$315,Report_For_Each_Project!C242)))</f>
        <v>0</v>
      </c>
      <c r="I249" s="116" t="str">
        <f>IF(E249=0,"N/A",F249/E249)</f>
        <v>N/A</v>
      </c>
    </row>
    <row r="250" spans="1:9" x14ac:dyDescent="0.25">
      <c r="C250" s="10">
        <v>2</v>
      </c>
      <c r="D250" s="11" t="s">
        <v>2</v>
      </c>
      <c r="E250" s="11">
        <f>SUMIFS(COEM_Package_20200401!$S$3:$S$315,COEM_Package_20200401!$D$3:$D$315,Table!$C$3,COEM_Package_20200401!$C$3:$C$315,Report_For_Each_Project!C242)</f>
        <v>62</v>
      </c>
      <c r="F250" s="11">
        <f>SUMIFS(COEM_Package_20200401!$T$3:$T$315,COEM_Package_20200401!$D$3:$D$315,Table!$C$3,COEM_Package_20200401!$C$3:$C$315,Report_For_Each_Project!C242)-SUM(SUMIFS(COEM_Package_20200401!$T$3:$T$315,COEM_Package_20200401!$D$3:$D$315,Table!$C$3,COEM_Package_20200401!$W$3:$W$315,{"Ongoing","N/A",""},COEM_Package_20200401!$C$3:$C$315,Report_For_Each_Project!C242))</f>
        <v>62</v>
      </c>
      <c r="G250" s="11">
        <f>E250/Table!$C$4</f>
        <v>0.47692307692307695</v>
      </c>
      <c r="H250" s="11">
        <f>1/8*(SUMIFS(COEM_Package_20200401!$V$3:$V$315,COEM_Package_20200401!$D$3:$D$315,Table!$C$3,COEM_Package_20200401!$C$3:$C$315,Report_For_Each_Project!C242)-SUM(SUMIFS(COEM_Package_20200401!$V$3:$V$315,COEM_Package_20200401!$D$3:$D$315,Table!$C$3,COEM_Package_20200401!$W$3:$W$315,{"Ongoing","N/A",""},COEM_Package_20200401!$C$3:$C$315,Report_For_Each_Project!C242)))</f>
        <v>0.5</v>
      </c>
      <c r="I250" s="116">
        <f>IF(E250=0,"N/A",F250/E250)</f>
        <v>1</v>
      </c>
    </row>
    <row r="252" spans="1:9" x14ac:dyDescent="0.25">
      <c r="C252" t="s">
        <v>459</v>
      </c>
      <c r="E252" t="s">
        <v>20</v>
      </c>
    </row>
    <row r="254" spans="1:9" x14ac:dyDescent="0.25">
      <c r="A254">
        <v>21</v>
      </c>
      <c r="B254" s="1" t="s">
        <v>62</v>
      </c>
      <c r="C254" s="1">
        <v>20200410</v>
      </c>
    </row>
    <row r="255" spans="1:9" x14ac:dyDescent="0.25">
      <c r="B255" s="1" t="s">
        <v>449</v>
      </c>
      <c r="C255">
        <f>SUM(G261:G262)</f>
        <v>23.1</v>
      </c>
      <c r="D255" t="s">
        <v>450</v>
      </c>
    </row>
    <row r="256" spans="1:9" x14ac:dyDescent="0.25">
      <c r="B256" s="2" t="s">
        <v>457</v>
      </c>
      <c r="C256" s="3">
        <f>SUM(INT((WEEKDAY(F256-{2,3,4,5,6}) +H256-F256)/7))</f>
        <v>6</v>
      </c>
      <c r="D256" s="3" t="s">
        <v>450</v>
      </c>
      <c r="E256" s="3" t="s">
        <v>741</v>
      </c>
      <c r="F256" s="201">
        <v>43934</v>
      </c>
      <c r="G256" s="201" t="s">
        <v>872</v>
      </c>
      <c r="H256" s="201">
        <v>43941</v>
      </c>
    </row>
    <row r="257" spans="1:9" x14ac:dyDescent="0.25">
      <c r="B257" s="2" t="s">
        <v>458</v>
      </c>
      <c r="C257" s="3">
        <f>SUM(INT((WEEKDAY(F257-{2,3,4,5,6}) +H257-F257)/7))</f>
        <v>2</v>
      </c>
      <c r="D257" s="3" t="s">
        <v>450</v>
      </c>
      <c r="E257" s="3" t="s">
        <v>741</v>
      </c>
      <c r="F257" s="201">
        <v>43934</v>
      </c>
      <c r="G257" s="201" t="s">
        <v>872</v>
      </c>
      <c r="H257" s="201">
        <v>43935</v>
      </c>
    </row>
    <row r="258" spans="1:9" x14ac:dyDescent="0.25">
      <c r="B258" s="1" t="s">
        <v>17</v>
      </c>
      <c r="C258" t="str">
        <f>IF(SUM(H261:H262)&gt;SUM(G261:G262),"Delayed",IF(SUM(H261:H262)&lt;SUM(G261:G262),"InAdvanced","Ontime"))</f>
        <v>InAdvanced</v>
      </c>
    </row>
    <row r="260" spans="1:9" ht="30" x14ac:dyDescent="0.25">
      <c r="C260" s="212" t="s">
        <v>25</v>
      </c>
      <c r="D260" s="212" t="s">
        <v>26</v>
      </c>
      <c r="E260" s="13" t="s">
        <v>451</v>
      </c>
      <c r="F260" s="13" t="s">
        <v>452</v>
      </c>
      <c r="G260" s="13" t="s">
        <v>1065</v>
      </c>
      <c r="H260" s="13" t="s">
        <v>454</v>
      </c>
      <c r="I260" s="13" t="s">
        <v>29</v>
      </c>
    </row>
    <row r="261" spans="1:9" x14ac:dyDescent="0.25">
      <c r="C261" s="213">
        <v>1</v>
      </c>
      <c r="D261" s="214" t="s">
        <v>3</v>
      </c>
      <c r="E261" s="214">
        <f>SUMIFS(COEM_Package_20200401!$S$3:$S$315,COEM_Package_20200401!$D$3:$D$315,Table!$D$3,COEM_Package_20200401!$C$3:$C$315,Report_For_Each_Project!C254)</f>
        <v>10395</v>
      </c>
      <c r="F261" s="214">
        <f>SUMIFS(COEM_Package_20200401!$T$3:$T$315,COEM_Package_20200401!$D$3:$D$315,Table!$D$3,COEM_Package_20200401!$C$3:$C$315,Report_For_Each_Project!C254)-SUM(SUMIFS(COEM_Package_20200401!$T$3:$T$315,COEM_Package_20200401!$D$3:$D$315,Table!$D$3,COEM_Package_20200401!$W$3:$W$315,{"Ongoing","N/A",""},COEM_Package_20200401!$C$3:$C$315,Report_For_Each_Project!C254))</f>
        <v>9566</v>
      </c>
      <c r="G261" s="214">
        <f>E261/Table!$D$4</f>
        <v>23.1</v>
      </c>
      <c r="H261" s="214">
        <f>1/8*(SUMIFS(COEM_Package_20200401!$V$3:$V$315,COEM_Package_20200401!$D$3:$D$315,Table!$D$3,COEM_Package_20200401!$C$3:$C$315,Report_For_Each_Project!C254)-SUM(SUMIFS(COEM_Package_20200401!$V$3:$V$315,COEM_Package_20200401!$D$3:$D$315,Table!$D$3,COEM_Package_20200401!$W$3:$W$315,{"Ongoing","N/A",""},COEM_Package_20200401!$C$3:$C$315,Report_For_Each_Project!C254)))</f>
        <v>13.950000000000001</v>
      </c>
      <c r="I261" s="116">
        <f>IF(E261=0,"N/A",F261/E261)</f>
        <v>0.92025012025012021</v>
      </c>
    </row>
    <row r="262" spans="1:9" x14ac:dyDescent="0.25">
      <c r="C262" s="213">
        <v>2</v>
      </c>
      <c r="D262" s="214" t="s">
        <v>2</v>
      </c>
      <c r="E262" s="214">
        <f>SUMIFS(COEM_Package_20200401!$S$3:$S$315,COEM_Package_20200401!$D$3:$D$315,Table!$C$3,COEM_Package_20200401!$C$3:$C$315,Report_For_Each_Project!C254)</f>
        <v>0</v>
      </c>
      <c r="F262" s="214">
        <f>SUMIFS(COEM_Package_20200401!$T$3:$T$315,COEM_Package_20200401!$D$3:$D$315,Table!$C$3,COEM_Package_20200401!$C$3:$C$315,Report_For_Each_Project!C254)-SUM(SUMIFS(COEM_Package_20200401!$T$3:$T$315,COEM_Package_20200401!$D$3:$D$315,Table!$C$3,COEM_Package_20200401!$W$3:$W$315,{"Ongoing","N/A",""},COEM_Package_20200401!$C$3:$C$315,Report_For_Each_Project!C254))</f>
        <v>0</v>
      </c>
      <c r="G262" s="214">
        <f>E262/Table!$C$4</f>
        <v>0</v>
      </c>
      <c r="H262" s="214">
        <f>1/8*(SUMIFS(COEM_Package_20200401!$V$3:$V$315,COEM_Package_20200401!$D$3:$D$315,Table!$C$3,COEM_Package_20200401!$C$3:$C$315,Report_For_Each_Project!C254)-SUM(SUMIFS(COEM_Package_20200401!$V$3:$V$315,COEM_Package_20200401!$D$3:$D$315,Table!$C$3,COEM_Package_20200401!$W$3:$W$315,{"Ongoing","N/A",""},COEM_Package_20200401!$C$3:$C$315,Report_For_Each_Project!C254)))</f>
        <v>0</v>
      </c>
      <c r="I262" s="116" t="str">
        <f>IF(E262=0,"N/A",F262/E262)</f>
        <v>N/A</v>
      </c>
    </row>
    <row r="264" spans="1:9" x14ac:dyDescent="0.25">
      <c r="C264" t="s">
        <v>459</v>
      </c>
      <c r="E264" t="s">
        <v>20</v>
      </c>
    </row>
    <row r="266" spans="1:9" x14ac:dyDescent="0.25">
      <c r="A266">
        <v>22</v>
      </c>
      <c r="B266" s="1" t="s">
        <v>62</v>
      </c>
      <c r="C266" s="1">
        <v>20200413</v>
      </c>
    </row>
    <row r="267" spans="1:9" x14ac:dyDescent="0.25">
      <c r="B267" s="1" t="s">
        <v>449</v>
      </c>
      <c r="C267">
        <f>SUM(G273:G274)</f>
        <v>15.404444444444444</v>
      </c>
      <c r="D267" t="s">
        <v>450</v>
      </c>
    </row>
    <row r="268" spans="1:9" x14ac:dyDescent="0.25">
      <c r="B268" s="2" t="s">
        <v>457</v>
      </c>
      <c r="C268" s="3">
        <f>SUM(INT((WEEKDAY(F268-{2,3,4,5,6}) +H268-F268)/7))</f>
        <v>13</v>
      </c>
      <c r="D268" s="3" t="s">
        <v>450</v>
      </c>
      <c r="E268" s="3" t="s">
        <v>741</v>
      </c>
      <c r="F268" s="201">
        <v>43934</v>
      </c>
      <c r="G268" s="201" t="s">
        <v>872</v>
      </c>
      <c r="H268" s="201">
        <v>43950</v>
      </c>
    </row>
    <row r="269" spans="1:9" x14ac:dyDescent="0.25">
      <c r="B269" s="2" t="s">
        <v>458</v>
      </c>
      <c r="C269" s="3">
        <f>SUM(INT((WEEKDAY(F269-{2,3,4,5,6}) +H269-F269)/7))</f>
        <v>2</v>
      </c>
      <c r="D269" s="3" t="s">
        <v>450</v>
      </c>
      <c r="E269" s="3" t="s">
        <v>741</v>
      </c>
      <c r="F269" s="201">
        <v>43934</v>
      </c>
      <c r="G269" s="201" t="s">
        <v>872</v>
      </c>
      <c r="H269" s="201">
        <v>43935</v>
      </c>
    </row>
    <row r="270" spans="1:9" x14ac:dyDescent="0.25">
      <c r="B270" s="1" t="s">
        <v>17</v>
      </c>
      <c r="C270" t="str">
        <f>IF(SUM(H273:H274)&gt;SUM(G273:G274),"Delayed",IF(SUM(H273:H274)&lt;SUM(G273:G274),"InAdvanced","Ontime"))</f>
        <v>InAdvanced</v>
      </c>
    </row>
    <row r="272" spans="1:9" ht="30" x14ac:dyDescent="0.25">
      <c r="C272" s="212" t="s">
        <v>25</v>
      </c>
      <c r="D272" s="212" t="s">
        <v>26</v>
      </c>
      <c r="E272" s="13" t="s">
        <v>451</v>
      </c>
      <c r="F272" s="13" t="s">
        <v>452</v>
      </c>
      <c r="G272" s="13" t="s">
        <v>1065</v>
      </c>
      <c r="H272" s="13" t="s">
        <v>454</v>
      </c>
      <c r="I272" s="13" t="s">
        <v>29</v>
      </c>
    </row>
    <row r="273" spans="3:9" x14ac:dyDescent="0.25">
      <c r="C273" s="213">
        <v>1</v>
      </c>
      <c r="D273" s="214" t="s">
        <v>3</v>
      </c>
      <c r="E273" s="214">
        <f>SUMIFS(COEM_Package_20200401!$S$3:$S$315,COEM_Package_20200401!$D$3:$D$315,Table!$D$3,COEM_Package_20200401!$C$3:$C$315,Report_For_Each_Project!C266)</f>
        <v>6932</v>
      </c>
      <c r="F273" s="214">
        <f>SUMIFS(COEM_Package_20200401!$T$3:$T$315,COEM_Package_20200401!$D$3:$D$315,Table!$D$3,COEM_Package_20200401!$C$3:$C$315,Report_For_Each_Project!C266)-SUM(SUMIFS(COEM_Package_20200401!$T$3:$T$315,COEM_Package_20200401!$D$3:$D$315,Table!$D$3,COEM_Package_20200401!$W$3:$W$315,{"Ongoing","N/A",""},COEM_Package_20200401!$C$3:$C$315,Report_For_Each_Project!C266))</f>
        <v>2503</v>
      </c>
      <c r="G273" s="214">
        <f>E273/Table!$D$4</f>
        <v>15.404444444444444</v>
      </c>
      <c r="H273" s="214">
        <f>1/8*(SUMIFS(COEM_Package_20200401!$V$3:$V$315,COEM_Package_20200401!$D$3:$D$315,Table!$D$3,COEM_Package_20200401!$C$3:$C$315,Report_For_Each_Project!C266)-SUM(SUMIFS(COEM_Package_20200401!$V$3:$V$315,COEM_Package_20200401!$D$3:$D$315,Table!$D$3,COEM_Package_20200401!$W$3:$W$315,{"Ongoing","N/A",""},COEM_Package_20200401!$C$3:$C$315,Report_For_Each_Project!C266)))</f>
        <v>2.5</v>
      </c>
      <c r="I273" s="116">
        <f>IF(E273=0,"N/A",F273/E273)</f>
        <v>0.36107905366416621</v>
      </c>
    </row>
    <row r="274" spans="3:9" x14ac:dyDescent="0.25">
      <c r="C274" s="213">
        <v>2</v>
      </c>
      <c r="D274" s="214" t="s">
        <v>2</v>
      </c>
      <c r="E274" s="214">
        <f>SUMIFS(COEM_Package_20200401!$S$3:$S$315,COEM_Package_20200401!$D$3:$D$315,Table!$C$3,COEM_Package_20200401!$C$3:$C$315,Report_For_Each_Project!C266)</f>
        <v>0</v>
      </c>
      <c r="F274" s="214">
        <f>SUMIFS(COEM_Package_20200401!$T$3:$T$315,COEM_Package_20200401!$D$3:$D$315,Table!$C$3,COEM_Package_20200401!$C$3:$C$315,Report_For_Each_Project!C266)-SUM(SUMIFS(COEM_Package_20200401!$T$3:$T$315,COEM_Package_20200401!$D$3:$D$315,Table!$C$3,COEM_Package_20200401!$W$3:$W$315,{"Ongoing","N/A",""},COEM_Package_20200401!$C$3:$C$315,Report_For_Each_Project!C266))</f>
        <v>0</v>
      </c>
      <c r="G274" s="214">
        <f>E274/Table!$C$4</f>
        <v>0</v>
      </c>
      <c r="H274" s="214">
        <f>1/8*(SUMIFS(COEM_Package_20200401!$V$3:$V$315,COEM_Package_20200401!$D$3:$D$315,Table!$C$3,COEM_Package_20200401!$C$3:$C$315,Report_For_Each_Project!C266)-SUM(SUMIFS(COEM_Package_20200401!$V$3:$V$315,COEM_Package_20200401!$D$3:$D$315,Table!$C$3,COEM_Package_20200401!$W$3:$W$315,{"Ongoing","N/A",""},COEM_Package_20200401!$C$3:$C$315,Report_For_Each_Project!C266)))</f>
        <v>0</v>
      </c>
      <c r="I274" s="116" t="str">
        <f>IF(E274=0,"N/A",F274/E274)</f>
        <v>N/A</v>
      </c>
    </row>
    <row r="276" spans="3:9" x14ac:dyDescent="0.25">
      <c r="C276" t="s">
        <v>459</v>
      </c>
      <c r="E276" t="s">
        <v>20</v>
      </c>
    </row>
  </sheetData>
  <customSheetViews>
    <customSheetView guid="{7E0EA425-A420-4443-B9E0-CDF0AA9E5D09}" topLeftCell="A243">
      <selection activeCell="H269" sqref="H269"/>
      <pageMargins left="0.7" right="0.7" top="0.75" bottom="0.75" header="0.3" footer="0.3"/>
      <pageSetup orientation="portrait" horizontalDpi="300" verticalDpi="0" r:id="rId1"/>
    </customSheetView>
    <customSheetView guid="{4E06BDBF-2CED-473B-850B-2A6C7311FF41}" topLeftCell="A43">
      <selection activeCell="I23" sqref="I23"/>
      <pageMargins left="0.7" right="0.7" top="0.75" bottom="0.75" header="0.3" footer="0.3"/>
    </customSheetView>
    <customSheetView guid="{72A6EB0A-84D5-4B8A-AC51-54CCD061630B}" topLeftCell="A37">
      <selection activeCell="I23" sqref="I23"/>
      <pageMargins left="0.7" right="0.7" top="0.75" bottom="0.75" header="0.3" footer="0.3"/>
    </customSheetView>
    <customSheetView guid="{60D2C030-4E31-4E07-8E1C-44D2EE84B177}">
      <selection activeCell="I22" sqref="I22"/>
      <pageMargins left="0.7" right="0.7" top="0.75" bottom="0.75" header="0.3" footer="0.3"/>
    </customSheetView>
    <customSheetView guid="{D1F7047B-CC2E-48BC-8022-C8013AE2B1E1}">
      <selection activeCell="I23" sqref="I23"/>
      <pageMargins left="0.7" right="0.7" top="0.75" bottom="0.75" header="0.3" footer="0.3"/>
    </customSheetView>
    <customSheetView guid="{250915DF-0B97-45D7-B29D-7EED4C89C1C1}">
      <selection activeCell="C134" sqref="C134"/>
      <pageMargins left="0.7" right="0.7" top="0.75" bottom="0.75" header="0.3" footer="0.3"/>
    </customSheetView>
  </customSheetViews>
  <conditionalFormatting sqref="H9">
    <cfRule type="cellIs" dxfId="125" priority="103" operator="greaterThan">
      <formula>G9</formula>
    </cfRule>
  </conditionalFormatting>
  <conditionalFormatting sqref="H82">
    <cfRule type="cellIs" dxfId="124" priority="67" operator="greaterThan">
      <formula>G82</formula>
    </cfRule>
  </conditionalFormatting>
  <conditionalFormatting sqref="H93">
    <cfRule type="cellIs" dxfId="123" priority="66" operator="greaterThan">
      <formula>G93</formula>
    </cfRule>
  </conditionalFormatting>
  <conditionalFormatting sqref="H10">
    <cfRule type="cellIs" dxfId="122" priority="95" operator="greaterThan">
      <formula>G10</formula>
    </cfRule>
  </conditionalFormatting>
  <conditionalFormatting sqref="H33">
    <cfRule type="cellIs" dxfId="121" priority="76" operator="greaterThan">
      <formula>G33</formula>
    </cfRule>
  </conditionalFormatting>
  <conditionalFormatting sqref="H34">
    <cfRule type="cellIs" dxfId="120" priority="75" operator="greaterThan">
      <formula>G34</formula>
    </cfRule>
  </conditionalFormatting>
  <conditionalFormatting sqref="H21">
    <cfRule type="cellIs" dxfId="119" priority="78" operator="greaterThan">
      <formula>G21</formula>
    </cfRule>
  </conditionalFormatting>
  <conditionalFormatting sqref="H22">
    <cfRule type="cellIs" dxfId="118" priority="77" operator="greaterThan">
      <formula>G22</formula>
    </cfRule>
  </conditionalFormatting>
  <conditionalFormatting sqref="H118">
    <cfRule type="cellIs" dxfId="117" priority="61" operator="greaterThan">
      <formula>G118</formula>
    </cfRule>
  </conditionalFormatting>
  <conditionalFormatting sqref="H45">
    <cfRule type="cellIs" dxfId="116" priority="74" operator="greaterThan">
      <formula>G45</formula>
    </cfRule>
  </conditionalFormatting>
  <conditionalFormatting sqref="H46">
    <cfRule type="cellIs" dxfId="115" priority="73" operator="greaterThan">
      <formula>G46</formula>
    </cfRule>
  </conditionalFormatting>
  <conditionalFormatting sqref="H57">
    <cfRule type="cellIs" dxfId="114" priority="72" operator="greaterThan">
      <formula>G57</formula>
    </cfRule>
  </conditionalFormatting>
  <conditionalFormatting sqref="H58">
    <cfRule type="cellIs" dxfId="113" priority="71" operator="greaterThan">
      <formula>G58</formula>
    </cfRule>
  </conditionalFormatting>
  <conditionalFormatting sqref="H69">
    <cfRule type="cellIs" dxfId="112" priority="70" operator="greaterThan">
      <formula>G69</formula>
    </cfRule>
  </conditionalFormatting>
  <conditionalFormatting sqref="H70">
    <cfRule type="cellIs" dxfId="111" priority="69" operator="greaterThan">
      <formula>G70</formula>
    </cfRule>
  </conditionalFormatting>
  <conditionalFormatting sqref="H81">
    <cfRule type="cellIs" dxfId="110" priority="68" operator="greaterThan">
      <formula>G81</formula>
    </cfRule>
  </conditionalFormatting>
  <conditionalFormatting sqref="H94">
    <cfRule type="cellIs" dxfId="109" priority="65" operator="greaterThan">
      <formula>G94</formula>
    </cfRule>
  </conditionalFormatting>
  <conditionalFormatting sqref="H105">
    <cfRule type="cellIs" dxfId="108" priority="64" operator="greaterThan">
      <formula>G105</formula>
    </cfRule>
  </conditionalFormatting>
  <conditionalFormatting sqref="H106">
    <cfRule type="cellIs" dxfId="107" priority="63" operator="greaterThan">
      <formula>G106</formula>
    </cfRule>
  </conditionalFormatting>
  <conditionalFormatting sqref="H117">
    <cfRule type="cellIs" dxfId="106" priority="62" operator="greaterThan">
      <formula>G117</formula>
    </cfRule>
  </conditionalFormatting>
  <conditionalFormatting sqref="I9">
    <cfRule type="cellIs" dxfId="105" priority="59" operator="equal">
      <formula>1</formula>
    </cfRule>
    <cfRule type="cellIs" dxfId="104" priority="60" operator="lessThan">
      <formula>1</formula>
    </cfRule>
  </conditionalFormatting>
  <conditionalFormatting sqref="I10">
    <cfRule type="cellIs" dxfId="103" priority="57" operator="equal">
      <formula>1</formula>
    </cfRule>
    <cfRule type="cellIs" dxfId="102" priority="58" operator="lessThan">
      <formula>1</formula>
    </cfRule>
  </conditionalFormatting>
  <conditionalFormatting sqref="I21">
    <cfRule type="cellIs" dxfId="101" priority="55" operator="equal">
      <formula>1</formula>
    </cfRule>
    <cfRule type="cellIs" dxfId="100" priority="56" operator="lessThan">
      <formula>1</formula>
    </cfRule>
  </conditionalFormatting>
  <conditionalFormatting sqref="I22">
    <cfRule type="cellIs" dxfId="99" priority="53" operator="equal">
      <formula>1</formula>
    </cfRule>
    <cfRule type="cellIs" dxfId="98" priority="54" operator="lessThan">
      <formula>1</formula>
    </cfRule>
  </conditionalFormatting>
  <conditionalFormatting sqref="I45">
    <cfRule type="cellIs" dxfId="97" priority="51" operator="equal">
      <formula>1</formula>
    </cfRule>
    <cfRule type="cellIs" dxfId="96" priority="52" operator="lessThan">
      <formula>1</formula>
    </cfRule>
  </conditionalFormatting>
  <conditionalFormatting sqref="I46">
    <cfRule type="cellIs" dxfId="95" priority="49" operator="equal">
      <formula>1</formula>
    </cfRule>
    <cfRule type="cellIs" dxfId="94" priority="50" operator="lessThan">
      <formula>1</formula>
    </cfRule>
  </conditionalFormatting>
  <conditionalFormatting sqref="I69">
    <cfRule type="cellIs" dxfId="93" priority="47" operator="equal">
      <formula>1</formula>
    </cfRule>
    <cfRule type="cellIs" dxfId="92" priority="48" operator="lessThan">
      <formula>1</formula>
    </cfRule>
  </conditionalFormatting>
  <conditionalFormatting sqref="I70">
    <cfRule type="cellIs" dxfId="91" priority="45" operator="equal">
      <formula>1</formula>
    </cfRule>
    <cfRule type="cellIs" dxfId="90" priority="46" operator="lessThan">
      <formula>1</formula>
    </cfRule>
  </conditionalFormatting>
  <conditionalFormatting sqref="I81">
    <cfRule type="cellIs" dxfId="89" priority="43" operator="equal">
      <formula>1</formula>
    </cfRule>
    <cfRule type="cellIs" dxfId="88" priority="44" operator="lessThan">
      <formula>1</formula>
    </cfRule>
  </conditionalFormatting>
  <conditionalFormatting sqref="I82">
    <cfRule type="cellIs" dxfId="87" priority="41" operator="equal">
      <formula>1</formula>
    </cfRule>
    <cfRule type="cellIs" dxfId="86" priority="42" operator="lessThan">
      <formula>1</formula>
    </cfRule>
  </conditionalFormatting>
  <conditionalFormatting sqref="I93">
    <cfRule type="cellIs" dxfId="85" priority="39" operator="equal">
      <formula>1</formula>
    </cfRule>
    <cfRule type="cellIs" dxfId="84" priority="40" operator="lessThan">
      <formula>1</formula>
    </cfRule>
  </conditionalFormatting>
  <conditionalFormatting sqref="I94">
    <cfRule type="cellIs" dxfId="83" priority="37" operator="equal">
      <formula>1</formula>
    </cfRule>
    <cfRule type="cellIs" dxfId="82" priority="38" operator="lessThan">
      <formula>1</formula>
    </cfRule>
  </conditionalFormatting>
  <conditionalFormatting sqref="I105">
    <cfRule type="cellIs" dxfId="81" priority="35" operator="equal">
      <formula>1</formula>
    </cfRule>
    <cfRule type="cellIs" dxfId="80" priority="36" operator="lessThan">
      <formula>1</formula>
    </cfRule>
  </conditionalFormatting>
  <conditionalFormatting sqref="I106">
    <cfRule type="cellIs" dxfId="79" priority="33" operator="equal">
      <formula>1</formula>
    </cfRule>
    <cfRule type="cellIs" dxfId="78" priority="34" operator="lessThan">
      <formula>1</formula>
    </cfRule>
  </conditionalFormatting>
  <conditionalFormatting sqref="I117">
    <cfRule type="cellIs" dxfId="77" priority="31" operator="equal">
      <formula>1</formula>
    </cfRule>
    <cfRule type="cellIs" dxfId="76" priority="32" operator="lessThan">
      <formula>1</formula>
    </cfRule>
  </conditionalFormatting>
  <conditionalFormatting sqref="I118">
    <cfRule type="cellIs" dxfId="75" priority="29" operator="equal">
      <formula>1</formula>
    </cfRule>
    <cfRule type="cellIs" dxfId="74" priority="30" operator="lessThan">
      <formula>1</formula>
    </cfRule>
  </conditionalFormatting>
  <conditionalFormatting sqref="I33:I34">
    <cfRule type="cellIs" dxfId="73" priority="27" operator="equal">
      <formula>1</formula>
    </cfRule>
    <cfRule type="cellIs" dxfId="72" priority="28" operator="lessThan">
      <formula>1</formula>
    </cfRule>
  </conditionalFormatting>
  <conditionalFormatting sqref="I57:I58">
    <cfRule type="cellIs" dxfId="71" priority="25" operator="equal">
      <formula>1</formula>
    </cfRule>
    <cfRule type="cellIs" dxfId="70" priority="26" operator="lessThan">
      <formula>1</formula>
    </cfRule>
  </conditionalFormatting>
  <conditionalFormatting sqref="I129">
    <cfRule type="cellIs" dxfId="69" priority="23" operator="equal">
      <formula>1</formula>
    </cfRule>
    <cfRule type="cellIs" dxfId="68" priority="24" operator="lessThan">
      <formula>1</formula>
    </cfRule>
  </conditionalFormatting>
  <conditionalFormatting sqref="I130">
    <cfRule type="cellIs" dxfId="67" priority="21" operator="equal">
      <formula>1</formula>
    </cfRule>
    <cfRule type="cellIs" dxfId="66" priority="22" operator="lessThan">
      <formula>1</formula>
    </cfRule>
  </conditionalFormatting>
  <conditionalFormatting sqref="H130">
    <cfRule type="cellIs" dxfId="65" priority="19" operator="greaterThan">
      <formula>G130</formula>
    </cfRule>
  </conditionalFormatting>
  <conditionalFormatting sqref="H129">
    <cfRule type="cellIs" dxfId="64" priority="20" operator="greaterThan">
      <formula>G129</formula>
    </cfRule>
  </conditionalFormatting>
  <conditionalFormatting sqref="I141">
    <cfRule type="cellIs" dxfId="63" priority="17" operator="equal">
      <formula>1</formula>
    </cfRule>
    <cfRule type="cellIs" dxfId="62" priority="18" operator="lessThan">
      <formula>1</formula>
    </cfRule>
  </conditionalFormatting>
  <conditionalFormatting sqref="I142">
    <cfRule type="cellIs" dxfId="61" priority="15" operator="equal">
      <formula>1</formula>
    </cfRule>
    <cfRule type="cellIs" dxfId="60" priority="16" operator="lessThan">
      <formula>1</formula>
    </cfRule>
  </conditionalFormatting>
  <conditionalFormatting sqref="I153">
    <cfRule type="cellIs" dxfId="59" priority="13" operator="equal">
      <formula>1</formula>
    </cfRule>
    <cfRule type="cellIs" dxfId="58" priority="14" operator="lessThan">
      <formula>1</formula>
    </cfRule>
  </conditionalFormatting>
  <conditionalFormatting sqref="I154">
    <cfRule type="cellIs" dxfId="57" priority="11" operator="equal">
      <formula>1</formula>
    </cfRule>
    <cfRule type="cellIs" dxfId="56" priority="12" operator="lessThan">
      <formula>1</formula>
    </cfRule>
  </conditionalFormatting>
  <conditionalFormatting sqref="I166">
    <cfRule type="cellIs" dxfId="55" priority="9" operator="equal">
      <formula>1</formula>
    </cfRule>
    <cfRule type="cellIs" dxfId="54" priority="10" operator="lessThan">
      <formula>1</formula>
    </cfRule>
  </conditionalFormatting>
  <conditionalFormatting sqref="I177">
    <cfRule type="cellIs" dxfId="53" priority="7" operator="equal">
      <formula>1</formula>
    </cfRule>
    <cfRule type="cellIs" dxfId="52" priority="8" operator="lessThan">
      <formula>1</formula>
    </cfRule>
  </conditionalFormatting>
  <conditionalFormatting sqref="I189">
    <cfRule type="cellIs" dxfId="51" priority="5" operator="equal">
      <formula>1</formula>
    </cfRule>
    <cfRule type="cellIs" dxfId="50" priority="6" operator="lessThan">
      <formula>1</formula>
    </cfRule>
  </conditionalFormatting>
  <conditionalFormatting sqref="I201">
    <cfRule type="cellIs" dxfId="49" priority="3" operator="equal">
      <formula>1</formula>
    </cfRule>
    <cfRule type="cellIs" dxfId="48" priority="4" operator="lessThan">
      <formula>1</formula>
    </cfRule>
  </conditionalFormatting>
  <conditionalFormatting sqref="I213">
    <cfRule type="cellIs" dxfId="47" priority="1" operator="equal">
      <formula>1</formula>
    </cfRule>
    <cfRule type="cellIs" dxfId="46" priority="2" operator="lessThan">
      <formula>1</formula>
    </cfRule>
  </conditionalFormatting>
  <pageMargins left="0.7" right="0.7" top="0.75" bottom="0.75" header="0.3" footer="0.3"/>
  <pageSetup orientation="portrait" horizontalDpi="300" verticalDpi="0"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topLeftCell="A12" workbookViewId="0">
      <selection activeCell="F37" sqref="F37"/>
    </sheetView>
  </sheetViews>
  <sheetFormatPr defaultRowHeight="15" x14ac:dyDescent="0.25"/>
  <cols>
    <col min="1" max="1" width="10" bestFit="1" customWidth="1"/>
    <col min="2" max="2" width="14" customWidth="1"/>
    <col min="3" max="3" width="2" bestFit="1" customWidth="1"/>
    <col min="4" max="4" width="18.7109375" bestFit="1" customWidth="1"/>
    <col min="5" max="5" width="16.7109375" bestFit="1" customWidth="1"/>
    <col min="6" max="6" width="26.140625" bestFit="1" customWidth="1"/>
    <col min="7" max="7" width="21.5703125" bestFit="1" customWidth="1"/>
    <col min="10" max="10" width="17.5703125" bestFit="1" customWidth="1"/>
    <col min="11" max="11" width="13" customWidth="1"/>
    <col min="12" max="12" width="18.42578125" bestFit="1" customWidth="1"/>
  </cols>
  <sheetData>
    <row r="1" spans="1:7" x14ac:dyDescent="0.25">
      <c r="A1" s="1" t="s">
        <v>42</v>
      </c>
      <c r="B1" s="112">
        <v>43921</v>
      </c>
      <c r="D1" s="112">
        <f ca="1">TODAY()</f>
        <v>43937</v>
      </c>
    </row>
    <row r="2" spans="1:7" x14ac:dyDescent="0.25">
      <c r="A2" s="1" t="s">
        <v>30</v>
      </c>
      <c r="B2" s="9">
        <f ca="1">SUM(INT((WEEKDAY(B1-{2,3,4,5,6}) +D1-B1)/7))</f>
        <v>13</v>
      </c>
    </row>
    <row r="3" spans="1:7" x14ac:dyDescent="0.25">
      <c r="A3" s="1" t="s">
        <v>318</v>
      </c>
      <c r="B3">
        <f ca="1">IF(TODAY()&lt;D1,SUM(INT((WEEKDAY(B1-{2,3,4,5,6})+TODAY()-B1)/7)),SUM(INT((WEEKDAY(B1-{2,3,4,5,6})+D1-B1)/7)))-1</f>
        <v>12</v>
      </c>
    </row>
    <row r="5" spans="1:7" x14ac:dyDescent="0.25">
      <c r="B5" s="1" t="s">
        <v>795</v>
      </c>
    </row>
    <row r="6" spans="1:7" ht="30" x14ac:dyDescent="0.25">
      <c r="C6" s="151" t="s">
        <v>25</v>
      </c>
      <c r="D6" s="151" t="s">
        <v>26</v>
      </c>
      <c r="E6" s="151" t="s">
        <v>27</v>
      </c>
      <c r="F6" s="151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COEM_Package_20200401!D261</f>
        <v>38768</v>
      </c>
      <c r="F7" s="11">
        <f>COEM_Package_20200401!E261</f>
        <v>33510</v>
      </c>
      <c r="G7" s="116">
        <f>F7/E7</f>
        <v>0.86437267849773014</v>
      </c>
    </row>
    <row r="8" spans="1:7" x14ac:dyDescent="0.25">
      <c r="C8" s="10">
        <v>2</v>
      </c>
      <c r="D8" s="11" t="s">
        <v>2</v>
      </c>
      <c r="E8" s="11">
        <f>COEM_Package_20200401!D250</f>
        <v>421</v>
      </c>
      <c r="F8" s="11">
        <f>COEM_Package_20200401!E250</f>
        <v>319</v>
      </c>
      <c r="G8" s="116">
        <f>F8/E8</f>
        <v>0.75771971496437052</v>
      </c>
    </row>
    <row r="10" spans="1:7" x14ac:dyDescent="0.25">
      <c r="B10" s="1" t="s">
        <v>798</v>
      </c>
    </row>
    <row r="11" spans="1:7" ht="30" x14ac:dyDescent="0.25">
      <c r="C11" s="151" t="s">
        <v>25</v>
      </c>
      <c r="D11" s="151" t="s">
        <v>31</v>
      </c>
      <c r="E11" s="13" t="s">
        <v>32</v>
      </c>
      <c r="F11" s="13" t="s">
        <v>33</v>
      </c>
    </row>
    <row r="12" spans="1:7" x14ac:dyDescent="0.25">
      <c r="C12" s="109">
        <v>1</v>
      </c>
      <c r="D12" s="109" t="s">
        <v>464</v>
      </c>
      <c r="E12" s="11">
        <f>COEM_Package_20200401!E255</f>
        <v>6682</v>
      </c>
      <c r="F12" s="11">
        <f>COEM_Package_20200401!E246</f>
        <v>199</v>
      </c>
    </row>
    <row r="13" spans="1:7" x14ac:dyDescent="0.25">
      <c r="C13" s="109">
        <v>2</v>
      </c>
      <c r="D13" s="109" t="s">
        <v>465</v>
      </c>
      <c r="E13" s="11">
        <f>COEM_Package_20200401!E256</f>
        <v>9903</v>
      </c>
      <c r="F13" s="11">
        <f>COEM_Package_20200401!E247</f>
        <v>0</v>
      </c>
    </row>
    <row r="14" spans="1:7" x14ac:dyDescent="0.25">
      <c r="C14" s="109">
        <v>3</v>
      </c>
      <c r="D14" s="109" t="s">
        <v>466</v>
      </c>
      <c r="E14" s="11">
        <f>COEM_Package_20200401!E257</f>
        <v>8905</v>
      </c>
      <c r="F14" s="11">
        <f>COEM_Package_20200401!E248</f>
        <v>120</v>
      </c>
    </row>
    <row r="15" spans="1:7" x14ac:dyDescent="0.25">
      <c r="C15" s="109">
        <v>4</v>
      </c>
      <c r="D15" s="109" t="s">
        <v>467</v>
      </c>
      <c r="E15" s="11">
        <f>COEM_Package_20200401!E258</f>
        <v>8020</v>
      </c>
      <c r="F15" s="11">
        <f>COEM_Package_20200401!E249</f>
        <v>0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ht="30" customHeight="1" x14ac:dyDescent="0.25">
      <c r="C19" s="151" t="s">
        <v>25</v>
      </c>
      <c r="D19" s="216" t="s">
        <v>37</v>
      </c>
      <c r="E19" s="217"/>
      <c r="F19" s="217"/>
      <c r="G19" s="218"/>
    </row>
    <row r="20" spans="2:7" x14ac:dyDescent="0.25">
      <c r="C20" s="109">
        <v>1</v>
      </c>
      <c r="D20" s="113" t="s">
        <v>924</v>
      </c>
      <c r="E20" s="114"/>
      <c r="F20" s="114"/>
      <c r="G20" s="115"/>
    </row>
    <row r="21" spans="2:7" x14ac:dyDescent="0.25">
      <c r="C21" s="109">
        <v>2</v>
      </c>
      <c r="D21" s="113" t="s">
        <v>1068</v>
      </c>
      <c r="E21" s="114"/>
      <c r="F21" s="114"/>
      <c r="G21" s="115"/>
    </row>
    <row r="22" spans="2:7" x14ac:dyDescent="0.25">
      <c r="C22" s="109">
        <v>3</v>
      </c>
      <c r="D22" s="113" t="s">
        <v>76</v>
      </c>
      <c r="E22" s="114"/>
      <c r="F22" s="114"/>
      <c r="G22" s="115"/>
    </row>
    <row r="23" spans="2:7" x14ac:dyDescent="0.25">
      <c r="C23" s="109">
        <v>4</v>
      </c>
      <c r="D23" s="113" t="s">
        <v>76</v>
      </c>
      <c r="E23" s="114"/>
      <c r="F23" s="114"/>
      <c r="G23" s="115"/>
    </row>
    <row r="25" spans="2:7" x14ac:dyDescent="0.25">
      <c r="B25" s="1" t="s">
        <v>796</v>
      </c>
    </row>
    <row r="26" spans="2:7" ht="30" customHeight="1" x14ac:dyDescent="0.25">
      <c r="C26" s="151" t="s">
        <v>25</v>
      </c>
      <c r="D26" s="151" t="s">
        <v>31</v>
      </c>
      <c r="E26" s="13" t="s">
        <v>455</v>
      </c>
      <c r="F26" s="13" t="s">
        <v>456</v>
      </c>
    </row>
    <row r="27" spans="2:7" x14ac:dyDescent="0.25">
      <c r="C27" s="109">
        <v>1</v>
      </c>
      <c r="D27" s="109" t="s">
        <v>464</v>
      </c>
      <c r="E27" s="68">
        <f>COUNTIFS(COEM_Package_20200401!AF3:AF241,Table!C37,COEM_Package_20200401!O3:O241,Table!C13)</f>
        <v>2</v>
      </c>
      <c r="F27" s="11">
        <f>COUNTIFS(COEM_Package_20200401!AF3:AF241,Table!C38,COEM_Package_20200401!O3:O241,Table!C13)</f>
        <v>0</v>
      </c>
    </row>
    <row r="28" spans="2:7" x14ac:dyDescent="0.25">
      <c r="C28" s="109">
        <v>2</v>
      </c>
      <c r="D28" s="109" t="s">
        <v>465</v>
      </c>
      <c r="E28" s="68">
        <f>COUNTIFS(COEM_Package_20200401!AF3:AF241,Table!C37,COEM_Package_20200401!O3:O241,Table!C14)</f>
        <v>5</v>
      </c>
      <c r="F28" s="11">
        <f>COUNTIFS(COEM_Package_20200401!AF3:AF241,Table!C38,COEM_Package_20200401!O3:O241,Table!C14)</f>
        <v>0</v>
      </c>
    </row>
    <row r="29" spans="2:7" x14ac:dyDescent="0.25">
      <c r="C29" s="109">
        <v>3</v>
      </c>
      <c r="D29" s="109" t="s">
        <v>466</v>
      </c>
      <c r="E29" s="11">
        <f>COUNTIFS(COEM_Package_20200401!AF3:AF241,Table!C37,COEM_Package_20200401!O3:O241,Table!C15)</f>
        <v>5</v>
      </c>
      <c r="F29" s="68">
        <f>COUNTIFS(COEM_Package_20200401!AF3:AF241,Table!C38,COEM_Package_20200401!O3:O241,Table!C15)</f>
        <v>0</v>
      </c>
    </row>
    <row r="30" spans="2:7" x14ac:dyDescent="0.25">
      <c r="C30" s="109">
        <v>4</v>
      </c>
      <c r="D30" s="109" t="s">
        <v>467</v>
      </c>
      <c r="E30" s="11">
        <f>COUNTIFS(COEM_Package_20200401!AF3:AF241,Table!C37,COEM_Package_20200401!O3:O241,Table!C16)</f>
        <v>9</v>
      </c>
      <c r="F30" s="11">
        <f>COUNTIFS(COEM_Package_20200401!AF3:AF241,Table!C38,COEM_Package_20200401!O3:O241,Table!C16)</f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797</v>
      </c>
    </row>
    <row r="34" spans="2:6" x14ac:dyDescent="0.25">
      <c r="C34" s="151" t="s">
        <v>25</v>
      </c>
      <c r="D34" s="151" t="s">
        <v>31</v>
      </c>
      <c r="E34" s="13" t="s">
        <v>40</v>
      </c>
      <c r="F34" s="13" t="s">
        <v>41</v>
      </c>
    </row>
    <row r="35" spans="2:6" x14ac:dyDescent="0.25">
      <c r="C35" s="109">
        <v>1</v>
      </c>
      <c r="D35" s="109" t="s">
        <v>464</v>
      </c>
      <c r="E35" s="68" t="s">
        <v>76</v>
      </c>
      <c r="F35" s="107" t="s">
        <v>76</v>
      </c>
    </row>
    <row r="36" spans="2:6" x14ac:dyDescent="0.25">
      <c r="C36" s="109">
        <v>2</v>
      </c>
      <c r="D36" s="109" t="s">
        <v>465</v>
      </c>
      <c r="E36" s="68" t="s">
        <v>923</v>
      </c>
      <c r="F36" s="107" t="s">
        <v>1284</v>
      </c>
    </row>
    <row r="37" spans="2:6" x14ac:dyDescent="0.25">
      <c r="C37" s="109">
        <v>3</v>
      </c>
      <c r="D37" s="109" t="s">
        <v>466</v>
      </c>
      <c r="E37" s="68" t="s">
        <v>76</v>
      </c>
      <c r="F37" s="107" t="s">
        <v>76</v>
      </c>
    </row>
    <row r="38" spans="2:6" x14ac:dyDescent="0.25">
      <c r="C38" s="109">
        <v>4</v>
      </c>
      <c r="D38" s="109" t="s">
        <v>467</v>
      </c>
      <c r="E38" s="68" t="s">
        <v>923</v>
      </c>
      <c r="F38" s="107" t="s">
        <v>876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 topLeftCell="A12">
      <selection activeCell="F37" sqref="F37"/>
      <pageMargins left="0.7" right="0.7" top="0.75" bottom="0.75" header="0.3" footer="0.3"/>
    </customSheetView>
    <customSheetView guid="{4E06BDBF-2CED-473B-850B-2A6C7311FF41}">
      <selection activeCell="B4" sqref="B4"/>
      <pageMargins left="0.7" right="0.7" top="0.75" bottom="0.75" header="0.3" footer="0.3"/>
    </customSheetView>
    <customSheetView guid="{72A6EB0A-84D5-4B8A-AC51-54CCD061630B}">
      <selection activeCell="E38" sqref="E38"/>
      <pageMargins left="0.7" right="0.7" top="0.75" bottom="0.75" header="0.3" footer="0.3"/>
    </customSheetView>
    <customSheetView guid="{60D2C030-4E31-4E07-8E1C-44D2EE84B177}">
      <selection activeCell="B4" sqref="B4"/>
      <pageMargins left="0.7" right="0.7" top="0.75" bottom="0.75" header="0.3" footer="0.3"/>
    </customSheetView>
    <customSheetView guid="{D1F7047B-CC2E-48BC-8022-C8013AE2B1E1}" topLeftCell="A16">
      <selection activeCell="E38" sqref="E38"/>
      <pageMargins left="0.7" right="0.7" top="0.75" bottom="0.75" header="0.3" footer="0.3"/>
    </customSheetView>
    <customSheetView guid="{250915DF-0B97-45D7-B29D-7EED4C89C1C1}" topLeftCell="A12">
      <selection activeCell="B5" sqref="B5:I38"/>
      <pageMargins left="0.7" right="0.7" top="0.75" bottom="0.75" header="0.3" footer="0.3"/>
    </customSheetView>
  </customSheetViews>
  <mergeCells count="1">
    <mergeCell ref="D19:G19"/>
  </mergeCells>
  <conditionalFormatting sqref="G7">
    <cfRule type="cellIs" dxfId="45" priority="3" operator="equal">
      <formula>1</formula>
    </cfRule>
    <cfRule type="cellIs" dxfId="44" priority="4" operator="lessThan">
      <formula>1</formula>
    </cfRule>
  </conditionalFormatting>
  <conditionalFormatting sqref="G8">
    <cfRule type="cellIs" dxfId="43" priority="1" operator="equal">
      <formula>1</formula>
    </cfRule>
    <cfRule type="cellIs" dxfId="42" priority="2" operator="lessThan">
      <formula>1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B2:E39"/>
  <sheetViews>
    <sheetView workbookViewId="0">
      <selection activeCell="E16" sqref="E16"/>
    </sheetView>
  </sheetViews>
  <sheetFormatPr defaultRowHeight="15" x14ac:dyDescent="0.25"/>
  <cols>
    <col min="2" max="2" width="11.7109375" bestFit="1" customWidth="1"/>
    <col min="3" max="3" width="18.7109375" bestFit="1" customWidth="1"/>
    <col min="4" max="4" width="11.140625" customWidth="1"/>
    <col min="5" max="5" width="33.85546875" customWidth="1"/>
  </cols>
  <sheetData>
    <row r="2" spans="2:5" x14ac:dyDescent="0.25">
      <c r="B2" s="14" t="s">
        <v>10</v>
      </c>
    </row>
    <row r="3" spans="2:5" x14ac:dyDescent="0.25">
      <c r="B3" s="2" t="s">
        <v>4</v>
      </c>
      <c r="C3" s="15" t="s">
        <v>2</v>
      </c>
      <c r="D3" s="15" t="s">
        <v>3</v>
      </c>
    </row>
    <row r="4" spans="2:5" x14ac:dyDescent="0.25">
      <c r="B4" s="15">
        <v>1</v>
      </c>
      <c r="C4" s="16">
        <v>130</v>
      </c>
      <c r="D4" s="16">
        <v>450</v>
      </c>
    </row>
    <row r="6" spans="2:5" x14ac:dyDescent="0.25">
      <c r="B6" s="1" t="s">
        <v>50</v>
      </c>
    </row>
    <row r="7" spans="2:5" x14ac:dyDescent="0.25">
      <c r="B7" s="2" t="s">
        <v>0</v>
      </c>
      <c r="C7" s="2" t="s">
        <v>1</v>
      </c>
      <c r="D7" s="2" t="s">
        <v>55</v>
      </c>
      <c r="E7" s="4" t="s">
        <v>52</v>
      </c>
    </row>
    <row r="8" spans="2:5" ht="60" x14ac:dyDescent="0.25">
      <c r="B8" s="17">
        <v>1</v>
      </c>
      <c r="C8" s="17" t="s">
        <v>2</v>
      </c>
      <c r="D8" s="17" t="s">
        <v>53</v>
      </c>
      <c r="E8" s="18" t="s">
        <v>8</v>
      </c>
    </row>
    <row r="9" spans="2:5" ht="75" x14ac:dyDescent="0.25">
      <c r="B9" s="17">
        <v>2</v>
      </c>
      <c r="C9" s="17" t="s">
        <v>3</v>
      </c>
      <c r="D9" s="17" t="s">
        <v>54</v>
      </c>
      <c r="E9" s="18" t="s">
        <v>9</v>
      </c>
    </row>
    <row r="11" spans="2:5" x14ac:dyDescent="0.25">
      <c r="B11" s="1" t="s">
        <v>51</v>
      </c>
    </row>
    <row r="12" spans="2:5" x14ac:dyDescent="0.25">
      <c r="B12" s="2" t="s">
        <v>0</v>
      </c>
      <c r="C12" s="2" t="s">
        <v>5</v>
      </c>
    </row>
    <row r="13" spans="2:5" x14ac:dyDescent="0.25">
      <c r="B13" s="3">
        <v>1</v>
      </c>
      <c r="C13" s="3" t="s">
        <v>82</v>
      </c>
    </row>
    <row r="14" spans="2:5" x14ac:dyDescent="0.25">
      <c r="B14" s="3">
        <v>2</v>
      </c>
      <c r="C14" s="3" t="s">
        <v>83</v>
      </c>
    </row>
    <row r="15" spans="2:5" x14ac:dyDescent="0.25">
      <c r="B15" s="3">
        <v>3</v>
      </c>
      <c r="C15" s="3" t="s">
        <v>84</v>
      </c>
    </row>
    <row r="16" spans="2:5" x14ac:dyDescent="0.25">
      <c r="B16" s="3">
        <v>4</v>
      </c>
      <c r="C16" s="3" t="s">
        <v>85</v>
      </c>
    </row>
    <row r="17" spans="2:5" x14ac:dyDescent="0.25">
      <c r="B17" s="3">
        <v>5</v>
      </c>
      <c r="C17" s="3" t="s">
        <v>1066</v>
      </c>
    </row>
    <row r="18" spans="2:5" x14ac:dyDescent="0.25">
      <c r="B18" s="3">
        <v>6</v>
      </c>
      <c r="C18" s="3" t="s">
        <v>1067</v>
      </c>
    </row>
    <row r="20" spans="2:5" x14ac:dyDescent="0.25">
      <c r="B20" s="14" t="s">
        <v>19</v>
      </c>
    </row>
    <row r="21" spans="2:5" x14ac:dyDescent="0.25">
      <c r="B21" s="2" t="s">
        <v>0</v>
      </c>
      <c r="C21" s="2" t="s">
        <v>17</v>
      </c>
    </row>
    <row r="22" spans="2:5" x14ac:dyDescent="0.25">
      <c r="B22" s="2">
        <v>1</v>
      </c>
      <c r="C22" s="3" t="s">
        <v>20</v>
      </c>
      <c r="E22" s="41" t="s">
        <v>189</v>
      </c>
    </row>
    <row r="23" spans="2:5" x14ac:dyDescent="0.25">
      <c r="B23" s="2">
        <v>2</v>
      </c>
      <c r="C23" s="3" t="s">
        <v>23</v>
      </c>
    </row>
    <row r="24" spans="2:5" x14ac:dyDescent="0.25">
      <c r="B24" s="2">
        <v>3</v>
      </c>
      <c r="C24" s="3" t="s">
        <v>18</v>
      </c>
    </row>
    <row r="25" spans="2:5" x14ac:dyDescent="0.25">
      <c r="B25" s="2">
        <v>4</v>
      </c>
      <c r="C25" s="3" t="s">
        <v>104</v>
      </c>
    </row>
    <row r="26" spans="2:5" x14ac:dyDescent="0.25">
      <c r="B26" s="2">
        <v>5</v>
      </c>
      <c r="C26" s="3" t="s">
        <v>21</v>
      </c>
    </row>
    <row r="27" spans="2:5" x14ac:dyDescent="0.25">
      <c r="B27" s="2">
        <v>6</v>
      </c>
      <c r="C27" s="3" t="s">
        <v>190</v>
      </c>
    </row>
    <row r="28" spans="2:5" x14ac:dyDescent="0.25">
      <c r="B28" s="2">
        <v>7</v>
      </c>
      <c r="C28" s="3" t="s">
        <v>105</v>
      </c>
    </row>
    <row r="30" spans="2:5" x14ac:dyDescent="0.25">
      <c r="B30" s="14" t="s">
        <v>192</v>
      </c>
    </row>
    <row r="31" spans="2:5" x14ac:dyDescent="0.25">
      <c r="B31" s="2" t="s">
        <v>0</v>
      </c>
      <c r="C31" s="2" t="s">
        <v>17</v>
      </c>
    </row>
    <row r="32" spans="2:5" x14ac:dyDescent="0.25">
      <c r="B32" s="2">
        <v>1</v>
      </c>
      <c r="C32" s="3" t="s">
        <v>193</v>
      </c>
    </row>
    <row r="33" spans="2:3" x14ac:dyDescent="0.25">
      <c r="B33" s="2">
        <v>2</v>
      </c>
      <c r="C33" s="3" t="s">
        <v>194</v>
      </c>
    </row>
    <row r="35" spans="2:3" x14ac:dyDescent="0.25">
      <c r="B35" s="14" t="s">
        <v>1280</v>
      </c>
    </row>
    <row r="36" spans="2:3" x14ac:dyDescent="0.25">
      <c r="B36" s="2" t="s">
        <v>0</v>
      </c>
      <c r="C36" s="2" t="s">
        <v>17</v>
      </c>
    </row>
    <row r="37" spans="2:3" x14ac:dyDescent="0.25">
      <c r="B37" s="2">
        <v>1</v>
      </c>
      <c r="C37" s="3" t="s">
        <v>792</v>
      </c>
    </row>
    <row r="38" spans="2:3" x14ac:dyDescent="0.25">
      <c r="B38" s="2">
        <v>2</v>
      </c>
      <c r="C38" s="3" t="s">
        <v>793</v>
      </c>
    </row>
    <row r="39" spans="2:3" x14ac:dyDescent="0.25">
      <c r="B39" s="2">
        <v>3</v>
      </c>
      <c r="C39" s="3" t="s">
        <v>20</v>
      </c>
    </row>
  </sheetData>
  <customSheetViews>
    <customSheetView guid="{7E0EA425-A420-4443-B9E0-CDF0AA9E5D09}">
      <selection activeCell="E16" sqref="E16"/>
      <pageMargins left="0.7" right="0.7" top="0.75" bottom="0.75" header="0.3" footer="0.3"/>
    </customSheetView>
    <customSheetView guid="{4E06BDBF-2CED-473B-850B-2A6C7311FF41}" topLeftCell="A13">
      <selection activeCell="B24" sqref="B24:C29"/>
      <pageMargins left="0.7" right="0.7" top="0.75" bottom="0.75" header="0.3" footer="0.3"/>
    </customSheetView>
    <customSheetView guid="{72A6EB0A-84D5-4B8A-AC51-54CCD061630B}">
      <selection activeCell="D3" sqref="D3"/>
      <pageMargins left="0.7" right="0.7" top="0.75" bottom="0.75" header="0.3" footer="0.3"/>
    </customSheetView>
    <customSheetView guid="{60D2C030-4E31-4E07-8E1C-44D2EE84B177}">
      <selection activeCell="A13" sqref="A13:XFD13"/>
      <pageMargins left="0.7" right="0.7" top="0.75" bottom="0.75" header="0.3" footer="0.3"/>
    </customSheetView>
    <customSheetView guid="{D1F7047B-CC2E-48BC-8022-C8013AE2B1E1}">
      <selection activeCell="D3" sqref="D3"/>
      <pageMargins left="0.7" right="0.7" top="0.75" bottom="0.75" header="0.3" footer="0.3"/>
    </customSheetView>
    <customSheetView guid="{7ECC2B8E-6A82-42F5-8AB0-4A51C54EA5EC}" topLeftCell="A13">
      <selection activeCell="B24" sqref="B24:C29"/>
      <pageMargins left="0.7" right="0.7" top="0.75" bottom="0.75" header="0.3" footer="0.3"/>
    </customSheetView>
    <customSheetView guid="{250915DF-0B97-45D7-B29D-7EED4C89C1C1}" topLeftCell="A19">
      <selection activeCell="B36" sqref="B3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/>
  <dimension ref="A1:C8"/>
  <sheetViews>
    <sheetView workbookViewId="0">
      <selection activeCell="B8" sqref="B8"/>
    </sheetView>
  </sheetViews>
  <sheetFormatPr defaultRowHeight="15" x14ac:dyDescent="0.25"/>
  <cols>
    <col min="2" max="2" width="85.7109375" bestFit="1" customWidth="1"/>
  </cols>
  <sheetData>
    <row r="1" spans="1:3" x14ac:dyDescent="0.25">
      <c r="A1" s="1" t="s">
        <v>168</v>
      </c>
    </row>
    <row r="2" spans="1:3" x14ac:dyDescent="0.25">
      <c r="B2" s="39" t="s">
        <v>170</v>
      </c>
      <c r="C2" t="s">
        <v>171</v>
      </c>
    </row>
    <row r="3" spans="1:3" x14ac:dyDescent="0.25">
      <c r="B3" s="39" t="s">
        <v>173</v>
      </c>
      <c r="C3" t="s">
        <v>172</v>
      </c>
    </row>
    <row r="4" spans="1:3" x14ac:dyDescent="0.25">
      <c r="B4" s="39"/>
    </row>
    <row r="5" spans="1:3" x14ac:dyDescent="0.25">
      <c r="B5" s="38" t="s">
        <v>166</v>
      </c>
    </row>
    <row r="6" spans="1:3" x14ac:dyDescent="0.25">
      <c r="B6" s="39" t="s">
        <v>174</v>
      </c>
      <c r="C6" t="s">
        <v>175</v>
      </c>
    </row>
    <row r="7" spans="1:3" x14ac:dyDescent="0.25">
      <c r="B7" s="39"/>
    </row>
    <row r="8" spans="1:3" x14ac:dyDescent="0.25">
      <c r="B8" s="38" t="s">
        <v>167</v>
      </c>
      <c r="C8" t="s">
        <v>169</v>
      </c>
    </row>
  </sheetData>
  <customSheetViews>
    <customSheetView guid="{7E0EA425-A420-4443-B9E0-CDF0AA9E5D09}">
      <selection activeCell="B8" sqref="B8"/>
      <pageMargins left="0.7" right="0.7" top="0.75" bottom="0.75" header="0.3" footer="0.3"/>
    </customSheetView>
    <customSheetView guid="{4E06BDBF-2CED-473B-850B-2A6C7311FF41}">
      <selection activeCell="B6" sqref="B6:C6"/>
      <pageMargins left="0.7" right="0.7" top="0.75" bottom="0.75" header="0.3" footer="0.3"/>
    </customSheetView>
    <customSheetView guid="{72A6EB0A-84D5-4B8A-AC51-54CCD061630B}">
      <selection activeCell="B6" sqref="B6:C6"/>
      <pageMargins left="0.7" right="0.7" top="0.75" bottom="0.75" header="0.3" footer="0.3"/>
    </customSheetView>
    <customSheetView guid="{60D2C030-4E31-4E07-8E1C-44D2EE84B177}">
      <selection activeCell="B6" sqref="B6:C6"/>
      <pageMargins left="0.7" right="0.7" top="0.75" bottom="0.75" header="0.3" footer="0.3"/>
    </customSheetView>
    <customSheetView guid="{D1F7047B-CC2E-48BC-8022-C8013AE2B1E1}">
      <selection activeCell="B6" sqref="B6:C6"/>
      <pageMargins left="0.7" right="0.7" top="0.75" bottom="0.75" header="0.3" footer="0.3"/>
    </customSheetView>
    <customSheetView guid="{7ECC2B8E-6A82-42F5-8AB0-4A51C54EA5EC}">
      <selection activeCell="B6" sqref="B6:C6"/>
      <pageMargins left="0.7" right="0.7" top="0.75" bottom="0.75" header="0.3" footer="0.3"/>
    </customSheetView>
    <customSheetView guid="{250915DF-0B97-45D7-B29D-7EED4C89C1C1}">
      <selection activeCell="B37" sqref="B37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J44" sqref="J43:J44"/>
    </sheetView>
  </sheetViews>
  <sheetFormatPr defaultRowHeight="15" x14ac:dyDescent="0.25"/>
  <sheetData/>
  <customSheetViews>
    <customSheetView guid="{7E0EA425-A420-4443-B9E0-CDF0AA9E5D09}">
      <selection activeCell="J44" sqref="J43:J44"/>
      <pageMargins left="0.7" right="0.7" top="0.75" bottom="0.75" header="0.3" footer="0.3"/>
    </customSheetView>
    <customSheetView guid="{4E06BDBF-2CED-473B-850B-2A6C7311FF41}">
      <selection activeCell="J44" sqref="J43:J44"/>
      <pageMargins left="0.7" right="0.7" top="0.75" bottom="0.75" header="0.3" footer="0.3"/>
    </customSheetView>
    <customSheetView guid="{72A6EB0A-84D5-4B8A-AC51-54CCD061630B}">
      <selection activeCell="J44" sqref="J43:J44"/>
      <pageMargins left="0.7" right="0.7" top="0.75" bottom="0.75" header="0.3" footer="0.3"/>
    </customSheetView>
    <customSheetView guid="{60D2C030-4E31-4E07-8E1C-44D2EE84B177}">
      <selection activeCell="J44" sqref="J43:J44"/>
      <pageMargins left="0.7" right="0.7" top="0.75" bottom="0.75" header="0.3" footer="0.3"/>
    </customSheetView>
    <customSheetView guid="{D1F7047B-CC2E-48BC-8022-C8013AE2B1E1}">
      <selection activeCell="J44" sqref="J43:J44"/>
      <pageMargins left="0.7" right="0.7" top="0.75" bottom="0.75" header="0.3" footer="0.3"/>
    </customSheetView>
    <customSheetView guid="{250915DF-0B97-45D7-B29D-7EED4C89C1C1}">
      <selection activeCell="J44" sqref="J43:J44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47"/>
  <sheetViews>
    <sheetView workbookViewId="0">
      <selection activeCell="H6" sqref="H6"/>
    </sheetView>
  </sheetViews>
  <sheetFormatPr defaultRowHeight="15" x14ac:dyDescent="0.25"/>
  <cols>
    <col min="2" max="2" width="9.140625" customWidth="1"/>
    <col min="7" max="7" width="8.5703125" bestFit="1" customWidth="1"/>
  </cols>
  <sheetData>
    <row r="1" spans="1:7" x14ac:dyDescent="0.25">
      <c r="A1" s="1" t="s">
        <v>42</v>
      </c>
      <c r="B1" s="112">
        <v>43892</v>
      </c>
      <c r="D1" s="112">
        <v>43917</v>
      </c>
    </row>
    <row r="2" spans="1:7" x14ac:dyDescent="0.25">
      <c r="A2" s="1" t="s">
        <v>30</v>
      </c>
      <c r="B2" s="9">
        <v>20</v>
      </c>
    </row>
    <row r="3" spans="1:7" x14ac:dyDescent="0.25">
      <c r="A3" s="1" t="s">
        <v>318</v>
      </c>
      <c r="B3">
        <v>19.25</v>
      </c>
    </row>
    <row r="5" spans="1:7" x14ac:dyDescent="0.25">
      <c r="B5" s="1" t="s">
        <v>34</v>
      </c>
    </row>
    <row r="6" spans="1:7" ht="75" x14ac:dyDescent="0.25">
      <c r="C6" s="143" t="s">
        <v>25</v>
      </c>
      <c r="D6" s="143" t="s">
        <v>26</v>
      </c>
      <c r="E6" s="143" t="s">
        <v>27</v>
      </c>
      <c r="F6" s="143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v>37778</v>
      </c>
      <c r="F7" s="11">
        <v>34256</v>
      </c>
      <c r="G7" s="116">
        <v>0.90677113664037268</v>
      </c>
    </row>
    <row r="8" spans="1:7" x14ac:dyDescent="0.25">
      <c r="C8" s="10">
        <v>2</v>
      </c>
      <c r="D8" s="11" t="s">
        <v>2</v>
      </c>
      <c r="E8" s="11">
        <v>659</v>
      </c>
      <c r="F8" s="11">
        <v>659</v>
      </c>
      <c r="G8" s="116">
        <v>1</v>
      </c>
    </row>
    <row r="10" spans="1:7" x14ac:dyDescent="0.25">
      <c r="B10" s="1" t="s">
        <v>35</v>
      </c>
    </row>
    <row r="11" spans="1:7" ht="30" x14ac:dyDescent="0.25">
      <c r="C11" s="143" t="s">
        <v>25</v>
      </c>
      <c r="D11" s="143" t="s">
        <v>31</v>
      </c>
      <c r="E11" s="13" t="s">
        <v>32</v>
      </c>
      <c r="F11" s="13" t="s">
        <v>33</v>
      </c>
    </row>
    <row r="12" spans="1:7" x14ac:dyDescent="0.25">
      <c r="C12" s="109">
        <v>1</v>
      </c>
      <c r="D12" s="109" t="s">
        <v>464</v>
      </c>
      <c r="E12" s="11">
        <v>6435</v>
      </c>
      <c r="F12" s="11">
        <v>347</v>
      </c>
    </row>
    <row r="13" spans="1:7" x14ac:dyDescent="0.25">
      <c r="C13" s="109">
        <v>2</v>
      </c>
      <c r="D13" s="109" t="s">
        <v>465</v>
      </c>
      <c r="E13" s="11">
        <v>9356</v>
      </c>
      <c r="F13" s="11">
        <v>182</v>
      </c>
    </row>
    <row r="14" spans="1:7" x14ac:dyDescent="0.25">
      <c r="C14" s="109">
        <v>3</v>
      </c>
      <c r="D14" s="109" t="s">
        <v>466</v>
      </c>
      <c r="E14" s="11">
        <v>9292</v>
      </c>
      <c r="F14" s="11">
        <v>87</v>
      </c>
    </row>
    <row r="15" spans="1:7" x14ac:dyDescent="0.25">
      <c r="C15" s="109">
        <v>4</v>
      </c>
      <c r="D15" s="109" t="s">
        <v>467</v>
      </c>
      <c r="E15" s="11">
        <v>9173</v>
      </c>
      <c r="F15" s="11"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43" t="s">
        <v>25</v>
      </c>
      <c r="D19" s="140" t="s">
        <v>37</v>
      </c>
      <c r="E19" s="141"/>
      <c r="F19" s="141"/>
      <c r="G19" s="142"/>
    </row>
    <row r="20" spans="2:7" x14ac:dyDescent="0.25">
      <c r="C20" s="109">
        <v>1</v>
      </c>
      <c r="D20" s="113" t="s">
        <v>679</v>
      </c>
      <c r="E20" s="114"/>
      <c r="F20" s="114"/>
      <c r="G20" s="115"/>
    </row>
    <row r="21" spans="2:7" x14ac:dyDescent="0.25">
      <c r="C21" s="109">
        <v>2</v>
      </c>
      <c r="D21" s="113" t="s">
        <v>76</v>
      </c>
      <c r="E21" s="114"/>
      <c r="F21" s="114"/>
      <c r="G21" s="115"/>
    </row>
    <row r="22" spans="2:7" x14ac:dyDescent="0.25">
      <c r="C22" s="109">
        <v>3</v>
      </c>
      <c r="D22" s="113" t="s">
        <v>76</v>
      </c>
      <c r="E22" s="114"/>
      <c r="F22" s="114"/>
      <c r="G22" s="115"/>
    </row>
    <row r="23" spans="2:7" x14ac:dyDescent="0.25">
      <c r="C23" s="109">
        <v>4</v>
      </c>
      <c r="D23" s="113" t="s">
        <v>76</v>
      </c>
      <c r="E23" s="114"/>
      <c r="F23" s="114"/>
      <c r="G23" s="115"/>
    </row>
    <row r="25" spans="2:7" x14ac:dyDescent="0.25">
      <c r="B25" s="1" t="s">
        <v>38</v>
      </c>
    </row>
    <row r="26" spans="2:7" ht="30" x14ac:dyDescent="0.25">
      <c r="C26" s="143" t="s">
        <v>25</v>
      </c>
      <c r="D26" s="143" t="s">
        <v>31</v>
      </c>
      <c r="E26" s="13" t="s">
        <v>455</v>
      </c>
      <c r="F26" s="13" t="s">
        <v>456</v>
      </c>
    </row>
    <row r="27" spans="2:7" x14ac:dyDescent="0.25">
      <c r="C27" s="109">
        <v>1</v>
      </c>
      <c r="D27" s="109" t="s">
        <v>464</v>
      </c>
      <c r="E27" s="68">
        <v>6</v>
      </c>
      <c r="F27" s="11">
        <v>1</v>
      </c>
    </row>
    <row r="28" spans="2:7" x14ac:dyDescent="0.25">
      <c r="C28" s="109">
        <v>2</v>
      </c>
      <c r="D28" s="109" t="s">
        <v>465</v>
      </c>
      <c r="E28" s="68">
        <v>9</v>
      </c>
      <c r="F28" s="11">
        <v>0</v>
      </c>
    </row>
    <row r="29" spans="2:7" x14ac:dyDescent="0.25">
      <c r="C29" s="109">
        <v>3</v>
      </c>
      <c r="D29" s="109" t="s">
        <v>466</v>
      </c>
      <c r="E29" s="11">
        <v>6</v>
      </c>
      <c r="F29" s="68">
        <v>0</v>
      </c>
    </row>
    <row r="30" spans="2:7" x14ac:dyDescent="0.25">
      <c r="C30" s="109">
        <v>4</v>
      </c>
      <c r="D30" s="109" t="s">
        <v>467</v>
      </c>
      <c r="E30" s="11">
        <v>8</v>
      </c>
      <c r="F30" s="11">
        <v>1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677</v>
      </c>
    </row>
    <row r="34" spans="2:6" ht="30" x14ac:dyDescent="0.25">
      <c r="C34" s="143" t="s">
        <v>25</v>
      </c>
      <c r="D34" s="143" t="s">
        <v>31</v>
      </c>
      <c r="E34" s="13" t="s">
        <v>40</v>
      </c>
      <c r="F34" s="13" t="s">
        <v>41</v>
      </c>
    </row>
    <row r="35" spans="2:6" x14ac:dyDescent="0.25">
      <c r="C35" s="109">
        <v>1</v>
      </c>
      <c r="D35" s="109" t="s">
        <v>464</v>
      </c>
      <c r="E35" s="68" t="s">
        <v>76</v>
      </c>
      <c r="F35" s="107" t="s">
        <v>76</v>
      </c>
    </row>
    <row r="36" spans="2:6" x14ac:dyDescent="0.25">
      <c r="C36" s="109">
        <v>2</v>
      </c>
      <c r="D36" s="109" t="s">
        <v>465</v>
      </c>
      <c r="E36" s="68">
        <v>1</v>
      </c>
      <c r="F36" s="107" t="s">
        <v>675</v>
      </c>
    </row>
    <row r="37" spans="2:6" x14ac:dyDescent="0.25">
      <c r="C37" s="109">
        <v>3</v>
      </c>
      <c r="D37" s="109" t="s">
        <v>466</v>
      </c>
      <c r="E37" s="11">
        <v>1</v>
      </c>
      <c r="F37" s="107" t="s">
        <v>461</v>
      </c>
    </row>
    <row r="38" spans="2:6" x14ac:dyDescent="0.25">
      <c r="C38" s="109">
        <v>4</v>
      </c>
      <c r="D38" s="109" t="s">
        <v>467</v>
      </c>
      <c r="E38" s="11" t="s">
        <v>76</v>
      </c>
      <c r="F38" s="109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</sheetData>
  <customSheetViews>
    <customSheetView guid="{7E0EA425-A420-4443-B9E0-CDF0AA9E5D09}">
      <selection activeCell="H6" sqref="H6"/>
      <pageMargins left="0.7" right="0.7" top="0.75" bottom="0.75" header="0.3" footer="0.3"/>
    </customSheetView>
    <customSheetView guid="{4E06BDBF-2CED-473B-850B-2A6C7311FF41}">
      <selection activeCell="H6" sqref="H6"/>
      <pageMargins left="0.7" right="0.7" top="0.75" bottom="0.75" header="0.3" footer="0.3"/>
    </customSheetView>
    <customSheetView guid="{72A6EB0A-84D5-4B8A-AC51-54CCD061630B}" topLeftCell="A40">
      <selection activeCell="H6" sqref="H6"/>
      <pageMargins left="0.7" right="0.7" top="0.75" bottom="0.75" header="0.3" footer="0.3"/>
    </customSheetView>
    <customSheetView guid="{60D2C030-4E31-4E07-8E1C-44D2EE84B177}" topLeftCell="A40">
      <selection activeCell="H6" sqref="H6"/>
      <pageMargins left="0.7" right="0.7" top="0.75" bottom="0.75" header="0.3" footer="0.3"/>
    </customSheetView>
    <customSheetView guid="{D1F7047B-CC2E-48BC-8022-C8013AE2B1E1}" topLeftCell="A40">
      <selection activeCell="H6" sqref="H6"/>
      <pageMargins left="0.7" right="0.7" top="0.75" bottom="0.75" header="0.3" footer="0.3"/>
    </customSheetView>
    <customSheetView guid="{250915DF-0B97-45D7-B29D-7EED4C89C1C1}">
      <selection activeCell="H6" sqref="H6"/>
      <pageMargins left="0.7" right="0.7" top="0.75" bottom="0.75" header="0.3" footer="0.3"/>
    </customSheetView>
  </customSheetView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68"/>
  <sheetViews>
    <sheetView zoomScale="85" zoomScaleNormal="85" workbookViewId="0">
      <selection activeCell="J43" sqref="J43"/>
    </sheetView>
  </sheetViews>
  <sheetFormatPr defaultRowHeight="15" x14ac:dyDescent="0.25"/>
  <cols>
    <col min="2" max="2" width="11.140625" customWidth="1"/>
    <col min="4" max="4" width="12" customWidth="1"/>
    <col min="5" max="5" width="18.42578125" customWidth="1"/>
    <col min="6" max="6" width="21" customWidth="1"/>
    <col min="7" max="7" width="20.42578125" customWidth="1"/>
  </cols>
  <sheetData>
    <row r="1" spans="1:7" x14ac:dyDescent="0.25">
      <c r="A1" s="1" t="s">
        <v>42</v>
      </c>
      <c r="B1" s="112">
        <v>43892</v>
      </c>
      <c r="D1" s="112">
        <v>43910</v>
      </c>
    </row>
    <row r="2" spans="1:7" x14ac:dyDescent="0.25">
      <c r="A2" s="1" t="s">
        <v>30</v>
      </c>
      <c r="B2" s="9">
        <f>SUM(INT((WEEKDAY(B1-{2,3,4,5,6}) +D1-B1)/7))</f>
        <v>15</v>
      </c>
    </row>
    <row r="3" spans="1:7" x14ac:dyDescent="0.25">
      <c r="A3" s="1" t="s">
        <v>318</v>
      </c>
      <c r="B3">
        <f ca="1">IF(TODAY()&lt;D1,SUM(INT((WEEKDAY(B1-{2,3,4,5,6})+TODAY()-B1)/7)),SUM(INT((WEEKDAY(B1-{2,3,4,5,6})+D1-B1)/7)))</f>
        <v>15</v>
      </c>
    </row>
    <row r="5" spans="1:7" x14ac:dyDescent="0.25">
      <c r="B5" s="1" t="s">
        <v>34</v>
      </c>
    </row>
    <row r="6" spans="1:7" ht="45" x14ac:dyDescent="0.25">
      <c r="C6" s="108" t="s">
        <v>25</v>
      </c>
      <c r="D6" s="108" t="s">
        <v>26</v>
      </c>
      <c r="E6" s="108" t="s">
        <v>27</v>
      </c>
      <c r="F6" s="108" t="s">
        <v>28</v>
      </c>
      <c r="G6" s="13" t="s">
        <v>29</v>
      </c>
    </row>
    <row r="7" spans="1:7" x14ac:dyDescent="0.25">
      <c r="C7" s="10">
        <v>1</v>
      </c>
      <c r="D7" s="11" t="s">
        <v>3</v>
      </c>
      <c r="E7" s="11">
        <f>COEM_Package_20200302!D245</f>
        <v>38531</v>
      </c>
      <c r="F7" s="11">
        <f>COEM_Package_20200302!E245</f>
        <v>38487</v>
      </c>
      <c r="G7" s="116">
        <f>F7/E7</f>
        <v>0.99885806233941499</v>
      </c>
    </row>
    <row r="8" spans="1:7" x14ac:dyDescent="0.25">
      <c r="C8" s="10">
        <v>2</v>
      </c>
      <c r="D8" s="11" t="s">
        <v>2</v>
      </c>
      <c r="E8" s="11">
        <f>COEM_Package_20200302!D236</f>
        <v>782</v>
      </c>
      <c r="F8" s="11">
        <f>COEM_Package_20200302!E236</f>
        <v>748</v>
      </c>
      <c r="G8" s="116">
        <f>F8/E8</f>
        <v>0.95652173913043481</v>
      </c>
    </row>
    <row r="10" spans="1:7" x14ac:dyDescent="0.25">
      <c r="B10" s="1" t="s">
        <v>35</v>
      </c>
    </row>
    <row r="11" spans="1:7" ht="30" x14ac:dyDescent="0.25">
      <c r="C11" s="108" t="s">
        <v>25</v>
      </c>
      <c r="D11" s="108" t="s">
        <v>31</v>
      </c>
      <c r="E11" s="13" t="s">
        <v>32</v>
      </c>
      <c r="F11" s="13" t="s">
        <v>33</v>
      </c>
    </row>
    <row r="12" spans="1:7" x14ac:dyDescent="0.25">
      <c r="C12" s="109">
        <v>1</v>
      </c>
      <c r="D12" s="109" t="s">
        <v>464</v>
      </c>
      <c r="E12" s="11">
        <f>COEM_Package_20200302!E241</f>
        <v>8901</v>
      </c>
      <c r="F12" s="11">
        <f>COEM_Package_20200302!E232</f>
        <v>424</v>
      </c>
    </row>
    <row r="13" spans="1:7" x14ac:dyDescent="0.25">
      <c r="C13" s="109">
        <v>2</v>
      </c>
      <c r="D13" s="109" t="s">
        <v>465</v>
      </c>
      <c r="E13" s="11">
        <f>COEM_Package_20200302!E242</f>
        <v>9356</v>
      </c>
      <c r="F13" s="11">
        <f>COEM_Package_20200302!E233</f>
        <v>194</v>
      </c>
    </row>
    <row r="14" spans="1:7" x14ac:dyDescent="0.25">
      <c r="C14" s="109">
        <v>3</v>
      </c>
      <c r="D14" s="109" t="s">
        <v>466</v>
      </c>
      <c r="E14" s="11">
        <f>COEM_Package_20200302!E243</f>
        <v>9248</v>
      </c>
      <c r="F14" s="11">
        <f>COEM_Package_20200302!E234</f>
        <v>87</v>
      </c>
    </row>
    <row r="15" spans="1:7" x14ac:dyDescent="0.25">
      <c r="C15" s="109">
        <v>4</v>
      </c>
      <c r="D15" s="109" t="s">
        <v>467</v>
      </c>
      <c r="E15" s="11">
        <f>COEM_Package_20200302!E244</f>
        <v>10982</v>
      </c>
      <c r="F15" s="11">
        <f>COEM_Package_20200302!D235</f>
        <v>43</v>
      </c>
    </row>
    <row r="16" spans="1:7" x14ac:dyDescent="0.25">
      <c r="C16" s="66"/>
      <c r="D16" s="66"/>
      <c r="E16" s="67"/>
      <c r="F16" s="67"/>
    </row>
    <row r="18" spans="2:7" x14ac:dyDescent="0.25">
      <c r="B18" s="1" t="s">
        <v>36</v>
      </c>
    </row>
    <row r="19" spans="2:7" x14ac:dyDescent="0.25">
      <c r="C19" s="108" t="s">
        <v>25</v>
      </c>
      <c r="D19" s="219" t="s">
        <v>37</v>
      </c>
      <c r="E19" s="219"/>
      <c r="F19" s="219"/>
      <c r="G19" s="219"/>
    </row>
    <row r="20" spans="2:7" x14ac:dyDescent="0.25">
      <c r="C20" s="109">
        <v>1</v>
      </c>
      <c r="D20" s="113" t="s">
        <v>76</v>
      </c>
      <c r="E20" s="114"/>
      <c r="F20" s="114"/>
      <c r="G20" s="115"/>
    </row>
    <row r="21" spans="2:7" x14ac:dyDescent="0.25">
      <c r="C21" s="109">
        <v>2</v>
      </c>
      <c r="D21" s="113" t="s">
        <v>76</v>
      </c>
      <c r="E21" s="114"/>
      <c r="F21" s="114"/>
      <c r="G21" s="115"/>
    </row>
    <row r="22" spans="2:7" x14ac:dyDescent="0.25">
      <c r="C22" s="109">
        <v>3</v>
      </c>
      <c r="D22" s="113" t="s">
        <v>76</v>
      </c>
      <c r="E22" s="114"/>
      <c r="F22" s="114"/>
      <c r="G22" s="115"/>
    </row>
    <row r="23" spans="2:7" x14ac:dyDescent="0.25">
      <c r="C23" s="109">
        <v>4</v>
      </c>
      <c r="D23" s="113" t="s">
        <v>76</v>
      </c>
      <c r="E23" s="114"/>
      <c r="F23" s="114"/>
      <c r="G23" s="115"/>
    </row>
    <row r="25" spans="2:7" x14ac:dyDescent="0.25">
      <c r="B25" s="1" t="s">
        <v>38</v>
      </c>
    </row>
    <row r="26" spans="2:7" x14ac:dyDescent="0.25">
      <c r="C26" s="108" t="s">
        <v>25</v>
      </c>
      <c r="D26" s="108" t="s">
        <v>31</v>
      </c>
      <c r="E26" s="13" t="s">
        <v>455</v>
      </c>
      <c r="F26" s="13" t="s">
        <v>456</v>
      </c>
    </row>
    <row r="27" spans="2:7" x14ac:dyDescent="0.25">
      <c r="C27" s="109">
        <v>1</v>
      </c>
      <c r="D27" s="109" t="s">
        <v>464</v>
      </c>
      <c r="E27" s="68">
        <v>6</v>
      </c>
      <c r="F27" s="11">
        <v>0</v>
      </c>
    </row>
    <row r="28" spans="2:7" x14ac:dyDescent="0.25">
      <c r="C28" s="109">
        <v>2</v>
      </c>
      <c r="D28" s="109" t="s">
        <v>465</v>
      </c>
      <c r="E28" s="68">
        <v>9</v>
      </c>
      <c r="F28" s="11">
        <v>0</v>
      </c>
    </row>
    <row r="29" spans="2:7" x14ac:dyDescent="0.25">
      <c r="C29" s="109">
        <v>3</v>
      </c>
      <c r="D29" s="109" t="s">
        <v>466</v>
      </c>
      <c r="E29" s="11">
        <v>5</v>
      </c>
      <c r="F29" s="68">
        <v>0</v>
      </c>
    </row>
    <row r="30" spans="2:7" x14ac:dyDescent="0.25">
      <c r="C30" s="109">
        <v>4</v>
      </c>
      <c r="D30" s="109" t="s">
        <v>467</v>
      </c>
      <c r="E30" s="11">
        <v>7</v>
      </c>
      <c r="F30" s="11">
        <v>0</v>
      </c>
    </row>
    <row r="31" spans="2:7" x14ac:dyDescent="0.25">
      <c r="C31" s="66"/>
      <c r="D31" s="66"/>
      <c r="E31" s="66"/>
      <c r="F31" s="66"/>
      <c r="G31" s="66"/>
    </row>
    <row r="33" spans="2:6" x14ac:dyDescent="0.25">
      <c r="B33" s="1" t="s">
        <v>39</v>
      </c>
    </row>
    <row r="34" spans="2:6" x14ac:dyDescent="0.25">
      <c r="C34" s="108" t="s">
        <v>25</v>
      </c>
      <c r="D34" s="108" t="s">
        <v>31</v>
      </c>
      <c r="E34" s="13" t="s">
        <v>40</v>
      </c>
      <c r="F34" s="13" t="s">
        <v>41</v>
      </c>
    </row>
    <row r="35" spans="2:6" x14ac:dyDescent="0.25">
      <c r="C35" s="109">
        <v>1</v>
      </c>
      <c r="D35" s="109" t="str">
        <f>COEM_Package_20200302!C250</f>
        <v>duong.nguyen</v>
      </c>
      <c r="E35" s="68" t="s">
        <v>76</v>
      </c>
      <c r="F35" s="109" t="s">
        <v>76</v>
      </c>
    </row>
    <row r="36" spans="2:6" x14ac:dyDescent="0.25">
      <c r="C36" s="109">
        <v>2</v>
      </c>
      <c r="D36" s="109" t="str">
        <f>COEM_Package_20200302!C251</f>
        <v>loc.do-phu</v>
      </c>
      <c r="E36" s="68">
        <v>1</v>
      </c>
      <c r="F36" s="109" t="s">
        <v>76</v>
      </c>
    </row>
    <row r="37" spans="2:6" x14ac:dyDescent="0.25">
      <c r="C37" s="109">
        <v>3</v>
      </c>
      <c r="D37" s="109" t="str">
        <f>COEM_Package_20200302!C252</f>
        <v>thanh.nguyen-kim</v>
      </c>
      <c r="E37" s="11">
        <v>1</v>
      </c>
      <c r="F37" s="107" t="s">
        <v>461</v>
      </c>
    </row>
    <row r="38" spans="2:6" x14ac:dyDescent="0.25">
      <c r="C38" s="109">
        <v>4</v>
      </c>
      <c r="D38" s="109" t="str">
        <f>COEM_Package_20200302!C253</f>
        <v>chung.ly</v>
      </c>
      <c r="E38" s="11" t="s">
        <v>76</v>
      </c>
      <c r="F38" s="109" t="s">
        <v>76</v>
      </c>
    </row>
    <row r="39" spans="2:6" x14ac:dyDescent="0.25">
      <c r="C39" s="66"/>
      <c r="D39" s="66"/>
      <c r="E39" s="67"/>
      <c r="F39" s="66"/>
    </row>
    <row r="41" spans="2:6" x14ac:dyDescent="0.25">
      <c r="B41" s="1" t="s">
        <v>43</v>
      </c>
    </row>
    <row r="42" spans="2:6" x14ac:dyDescent="0.25">
      <c r="C42" s="1" t="s">
        <v>46</v>
      </c>
    </row>
    <row r="43" spans="2:6" x14ac:dyDescent="0.25">
      <c r="D43" t="s">
        <v>44</v>
      </c>
    </row>
    <row r="44" spans="2:6" x14ac:dyDescent="0.25">
      <c r="D44" t="s">
        <v>45</v>
      </c>
    </row>
    <row r="45" spans="2:6" x14ac:dyDescent="0.25">
      <c r="C45" s="1" t="s">
        <v>47</v>
      </c>
    </row>
    <row r="46" spans="2:6" x14ac:dyDescent="0.25">
      <c r="D46" t="s">
        <v>48</v>
      </c>
    </row>
    <row r="47" spans="2:6" x14ac:dyDescent="0.25">
      <c r="D47" t="s">
        <v>49</v>
      </c>
    </row>
    <row r="49" spans="1:9" x14ac:dyDescent="0.25">
      <c r="B49" s="1" t="s">
        <v>41</v>
      </c>
    </row>
    <row r="50" spans="1:9" x14ac:dyDescent="0.25">
      <c r="A50" s="1">
        <v>1</v>
      </c>
      <c r="B50" s="1" t="s">
        <v>62</v>
      </c>
      <c r="C50" s="1">
        <v>20200302</v>
      </c>
    </row>
    <row r="51" spans="1:9" x14ac:dyDescent="0.25">
      <c r="B51" s="1" t="s">
        <v>449</v>
      </c>
      <c r="C51" s="105">
        <v>5.8283760683760688</v>
      </c>
      <c r="D51" t="s">
        <v>450</v>
      </c>
    </row>
    <row r="52" spans="1:9" x14ac:dyDescent="0.25">
      <c r="B52" s="1" t="s">
        <v>457</v>
      </c>
      <c r="C52" s="9"/>
      <c r="F52" s="8"/>
      <c r="G52" s="8"/>
      <c r="H52" s="8"/>
    </row>
    <row r="53" spans="1:9" x14ac:dyDescent="0.25">
      <c r="B53" s="1" t="s">
        <v>458</v>
      </c>
      <c r="C53" s="9"/>
      <c r="F53" s="8"/>
      <c r="G53" s="8"/>
      <c r="H53" s="8"/>
    </row>
    <row r="54" spans="1:9" x14ac:dyDescent="0.25">
      <c r="B54" s="1" t="s">
        <v>17</v>
      </c>
      <c r="C54" t="s">
        <v>468</v>
      </c>
    </row>
    <row r="56" spans="1:9" ht="75" x14ac:dyDescent="0.25">
      <c r="C56" s="108" t="s">
        <v>25</v>
      </c>
      <c r="D56" s="108" t="s">
        <v>26</v>
      </c>
      <c r="E56" s="13" t="s">
        <v>451</v>
      </c>
      <c r="F56" s="13" t="s">
        <v>452</v>
      </c>
      <c r="G56" s="13" t="s">
        <v>453</v>
      </c>
      <c r="H56" s="13" t="s">
        <v>454</v>
      </c>
      <c r="I56" s="13" t="s">
        <v>29</v>
      </c>
    </row>
    <row r="57" spans="1:9" x14ac:dyDescent="0.25">
      <c r="C57" s="10">
        <v>1</v>
      </c>
      <c r="D57" s="11" t="s">
        <v>3</v>
      </c>
      <c r="E57" s="11">
        <v>2557</v>
      </c>
      <c r="F57" s="11">
        <v>2557</v>
      </c>
      <c r="G57" s="11">
        <v>5.6822222222222223</v>
      </c>
      <c r="H57" s="11">
        <v>7.75</v>
      </c>
      <c r="I57" s="116">
        <v>1</v>
      </c>
    </row>
    <row r="58" spans="1:9" x14ac:dyDescent="0.25">
      <c r="C58" s="10">
        <v>2</v>
      </c>
      <c r="D58" s="11" t="s">
        <v>2</v>
      </c>
      <c r="E58" s="11">
        <v>19</v>
      </c>
      <c r="F58" s="11">
        <v>19</v>
      </c>
      <c r="G58" s="11">
        <v>0.14615384615384616</v>
      </c>
      <c r="H58" s="11">
        <v>0.5</v>
      </c>
      <c r="I58" s="116">
        <v>1</v>
      </c>
    </row>
    <row r="60" spans="1:9" x14ac:dyDescent="0.25">
      <c r="C60" t="s">
        <v>459</v>
      </c>
    </row>
    <row r="61" spans="1:9" x14ac:dyDescent="0.25">
      <c r="D61" s="111"/>
    </row>
    <row r="62" spans="1:9" x14ac:dyDescent="0.25">
      <c r="A62" s="1">
        <v>2</v>
      </c>
      <c r="B62" s="1" t="s">
        <v>62</v>
      </c>
      <c r="C62" s="1">
        <v>20200303</v>
      </c>
    </row>
    <row r="63" spans="1:9" x14ac:dyDescent="0.25">
      <c r="B63" s="1" t="s">
        <v>449</v>
      </c>
      <c r="C63" s="105">
        <v>17.829059829059826</v>
      </c>
      <c r="D63" t="s">
        <v>450</v>
      </c>
    </row>
    <row r="64" spans="1:9" x14ac:dyDescent="0.25">
      <c r="B64" s="1" t="s">
        <v>457</v>
      </c>
      <c r="C64" s="9"/>
      <c r="F64" s="8"/>
      <c r="G64" s="8"/>
      <c r="H64" s="8"/>
    </row>
    <row r="65" spans="1:9" x14ac:dyDescent="0.25">
      <c r="B65" s="1" t="s">
        <v>458</v>
      </c>
      <c r="C65" s="9"/>
      <c r="F65" s="8"/>
      <c r="G65" s="8"/>
      <c r="H65" s="8"/>
    </row>
    <row r="66" spans="1:9" x14ac:dyDescent="0.25">
      <c r="B66" s="1" t="s">
        <v>17</v>
      </c>
      <c r="C66" t="s">
        <v>469</v>
      </c>
    </row>
    <row r="68" spans="1:9" ht="75" x14ac:dyDescent="0.25">
      <c r="C68" s="108" t="s">
        <v>25</v>
      </c>
      <c r="D68" s="108" t="s">
        <v>26</v>
      </c>
      <c r="E68" s="13" t="s">
        <v>451</v>
      </c>
      <c r="F68" s="13" t="s">
        <v>452</v>
      </c>
      <c r="G68" s="13" t="s">
        <v>453</v>
      </c>
      <c r="H68" s="13" t="s">
        <v>454</v>
      </c>
      <c r="I68" s="13" t="s">
        <v>29</v>
      </c>
    </row>
    <row r="69" spans="1:9" x14ac:dyDescent="0.25">
      <c r="C69" s="10">
        <v>1</v>
      </c>
      <c r="D69" s="11" t="s">
        <v>3</v>
      </c>
      <c r="E69" s="11">
        <v>7850</v>
      </c>
      <c r="F69" s="11">
        <v>7806</v>
      </c>
      <c r="G69" s="11">
        <v>17.444444444444443</v>
      </c>
      <c r="H69" s="11">
        <v>13.743750000000002</v>
      </c>
      <c r="I69" s="116">
        <v>0.99439490445859868</v>
      </c>
    </row>
    <row r="70" spans="1:9" x14ac:dyDescent="0.25">
      <c r="C70" s="10">
        <v>2</v>
      </c>
      <c r="D70" s="11" t="s">
        <v>2</v>
      </c>
      <c r="E70" s="11">
        <v>50</v>
      </c>
      <c r="F70" s="11">
        <v>50</v>
      </c>
      <c r="G70" s="11">
        <v>0.38461538461538464</v>
      </c>
      <c r="H70" s="11">
        <v>0.75</v>
      </c>
      <c r="I70" s="116">
        <v>1</v>
      </c>
    </row>
    <row r="72" spans="1:9" x14ac:dyDescent="0.25">
      <c r="C72" t="s">
        <v>459</v>
      </c>
    </row>
    <row r="73" spans="1:9" x14ac:dyDescent="0.25">
      <c r="D73" s="111"/>
    </row>
    <row r="74" spans="1:9" x14ac:dyDescent="0.25">
      <c r="A74" s="1">
        <v>3</v>
      </c>
      <c r="B74" s="1" t="s">
        <v>62</v>
      </c>
      <c r="C74" s="1">
        <v>20200304</v>
      </c>
    </row>
    <row r="75" spans="1:9" x14ac:dyDescent="0.25">
      <c r="B75" s="1" t="s">
        <v>449</v>
      </c>
      <c r="C75" s="105">
        <v>8.4044444444444437</v>
      </c>
      <c r="D75" t="s">
        <v>450</v>
      </c>
    </row>
    <row r="76" spans="1:9" x14ac:dyDescent="0.25">
      <c r="B76" s="1" t="s">
        <v>457</v>
      </c>
      <c r="C76" s="9"/>
      <c r="F76" s="8"/>
      <c r="G76" s="8"/>
      <c r="H76" s="8"/>
    </row>
    <row r="77" spans="1:9" x14ac:dyDescent="0.25">
      <c r="B77" s="1" t="s">
        <v>458</v>
      </c>
      <c r="C77" s="9"/>
      <c r="F77" s="8"/>
      <c r="G77" s="8"/>
      <c r="H77" s="8"/>
    </row>
    <row r="78" spans="1:9" x14ac:dyDescent="0.25">
      <c r="B78" s="1" t="s">
        <v>17</v>
      </c>
      <c r="C78" t="s">
        <v>469</v>
      </c>
    </row>
    <row r="80" spans="1:9" ht="75" x14ac:dyDescent="0.25">
      <c r="C80" s="108" t="s">
        <v>25</v>
      </c>
      <c r="D80" s="108" t="s">
        <v>26</v>
      </c>
      <c r="E80" s="13" t="s">
        <v>451</v>
      </c>
      <c r="F80" s="13" t="s">
        <v>452</v>
      </c>
      <c r="G80" s="13" t="s">
        <v>453</v>
      </c>
      <c r="H80" s="13" t="s">
        <v>454</v>
      </c>
      <c r="I80" s="13" t="s">
        <v>29</v>
      </c>
    </row>
    <row r="81" spans="1:9" x14ac:dyDescent="0.25">
      <c r="C81" s="10">
        <v>1</v>
      </c>
      <c r="D81" s="11" t="s">
        <v>3</v>
      </c>
      <c r="E81" s="11">
        <v>3782</v>
      </c>
      <c r="F81" s="11">
        <v>3782</v>
      </c>
      <c r="G81" s="11">
        <v>8.4044444444444437</v>
      </c>
      <c r="H81" s="11">
        <v>4.1500000000000004</v>
      </c>
      <c r="I81" s="116">
        <v>1</v>
      </c>
    </row>
    <row r="82" spans="1:9" x14ac:dyDescent="0.25">
      <c r="C82" s="10">
        <v>2</v>
      </c>
      <c r="D82" s="11" t="s">
        <v>2</v>
      </c>
      <c r="E82" s="11">
        <v>0</v>
      </c>
      <c r="F82" s="11">
        <v>0</v>
      </c>
      <c r="G82" s="11">
        <v>0</v>
      </c>
      <c r="H82" s="11">
        <v>0</v>
      </c>
      <c r="I82" s="116" t="s">
        <v>20</v>
      </c>
    </row>
    <row r="84" spans="1:9" x14ac:dyDescent="0.25">
      <c r="C84" t="s">
        <v>459</v>
      </c>
    </row>
    <row r="86" spans="1:9" x14ac:dyDescent="0.25">
      <c r="A86" s="1">
        <v>4</v>
      </c>
      <c r="B86" s="1" t="s">
        <v>62</v>
      </c>
      <c r="C86" s="1">
        <v>20200305</v>
      </c>
    </row>
    <row r="87" spans="1:9" x14ac:dyDescent="0.25">
      <c r="B87" s="1" t="s">
        <v>449</v>
      </c>
      <c r="C87" s="105">
        <v>2.5577777777777779</v>
      </c>
      <c r="D87" t="s">
        <v>450</v>
      </c>
    </row>
    <row r="88" spans="1:9" x14ac:dyDescent="0.25">
      <c r="B88" s="1" t="s">
        <v>457</v>
      </c>
      <c r="C88" s="9"/>
      <c r="F88" s="8"/>
      <c r="G88" s="8"/>
      <c r="H88" s="8"/>
    </row>
    <row r="89" spans="1:9" x14ac:dyDescent="0.25">
      <c r="B89" s="1" t="s">
        <v>458</v>
      </c>
      <c r="C89" s="9"/>
      <c r="F89" s="8"/>
      <c r="G89" s="8"/>
      <c r="H89" s="8"/>
    </row>
    <row r="90" spans="1:9" x14ac:dyDescent="0.25">
      <c r="B90" s="1" t="s">
        <v>17</v>
      </c>
      <c r="C90" t="s">
        <v>469</v>
      </c>
    </row>
    <row r="92" spans="1:9" ht="75" x14ac:dyDescent="0.25">
      <c r="C92" s="108" t="s">
        <v>25</v>
      </c>
      <c r="D92" s="108" t="s">
        <v>26</v>
      </c>
      <c r="E92" s="13" t="s">
        <v>451</v>
      </c>
      <c r="F92" s="13" t="s">
        <v>452</v>
      </c>
      <c r="G92" s="13" t="s">
        <v>453</v>
      </c>
      <c r="H92" s="13" t="s">
        <v>454</v>
      </c>
      <c r="I92" s="13" t="s">
        <v>29</v>
      </c>
    </row>
    <row r="93" spans="1:9" x14ac:dyDescent="0.25">
      <c r="C93" s="10">
        <v>1</v>
      </c>
      <c r="D93" s="11" t="s">
        <v>3</v>
      </c>
      <c r="E93" s="11">
        <v>1151</v>
      </c>
      <c r="F93" s="11">
        <v>1151</v>
      </c>
      <c r="G93" s="11">
        <v>2.5577777777777779</v>
      </c>
      <c r="H93" s="11">
        <v>2.4375</v>
      </c>
      <c r="I93" s="116">
        <v>1</v>
      </c>
    </row>
    <row r="94" spans="1:9" x14ac:dyDescent="0.25">
      <c r="C94" s="10">
        <v>2</v>
      </c>
      <c r="D94" s="11" t="s">
        <v>2</v>
      </c>
      <c r="E94" s="11">
        <v>0</v>
      </c>
      <c r="F94" s="11">
        <v>0</v>
      </c>
      <c r="G94" s="11">
        <v>0</v>
      </c>
      <c r="H94" s="11">
        <v>0</v>
      </c>
      <c r="I94" s="116" t="s">
        <v>20</v>
      </c>
    </row>
    <row r="96" spans="1:9" x14ac:dyDescent="0.25">
      <c r="C96" t="s">
        <v>459</v>
      </c>
    </row>
    <row r="98" spans="1:9" x14ac:dyDescent="0.25">
      <c r="A98" s="1">
        <v>5</v>
      </c>
      <c r="B98" s="1" t="s">
        <v>62</v>
      </c>
      <c r="C98" s="1">
        <v>20200306</v>
      </c>
    </row>
    <row r="99" spans="1:9" x14ac:dyDescent="0.25">
      <c r="B99" s="1" t="s">
        <v>449</v>
      </c>
      <c r="C99" s="105">
        <v>1.0777777777777777</v>
      </c>
      <c r="D99" t="s">
        <v>450</v>
      </c>
    </row>
    <row r="100" spans="1:9" x14ac:dyDescent="0.25">
      <c r="B100" s="1" t="s">
        <v>457</v>
      </c>
      <c r="C100" s="9"/>
      <c r="F100" s="8"/>
      <c r="G100" s="8"/>
      <c r="H100" s="8"/>
    </row>
    <row r="101" spans="1:9" x14ac:dyDescent="0.25">
      <c r="B101" s="1" t="s">
        <v>458</v>
      </c>
      <c r="C101" s="9"/>
      <c r="F101" s="8"/>
      <c r="G101" s="8"/>
      <c r="H101" s="8"/>
    </row>
    <row r="102" spans="1:9" x14ac:dyDescent="0.25">
      <c r="B102" s="1" t="s">
        <v>17</v>
      </c>
      <c r="C102" t="s">
        <v>468</v>
      </c>
    </row>
    <row r="104" spans="1:9" ht="75" x14ac:dyDescent="0.25">
      <c r="C104" s="108" t="s">
        <v>25</v>
      </c>
      <c r="D104" s="108" t="s">
        <v>26</v>
      </c>
      <c r="E104" s="13" t="s">
        <v>451</v>
      </c>
      <c r="F104" s="13" t="s">
        <v>452</v>
      </c>
      <c r="G104" s="13" t="s">
        <v>453</v>
      </c>
      <c r="H104" s="13" t="s">
        <v>454</v>
      </c>
      <c r="I104" s="13" t="s">
        <v>29</v>
      </c>
    </row>
    <row r="105" spans="1:9" x14ac:dyDescent="0.25">
      <c r="C105" s="10">
        <v>1</v>
      </c>
      <c r="D105" s="11" t="s">
        <v>3</v>
      </c>
      <c r="E105" s="11">
        <v>485</v>
      </c>
      <c r="F105" s="11">
        <v>485</v>
      </c>
      <c r="G105" s="11">
        <v>1.0777777777777777</v>
      </c>
      <c r="H105" s="11">
        <v>1.25</v>
      </c>
      <c r="I105" s="116">
        <v>1</v>
      </c>
    </row>
    <row r="106" spans="1:9" x14ac:dyDescent="0.25">
      <c r="C106" s="10">
        <v>2</v>
      </c>
      <c r="D106" s="11" t="s">
        <v>2</v>
      </c>
      <c r="E106" s="11">
        <v>0</v>
      </c>
      <c r="F106" s="11">
        <v>0</v>
      </c>
      <c r="G106" s="11">
        <v>0</v>
      </c>
      <c r="H106" s="11">
        <v>0</v>
      </c>
      <c r="I106" s="116" t="s">
        <v>20</v>
      </c>
    </row>
    <row r="108" spans="1:9" x14ac:dyDescent="0.25">
      <c r="C108" t="s">
        <v>459</v>
      </c>
    </row>
    <row r="110" spans="1:9" x14ac:dyDescent="0.25">
      <c r="A110" s="1">
        <v>6</v>
      </c>
      <c r="B110" s="1" t="s">
        <v>62</v>
      </c>
      <c r="C110" s="1">
        <v>20200309</v>
      </c>
    </row>
    <row r="111" spans="1:9" x14ac:dyDescent="0.25">
      <c r="B111" s="1" t="s">
        <v>449</v>
      </c>
      <c r="C111" s="105">
        <v>7.9844444444444447</v>
      </c>
      <c r="D111" t="s">
        <v>450</v>
      </c>
    </row>
    <row r="112" spans="1:9" x14ac:dyDescent="0.25">
      <c r="B112" s="1" t="s">
        <v>457</v>
      </c>
      <c r="C112" s="9"/>
      <c r="F112" s="8"/>
      <c r="G112" s="8"/>
      <c r="H112" s="8"/>
    </row>
    <row r="113" spans="1:9" x14ac:dyDescent="0.25">
      <c r="B113" s="1" t="s">
        <v>458</v>
      </c>
      <c r="C113" s="9"/>
      <c r="F113" s="8"/>
      <c r="G113" s="8"/>
      <c r="H113" s="8"/>
    </row>
    <row r="114" spans="1:9" x14ac:dyDescent="0.25">
      <c r="B114" s="1" t="s">
        <v>17</v>
      </c>
      <c r="C114" t="s">
        <v>469</v>
      </c>
    </row>
    <row r="116" spans="1:9" ht="75" x14ac:dyDescent="0.25">
      <c r="C116" s="108" t="s">
        <v>25</v>
      </c>
      <c r="D116" s="108" t="s">
        <v>26</v>
      </c>
      <c r="E116" s="13" t="s">
        <v>451</v>
      </c>
      <c r="F116" s="13" t="s">
        <v>452</v>
      </c>
      <c r="G116" s="13" t="s">
        <v>453</v>
      </c>
      <c r="H116" s="13" t="s">
        <v>454</v>
      </c>
      <c r="I116" s="13" t="s">
        <v>29</v>
      </c>
    </row>
    <row r="117" spans="1:9" x14ac:dyDescent="0.25">
      <c r="C117" s="10">
        <v>1</v>
      </c>
      <c r="D117" s="11" t="s">
        <v>3</v>
      </c>
      <c r="E117" s="11">
        <v>3593</v>
      </c>
      <c r="F117" s="11">
        <v>3305</v>
      </c>
      <c r="G117" s="11">
        <v>7.9844444444444447</v>
      </c>
      <c r="H117" s="11">
        <v>4.7312499999999993</v>
      </c>
      <c r="I117" s="116">
        <v>0.91984414138602844</v>
      </c>
    </row>
    <row r="118" spans="1:9" x14ac:dyDescent="0.25">
      <c r="C118" s="10">
        <v>2</v>
      </c>
      <c r="D118" s="11" t="s">
        <v>2</v>
      </c>
      <c r="E118" s="11">
        <v>0</v>
      </c>
      <c r="F118" s="11">
        <v>0</v>
      </c>
      <c r="G118" s="11">
        <v>0</v>
      </c>
      <c r="H118" s="11">
        <v>0</v>
      </c>
      <c r="I118" s="116" t="s">
        <v>20</v>
      </c>
    </row>
    <row r="120" spans="1:9" x14ac:dyDescent="0.25">
      <c r="C120" t="s">
        <v>459</v>
      </c>
    </row>
    <row r="122" spans="1:9" x14ac:dyDescent="0.25">
      <c r="A122" s="1">
        <v>7</v>
      </c>
      <c r="B122" s="1" t="s">
        <v>62</v>
      </c>
      <c r="C122" s="1">
        <v>20200313</v>
      </c>
    </row>
    <row r="123" spans="1:9" x14ac:dyDescent="0.25">
      <c r="B123" s="1" t="s">
        <v>449</v>
      </c>
      <c r="C123" s="105">
        <v>1.9711111111111113</v>
      </c>
      <c r="D123" t="s">
        <v>450</v>
      </c>
    </row>
    <row r="124" spans="1:9" x14ac:dyDescent="0.25">
      <c r="B124" s="1" t="s">
        <v>457</v>
      </c>
      <c r="C124" s="9"/>
      <c r="F124" s="8"/>
      <c r="G124" s="8"/>
      <c r="H124" s="8"/>
    </row>
    <row r="125" spans="1:9" x14ac:dyDescent="0.25">
      <c r="B125" s="1" t="s">
        <v>458</v>
      </c>
      <c r="C125" s="9"/>
      <c r="F125" s="8"/>
      <c r="G125" s="8"/>
      <c r="H125" s="8"/>
    </row>
    <row r="126" spans="1:9" x14ac:dyDescent="0.25">
      <c r="B126" s="1" t="s">
        <v>17</v>
      </c>
      <c r="C126" t="s">
        <v>469</v>
      </c>
    </row>
    <row r="128" spans="1:9" ht="75" x14ac:dyDescent="0.25">
      <c r="C128" s="108" t="s">
        <v>25</v>
      </c>
      <c r="D128" s="108" t="s">
        <v>26</v>
      </c>
      <c r="E128" s="13" t="s">
        <v>451</v>
      </c>
      <c r="F128" s="13" t="s">
        <v>452</v>
      </c>
      <c r="G128" s="13" t="s">
        <v>453</v>
      </c>
      <c r="H128" s="13" t="s">
        <v>454</v>
      </c>
      <c r="I128" s="13" t="s">
        <v>29</v>
      </c>
    </row>
    <row r="129" spans="1:9" x14ac:dyDescent="0.25">
      <c r="C129" s="10">
        <v>1</v>
      </c>
      <c r="D129" s="11" t="s">
        <v>3</v>
      </c>
      <c r="E129" s="11">
        <v>527</v>
      </c>
      <c r="F129" s="11">
        <v>527</v>
      </c>
      <c r="G129" s="11">
        <v>1.1711111111111112</v>
      </c>
      <c r="H129" s="11">
        <v>0.87874999999999992</v>
      </c>
      <c r="I129" s="116">
        <v>1</v>
      </c>
    </row>
    <row r="130" spans="1:9" x14ac:dyDescent="0.25">
      <c r="C130" s="10">
        <v>2</v>
      </c>
      <c r="D130" s="11" t="s">
        <v>2</v>
      </c>
      <c r="E130" s="11">
        <v>104</v>
      </c>
      <c r="F130" s="11">
        <v>104</v>
      </c>
      <c r="G130" s="11">
        <v>0.8</v>
      </c>
      <c r="H130" s="11">
        <v>0.75</v>
      </c>
      <c r="I130" s="116">
        <v>1</v>
      </c>
    </row>
    <row r="132" spans="1:9" x14ac:dyDescent="0.25">
      <c r="C132" t="s">
        <v>459</v>
      </c>
    </row>
    <row r="134" spans="1:9" x14ac:dyDescent="0.25">
      <c r="A134" s="1">
        <v>8</v>
      </c>
      <c r="B134" s="1" t="s">
        <v>62</v>
      </c>
      <c r="C134" s="1">
        <v>20200317</v>
      </c>
    </row>
    <row r="135" spans="1:9" x14ac:dyDescent="0.25">
      <c r="B135" s="1" t="s">
        <v>449</v>
      </c>
      <c r="C135" s="105">
        <v>4.9420512820512821</v>
      </c>
      <c r="D135" t="s">
        <v>450</v>
      </c>
    </row>
    <row r="136" spans="1:9" x14ac:dyDescent="0.25">
      <c r="B136" s="1" t="s">
        <v>457</v>
      </c>
      <c r="C136" s="9"/>
      <c r="F136" s="8"/>
      <c r="G136" s="8"/>
      <c r="H136" s="8"/>
    </row>
    <row r="137" spans="1:9" x14ac:dyDescent="0.25">
      <c r="B137" s="1" t="s">
        <v>458</v>
      </c>
      <c r="C137" s="9"/>
      <c r="F137" s="8"/>
      <c r="G137" s="8"/>
      <c r="H137" s="8"/>
    </row>
    <row r="138" spans="1:9" x14ac:dyDescent="0.25">
      <c r="B138" s="1" t="s">
        <v>17</v>
      </c>
      <c r="C138" t="s">
        <v>469</v>
      </c>
    </row>
    <row r="140" spans="1:9" ht="75" x14ac:dyDescent="0.25">
      <c r="C140" s="108" t="s">
        <v>25</v>
      </c>
      <c r="D140" s="108" t="s">
        <v>26</v>
      </c>
      <c r="E140" s="13" t="s">
        <v>451</v>
      </c>
      <c r="F140" s="13" t="s">
        <v>452</v>
      </c>
      <c r="G140" s="13" t="s">
        <v>453</v>
      </c>
      <c r="H140" s="13" t="s">
        <v>454</v>
      </c>
      <c r="I140" s="13" t="s">
        <v>29</v>
      </c>
    </row>
    <row r="141" spans="1:9" x14ac:dyDescent="0.25">
      <c r="C141" s="10">
        <v>1</v>
      </c>
      <c r="D141" s="11" t="s">
        <v>3</v>
      </c>
      <c r="E141" s="11">
        <v>2172</v>
      </c>
      <c r="F141" s="11">
        <v>1893</v>
      </c>
      <c r="G141" s="11">
        <v>4.8266666666666671</v>
      </c>
      <c r="H141" s="11">
        <v>2.625</v>
      </c>
      <c r="I141" s="116">
        <v>0.87154696132596687</v>
      </c>
    </row>
    <row r="142" spans="1:9" x14ac:dyDescent="0.25">
      <c r="C142" s="10">
        <v>2</v>
      </c>
      <c r="D142" s="11" t="s">
        <v>2</v>
      </c>
      <c r="E142" s="11">
        <v>15</v>
      </c>
      <c r="F142" s="11">
        <v>15</v>
      </c>
      <c r="G142" s="11">
        <v>0.11538461538461539</v>
      </c>
      <c r="H142" s="11">
        <v>0.25</v>
      </c>
      <c r="I142" s="116">
        <v>1</v>
      </c>
    </row>
    <row r="144" spans="1:9" x14ac:dyDescent="0.25">
      <c r="C144" t="s">
        <v>459</v>
      </c>
    </row>
    <row r="146" spans="1:9" x14ac:dyDescent="0.25">
      <c r="A146" s="1">
        <v>9</v>
      </c>
      <c r="B146" s="1" t="s">
        <v>62</v>
      </c>
      <c r="C146" s="1">
        <v>20200318</v>
      </c>
    </row>
    <row r="147" spans="1:9" x14ac:dyDescent="0.25">
      <c r="B147" s="1" t="s">
        <v>449</v>
      </c>
      <c r="C147" s="105">
        <v>0</v>
      </c>
      <c r="D147" t="s">
        <v>450</v>
      </c>
    </row>
    <row r="148" spans="1:9" x14ac:dyDescent="0.25">
      <c r="B148" s="1" t="s">
        <v>457</v>
      </c>
      <c r="C148" s="9"/>
      <c r="F148" s="8"/>
      <c r="G148" s="8"/>
      <c r="H148" s="8"/>
    </row>
    <row r="149" spans="1:9" x14ac:dyDescent="0.25">
      <c r="B149" s="1" t="s">
        <v>458</v>
      </c>
      <c r="C149" s="9"/>
      <c r="F149" s="8"/>
      <c r="G149" s="8"/>
      <c r="H149" s="8"/>
    </row>
    <row r="150" spans="1:9" x14ac:dyDescent="0.25">
      <c r="B150" s="1" t="s">
        <v>17</v>
      </c>
      <c r="C150" t="s">
        <v>460</v>
      </c>
    </row>
    <row r="152" spans="1:9" ht="75" x14ac:dyDescent="0.25">
      <c r="C152" s="108" t="s">
        <v>25</v>
      </c>
      <c r="D152" s="108" t="s">
        <v>26</v>
      </c>
      <c r="E152" s="13" t="s">
        <v>451</v>
      </c>
      <c r="F152" s="13" t="s">
        <v>452</v>
      </c>
      <c r="G152" s="13" t="s">
        <v>453</v>
      </c>
      <c r="H152" s="13" t="s">
        <v>454</v>
      </c>
      <c r="I152" s="13" t="s">
        <v>29</v>
      </c>
    </row>
    <row r="153" spans="1:9" x14ac:dyDescent="0.25">
      <c r="C153" s="10">
        <v>1</v>
      </c>
      <c r="D153" s="11" t="s">
        <v>3</v>
      </c>
      <c r="E153" s="11">
        <v>0</v>
      </c>
      <c r="F153" s="11">
        <v>0</v>
      </c>
      <c r="G153" s="11">
        <v>0</v>
      </c>
      <c r="H153" s="11">
        <v>0</v>
      </c>
      <c r="I153" s="116" t="s">
        <v>20</v>
      </c>
    </row>
    <row r="154" spans="1:9" x14ac:dyDescent="0.25">
      <c r="C154" s="10">
        <v>2</v>
      </c>
      <c r="D154" s="11" t="s">
        <v>2</v>
      </c>
      <c r="E154" s="11">
        <v>0</v>
      </c>
      <c r="F154" s="11">
        <v>0</v>
      </c>
      <c r="G154" s="11">
        <v>0</v>
      </c>
      <c r="H154" s="11">
        <v>0</v>
      </c>
      <c r="I154" s="116" t="s">
        <v>20</v>
      </c>
    </row>
    <row r="156" spans="1:9" x14ac:dyDescent="0.25">
      <c r="C156" t="s">
        <v>459</v>
      </c>
    </row>
    <row r="158" spans="1:9" x14ac:dyDescent="0.25">
      <c r="A158" s="1">
        <v>10</v>
      </c>
      <c r="B158" s="1" t="s">
        <v>62</v>
      </c>
      <c r="C158" s="1">
        <v>20200319</v>
      </c>
    </row>
    <row r="159" spans="1:9" x14ac:dyDescent="0.25">
      <c r="B159" s="1" t="s">
        <v>449</v>
      </c>
      <c r="C159" s="105">
        <v>0</v>
      </c>
      <c r="D159" t="s">
        <v>450</v>
      </c>
    </row>
    <row r="160" spans="1:9" x14ac:dyDescent="0.25">
      <c r="B160" s="1" t="s">
        <v>457</v>
      </c>
      <c r="C160" s="9"/>
      <c r="F160" s="8"/>
      <c r="G160" s="8"/>
      <c r="H160" s="8"/>
    </row>
    <row r="161" spans="2:9" x14ac:dyDescent="0.25">
      <c r="B161" s="1" t="s">
        <v>458</v>
      </c>
      <c r="C161" s="9"/>
      <c r="F161" s="8"/>
      <c r="G161" s="8"/>
      <c r="H161" s="8"/>
    </row>
    <row r="162" spans="2:9" x14ac:dyDescent="0.25">
      <c r="B162" s="1" t="s">
        <v>17</v>
      </c>
      <c r="C162" t="s">
        <v>460</v>
      </c>
    </row>
    <row r="164" spans="2:9" ht="75" x14ac:dyDescent="0.25">
      <c r="C164" s="108" t="s">
        <v>25</v>
      </c>
      <c r="D164" s="108" t="s">
        <v>26</v>
      </c>
      <c r="E164" s="13" t="s">
        <v>451</v>
      </c>
      <c r="F164" s="13" t="s">
        <v>452</v>
      </c>
      <c r="G164" s="13" t="s">
        <v>453</v>
      </c>
      <c r="H164" s="13" t="s">
        <v>454</v>
      </c>
      <c r="I164" s="13" t="s">
        <v>29</v>
      </c>
    </row>
    <row r="165" spans="2:9" x14ac:dyDescent="0.25">
      <c r="C165" s="10">
        <v>1</v>
      </c>
      <c r="D165" s="11" t="s">
        <v>3</v>
      </c>
      <c r="E165" s="11">
        <v>0</v>
      </c>
      <c r="F165" s="11">
        <v>0</v>
      </c>
      <c r="G165" s="11">
        <v>0</v>
      </c>
      <c r="H165" s="11">
        <v>0</v>
      </c>
      <c r="I165" s="116" t="s">
        <v>20</v>
      </c>
    </row>
    <row r="166" spans="2:9" x14ac:dyDescent="0.25">
      <c r="C166" s="10">
        <v>2</v>
      </c>
      <c r="D166" s="11" t="s">
        <v>2</v>
      </c>
      <c r="E166" s="11">
        <v>0</v>
      </c>
      <c r="F166" s="11">
        <v>0</v>
      </c>
      <c r="G166" s="11">
        <v>0</v>
      </c>
      <c r="H166" s="11">
        <v>0</v>
      </c>
      <c r="I166" s="116" t="s">
        <v>20</v>
      </c>
    </row>
    <row r="168" spans="2:9" x14ac:dyDescent="0.25">
      <c r="C168" t="s">
        <v>459</v>
      </c>
    </row>
  </sheetData>
  <customSheetViews>
    <customSheetView guid="{7E0EA425-A420-4443-B9E0-CDF0AA9E5D09}" scale="85">
      <selection activeCell="J43" sqref="J43"/>
      <pageMargins left="0.7" right="0.7" top="0.75" bottom="0.75" header="0.3" footer="0.3"/>
    </customSheetView>
    <customSheetView guid="{4E06BDBF-2CED-473B-850B-2A6C7311FF41}" scale="85" topLeftCell="A139">
      <selection activeCell="K163" sqref="K163"/>
      <pageMargins left="0.7" right="0.7" top="0.75" bottom="0.75" header="0.3" footer="0.3"/>
    </customSheetView>
    <customSheetView guid="{72A6EB0A-84D5-4B8A-AC51-54CCD061630B}" scale="85" topLeftCell="A154">
      <selection activeCell="E15" sqref="E15"/>
      <pageMargins left="0.7" right="0.7" top="0.75" bottom="0.75" header="0.3" footer="0.3"/>
    </customSheetView>
    <customSheetView guid="{60D2C030-4E31-4E07-8E1C-44D2EE84B177}" scale="85" topLeftCell="A139">
      <selection activeCell="L167" sqref="L167"/>
      <pageMargins left="0.7" right="0.7" top="0.75" bottom="0.75" header="0.3" footer="0.3"/>
    </customSheetView>
    <customSheetView guid="{D1F7047B-CC2E-48BC-8022-C8013AE2B1E1}" scale="85">
      <selection activeCell="E15" sqref="E15"/>
      <pageMargins left="0.7" right="0.7" top="0.75" bottom="0.75" header="0.3" footer="0.3"/>
    </customSheetView>
    <customSheetView guid="{250915DF-0B97-45D7-B29D-7EED4C89C1C1}" scale="85">
      <selection activeCell="I39" sqref="I39"/>
      <pageMargins left="0.7" right="0.7" top="0.75" bottom="0.75" header="0.3" footer="0.3"/>
    </customSheetView>
  </customSheetViews>
  <mergeCells count="1">
    <mergeCell ref="D19:G19"/>
  </mergeCells>
  <conditionalFormatting sqref="H57">
    <cfRule type="cellIs" dxfId="41" priority="42" operator="greaterThan">
      <formula>G57</formula>
    </cfRule>
  </conditionalFormatting>
  <conditionalFormatting sqref="H130">
    <cfRule type="cellIs" dxfId="40" priority="29" operator="greaterThan">
      <formula>G130</formula>
    </cfRule>
  </conditionalFormatting>
  <conditionalFormatting sqref="H141">
    <cfRule type="cellIs" dxfId="39" priority="28" operator="greaterThan">
      <formula>G141</formula>
    </cfRule>
  </conditionalFormatting>
  <conditionalFormatting sqref="H58">
    <cfRule type="cellIs" dxfId="38" priority="41" operator="greaterThan">
      <formula>G58</formula>
    </cfRule>
  </conditionalFormatting>
  <conditionalFormatting sqref="H81">
    <cfRule type="cellIs" dxfId="37" priority="38" operator="greaterThan">
      <formula>G81</formula>
    </cfRule>
  </conditionalFormatting>
  <conditionalFormatting sqref="H82">
    <cfRule type="cellIs" dxfId="36" priority="37" operator="greaterThan">
      <formula>G82</formula>
    </cfRule>
  </conditionalFormatting>
  <conditionalFormatting sqref="H69">
    <cfRule type="cellIs" dxfId="35" priority="40" operator="greaterThan">
      <formula>G69</formula>
    </cfRule>
  </conditionalFormatting>
  <conditionalFormatting sqref="H70">
    <cfRule type="cellIs" dxfId="34" priority="39" operator="greaterThan">
      <formula>G70</formula>
    </cfRule>
  </conditionalFormatting>
  <conditionalFormatting sqref="H166">
    <cfRule type="cellIs" dxfId="33" priority="23" operator="greaterThan">
      <formula>G166</formula>
    </cfRule>
  </conditionalFormatting>
  <conditionalFormatting sqref="H93">
    <cfRule type="cellIs" dxfId="32" priority="36" operator="greaterThan">
      <formula>G93</formula>
    </cfRule>
  </conditionalFormatting>
  <conditionalFormatting sqref="H94">
    <cfRule type="cellIs" dxfId="31" priority="35" operator="greaterThan">
      <formula>G94</formula>
    </cfRule>
  </conditionalFormatting>
  <conditionalFormatting sqref="H105">
    <cfRule type="cellIs" dxfId="30" priority="34" operator="greaterThan">
      <formula>G105</formula>
    </cfRule>
  </conditionalFormatting>
  <conditionalFormatting sqref="H106">
    <cfRule type="cellIs" dxfId="29" priority="33" operator="greaterThan">
      <formula>G106</formula>
    </cfRule>
  </conditionalFormatting>
  <conditionalFormatting sqref="H117">
    <cfRule type="cellIs" dxfId="28" priority="32" operator="greaterThan">
      <formula>G117</formula>
    </cfRule>
  </conditionalFormatting>
  <conditionalFormatting sqref="H118">
    <cfRule type="cellIs" dxfId="27" priority="31" operator="greaterThan">
      <formula>G118</formula>
    </cfRule>
  </conditionalFormatting>
  <conditionalFormatting sqref="H129">
    <cfRule type="cellIs" dxfId="26" priority="30" operator="greaterThan">
      <formula>G129</formula>
    </cfRule>
  </conditionalFormatting>
  <conditionalFormatting sqref="H142">
    <cfRule type="cellIs" dxfId="25" priority="27" operator="greaterThan">
      <formula>G142</formula>
    </cfRule>
  </conditionalFormatting>
  <conditionalFormatting sqref="H153">
    <cfRule type="cellIs" dxfId="24" priority="26" operator="greaterThan">
      <formula>G153</formula>
    </cfRule>
  </conditionalFormatting>
  <conditionalFormatting sqref="H154">
    <cfRule type="cellIs" dxfId="23" priority="25" operator="greaterThan">
      <formula>G154</formula>
    </cfRule>
  </conditionalFormatting>
  <conditionalFormatting sqref="H165">
    <cfRule type="cellIs" dxfId="22" priority="24" operator="greaterThan">
      <formula>G165</formula>
    </cfRule>
  </conditionalFormatting>
  <conditionalFormatting sqref="G7:G8">
    <cfRule type="cellIs" dxfId="21" priority="21" operator="equal">
      <formula>1</formula>
    </cfRule>
    <cfRule type="cellIs" dxfId="20" priority="22" operator="lessThan">
      <formula>1</formula>
    </cfRule>
  </conditionalFormatting>
  <conditionalFormatting sqref="I57:I58">
    <cfRule type="cellIs" dxfId="19" priority="19" operator="equal">
      <formula>1</formula>
    </cfRule>
    <cfRule type="cellIs" dxfId="18" priority="20" operator="lessThan">
      <formula>1</formula>
    </cfRule>
  </conditionalFormatting>
  <conditionalFormatting sqref="I69:I70">
    <cfRule type="cellIs" dxfId="17" priority="17" operator="equal">
      <formula>1</formula>
    </cfRule>
    <cfRule type="cellIs" dxfId="16" priority="18" operator="lessThan">
      <formula>1</formula>
    </cfRule>
  </conditionalFormatting>
  <conditionalFormatting sqref="I81:I82">
    <cfRule type="cellIs" dxfId="15" priority="15" operator="equal">
      <formula>1</formula>
    </cfRule>
    <cfRule type="cellIs" dxfId="14" priority="16" operator="lessThan">
      <formula>1</formula>
    </cfRule>
  </conditionalFormatting>
  <conditionalFormatting sqref="I93:I94">
    <cfRule type="cellIs" dxfId="13" priority="13" operator="equal">
      <formula>1</formula>
    </cfRule>
    <cfRule type="cellIs" dxfId="12" priority="14" operator="lessThan">
      <formula>1</formula>
    </cfRule>
  </conditionalFormatting>
  <conditionalFormatting sqref="I105:I106">
    <cfRule type="cellIs" dxfId="11" priority="11" operator="equal">
      <formula>1</formula>
    </cfRule>
    <cfRule type="cellIs" dxfId="10" priority="12" operator="lessThan">
      <formula>1</formula>
    </cfRule>
  </conditionalFormatting>
  <conditionalFormatting sqref="I117:I118">
    <cfRule type="cellIs" dxfId="9" priority="9" operator="equal">
      <formula>1</formula>
    </cfRule>
    <cfRule type="cellIs" dxfId="8" priority="10" operator="lessThan">
      <formula>1</formula>
    </cfRule>
  </conditionalFormatting>
  <conditionalFormatting sqref="I129:I130">
    <cfRule type="cellIs" dxfId="7" priority="7" operator="equal">
      <formula>1</formula>
    </cfRule>
    <cfRule type="cellIs" dxfId="6" priority="8" operator="lessThan">
      <formula>1</formula>
    </cfRule>
  </conditionalFormatting>
  <conditionalFormatting sqref="I141:I142">
    <cfRule type="cellIs" dxfId="5" priority="5" operator="equal">
      <formula>1</formula>
    </cfRule>
    <cfRule type="cellIs" dxfId="4" priority="6" operator="lessThan">
      <formula>1</formula>
    </cfRule>
  </conditionalFormatting>
  <conditionalFormatting sqref="I153:I154">
    <cfRule type="cellIs" dxfId="3" priority="3" operator="equal">
      <formula>1</formula>
    </cfRule>
    <cfRule type="cellIs" dxfId="2" priority="4" operator="lessThan">
      <formula>1</formula>
    </cfRule>
  </conditionalFormatting>
  <conditionalFormatting sqref="I165:I166">
    <cfRule type="cellIs" dxfId="1" priority="1" operator="equal">
      <formula>1</formula>
    </cfRule>
    <cfRule type="cellIs" dxfId="0" priority="2" operator="lessThan">
      <formula>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COEM_Package_20200302</vt:lpstr>
      <vt:lpstr>|-&gt;</vt:lpstr>
      <vt:lpstr>Template_Weekly_Report</vt:lpstr>
      <vt:lpstr>COEM_Package_20200401</vt:lpstr>
      <vt:lpstr>Report_For_Each_Project</vt:lpstr>
      <vt:lpstr>Template_Weekly_Report_Apr</vt:lpstr>
      <vt:lpstr>Table</vt:lpstr>
      <vt:lpstr>Check_List</vt:lpstr>
      <vt:lpstr>|--&gt;</vt:lpstr>
      <vt:lpstr>Weekly_20200327</vt:lpstr>
      <vt:lpstr>Monthly_20200320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EXTERNAL Nguyen Tuan Duong (Ban Vien, RBVH/EPS45)</cp:lastModifiedBy>
  <dcterms:created xsi:type="dcterms:W3CDTF">2006-09-16T00:00:00Z</dcterms:created>
  <dcterms:modified xsi:type="dcterms:W3CDTF">2020-04-16T12:00:26Z</dcterms:modified>
</cp:coreProperties>
</file>