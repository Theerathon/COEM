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revisions/userNames1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Headers.xml" ContentType="application/vnd.openxmlformats-officedocument.spreadsheetml.revisionHeaders+xml"/>
  <Override PartName="/xl/revisions/revisionLog26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9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540"/>
  </bookViews>
  <sheets>
    <sheet name="COEM_Package_20200302" sheetId="1" r:id="rId1"/>
    <sheet name="|-&gt;" sheetId="2" r:id="rId2"/>
    <sheet name="Template" sheetId="3" r:id="rId3"/>
    <sheet name="Table" sheetId="4" r:id="rId4"/>
    <sheet name="Template_Weekly_Report" sheetId="5" r:id="rId5"/>
    <sheet name="Check_List" sheetId="6" r:id="rId6"/>
  </sheets>
  <definedNames>
    <definedName name="_xlnm._FilterDatabase" localSheetId="0" hidden="1">COEM_Package_20200302!$B$2:$AH$66</definedName>
    <definedName name="_xlnm._FilterDatabase" localSheetId="2" hidden="1">Template!$B$2:$R$14</definedName>
    <definedName name="Z_17568297_DE94_42DB_A62D_8B9302C2B85A_.wvu.FilterData" localSheetId="0" hidden="1">COEM_Package_20200302!$B$2:$AG$105</definedName>
    <definedName name="Z_250915DF_0B97_45D7_B29D_7EED4C89C1C1_.wvu.FilterData" localSheetId="0" hidden="1">COEM_Package_20200302!$Q$2:$Q$132</definedName>
    <definedName name="Z_250915DF_0B97_45D7_B29D_7EED4C89C1C1_.wvu.FilterData" localSheetId="2" hidden="1">Template!$B$2:$R$14</definedName>
    <definedName name="Z_2796A872_74B9_41A6_AD05_2D7FFBF27D76_.wvu.FilterData" localSheetId="0" hidden="1">COEM_Package_20200302!$B$2:$AG$105</definedName>
    <definedName name="Z_2DAA5E76_B8FF_4CD7_93D9_37F81863218D_.wvu.FilterData" localSheetId="0" hidden="1">COEM_Package_20200302!$Q$2:$Q$132</definedName>
    <definedName name="Z_35B0B6AE_086F_4F08_9CA9_A72BF8F13B9D_.wvu.FilterData" localSheetId="0" hidden="1">COEM_Package_20200302!$B$2:$AH$66</definedName>
    <definedName name="Z_382D887A_F8D5_4E00_A4D1_AE3B77523470_.wvu.FilterData" localSheetId="0" hidden="1">COEM_Package_20200302!$B$2:$AH$66</definedName>
    <definedName name="Z_3EE173E3_F30C_4123_BA68_472D213EF7CF_.wvu.FilterData" localSheetId="0" hidden="1">COEM_Package_20200302!$B$2:$AH$66</definedName>
    <definedName name="Z_4E06BDBF_2CED_473B_850B_2A6C7311FF41_.wvu.Cols" localSheetId="0" hidden="1">COEM_Package_20200302!$M:$N</definedName>
    <definedName name="Z_4E06BDBF_2CED_473B_850B_2A6C7311FF41_.wvu.FilterData" localSheetId="0" hidden="1">COEM_Package_20200302!$Q$2:$Q$132</definedName>
    <definedName name="Z_4E06BDBF_2CED_473B_850B_2A6C7311FF41_.wvu.FilterData" localSheetId="2" hidden="1">Template!$B$2:$R$14</definedName>
    <definedName name="Z_594856DB_1796_41BA_9D27_B22FF73A30E5_.wvu.FilterData" localSheetId="0" hidden="1">COEM_Package_20200302!$B$2:$AH$66</definedName>
    <definedName name="Z_60D2C030_4E31_4E07_8E1C_44D2EE84B177_.wvu.Cols" localSheetId="0" hidden="1">COEM_Package_20200302!$M:$N</definedName>
    <definedName name="Z_60D2C030_4E31_4E07_8E1C_44D2EE84B177_.wvu.FilterData" localSheetId="0" hidden="1">COEM_Package_20200302!$B$2:$AH$66</definedName>
    <definedName name="Z_60D2C030_4E31_4E07_8E1C_44D2EE84B177_.wvu.FilterData" localSheetId="2" hidden="1">Template!$B$2:$R$14</definedName>
    <definedName name="Z_6B1BA5A9_E057_4F4A_9C65_C6B9C02CC00C_.wvu.FilterData" localSheetId="0" hidden="1">COEM_Package_20200302!$Q$2:$Q$132</definedName>
    <definedName name="Z_72A6EB0A_84D5_4B8A_AC51_54CCD061630B_.wvu.Cols" localSheetId="0" hidden="1">COEM_Package_20200302!$M:$N</definedName>
    <definedName name="Z_72A6EB0A_84D5_4B8A_AC51_54CCD061630B_.wvu.FilterData" localSheetId="0" hidden="1">COEM_Package_20200302!$B$2:$AH$66</definedName>
    <definedName name="Z_72A6EB0A_84D5_4B8A_AC51_54CCD061630B_.wvu.FilterData" localSheetId="2" hidden="1">Template!$B$2:$R$14</definedName>
    <definedName name="Z_740DC6B1_F8A3_42A4_9DBA_B7F4B4302024_.wvu.FilterData" localSheetId="0" hidden="1">COEM_Package_20200302!$B$2:$AG$10</definedName>
    <definedName name="Z_75EBBE3D_6BBB_4DA6_9D69_395330ADF817_.wvu.FilterData" localSheetId="0" hidden="1">COEM_Package_20200302!$B$2:$AH$66</definedName>
    <definedName name="Z_7E0EA425_A420_4443_B9E0_CDF0AA9E5D09_.wvu.FilterData" localSheetId="0" hidden="1">COEM_Package_20200302!$B$2:$AH$66</definedName>
    <definedName name="Z_7E0EA425_A420_4443_B9E0_CDF0AA9E5D09_.wvu.FilterData" localSheetId="2" hidden="1">Template!$B$2:$R$14</definedName>
    <definedName name="Z_7ECC2B8E_6A82_42F5_8AB0_4A51C54EA5EC_.wvu.Cols" localSheetId="0" hidden="1">COEM_Package_20200302!$M:$N</definedName>
    <definedName name="Z_7ECC2B8E_6A82_42F5_8AB0_4A51C54EA5EC_.wvu.FilterData" localSheetId="0" hidden="1">COEM_Package_20200302!$Q$2:$Q$132</definedName>
    <definedName name="Z_7ECC2B8E_6A82_42F5_8AB0_4A51C54EA5EC_.wvu.FilterData" localSheetId="2" hidden="1">Template!$B$2:$R$14</definedName>
    <definedName name="Z_839DFCBD_B2E4_4623_A615_58494692EC74_.wvu.FilterData" localSheetId="0" hidden="1">COEM_Package_20200302!$Q$2:$Q$132</definedName>
    <definedName name="Z_9AFC86BF_9493_4ED5_8763_E5A763C0997C_.wvu.FilterData" localSheetId="0" hidden="1">COEM_Package_20200302!$Q$2:$Q$132</definedName>
    <definedName name="Z_9BBC5FBB_CEC7_4B7E_8FC1_DC9F240B7B1A_.wvu.FilterData" localSheetId="0" hidden="1">COEM_Package_20200302!$B$2:$AG$105</definedName>
    <definedName name="Z_9ED4B296_E9A0_43D8_A56B_F4D7CC736352_.wvu.FilterData" localSheetId="0" hidden="1">COEM_Package_20200302!$B$2:$AG$10</definedName>
    <definedName name="Z_A239C479_B2DC_4DCA_A930_634A835634B0_.wvu.FilterData" localSheetId="0" hidden="1">COEM_Package_20200302!$B$2:$AG$105</definedName>
    <definedName name="Z_A51EBE84_CBC8_46F9_AE0C_B070690415D4_.wvu.FilterData" localSheetId="0" hidden="1">COEM_Package_20200302!$Q$2:$Q$132</definedName>
    <definedName name="Z_B156AFFA_16DF_4425_86DA_8148471DAEFC_.wvu.FilterData" localSheetId="0" hidden="1">COEM_Package_20200302!$B$2:$AH$66</definedName>
    <definedName name="Z_BA1EA899_A67B_4AE0_83A4_B82D05331D8F_.wvu.FilterData" localSheetId="0" hidden="1">COEM_Package_20200302!$Q$2:$Q$132</definedName>
    <definedName name="Z_BBAE6BD0_8958_494E_83AF_3471AF879750_.wvu.FilterData" localSheetId="0" hidden="1">COEM_Package_20200302!$B$2:$AG$66</definedName>
    <definedName name="Z_D5F9A537_3EF6_4FA9_94D8_ABB431F3ED7F_.wvu.FilterData" localSheetId="0" hidden="1">COEM_Package_20200302!$Q$2:$Q$132</definedName>
    <definedName name="Z_E8991E61_6D05_4C3B_B928_FD787FF86F58_.wvu.FilterData" localSheetId="0" hidden="1">COEM_Package_20200302!$Q$2:$Q$132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35" activeSheetId="1"/>
    <customWorkbookView name="EXTERNAL Ly Chung (Ban Vien, RBVH/EPS45) - Personal View" guid="{60D2C030-4E31-4E07-8E1C-44D2EE84B177}" mergeInterval="0" personalView="1" maximized="1" xWindow="-8" yWindow="-8" windowWidth="1936" windowHeight="1186" tabRatio="428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Do Phu Loc (Ban Vien, RBVH/EPS45) - Personal View" guid="{72A6EB0A-84D5-4B8A-AC51-54CCD061630B}" mergeInterval="0" personalView="1" maximized="1" xWindow="-8" yWindow="-8" windowWidth="1936" windowHeight="1176" tabRatio="428" activeSheetId="1"/>
    <customWorkbookView name="EXTERNAL Nguyen Kim Thanh (Ban Vien, RBVH/EPS45) - Personal View" guid="{4E06BDBF-2CED-473B-850B-2A6C7311FF41}" mergeInterval="0" personalView="1" maximized="1" xWindow="-8" yWindow="-8" windowWidth="1936" windowHeight="1176" activeSheetId="1"/>
  </customWorkbookViews>
</workbook>
</file>

<file path=xl/calcChain.xml><?xml version="1.0" encoding="utf-8"?>
<calcChain xmlns="http://schemas.openxmlformats.org/spreadsheetml/2006/main">
  <c r="B74" i="1" l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E113" i="1"/>
  <c r="E114" i="1"/>
  <c r="E115" i="1"/>
  <c r="L67" i="1"/>
  <c r="L68" i="1"/>
  <c r="L69" i="1"/>
  <c r="L70" i="1"/>
  <c r="L71" i="1"/>
  <c r="L72" i="1"/>
  <c r="L73" i="1"/>
  <c r="B67" i="1"/>
  <c r="B68" i="1" s="1"/>
  <c r="B69" i="1" s="1"/>
  <c r="B70" i="1" s="1"/>
  <c r="B71" i="1" s="1"/>
  <c r="B72" i="1" s="1"/>
  <c r="B73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4" i="1"/>
  <c r="E129" i="1" l="1"/>
  <c r="E117" i="1"/>
  <c r="V25" i="1"/>
  <c r="V24" i="1"/>
  <c r="V23" i="1"/>
  <c r="V22" i="1"/>
  <c r="V20" i="1" l="1"/>
  <c r="V21" i="1"/>
  <c r="F132" i="1" l="1"/>
  <c r="F131" i="1"/>
  <c r="L20" i="1" l="1"/>
  <c r="L21" i="1"/>
  <c r="L22" i="1"/>
  <c r="L23" i="1"/>
  <c r="L24" i="1"/>
  <c r="L25" i="1"/>
  <c r="F130" i="1" l="1"/>
  <c r="F119" i="1"/>
  <c r="E132" i="1"/>
  <c r="G132" i="1" s="1"/>
  <c r="E131" i="1"/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V6" i="1" l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O3" i="3"/>
  <c r="O4" i="3"/>
  <c r="O5" i="3"/>
  <c r="O6" i="3"/>
  <c r="O7" i="3"/>
  <c r="O8" i="3"/>
  <c r="O9" i="3"/>
  <c r="O10" i="3"/>
  <c r="D19" i="3"/>
  <c r="E19" i="3"/>
  <c r="H19" i="3" s="1"/>
  <c r="F19" i="3"/>
  <c r="G19" i="3"/>
  <c r="D20" i="3"/>
  <c r="E20" i="3"/>
  <c r="F20" i="3"/>
  <c r="D21" i="3"/>
  <c r="E21" i="3"/>
  <c r="F21" i="3"/>
  <c r="D22" i="3"/>
  <c r="E22" i="3"/>
  <c r="G22" i="3" s="1"/>
  <c r="F22" i="3"/>
  <c r="D23" i="3"/>
  <c r="E23" i="3"/>
  <c r="H23" i="3" s="1"/>
  <c r="F23" i="3"/>
  <c r="D24" i="3"/>
  <c r="E24" i="3"/>
  <c r="F24" i="3"/>
  <c r="D25" i="3"/>
  <c r="E25" i="3"/>
  <c r="F25" i="3"/>
  <c r="D26" i="3"/>
  <c r="H26" i="3" s="1"/>
  <c r="E26" i="3"/>
  <c r="F26" i="3"/>
  <c r="D27" i="3"/>
  <c r="E27" i="3"/>
  <c r="H27" i="3" s="1"/>
  <c r="F27" i="3"/>
  <c r="D28" i="3"/>
  <c r="E28" i="3"/>
  <c r="G28" i="3" s="1"/>
  <c r="F28" i="3"/>
  <c r="D29" i="3"/>
  <c r="E29" i="3"/>
  <c r="F29" i="3"/>
  <c r="D30" i="3"/>
  <c r="E30" i="3"/>
  <c r="G30" i="3" s="1"/>
  <c r="F30" i="3"/>
  <c r="D36" i="3"/>
  <c r="E36" i="3"/>
  <c r="H36" i="3" s="1"/>
  <c r="F36" i="3"/>
  <c r="D37" i="3"/>
  <c r="E37" i="3"/>
  <c r="G37" i="3" s="1"/>
  <c r="F37" i="3"/>
  <c r="G29" i="3" l="1"/>
  <c r="G24" i="3"/>
  <c r="H22" i="3"/>
  <c r="G36" i="3"/>
  <c r="H30" i="3"/>
  <c r="G27" i="3"/>
  <c r="G25" i="3"/>
  <c r="G20" i="3"/>
  <c r="H29" i="3"/>
  <c r="G26" i="3"/>
  <c r="G23" i="3"/>
  <c r="G21" i="3"/>
  <c r="H25" i="3"/>
  <c r="H21" i="3"/>
  <c r="H37" i="3"/>
  <c r="H28" i="3"/>
  <c r="H24" i="3"/>
  <c r="H20" i="3"/>
  <c r="E130" i="1"/>
  <c r="G130" i="1" s="1"/>
  <c r="D132" i="1" l="1"/>
  <c r="G131" i="1"/>
  <c r="D131" i="1"/>
  <c r="H131" i="1" s="1"/>
  <c r="D130" i="1"/>
  <c r="H130" i="1" s="1"/>
  <c r="F129" i="1"/>
  <c r="D129" i="1"/>
  <c r="F128" i="1"/>
  <c r="E128" i="1"/>
  <c r="D128" i="1"/>
  <c r="F127" i="1"/>
  <c r="E127" i="1"/>
  <c r="D127" i="1"/>
  <c r="F126" i="1"/>
  <c r="E126" i="1"/>
  <c r="D126" i="1"/>
  <c r="F125" i="1"/>
  <c r="E125" i="1"/>
  <c r="D125" i="1"/>
  <c r="F120" i="1"/>
  <c r="E120" i="1"/>
  <c r="D120" i="1"/>
  <c r="E119" i="1"/>
  <c r="D119" i="1"/>
  <c r="F118" i="1"/>
  <c r="E118" i="1"/>
  <c r="D118" i="1"/>
  <c r="F117" i="1"/>
  <c r="D117" i="1"/>
  <c r="F116" i="1"/>
  <c r="E116" i="1"/>
  <c r="D116" i="1"/>
  <c r="F115" i="1"/>
  <c r="D115" i="1"/>
  <c r="F114" i="1"/>
  <c r="D114" i="1"/>
  <c r="F113" i="1"/>
  <c r="D113" i="1"/>
  <c r="H118" i="1" l="1"/>
  <c r="G118" i="1"/>
  <c r="H117" i="1"/>
  <c r="G117" i="1"/>
  <c r="H120" i="1"/>
  <c r="G120" i="1"/>
  <c r="H128" i="1"/>
  <c r="G128" i="1"/>
  <c r="H114" i="1"/>
  <c r="G114" i="1"/>
  <c r="H126" i="1"/>
  <c r="G126" i="1"/>
  <c r="H132" i="1"/>
  <c r="H113" i="1"/>
  <c r="H125" i="1"/>
  <c r="G125" i="1"/>
  <c r="H129" i="1"/>
  <c r="G129" i="1"/>
  <c r="H116" i="1"/>
  <c r="G116" i="1"/>
  <c r="H115" i="1"/>
  <c r="G115" i="1"/>
  <c r="H119" i="1"/>
  <c r="G119" i="1"/>
  <c r="H127" i="1"/>
  <c r="G127" i="1"/>
  <c r="G113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I27" authorId="0" guid="{7EE9DC19-1016-46DE-8BE2-3130D62EDD6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guid="{9E98D8F5-1D91-4716-99DD-1FC3BABA2AD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K74" authorId="0" guid="{C207DAE2-6DE3-49C2-BA9E-834311A5929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</commentList>
</comments>
</file>

<file path=xl/sharedStrings.xml><?xml version="1.0" encoding="utf-8"?>
<sst xmlns="http://schemas.openxmlformats.org/spreadsheetml/2006/main" count="1185" uniqueCount="297">
  <si>
    <t>No</t>
  </si>
  <si>
    <t>Type</t>
  </si>
  <si>
    <t>ASW</t>
  </si>
  <si>
    <t>PSW</t>
  </si>
  <si>
    <t>No\Type</t>
  </si>
  <si>
    <t>Member</t>
  </si>
  <si>
    <t>hieu.nguyen-trung</t>
  </si>
  <si>
    <t>duong.nguyen-tuan</t>
  </si>
  <si>
    <t>TaskGroup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</si>
  <si>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</si>
  <si>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</si>
  <si>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</si>
  <si>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</si>
  <si>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</si>
  <si>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</si>
  <si>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LOC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</si>
  <si>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</si>
  <si>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</si>
  <si>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</si>
  <si>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</si>
  <si>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</si>
  <si>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</si>
  <si>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</si>
  <si>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</si>
  <si>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</si>
  <si>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</si>
  <si>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Total Day</t>
  </si>
  <si>
    <t>Ongoing</t>
  </si>
  <si>
    <t>Total Loc Assigned</t>
  </si>
  <si>
    <t>Total LOC Complete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</si>
  <si>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</si>
  <si>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</si>
  <si>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</si>
  <si>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</si>
  <si>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</si>
  <si>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</si>
  <si>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</si>
  <si>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???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</si>
  <si>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</si>
  <si>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</si>
  <si>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</si>
  <si>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</si>
  <si>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</si>
  <si>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</si>
  <si>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</si>
  <si>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</si>
  <si>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</si>
  <si>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Defects / OPLs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</si>
  <si>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</si>
  <si>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</si>
  <si>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</si>
  <si>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</si>
  <si>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</si>
  <si>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</si>
  <si>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</si>
  <si>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</si>
  <si>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</si>
  <si>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</si>
  <si>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</si>
  <si>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</si>
  <si>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</si>
  <si>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</si>
  <si>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</si>
  <si>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</si>
  <si>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</si>
  <si>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</si>
  <si>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</si>
  <si>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</si>
  <si>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Estimation hour</t>
  </si>
  <si>
    <t>Task Jira</t>
  </si>
  <si>
    <t>PAP_Odometry</t>
  </si>
  <si>
    <t>Project</t>
  </si>
  <si>
    <t>ComponentName</t>
  </si>
  <si>
    <t>TaskID</t>
  </si>
  <si>
    <t>ItemName</t>
  </si>
  <si>
    <t>GAC_220680_Carbon_A18_ESPHevx_FPA/RPA_BL03</t>
  </si>
  <si>
    <t>MC_227282_SGMW_E200_Plus_ESPCPiGen9.3_BSS04_SP02</t>
  </si>
  <si>
    <t>241595_GAC_A27_ESP9.3CP_BL04</t>
  </si>
  <si>
    <t>223331_GAC_A39_Carbon_ESP9.3HD_OBD_BL07</t>
  </si>
  <si>
    <t>rb\as\gaig\prj\dsmpr\src\RBVoltageHandler\src\</t>
  </si>
  <si>
    <t>rb\as\sgmw\CN210S\app\net\RBScl\RBScl_SGMW\src\</t>
  </si>
  <si>
    <t>rb\as\gaig\A10\dsmpr\src\RBHMI\src\</t>
  </si>
  <si>
    <t>rb\as\cnms_core\app\obd\ObdCyclesHandler\src\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</si>
  <si>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</si>
  <si>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</si>
  <si>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</si>
  <si>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</si>
  <si>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</si>
  <si>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</si>
  <si>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</si>
  <si>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</si>
  <si>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ItemRevision</t>
  </si>
  <si>
    <t>4.2.104.1</t>
  </si>
  <si>
    <t>MC_232534_SGMW_CN202C_ESP9.3CPi_ACC_BSS04_SP02</t>
  </si>
  <si>
    <t xml:space="preserve">RBAPLCust\src\ESP\        </t>
  </si>
  <si>
    <t>RBAPLCUST_EOLDelayCtrlOrAPBMi.c</t>
  </si>
  <si>
    <t>RBAPLCUST_RDBI_TPMS.c</t>
  </si>
  <si>
    <t xml:space="preserve">RBAPLCust\src\ESP\ 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</si>
  <si>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</si>
  <si>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</si>
  <si>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</si>
  <si>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</si>
  <si>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</si>
  <si>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</si>
  <si>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</si>
  <si>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</si>
  <si>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</si>
  <si>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</si>
  <si>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</si>
  <si>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</si>
  <si>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</si>
  <si>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</si>
  <si>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</si>
  <si>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</si>
  <si>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Tool collect 286 ELOC, but the real is 59</t>
  </si>
  <si>
    <t>GAC_ESP93CP_Int</t>
  </si>
  <si>
    <t>BB</t>
  </si>
  <si>
    <t>bb99885</t>
  </si>
  <si>
    <t>BB81650 &amp; BB81651</t>
  </si>
  <si>
    <t>bb99735</t>
  </si>
  <si>
    <t>BB81261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</si>
  <si>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</si>
  <si>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</si>
  <si>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</si>
  <si>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</si>
  <si>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</si>
  <si>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</si>
  <si>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</si>
  <si>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</si>
  <si>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</si>
  <si>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</si>
  <si>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</si>
  <si>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</si>
  <si>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</si>
  <si>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</si>
  <si>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</si>
  <si>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</si>
  <si>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</si>
  <si>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</si>
  <si>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</si>
  <si>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</si>
  <si>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</si>
  <si>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</si>
  <si>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</si>
  <si>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</si>
  <si>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</si>
  <si>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</si>
  <si>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</si>
  <si>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</si>
  <si>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</si>
  <si>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</si>
  <si>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</si>
  <si>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</si>
  <si>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</si>
  <si>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</si>
  <si>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</si>
  <si>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</si>
  <si>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</si>
  <si>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</si>
  <si>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</si>
  <si>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</si>
  <si>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</si>
  <si>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</si>
  <si>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</si>
  <si>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</si>
  <si>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</si>
  <si>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</si>
  <si>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</si>
  <si>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</si>
  <si>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</si>
  <si>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</si>
  <si>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</si>
  <si>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</si>
  <si>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</si>
  <si>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</si>
  <si>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</si>
  <si>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</si>
  <si>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</si>
  <si>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</si>
  <si>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</si>
  <si>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</si>
  <si>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</si>
  <si>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</si>
  <si>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</si>
  <si>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</si>
  <si>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</si>
  <si>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</si>
  <si>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</si>
  <si>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</si>
  <si>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</si>
  <si>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</si>
  <si>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T01</t>
  </si>
  <si>
    <t>T02</t>
  </si>
  <si>
    <t>T03</t>
  </si>
  <si>
    <t>Owner Contact</t>
  </si>
  <si>
    <t>Remark</t>
  </si>
  <si>
    <t>Got 1 defect
Reason:  not send to internal team</t>
  </si>
  <si>
    <t>CHEN Xiaomin (CC-AS/EVA-SW31-CN)</t>
  </si>
  <si>
    <t>WANG Yang (CC-AS/EVA-SW32-CN)</t>
  </si>
  <si>
    <t>MIAO Huafeng (CC-AS/EVA-SW32-CN)</t>
  </si>
  <si>
    <t>QIAN Li (CC-AS/EVA-SW2-CN)</t>
  </si>
  <si>
    <t>SUN Yun (CC-AS/EVA-SW31-CN)</t>
  </si>
  <si>
    <t>ZHANG Yu (CC-AS/EVA-SW31-CN)</t>
  </si>
  <si>
    <t>GUO Sasa (CC-AS/EVA-SW3-CN)</t>
  </si>
  <si>
    <t>Ngo Nhat Tan (RBVH/EAS12)</t>
  </si>
  <si>
    <t>Nguyen Quang Vinh (RBVH/EAS15)</t>
  </si>
  <si>
    <t>LU Martin (CC-AS/ESW2-CN)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</si>
  <si>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</si>
  <si>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</si>
  <si>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</si>
  <si>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</si>
  <si>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</si>
  <si>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</si>
  <si>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</si>
  <si>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</si>
  <si>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</si>
  <si>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</si>
  <si>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</si>
  <si>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</si>
  <si>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</si>
  <si>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</si>
  <si>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</si>
  <si>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</si>
  <si>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</si>
  <si>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</si>
  <si>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</si>
  <si>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</si>
  <si>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</si>
  <si>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</si>
  <si>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</si>
  <si>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</si>
  <si>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</si>
  <si>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</si>
  <si>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</si>
  <si>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</si>
  <si>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</si>
  <si>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</si>
  <si>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</si>
  <si>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</si>
  <si>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</si>
  <si>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</si>
  <si>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</si>
  <si>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</si>
  <si>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</si>
  <si>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</si>
  <si>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</si>
  <si>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</si>
  <si>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</si>
  <si>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</si>
  <si>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HU Evan (CC-AS/EVA-SW33-CN)</t>
  </si>
  <si>
    <t>OPL It does not impact to SW functionality.</t>
  </si>
  <si>
    <t>rb\as\BYD\ipb\app\net\RBScl\Scl_Callout\src</t>
  </si>
  <si>
    <t>Waiting for OPL answer.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</si>
  <si>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</si>
  <si>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</si>
  <si>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</si>
  <si>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</si>
  <si>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</si>
  <si>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</si>
  <si>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</si>
  <si>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</si>
  <si>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</si>
  <si>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</si>
  <si>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</si>
  <si>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</si>
  <si>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</si>
  <si>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</si>
  <si>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</si>
  <si>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XU Sherry (CC-AS/EVA-SW2-CN)</t>
  </si>
  <si>
    <t>BAO Eric (CC-AS/EVA-SW32-CN)</t>
  </si>
  <si>
    <t>225378_FAW_D357_High_BL31</t>
  </si>
  <si>
    <t>rb.as.fawMP.fawcore.app.tpms\MW\Common\src\</t>
  </si>
  <si>
    <t xml:space="preserve">rb.as.fawMP.fawcore.app.dsm\RBWarningIndicator\src\              </t>
  </si>
  <si>
    <t xml:space="preserve">rb.as.fawMP.prjConf.app.asw.apbmi\host\PDM\APBHostData_Project_C\SRC\  </t>
  </si>
  <si>
    <t xml:space="preserve">rb.as.fawMP.prjConf.app.net\RbNetPrj\RBNet_Can\src\              </t>
  </si>
  <si>
    <t xml:space="preserve">rb.as.fawMP.prjConf.app.obd\ObdCvnCalId\src\                     </t>
  </si>
  <si>
    <t xml:space="preserve">rb.as.fawMP.prjConf.dsmpr\src\Cubas\ESM\EcuM\src\              </t>
  </si>
  <si>
    <t xml:space="preserve">rb.as.fawMP.prjConf.dsmpr\src\                                 </t>
  </si>
  <si>
    <t xml:space="preserve">rb.as.fawMP.prjConf.hswpr\tst\hswsim\src\                      </t>
  </si>
  <si>
    <t>rb.as.fawMP.prjConf.varcode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</si>
  <si>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</si>
  <si>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</si>
  <si>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</si>
  <si>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</si>
  <si>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</si>
  <si>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</si>
  <si>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</si>
  <si>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</si>
  <si>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</si>
  <si>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</si>
  <si>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</si>
  <si>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</si>
  <si>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</si>
  <si>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</si>
  <si>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</si>
  <si>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JIN Li (CC-AS/EVA-SW33-CN)</t>
  </si>
  <si>
    <t>SUN Nan (CC-AS/EVA-SW1-CN)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</si>
</sst>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1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rgb="FFFF0000"/>
      <name val="Calibri"/>
      <family val="2"/>
      <scheme val="minor"/>
    </font>
    <font>
      <sz val="10"/>
      <color rgb="FF80008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14" fontId="0" fillId="0" borderId="1" xfId="0" applyNumberFormat="1" applyBorder="1"/>
    <xf numFmtId="0" fontId="0" fillId="0" borderId="0" xfId="0" applyBorder="1"/>
    <xf numFmtId="10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2" borderId="1" xfId="0" applyFont="1" applyFill="1" applyBorder="1"/>
    <xf numFmtId="0" fontId="0" fillId="2" borderId="1" xfId="0" applyFill="1" applyBorder="1"/>
    <xf numFmtId="0" fontId="0" fillId="0" borderId="1" xfId="0" quotePrefix="1" applyBorder="1"/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0" fontId="0" fillId="2" borderId="1" xfId="0" applyFont="1" applyFill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6" borderId="1" xfId="0" applyFill="1" applyBorder="1"/>
    <xf numFmtId="0" fontId="0" fillId="0" borderId="0" xfId="0" applyAlignment="1">
      <alignment vertical="top"/>
    </xf>
    <xf numFmtId="0" fontId="7" fillId="0" borderId="1" xfId="0" applyFont="1" applyBorder="1"/>
    <xf numFmtId="0" fontId="0" fillId="0" borderId="0" xfId="0" applyFont="1" applyBorder="1" applyAlignment="1"/>
    <xf numFmtId="14" fontId="6" fillId="0" borderId="1" xfId="0" applyNumberFormat="1" applyFont="1" applyFill="1" applyBorder="1" applyAlignment="1" applyProtection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quotePrefix="1" applyFont="1" applyFill="1" applyBorder="1" applyAlignment="1">
      <alignment horizontal="left" vertical="top"/>
    </xf>
    <xf numFmtId="0" fontId="2" fillId="0" borderId="0" xfId="0" applyFont="1" applyFill="1" applyBorder="1"/>
    <xf numFmtId="0" fontId="12" fillId="0" borderId="2" xfId="0" applyFont="1" applyBorder="1" applyAlignment="1">
      <alignment vertical="center" wrapText="1"/>
    </xf>
    <xf numFmtId="0" fontId="14" fillId="7" borderId="2" xfId="0" applyFont="1" applyFill="1" applyBorder="1" applyAlignment="1">
      <alignment horizontal="right" vertical="center" wrapText="1"/>
    </xf>
    <xf numFmtId="0" fontId="12" fillId="0" borderId="2" xfId="0" applyFont="1" applyBorder="1" applyAlignment="1">
      <alignment horizontal="right" vertical="center" wrapText="1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usernames" Target="revisions/userNames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revisionHeaders" Target="revisions/revisionHeader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revisions/_rels/revisionHeaders.xml.rels><?xml version="1.0" encoding="UTF-8" standalone="yes"?>
<Relationships xmlns="http://schemas.openxmlformats.org/package/2006/relationships"><Relationship Id="rId26" Type="http://schemas.openxmlformats.org/officeDocument/2006/relationships/revisionLog" Target="revisionLog26.xml"/><Relationship Id="rId21" Type="http://schemas.openxmlformats.org/officeDocument/2006/relationships/revisionLog" Target="revisionLog21.xml"/><Relationship Id="rId34" Type="http://schemas.openxmlformats.org/officeDocument/2006/relationships/revisionLog" Target="revisionLog34.xml"/><Relationship Id="rId42" Type="http://schemas.openxmlformats.org/officeDocument/2006/relationships/revisionLog" Target="revisionLog42.xml"/><Relationship Id="rId47" Type="http://schemas.openxmlformats.org/officeDocument/2006/relationships/revisionLog" Target="revisionLog47.xml"/><Relationship Id="rId50" Type="http://schemas.openxmlformats.org/officeDocument/2006/relationships/revisionLog" Target="revisionLog50.xml"/><Relationship Id="rId55" Type="http://schemas.openxmlformats.org/officeDocument/2006/relationships/revisionLog" Target="revisionLog55.xml"/><Relationship Id="rId63" Type="http://schemas.openxmlformats.org/officeDocument/2006/relationships/revisionLog" Target="revisionLog63.xml"/><Relationship Id="rId68" Type="http://schemas.openxmlformats.org/officeDocument/2006/relationships/revisionLog" Target="revisionLog68.xml"/><Relationship Id="rId76" Type="http://schemas.openxmlformats.org/officeDocument/2006/relationships/revisionLog" Target="revisionLog76.xml"/><Relationship Id="rId84" Type="http://schemas.openxmlformats.org/officeDocument/2006/relationships/revisionLog" Target="revisionLog84.xml"/><Relationship Id="rId89" Type="http://schemas.openxmlformats.org/officeDocument/2006/relationships/revisionLog" Target="revisionLog89.xml"/><Relationship Id="rId97" Type="http://schemas.openxmlformats.org/officeDocument/2006/relationships/revisionLog" Target="revisionLog97.xml"/><Relationship Id="rId7" Type="http://schemas.openxmlformats.org/officeDocument/2006/relationships/revisionLog" Target="revisionLog7.xml"/><Relationship Id="rId71" Type="http://schemas.openxmlformats.org/officeDocument/2006/relationships/revisionLog" Target="revisionLog71.xml"/><Relationship Id="rId92" Type="http://schemas.openxmlformats.org/officeDocument/2006/relationships/revisionLog" Target="revisionLog92.xml"/><Relationship Id="rId2" Type="http://schemas.openxmlformats.org/officeDocument/2006/relationships/revisionLog" Target="revisionLog2.xml"/><Relationship Id="rId16" Type="http://schemas.openxmlformats.org/officeDocument/2006/relationships/revisionLog" Target="revisionLog16.xml"/><Relationship Id="rId29" Type="http://schemas.openxmlformats.org/officeDocument/2006/relationships/revisionLog" Target="revisionLog29.xml"/><Relationship Id="rId11" Type="http://schemas.openxmlformats.org/officeDocument/2006/relationships/revisionLog" Target="revisionLog11.xml"/><Relationship Id="rId24" Type="http://schemas.openxmlformats.org/officeDocument/2006/relationships/revisionLog" Target="revisionLog24.xml"/><Relationship Id="rId32" Type="http://schemas.openxmlformats.org/officeDocument/2006/relationships/revisionLog" Target="revisionLog32.xml"/><Relationship Id="rId37" Type="http://schemas.openxmlformats.org/officeDocument/2006/relationships/revisionLog" Target="revisionLog37.xml"/><Relationship Id="rId40" Type="http://schemas.openxmlformats.org/officeDocument/2006/relationships/revisionLog" Target="revisionLog40.xml"/><Relationship Id="rId45" Type="http://schemas.openxmlformats.org/officeDocument/2006/relationships/revisionLog" Target="revisionLog45.xml"/><Relationship Id="rId53" Type="http://schemas.openxmlformats.org/officeDocument/2006/relationships/revisionLog" Target="revisionLog53.xml"/><Relationship Id="rId58" Type="http://schemas.openxmlformats.org/officeDocument/2006/relationships/revisionLog" Target="revisionLog58.xml"/><Relationship Id="rId66" Type="http://schemas.openxmlformats.org/officeDocument/2006/relationships/revisionLog" Target="revisionLog66.xml"/><Relationship Id="rId74" Type="http://schemas.openxmlformats.org/officeDocument/2006/relationships/revisionLog" Target="revisionLog74.xml"/><Relationship Id="rId79" Type="http://schemas.openxmlformats.org/officeDocument/2006/relationships/revisionLog" Target="revisionLog79.xml"/><Relationship Id="rId87" Type="http://schemas.openxmlformats.org/officeDocument/2006/relationships/revisionLog" Target="revisionLog87.xml"/><Relationship Id="rId102" Type="http://schemas.openxmlformats.org/officeDocument/2006/relationships/revisionLog" Target="revisionLog102.xml"/><Relationship Id="rId5" Type="http://schemas.openxmlformats.org/officeDocument/2006/relationships/revisionLog" Target="revisionLog5.xml"/><Relationship Id="rId61" Type="http://schemas.openxmlformats.org/officeDocument/2006/relationships/revisionLog" Target="revisionLog61.xml"/><Relationship Id="rId82" Type="http://schemas.openxmlformats.org/officeDocument/2006/relationships/revisionLog" Target="revisionLog82.xml"/><Relationship Id="rId90" Type="http://schemas.openxmlformats.org/officeDocument/2006/relationships/revisionLog" Target="revisionLog90.xml"/><Relationship Id="rId95" Type="http://schemas.openxmlformats.org/officeDocument/2006/relationships/revisionLog" Target="revisionLog95.xml"/><Relationship Id="rId19" Type="http://schemas.openxmlformats.org/officeDocument/2006/relationships/revisionLog" Target="revisionLog19.xml"/><Relationship Id="rId14" Type="http://schemas.openxmlformats.org/officeDocument/2006/relationships/revisionLog" Target="revisionLog14.xml"/><Relationship Id="rId22" Type="http://schemas.openxmlformats.org/officeDocument/2006/relationships/revisionLog" Target="revisionLog22.xml"/><Relationship Id="rId27" Type="http://schemas.openxmlformats.org/officeDocument/2006/relationships/revisionLog" Target="revisionLog27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43" Type="http://schemas.openxmlformats.org/officeDocument/2006/relationships/revisionLog" Target="revisionLog43.xml"/><Relationship Id="rId48" Type="http://schemas.openxmlformats.org/officeDocument/2006/relationships/revisionLog" Target="revisionLog48.xml"/><Relationship Id="rId56" Type="http://schemas.openxmlformats.org/officeDocument/2006/relationships/revisionLog" Target="revisionLog56.xml"/><Relationship Id="rId64" Type="http://schemas.openxmlformats.org/officeDocument/2006/relationships/revisionLog" Target="revisionLog64.xml"/><Relationship Id="rId69" Type="http://schemas.openxmlformats.org/officeDocument/2006/relationships/revisionLog" Target="revisionLog69.xml"/><Relationship Id="rId77" Type="http://schemas.openxmlformats.org/officeDocument/2006/relationships/revisionLog" Target="revisionLog77.xml"/><Relationship Id="rId100" Type="http://schemas.openxmlformats.org/officeDocument/2006/relationships/revisionLog" Target="revisionLog100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72" Type="http://schemas.openxmlformats.org/officeDocument/2006/relationships/revisionLog" Target="revisionLog72.xml"/><Relationship Id="rId80" Type="http://schemas.openxmlformats.org/officeDocument/2006/relationships/revisionLog" Target="revisionLog80.xml"/><Relationship Id="rId85" Type="http://schemas.openxmlformats.org/officeDocument/2006/relationships/revisionLog" Target="revisionLog85.xml"/><Relationship Id="rId93" Type="http://schemas.openxmlformats.org/officeDocument/2006/relationships/revisionLog" Target="revisionLog93.xml"/><Relationship Id="rId98" Type="http://schemas.openxmlformats.org/officeDocument/2006/relationships/revisionLog" Target="revisionLog98.xml"/><Relationship Id="rId3" Type="http://schemas.openxmlformats.org/officeDocument/2006/relationships/revisionLog" Target="revisionLog3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25" Type="http://schemas.openxmlformats.org/officeDocument/2006/relationships/revisionLog" Target="revisionLog25.xml"/><Relationship Id="rId33" Type="http://schemas.openxmlformats.org/officeDocument/2006/relationships/revisionLog" Target="revisionLog33.xml"/><Relationship Id="rId38" Type="http://schemas.openxmlformats.org/officeDocument/2006/relationships/revisionLog" Target="revisionLog38.xml"/><Relationship Id="rId46" Type="http://schemas.openxmlformats.org/officeDocument/2006/relationships/revisionLog" Target="revisionLog46.xml"/><Relationship Id="rId59" Type="http://schemas.openxmlformats.org/officeDocument/2006/relationships/revisionLog" Target="revisionLog59.xml"/><Relationship Id="rId67" Type="http://schemas.openxmlformats.org/officeDocument/2006/relationships/revisionLog" Target="revisionLog67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54" Type="http://schemas.openxmlformats.org/officeDocument/2006/relationships/revisionLog" Target="revisionLog54.xml"/><Relationship Id="rId62" Type="http://schemas.openxmlformats.org/officeDocument/2006/relationships/revisionLog" Target="revisionLog62.xml"/><Relationship Id="rId70" Type="http://schemas.openxmlformats.org/officeDocument/2006/relationships/revisionLog" Target="revisionLog70.xml"/><Relationship Id="rId75" Type="http://schemas.openxmlformats.org/officeDocument/2006/relationships/revisionLog" Target="revisionLog75.xml"/><Relationship Id="rId83" Type="http://schemas.openxmlformats.org/officeDocument/2006/relationships/revisionLog" Target="revisionLog83.xml"/><Relationship Id="rId88" Type="http://schemas.openxmlformats.org/officeDocument/2006/relationships/revisionLog" Target="revisionLog88.xml"/><Relationship Id="rId91" Type="http://schemas.openxmlformats.org/officeDocument/2006/relationships/revisionLog" Target="revisionLog91.xml"/><Relationship Id="rId96" Type="http://schemas.openxmlformats.org/officeDocument/2006/relationships/revisionLog" Target="revisionLog96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15" Type="http://schemas.openxmlformats.org/officeDocument/2006/relationships/revisionLog" Target="revisionLog15.xml"/><Relationship Id="rId23" Type="http://schemas.openxmlformats.org/officeDocument/2006/relationships/revisionLog" Target="revisionLog23.xml"/><Relationship Id="rId28" Type="http://schemas.openxmlformats.org/officeDocument/2006/relationships/revisionLog" Target="revisionLog28.xml"/><Relationship Id="rId36" Type="http://schemas.openxmlformats.org/officeDocument/2006/relationships/revisionLog" Target="revisionLog36.xml"/><Relationship Id="rId49" Type="http://schemas.openxmlformats.org/officeDocument/2006/relationships/revisionLog" Target="revisionLog49.xml"/><Relationship Id="rId57" Type="http://schemas.openxmlformats.org/officeDocument/2006/relationships/revisionLog" Target="revisionLog57.xml"/><Relationship Id="rId10" Type="http://schemas.openxmlformats.org/officeDocument/2006/relationships/revisionLog" Target="revisionLog10.xml"/><Relationship Id="rId31" Type="http://schemas.openxmlformats.org/officeDocument/2006/relationships/revisionLog" Target="revisionLog31.xml"/><Relationship Id="rId44" Type="http://schemas.openxmlformats.org/officeDocument/2006/relationships/revisionLog" Target="revisionLog44.xml"/><Relationship Id="rId52" Type="http://schemas.openxmlformats.org/officeDocument/2006/relationships/revisionLog" Target="revisionLog52.xml"/><Relationship Id="rId60" Type="http://schemas.openxmlformats.org/officeDocument/2006/relationships/revisionLog" Target="revisionLog60.xml"/><Relationship Id="rId65" Type="http://schemas.openxmlformats.org/officeDocument/2006/relationships/revisionLog" Target="revisionLog65.xml"/><Relationship Id="rId73" Type="http://schemas.openxmlformats.org/officeDocument/2006/relationships/revisionLog" Target="revisionLog73.xml"/><Relationship Id="rId78" Type="http://schemas.openxmlformats.org/officeDocument/2006/relationships/revisionLog" Target="revisionLog78.xml"/><Relationship Id="rId81" Type="http://schemas.openxmlformats.org/officeDocument/2006/relationships/revisionLog" Target="revisionLog81.xml"/><Relationship Id="rId86" Type="http://schemas.openxmlformats.org/officeDocument/2006/relationships/revisionLog" Target="revisionLog86.xml"/><Relationship Id="rId94" Type="http://schemas.openxmlformats.org/officeDocument/2006/relationships/revisionLog" Target="revisionLog94.xml"/><Relationship Id="rId99" Type="http://schemas.openxmlformats.org/officeDocument/2006/relationships/revisionLog" Target="revisionLog99.xml"/><Relationship Id="rId101" Type="http://schemas.openxmlformats.org/officeDocument/2006/relationships/revisionLog" Target="revisionLog101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39" Type="http://schemas.openxmlformats.org/officeDocument/2006/relationships/revisionLog" Target="revisionLog39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E69578E4-3EE9-402A-B07C-A84273DA19EA}" diskRevisions="1" revisionId="1126" version="102">
  <header guid="{74431293-53F3-49CE-ABFF-73DC8F6F7793}" dateTime="2020-03-05T10:22:27" maxSheetId="7" userName="EXTERNAL Nguyen Tuan Duong (Ban Vien, RBVH/EPS45)" r:id="rId1">
    <sheetIdMap count="6">
      <sheetId val="1"/>
      <sheetId val="2"/>
      <sheetId val="3"/>
      <sheetId val="4"/>
      <sheetId val="5"/>
      <sheetId val="6"/>
    </sheetIdMap>
  </header>
  <header guid="{787E104E-50D2-4281-B45D-59ECD890272A}" dateTime="2020-03-05T10:23:35" maxSheetId="7" userName="EXTERNAL Nguyen Tuan Duong (Ban Vien, RBVH/EPS45)" r:id="rId2">
    <sheetIdMap count="6">
      <sheetId val="1"/>
      <sheetId val="2"/>
      <sheetId val="3"/>
      <sheetId val="4"/>
      <sheetId val="5"/>
      <sheetId val="6"/>
    </sheetIdMap>
  </header>
  <header guid="{D19C0442-885F-44AE-BCE8-ACB9974A7204}" dateTime="2020-03-05T10:53:27" maxSheetId="7" userName="EXTERNAL Nguyen Trung Hieu (Ban Vien, RBVH/EPS45)" r:id="rId3" minRId="4" maxRId="8">
    <sheetIdMap count="6">
      <sheetId val="1"/>
      <sheetId val="2"/>
      <sheetId val="3"/>
      <sheetId val="4"/>
      <sheetId val="5"/>
      <sheetId val="6"/>
    </sheetIdMap>
  </header>
  <header guid="{39750E3E-BF69-4115-85E6-BA23E7E162B2}" dateTime="2020-03-05T10:56:17" maxSheetId="7" userName="EXTERNAL Nguyen Trung Hieu (Ban Vien, RBVH/EPS45)" r:id="rId4" minRId="11">
    <sheetIdMap count="6">
      <sheetId val="1"/>
      <sheetId val="2"/>
      <sheetId val="3"/>
      <sheetId val="4"/>
      <sheetId val="5"/>
      <sheetId val="6"/>
    </sheetIdMap>
  </header>
  <header guid="{A318881E-23E7-428A-A513-000CEC7C398E}" dateTime="2020-03-05T10:56:30" maxSheetId="7" userName="EXTERNAL Nguyen Trung Hieu (Ban Vien, RBVH/EPS45)" r:id="rId5" minRId="14">
    <sheetIdMap count="6">
      <sheetId val="1"/>
      <sheetId val="2"/>
      <sheetId val="3"/>
      <sheetId val="4"/>
      <sheetId val="5"/>
      <sheetId val="6"/>
    </sheetIdMap>
  </header>
  <header guid="{F92278BF-0B54-4F44-913D-0A88A0CDCA0C}" dateTime="2020-03-05T10:57:17" maxSheetId="7" userName="EXTERNAL Do Phu Loc (Ban Vien, RBVH/EPS45)" r:id="rId6" minRId="15" maxRId="22">
    <sheetIdMap count="6">
      <sheetId val="1"/>
      <sheetId val="2"/>
      <sheetId val="3"/>
      <sheetId val="4"/>
      <sheetId val="5"/>
      <sheetId val="6"/>
    </sheetIdMap>
  </header>
  <header guid="{56A4280C-A9B2-4D94-9808-96540308EC9C}" dateTime="2020-03-05T10:57:38" maxSheetId="7" userName="EXTERNAL Nguyen Trung Hieu (Ban Vien, RBVH/EPS45)" r:id="rId7" minRId="26" maxRId="27">
    <sheetIdMap count="6">
      <sheetId val="1"/>
      <sheetId val="2"/>
      <sheetId val="3"/>
      <sheetId val="4"/>
      <sheetId val="5"/>
      <sheetId val="6"/>
    </sheetIdMap>
  </header>
  <header guid="{F3A4C507-453C-4413-A48F-6A1C13EC87A1}" dateTime="2020-03-05T11:02:37" maxSheetId="7" userName="EXTERNAL Do Phu Loc (Ban Vien, RBVH/EPS45)" r:id="rId8" minRId="28" maxRId="30">
    <sheetIdMap count="6">
      <sheetId val="1"/>
      <sheetId val="2"/>
      <sheetId val="3"/>
      <sheetId val="4"/>
      <sheetId val="5"/>
      <sheetId val="6"/>
    </sheetIdMap>
  </header>
  <header guid="{6628388D-D323-4244-A899-F71A32B11672}" dateTime="2020-03-05T11:31:15" maxSheetId="7" userName="EXTERNAL Nguyen Trung Hieu (Ban Vien, RBVH/EPS45)" r:id="rId9" minRId="34" maxRId="36">
    <sheetIdMap count="6">
      <sheetId val="1"/>
      <sheetId val="2"/>
      <sheetId val="3"/>
      <sheetId val="4"/>
      <sheetId val="5"/>
      <sheetId val="6"/>
    </sheetIdMap>
  </header>
  <header guid="{BD504273-E626-47D6-8FE3-24A5A9545363}" dateTime="2020-03-05T11:33:51" maxSheetId="7" userName="EXTERNAL Nguyen Trung Hieu (Ban Vien, RBVH/EPS45)" r:id="rId10" minRId="39" maxRId="43">
    <sheetIdMap count="6">
      <sheetId val="1"/>
      <sheetId val="2"/>
      <sheetId val="3"/>
      <sheetId val="4"/>
      <sheetId val="5"/>
      <sheetId val="6"/>
    </sheetIdMap>
  </header>
  <header guid="{C78B693B-36C8-41BE-A772-366E634F2278}" dateTime="2020-03-05T11:44:22" maxSheetId="7" userName="EXTERNAL Do Phu Loc (Ban Vien, RBVH/EPS45)" r:id="rId11" minRId="44" maxRId="48">
    <sheetIdMap count="6">
      <sheetId val="1"/>
      <sheetId val="2"/>
      <sheetId val="3"/>
      <sheetId val="4"/>
      <sheetId val="5"/>
      <sheetId val="6"/>
    </sheetIdMap>
  </header>
  <header guid="{E967EB54-C11C-4DF8-98D6-8B664B8CCBE5}" dateTime="2020-03-05T11:45:42" maxSheetId="7" userName="EXTERNAL Do Phu Loc (Ban Vien, RBVH/EPS45)" r:id="rId12" minRId="52" maxRId="53">
    <sheetIdMap count="6">
      <sheetId val="1"/>
      <sheetId val="2"/>
      <sheetId val="3"/>
      <sheetId val="4"/>
      <sheetId val="5"/>
      <sheetId val="6"/>
    </sheetIdMap>
  </header>
  <header guid="{FDCF01E7-8F1F-4ACA-8B6E-6098CA3DD0D3}" dateTime="2020-03-05T13:08:49" maxSheetId="7" userName="EXTERNAL Nguyen Kim Thanh (Ban Vien, RBVH/EPS45)" r:id="rId13" minRId="57" maxRId="66">
    <sheetIdMap count="6">
      <sheetId val="1"/>
      <sheetId val="2"/>
      <sheetId val="3"/>
      <sheetId val="4"/>
      <sheetId val="5"/>
      <sheetId val="6"/>
    </sheetIdMap>
  </header>
  <header guid="{CB4F6AA4-DB91-48CB-B7DC-75AE96698C7D}" dateTime="2020-03-05T13:24:34" maxSheetId="7" userName="EXTERNAL Do Phu Loc (Ban Vien, RBVH/EPS45)" r:id="rId14" minRId="70">
    <sheetIdMap count="6">
      <sheetId val="1"/>
      <sheetId val="2"/>
      <sheetId val="3"/>
      <sheetId val="4"/>
      <sheetId val="5"/>
      <sheetId val="6"/>
    </sheetIdMap>
  </header>
  <header guid="{9C2A4EE2-4759-46C4-B791-C79DB58A6FFC}" dateTime="2020-03-05T13:44:41" maxSheetId="7" userName="EXTERNAL Nguyen Tai Hau (Ban Vien, RBVH/EPS45)" r:id="rId15" minRId="74" maxRId="81">
    <sheetIdMap count="6">
      <sheetId val="1"/>
      <sheetId val="2"/>
      <sheetId val="3"/>
      <sheetId val="4"/>
      <sheetId val="5"/>
      <sheetId val="6"/>
    </sheetIdMap>
  </header>
  <header guid="{CF1C6362-5644-449E-986C-8291A2838E67}" dateTime="2020-03-05T13:45:21" maxSheetId="7" userName="EXTERNAL Nguyen Tai Hau (Ban Vien, RBVH/EPS45)" r:id="rId16">
    <sheetIdMap count="6">
      <sheetId val="1"/>
      <sheetId val="2"/>
      <sheetId val="3"/>
      <sheetId val="4"/>
      <sheetId val="5"/>
      <sheetId val="6"/>
    </sheetIdMap>
  </header>
  <header guid="{FB33A9F0-952E-49F0-AF89-EC157DF70D1B}" dateTime="2020-03-05T13:45:52" maxSheetId="7" userName="EXTERNAL Nguyen Tai Hau (Ban Vien, RBVH/EPS45)" r:id="rId17" minRId="88" maxRId="89">
    <sheetIdMap count="6">
      <sheetId val="1"/>
      <sheetId val="2"/>
      <sheetId val="3"/>
      <sheetId val="4"/>
      <sheetId val="5"/>
      <sheetId val="6"/>
    </sheetIdMap>
  </header>
  <header guid="{6EBA35DD-5DAA-4247-83BE-146EBC958DD9}" dateTime="2020-03-05T13:46:11" maxSheetId="7" userName="EXTERNAL Nguyen Tai Hau (Ban Vien, RBVH/EPS45)" r:id="rId18" minRId="90">
    <sheetIdMap count="6">
      <sheetId val="1"/>
      <sheetId val="2"/>
      <sheetId val="3"/>
      <sheetId val="4"/>
      <sheetId val="5"/>
      <sheetId val="6"/>
    </sheetIdMap>
  </header>
  <header guid="{861837A5-9501-437D-9ECA-E28B191C7DF9}" dateTime="2020-03-05T14:03:42" maxSheetId="7" userName="EXTERNAL Nguyen Tai Hau (Ban Vien, RBVH/EPS45)" r:id="rId19" minRId="91" maxRId="93">
    <sheetIdMap count="6">
      <sheetId val="1"/>
      <sheetId val="2"/>
      <sheetId val="3"/>
      <sheetId val="4"/>
      <sheetId val="5"/>
      <sheetId val="6"/>
    </sheetIdMap>
  </header>
  <header guid="{519D7FB4-E00B-44C1-8892-70AB274FFEA2}" dateTime="2020-03-05T14:03:56" maxSheetId="7" userName="EXTERNAL Nguyen Trung Hieu (Ban Vien, RBVH/EPS45)" r:id="rId20" minRId="97">
    <sheetIdMap count="6">
      <sheetId val="1"/>
      <sheetId val="2"/>
      <sheetId val="3"/>
      <sheetId val="4"/>
      <sheetId val="5"/>
      <sheetId val="6"/>
    </sheetIdMap>
  </header>
  <header guid="{4711499D-1D3F-4264-8AF8-02E96382EBF4}" dateTime="2020-03-05T14:10:24" maxSheetId="7" userName="EXTERNAL Nguyen Trung Hieu (Ban Vien, RBVH/EPS45)" r:id="rId21" minRId="100">
    <sheetIdMap count="6">
      <sheetId val="1"/>
      <sheetId val="2"/>
      <sheetId val="3"/>
      <sheetId val="4"/>
      <sheetId val="5"/>
      <sheetId val="6"/>
    </sheetIdMap>
  </header>
  <header guid="{86765A73-13F9-4F06-AE75-35AD412DD5D5}" dateTime="2020-03-05T14:22:18" maxSheetId="7" userName="EXTERNAL Do Phu Loc (Ban Vien, RBVH/EPS45)" r:id="rId22" minRId="103" maxRId="111">
    <sheetIdMap count="6">
      <sheetId val="1"/>
      <sheetId val="2"/>
      <sheetId val="3"/>
      <sheetId val="4"/>
      <sheetId val="5"/>
      <sheetId val="6"/>
    </sheetIdMap>
  </header>
  <header guid="{E9587295-4F81-4CB8-93B1-723DCB931BD6}" dateTime="2020-03-05T14:50:49" maxSheetId="7" userName="EXTERNAL Nguyen Trung Hieu (Ban Vien, RBVH/EPS45)" r:id="rId23" minRId="115" maxRId="116">
    <sheetIdMap count="6">
      <sheetId val="1"/>
      <sheetId val="2"/>
      <sheetId val="3"/>
      <sheetId val="4"/>
      <sheetId val="5"/>
      <sheetId val="6"/>
    </sheetIdMap>
  </header>
  <header guid="{A15101F5-964E-47CE-88E3-956132EBA606}" dateTime="2020-03-05T14:51:19" maxSheetId="7" userName="EXTERNAL Nguyen Tai Hau (Ban Vien, RBVH/EPS45)" r:id="rId24">
    <sheetIdMap count="6">
      <sheetId val="1"/>
      <sheetId val="2"/>
      <sheetId val="3"/>
      <sheetId val="4"/>
      <sheetId val="5"/>
      <sheetId val="6"/>
    </sheetIdMap>
  </header>
  <header guid="{D7DB0C6A-B51A-49ED-BC76-9D3864DB150D}" dateTime="2020-03-05T14:57:17" maxSheetId="7" userName="EXTERNAL Nguyen Kim Thanh (Ban Vien, RBVH/EPS45)" r:id="rId25" minRId="122" maxRId="129">
    <sheetIdMap count="6">
      <sheetId val="1"/>
      <sheetId val="2"/>
      <sheetId val="3"/>
      <sheetId val="4"/>
      <sheetId val="5"/>
      <sheetId val="6"/>
    </sheetIdMap>
  </header>
  <header guid="{E2751506-0EB7-48EC-9B7D-DAAB524708E2}" dateTime="2020-03-05T16:22:04" maxSheetId="7" userName="EXTERNAL Nguyen Kim Thanh (Ban Vien, RBVH/EPS45)" r:id="rId26" minRId="133" maxRId="134">
    <sheetIdMap count="6">
      <sheetId val="1"/>
      <sheetId val="2"/>
      <sheetId val="3"/>
      <sheetId val="4"/>
      <sheetId val="5"/>
      <sheetId val="6"/>
    </sheetIdMap>
  </header>
  <header guid="{40348369-CCB6-40BF-99C0-32ADBE322A17}" dateTime="2020-03-05T17:37:52" maxSheetId="7" userName="EXTERNAL Do Phu Loc (Ban Vien, RBVH/EPS45)" r:id="rId27" minRId="138" maxRId="147">
    <sheetIdMap count="6">
      <sheetId val="1"/>
      <sheetId val="2"/>
      <sheetId val="3"/>
      <sheetId val="4"/>
      <sheetId val="5"/>
      <sheetId val="6"/>
    </sheetIdMap>
  </header>
  <header guid="{96837A37-CE6B-4EC7-80D6-32B34CDE5C24}" dateTime="2020-03-05T17:59:50" maxSheetId="7" userName="EXTERNAL Nguyen Tai Hau (Ban Vien, RBVH/EPS45)" r:id="rId28" minRId="151" maxRId="158">
    <sheetIdMap count="6">
      <sheetId val="1"/>
      <sheetId val="2"/>
      <sheetId val="3"/>
      <sheetId val="4"/>
      <sheetId val="5"/>
      <sheetId val="6"/>
    </sheetIdMap>
  </header>
  <header guid="{65BCAE60-96FE-446E-A6DE-27ACD4AEF84D}" dateTime="2020-03-05T18:09:23" maxSheetId="7" userName="EXTERNAL Nguyen Kim Thanh (Ban Vien, RBVH/EPS45)" r:id="rId29" minRId="162" maxRId="171">
    <sheetIdMap count="6">
      <sheetId val="1"/>
      <sheetId val="2"/>
      <sheetId val="3"/>
      <sheetId val="4"/>
      <sheetId val="5"/>
      <sheetId val="6"/>
    </sheetIdMap>
  </header>
  <header guid="{BBE417F2-78A3-4324-9B7A-72FB5C75990C}" dateTime="2020-03-05T18:23:15" maxSheetId="7" userName="EXTERNAL Nguyen Trung Hieu (Ban Vien, RBVH/EPS45)" r:id="rId30" minRId="175">
    <sheetIdMap count="6">
      <sheetId val="1"/>
      <sheetId val="2"/>
      <sheetId val="3"/>
      <sheetId val="4"/>
      <sheetId val="5"/>
      <sheetId val="6"/>
    </sheetIdMap>
  </header>
  <header guid="{CCF9B754-3209-45B2-8BD6-08F714629461}" dateTime="2020-03-05T19:02:58" maxSheetId="7" userName="EXTERNAL Do Phu Loc (Ban Vien, RBVH/EPS45)" r:id="rId31" minRId="178">
    <sheetIdMap count="6">
      <sheetId val="1"/>
      <sheetId val="2"/>
      <sheetId val="3"/>
      <sheetId val="4"/>
      <sheetId val="5"/>
      <sheetId val="6"/>
    </sheetIdMap>
  </header>
  <header guid="{B6029012-458C-425A-BF11-29D9A4715E1B}" dateTime="2020-03-05T19:03:34" maxSheetId="7" userName="EXTERNAL Do Phu Loc (Ban Vien, RBVH/EPS45)" r:id="rId32" minRId="182" maxRId="183">
    <sheetIdMap count="6">
      <sheetId val="1"/>
      <sheetId val="2"/>
      <sheetId val="3"/>
      <sheetId val="4"/>
      <sheetId val="5"/>
      <sheetId val="6"/>
    </sheetIdMap>
  </header>
  <header guid="{64B6FA7F-A241-4D36-8225-B528987403A2}" dateTime="2020-03-05T19:04:20" maxSheetId="7" userName="EXTERNAL Do Phu Loc (Ban Vien, RBVH/EPS45)" r:id="rId33" minRId="187">
    <sheetIdMap count="6">
      <sheetId val="1"/>
      <sheetId val="2"/>
      <sheetId val="3"/>
      <sheetId val="4"/>
      <sheetId val="5"/>
      <sheetId val="6"/>
    </sheetIdMap>
  </header>
  <header guid="{984ABBBE-FA44-422D-9205-B71206698167}" dateTime="2020-03-06T10:06:56" maxSheetId="7" userName="EXTERNAL Nguyen Kim Thanh (Ban Vien, RBVH/EPS45)" r:id="rId34" minRId="188">
    <sheetIdMap count="6">
      <sheetId val="1"/>
      <sheetId val="2"/>
      <sheetId val="3"/>
      <sheetId val="4"/>
      <sheetId val="5"/>
      <sheetId val="6"/>
    </sheetIdMap>
  </header>
  <header guid="{706FB40D-3FBE-416A-9785-E0ACA2980BCC}" dateTime="2020-03-06T10:25:13" maxSheetId="7" userName="EXTERNAL Nguyen Tuan Duong (Ban Vien, RBVH/EPS45)" r:id="rId35" minRId="192" maxRId="269">
    <sheetIdMap count="6">
      <sheetId val="1"/>
      <sheetId val="2"/>
      <sheetId val="3"/>
      <sheetId val="4"/>
      <sheetId val="5"/>
      <sheetId val="6"/>
    </sheetIdMap>
  </header>
  <header guid="{8D8FFA8F-8703-497B-822C-98171326736A}" dateTime="2020-03-06T10:25:47" maxSheetId="7" userName="EXTERNAL Nguyen Tuan Duong (Ban Vien, RBVH/EPS45)" r:id="rId36">
    <sheetIdMap count="6">
      <sheetId val="1"/>
      <sheetId val="2"/>
      <sheetId val="3"/>
      <sheetId val="4"/>
      <sheetId val="5"/>
      <sheetId val="6"/>
    </sheetIdMap>
  </header>
  <header guid="{6CE2E99C-734B-4DDB-AE2D-B2FE927F8CB8}" dateTime="2020-03-06T10:26:41" maxSheetId="7" userName="EXTERNAL Nguyen Tuan Duong (Ban Vien, RBVH/EPS45)" r:id="rId37">
    <sheetIdMap count="6">
      <sheetId val="1"/>
      <sheetId val="2"/>
      <sheetId val="3"/>
      <sheetId val="4"/>
      <sheetId val="5"/>
      <sheetId val="6"/>
    </sheetIdMap>
  </header>
  <header guid="{BB84DE77-1E7D-4D72-AB7E-6050D8D01439}" dateTime="2020-03-06T10:27:11" maxSheetId="7" userName="EXTERNAL Nguyen Tuan Duong (Ban Vien, RBVH/EPS45)" r:id="rId38">
    <sheetIdMap count="6">
      <sheetId val="1"/>
      <sheetId val="2"/>
      <sheetId val="3"/>
      <sheetId val="4"/>
      <sheetId val="5"/>
      <sheetId val="6"/>
    </sheetIdMap>
  </header>
  <header guid="{2CB0CFC9-EE4D-45C4-AEE9-AAD50AD126FA}" dateTime="2020-03-06T10:27:27" maxSheetId="7" userName="EXTERNAL Nguyen Tuan Duong (Ban Vien, RBVH/EPS45)" r:id="rId39" minRId="281" maxRId="286">
    <sheetIdMap count="6">
      <sheetId val="1"/>
      <sheetId val="2"/>
      <sheetId val="3"/>
      <sheetId val="4"/>
      <sheetId val="5"/>
      <sheetId val="6"/>
    </sheetIdMap>
  </header>
  <header guid="{BAD79D39-9ECC-42A5-B5DC-2E4E8C8F9273}" dateTime="2020-03-06T10:28:42" maxSheetId="7" userName="EXTERNAL Nguyen Tuan Duong (Ban Vien, RBVH/EPS45)" r:id="rId40">
    <sheetIdMap count="6">
      <sheetId val="1"/>
      <sheetId val="2"/>
      <sheetId val="3"/>
      <sheetId val="4"/>
      <sheetId val="5"/>
      <sheetId val="6"/>
    </sheetIdMap>
  </header>
  <header guid="{55354658-4569-4605-80AF-39D412207C49}" dateTime="2020-03-06T10:30:41" maxSheetId="7" userName="EXTERNAL Nguyen Tuan Duong (Ban Vien, RBVH/EPS45)" r:id="rId41">
    <sheetIdMap count="6">
      <sheetId val="1"/>
      <sheetId val="2"/>
      <sheetId val="3"/>
      <sheetId val="4"/>
      <sheetId val="5"/>
      <sheetId val="6"/>
    </sheetIdMap>
  </header>
  <header guid="{85B95F6F-27E3-4E04-BF42-159EF7EFE426}" dateTime="2020-03-06T10:31:37" maxSheetId="7" userName="EXTERNAL Nguyen Kim Thanh (Ban Vien, RBVH/EPS45)" r:id="rId42">
    <sheetIdMap count="6">
      <sheetId val="1"/>
      <sheetId val="2"/>
      <sheetId val="3"/>
      <sheetId val="4"/>
      <sheetId val="5"/>
      <sheetId val="6"/>
    </sheetIdMap>
  </header>
  <header guid="{408679EC-9FF6-4E7A-A053-1EAD6C72EB5F}" dateTime="2020-03-06T11:57:53" maxSheetId="7" userName="EXTERNAL Do Phu Loc (Ban Vien, RBVH/EPS45)" r:id="rId43" minRId="294" maxRId="304">
    <sheetIdMap count="6">
      <sheetId val="1"/>
      <sheetId val="2"/>
      <sheetId val="3"/>
      <sheetId val="4"/>
      <sheetId val="5"/>
      <sheetId val="6"/>
    </sheetIdMap>
  </header>
  <header guid="{AF0FDDC9-FC96-4F35-A5D7-E30976780497}" dateTime="2020-03-06T11:58:57" maxSheetId="7" userName="EXTERNAL Do Phu Loc (Ban Vien, RBVH/EPS45)" r:id="rId44" minRId="308" maxRId="312">
    <sheetIdMap count="6">
      <sheetId val="1"/>
      <sheetId val="2"/>
      <sheetId val="3"/>
      <sheetId val="4"/>
      <sheetId val="5"/>
      <sheetId val="6"/>
    </sheetIdMap>
  </header>
  <header guid="{2B0D8466-B7F3-41C3-B718-5F7A2E0D742E}" dateTime="2020-03-06T13:15:11" maxSheetId="7" userName="EXTERNAL Ly Chung (Ban Vien, RBVH/EPS45)" r:id="rId45" minRId="313" maxRId="316">
    <sheetIdMap count="6">
      <sheetId val="1"/>
      <sheetId val="2"/>
      <sheetId val="3"/>
      <sheetId val="4"/>
      <sheetId val="5"/>
      <sheetId val="6"/>
    </sheetIdMap>
  </header>
  <header guid="{2280D4B6-E84B-4FB6-92CD-CDEC721C229E}" dateTime="2020-03-06T13:16:52" maxSheetId="7" userName="EXTERNAL Ly Chung (Ban Vien, RBVH/EPS45)" r:id="rId46" minRId="317" maxRId="321">
    <sheetIdMap count="6">
      <sheetId val="1"/>
      <sheetId val="2"/>
      <sheetId val="3"/>
      <sheetId val="4"/>
      <sheetId val="5"/>
      <sheetId val="6"/>
    </sheetIdMap>
  </header>
  <header guid="{C19F49A5-FAB4-4FDB-95B8-D5D10E8C191A}" dateTime="2020-03-06T13:23:13" maxSheetId="7" userName="EXTERNAL Ly Chung (Ban Vien, RBVH/EPS45)" r:id="rId47" minRId="325" maxRId="331">
    <sheetIdMap count="6">
      <sheetId val="1"/>
      <sheetId val="2"/>
      <sheetId val="3"/>
      <sheetId val="4"/>
      <sheetId val="5"/>
      <sheetId val="6"/>
    </sheetIdMap>
  </header>
  <header guid="{26E88307-E18F-4FED-A584-124DF48BE7FA}" dateTime="2020-03-06T13:27:58" maxSheetId="7" userName="EXTERNAL Ly Chung (Ban Vien, RBVH/EPS45)" r:id="rId48">
    <sheetIdMap count="6">
      <sheetId val="1"/>
      <sheetId val="2"/>
      <sheetId val="3"/>
      <sheetId val="4"/>
      <sheetId val="5"/>
      <sheetId val="6"/>
    </sheetIdMap>
  </header>
  <header guid="{B843741C-3C34-42DA-9DFC-0BE90F5442B1}" dateTime="2020-03-06T13:38:00" maxSheetId="7" userName="EXTERNAL Do Phu Loc (Ban Vien, RBVH/EPS45)" r:id="rId49" minRId="338" maxRId="344">
    <sheetIdMap count="6">
      <sheetId val="1"/>
      <sheetId val="2"/>
      <sheetId val="3"/>
      <sheetId val="4"/>
      <sheetId val="5"/>
      <sheetId val="6"/>
    </sheetIdMap>
  </header>
  <header guid="{A29360C0-AB16-4888-A55B-7D7CBA79A95E}" dateTime="2020-03-06T13:56:46" maxSheetId="7" userName="EXTERNAL Do Phu Loc (Ban Vien, RBVH/EPS45)" r:id="rId50" minRId="348" maxRId="356">
    <sheetIdMap count="6">
      <sheetId val="1"/>
      <sheetId val="2"/>
      <sheetId val="3"/>
      <sheetId val="4"/>
      <sheetId val="5"/>
      <sheetId val="6"/>
    </sheetIdMap>
  </header>
  <header guid="{CD3CCFB0-7405-4EA0-8EC3-8C83B787B14A}" dateTime="2020-03-06T14:26:32" maxSheetId="7" userName="EXTERNAL Do Phu Loc (Ban Vien, RBVH/EPS45)" r:id="rId51" minRId="360" maxRId="373">
    <sheetIdMap count="6">
      <sheetId val="1"/>
      <sheetId val="2"/>
      <sheetId val="3"/>
      <sheetId val="4"/>
      <sheetId val="5"/>
      <sheetId val="6"/>
    </sheetIdMap>
  </header>
  <header guid="{0CD86D17-A6AD-469F-A8CA-9B8FCFC2AE5D}" dateTime="2020-03-06T14:27:19" maxSheetId="7" userName="EXTERNAL Do Phu Loc (Ban Vien, RBVH/EPS45)" r:id="rId52" minRId="377">
    <sheetIdMap count="6">
      <sheetId val="1"/>
      <sheetId val="2"/>
      <sheetId val="3"/>
      <sheetId val="4"/>
      <sheetId val="5"/>
      <sheetId val="6"/>
    </sheetIdMap>
  </header>
  <header guid="{8FAE03CD-9B63-4D93-A9FC-B11D5285FF2B}" dateTime="2020-03-06T15:56:48" maxSheetId="7" userName="EXTERNAL Nguyen Tuan Duong (Ban Vien, RBVH/EPS45)" r:id="rId53" minRId="381" maxRId="383">
    <sheetIdMap count="6">
      <sheetId val="1"/>
      <sheetId val="2"/>
      <sheetId val="3"/>
      <sheetId val="4"/>
      <sheetId val="5"/>
      <sheetId val="6"/>
    </sheetIdMap>
  </header>
  <header guid="{06FE1A5F-3ED8-41E1-8248-3EC42C5A0D12}" dateTime="2020-03-06T15:58:33" maxSheetId="7" userName="EXTERNAL Nguyen Tuan Duong (Ban Vien, RBVH/EPS45)" r:id="rId54" minRId="386" maxRId="394">
    <sheetIdMap count="6">
      <sheetId val="1"/>
      <sheetId val="2"/>
      <sheetId val="3"/>
      <sheetId val="4"/>
      <sheetId val="5"/>
      <sheetId val="6"/>
    </sheetIdMap>
  </header>
  <header guid="{D25D2BE9-270F-42C5-BD05-102EF2907945}" dateTime="2020-03-06T16:06:15" maxSheetId="7" userName="EXTERNAL Do Phu Loc (Ban Vien, RBVH/EPS45)" r:id="rId55" minRId="395" maxRId="398">
    <sheetIdMap count="6">
      <sheetId val="1"/>
      <sheetId val="2"/>
      <sheetId val="3"/>
      <sheetId val="4"/>
      <sheetId val="5"/>
      <sheetId val="6"/>
    </sheetIdMap>
  </header>
  <header guid="{357DBD89-073E-4F4C-936F-5D1265567B56}" dateTime="2020-03-06T16:12:22" maxSheetId="7" userName="EXTERNAL Nguyen Tuan Duong (Ban Vien, RBVH/EPS45)" r:id="rId56" minRId="402" maxRId="408">
    <sheetIdMap count="6">
      <sheetId val="1"/>
      <sheetId val="2"/>
      <sheetId val="3"/>
      <sheetId val="4"/>
      <sheetId val="5"/>
      <sheetId val="6"/>
    </sheetIdMap>
  </header>
  <header guid="{67C5F219-2722-4240-97DD-7617045C26BE}" dateTime="2020-03-06T16:14:47" maxSheetId="7" userName="EXTERNAL Nguyen Tuan Duong (Ban Vien, RBVH/EPS45)" r:id="rId57" minRId="411" maxRId="412">
    <sheetIdMap count="6">
      <sheetId val="1"/>
      <sheetId val="2"/>
      <sheetId val="3"/>
      <sheetId val="4"/>
      <sheetId val="5"/>
      <sheetId val="6"/>
    </sheetIdMap>
  </header>
  <header guid="{6AE09932-3FF5-4A8A-AE97-5D415B2C0F3A}" dateTime="2020-03-06T16:23:59" maxSheetId="7" userName="EXTERNAL Nguyen Tuan Duong (Ban Vien, RBVH/EPS45)" r:id="rId58" minRId="415">
    <sheetIdMap count="6">
      <sheetId val="1"/>
      <sheetId val="2"/>
      <sheetId val="3"/>
      <sheetId val="4"/>
      <sheetId val="5"/>
      <sheetId val="6"/>
    </sheetIdMap>
  </header>
  <header guid="{9872C9B5-7822-4FAD-B7F9-C7AB9886C5E8}" dateTime="2020-03-06T16:59:47" maxSheetId="7" userName="EXTERNAL Nguyen Kim Thanh (Ban Vien, RBVH/EPS45)" r:id="rId59" minRId="418" maxRId="427">
    <sheetIdMap count="6">
      <sheetId val="1"/>
      <sheetId val="2"/>
      <sheetId val="3"/>
      <sheetId val="4"/>
      <sheetId val="5"/>
      <sheetId val="6"/>
    </sheetIdMap>
  </header>
  <header guid="{7B8E9503-C09D-4D0F-8079-F707C7496681}" dateTime="2020-03-06T17:00:27" maxSheetId="7" userName="EXTERNAL Nguyen Kim Thanh (Ban Vien, RBVH/EPS45)" r:id="rId60" minRId="431" maxRId="432">
    <sheetIdMap count="6">
      <sheetId val="1"/>
      <sheetId val="2"/>
      <sheetId val="3"/>
      <sheetId val="4"/>
      <sheetId val="5"/>
      <sheetId val="6"/>
    </sheetIdMap>
  </header>
  <header guid="{F0CA112A-40AC-4D1F-AD2F-0AB7044C90BF}" dateTime="2020-03-06T17:12:07" maxSheetId="7" userName="EXTERNAL Nguyen Kim Thanh (Ban Vien, RBVH/EPS45)" r:id="rId61">
    <sheetIdMap count="6">
      <sheetId val="1"/>
      <sheetId val="2"/>
      <sheetId val="3"/>
      <sheetId val="4"/>
      <sheetId val="5"/>
      <sheetId val="6"/>
    </sheetIdMap>
  </header>
  <header guid="{E2B7483F-C289-4FF3-91BC-BD2197DE3EBF}" dateTime="2020-03-06T17:46:14" maxSheetId="7" userName="EXTERNAL Nguyen Tuan Duong (Ban Vien, RBVH/EPS45)" r:id="rId62" minRId="436" maxRId="439">
    <sheetIdMap count="6">
      <sheetId val="1"/>
      <sheetId val="2"/>
      <sheetId val="3"/>
      <sheetId val="4"/>
      <sheetId val="5"/>
      <sheetId val="6"/>
    </sheetIdMap>
  </header>
  <header guid="{5D9AF33D-6AE3-4ED2-A3EF-2CCD3B15D1E0}" dateTime="2020-03-06T17:47:00" maxSheetId="7" userName="EXTERNAL Nguyen Tuan Duong (Ban Vien, RBVH/EPS45)" r:id="rId63">
    <sheetIdMap count="6">
      <sheetId val="1"/>
      <sheetId val="2"/>
      <sheetId val="3"/>
      <sheetId val="4"/>
      <sheetId val="5"/>
      <sheetId val="6"/>
    </sheetIdMap>
  </header>
  <header guid="{522080A1-EDE5-4763-BE88-8D6147941692}" dateTime="2020-03-06T17:49:03" maxSheetId="7" userName="EXTERNAL Nguyen Tuan Duong (Ban Vien, RBVH/EPS45)" r:id="rId64" minRId="444" maxRId="447">
    <sheetIdMap count="6">
      <sheetId val="1"/>
      <sheetId val="2"/>
      <sheetId val="3"/>
      <sheetId val="4"/>
      <sheetId val="5"/>
      <sheetId val="6"/>
    </sheetIdMap>
  </header>
  <header guid="{9BADD6DB-151E-4DE9-B9CB-A76C04D1EEBD}" dateTime="2020-03-06T19:18:55" maxSheetId="7" userName="EXTERNAL Nguyen Tuan Duong (Ban Vien, RBVH/EPS45)" r:id="rId65">
    <sheetIdMap count="6">
      <sheetId val="1"/>
      <sheetId val="2"/>
      <sheetId val="3"/>
      <sheetId val="4"/>
      <sheetId val="5"/>
      <sheetId val="6"/>
    </sheetIdMap>
  </header>
  <header guid="{34E1FDA5-0675-4A01-8DEF-95145FCE5773}" dateTime="2020-03-06T19:26:08" maxSheetId="7" userName="EXTERNAL Nguyen Tuan Duong (Ban Vien, RBVH/EPS45)" r:id="rId66" minRId="452" maxRId="463">
    <sheetIdMap count="6">
      <sheetId val="1"/>
      <sheetId val="2"/>
      <sheetId val="3"/>
      <sheetId val="4"/>
      <sheetId val="5"/>
      <sheetId val="6"/>
    </sheetIdMap>
  </header>
  <header guid="{EFA9EBB7-5430-43A5-BC45-116785A10369}" dateTime="2020-03-06T19:26:39" maxSheetId="7" userName="EXTERNAL Nguyen Tuan Duong (Ban Vien, RBVH/EPS45)" r:id="rId67" minRId="466" maxRId="473">
    <sheetIdMap count="6">
      <sheetId val="1"/>
      <sheetId val="2"/>
      <sheetId val="3"/>
      <sheetId val="4"/>
      <sheetId val="5"/>
      <sheetId val="6"/>
    </sheetIdMap>
  </header>
  <header guid="{3EDB113B-23A3-44B5-8EDA-0C5C49F97467}" dateTime="2020-03-06T19:27:41" maxSheetId="7" userName="EXTERNAL Nguyen Tuan Duong (Ban Vien, RBVH/EPS45)" r:id="rId68" minRId="476" maxRId="481">
    <sheetIdMap count="6">
      <sheetId val="1"/>
      <sheetId val="2"/>
      <sheetId val="3"/>
      <sheetId val="4"/>
      <sheetId val="5"/>
      <sheetId val="6"/>
    </sheetIdMap>
  </header>
  <header guid="{2CAFA8AE-C930-4FCF-9690-C8AF5BE2A909}" dateTime="2020-03-06T19:28:51" maxSheetId="7" userName="EXTERNAL Nguyen Tuan Duong (Ban Vien, RBVH/EPS45)" r:id="rId69" minRId="482" maxRId="489">
    <sheetIdMap count="6">
      <sheetId val="1"/>
      <sheetId val="2"/>
      <sheetId val="3"/>
      <sheetId val="4"/>
      <sheetId val="5"/>
      <sheetId val="6"/>
    </sheetIdMap>
  </header>
  <header guid="{1DF04CED-B5DF-40C8-B7A7-C8006AFA5564}" dateTime="2020-03-06T19:30:34" maxSheetId="7" userName="EXTERNAL Nguyen Tuan Duong (Ban Vien, RBVH/EPS45)" r:id="rId70" minRId="492" maxRId="497">
    <sheetIdMap count="6">
      <sheetId val="1"/>
      <sheetId val="2"/>
      <sheetId val="3"/>
      <sheetId val="4"/>
      <sheetId val="5"/>
      <sheetId val="6"/>
    </sheetIdMap>
  </header>
  <header guid="{E926492A-4753-4BD4-BF95-EF2A3105798E}" dateTime="2020-03-06T19:34:32" maxSheetId="7" userName="EXTERNAL Nguyen Tuan Duong (Ban Vien, RBVH/EPS45)" r:id="rId71" minRId="500">
    <sheetIdMap count="6">
      <sheetId val="1"/>
      <sheetId val="2"/>
      <sheetId val="3"/>
      <sheetId val="4"/>
      <sheetId val="5"/>
      <sheetId val="6"/>
    </sheetIdMap>
  </header>
  <header guid="{A8AE426A-A46C-48F8-9761-531C1294E111}" dateTime="2020-03-06T20:03:33" maxSheetId="7" userName="EXTERNAL Nguyen Tuan Duong (Ban Vien, RBVH/EPS45)" r:id="rId72" minRId="503" maxRId="505">
    <sheetIdMap count="6">
      <sheetId val="1"/>
      <sheetId val="2"/>
      <sheetId val="3"/>
      <sheetId val="4"/>
      <sheetId val="5"/>
      <sheetId val="6"/>
    </sheetIdMap>
  </header>
  <header guid="{8729BF06-BE3C-40D8-8C50-C164621A6556}" dateTime="2020-03-09T09:20:37" maxSheetId="7" userName="EXTERNAL Nguyen Kim Thanh (Ban Vien, RBVH/EPS45)" r:id="rId73" minRId="506">
    <sheetIdMap count="6">
      <sheetId val="1"/>
      <sheetId val="2"/>
      <sheetId val="3"/>
      <sheetId val="4"/>
      <sheetId val="5"/>
      <sheetId val="6"/>
    </sheetIdMap>
  </header>
  <header guid="{8128B062-B799-4812-9872-F732D94331A8}" dateTime="2020-03-09T09:20:59" maxSheetId="7" userName="EXTERNAL Nguyen Kim Thanh (Ban Vien, RBVH/EPS45)" r:id="rId74" minRId="510">
    <sheetIdMap count="6">
      <sheetId val="1"/>
      <sheetId val="2"/>
      <sheetId val="3"/>
      <sheetId val="4"/>
      <sheetId val="5"/>
      <sheetId val="6"/>
    </sheetIdMap>
  </header>
  <header guid="{A6FB0394-E02B-472E-AB6D-C623C1D6A40E}" dateTime="2020-03-09T09:34:00" maxSheetId="7" userName="EXTERNAL Ly Chung (Ban Vien, RBVH/EPS45)" r:id="rId75" minRId="511" maxRId="524">
    <sheetIdMap count="6">
      <sheetId val="1"/>
      <sheetId val="2"/>
      <sheetId val="3"/>
      <sheetId val="4"/>
      <sheetId val="5"/>
      <sheetId val="6"/>
    </sheetIdMap>
  </header>
  <header guid="{9B670541-E903-468D-83D2-834A291E7F29}" dateTime="2020-03-09T10:59:07" maxSheetId="7" userName="EXTERNAL Ly Chung (Ban Vien, RBVH/EPS45)" r:id="rId76" minRId="528" maxRId="542">
    <sheetIdMap count="6">
      <sheetId val="1"/>
      <sheetId val="2"/>
      <sheetId val="3"/>
      <sheetId val="4"/>
      <sheetId val="5"/>
      <sheetId val="6"/>
    </sheetIdMap>
  </header>
  <header guid="{BD60A44C-D359-4083-8DCE-3F4288D8F826}" dateTime="2020-03-09T11:00:33" maxSheetId="7" userName="EXTERNAL Ly Chung (Ban Vien, RBVH/EPS45)" r:id="rId77" minRId="546">
    <sheetIdMap count="6">
      <sheetId val="1"/>
      <sheetId val="2"/>
      <sheetId val="3"/>
      <sheetId val="4"/>
      <sheetId val="5"/>
      <sheetId val="6"/>
    </sheetIdMap>
  </header>
  <header guid="{E576E62A-FA80-4739-A679-F5549C4DD8BF}" dateTime="2020-03-09T12:29:30" maxSheetId="7" userName="EXTERNAL Ly Chung (Ban Vien, RBVH/EPS45)" r:id="rId78" minRId="550" maxRId="556">
    <sheetIdMap count="6">
      <sheetId val="1"/>
      <sheetId val="2"/>
      <sheetId val="3"/>
      <sheetId val="4"/>
      <sheetId val="5"/>
      <sheetId val="6"/>
    </sheetIdMap>
  </header>
  <header guid="{D594E91B-99CA-47E5-8F29-FC3BAD062BBB}" dateTime="2020-03-09T12:30:17" maxSheetId="7" userName="EXTERNAL Ly Chung (Ban Vien, RBVH/EPS45)" r:id="rId79" minRId="557" maxRId="558">
    <sheetIdMap count="6">
      <sheetId val="1"/>
      <sheetId val="2"/>
      <sheetId val="3"/>
      <sheetId val="4"/>
      <sheetId val="5"/>
      <sheetId val="6"/>
    </sheetIdMap>
  </header>
  <header guid="{47DF0891-3A2B-4E59-9464-CCBBDE75D354}" dateTime="2020-03-09T12:43:56" maxSheetId="7" userName="EXTERNAL Ly Chung (Ban Vien, RBVH/EPS45)" r:id="rId80" minRId="562" maxRId="568">
    <sheetIdMap count="6">
      <sheetId val="1"/>
      <sheetId val="2"/>
      <sheetId val="3"/>
      <sheetId val="4"/>
      <sheetId val="5"/>
      <sheetId val="6"/>
    </sheetIdMap>
  </header>
  <header guid="{6F8C66E6-D58A-49D5-BB26-8FB0B1E28528}" dateTime="2020-03-09T12:44:02" maxSheetId="7" userName="EXTERNAL Ly Chung (Ban Vien, RBVH/EPS45)" r:id="rId81" minRId="572">
    <sheetIdMap count="6">
      <sheetId val="1"/>
      <sheetId val="2"/>
      <sheetId val="3"/>
      <sheetId val="4"/>
      <sheetId val="5"/>
      <sheetId val="6"/>
    </sheetIdMap>
  </header>
  <header guid="{65B62326-3552-47A5-9B13-F7B8767FFF81}" dateTime="2020-03-09T13:42:10" maxSheetId="7" userName="EXTERNAL Ly Chung (Ban Vien, RBVH/EPS45)" r:id="rId82" minRId="576">
    <sheetIdMap count="6">
      <sheetId val="1"/>
      <sheetId val="2"/>
      <sheetId val="3"/>
      <sheetId val="4"/>
      <sheetId val="5"/>
      <sheetId val="6"/>
    </sheetIdMap>
  </header>
  <header guid="{6AA43C29-308B-4F68-AC5D-344BEA5F13CE}" dateTime="2020-03-09T14:01:54" maxSheetId="7" userName="EXTERNAL Nguyen Kim Thanh (Ban Vien, RBVH/EPS45)" r:id="rId83" minRId="580" maxRId="587">
    <sheetIdMap count="6">
      <sheetId val="1"/>
      <sheetId val="2"/>
      <sheetId val="3"/>
      <sheetId val="4"/>
      <sheetId val="5"/>
      <sheetId val="6"/>
    </sheetIdMap>
  </header>
  <header guid="{4CAE51CC-AF44-4512-928A-494D5AD1A71E}" dateTime="2020-03-09T14:02:49" maxSheetId="7" userName="EXTERNAL Nguyen Kim Thanh (Ban Vien, RBVH/EPS45)" r:id="rId84" minRId="591" maxRId="592">
    <sheetIdMap count="6">
      <sheetId val="1"/>
      <sheetId val="2"/>
      <sheetId val="3"/>
      <sheetId val="4"/>
      <sheetId val="5"/>
      <sheetId val="6"/>
    </sheetIdMap>
  </header>
  <header guid="{B9088F56-F1D1-4C08-8D22-04E325C1A8FB}" dateTime="2020-03-09T14:23:43" maxSheetId="7" userName="EXTERNAL Ly Chung (Ban Vien, RBVH/EPS45)" r:id="rId85" minRId="596" maxRId="602">
    <sheetIdMap count="6">
      <sheetId val="1"/>
      <sheetId val="2"/>
      <sheetId val="3"/>
      <sheetId val="4"/>
      <sheetId val="5"/>
      <sheetId val="6"/>
    </sheetIdMap>
  </header>
  <header guid="{89FFEC81-709D-42C7-8C1D-0EE1A0CECC7B}" dateTime="2020-03-09T14:24:25" maxSheetId="7" userName="EXTERNAL Ly Chung (Ban Vien, RBVH/EPS45)" r:id="rId86" minRId="606">
    <sheetIdMap count="6">
      <sheetId val="1"/>
      <sheetId val="2"/>
      <sheetId val="3"/>
      <sheetId val="4"/>
      <sheetId val="5"/>
      <sheetId val="6"/>
    </sheetIdMap>
  </header>
  <header guid="{1081575D-82C7-40AE-BC73-26F294F64E35}" dateTime="2020-03-09T15:43:39" maxSheetId="7" userName="EXTERNAL Ly Chung (Ban Vien, RBVH/EPS45)" r:id="rId87" minRId="607" maxRId="614">
    <sheetIdMap count="6">
      <sheetId val="1"/>
      <sheetId val="2"/>
      <sheetId val="3"/>
      <sheetId val="4"/>
      <sheetId val="5"/>
      <sheetId val="6"/>
    </sheetIdMap>
  </header>
  <header guid="{02802E57-EB31-4807-BECC-A9C0AD2ECFDC}" dateTime="2020-03-09T15:44:55" maxSheetId="7" userName="EXTERNAL Ly Chung (Ban Vien, RBVH/EPS45)" r:id="rId88" minRId="618" maxRId="622">
    <sheetIdMap count="6">
      <sheetId val="1"/>
      <sheetId val="2"/>
      <sheetId val="3"/>
      <sheetId val="4"/>
      <sheetId val="5"/>
      <sheetId val="6"/>
    </sheetIdMap>
  </header>
  <header guid="{14AA9A86-AA7E-4D38-8D63-9AC5E9AE3FB1}" dateTime="2020-03-09T15:45:31" maxSheetId="7" userName="EXTERNAL Ly Chung (Ban Vien, RBVH/EPS45)" r:id="rId89">
    <sheetIdMap count="6">
      <sheetId val="1"/>
      <sheetId val="2"/>
      <sheetId val="3"/>
      <sheetId val="4"/>
      <sheetId val="5"/>
      <sheetId val="6"/>
    </sheetIdMap>
  </header>
  <header guid="{094C860B-9BC3-4B97-8EA0-409DA406063E}" dateTime="2020-03-09T17:31:26" maxSheetId="7" userName="EXTERNAL Ly Chung (Ban Vien, RBVH/EPS45)" r:id="rId90" minRId="629" maxRId="637">
    <sheetIdMap count="6">
      <sheetId val="1"/>
      <sheetId val="2"/>
      <sheetId val="3"/>
      <sheetId val="4"/>
      <sheetId val="5"/>
      <sheetId val="6"/>
    </sheetIdMap>
  </header>
  <header guid="{ECE20DE6-5A79-43AE-B0EB-B64E6471F512}" dateTime="2020-03-09T18:29:43" maxSheetId="7" userName="EXTERNAL Nguyen Kim Thanh (Ban Vien, RBVH/EPS45)" r:id="rId91" minRId="641">
    <sheetIdMap count="6">
      <sheetId val="1"/>
      <sheetId val="2"/>
      <sheetId val="3"/>
      <sheetId val="4"/>
      <sheetId val="5"/>
      <sheetId val="6"/>
    </sheetIdMap>
  </header>
  <header guid="{06575AAD-6F5D-4F1D-92A5-C6108C2BEA4B}" dateTime="2020-03-09T18:29:48" maxSheetId="7" userName="EXTERNAL Nguyen Kim Thanh (Ban Vien, RBVH/EPS45)" r:id="rId92" minRId="645">
    <sheetIdMap count="6">
      <sheetId val="1"/>
      <sheetId val="2"/>
      <sheetId val="3"/>
      <sheetId val="4"/>
      <sheetId val="5"/>
      <sheetId val="6"/>
    </sheetIdMap>
  </header>
  <header guid="{3DB2E85D-09F9-4D34-B9C3-F7BCA29A24CB}" dateTime="2020-03-09T18:32:22" maxSheetId="7" userName="EXTERNAL Nguyen Kim Thanh (Ban Vien, RBVH/EPS45)" r:id="rId93" minRId="646" maxRId="662">
    <sheetIdMap count="6">
      <sheetId val="1"/>
      <sheetId val="2"/>
      <sheetId val="3"/>
      <sheetId val="4"/>
      <sheetId val="5"/>
      <sheetId val="6"/>
    </sheetIdMap>
  </header>
  <header guid="{152E4483-5149-4DFC-B729-39F475C22B0D}" dateTime="2020-03-09T18:32:54" maxSheetId="7" userName="EXTERNAL Nguyen Kim Thanh (Ban Vien, RBVH/EPS45)" r:id="rId94" minRId="666" maxRId="668">
    <sheetIdMap count="6">
      <sheetId val="1"/>
      <sheetId val="2"/>
      <sheetId val="3"/>
      <sheetId val="4"/>
      <sheetId val="5"/>
      <sheetId val="6"/>
    </sheetIdMap>
  </header>
  <header guid="{B02DF523-8A90-429A-8D1A-B6F3CDEC8A8A}" dateTime="2020-03-09T19:37:51" maxSheetId="7" userName="EXTERNAL Nguyen Tuan Duong (Ban Vien, RBVH/EPS45)" r:id="rId95" minRId="669" maxRId="682">
    <sheetIdMap count="6">
      <sheetId val="1"/>
      <sheetId val="2"/>
      <sheetId val="3"/>
      <sheetId val="4"/>
      <sheetId val="5"/>
      <sheetId val="6"/>
    </sheetIdMap>
  </header>
  <header guid="{435CFB20-325A-4BEE-A99C-631EDB118EBD}" dateTime="2020-03-09T19:42:49" maxSheetId="7" userName="EXTERNAL Nguyen Tuan Duong (Ban Vien, RBVH/EPS45)" r:id="rId96" minRId="685" maxRId="756">
    <sheetIdMap count="6">
      <sheetId val="1"/>
      <sheetId val="2"/>
      <sheetId val="3"/>
      <sheetId val="4"/>
      <sheetId val="5"/>
      <sheetId val="6"/>
    </sheetIdMap>
  </header>
  <header guid="{811C28B9-09D6-4326-B36F-0D77924EFD6B}" dateTime="2020-03-09T19:45:57" maxSheetId="7" userName="EXTERNAL Nguyen Tuan Duong (Ban Vien, RBVH/EPS45)" r:id="rId97" minRId="759" maxRId="800">
    <sheetIdMap count="6">
      <sheetId val="1"/>
      <sheetId val="2"/>
      <sheetId val="3"/>
      <sheetId val="4"/>
      <sheetId val="5"/>
      <sheetId val="6"/>
    </sheetIdMap>
  </header>
  <header guid="{AC5056B5-4C8F-4F50-8076-852236E6ECA6}" dateTime="2020-03-09T19:49:30" maxSheetId="7" userName="EXTERNAL Nguyen Tuan Duong (Ban Vien, RBVH/EPS45)" r:id="rId98" minRId="803" maxRId="899">
    <sheetIdMap count="6">
      <sheetId val="1"/>
      <sheetId val="2"/>
      <sheetId val="3"/>
      <sheetId val="4"/>
      <sheetId val="5"/>
      <sheetId val="6"/>
    </sheetIdMap>
  </header>
  <header guid="{D12D248B-EFD3-4A00-8B22-AAE326A3E004}" dateTime="2020-03-09T19:49:39" maxSheetId="7" userName="EXTERNAL Nguyen Tuan Duong (Ban Vien, RBVH/EPS45)" r:id="rId99" minRId="902" maxRId="908">
    <sheetIdMap count="6">
      <sheetId val="1"/>
      <sheetId val="2"/>
      <sheetId val="3"/>
      <sheetId val="4"/>
      <sheetId val="5"/>
      <sheetId val="6"/>
    </sheetIdMap>
  </header>
  <header guid="{85BB3EB4-2FF5-46EE-A89B-16020B9BED57}" dateTime="2020-03-09T19:53:51" maxSheetId="7" userName="EXTERNAL Nguyen Tuan Duong (Ban Vien, RBVH/EPS45)" r:id="rId100" minRId="909" maxRId="910">
    <sheetIdMap count="6">
      <sheetId val="1"/>
      <sheetId val="2"/>
      <sheetId val="3"/>
      <sheetId val="4"/>
      <sheetId val="5"/>
      <sheetId val="6"/>
    </sheetIdMap>
  </header>
  <header guid="{6F33A1F1-ECB4-4B6D-AF40-278738BA30AE}" dateTime="2020-03-09T19:57:03" maxSheetId="7" userName="EXTERNAL Nguyen Tuan Duong (Ban Vien, RBVH/EPS45)" r:id="rId101" minRId="913" maxRId="1122">
    <sheetIdMap count="6">
      <sheetId val="1"/>
      <sheetId val="2"/>
      <sheetId val="3"/>
      <sheetId val="4"/>
      <sheetId val="5"/>
      <sheetId val="6"/>
    </sheetIdMap>
  </header>
  <header guid="{E69578E4-3EE9-402A-B07C-A84273DA19EA}" dateTime="2020-03-09T19:58:00" maxSheetId="7" userName="EXTERNAL Nguyen Tuan Duong (Ban Vien, RBVH/EPS45)" r:id="rId102">
    <sheetIdMap count="6">
      <sheetId val="1"/>
      <sheetId val="2"/>
      <sheetId val="3"/>
      <sheetId val="4"/>
      <sheetId val="5"/>
      <sheetId val="6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COEM_Package_20200302!$M:$N</formula>
    <oldFormula>COEM_Package_20200302!$M:$N</oldFormula>
  </rdn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" sId="1" quotePrefix="1">
    <oc r="F51" t="inlineStr">
      <is>
        <t xml:space="preserve">rb\as\cnms_core\app\dcom\RBAPLCust\src\ESP </t>
      </is>
    </oc>
    <nc r="F51" t="inlineStr">
      <is>
        <t>rb\as\cnms_core\app\dcom\RBAPLCust\src\ESP</t>
      </is>
    </nc>
  </rcc>
  <rcc rId="5" sId="1" quotePrefix="1">
    <oc r="F52" t="inlineStr">
      <is>
        <t xml:space="preserve">rb\as\cnms_core\app\dcom\RBAPLCust\src\ESP </t>
      </is>
    </oc>
    <nc r="F52" t="inlineStr">
      <is>
        <t>rb\as\cnms_core\app\dcom\RBAPLCust\src\ESP</t>
      </is>
    </nc>
  </rcc>
  <rcc rId="6" sId="1" quotePrefix="1">
    <oc r="F53" t="inlineStr">
      <is>
        <t xml:space="preserve">rb\as\cnms_core\app\dcom\RBAPLCust\src\ESP </t>
      </is>
    </oc>
    <nc r="F53" t="inlineStr">
      <is>
        <t>rb\as\cnms_core\app\dcom\RBAPLCust\src\ESP</t>
      </is>
    </nc>
  </rcc>
  <rcc rId="7" sId="1" quotePrefix="1">
    <oc r="F54" t="inlineStr">
      <is>
        <t xml:space="preserve">rb\as\cnms_core\app\dcom\RBAPLCust\src\ESP </t>
      </is>
    </oc>
    <nc r="F54" t="inlineStr">
      <is>
        <t>rb\as\cnms_core\app\dcom\RBAPLCust\src\ESP</t>
      </is>
    </nc>
  </rcc>
  <rcc rId="8" sId="1" quotePrefix="1">
    <oc r="F55" t="inlineStr">
      <is>
        <t xml:space="preserve">rb\as\cnms_core\app\dcom\RBAPLCust\src\ESP </t>
      </is>
    </oc>
    <nc r="F55" t="inlineStr">
      <is>
        <t>rb\as\cnms_core\app\dcom\RBAPLCust\src\ESP</t>
      </is>
    </nc>
  </rcc>
  <rcv guid="{250915DF-0B97-45D7-B29D-7EED4C89C1C1}" action="delete"/>
  <rdn rId="0" localSheetId="1" customView="1" name="Z_250915DF_0B97_45D7_B29D_7EED4C89C1C1_.wvu.FilterData" hidden="1" oldHidden="1">
    <formula>COEM_Package_20200302!$Q$2:$Q$105</formula>
    <oldFormula>COEM_Package_20200302!$B$2:$AH$60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" sId="1">
    <oc r="H20" t="inlineStr">
      <is>
        <t xml:space="preserve">HDC_InvalidThrPos  </t>
      </is>
    </oc>
    <nc r="H20" t="inlineStr">
      <is>
        <t>HDC_InvalidThrPos </t>
      </is>
    </nc>
  </rcc>
  <rcv guid="{250915DF-0B97-45D7-B29D-7EED4C89C1C1}" action="delete"/>
  <rdn rId="0" localSheetId="1" customView="1" name="Z_250915DF_0B97_45D7_B29D_7EED4C89C1C1_.wvu.FilterData" hidden="1" oldHidden="1">
    <formula>COEM_Package_20200302!$Q$2:$Q$105</formula>
    <oldFormula>COEM_Package_20200302!$Q$2:$Q$105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" sId="1">
    <oc r="H20" t="inlineStr">
      <is>
        <t>HDC_InvalidThrPos </t>
      </is>
    </oc>
    <nc r="H20" t="inlineStr">
      <is>
        <t>HDC_InvalidThrPos</t>
      </is>
    </nc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" sId="1">
    <oc r="X17" t="inlineStr">
      <is>
        <t>N/A</t>
      </is>
    </oc>
    <nc r="X17" t="inlineStr">
      <is>
        <t>Ready for review</t>
      </is>
    </nc>
  </rcc>
  <rcc rId="16" sId="1">
    <nc r="U17">
      <v>254</v>
    </nc>
  </rcc>
  <rcc rId="17" sId="1">
    <nc r="W17">
      <v>2</v>
    </nc>
  </rcc>
  <rcc rId="18" sId="1" numFmtId="19">
    <nc r="AA17">
      <v>43895</v>
    </nc>
  </rcc>
  <rcc rId="19" sId="1">
    <nc r="AC17" t="inlineStr">
      <is>
        <t>OK</t>
      </is>
    </nc>
  </rcc>
  <rcc rId="20" sId="1">
    <nc r="AD17">
      <v>100</v>
    </nc>
  </rcc>
  <rcc rId="21" sId="1">
    <nc r="AE17">
      <v>100</v>
    </nc>
  </rcc>
  <rcc rId="22" sId="1">
    <nc r="AF17">
      <v>100</v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" sId="1">
    <oc r="K7" t="inlineStr">
      <is>
        <t>1352219.zip</t>
      </is>
    </oc>
    <nc r="K7">
      <v>1352219</v>
    </nc>
  </rcc>
  <rcc rId="27" sId="1">
    <oc r="K20" t="inlineStr">
      <is>
        <t>1353762.zip</t>
      </is>
    </oc>
    <nc r="K20">
      <v>1353762</v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" sId="1">
    <oc r="AH11" t="inlineStr">
      <is>
        <t>Wrong path Component Name</t>
      </is>
    </oc>
    <nc r="AH11"/>
  </rcc>
  <rcc rId="29" sId="1">
    <oc r="AH12" t="inlineStr">
      <is>
        <t>Wrong path Component Name</t>
      </is>
    </oc>
    <nc r="AH12"/>
  </rcc>
  <rcc rId="30" sId="1">
    <oc r="AH13" t="inlineStr">
      <is>
        <t>Wrong path Component Name</t>
      </is>
    </oc>
    <nc r="AH13"/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xfDxf="1" sqref="F2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4" sId="1" quotePrefix="1">
    <oc r="F21" t="inlineStr">
      <is>
        <t>rb\as\rbcn\core\app\dcom\RBAPLCust\src\ibooster</t>
      </is>
    </oc>
    <nc r="F21" t="inlineStr">
      <is>
        <t>rb\as\rbcn\core\app\dcom\RBAPLCust\src\iBooster</t>
      </is>
    </nc>
  </rcc>
  <rcc rId="35" sId="1" quotePrefix="1">
    <oc r="F22" t="inlineStr">
      <is>
        <t>rb\as\rbcn\core\app\dcom\RBAPLCust\src\ibooster</t>
      </is>
    </oc>
    <nc r="F22" t="inlineStr">
      <is>
        <t>rb\as\rbcn\core\app\dcom\RBAPLCust\src\iBooster</t>
      </is>
    </nc>
  </rcc>
  <rcc rId="36" sId="1" quotePrefix="1">
    <oc r="F23" t="inlineStr">
      <is>
        <t>rb\as\rbcn\core\app\dcom\RBAPLCust\src\ibooster</t>
      </is>
    </oc>
    <nc r="F23" t="inlineStr">
      <is>
        <t>rb\as\rbcn\core\app\dcom\RBAPLCust\src\iBooster</t>
      </is>
    </nc>
  </rcc>
  <rcv guid="{250915DF-0B97-45D7-B29D-7EED4C89C1C1}" action="delete"/>
  <rdn rId="0" localSheetId="1" customView="1" name="Z_250915DF_0B97_45D7_B29D_7EED4C89C1C1_.wvu.FilterData" hidden="1" oldHidden="1">
    <formula>COEM_Package_20200302!$B$2:$AH$60</formula>
    <oldFormula>COEM_Package_20200302!$Q$2:$Q$105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" sId="1" quotePrefix="1">
    <oc r="F46" t="inlineStr">
      <is>
        <t>rb\as\cnms_core\app\dcom\RBAPLCust\src\Common</t>
      </is>
    </oc>
    <nc r="F46" t="inlineStr">
      <is>
        <t>rb\as\cnms_core\app\dcom\RBAPLCust\src\common</t>
      </is>
    </nc>
  </rcc>
  <rcc rId="40" sId="1" quotePrefix="1">
    <oc r="F47" t="inlineStr">
      <is>
        <t>rb\as\cnms_core\app\dcom\RBAPLCust\src\Common</t>
      </is>
    </oc>
    <nc r="F47" t="inlineStr">
      <is>
        <t>rb\as\cnms_core\app\dcom\RBAPLCust\src\common</t>
      </is>
    </nc>
  </rcc>
  <rcc rId="41" sId="1" quotePrefix="1">
    <oc r="F48" t="inlineStr">
      <is>
        <t>rb\as\cnms_core\app\dcom\RBAPLCust\src\Common</t>
      </is>
    </oc>
    <nc r="F48" t="inlineStr">
      <is>
        <t>rb\as\cnms_core\app\dcom\RBAPLCust\src\common</t>
      </is>
    </nc>
  </rcc>
  <rcc rId="42" sId="1" quotePrefix="1">
    <oc r="F49" t="inlineStr">
      <is>
        <t>rb\as\cnms_core\app\dcom\RBAPLCust\src\Common</t>
      </is>
    </oc>
    <nc r="F49" t="inlineStr">
      <is>
        <t>rb\as\cnms_core\app\dcom\RBAPLCust\src\common</t>
      </is>
    </nc>
  </rcc>
  <rcc rId="43" sId="1" quotePrefix="1">
    <oc r="F50" t="inlineStr">
      <is>
        <t>rb\as\cnms_core\app\dcom\RBAPLCust\src\Common</t>
      </is>
    </oc>
    <nc r="F50" t="inlineStr">
      <is>
        <t>rb\as\cnms_core\app\dcom\RBAPLCust\src\common</t>
      </is>
    </nc>
  </rcc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" sId="1">
    <nc r="P31" t="inlineStr">
      <is>
        <t>loc.do-phu</t>
      </is>
    </nc>
  </rcc>
  <rcc rId="45" sId="1">
    <nc r="P32" t="inlineStr">
      <is>
        <t>loc.do-phu</t>
      </is>
    </nc>
  </rcc>
  <rcc rId="46" sId="1">
    <nc r="P33" t="inlineStr">
      <is>
        <t>loc.do-phu</t>
      </is>
    </nc>
  </rcc>
  <rcc rId="47" sId="1">
    <nc r="P34" t="inlineStr">
      <is>
        <t>loc.do-phu</t>
      </is>
    </nc>
  </rcc>
  <rcc rId="48" sId="1">
    <nc r="P35" t="inlineStr">
      <is>
        <t>loc.do-phu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2" sId="1">
    <nc r="P36" t="inlineStr">
      <is>
        <t>loc.do-phu</t>
      </is>
    </nc>
  </rcc>
  <rcc rId="53" sId="1">
    <nc r="P37" t="inlineStr">
      <is>
        <t>loc.do-phu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" sId="1">
    <nc r="U19">
      <v>395</v>
    </nc>
  </rcc>
  <rcc rId="58" sId="1">
    <nc r="W19">
      <v>3</v>
    </nc>
  </rcc>
  <rcc rId="59" sId="1">
    <oc r="X19" t="inlineStr">
      <is>
        <t>N/A</t>
      </is>
    </oc>
    <nc r="X19" t="inlineStr">
      <is>
        <t>Ready for review</t>
      </is>
    </nc>
  </rcc>
  <rcc rId="60" sId="1" numFmtId="19">
    <nc r="AA19">
      <v>43895</v>
    </nc>
  </rcc>
  <rcc rId="61" sId="1" numFmtId="19">
    <nc r="AB19">
      <v>43895</v>
    </nc>
  </rcc>
  <rcc rId="62" sId="1">
    <nc r="AC19" t="inlineStr">
      <is>
        <t>OK</t>
      </is>
    </nc>
  </rcc>
  <rcc rId="63" sId="1">
    <nc r="AD19">
      <v>100</v>
    </nc>
  </rcc>
  <rcc rId="64" sId="1">
    <nc r="AE19">
      <v>100</v>
    </nc>
  </rcc>
  <rcc rId="65" sId="1">
    <nc r="AF19">
      <v>100</v>
    </nc>
  </rcc>
  <rcc rId="66" sId="1" numFmtId="19">
    <nc r="AA18">
      <v>43895</v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T31" start="0" length="0">
    <dxf>
      <font>
        <sz val="11"/>
        <color rgb="FFFF0000"/>
        <name val="Calibri"/>
        <scheme val="minor"/>
      </font>
      <alignment horizontal="general" vertical="bottom" readingOrder="0"/>
    </dxf>
  </rfmt>
  <rcc rId="70" sId="1" odxf="1" dxf="1">
    <oc r="T32">
      <v>164</v>
    </oc>
    <nc r="T32">
      <v>196</v>
    </nc>
    <odxf>
      <alignment horizontal="left" vertical="top" readingOrder="0"/>
    </odxf>
    <ndxf>
      <alignment horizontal="general" vertical="bottom" readingOrder="0"/>
    </ndxf>
  </rcc>
  <rfmt sheetId="1" sqref="T33" start="0" length="0">
    <dxf>
      <font>
        <sz val="11"/>
        <color rgb="FFFF0000"/>
        <name val="Calibri"/>
        <scheme val="minor"/>
      </font>
      <alignment horizontal="general" vertical="bottom" readingOrder="0"/>
    </dxf>
  </rfmt>
  <rfmt sheetId="1" sqref="T34" start="0" length="0">
    <dxf>
      <alignment horizontal="general" vertical="bottom" readingOrder="0"/>
    </dxf>
  </rfmt>
  <rfmt sheetId="1" sqref="T35" start="0" length="0">
    <dxf>
      <alignment horizontal="general" vertical="bottom" readingOrder="0"/>
    </dxf>
  </rfmt>
  <rfmt sheetId="1" sqref="T36" start="0" length="0">
    <dxf>
      <alignment horizontal="general" vertical="bottom" readingOrder="0"/>
    </dxf>
  </rfmt>
  <rfmt sheetId="1" sqref="T37" start="0" length="0">
    <dxf>
      <font>
        <sz val="11"/>
        <color rgb="FFFF0000"/>
        <name val="Calibri"/>
        <scheme val="minor"/>
      </font>
      <alignment horizontal="general" vertical="bottom" readingOrder="0"/>
    </dxf>
  </rfmt>
  <rfmt sheetId="1" sqref="T38" start="0" length="0">
    <dxf>
      <alignment horizontal="general" vertical="bottom" readingOrder="0"/>
    </dxf>
  </rfmt>
  <rfmt sheetId="1" sqref="T39" start="0" length="0">
    <dxf>
      <alignment horizontal="general" vertical="bottom" readingOrder="0"/>
    </dxf>
  </rfmt>
  <rfmt sheetId="1" sqref="T40" start="0" length="0">
    <dxf>
      <alignment horizontal="general" vertical="bottom" readingOrder="0"/>
    </dxf>
  </rfmt>
  <rfmt sheetId="1" sqref="T41" start="0" length="0">
    <dxf>
      <alignment horizontal="general" vertical="bottom" readingOrder="0"/>
    </dxf>
  </rfmt>
  <rfmt sheetId="1" sqref="T42" start="0" length="0">
    <dxf>
      <alignment horizontal="general" vertical="bottom" readingOrder="0"/>
    </dxf>
  </rfmt>
  <rfmt sheetId="1" sqref="T43" start="0" length="0">
    <dxf>
      <font>
        <sz val="11"/>
        <color rgb="FFFF0000"/>
        <name val="Calibri"/>
        <scheme val="minor"/>
      </font>
      <alignment horizontal="general" vertical="bottom" readingOrder="0"/>
    </dxf>
  </rfmt>
  <rfmt sheetId="1" sqref="T44" start="0" length="0">
    <dxf>
      <alignment horizontal="general" vertical="bottom" readingOrder="0"/>
    </dxf>
  </rfmt>
  <rfmt sheetId="1" sqref="T45" start="0" length="0">
    <dxf>
      <alignment horizontal="general" vertical="bottom" readingOrder="0"/>
    </dxf>
  </rfmt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4" sId="1">
    <oc r="X46" t="inlineStr">
      <is>
        <t>N/A</t>
      </is>
    </oc>
    <nc r="X46" t="inlineStr">
      <is>
        <t>Ready for review</t>
      </is>
    </nc>
  </rcc>
  <rcc rId="75" sId="1" numFmtId="19">
    <nc r="Y46">
      <v>43895</v>
    </nc>
  </rcc>
  <rcc rId="76" sId="1" numFmtId="19">
    <nc r="AA46">
      <v>43895</v>
    </nc>
  </rcc>
  <rcc rId="77" sId="1">
    <nc r="P46" t="inlineStr">
      <is>
        <t>thanh.nguyen-kim</t>
      </is>
    </nc>
  </rcc>
  <rcc rId="78" sId="1" numFmtId="19">
    <nc r="AB46">
      <v>43895</v>
    </nc>
  </rcc>
  <rcc rId="79" sId="1">
    <nc r="AD46">
      <v>100</v>
    </nc>
  </rcc>
  <rcc rId="80" sId="1">
    <nc r="AE46">
      <v>100</v>
    </nc>
  </rcc>
  <rcc rId="81" sId="1">
    <nc r="AF46">
      <v>100</v>
    </nc>
  </rcc>
  <rdn rId="0" localSheetId="1" customView="1" name="Z_7ECC2B8E_6A82_42F5_8AB0_4A51C54EA5EC_.wvu.Cols" hidden="1" oldHidden="1">
    <formula>COEM_Package_20200302!$M:$N</formula>
  </rdn>
  <rdn rId="0" localSheetId="1" customView="1" name="Z_7ECC2B8E_6A82_42F5_8AB0_4A51C54EA5EC_.wvu.FilterData" hidden="1" oldHidden="1">
    <formula>COEM_Package_20200302!$B$2:$AH$60</formula>
  </rdn>
  <rdn rId="0" localSheetId="3" customView="1" name="Z_7ECC2B8E_6A82_42F5_8AB0_4A51C54EA5EC_.wvu.FilterData" hidden="1" oldHidden="1">
    <formula>Template!$B$2:$R$14</formula>
  </rdn>
  <rcv guid="{7ECC2B8E-6A82-42F5-8AB0-4A51C54EA5EC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CC2B8E-6A82-42F5-8AB0-4A51C54EA5EC}" action="delete"/>
  <rdn rId="0" localSheetId="1" customView="1" name="Z_7ECC2B8E_6A82_42F5_8AB0_4A51C54EA5EC_.wvu.Cols" hidden="1" oldHidden="1">
    <formula>COEM_Package_20200302!$M:$N</formula>
    <oldFormula>COEM_Package_20200302!$M:$N</oldFormula>
  </rdn>
  <rdn rId="0" localSheetId="1" customView="1" name="Z_7ECC2B8E_6A82_42F5_8AB0_4A51C54EA5EC_.wvu.FilterData" hidden="1" oldHidden="1">
    <formula>COEM_Package_20200302!$B$2:$AH$60</formula>
    <oldFormula>COEM_Package_20200302!$B$2:$AH$60</oldFormula>
  </rdn>
  <rdn rId="0" localSheetId="3" customView="1" name="Z_7ECC2B8E_6A82_42F5_8AB0_4A51C54EA5EC_.wvu.FilterData" hidden="1" oldHidden="1">
    <formula>Template!$B$2:$R$14</formula>
    <oldFormula>Template!$B$2:$R$14</oldFormula>
  </rdn>
  <rcv guid="{7ECC2B8E-6A82-42F5-8AB0-4A51C54EA5EC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" sId="1">
    <nc r="U46">
      <v>204</v>
    </nc>
  </rcc>
  <rcc rId="89" sId="1">
    <nc r="W46">
      <v>2</v>
    </nc>
  </rcc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" sId="1">
    <oc r="W46">
      <v>2</v>
    </oc>
    <nc r="W46">
      <v>3</v>
    </nc>
  </rcc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" sId="1">
    <oc r="X47" t="inlineStr">
      <is>
        <t>N/A</t>
      </is>
    </oc>
    <nc r="X47" t="inlineStr">
      <is>
        <t>Ongoing</t>
      </is>
    </nc>
  </rcc>
  <rcc rId="92" sId="1" numFmtId="19">
    <nc r="Y47">
      <v>43895</v>
    </nc>
  </rcc>
  <rcc rId="93" sId="1" numFmtId="19">
    <nc r="AA47">
      <v>43895</v>
    </nc>
  </rcc>
  <rcv guid="{7ECC2B8E-6A82-42F5-8AB0-4A51C54EA5EC}" action="delete"/>
  <rdn rId="0" localSheetId="1" customView="1" name="Z_7ECC2B8E_6A82_42F5_8AB0_4A51C54EA5EC_.wvu.Cols" hidden="1" oldHidden="1">
    <formula>COEM_Package_20200302!$M:$N</formula>
    <oldFormula>COEM_Package_20200302!$M:$N</oldFormula>
  </rdn>
  <rdn rId="0" localSheetId="1" customView="1" name="Z_7ECC2B8E_6A82_42F5_8AB0_4A51C54EA5EC_.wvu.FilterData" hidden="1" oldHidden="1">
    <formula>COEM_Package_20200302!$B$2:$AH$60</formula>
    <oldFormula>COEM_Package_20200302!$B$2:$AH$60</oldFormula>
  </rdn>
  <rdn rId="0" localSheetId="3" customView="1" name="Z_7ECC2B8E_6A82_42F5_8AB0_4A51C54EA5EC_.wvu.FilterData" hidden="1" oldHidden="1">
    <formula>Template!$B$2:$R$14</formula>
    <oldFormula>Template!$B$2:$R$14</oldFormula>
  </rdn>
  <rcv guid="{7ECC2B8E-6A82-42F5-8AB0-4A51C54EA5EC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7" sId="1">
    <nc r="P20" t="inlineStr">
      <is>
        <t>duong.nguyen</t>
      </is>
    </nc>
  </rcc>
  <rcv guid="{250915DF-0B97-45D7-B29D-7EED4C89C1C1}" action="delete"/>
  <rdn rId="0" localSheetId="1" customView="1" name="Z_250915DF_0B97_45D7_B29D_7EED4C89C1C1_.wvu.FilterData" hidden="1" oldHidden="1">
    <formula>COEM_Package_20200302!$B$2:$AH$60</formula>
    <oldFormula>COEM_Package_20200302!$B$2:$AH$60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0" sId="1">
    <nc r="P39" t="inlineStr">
      <is>
        <t>hieu.nguyen-trung</t>
      </is>
    </nc>
  </rcc>
  <rcv guid="{250915DF-0B97-45D7-B29D-7EED4C89C1C1}" action="delete"/>
  <rdn rId="0" localSheetId="1" customView="1" name="Z_250915DF_0B97_45D7_B29D_7EED4C89C1C1_.wvu.FilterData" hidden="1" oldHidden="1">
    <formula>COEM_Package_20200302!$B$2:$AH$60</formula>
    <oldFormula>COEM_Package_20200302!$B$2:$AH$60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3" sId="1">
    <nc r="W16">
      <v>3</v>
    </nc>
  </rcc>
  <rcc rId="104" sId="1">
    <oc r="X16" t="inlineStr">
      <is>
        <t>N/A</t>
      </is>
    </oc>
    <nc r="X16" t="inlineStr">
      <is>
        <t>Ready for review</t>
      </is>
    </nc>
  </rcc>
  <rcc rId="105" sId="1">
    <oc r="X31" t="inlineStr">
      <is>
        <t>N/A</t>
      </is>
    </oc>
    <nc r="X31" t="inlineStr">
      <is>
        <t>Ongoing</t>
      </is>
    </nc>
  </rcc>
  <rcc rId="106" sId="1" numFmtId="19">
    <nc r="AA16">
      <v>43895</v>
    </nc>
  </rcc>
  <rcc rId="107" sId="1" numFmtId="19">
    <nc r="AB16">
      <v>43895</v>
    </nc>
  </rcc>
  <rcc rId="108" sId="1">
    <nc r="AC16" t="inlineStr">
      <is>
        <t>OK</t>
      </is>
    </nc>
  </rcc>
  <rcc rId="109" sId="1">
    <nc r="AD16">
      <v>100</v>
    </nc>
  </rcc>
  <rcc rId="110" sId="1">
    <nc r="AE16">
      <v>100</v>
    </nc>
  </rcc>
  <rcc rId="111" sId="1">
    <nc r="AF16">
      <v>100</v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5" sId="1">
    <nc r="P43" t="inlineStr">
      <is>
        <t>hieu.nguyen-trung</t>
      </is>
    </nc>
  </rcc>
  <rcc rId="116" sId="1">
    <oc r="P39" t="inlineStr">
      <is>
        <t>hieu.nguyen-trung</t>
      </is>
    </oc>
    <nc r="P39"/>
  </rcc>
  <rcv guid="{250915DF-0B97-45D7-B29D-7EED4C89C1C1}" action="delete"/>
  <rdn rId="0" localSheetId="1" customView="1" name="Z_250915DF_0B97_45D7_B29D_7EED4C89C1C1_.wvu.FilterData" hidden="1" oldHidden="1">
    <formula>COEM_Package_20200302!$B$2:$AH$60</formula>
    <oldFormula>COEM_Package_20200302!$B$2:$AH$60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CC2B8E-6A82-42F5-8AB0-4A51C54EA5EC}" action="delete"/>
  <rdn rId="0" localSheetId="1" customView="1" name="Z_7ECC2B8E_6A82_42F5_8AB0_4A51C54EA5EC_.wvu.Cols" hidden="1" oldHidden="1">
    <formula>COEM_Package_20200302!$M:$N</formula>
    <oldFormula>COEM_Package_20200302!$M:$N</oldFormula>
  </rdn>
  <rdn rId="0" localSheetId="1" customView="1" name="Z_7ECC2B8E_6A82_42F5_8AB0_4A51C54EA5EC_.wvu.FilterData" hidden="1" oldHidden="1">
    <formula>COEM_Package_20200302!$B$2:$AH$60</formula>
    <oldFormula>COEM_Package_20200302!$B$2:$AH$60</oldFormula>
  </rdn>
  <rdn rId="0" localSheetId="3" customView="1" name="Z_7ECC2B8E_6A82_42F5_8AB0_4A51C54EA5EC_.wvu.FilterData" hidden="1" oldHidden="1">
    <formula>Template!$B$2:$R$14</formula>
    <oldFormula>Template!$B$2:$R$14</oldFormula>
  </rdn>
  <rcv guid="{7ECC2B8E-6A82-42F5-8AB0-4A51C54EA5EC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2" sId="1" numFmtId="19">
    <nc r="AB18">
      <v>43895</v>
    </nc>
  </rcc>
  <rcc rId="123" sId="1">
    <nc r="AC18" t="inlineStr">
      <is>
        <t>OK</t>
      </is>
    </nc>
  </rcc>
  <rcc rId="124" sId="1">
    <nc r="AD18">
      <v>100</v>
    </nc>
  </rcc>
  <rcc rId="125" sId="1">
    <nc r="AE18">
      <v>100</v>
    </nc>
  </rcc>
  <rcc rId="126" sId="1">
    <nc r="AF18">
      <v>100</v>
    </nc>
  </rcc>
  <rcc rId="127" sId="1">
    <oc r="X18" t="inlineStr">
      <is>
        <t>Ongoing</t>
      </is>
    </oc>
    <nc r="X18" t="inlineStr">
      <is>
        <t>Ready for review</t>
      </is>
    </nc>
  </rcc>
  <rcc rId="128" sId="1">
    <nc r="W18">
      <v>2</v>
    </nc>
  </rcc>
  <rcc rId="129" sId="1">
    <nc r="U18">
      <v>395</v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3" sId="1">
    <nc r="P52" t="inlineStr">
      <is>
        <t>thanh.nguyen-kim</t>
      </is>
    </nc>
  </rcc>
  <rcc rId="134" sId="1">
    <oc r="X52" t="inlineStr">
      <is>
        <t>N/A</t>
      </is>
    </oc>
    <nc r="X52" t="inlineStr">
      <is>
        <t>Ongoing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" sId="1">
    <nc r="U31">
      <v>129</v>
    </nc>
  </rcc>
  <rcc rId="139" sId="1">
    <nc r="W31">
      <v>2</v>
    </nc>
  </rcc>
  <rcc rId="140" sId="1">
    <oc r="X31" t="inlineStr">
      <is>
        <t>Ongoing</t>
      </is>
    </oc>
    <nc r="X31" t="inlineStr">
      <is>
        <t>Ready for review</t>
      </is>
    </nc>
  </rcc>
  <rcc rId="141" sId="1" numFmtId="19">
    <nc r="AA31">
      <v>43895</v>
    </nc>
  </rcc>
  <rcc rId="142" sId="1" numFmtId="19">
    <nc r="AB17">
      <v>43895</v>
    </nc>
  </rcc>
  <rcc rId="143" sId="1" numFmtId="19">
    <nc r="AB31">
      <v>43895</v>
    </nc>
  </rcc>
  <rcc rId="144" sId="1">
    <nc r="AC31" t="inlineStr">
      <is>
        <t>OK</t>
      </is>
    </nc>
  </rcc>
  <rcc rId="145" sId="1" odxf="1" dxf="1">
    <nc r="AD3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" sId="1" odxf="1" dxf="1">
    <nc r="AE31">
      <v>100</v>
    </nc>
    <ndxf>
      <font>
        <sz val="11"/>
        <color auto="1"/>
        <name val="Calibri"/>
        <scheme val="minor"/>
      </font>
    </ndxf>
  </rcc>
  <rcc rId="147" sId="1" odxf="1" dxf="1">
    <nc r="AF31">
      <v>100</v>
    </nc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1" sId="1">
    <nc r="P47" t="inlineStr">
      <is>
        <t>thanh.nguyen-kim</t>
      </is>
    </nc>
  </rcc>
  <rcc rId="152" sId="1">
    <nc r="U47">
      <v>185</v>
    </nc>
  </rcc>
  <rcc rId="153" sId="1">
    <nc r="W47">
      <v>3</v>
    </nc>
  </rcc>
  <rcc rId="154" sId="1">
    <oc r="X47" t="inlineStr">
      <is>
        <t>Ongoing</t>
      </is>
    </oc>
    <nc r="X47" t="inlineStr">
      <is>
        <t>Ready for review</t>
      </is>
    </nc>
  </rcc>
  <rcc rId="155" sId="1" numFmtId="19">
    <nc r="AB47">
      <v>43895</v>
    </nc>
  </rcc>
  <rcc rId="156" sId="1">
    <nc r="AD47">
      <v>100</v>
    </nc>
  </rcc>
  <rcc rId="157" sId="1">
    <nc r="AE47">
      <v>100</v>
    </nc>
  </rcc>
  <rcc rId="158" sId="1">
    <nc r="AF47">
      <v>100</v>
    </nc>
  </rcc>
  <rcv guid="{7ECC2B8E-6A82-42F5-8AB0-4A51C54EA5EC}" action="delete"/>
  <rdn rId="0" localSheetId="1" customView="1" name="Z_7ECC2B8E_6A82_42F5_8AB0_4A51C54EA5EC_.wvu.Cols" hidden="1" oldHidden="1">
    <formula>COEM_Package_20200302!$M:$N</formula>
    <oldFormula>COEM_Package_20200302!$M:$N</oldFormula>
  </rdn>
  <rdn rId="0" localSheetId="1" customView="1" name="Z_7ECC2B8E_6A82_42F5_8AB0_4A51C54EA5EC_.wvu.FilterData" hidden="1" oldHidden="1">
    <formula>COEM_Package_20200302!$Q$2:$Q$105</formula>
    <oldFormula>COEM_Package_20200302!$B$2:$AH$60</oldFormula>
  </rdn>
  <rdn rId="0" localSheetId="3" customView="1" name="Z_7ECC2B8E_6A82_42F5_8AB0_4A51C54EA5EC_.wvu.FilterData" hidden="1" oldHidden="1">
    <formula>Template!$B$2:$R$14</formula>
    <oldFormula>Template!$B$2:$R$14</oldFormula>
  </rdn>
  <rcv guid="{7ECC2B8E-6A82-42F5-8AB0-4A51C54EA5EC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2" sId="1">
    <nc r="U52">
      <v>110</v>
    </nc>
  </rcc>
  <rcc rId="163" sId="1">
    <oc r="X52" t="inlineStr">
      <is>
        <t>Ongoing</t>
      </is>
    </oc>
    <nc r="X52" t="inlineStr">
      <is>
        <t>Ready for review</t>
      </is>
    </nc>
  </rcc>
  <rcc rId="164" sId="1">
    <nc r="W52">
      <v>2</v>
    </nc>
  </rcc>
  <rcc rId="165" sId="1" numFmtId="19">
    <nc r="Y52">
      <v>43895</v>
    </nc>
  </rcc>
  <rcc rId="166" sId="1" numFmtId="19">
    <nc r="AA52">
      <v>43895</v>
    </nc>
  </rcc>
  <rcc rId="167" sId="1" numFmtId="19">
    <nc r="AB52">
      <v>43895</v>
    </nc>
  </rcc>
  <rcc rId="168" sId="1">
    <nc r="AD52">
      <v>100</v>
    </nc>
  </rcc>
  <rcc rId="169" sId="1">
    <nc r="AE52">
      <v>100</v>
    </nc>
  </rcc>
  <rcc rId="170" sId="1">
    <nc r="AF52">
      <v>100</v>
    </nc>
  </rcc>
  <rcc rId="171" sId="1">
    <nc r="AC52" t="inlineStr">
      <is>
        <t>OK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75" sId="1">
    <oc r="P43" t="inlineStr">
      <is>
        <t>hieu.nguyen-trung</t>
      </is>
    </oc>
    <nc r="P43"/>
  </rcc>
  <rcv guid="{250915DF-0B97-45D7-B29D-7EED4C89C1C1}" action="delete"/>
  <rdn rId="0" localSheetId="1" customView="1" name="Z_250915DF_0B97_45D7_B29D_7EED4C89C1C1_.wvu.FilterData" hidden="1" oldHidden="1">
    <formula>COEM_Package_20200302!$Q$2:$Q$105</formula>
    <oldFormula>COEM_Package_20200302!$B$2:$AH$60</oldFormula>
  </rdn>
  <rdn rId="0" localSheetId="3" customView="1" name="Z_250915DF_0B97_45D7_B29D_7EED4C89C1C1_.wvu.FilterData" hidden="1" oldHidden="1">
    <formula>Template!$B$2:$R$14</formula>
    <oldFormula>Template!$B$2:$R$14</oldFormula>
  </rdn>
  <rcv guid="{250915DF-0B97-45D7-B29D-7EED4C89C1C1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78" sId="1">
    <oc r="X32" t="inlineStr">
      <is>
        <t>N/A</t>
      </is>
    </oc>
    <nc r="X32" t="inlineStr">
      <is>
        <t>Ongoing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2" sId="1">
    <oc r="AC16" t="inlineStr">
      <is>
        <t>OK</t>
      </is>
    </oc>
    <nc r="AC16" t="inlineStr">
      <is>
        <t>NG</t>
      </is>
    </nc>
  </rcc>
  <rcc rId="183" sId="1">
    <nc r="AG16" t="inlineStr">
      <is>
        <t>Waiting for OPL Answer.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COEM_Package_20200302!$B$2:$AH$60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7" sId="1">
    <oc r="W31">
      <v>2</v>
    </oc>
    <nc r="W31">
      <v>3</v>
    </nc>
  </rcc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8" sId="1">
    <nc r="P42" t="inlineStr">
      <is>
        <t>thanh.nguyen-kim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2" sId="1" odxf="1" dxf="1">
    <nc r="B61">
      <f>B60+1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93" sId="1" odxf="1" dxf="1">
    <nc r="B62">
      <f>B61+1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94" sId="1" odxf="1" dxf="1">
    <nc r="B63">
      <f>B62+1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95" sId="1" odxf="1" dxf="1">
    <nc r="B64">
      <f>B63+1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96" sId="1" odxf="1" dxf="1">
    <nc r="B65">
      <f>B64+1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97" sId="1" odxf="1" dxf="1">
    <nc r="B66">
      <f>B65+1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1" sqref="E61" start="0" length="0">
    <dxf>
      <alignment horizontal="general" vertical="bottom" readingOrder="0"/>
      <border outline="0">
        <left/>
        <right/>
        <top/>
        <bottom/>
      </border>
    </dxf>
  </rfmt>
  <rfmt sheetId="1" xfDxf="1" sqref="E61" start="0" length="0">
    <dxf>
      <font>
        <sz val="10"/>
        <color rgb="FF000000"/>
        <name val="Arial"/>
        <scheme val="none"/>
      </font>
    </dxf>
  </rfmt>
  <rcc rId="198" sId="1" odxf="1" dxf="1">
    <nc r="E61" t="inlineStr">
      <is>
        <t>FAW_C105EV_ESPhev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9" sId="1">
    <nc r="E62" t="inlineStr">
      <is>
        <t>FAW_C105EV_ESPhev</t>
      </is>
    </nc>
  </rcc>
  <rcc rId="200" sId="1">
    <nc r="E63" t="inlineStr">
      <is>
        <t>FAW_C105EV_ESPhev</t>
      </is>
    </nc>
  </rcc>
  <rcc rId="201" sId="1">
    <nc r="E64" t="inlineStr">
      <is>
        <t>FAW_C105EV_ESPhev</t>
      </is>
    </nc>
  </rcc>
  <rcc rId="202" sId="1">
    <nc r="E65" t="inlineStr">
      <is>
        <t>FAW_C105EV_ESPhev</t>
      </is>
    </nc>
  </rcc>
  <rcc rId="203" sId="1">
    <nc r="E66" t="inlineStr">
      <is>
        <t>FAW_C105EV_ESPhev</t>
      </is>
    </nc>
  </rcc>
  <rcc rId="204" sId="1">
    <nc r="D61" t="inlineStr">
      <is>
        <t>PSW</t>
      </is>
    </nc>
  </rcc>
  <rcc rId="205" sId="1">
    <nc r="D62" t="inlineStr">
      <is>
        <t>PSW</t>
      </is>
    </nc>
  </rcc>
  <rcc rId="206" sId="1">
    <nc r="D63" t="inlineStr">
      <is>
        <t>PSW</t>
      </is>
    </nc>
  </rcc>
  <rcc rId="207" sId="1">
    <nc r="D64" t="inlineStr">
      <is>
        <t>PSW</t>
      </is>
    </nc>
  </rcc>
  <rcc rId="208" sId="1">
    <nc r="D65" t="inlineStr">
      <is>
        <t>PSW</t>
      </is>
    </nc>
  </rcc>
  <rcc rId="209" sId="1">
    <nc r="D66" t="inlineStr">
      <is>
        <t>PSW</t>
      </is>
    </nc>
  </rcc>
  <rcc rId="210" sId="1">
    <nc r="C61">
      <v>20200306</v>
    </nc>
  </rcc>
  <rcc rId="211" sId="1">
    <nc r="C62">
      <v>20200306</v>
    </nc>
  </rcc>
  <rcc rId="212" sId="1">
    <nc r="C63">
      <v>20200306</v>
    </nc>
  </rcc>
  <rcc rId="213" sId="1">
    <nc r="C64">
      <v>20200306</v>
    </nc>
  </rcc>
  <rcc rId="214" sId="1">
    <nc r="C65">
      <v>20200306</v>
    </nc>
  </rcc>
  <rcc rId="215" sId="1">
    <nc r="C66">
      <v>20200306</v>
    </nc>
  </rcc>
  <rfmt sheetId="1" sqref="F61" start="0" length="0">
    <dxf>
      <alignment horizontal="general" vertical="bottom" readingOrder="0"/>
      <border outline="0">
        <left/>
        <right/>
        <top/>
        <bottom/>
      </border>
    </dxf>
  </rfmt>
  <rfmt sheetId="1" xfDxf="1" sqref="F61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sqref="F62" start="0" length="0">
    <dxf>
      <font>
        <sz val="10"/>
        <color rgb="FF000000"/>
        <name val="Arial"/>
        <scheme val="none"/>
      </font>
      <alignment horizontal="general" vertical="center" readingOrder="0"/>
      <border outline="0">
        <left/>
        <right style="medium">
          <color indexed="64"/>
        </right>
        <top/>
        <bottom style="medium">
          <color indexed="64"/>
        </bottom>
      </border>
    </dxf>
  </rfmt>
  <rfmt sheetId="1" sqref="F63" start="0" length="0">
    <dxf>
      <font>
        <sz val="10"/>
        <color rgb="FF000000"/>
        <name val="Arial"/>
        <scheme val="none"/>
      </font>
      <alignment horizontal="general" vertical="center" readingOrder="0"/>
      <border outline="0">
        <left/>
        <right style="medium">
          <color indexed="64"/>
        </right>
        <top/>
        <bottom style="medium">
          <color indexed="64"/>
        </bottom>
      </border>
    </dxf>
  </rfmt>
  <rfmt sheetId="1" sqref="F64" start="0" length="0">
    <dxf>
      <font>
        <sz val="10"/>
        <color rgb="FF000000"/>
        <name val="Arial"/>
        <scheme val="none"/>
      </font>
      <alignment horizontal="general" vertical="center" readingOrder="0"/>
      <border outline="0">
        <left/>
        <right style="medium">
          <color indexed="64"/>
        </right>
        <top/>
        <bottom style="medium">
          <color indexed="64"/>
        </bottom>
      </border>
    </dxf>
  </rfmt>
  <rfmt sheetId="1" sqref="F65" start="0" length="0">
    <dxf>
      <font>
        <sz val="10"/>
        <color rgb="FF000000"/>
        <name val="Arial"/>
        <scheme val="none"/>
      </font>
      <alignment horizontal="general" vertical="center" readingOrder="0"/>
      <border outline="0">
        <left/>
        <right style="medium">
          <color indexed="64"/>
        </right>
        <top/>
        <bottom style="medium">
          <color indexed="64"/>
        </bottom>
      </border>
    </dxf>
  </rfmt>
  <rfmt sheetId="1" sqref="F66" start="0" length="0">
    <dxf>
      <font>
        <sz val="10"/>
        <color rgb="FF000000"/>
        <name val="Arial"/>
        <scheme val="none"/>
      </font>
      <alignment horizontal="general" vertical="center" readingOrder="0"/>
      <border outline="0">
        <left/>
        <right style="medium">
          <color indexed="64"/>
        </right>
        <top/>
        <bottom style="medium">
          <color indexed="64"/>
        </bottom>
      </border>
    </dxf>
  </rfmt>
  <rcc rId="216" sId="1" odxf="1" dxf="1" quotePrefix="1">
    <nc r="F61" t="inlineStr">
      <is>
        <t>rb\as\cnms_core\app\net\scl_callout\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7" sId="1" odxf="1" dxf="1" quotePrefix="1">
    <nc r="F62" t="inlineStr">
      <is>
        <t>rb\as\cnms_core\app\net\scl_callout\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8" sId="1" odxf="1" dxf="1" quotePrefix="1">
    <nc r="F63" t="inlineStr">
      <is>
        <t>rb\as\cnms_core\app\net\scl_callout\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9" sId="1" odxf="1" dxf="1" quotePrefix="1">
    <nc r="F64" t="inlineStr">
      <is>
        <t>rb\as\cnms_core\app\net\scl_callout\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" sId="1" odxf="1" dxf="1" quotePrefix="1">
    <nc r="F65" t="inlineStr">
      <is>
        <t>rb\as\cnms_core\app\net\scl_callout\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1" sId="1" odxf="1" dxf="1" quotePrefix="1">
    <nc r="F66" t="inlineStr">
      <is>
        <t>rb\as\cnms_core\app\net\scl_callout\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sqref="G61" start="0" length="0">
    <dxf>
      <alignment horizontal="general" vertical="bottom" readingOrder="0"/>
      <border outline="0">
        <left/>
        <right/>
        <top/>
        <bottom/>
      </border>
    </dxf>
  </rfmt>
  <rfmt sheetId="1" sqref="G62" start="0" length="0">
    <dxf>
      <alignment horizontal="general" vertical="bottom" readingOrder="0"/>
      <border outline="0">
        <left/>
        <right/>
        <top/>
        <bottom/>
      </border>
    </dxf>
  </rfmt>
  <rfmt sheetId="1" sqref="G63" start="0" length="0">
    <dxf>
      <alignment horizontal="general" vertical="bottom" readingOrder="0"/>
      <border outline="0">
        <left/>
        <right/>
        <top/>
        <bottom/>
      </border>
    </dxf>
  </rfmt>
  <rfmt sheetId="1" sqref="G64" start="0" length="0">
    <dxf>
      <alignment horizontal="general" vertical="bottom" readingOrder="0"/>
      <border outline="0">
        <left/>
        <right/>
        <top/>
        <bottom/>
      </border>
    </dxf>
  </rfmt>
  <rfmt sheetId="1" sqref="G65" start="0" length="0">
    <dxf>
      <alignment horizontal="general" vertical="bottom" readingOrder="0"/>
      <border outline="0">
        <left/>
        <right/>
        <top/>
        <bottom/>
      </border>
    </dxf>
  </rfmt>
  <rfmt sheetId="1" sqref="G66" start="0" length="0">
    <dxf>
      <alignment horizontal="general" vertical="bottom" readingOrder="0"/>
      <border outline="0">
        <left/>
        <right/>
        <top/>
        <bottom/>
      </border>
    </dxf>
  </rfmt>
  <rfmt sheetId="1" xfDxf="1" sqref="G61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G62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G63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G64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G65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G66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cc rId="222" sId="1" odxf="1" dxf="1">
    <nc r="G61">
      <v>1360296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" sId="1" odxf="1" dxf="1">
    <nc r="G62">
      <v>1360296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" sId="1" odxf="1" dxf="1">
    <nc r="G63">
      <v>1360296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5" sId="1" odxf="1" dxf="1">
    <nc r="G64">
      <v>1360296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" sId="1" odxf="1" dxf="1">
    <nc r="G65">
      <v>1360296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" sId="1" odxf="1" dxf="1">
    <nc r="G66">
      <v>1360296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sqref="H61" start="0" length="0">
    <dxf>
      <alignment horizontal="general" vertical="bottom" readingOrder="0"/>
      <border outline="0">
        <left/>
        <right/>
        <top/>
        <bottom/>
      </border>
    </dxf>
  </rfmt>
  <rfmt sheetId="1" sqref="H62" start="0" length="0">
    <dxf>
      <alignment horizontal="general" vertical="bottom" readingOrder="0"/>
      <border outline="0">
        <left/>
        <right/>
        <top/>
        <bottom/>
      </border>
    </dxf>
  </rfmt>
  <rfmt sheetId="1" sqref="H63" start="0" length="0">
    <dxf>
      <alignment horizontal="general" vertical="bottom" readingOrder="0"/>
      <border outline="0">
        <left/>
        <right/>
        <top/>
        <bottom/>
      </border>
    </dxf>
  </rfmt>
  <rfmt sheetId="1" sqref="H64" start="0" length="0">
    <dxf>
      <alignment horizontal="general" vertical="bottom" readingOrder="0"/>
      <border outline="0">
        <left/>
        <right/>
        <top/>
        <bottom/>
      </border>
    </dxf>
  </rfmt>
  <rfmt sheetId="1" sqref="H65" start="0" length="0">
    <dxf>
      <alignment horizontal="general" vertical="bottom" readingOrder="0"/>
      <border outline="0">
        <left/>
        <right/>
        <top/>
        <bottom/>
      </border>
    </dxf>
  </rfmt>
  <rfmt sheetId="1" sqref="H66" start="0" length="0">
    <dxf>
      <alignment horizontal="general" vertical="bottom" readingOrder="0"/>
      <border outline="0">
        <left/>
        <right/>
        <top/>
        <bottom/>
      </border>
    </dxf>
  </rfmt>
  <rfmt sheetId="1" xfDxf="1" sqref="H61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2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3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4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5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6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cc rId="228" sId="1" odxf="1" dxf="1">
    <nc r="H61" t="inlineStr">
      <is>
        <t>RBA_NDS_ABS_3_Callout.c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" sId="1" odxf="1" dxf="1">
    <nc r="H62" t="inlineStr">
      <is>
        <t>RBA_NDS_APC_1_Callout.c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" sId="1" odxf="1" dxf="1">
    <nc r="H63" t="inlineStr">
      <is>
        <t>RBA_NDS_ESP_3_Callout.c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1" sId="1" odxf="1" dxf="1">
    <nc r="H64" t="inlineStr">
      <is>
        <t>RBA_NDS_HCU_PT_10_Callout.c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2" sId="1" odxf="1" dxf="1">
    <nc r="H65" t="inlineStr">
      <is>
        <t>RBA_NDS_HCU_PT_2_Callout.c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3" sId="1" odxf="1" dxf="1">
    <nc r="H66" t="inlineStr">
      <is>
        <t>RBA_NDS_SystemInfo.c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4" sId="1" odxf="1" dxf="1">
    <nc r="I61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35" sId="1" odxf="1" dxf="1">
    <nc r="I62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36" sId="1" odxf="1" dxf="1">
    <nc r="I63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37" sId="1" odxf="1" dxf="1">
    <nc r="I64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38" sId="1" odxf="1" dxf="1">
    <nc r="I65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39" sId="1" odxf="1" dxf="1">
    <nc r="I66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fmt sheetId="1" sqref="B61:H66">
    <dxf>
      <fill>
        <patternFill patternType="solid">
          <bgColor rgb="FFFFFF00"/>
        </patternFill>
      </fill>
    </dxf>
  </rfmt>
  <rfmt sheetId="1" sqref="J61" start="0" length="0">
    <dxf>
      <alignment horizontal="general" vertical="bottom" readingOrder="0"/>
      <border outline="0">
        <left/>
        <right/>
        <top/>
        <bottom/>
      </border>
    </dxf>
  </rfmt>
  <rcc rId="240" sId="1" xfDxf="1" dxf="1">
    <nc r="J61">
      <v>99478</v>
    </nc>
  </rcc>
  <rcc rId="241" sId="1" odxf="1" dxf="1">
    <nc r="J62">
      <v>99478</v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42" sId="1" odxf="1" dxf="1">
    <nc r="J63">
      <v>99478</v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43" sId="1" odxf="1" dxf="1">
    <nc r="J64">
      <v>99478</v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44" sId="1" odxf="1" dxf="1">
    <nc r="J65">
      <v>99478</v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45" sId="1" odxf="1" dxf="1">
    <nc r="J66">
      <v>99478</v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fmt sheetId="1" sqref="J61:J66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cc rId="246" sId="1">
    <nc r="K61" t="inlineStr">
      <is>
        <t>FAW_Carbon_TypeF_HevX_Int</t>
      </is>
    </nc>
  </rcc>
  <rcc rId="247" sId="1">
    <nc r="K62" t="inlineStr">
      <is>
        <t>FAW_Carbon_TypeF_HevX_Int</t>
      </is>
    </nc>
  </rcc>
  <rcc rId="248" sId="1">
    <nc r="K63" t="inlineStr">
      <is>
        <t>FAW_Carbon_TypeF_HevX_Int</t>
      </is>
    </nc>
  </rcc>
  <rcc rId="249" sId="1">
    <nc r="K64" t="inlineStr">
      <is>
        <t>FAW_Carbon_TypeF_HevX_Int</t>
      </is>
    </nc>
  </rcc>
  <rcc rId="250" sId="1">
    <nc r="K65" t="inlineStr">
      <is>
        <t>FAW_Carbon_TypeF_HevX_Int</t>
      </is>
    </nc>
  </rcc>
  <rcc rId="251" sId="1">
    <nc r="K66" t="inlineStr">
      <is>
        <t>FAW_Carbon_TypeF_HevX_Int</t>
      </is>
    </nc>
  </rcc>
  <rcc rId="252" sId="1" odxf="1" dxf="1">
    <nc r="L61">
      <f>IF(D61="ASW","PUT_VERSION","-")</f>
    </nc>
    <odxf/>
    <ndxf/>
  </rcc>
  <rcc rId="253" sId="1" odxf="1" dxf="1">
    <nc r="L62">
      <f>IF(D62="ASW","PUT_VERSION","-")</f>
    </nc>
    <odxf/>
    <ndxf/>
  </rcc>
  <rcc rId="254" sId="1" odxf="1" dxf="1">
    <nc r="L63">
      <f>IF(D63="ASW","PUT_VERSION","-")</f>
    </nc>
    <odxf/>
    <ndxf/>
  </rcc>
  <rcc rId="255" sId="1" odxf="1" dxf="1">
    <nc r="L64">
      <f>IF(D64="ASW","PUT_VERSION","-")</f>
    </nc>
    <odxf/>
    <ndxf/>
  </rcc>
  <rcc rId="256" sId="1" odxf="1" dxf="1">
    <nc r="L65">
      <f>IF(D65="ASW","PUT_VERSION","-")</f>
    </nc>
    <odxf/>
    <ndxf/>
  </rcc>
  <rcc rId="257" sId="1" odxf="1" dxf="1">
    <nc r="L66">
      <f>IF(D66="ASW","PUT_VERSION","-")</f>
    </nc>
    <odxf/>
    <ndxf/>
  </rcc>
  <rfmt sheetId="1" sqref="S61" start="0" length="0">
    <dxf>
      <alignment horizontal="general" vertical="bottom" readingOrder="0"/>
      <border outline="0">
        <left/>
        <right/>
        <top/>
        <bottom/>
      </border>
    </dxf>
  </rfmt>
  <rfmt sheetId="1" sqref="S62" start="0" length="0">
    <dxf>
      <alignment horizontal="general" vertical="bottom" readingOrder="0"/>
      <border outline="0">
        <left/>
        <right/>
        <top/>
        <bottom/>
      </border>
    </dxf>
  </rfmt>
  <rfmt sheetId="1" sqref="S63" start="0" length="0">
    <dxf>
      <alignment horizontal="general" vertical="bottom" readingOrder="0"/>
      <border outline="0">
        <left/>
        <right/>
        <top/>
        <bottom/>
      </border>
    </dxf>
  </rfmt>
  <rfmt sheetId="1" sqref="S64" start="0" length="0">
    <dxf>
      <alignment horizontal="general" vertical="bottom" readingOrder="0"/>
      <border outline="0">
        <left/>
        <right/>
        <top/>
        <bottom/>
      </border>
    </dxf>
  </rfmt>
  <rfmt sheetId="1" sqref="S65" start="0" length="0">
    <dxf>
      <alignment horizontal="general" vertical="bottom" readingOrder="0"/>
      <border outline="0">
        <left/>
        <right/>
        <top/>
        <bottom/>
      </border>
    </dxf>
  </rfmt>
  <rfmt sheetId="1" sqref="S66" start="0" length="0">
    <dxf>
      <alignment horizontal="general" vertical="bottom" readingOrder="0"/>
      <border outline="0">
        <left/>
        <right/>
        <top/>
        <bottom/>
      </border>
    </dxf>
  </rfmt>
  <rfmt sheetId="1" xfDxf="1" sqref="S61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2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3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4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5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6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cc rId="258" sId="1" odxf="1" dxf="1">
    <nc r="S61">
      <v>96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" sId="1" odxf="1" dxf="1">
    <nc r="S62">
      <v>28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" sId="1" odxf="1" dxf="1">
    <nc r="S63">
      <v>36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" sId="1" odxf="1" dxf="1">
    <nc r="S64">
      <v>80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" sId="1" odxf="1" dxf="1">
    <nc r="S65">
      <v>33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" sId="1" odxf="1" dxf="1">
    <nc r="S66">
      <v>212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" sId="1">
    <nc r="P66" t="inlineStr">
      <is>
        <t>thanh.nguyen-kim</t>
      </is>
    </nc>
  </rcc>
  <rcc rId="265" sId="1">
    <nc r="P61" t="inlineStr">
      <is>
        <t>duong.nguyen</t>
      </is>
    </nc>
  </rcc>
  <rcc rId="266" sId="1">
    <nc r="P62" t="inlineStr">
      <is>
        <t>loc.do-phu</t>
      </is>
    </nc>
  </rcc>
  <rcc rId="267" sId="1">
    <nc r="P63" t="inlineStr">
      <is>
        <t>loc.do-phu</t>
      </is>
    </nc>
  </rcc>
  <rcc rId="268" sId="1">
    <nc r="P64" t="inlineStr">
      <is>
        <t>chung.ly</t>
      </is>
    </nc>
  </rcc>
  <rcc rId="269" sId="1">
    <nc r="P65" t="inlineStr">
      <is>
        <t>loc.do-phu</t>
      </is>
    </nc>
  </rcc>
  <rcv guid="{7E0EA425-A420-4443-B9E0-CDF0AA9E5D09}" action="delete"/>
  <rdn rId="0" localSheetId="1" customView="1" name="Z_7E0EA425_A420_4443_B9E0_CDF0AA9E5D09_.wvu.Cols" hidden="1" oldHidden="1">
    <formula>COEM_Package_20200302!$M:$N</formula>
    <oldFormula>COEM_Package_20200302!$M:$N</oldFormula>
  </rdn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COEM_Package_20200302!$M:$N</formula>
    <oldFormula>COEM_Package_20200302!$M:$N</oldFormula>
  </rdn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0" localSheetId="1" customView="1" name="Z_7E0EA425_A420_4443_B9E0_CDF0AA9E5D09_.wvu.Cols" hidden="1" oldHidden="1">
    <oldFormula>COEM_Package_20200302!$M:$N</oldFormula>
  </rdn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M61" start="0" length="0">
    <dxf>
      <alignment horizontal="general" vertical="bottom" readingOrder="0"/>
      <border outline="0">
        <left/>
        <right/>
        <top/>
        <bottom/>
      </border>
    </dxf>
  </rfmt>
  <rcc rId="281" sId="1" xfDxf="1" dxf="1">
    <nc r="M61" t="inlineStr">
      <is>
        <t>HU Evan (CC-AS/EVA-SW33-CN)</t>
      </is>
    </nc>
  </rcc>
  <rcc rId="282" sId="1" odxf="1" dxf="1">
    <nc r="M62" t="inlineStr">
      <is>
        <t>HU Evan (CC-AS/EVA-SW33-CN)</t>
      </is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83" sId="1" odxf="1" dxf="1">
    <nc r="M63" t="inlineStr">
      <is>
        <t>HU Evan (CC-AS/EVA-SW33-CN)</t>
      </is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84" sId="1" odxf="1" dxf="1">
    <nc r="M64" t="inlineStr">
      <is>
        <t>HU Evan (CC-AS/EVA-SW33-CN)</t>
      </is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85" sId="1" odxf="1" dxf="1">
    <nc r="M65" t="inlineStr">
      <is>
        <t>HU Evan (CC-AS/EVA-SW33-CN)</t>
      </is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  <rcc rId="286" sId="1" odxf="1" dxf="1">
    <nc r="M66" t="inlineStr">
      <is>
        <t>HU Evan (CC-AS/EVA-SW33-CN)</t>
      </is>
    </nc>
    <o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odxf>
    <ndxf>
      <alignment horizontal="general" vertical="bottom" readingOrder="0"/>
      <border outline="0">
        <left/>
        <right/>
        <top/>
        <bottom/>
      </border>
    </ndxf>
  </rcc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Q9" start="0" length="0">
    <dxf>
      <font>
        <sz val="11"/>
        <color theme="1"/>
        <name val="Calibri"/>
        <scheme val="minor"/>
      </font>
    </dxf>
  </rfmt>
  <rfmt sheetId="1" sqref="Q10" start="0" length="0">
    <dxf>
      <font>
        <sz val="11"/>
        <color theme="1"/>
        <name val="Calibri"/>
        <scheme val="minor"/>
      </font>
    </dxf>
  </rfmt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4" sId="1">
    <oc r="X32" t="inlineStr">
      <is>
        <t>Ongoing</t>
      </is>
    </oc>
    <nc r="X32" t="inlineStr">
      <is>
        <t>Ready for review</t>
      </is>
    </nc>
  </rcc>
  <rcc rId="295" sId="1" numFmtId="19">
    <nc r="AA32">
      <v>43896</v>
    </nc>
  </rcc>
  <rcc rId="296" sId="1" numFmtId="19">
    <nc r="AB32">
      <v>43896</v>
    </nc>
  </rcc>
  <rcc rId="297" sId="1">
    <nc r="U32">
      <v>196</v>
    </nc>
  </rcc>
  <rcc rId="298" sId="1">
    <nc r="W32">
      <v>4</v>
    </nc>
  </rcc>
  <rcc rId="299" sId="1">
    <nc r="AC32" t="inlineStr">
      <is>
        <t>OK</t>
      </is>
    </nc>
  </rcc>
  <rcc rId="300" sId="1" odxf="1" dxf="1">
    <nc r="AD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1" sId="1" odxf="1" dxf="1">
    <nc r="AE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2" sId="1" odxf="1" dxf="1">
    <nc r="AF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3" sId="1">
    <oc r="AC16" t="inlineStr">
      <is>
        <t>NG</t>
      </is>
    </oc>
    <nc r="AC16" t="inlineStr">
      <is>
        <t>OK</t>
      </is>
    </nc>
  </rcc>
  <rcc rId="304" sId="1">
    <oc r="AG16" t="inlineStr">
      <is>
        <t>Waiting for OPL Answer.</t>
      </is>
    </oc>
    <nc r="AG16" t="inlineStr">
      <is>
        <t>OPL It does not impact to SW functionality.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COEM_Package_20200302!$B$2:$AH$66</formula>
    <oldFormula>COEM_Package_20200302!$B$2:$AH$60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B4" start="0" length="0">
    <dxf>
      <numFmt numFmtId="19" formatCode="m/d/yyyy"/>
    </dxf>
  </rfmt>
  <rcc rId="308" sId="1" numFmtId="19">
    <nc r="AB4">
      <v>43892</v>
    </nc>
  </rcc>
  <rcc rId="309" sId="1" numFmtId="19">
    <nc r="AB9">
      <v>43892</v>
    </nc>
  </rcc>
  <rcc rId="310" sId="1" numFmtId="19">
    <nc r="AB11">
      <v>43893</v>
    </nc>
  </rcc>
  <rcc rId="311" sId="1" numFmtId="19">
    <nc r="AB12">
      <v>43894</v>
    </nc>
  </rcc>
  <rcc rId="312" sId="1" numFmtId="19">
    <nc r="AB14">
      <v>43894</v>
    </nc>
  </rcc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3" sId="1">
    <oc r="X15" t="inlineStr">
      <is>
        <t>N/A</t>
      </is>
    </oc>
    <nc r="X15" t="inlineStr">
      <is>
        <t>Ready for review</t>
      </is>
    </nc>
  </rcc>
  <rcc rId="314" sId="1" numFmtId="19">
    <nc r="AA15">
      <v>43894</v>
    </nc>
  </rcc>
  <rcc rId="315" sId="1" numFmtId="19">
    <nc r="AB15">
      <v>43896</v>
    </nc>
  </rcc>
  <rcc rId="316" sId="1">
    <nc r="AC15" t="inlineStr">
      <is>
        <t>NG</t>
      </is>
    </nc>
  </rcc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7" sId="1" xfDxf="1" dxf="1" quotePrefix="1">
    <oc r="F15" t="inlineStr">
      <is>
        <t>-</t>
      </is>
    </oc>
    <nc r="F15" t="inlineStr">
      <is>
        <t>rb\as\BYD\ipb\app\net\RBScl\Scl_Callout\src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8" sId="1">
    <nc r="AD15">
      <v>100</v>
    </nc>
  </rcc>
  <rcc rId="319" sId="1">
    <nc r="AE15">
      <v>100</v>
    </nc>
  </rcc>
  <rcc rId="320" sId="1">
    <nc r="AF15">
      <v>98</v>
    </nc>
  </rcc>
  <rcc rId="321" sId="1" xfDxf="1" dxf="1">
    <nc r="AG15" t="inlineStr">
      <is>
        <t>Bug (Condition is always TRUE)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COEM_Package_20200302!$Q$2:$Q$105</formula>
    <oldFormula>COEM_Package_20200302!$B$2:$AG$78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5" sId="1">
    <oc r="F104">
      <f>1/8*(SUMIFS($W$3:$W$82,$D$3:$D$82,Table!$D$3,$P$3:$P$82,C104)-SUM(SUMIFS($W$3:$W$82,$D$3:$D$82,Table!$D$3,$P$3:$P$82,C104,$X$3:$X$82,{"Ongoing","N/A"})))</f>
    </oc>
    <nc r="F104">
      <f>1/8*(SUMIFS($W$3:$W$82,$D$3:$D$82,Table!$D$3,$P$3:$P$82,C104)-SUM(SUMIFS($W$3:$W$82,$D$3:$D$82,Table!$D$3,$P$3:$P$82,C104,$X$3:$X$82,{"Ongoing","N/A"})))</f>
    </nc>
  </rcc>
  <rcc rId="326" sId="1">
    <oc r="G105">
      <f>IF(ISERROR(E105/(F105)),"N/A",E105/F105)</f>
    </oc>
    <nc r="G105">
      <f>IF(ISERROR(E105/(F105)),"N/A",E105/F105)</f>
    </nc>
  </rcc>
  <rcc rId="327" sId="1">
    <oc r="F105">
      <v>1</v>
    </oc>
    <nc r="F105">
      <f>1/8*(SUMIFS($W$3:$W$82,$D$3:$D$82,Table!$D$3,$P$3:$P$82,C105)-SUM(SUMIFS($W$3:$W$82,$D$3:$D$82,Table!$D$3,$P$3:$P$82,C105,$X$3:$X$82,{"Ongoing","N/A"})))</f>
    </nc>
  </rcc>
  <rfmt sheetId="1" sqref="W10" start="0" length="0">
    <dxf>
      <font>
        <sz val="11"/>
        <color theme="1"/>
        <name val="Calibri"/>
        <scheme val="minor"/>
      </font>
    </dxf>
  </rfmt>
  <rcc rId="328" sId="1" numFmtId="19">
    <oc r="AA10">
      <v>43893</v>
    </oc>
    <nc r="AA10">
      <v>43894</v>
    </nc>
  </rcc>
  <rcc rId="329" sId="1">
    <nc r="W10">
      <v>1.9</v>
    </nc>
  </rcc>
  <rcc rId="330" sId="1">
    <nc r="W6">
      <v>4</v>
    </nc>
  </rcc>
  <rcc rId="331" sId="1">
    <nc r="W15">
      <v>14</v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COEM_Package_20200302!$Q$2:$Q$105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8" sId="1">
    <nc r="X62" t="inlineStr">
      <is>
        <t>Ready for review</t>
      </is>
    </nc>
  </rcc>
  <rcc rId="339" sId="1" numFmtId="19">
    <nc r="AA62">
      <v>43896</v>
    </nc>
  </rcc>
  <rcc rId="340" sId="1" numFmtId="19">
    <nc r="AB62">
      <v>43896</v>
    </nc>
  </rcc>
  <rcc rId="341" sId="1">
    <nc r="AC62" t="inlineStr">
      <is>
        <t>OK</t>
      </is>
    </nc>
  </rcc>
  <rcc rId="342" sId="1" odxf="1" dxf="1">
    <nc r="AD6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43" sId="1" odxf="1" dxf="1">
    <nc r="AE6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44" sId="1" odxf="1" dxf="1">
    <nc r="AF6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COEM_Package_20200302!$B$2:$AH$66</formula>
    <oldFormula>COEM_Package_20200302!$B$2:$AH$66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8" sId="1">
    <nc r="X63" t="inlineStr">
      <is>
        <t>Ready for review</t>
      </is>
    </nc>
  </rcc>
  <rcc rId="349" sId="1" numFmtId="19">
    <nc r="AA63">
      <v>43896</v>
    </nc>
  </rcc>
  <rcc rId="350" sId="1" numFmtId="19">
    <nc r="AB63">
      <v>43896</v>
    </nc>
  </rcc>
  <rcc rId="351" sId="1">
    <nc r="AC63" t="inlineStr">
      <is>
        <t>OK</t>
      </is>
    </nc>
  </rcc>
  <rcc rId="352" sId="1" odxf="1" dxf="1">
    <nc r="AD6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53" sId="1" odxf="1" dxf="1">
    <nc r="AE6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54" sId="1" odxf="1" dxf="1">
    <nc r="AF6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55" sId="1">
    <nc r="W62">
      <v>1</v>
    </nc>
  </rcc>
  <rcc rId="356" sId="1">
    <nc r="W63">
      <v>1</v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COEM_Package_20200302!$B$2:$AH$66</formula>
    <oldFormula>COEM_Package_20200302!$B$2:$AH$66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0" sId="1">
    <nc r="X65" t="inlineStr">
      <is>
        <t>Ready for review</t>
      </is>
    </nc>
  </rcc>
  <rcc rId="361" sId="1" numFmtId="19">
    <nc r="AA65">
      <v>43896</v>
    </nc>
  </rcc>
  <rcc rId="362" sId="1" numFmtId="19">
    <nc r="AB65">
      <v>43896</v>
    </nc>
  </rcc>
  <rcc rId="363" sId="1">
    <nc r="AC65" t="inlineStr">
      <is>
        <t>OK</t>
      </is>
    </nc>
  </rcc>
  <rcc rId="364" sId="1" odxf="1" dxf="1">
    <nc r="AD6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65" sId="1" odxf="1" dxf="1">
    <nc r="AE6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66" sId="1" odxf="1" dxf="1">
    <nc r="AF6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67" sId="1">
    <nc r="W65">
      <v>1</v>
    </nc>
  </rcc>
  <rcc rId="368" sId="1">
    <nc r="T62">
      <v>28</v>
    </nc>
  </rcc>
  <rcc rId="369" sId="1">
    <nc r="U62">
      <v>28</v>
    </nc>
  </rcc>
  <rcc rId="370" sId="1">
    <nc r="T63">
      <v>36</v>
    </nc>
  </rcc>
  <rcc rId="371" sId="1">
    <nc r="U63">
      <v>36</v>
    </nc>
  </rcc>
  <rcc rId="372" sId="1">
    <nc r="T65">
      <v>33</v>
    </nc>
  </rcc>
  <rcc rId="373" sId="1">
    <nc r="U65">
      <v>33</v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COEM_Package_20200302!$B$2:$AH$66</formula>
    <oldFormula>COEM_Package_20200302!$B$2:$AH$66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7" sId="1">
    <oc r="X33" t="inlineStr">
      <is>
        <t>N/A</t>
      </is>
    </oc>
    <nc r="X33" t="inlineStr">
      <is>
        <t>Ongoing</t>
      </is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COEM_Package_20200302!$B$2:$AH$66</formula>
    <oldFormula>COEM_Package_20200302!$B$2:$AH$66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1" sId="1">
    <nc r="T61">
      <v>96</v>
    </nc>
  </rcc>
  <rcc rId="382" sId="1">
    <nc r="X61" t="inlineStr">
      <is>
        <t>Ready for review</t>
      </is>
    </nc>
  </rcc>
  <rcc rId="383" sId="1">
    <nc r="V61">
      <v>1.5</v>
    </nc>
  </rcc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6" sId="1">
    <oc r="V61">
      <v>1.5</v>
    </oc>
    <nc r="V61">
      <f>ROUNDDOWN(T61/HLOOKUP(D61,Table!$C$3:$D$4,2,0)*8,2)</f>
    </nc>
  </rcc>
  <rcc rId="387" sId="1">
    <nc r="V62">
      <f>ROUNDDOWN(T62/HLOOKUP(D62,Table!$C$3:$D$4,2,0)*8,2)</f>
    </nc>
  </rcc>
  <rcc rId="388" sId="1">
    <nc r="V63">
      <f>ROUNDDOWN(T63/HLOOKUP(D63,Table!$C$3:$D$4,2,0)*8,2)</f>
    </nc>
  </rcc>
  <rcc rId="389" sId="1">
    <nc r="V64">
      <f>ROUNDDOWN(T64/HLOOKUP(D64,Table!$C$3:$D$4,2,0)*8,2)</f>
    </nc>
  </rcc>
  <rcc rId="390" sId="1">
    <nc r="V65">
      <f>ROUNDDOWN(T65/HLOOKUP(D65,Table!$C$3:$D$4,2,0)*8,2)</f>
    </nc>
  </rcc>
  <rcc rId="391" sId="1">
    <nc r="V66">
      <f>ROUNDDOWN(T66/HLOOKUP(D66,Table!$C$3:$D$4,2,0)*8,2)</f>
    </nc>
  </rcc>
  <rcc rId="392" sId="1">
    <nc r="W61">
      <v>1.5</v>
    </nc>
  </rcc>
  <rcc rId="393" sId="1" numFmtId="19">
    <nc r="AA61">
      <v>43896</v>
    </nc>
  </rcc>
  <rcc rId="394" sId="1" numFmtId="19">
    <nc r="AB61">
      <v>43896</v>
    </nc>
  </rcc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5" sId="1">
    <nc r="AC33" t="inlineStr">
      <is>
        <t>NG</t>
      </is>
    </nc>
  </rcc>
  <rcc rId="396" sId="1">
    <nc r="AG33" t="inlineStr">
      <is>
        <t>Waiting for OPL answer.</t>
      </is>
    </nc>
  </rcc>
  <rcc rId="397" sId="1" numFmtId="19">
    <nc r="AA33">
      <v>43896</v>
    </nc>
  </rcc>
  <rcc rId="398" sId="1">
    <nc r="W33">
      <v>1</v>
    </nc>
  </rcc>
  <rcv guid="{72A6EB0A-84D5-4B8A-AC51-54CCD061630B}" action="delete"/>
  <rdn rId="0" localSheetId="1" customView="1" name="Z_72A6EB0A_84D5_4B8A_AC51_54CCD061630B_.wvu.Cols" hidden="1" oldHidden="1">
    <formula>COEM_Package_20200302!$M:$N</formula>
    <oldFormula>COEM_Package_20200302!$M:$N</oldFormula>
  </rdn>
  <rdn rId="0" localSheetId="1" customView="1" name="Z_72A6EB0A_84D5_4B8A_AC51_54CCD061630B_.wvu.FilterData" hidden="1" oldHidden="1">
    <formula>COEM_Package_20200302!$B$2:$AH$66</formula>
    <oldFormula>COEM_Package_20200302!$B$2:$AH$66</oldFormula>
  </rdn>
  <rdn rId="0" localSheetId="3" customView="1" name="Z_72A6EB0A_84D5_4B8A_AC51_54CCD061630B_.wvu.FilterData" hidden="1" oldHidden="1">
    <formula>Template!$B$2:$R$14</formula>
    <oldFormula>Template!$B$2:$R$14</oldFormula>
  </rdn>
  <rcv guid="{72A6EB0A-84D5-4B8A-AC51-54CCD061630B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2" sId="1">
    <nc r="AD61">
      <v>97</v>
    </nc>
  </rcc>
  <rcc rId="403" sId="1">
    <nc r="AE61">
      <v>95</v>
    </nc>
  </rcc>
  <rcc rId="404" sId="1">
    <nc r="AF61">
      <v>92</v>
    </nc>
  </rcc>
  <rcc rId="405" sId="1">
    <nc r="AC61" t="inlineStr">
      <is>
        <t>NG</t>
      </is>
    </nc>
  </rcc>
  <rcc rId="406" sId="1">
    <nc r="U20">
      <v>40</v>
    </nc>
  </rcc>
  <rcc rId="407" sId="1">
    <nc r="W20">
      <v>3</v>
    </nc>
  </rcc>
  <rcc rId="408" sId="1" numFmtId="19">
    <nc r="AA20">
      <v>43895</v>
    </nc>
  </rcc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1" sId="1">
    <nc r="AG19" t="inlineStr">
      <is>
        <t>Have issues with database, complexity of code</t>
      </is>
    </nc>
  </rcc>
  <rcc rId="412" sId="1">
    <nc r="AG61" t="inlineStr">
      <is>
        <t>OPL is already feedback, confirm it can be ignore</t>
      </is>
    </nc>
  </rcc>
  <rcv guid="{7E0EA425-A420-4443-B9E0-CDF0AA9E5D09}" action="delete"/>
  <rdn rId="0" localSheetId="1" customView="1" name="Z_7E0EA425_A420_4443_B9E0_CDF0AA9E5D09_.wvu.FilterData" hidden="1" oldHidden="1">
    <formula>COEM_Package_20200302!$Q$2:$Q$105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5" sId="1" numFmtId="19">
    <nc r="AB13">
      <v>43894</v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COEM_Package_20200302!$Q$2:$Q$105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8" sId="1">
    <nc r="T66">
      <v>212</v>
    </nc>
  </rcc>
  <rcc rId="419" sId="1">
    <nc r="U66">
      <v>212</v>
    </nc>
  </rcc>
  <rcc rId="420" sId="1">
    <nc r="W66">
      <v>2</v>
    </nc>
  </rcc>
  <rcc rId="421" sId="1">
    <nc r="X66" t="inlineStr">
      <is>
        <t>Ready for review</t>
      </is>
    </nc>
  </rcc>
  <rcc rId="422" sId="1" numFmtId="19">
    <nc r="AA66">
      <v>43896</v>
    </nc>
  </rcc>
  <rcc rId="423" sId="1" numFmtId="19">
    <nc r="AB66">
      <v>43896</v>
    </nc>
  </rcc>
  <rcc rId="424" sId="1">
    <nc r="AC66" t="inlineStr">
      <is>
        <t>OK</t>
      </is>
    </nc>
  </rcc>
  <rcc rId="425" sId="1">
    <nc r="AD66">
      <v>100</v>
    </nc>
  </rcc>
  <rcc rId="426" sId="1">
    <nc r="AE66">
      <v>100</v>
    </nc>
  </rcc>
  <rcc rId="427" sId="1">
    <nc r="AF66">
      <v>100</v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31" sId="1" odxf="1" dxf="1" numFmtId="19">
    <oc r="AB46">
      <v>43895</v>
    </oc>
    <nc r="AB46">
      <v>43896</v>
    </nc>
    <odxf>
      <numFmt numFmtId="164" formatCode="[$-409]d\-mmm\-yyyy;@"/>
    </odxf>
    <ndxf>
      <numFmt numFmtId="19" formatCode="m/d/yyyy"/>
    </ndxf>
  </rcc>
  <rcc rId="432" sId="1" odxf="1" dxf="1" numFmtId="19">
    <oc r="AB47">
      <v>43895</v>
    </oc>
    <nc r="AB47">
      <v>43896</v>
    </nc>
    <odxf>
      <numFmt numFmtId="164" formatCode="[$-409]d\-mmm\-yyyy;@"/>
    </odxf>
    <ndxf>
      <numFmt numFmtId="19" formatCode="m/d/yyyy"/>
    </ndxf>
  </rcc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B46" start="0" length="0">
    <dxf>
      <numFmt numFmtId="164" formatCode="[$-409]d\-mmm\-yyyy;@"/>
    </dxf>
  </rfmt>
  <rfmt sheetId="1" sqref="AB47" start="0" length="0">
    <dxf>
      <numFmt numFmtId="164" formatCode="[$-409]d\-mmm\-yyyy;@"/>
    </dxf>
  </rfmt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36" sId="1">
    <oc r="V63">
      <f>ROUNDDOWN(T63/HLOOKUP(D63,Table!$C$3:$D$4,2,0)*8,2)</f>
    </oc>
    <nc r="V63">
      <f>ROUNDDOWN(T63/HLOOKUP(D63,Table!$C$3:$D$4,2,0)*8,2)</f>
    </nc>
  </rcc>
  <rcc rId="437" sId="1">
    <oc r="V64">
      <f>ROUNDDOWN(T64/HLOOKUP(D64,Table!$C$3:$D$4,2,0)*8,2)</f>
    </oc>
    <nc r="V64">
      <f>ROUNDDOWN(T64/HLOOKUP(D64,Table!$C$3:$D$4,2,0)*8,2)</f>
    </nc>
  </rcc>
  <rcc rId="438" sId="1">
    <oc r="V65">
      <f>ROUNDDOWN(T65/HLOOKUP(D65,Table!$C$3:$D$4,2,0)*8,2)</f>
    </oc>
    <nc r="V65">
      <f>ROUNDDOWN(T65/HLOOKUP(D65,Table!$C$3:$D$4,2,0)*8,2)</f>
    </nc>
  </rcc>
  <rcc rId="439" sId="1">
    <oc r="V66">
      <f>ROUNDDOWN(T66/HLOOKUP(D66,Table!$C$3:$D$4,2,0)*8,2)</f>
    </oc>
    <nc r="V66">
      <f>ROUNDDOWN(T66/HLOOKUP(D66,Table!$C$3:$D$4,2,0)*8,2)</f>
    </nc>
  </rcc>
  <rfmt sheetId="1" sqref="N1:N1048576">
    <dxf>
      <fill>
        <patternFill patternType="none">
          <bgColor auto="1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4" sId="1">
    <oc r="E90">
      <f>SUMIFS($U$3:$U$82,$D$3:$D$82,Table!$C$3,$P$3:$P$82,C90)-SUM(SUMIFS($U$3:$U$82,$D$3:$D$82,Table!$C$3,$P$3:$P$82,C90,$X$3:$X$82,{"Ongoing","N/A"}))</f>
    </oc>
    <nc r="E90">
      <f>SUMIFS($U$3:$U$82,$D$3:$D$82,Table!$C$3,$P$3:$P$82,C90)-SUM(SUMIFS($U$3:$U$82,$D$3:$D$82,Table!$C$3,$P$3:$P$82,C90,$X$3:$X$82,{"Ongoing","N/A"}))</f>
    </nc>
  </rcc>
  <rcc rId="445" sId="1">
    <oc r="U20">
      <v>40</v>
    </oc>
    <nc r="U20">
      <v>50</v>
    </nc>
  </rcc>
  <rcc rId="446" sId="1">
    <oc r="X20" t="inlineStr">
      <is>
        <t>N/A</t>
      </is>
    </oc>
    <nc r="X20" t="inlineStr">
      <is>
        <t>Ready for review</t>
      </is>
    </nc>
  </rcc>
  <rcc rId="447" sId="1" numFmtId="19">
    <nc r="AB20">
      <v>43896</v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52" sId="1">
    <nc r="Q61" t="inlineStr">
      <is>
        <t>duong.nguyen</t>
      </is>
    </nc>
  </rcc>
  <rcc rId="453" sId="1">
    <nc r="Q62" t="inlineStr">
      <is>
        <t>duong.nguyen</t>
      </is>
    </nc>
  </rcc>
  <rcc rId="454" sId="1">
    <nc r="Q63" t="inlineStr">
      <is>
        <t>duong.nguyen</t>
      </is>
    </nc>
  </rcc>
  <rcc rId="455" sId="1">
    <nc r="Q64" t="inlineStr">
      <is>
        <t>duong.nguyen</t>
      </is>
    </nc>
  </rcc>
  <rcc rId="456" sId="1">
    <nc r="Q65" t="inlineStr">
      <is>
        <t>duong.nguyen</t>
      </is>
    </nc>
  </rcc>
  <rcc rId="457" sId="1">
    <nc r="Q66" t="inlineStr">
      <is>
        <t>duong.nguyen</t>
      </is>
    </nc>
  </rcc>
  <rcc rId="458" sId="1">
    <nc r="R61" t="inlineStr">
      <is>
        <t>Yes</t>
      </is>
    </nc>
  </rcc>
  <rcc rId="459" sId="1">
    <nc r="R62" t="inlineStr">
      <is>
        <t>Yes</t>
      </is>
    </nc>
  </rcc>
  <rcc rId="460" sId="1">
    <nc r="R63" t="inlineStr">
      <is>
        <t>Yes</t>
      </is>
    </nc>
  </rcc>
  <rcc rId="461" sId="1">
    <nc r="R64" t="inlineStr">
      <is>
        <t>Yes</t>
      </is>
    </nc>
  </rcc>
  <rcc rId="462" sId="1">
    <nc r="R65" t="inlineStr">
      <is>
        <t>Yes</t>
      </is>
    </nc>
  </rcc>
  <rcc rId="463" sId="1">
    <nc r="R66" t="inlineStr">
      <is>
        <t>Yes</t>
      </is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66" sId="1">
    <oc r="X61" t="inlineStr">
      <is>
        <t>Ready for review</t>
      </is>
    </oc>
    <nc r="X61" t="inlineStr">
      <is>
        <t>Ready for delivery</t>
      </is>
    </nc>
  </rcc>
  <rcc rId="467" sId="1">
    <oc r="X62" t="inlineStr">
      <is>
        <t>Ready for review</t>
      </is>
    </oc>
    <nc r="X62" t="inlineStr">
      <is>
        <t>Ready for delivery</t>
      </is>
    </nc>
  </rcc>
  <rcc rId="468" sId="1">
    <oc r="X63" t="inlineStr">
      <is>
        <t>Ready for review</t>
      </is>
    </oc>
    <nc r="X63" t="inlineStr">
      <is>
        <t>Ready for delivery</t>
      </is>
    </nc>
  </rcc>
  <rcc rId="469" sId="1">
    <nc r="X64" t="inlineStr">
      <is>
        <t>Ready for delivery</t>
      </is>
    </nc>
  </rcc>
  <rcc rId="470" sId="1">
    <oc r="X65" t="inlineStr">
      <is>
        <t>Ready for review</t>
      </is>
    </oc>
    <nc r="X65" t="inlineStr">
      <is>
        <t>Ready for delivery</t>
      </is>
    </nc>
  </rcc>
  <rcc rId="471" sId="1">
    <oc r="X66" t="inlineStr">
      <is>
        <t>Ready for review</t>
      </is>
    </oc>
    <nc r="X66" t="inlineStr">
      <is>
        <t>Ready for delivery</t>
      </is>
    </nc>
  </rcc>
  <rfmt sheetId="1" sqref="AA63" start="0" length="0">
    <dxf>
      <numFmt numFmtId="164" formatCode="[$-409]d\-mmm\-yyyy;@"/>
    </dxf>
  </rfmt>
  <rfmt sheetId="1" sqref="AB63" start="0" length="0">
    <dxf>
      <numFmt numFmtId="164" formatCode="[$-409]d\-mmm\-yyyy;@"/>
    </dxf>
  </rfmt>
  <rcc rId="472" sId="1" odxf="1" dxf="1" numFmtId="19">
    <nc r="AA64">
      <v>43896</v>
    </nc>
    <odxf>
      <numFmt numFmtId="19" formatCode="m/d/yyyy"/>
    </odxf>
    <ndxf>
      <numFmt numFmtId="164" formatCode="[$-409]d\-mmm\-yyyy;@"/>
    </ndxf>
  </rcc>
  <rcc rId="473" sId="1" odxf="1" dxf="1" numFmtId="19">
    <nc r="AB64">
      <v>43896</v>
    </nc>
    <odxf>
      <numFmt numFmtId="19" formatCode="m/d/yyyy"/>
    </odxf>
    <ndxf>
      <numFmt numFmtId="164" formatCode="[$-409]d\-mmm\-yyyy;@"/>
    </ndxf>
  </rcc>
  <rfmt sheetId="1" sqref="AA65" start="0" length="0">
    <dxf>
      <numFmt numFmtId="164" formatCode="[$-409]d\-mmm\-yyyy;@"/>
    </dxf>
  </rfmt>
  <rfmt sheetId="1" sqref="AB65" start="0" length="0">
    <dxf>
      <numFmt numFmtId="164" formatCode="[$-409]d\-mmm\-yyyy;@"/>
    </dxf>
  </rfmt>
  <rfmt sheetId="1" sqref="AA66" start="0" length="0">
    <dxf>
      <numFmt numFmtId="164" formatCode="[$-409]d\-mmm\-yyyy;@"/>
    </dxf>
  </rfmt>
  <rfmt sheetId="1" sqref="AB66" start="0" length="0">
    <dxf>
      <numFmt numFmtId="164" formatCode="[$-409]d\-mmm\-yyyy;@"/>
    </dxf>
  </rfmt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76" sId="1" numFmtId="19">
    <nc r="Z61">
      <v>43896</v>
    </nc>
  </rcc>
  <rcc rId="477" sId="1" numFmtId="19">
    <nc r="Z62">
      <v>43896</v>
    </nc>
  </rcc>
  <rcc rId="478" sId="1" numFmtId="19">
    <nc r="Z63">
      <v>43896</v>
    </nc>
  </rcc>
  <rcc rId="479" sId="1" numFmtId="19">
    <nc r="Z64">
      <v>43896</v>
    </nc>
  </rcc>
  <rcc rId="480" sId="1" numFmtId="19">
    <nc r="Z65">
      <v>43896</v>
    </nc>
  </rcc>
  <rcc rId="481" sId="1" numFmtId="19">
    <nc r="Z66">
      <v>43896</v>
    </nc>
  </rcc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2" sId="1">
    <nc r="AC64" t="inlineStr">
      <is>
        <t>NG</t>
      </is>
    </nc>
  </rcc>
  <rcc rId="483" sId="1">
    <nc r="AD64" t="inlineStr">
      <is>
        <t>?</t>
      </is>
    </nc>
  </rcc>
  <rcc rId="484" sId="1">
    <nc r="AE64" t="inlineStr">
      <is>
        <t>?</t>
      </is>
    </nc>
  </rcc>
  <rcc rId="485" sId="1">
    <nc r="AF64" t="inlineStr">
      <is>
        <t>?</t>
      </is>
    </nc>
  </rcc>
  <rcc rId="486" sId="1">
    <nc r="U61">
      <v>96</v>
    </nc>
  </rcc>
  <rcc rId="487" sId="1">
    <nc r="U13">
      <v>90</v>
    </nc>
  </rcc>
  <rcc rId="488" sId="1">
    <nc r="W13">
      <v>2</v>
    </nc>
  </rcc>
  <rcc rId="489" sId="1">
    <nc r="AC13" t="inlineStr">
      <is>
        <t>NG</t>
      </is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92" sId="1" numFmtId="19">
    <oc r="Z15">
      <v>43896</v>
    </oc>
    <nc r="Z15">
      <v>43899</v>
    </nc>
  </rcc>
  <rcc rId="493" sId="1" numFmtId="19">
    <oc r="Z16">
      <v>43896</v>
    </oc>
    <nc r="Z16">
      <v>43899</v>
    </nc>
  </rcc>
  <rcc rId="494" sId="1" numFmtId="19">
    <oc r="Z17">
      <v>43896</v>
    </oc>
    <nc r="Z17">
      <v>43899</v>
    </nc>
  </rcc>
  <rcc rId="495" sId="1" numFmtId="19">
    <oc r="Z18">
      <v>43896</v>
    </oc>
    <nc r="Z18">
      <v>43899</v>
    </nc>
  </rcc>
  <rcc rId="496" sId="1" numFmtId="19">
    <oc r="Z19">
      <v>43896</v>
    </oc>
    <nc r="Z19">
      <v>43899</v>
    </nc>
  </rcc>
  <rcc rId="497" sId="1" numFmtId="19">
    <oc r="Z20">
      <v>43896</v>
    </oc>
    <nc r="Z20">
      <v>43899</v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500" sheetId="1" source="AG19" destination="AG20" sourceSheetId="1">
    <rfmt sheetId="1" sqref="AG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03" sId="1">
    <nc r="T64">
      <v>80</v>
    </nc>
  </rcc>
  <rcc rId="504" sId="1">
    <nc r="U64">
      <v>80</v>
    </nc>
  </rcc>
  <rcc rId="505" sId="1">
    <oc r="E102">
      <f>SUMIFS($T$3:$T$82,$D$3:$D$82,Table!$D$3,$P$3:$P$82,C102)-SUM(SUMIFS($T$3:$T$82,$D$3:$D$82,Table!$D$3,$P$3:$P$82,C102,$X$3:$X$82,{"Ongoing","N/A"}))</f>
    </oc>
    <nc r="E102">
      <f>SUMIFS($T$3:$T$82,$D$3:$D$82,Table!$D$3,$P$3:$P$82,C102)-SUM(SUMIFS($T$3:$T$82,$D$3:$D$82,Table!$D$3,$P$3:$P$82,C102,$X$3:$X$82,{"Ongoing","N/A"}))</f>
    </nc>
  </rcc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06" sId="1">
    <oc r="X42" t="inlineStr">
      <is>
        <t>N/A</t>
      </is>
    </oc>
    <nc r="X42" t="inlineStr">
      <is>
        <t>Ongoing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10" sId="1" numFmtId="19">
    <nc r="AA42">
      <v>43899</v>
    </nc>
  </rcc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11" sId="1">
    <nc r="P25" t="inlineStr">
      <is>
        <t>chung.ly</t>
      </is>
    </nc>
  </rcc>
  <rcc rId="512" sId="1">
    <nc r="P26" t="inlineStr">
      <is>
        <t>chung.ly</t>
      </is>
    </nc>
  </rcc>
  <rcc rId="513" sId="1">
    <nc r="P51" t="inlineStr">
      <is>
        <t>chung.ly</t>
      </is>
    </nc>
  </rcc>
  <rcc rId="514" sId="1">
    <nc r="P53" t="inlineStr">
      <is>
        <t>chung.ly</t>
      </is>
    </nc>
  </rcc>
  <rcc rId="515" sId="1">
    <nc r="P27" t="inlineStr">
      <is>
        <t>chung.ly</t>
      </is>
    </nc>
  </rcc>
  <rcc rId="516" sId="1">
    <nc r="P28" t="inlineStr">
      <is>
        <t>chung.ly</t>
      </is>
    </nc>
  </rcc>
  <rcc rId="517" sId="1">
    <oc r="W6">
      <v>4</v>
    </oc>
    <nc r="W6">
      <v>10</v>
    </nc>
  </rcc>
  <rcc rId="518" sId="1">
    <oc r="W10">
      <v>1.9</v>
    </oc>
    <nc r="W10">
      <v>4</v>
    </nc>
  </rcc>
  <rcc rId="519" sId="1">
    <oc r="W15">
      <v>14</v>
    </oc>
    <nc r="W15">
      <v>16</v>
    </nc>
  </rcc>
  <rcc rId="520" sId="1">
    <nc r="W64">
      <v>2</v>
    </nc>
  </rcc>
  <rcc rId="521" sId="1">
    <oc r="AD64" t="inlineStr">
      <is>
        <t>?</t>
      </is>
    </oc>
    <nc r="AD64">
      <v>100</v>
    </nc>
  </rcc>
  <rcc rId="522" sId="1">
    <oc r="AE64" t="inlineStr">
      <is>
        <t>?</t>
      </is>
    </oc>
    <nc r="AE64">
      <v>100</v>
    </nc>
  </rcc>
  <rcc rId="523" sId="1">
    <oc r="AF64" t="inlineStr">
      <is>
        <t>?</t>
      </is>
    </oc>
    <nc r="AF64">
      <v>75</v>
    </nc>
  </rcc>
  <rcc rId="524" sId="1">
    <nc r="AG64" t="inlineStr">
      <is>
        <t>Bug, con not cover MCDC beacause this is true case for above condition</t>
      </is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28" sId="1" xfDxf="1" dxf="1">
    <oc r="X25" t="inlineStr">
      <is>
        <t>N/A</t>
      </is>
    </oc>
    <nc r="X25" t="inlineStr">
      <is>
        <t>Ready for review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29" sId="1" numFmtId="19">
    <nc r="AA25">
      <v>43899</v>
    </nc>
  </rcc>
  <rcc rId="530" sId="1" numFmtId="19">
    <nc r="AB25">
      <v>43899</v>
    </nc>
  </rcc>
  <rcc rId="531" sId="1">
    <nc r="AC25" t="inlineStr">
      <is>
        <t>OK</t>
      </is>
    </nc>
  </rcc>
  <rcc rId="532" sId="1">
    <nc r="AD25">
      <v>100</v>
    </nc>
  </rcc>
  <rcc rId="533" sId="1">
    <nc r="AE25">
      <v>100</v>
    </nc>
  </rcc>
  <rcc rId="534" sId="1">
    <nc r="AF25">
      <v>100</v>
    </nc>
  </rcc>
  <rcc rId="535" sId="1">
    <nc r="W25">
      <v>1</v>
    </nc>
  </rcc>
  <rcc rId="536" sId="1">
    <nc r="AD26">
      <v>100</v>
    </nc>
  </rcc>
  <rcc rId="537" sId="1">
    <nc r="AE26">
      <v>100</v>
    </nc>
  </rcc>
  <rcc rId="538" sId="1">
    <nc r="AF26">
      <v>100</v>
    </nc>
  </rcc>
  <rcc rId="539" sId="1" numFmtId="19">
    <nc r="AA26">
      <v>43899</v>
    </nc>
  </rcc>
  <rcc rId="540" sId="1" numFmtId="19">
    <nc r="AB26">
      <v>43899</v>
    </nc>
  </rcc>
  <rcc rId="541" sId="1">
    <nc r="AC26" t="inlineStr">
      <is>
        <t>OK</t>
      </is>
    </nc>
  </rcc>
  <rcc rId="542" sId="1">
    <nc r="W26">
      <v>0.75</v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46" sId="1">
    <oc r="X26" t="inlineStr">
      <is>
        <t>N/A</t>
      </is>
    </oc>
    <nc r="X26" t="inlineStr">
      <is>
        <t>Ready for review</t>
      </is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50" sId="1" numFmtId="19">
    <nc r="AA27">
      <v>43899</v>
    </nc>
  </rcc>
  <rcc rId="551" sId="1" numFmtId="19">
    <nc r="AB27">
      <v>43899</v>
    </nc>
  </rcc>
  <rcc rId="552" sId="1" odxf="1" dxf="1" quotePrefix="1">
    <nc r="AD27" t="inlineStr">
      <is>
        <t>-</t>
      </is>
    </nc>
    <odxf/>
    <ndxf/>
  </rcc>
  <rcc rId="553" sId="1" odxf="1" dxf="1" quotePrefix="1">
    <nc r="AE27" t="inlineStr">
      <is>
        <t>-</t>
      </is>
    </nc>
    <odxf/>
    <ndxf/>
  </rcc>
  <rcc rId="554" sId="1" odxf="1" dxf="1" quotePrefix="1">
    <nc r="AF27" t="inlineStr">
      <is>
        <t>-</t>
      </is>
    </nc>
    <odxf/>
    <ndxf/>
  </rcc>
  <rcc rId="555" sId="1">
    <nc r="AG27" t="inlineStr">
      <is>
        <t>No code</t>
      </is>
    </nc>
  </rcc>
  <rcc rId="556" sId="1">
    <nc r="W27">
      <v>0.2</v>
    </nc>
  </rcc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57" sId="1" xfDxf="1" dxf="1">
    <oc r="X27" t="inlineStr">
      <is>
        <t>N/A</t>
      </is>
    </oc>
    <nc r="X27" t="inlineStr">
      <is>
        <t>Ready for review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58" sId="1">
    <oc r="X28" t="inlineStr">
      <is>
        <t>N/A</t>
      </is>
    </oc>
    <nc r="X28" t="inlineStr">
      <is>
        <t>Ongoing</t>
      </is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62" sId="1">
    <nc r="W28">
      <v>1</v>
    </nc>
  </rcc>
  <rcc rId="563" sId="1" numFmtId="19">
    <nc r="AA28">
      <v>43899</v>
    </nc>
  </rcc>
  <rcc rId="564" sId="1" numFmtId="19">
    <nc r="AB28">
      <v>43899</v>
    </nc>
  </rcc>
  <rcc rId="565" sId="1">
    <nc r="AC28" t="inlineStr">
      <is>
        <t>OK</t>
      </is>
    </nc>
  </rcc>
  <rcc rId="566" sId="1">
    <nc r="AD28">
      <v>100</v>
    </nc>
  </rcc>
  <rcc rId="567" sId="1">
    <nc r="AE28">
      <v>100</v>
    </nc>
  </rcc>
  <rcc rId="568" sId="1">
    <nc r="AF28">
      <v>100</v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2" sId="1" xfDxf="1" dxf="1">
    <oc r="X28" t="inlineStr">
      <is>
        <t>Ongoing</t>
      </is>
    </oc>
    <nc r="X28" t="inlineStr">
      <is>
        <t>Ready for review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6" sId="1">
    <oc r="X51" t="inlineStr">
      <is>
        <t>N/A</t>
      </is>
    </oc>
    <nc r="X51" t="inlineStr">
      <is>
        <t>Ongoing</t>
      </is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80" sId="1">
    <oc r="X42" t="inlineStr">
      <is>
        <t>Ongoing</t>
      </is>
    </oc>
    <nc r="X42" t="inlineStr">
      <is>
        <t>Ready for review</t>
      </is>
    </nc>
  </rcc>
  <rcc rId="581" sId="1">
    <nc r="W42">
      <v>4</v>
    </nc>
  </rcc>
  <rcc rId="582" sId="1" numFmtId="19">
    <nc r="AB42">
      <v>43899</v>
    </nc>
  </rcc>
  <rcc rId="583" sId="1">
    <nc r="AC42" t="inlineStr">
      <is>
        <t>NG</t>
      </is>
    </nc>
  </rcc>
  <rcc rId="584" sId="1">
    <nc r="AD42">
      <v>66</v>
    </nc>
  </rcc>
  <rcc rId="585" sId="1">
    <nc r="AE42">
      <v>100</v>
    </nc>
  </rcc>
  <rcc rId="586" sId="1">
    <nc r="AF42">
      <v>100</v>
    </nc>
  </rcc>
  <rcc rId="587" sId="1">
    <nc r="AG42" t="inlineStr">
      <is>
        <t>Waiting for OPL answer.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91" sId="1">
    <nc r="P43" t="inlineStr">
      <is>
        <t>thanh.nguyen-kim</t>
      </is>
    </nc>
  </rcc>
  <rcc rId="592" sId="1">
    <nc r="P44" t="inlineStr">
      <is>
        <t>thanh.nguyen-kim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96" sId="1">
    <oc r="X51" t="inlineStr">
      <is>
        <t>Ongoing</t>
      </is>
    </oc>
    <nc r="X51" t="inlineStr">
      <is>
        <t>Ready for review</t>
      </is>
    </nc>
  </rcc>
  <rcc rId="597" sId="1" numFmtId="19">
    <nc r="AA51">
      <v>43899</v>
    </nc>
  </rcc>
  <rcc rId="598" sId="1" numFmtId="19">
    <nc r="AB51">
      <v>43899</v>
    </nc>
  </rcc>
  <rcc rId="599" sId="1">
    <nc r="AC51" t="inlineStr">
      <is>
        <t>OK</t>
      </is>
    </nc>
  </rcc>
  <rcc rId="600" sId="1">
    <nc r="AD51">
      <v>100</v>
    </nc>
  </rcc>
  <rcc rId="601" sId="1">
    <nc r="AE51">
      <v>100</v>
    </nc>
  </rcc>
  <rcc rId="602" sId="1">
    <nc r="AF51">
      <v>100</v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06" sId="1">
    <nc r="W51">
      <v>2.4</v>
    </nc>
  </rcc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07" sId="1" numFmtId="19">
    <nc r="AA53">
      <v>43899</v>
    </nc>
  </rcc>
  <rcc rId="608" sId="1" numFmtId="19">
    <nc r="AB53">
      <v>43899</v>
    </nc>
  </rcc>
  <rcc rId="609" sId="1">
    <nc r="AC53" t="inlineStr">
      <is>
        <t>OK</t>
      </is>
    </nc>
  </rcc>
  <rcc rId="610" sId="1">
    <nc r="AD53">
      <v>100</v>
    </nc>
  </rcc>
  <rcc rId="611" sId="1">
    <nc r="AE53">
      <v>100</v>
    </nc>
  </rcc>
  <rcc rId="612" sId="1">
    <nc r="AF53">
      <v>100</v>
    </nc>
  </rcc>
  <rcc rId="613" sId="1" xfDxf="1" dxf="1">
    <oc r="X53" t="inlineStr">
      <is>
        <t>N/A</t>
      </is>
    </oc>
    <nc r="X53" t="inlineStr">
      <is>
        <t>Ready for review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14" sId="1">
    <nc r="W53">
      <v>1</v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18" sId="1">
    <nc r="P38" t="inlineStr">
      <is>
        <t>chung.ly</t>
      </is>
    </nc>
  </rcc>
  <rcc rId="619" sId="1">
    <nc r="P39" t="inlineStr">
      <is>
        <t>chung.ly</t>
      </is>
    </nc>
  </rcc>
  <rcc rId="620" sId="1">
    <nc r="P40" t="inlineStr">
      <is>
        <t>chung.ly</t>
      </is>
    </nc>
  </rcc>
  <rcc rId="621" sId="1">
    <nc r="P41" t="inlineStr">
      <is>
        <t>chung.ly</t>
      </is>
    </nc>
  </rcc>
  <rcc rId="622" sId="1">
    <nc r="P45" t="inlineStr">
      <is>
        <t>chung.ly</t>
      </is>
    </nc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29" sId="1" numFmtId="19">
    <nc r="AA38">
      <v>43899</v>
    </nc>
  </rcc>
  <rcc rId="630" sId="1" numFmtId="19">
    <nc r="AB38">
      <v>43899</v>
    </nc>
  </rcc>
  <rcc rId="631" sId="1">
    <nc r="AC38" t="inlineStr">
      <is>
        <t>NG</t>
      </is>
    </nc>
  </rcc>
  <rcc rId="632" sId="1">
    <nc r="AD38">
      <v>100</v>
    </nc>
  </rcc>
  <rcc rId="633" sId="1">
    <nc r="AE38">
      <v>100</v>
    </nc>
  </rcc>
  <rcc rId="634" sId="1">
    <nc r="W38">
      <v>2</v>
    </nc>
  </rcc>
  <rcc rId="635" sId="1">
    <nc r="AF38">
      <v>91</v>
    </nc>
  </rcc>
  <rcc rId="636" sId="1">
    <nc r="AG38" t="inlineStr">
      <is>
        <t>Bug, con not cover MCDC beacause this is true case for above condition</t>
      </is>
    </nc>
  </rcc>
  <rcc rId="637" sId="1" xfDxf="1" dxf="1">
    <oc r="X38" t="inlineStr">
      <is>
        <t>N/A</t>
      </is>
    </oc>
    <nc r="X38" t="inlineStr">
      <is>
        <t>Ready for review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0D2C030-4E31-4E07-8E1C-44D2EE84B177}" action="delete"/>
  <rdn rId="0" localSheetId="1" customView="1" name="Z_60D2C030_4E31_4E07_8E1C_44D2EE84B177_.wvu.Cols" hidden="1" oldHidden="1">
    <formula>COEM_Package_20200302!$M:$N</formula>
    <oldFormula>COEM_Package_20200302!$M:$N</oldFormula>
  </rdn>
  <rdn rId="0" localSheetId="1" customView="1" name="Z_60D2C030_4E31_4E07_8E1C_44D2EE84B177_.wvu.FilterData" hidden="1" oldHidden="1">
    <formula>COEM_Package_20200302!$B$2:$AH$66</formula>
    <oldFormula>COEM_Package_20200302!$B$2:$AH$66</oldFormula>
  </rdn>
  <rdn rId="0" localSheetId="3" customView="1" name="Z_60D2C030_4E31_4E07_8E1C_44D2EE84B177_.wvu.FilterData" hidden="1" oldHidden="1">
    <formula>Template!$B$2:$R$14</formula>
    <oldFormula>Template!$B$2:$R$14</oldFormula>
  </rdn>
  <rcv guid="{60D2C030-4E31-4E07-8E1C-44D2EE84B177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41" sId="1">
    <nc r="W43">
      <v>1</v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45" sId="1">
    <nc r="W44">
      <v>3</v>
    </nc>
  </rcc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46" sId="1">
    <oc r="X43" t="inlineStr">
      <is>
        <t>N/A</t>
      </is>
    </oc>
    <nc r="X43" t="inlineStr">
      <is>
        <t>Ready for review</t>
      </is>
    </nc>
  </rcc>
  <rcc rId="647" sId="1" numFmtId="19">
    <nc r="AA43">
      <v>43899</v>
    </nc>
  </rcc>
  <rcc rId="648" sId="1" numFmtId="19">
    <nc r="AB43">
      <v>43899</v>
    </nc>
  </rcc>
  <rcc rId="649" sId="1" numFmtId="19">
    <nc r="AA44">
      <v>43899</v>
    </nc>
  </rcc>
  <rcc rId="650" sId="1" numFmtId="19">
    <nc r="AB44">
      <v>43899</v>
    </nc>
  </rcc>
  <rcc rId="651" sId="1">
    <nc r="AC43" t="inlineStr">
      <is>
        <t>NG</t>
      </is>
    </nc>
  </rcc>
  <rcc rId="652" sId="1">
    <nc r="AC44" t="inlineStr">
      <is>
        <t>NG</t>
      </is>
    </nc>
  </rcc>
  <rcc rId="653" sId="1">
    <nc r="AD44">
      <v>99</v>
    </nc>
  </rcc>
  <rcc rId="654" sId="1">
    <nc r="AE44">
      <v>97</v>
    </nc>
  </rcc>
  <rcc rId="655" sId="1">
    <nc r="AF44">
      <v>100</v>
    </nc>
  </rcc>
  <rcc rId="656" sId="1">
    <oc r="AG42" t="inlineStr">
      <is>
        <t>Waiting for OPL answer.</t>
      </is>
    </oc>
    <nc r="AG42" t="inlineStr">
      <is>
        <t>OPL It does not impact to SW functionality.</t>
      </is>
    </nc>
  </rcc>
  <rcc rId="657" sId="1">
    <nc r="AG43" t="inlineStr">
      <is>
        <t>OPL It does not impact to SW functionality.</t>
      </is>
    </nc>
  </rcc>
  <rcc rId="658" sId="1">
    <nc r="AD43">
      <v>99</v>
    </nc>
  </rcc>
  <rcc rId="659" sId="1">
    <nc r="AE43">
      <v>96</v>
    </nc>
  </rcc>
  <rcc rId="660" sId="1">
    <nc r="AF43">
      <v>100</v>
    </nc>
  </rcc>
  <rcc rId="661" sId="1">
    <nc r="AG44" t="inlineStr">
      <is>
        <t>Waiting for OPL answer.</t>
      </is>
    </nc>
  </rcc>
  <rcc rId="662" sId="1">
    <oc r="X44" t="inlineStr">
      <is>
        <t>N/A</t>
      </is>
    </oc>
    <nc r="X44" t="inlineStr">
      <is>
        <t>Pending for OPL</t>
      </is>
    </nc>
  </rcc>
  <rcv guid="{4E06BDBF-2CED-473B-850B-2A6C7311FF41}" action="delete"/>
  <rdn rId="0" localSheetId="1" customView="1" name="Z_4E06BDBF_2CED_473B_850B_2A6C7311FF41_.wvu.Cols" hidden="1" oldHidden="1">
    <formula>COEM_Package_20200302!$M:$N</formula>
    <oldFormula>COEM_Package_20200302!$M:$N</oldFormula>
  </rdn>
  <rdn rId="0" localSheetId="1" customView="1" name="Z_4E06BDBF_2CED_473B_850B_2A6C7311FF41_.wvu.FilterData" hidden="1" oldHidden="1">
    <formula>COEM_Package_20200302!$Q$2:$Q$105</formula>
    <oldFormula>COEM_Package_20200302!$Q$2:$Q$105</oldFormula>
  </rdn>
  <rdn rId="0" localSheetId="3" customView="1" name="Z_4E06BDBF_2CED_473B_850B_2A6C7311FF41_.wvu.FilterData" hidden="1" oldHidden="1">
    <formula>Template!$B$2:$R$14</formula>
    <oldFormula>Template!$B$2:$R$14</oldFormula>
  </rdn>
  <rcv guid="{4E06BDBF-2CED-473B-850B-2A6C7311FF41}" action="add"/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66" sId="1">
    <nc r="U42">
      <v>190</v>
    </nc>
  </rcc>
  <rcc rId="667" sId="1">
    <nc r="U43">
      <v>107</v>
    </nc>
  </rcc>
  <rcc rId="668" sId="1">
    <nc r="U44">
      <v>269</v>
    </nc>
  </rcc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25">
    <dxf>
      <fill>
        <patternFill patternType="solid">
          <bgColor rgb="FFFFFF00"/>
        </patternFill>
      </fill>
    </dxf>
  </rfmt>
  <rfmt sheetId="1" sqref="H24">
    <dxf>
      <fill>
        <patternFill patternType="solid">
          <bgColor rgb="FFFFFF00"/>
        </patternFill>
      </fill>
    </dxf>
  </rfmt>
  <rfmt sheetId="1" sqref="H26">
    <dxf>
      <fill>
        <patternFill patternType="solid">
          <bgColor rgb="FFFFFF00"/>
        </patternFill>
      </fill>
    </dxf>
  </rfmt>
  <rfmt sheetId="1" sqref="H28">
    <dxf>
      <fill>
        <patternFill patternType="solid">
          <bgColor rgb="FFFFFF00"/>
        </patternFill>
      </fill>
    </dxf>
  </rfmt>
  <rfmt sheetId="1" sqref="H38">
    <dxf>
      <fill>
        <patternFill patternType="solid">
          <bgColor rgb="FFFFFF00"/>
        </patternFill>
      </fill>
    </dxf>
  </rfmt>
  <rfmt sheetId="1" sqref="H42">
    <dxf>
      <fill>
        <patternFill patternType="solid">
          <bgColor rgb="FFFFFF00"/>
        </patternFill>
      </fill>
    </dxf>
  </rfmt>
  <rfmt sheetId="1" sqref="H43">
    <dxf>
      <fill>
        <patternFill patternType="solid">
          <bgColor rgb="FFFFFF00"/>
        </patternFill>
      </fill>
    </dxf>
  </rfmt>
  <rfmt sheetId="1" sqref="H44">
    <dxf>
      <fill>
        <patternFill patternType="solid">
          <bgColor rgb="FFFFFF00"/>
        </patternFill>
      </fill>
    </dxf>
  </rfmt>
  <rcc rId="669" sId="1">
    <nc r="U24">
      <v>622</v>
    </nc>
  </rcc>
  <rcc rId="670" sId="1">
    <nc r="W24">
      <v>8</v>
    </nc>
  </rcc>
  <rcc rId="671" sId="1">
    <oc r="X24" t="inlineStr">
      <is>
        <t>N/A</t>
      </is>
    </oc>
    <nc r="X24" t="inlineStr">
      <is>
        <t>Ready for review</t>
      </is>
    </nc>
  </rcc>
  <rcc rId="672" sId="1" numFmtId="19">
    <nc r="AA24">
      <v>43899</v>
    </nc>
  </rcc>
  <rcc rId="673" sId="1" numFmtId="19">
    <nc r="AB24">
      <v>43899</v>
    </nc>
  </rcc>
  <rcc rId="674" sId="1">
    <nc r="AD24">
      <v>100</v>
    </nc>
  </rcc>
  <rcc rId="675" sId="1">
    <nc r="AE24">
      <v>100</v>
    </nc>
  </rcc>
  <rcc rId="676" sId="1">
    <nc r="AF24">
      <v>100</v>
    </nc>
  </rcc>
  <rcc rId="677" sId="1">
    <nc r="AC24" t="inlineStr">
      <is>
        <t>OK</t>
      </is>
    </nc>
  </rcc>
  <rcc rId="678" sId="1">
    <nc r="U23">
      <v>210</v>
    </nc>
  </rcc>
  <rcc rId="679" sId="1">
    <nc r="W23">
      <v>2</v>
    </nc>
  </rcc>
  <rcc rId="680" sId="1">
    <nc r="AG23" t="inlineStr">
      <is>
        <t>No code</t>
      </is>
    </nc>
  </rcc>
  <rcc rId="681" sId="1" numFmtId="19">
    <nc r="AA23">
      <v>43899</v>
    </nc>
  </rcc>
  <rcc rId="682" sId="1" numFmtId="19">
    <nc r="AB23">
      <v>43899</v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685" sId="1" ref="A20:XFD25" action="insert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</rrc>
  <rm rId="686" sheetId="1" source="A67:XFD72" destination="A20:XFD25" sourceSheetId="1">
    <undo index="0" exp="area" ref3D="1" dr="$B$2:$AH$72" dn="Z_7E0EA425_A420_4443_B9E0_CDF0AA9E5D09_.wvu.FilterData" sId="1"/>
    <undo index="0" exp="area" ref3D="1" dr="$B$2:$AH$72" dn="Z_B156AFFA_16DF_4425_86DA_8148471DAEFC_.wvu.FilterData" sId="1"/>
    <undo index="0" exp="area" ref3D="1" dr="$B$2:$AH$72" dn="Z_60D2C030_4E31_4E07_8E1C_44D2EE84B177_.wvu.FilterData" sId="1"/>
    <undo index="0" exp="area" ref3D="1" dr="$B$2:$AH$72" dn="Z_72A6EB0A_84D5_4B8A_AC51_54CCD061630B_.wvu.FilterData" sId="1"/>
    <undo index="0" exp="area" ref3D="1" dr="$B$2:$AH$72" dn="_FilterDatabase" sId="1"/>
    <rfmt sheetId="1" xfDxf="1" sqref="A20:XFD20" start="0" length="0"/>
    <rfmt sheetId="1" xfDxf="1" sqref="A21:XFD21" start="0" length="0"/>
    <rfmt sheetId="1" xfDxf="1" sqref="A22:XFD22" start="0" length="0"/>
    <rfmt sheetId="1" xfDxf="1" sqref="A23:XFD23" start="0" length="0"/>
    <rfmt sheetId="1" xfDxf="1" sqref="A24:XFD24" start="0" length="0"/>
    <rfmt sheetId="1" xfDxf="1" sqref="A25:XFD25" start="0" length="0"/>
    <rfmt sheetId="1" sqref="B20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0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0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0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0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0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2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B21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1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1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1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1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1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2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B22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2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2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2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2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2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2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B23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3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3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3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3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3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2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B24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4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4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4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4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4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2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B25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C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5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5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5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5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5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H2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rc rId="687" sId="1" ref="A67:XFD67" action="delete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  <rfmt sheetId="1" xfDxf="1" sqref="A67:XFD67" start="0" length="0"/>
  </rrc>
  <rrc rId="688" sId="1" ref="A67:XFD67" action="delete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  <rfmt sheetId="1" xfDxf="1" sqref="A67:XFD67" start="0" length="0"/>
  </rrc>
  <rrc rId="689" sId="1" ref="A67:XFD67" action="delete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  <rfmt sheetId="1" xfDxf="1" sqref="A67:XFD67" start="0" length="0"/>
  </rrc>
  <rrc rId="690" sId="1" ref="A67:XFD67" action="delete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  <rfmt sheetId="1" xfDxf="1" sqref="A67:XFD67" start="0" length="0"/>
  </rrc>
  <rrc rId="691" sId="1" ref="A67:XFD67" action="delete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  <rfmt sheetId="1" xfDxf="1" sqref="A67:XFD67" start="0" length="0"/>
  </rrc>
  <rrc rId="692" sId="1" ref="A67:XFD67" action="delete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  <rfmt sheetId="1" xfDxf="1" sqref="A67:XFD67" start="0" length="0"/>
  </rrc>
  <rfmt sheetId="1" sqref="B5" start="0" length="0">
    <dxf>
      <font>
        <sz val="11"/>
        <color theme="1"/>
        <name val="Calibri"/>
        <scheme val="minor"/>
      </font>
    </dxf>
  </rfmt>
  <rfmt sheetId="1" sqref="B20" start="0" length="0">
    <dxf>
      <fill>
        <patternFill patternType="none">
          <bgColor indexed="65"/>
        </patternFill>
      </fill>
    </dxf>
  </rfmt>
  <rfmt sheetId="1" sqref="B21" start="0" length="0">
    <dxf>
      <fill>
        <patternFill patternType="none">
          <bgColor indexed="65"/>
        </patternFill>
      </fill>
    </dxf>
  </rfmt>
  <rfmt sheetId="1" sqref="B22" start="0" length="0">
    <dxf>
      <fill>
        <patternFill patternType="none">
          <bgColor indexed="65"/>
        </patternFill>
      </fill>
    </dxf>
  </rfmt>
  <rfmt sheetId="1" sqref="B23" start="0" length="0">
    <dxf>
      <fill>
        <patternFill patternType="none">
          <bgColor indexed="65"/>
        </patternFill>
      </fill>
    </dxf>
  </rfmt>
  <rfmt sheetId="1" sqref="B24" start="0" length="0">
    <dxf>
      <fill>
        <patternFill patternType="none">
          <bgColor indexed="65"/>
        </patternFill>
      </fill>
    </dxf>
  </rfmt>
  <rfmt sheetId="1" sqref="B25" start="0" length="0">
    <dxf>
      <fill>
        <patternFill patternType="none">
          <bgColor indexed="65"/>
        </patternFill>
      </fill>
    </dxf>
  </rfmt>
  <rcc rId="693" sId="1">
    <oc r="B4">
      <f>B3+1</f>
    </oc>
    <nc r="B4">
      <f>B3+1</f>
    </nc>
  </rcc>
  <rcc rId="694" sId="1" odxf="1" dxf="1">
    <oc r="B5">
      <f>B4+1</f>
    </oc>
    <nc r="B5">
      <f>B4+1</f>
    </nc>
    <ndxf>
      <font>
        <sz val="11"/>
        <color auto="1"/>
        <name val="Calibri"/>
        <scheme val="minor"/>
      </font>
    </ndxf>
  </rcc>
  <rcc rId="695" sId="1">
    <oc r="B6">
      <f>B5+1</f>
    </oc>
    <nc r="B6">
      <f>B5+1</f>
    </nc>
  </rcc>
  <rcc rId="696" sId="1">
    <oc r="B7">
      <f>B6+1</f>
    </oc>
    <nc r="B7">
      <f>B6+1</f>
    </nc>
  </rcc>
  <rcc rId="697" sId="1">
    <oc r="B8">
      <f>B7+1</f>
    </oc>
    <nc r="B8">
      <f>B7+1</f>
    </nc>
  </rcc>
  <rcc rId="698" sId="1">
    <oc r="B9">
      <f>B8+1</f>
    </oc>
    <nc r="B9">
      <f>B8+1</f>
    </nc>
  </rcc>
  <rcc rId="699" sId="1">
    <oc r="B10">
      <f>B9+1</f>
    </oc>
    <nc r="B10">
      <f>B9+1</f>
    </nc>
  </rcc>
  <rcc rId="700" sId="1">
    <oc r="B11">
      <f>B10+1</f>
    </oc>
    <nc r="B11">
      <f>B10+1</f>
    </nc>
  </rcc>
  <rcc rId="701" sId="1">
    <oc r="B12">
      <f>B11+1</f>
    </oc>
    <nc r="B12">
      <f>B11+1</f>
    </nc>
  </rcc>
  <rcc rId="702" sId="1">
    <oc r="B13">
      <f>B12+1</f>
    </oc>
    <nc r="B13">
      <f>B12+1</f>
    </nc>
  </rcc>
  <rcc rId="703" sId="1">
    <oc r="B14">
      <f>B13+1</f>
    </oc>
    <nc r="B14">
      <f>B13+1</f>
    </nc>
  </rcc>
  <rcc rId="704" sId="1">
    <oc r="B15">
      <f>B14+1</f>
    </oc>
    <nc r="B15">
      <f>B14+1</f>
    </nc>
  </rcc>
  <rcc rId="705" sId="1">
    <oc r="B16">
      <f>B15+1</f>
    </oc>
    <nc r="B16">
      <f>B15+1</f>
    </nc>
  </rcc>
  <rcc rId="706" sId="1">
    <oc r="B17">
      <f>B16+1</f>
    </oc>
    <nc r="B17">
      <f>B16+1</f>
    </nc>
  </rcc>
  <rcc rId="707" sId="1">
    <oc r="B18">
      <f>B17+1</f>
    </oc>
    <nc r="B18">
      <f>B17+1</f>
    </nc>
  </rcc>
  <rcc rId="708" sId="1">
    <oc r="B19">
      <f>B18+1</f>
    </oc>
    <nc r="B19">
      <f>B18+1</f>
    </nc>
  </rcc>
  <rcc rId="709" sId="1">
    <oc r="B20">
      <f>B66+1</f>
    </oc>
    <nc r="B20">
      <f>B19+1</f>
    </nc>
  </rcc>
  <rcc rId="710" sId="1">
    <oc r="B21">
      <f>B20+1</f>
    </oc>
    <nc r="B21">
      <f>B20+1</f>
    </nc>
  </rcc>
  <rcc rId="711" sId="1">
    <oc r="B22">
      <f>B21+1</f>
    </oc>
    <nc r="B22">
      <f>B21+1</f>
    </nc>
  </rcc>
  <rcc rId="712" sId="1">
    <oc r="B23">
      <f>B22+1</f>
    </oc>
    <nc r="B23">
      <f>B22+1</f>
    </nc>
  </rcc>
  <rcc rId="713" sId="1">
    <oc r="B24">
      <f>B23+1</f>
    </oc>
    <nc r="B24">
      <f>B23+1</f>
    </nc>
  </rcc>
  <rcc rId="714" sId="1">
    <oc r="B25">
      <f>B24+1</f>
    </oc>
    <nc r="B25">
      <f>B24+1</f>
    </nc>
  </rcc>
  <rcc rId="715" sId="1">
    <oc r="B26">
      <f>B19+1</f>
    </oc>
    <nc r="B26">
      <f>B25+1</f>
    </nc>
  </rcc>
  <rcc rId="716" sId="1">
    <oc r="B27">
      <f>B26+1</f>
    </oc>
    <nc r="B27">
      <f>B26+1</f>
    </nc>
  </rcc>
  <rcc rId="717" sId="1">
    <oc r="B28">
      <f>B27+1</f>
    </oc>
    <nc r="B28">
      <f>B27+1</f>
    </nc>
  </rcc>
  <rcc rId="718" sId="1">
    <oc r="B29">
      <f>B28+1</f>
    </oc>
    <nc r="B29">
      <f>B28+1</f>
    </nc>
  </rcc>
  <rcc rId="719" sId="1">
    <oc r="B30">
      <f>B29+1</f>
    </oc>
    <nc r="B30">
      <f>B29+1</f>
    </nc>
  </rcc>
  <rcc rId="720" sId="1">
    <oc r="B31">
      <f>B30+1</f>
    </oc>
    <nc r="B31">
      <f>B30+1</f>
    </nc>
  </rcc>
  <rcc rId="721" sId="1">
    <oc r="B32">
      <f>B31+1</f>
    </oc>
    <nc r="B32">
      <f>B31+1</f>
    </nc>
  </rcc>
  <rcc rId="722" sId="1">
    <oc r="B33">
      <f>B32+1</f>
    </oc>
    <nc r="B33">
      <f>B32+1</f>
    </nc>
  </rcc>
  <rcc rId="723" sId="1">
    <oc r="B34">
      <f>B33+1</f>
    </oc>
    <nc r="B34">
      <f>B33+1</f>
    </nc>
  </rcc>
  <rcc rId="724" sId="1">
    <oc r="B35">
      <f>B34+1</f>
    </oc>
    <nc r="B35">
      <f>B34+1</f>
    </nc>
  </rcc>
  <rcc rId="725" sId="1">
    <oc r="B36">
      <f>B35+1</f>
    </oc>
    <nc r="B36">
      <f>B35+1</f>
    </nc>
  </rcc>
  <rcc rId="726" sId="1">
    <oc r="B37">
      <f>B36+1</f>
    </oc>
    <nc r="B37">
      <f>B36+1</f>
    </nc>
  </rcc>
  <rcc rId="727" sId="1">
    <oc r="B38">
      <f>B37+1</f>
    </oc>
    <nc r="B38">
      <f>B37+1</f>
    </nc>
  </rcc>
  <rcc rId="728" sId="1">
    <oc r="B39">
      <f>B38+1</f>
    </oc>
    <nc r="B39">
      <f>B38+1</f>
    </nc>
  </rcc>
  <rcc rId="729" sId="1">
    <oc r="B40">
      <f>B39+1</f>
    </oc>
    <nc r="B40">
      <f>B39+1</f>
    </nc>
  </rcc>
  <rcc rId="730" sId="1">
    <oc r="B41">
      <f>B40+1</f>
    </oc>
    <nc r="B41">
      <f>B40+1</f>
    </nc>
  </rcc>
  <rcc rId="731" sId="1">
    <oc r="B42">
      <f>B41+1</f>
    </oc>
    <nc r="B42">
      <f>B41+1</f>
    </nc>
  </rcc>
  <rcc rId="732" sId="1">
    <oc r="B43">
      <f>B42+1</f>
    </oc>
    <nc r="B43">
      <f>B42+1</f>
    </nc>
  </rcc>
  <rcc rId="733" sId="1">
    <oc r="B44">
      <f>B43+1</f>
    </oc>
    <nc r="B44">
      <f>B43+1</f>
    </nc>
  </rcc>
  <rcc rId="734" sId="1">
    <oc r="B45">
      <f>B44+1</f>
    </oc>
    <nc r="B45">
      <f>B44+1</f>
    </nc>
  </rcc>
  <rcc rId="735" sId="1">
    <oc r="B46">
      <f>B45+1</f>
    </oc>
    <nc r="B46">
      <f>B45+1</f>
    </nc>
  </rcc>
  <rcc rId="736" sId="1">
    <oc r="B47">
      <f>B46+1</f>
    </oc>
    <nc r="B47">
      <f>B46+1</f>
    </nc>
  </rcc>
  <rcc rId="737" sId="1">
    <oc r="B48">
      <f>B47+1</f>
    </oc>
    <nc r="B48">
      <f>B47+1</f>
    </nc>
  </rcc>
  <rcc rId="738" sId="1">
    <oc r="B49">
      <f>B48+1</f>
    </oc>
    <nc r="B49">
      <f>B48+1</f>
    </nc>
  </rcc>
  <rcc rId="739" sId="1">
    <oc r="B50">
      <f>B49+1</f>
    </oc>
    <nc r="B50">
      <f>B49+1</f>
    </nc>
  </rcc>
  <rcc rId="740" sId="1">
    <oc r="B51">
      <f>B50+1</f>
    </oc>
    <nc r="B51">
      <f>B50+1</f>
    </nc>
  </rcc>
  <rcc rId="741" sId="1">
    <oc r="B52">
      <f>B51+1</f>
    </oc>
    <nc r="B52">
      <f>B51+1</f>
    </nc>
  </rcc>
  <rcc rId="742" sId="1">
    <oc r="B53">
      <f>B52+1</f>
    </oc>
    <nc r="B53">
      <f>B52+1</f>
    </nc>
  </rcc>
  <rcc rId="743" sId="1">
    <oc r="B54">
      <f>B53+1</f>
    </oc>
    <nc r="B54">
      <f>B53+1</f>
    </nc>
  </rcc>
  <rcc rId="744" sId="1">
    <oc r="B55">
      <f>B54+1</f>
    </oc>
    <nc r="B55">
      <f>B54+1</f>
    </nc>
  </rcc>
  <rcc rId="745" sId="1">
    <oc r="B56">
      <f>B55+1</f>
    </oc>
    <nc r="B56">
      <f>B55+1</f>
    </nc>
  </rcc>
  <rcc rId="746" sId="1">
    <oc r="B57">
      <f>B56+1</f>
    </oc>
    <nc r="B57">
      <f>B56+1</f>
    </nc>
  </rcc>
  <rcc rId="747" sId="1">
    <oc r="B58">
      <f>B57+1</f>
    </oc>
    <nc r="B58">
      <f>B57+1</f>
    </nc>
  </rcc>
  <rcc rId="748" sId="1">
    <oc r="B59">
      <f>B58+1</f>
    </oc>
    <nc r="B59">
      <f>B58+1</f>
    </nc>
  </rcc>
  <rcc rId="749" sId="1">
    <oc r="B60">
      <f>B59+1</f>
    </oc>
    <nc r="B60">
      <f>B59+1</f>
    </nc>
  </rcc>
  <rcc rId="750" sId="1">
    <oc r="B61">
      <f>B60+1</f>
    </oc>
    <nc r="B61">
      <f>B60+1</f>
    </nc>
  </rcc>
  <rcc rId="751" sId="1">
    <oc r="B62">
      <f>B61+1</f>
    </oc>
    <nc r="B62">
      <f>B61+1</f>
    </nc>
  </rcc>
  <rcc rId="752" sId="1">
    <oc r="B63">
      <f>B62+1</f>
    </oc>
    <nc r="B63">
      <f>B62+1</f>
    </nc>
  </rcc>
  <rcc rId="753" sId="1">
    <oc r="B64">
      <f>B63+1</f>
    </oc>
    <nc r="B64">
      <f>B63+1</f>
    </nc>
  </rcc>
  <rcc rId="754" sId="1">
    <oc r="B65">
      <f>B64+1</f>
    </oc>
    <nc r="B65">
      <f>B64+1</f>
    </nc>
  </rcc>
  <rcc rId="755" sId="1">
    <oc r="B66">
      <f>B65+1</f>
    </oc>
    <nc r="B66">
      <f>B65+1</f>
    </nc>
  </rcc>
  <rfmt sheetId="1" sqref="C20:H25">
    <dxf>
      <fill>
        <patternFill patternType="none">
          <bgColor auto="1"/>
        </patternFill>
      </fill>
    </dxf>
  </rfmt>
  <rcc rId="756" sId="1" odxf="1" dxf="1" quotePrefix="1">
    <nc r="AG30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E67" start="0" length="0">
    <dxf>
      <alignment horizontal="general" vertical="bottom" readingOrder="0"/>
      <border outline="0">
        <left/>
        <right/>
        <top/>
        <bottom/>
      </border>
    </dxf>
  </rfmt>
  <rfmt sheetId="1" sqref="E68" start="0" length="0">
    <dxf>
      <alignment horizontal="general" vertical="bottom" readingOrder="0"/>
      <border outline="0">
        <left/>
        <right/>
        <top/>
        <bottom/>
      </border>
    </dxf>
  </rfmt>
  <rfmt sheetId="1" sqref="E69" start="0" length="0">
    <dxf>
      <alignment horizontal="general" vertical="bottom" readingOrder="0"/>
      <border outline="0">
        <left/>
        <right/>
        <top/>
        <bottom/>
      </border>
    </dxf>
  </rfmt>
  <rfmt sheetId="1" sqref="E70" start="0" length="0">
    <dxf>
      <alignment horizontal="general" vertical="bottom" readingOrder="0"/>
      <border outline="0">
        <left/>
        <right/>
        <top/>
        <bottom/>
      </border>
    </dxf>
  </rfmt>
  <rfmt sheetId="1" sqref="E71" start="0" length="0">
    <dxf>
      <alignment horizontal="general" vertical="bottom" readingOrder="0"/>
      <border outline="0">
        <left/>
        <right/>
        <top/>
        <bottom/>
      </border>
    </dxf>
  </rfmt>
  <rfmt sheetId="1" sqref="E72" start="0" length="0">
    <dxf>
      <alignment horizontal="general" vertical="bottom" readingOrder="0"/>
      <border outline="0">
        <left/>
        <right/>
        <top/>
        <bottom/>
      </border>
    </dxf>
  </rfmt>
  <rfmt sheetId="1" sqref="E73" start="0" length="0">
    <dxf>
      <alignment horizontal="general" vertical="bottom" readingOrder="0"/>
      <border outline="0">
        <left/>
        <right/>
        <top/>
        <bottom/>
      </border>
    </dxf>
  </rfmt>
  <rfmt sheetId="1" xfDxf="1" sqref="E67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68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69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0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1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2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3" start="0" length="0">
    <dxf>
      <font>
        <sz val="10"/>
        <color rgb="FF000000"/>
        <name val="Arial"/>
        <scheme val="none"/>
      </font>
      <alignment vertical="center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sqref="E67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759" sId="1" odxf="1" dxf="1">
    <nc r="E68" t="inlineStr">
      <is>
        <t>MC_232534_SGMW_CN202C_ESP9.3CPi_ACC_BSS04_SP02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60" sId="1" odxf="1" dxf="1">
    <nc r="E69" t="inlineStr">
      <is>
        <t>MC_232534_SGMW_CN202C_ESP9.3CPi_ACC_BSS04_SP02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61" sId="1" odxf="1" dxf="1">
    <nc r="E70" t="inlineStr">
      <is>
        <t>MC_232534_SGMW_CN202C_ESP9.3CPi_ACC_BSS04_SP02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62" sId="1" odxf="1" dxf="1">
    <nc r="E71" t="inlineStr">
      <is>
        <t>MC_232534_SGMW_CN202C_ESP9.3CPi_ACC_BSS04_SP02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63" sId="1" odxf="1" dxf="1">
    <nc r="E72" t="inlineStr">
      <is>
        <t>MC_232534_SGMW_CN202C_ESP9.3CPi_ACC_BSS04_SP02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64" sId="1" odxf="1" dxf="1">
    <nc r="E73" t="inlineStr">
      <is>
        <t>MC_232534_SGMW_CN202C_ESP9.3CPi_ACC_BSS04_SP02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65" sId="1">
    <nc r="D67" t="inlineStr">
      <is>
        <t>PSW</t>
      </is>
    </nc>
  </rcc>
  <rcc rId="766" sId="1">
    <nc r="D68" t="inlineStr">
      <is>
        <t>PSW</t>
      </is>
    </nc>
  </rcc>
  <rcc rId="767" sId="1">
    <nc r="D69" t="inlineStr">
      <is>
        <t>PSW</t>
      </is>
    </nc>
  </rcc>
  <rcc rId="768" sId="1">
    <nc r="D70" t="inlineStr">
      <is>
        <t>PSW</t>
      </is>
    </nc>
  </rcc>
  <rcc rId="769" sId="1">
    <nc r="D71" t="inlineStr">
      <is>
        <t>PSW</t>
      </is>
    </nc>
  </rcc>
  <rcc rId="770" sId="1">
    <nc r="D72" t="inlineStr">
      <is>
        <t>PSW</t>
      </is>
    </nc>
  </rcc>
  <rcc rId="771" sId="1">
    <nc r="D73" t="inlineStr">
      <is>
        <t>PSW</t>
      </is>
    </nc>
  </rcc>
  <rcc rId="772" sId="1">
    <nc r="C67">
      <v>20200305</v>
    </nc>
  </rcc>
  <rcc rId="773" sId="1">
    <nc r="C68">
      <v>20200305</v>
    </nc>
  </rcc>
  <rcc rId="774" sId="1">
    <nc r="C69">
      <v>20200305</v>
    </nc>
  </rcc>
  <rcc rId="775" sId="1">
    <nc r="C70">
      <v>20200305</v>
    </nc>
  </rcc>
  <rcc rId="776" sId="1">
    <nc r="C71">
      <v>20200305</v>
    </nc>
  </rcc>
  <rcc rId="777" sId="1">
    <nc r="C72">
      <v>20200305</v>
    </nc>
  </rcc>
  <rcc rId="778" sId="1">
    <nc r="C73">
      <v>20200305</v>
    </nc>
  </rcc>
  <rcc rId="779" sId="1" odxf="1" dxf="1">
    <nc r="B67">
      <f>B66+1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80" sId="1" odxf="1" dxf="1">
    <nc r="B68">
      <f>B67+1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81" sId="1" odxf="1" dxf="1">
    <nc r="B69">
      <f>B68+1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82" sId="1" odxf="1" dxf="1">
    <nc r="B70">
      <f>B69+1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83" sId="1" odxf="1" dxf="1">
    <nc r="B71">
      <f>B70+1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84" sId="1" odxf="1" dxf="1">
    <nc r="B72">
      <f>B71+1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785" sId="1" odxf="1" dxf="1">
    <nc r="B73">
      <f>B72+1</f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1" sqref="F67" start="0" length="0">
    <dxf>
      <alignment horizontal="general" vertical="bottom" readingOrder="0"/>
      <border outline="0">
        <left/>
        <right/>
        <top/>
        <bottom/>
      </border>
    </dxf>
  </rfmt>
  <rfmt sheetId="1" sqref="F68" start="0" length="0">
    <dxf>
      <alignment horizontal="general" vertical="bottom" readingOrder="0"/>
      <border outline="0">
        <left/>
        <right/>
        <top/>
        <bottom/>
      </border>
    </dxf>
  </rfmt>
  <rfmt sheetId="1" sqref="F69" start="0" length="0">
    <dxf>
      <alignment horizontal="general" vertical="bottom" readingOrder="0"/>
      <border outline="0">
        <left/>
        <right/>
        <top/>
        <bottom/>
      </border>
    </dxf>
  </rfmt>
  <rfmt sheetId="1" sqref="F70" start="0" length="0">
    <dxf>
      <alignment horizontal="general" vertical="bottom" readingOrder="0"/>
      <border outline="0">
        <left/>
        <right/>
        <top/>
        <bottom/>
      </border>
    </dxf>
  </rfmt>
  <rfmt sheetId="1" sqref="F71" start="0" length="0">
    <dxf>
      <alignment horizontal="general" vertical="bottom" readingOrder="0"/>
      <border outline="0">
        <left/>
        <right/>
        <top/>
        <bottom/>
      </border>
    </dxf>
  </rfmt>
  <rfmt sheetId="1" sqref="F72" start="0" length="0">
    <dxf>
      <alignment horizontal="general" vertical="bottom" readingOrder="0"/>
      <border outline="0">
        <left/>
        <right/>
        <top/>
        <bottom/>
      </border>
    </dxf>
  </rfmt>
  <rfmt sheetId="1" sqref="F73" start="0" length="0">
    <dxf>
      <alignment horizontal="general" vertical="bottom" readingOrder="0"/>
      <border outline="0">
        <left/>
        <right/>
        <top/>
        <bottom/>
      </border>
    </dxf>
  </rfmt>
  <rfmt sheetId="1" xfDxf="1" sqref="F67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68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69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0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1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2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3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sqref="F67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F68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F69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F70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F71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F72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F73" start="0" length="0">
    <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786" sId="1" quotePrefix="1">
    <nc r="F67" t="inlineStr">
      <is>
        <t>rb\as\core\app\asw\apbmi\host\PDM\APBPbcVariantItem_C\SRC\</t>
      </is>
    </nc>
  </rcc>
  <rcc rId="787" sId="1" quotePrefix="1">
    <nc r="F68" t="inlineStr">
      <is>
        <t>\rb\as\sgmw\CN210S\app\net\RbNetPrj\RBNet_Can\src\</t>
      </is>
    </nc>
  </rcc>
  <rcc rId="788" sId="1" quotePrefix="1">
    <nc r="F69" t="inlineStr">
      <is>
        <t xml:space="preserve">\rb\as\sgmw\CN210S\app\net\RBScl\RBScl_SGMW\src\  </t>
      </is>
    </nc>
  </rcc>
  <rcc rId="789" sId="1" quotePrefix="1">
    <nc r="F70" t="inlineStr">
      <is>
        <t xml:space="preserve">\rb\as\sgmw\CN210S\app\net\RBScl\RBScl_SGMW\src\  </t>
      </is>
    </nc>
  </rcc>
  <rcc rId="790" sId="1" quotePrefix="1">
    <nc r="F71" t="inlineStr">
      <is>
        <t xml:space="preserve">\rb\as\sgmw\CN210S\app\net\RBScl\RBScl_SGMW\src\  </t>
      </is>
    </nc>
  </rcc>
  <rcc rId="791" sId="1" quotePrefix="1">
    <nc r="F72" t="inlineStr">
      <is>
        <t xml:space="preserve">\rb\as\sgmw\CN210S\app\net\RBScl\RBScl_SGMW\src\  </t>
      </is>
    </nc>
  </rcc>
  <rcc rId="792" sId="1" quotePrefix="1">
    <nc r="F73" t="inlineStr">
      <is>
        <t>\rb\as\sgmw\CN210S\app\net\RBScl\RBScl_SGMW\src\</t>
      </is>
    </nc>
  </rcc>
  <rfmt sheetId="1" sqref="G67" start="0" length="0">
    <dxf>
      <alignment horizontal="general" vertical="bottom" readingOrder="0"/>
      <border outline="0">
        <left/>
        <right/>
        <top/>
        <bottom/>
      </border>
    </dxf>
  </rfmt>
  <rfmt sheetId="1" xfDxf="1" sqref="G67" start="0" length="0">
    <dxf>
      <font>
        <sz val="10"/>
        <color rgb="FF000000"/>
        <name val="Arial"/>
        <scheme val="none"/>
      </font>
    </dxf>
  </rfmt>
  <rfmt sheetId="1" sqref="G68" start="0" length="0">
    <dxf>
      <alignment horizontal="general" vertical="bottom" readingOrder="0"/>
      <border outline="0">
        <left/>
        <right/>
        <top/>
        <bottom/>
      </border>
    </dxf>
  </rfmt>
  <rfmt sheetId="1" xfDxf="1" sqref="G68" start="0" length="0">
    <dxf>
      <font>
        <sz val="10"/>
        <color rgb="FF9C0006"/>
        <name val="Arial"/>
        <scheme val="none"/>
      </font>
    </dxf>
  </rfmt>
  <rcc rId="793" sId="1" odxf="1" dxf="1">
    <nc r="G67">
      <v>1359400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4" sId="1" odxf="1" dxf="1">
    <nc r="G68">
      <v>1357606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95" sId="1">
    <nc r="G69">
      <v>1357606</v>
    </nc>
  </rcc>
  <rcc rId="796" sId="1">
    <nc r="G70">
      <v>1357606</v>
    </nc>
  </rcc>
  <rcc rId="797" sId="1">
    <nc r="G71">
      <v>1357606</v>
    </nc>
  </rcc>
  <rcc rId="798" sId="1">
    <nc r="G72">
      <v>1357606</v>
    </nc>
  </rcc>
  <rcc rId="799" sId="1">
    <nc r="G73">
      <v>1357606</v>
    </nc>
  </rcc>
  <rcc rId="800" sId="1">
    <nc r="E67" t="inlineStr">
      <is>
        <r>
          <t>MC_</t>
        </r>
        <r>
          <rPr>
            <b/>
            <sz val="11"/>
            <color rgb="FFFF0000"/>
            <rFont val="Calibri"/>
            <family val="2"/>
          </rPr>
          <t>227282</t>
        </r>
        <r>
          <rPr>
            <sz val="11"/>
            <color theme="1"/>
            <rFont val="Calibri"/>
            <family val="2"/>
          </rPr>
          <t>_SGMW_E200_Plus_ESPCPiGen9.3_BSS04_SP02</t>
        </r>
      </is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67" start="0" length="0">
    <dxf>
      <alignment horizontal="general" vertical="bottom" readingOrder="0"/>
      <border outline="0">
        <left/>
        <right/>
        <top/>
        <bottom/>
      </border>
    </dxf>
  </rfmt>
  <rfmt sheetId="1" sqref="H68" start="0" length="0">
    <dxf>
      <alignment horizontal="general" vertical="bottom" readingOrder="0"/>
      <border outline="0">
        <left/>
        <right/>
        <top/>
        <bottom/>
      </border>
    </dxf>
  </rfmt>
  <rfmt sheetId="1" sqref="H69" start="0" length="0">
    <dxf>
      <alignment horizontal="general" vertical="bottom" readingOrder="0"/>
      <border outline="0">
        <left/>
        <right/>
        <top/>
        <bottom/>
      </border>
    </dxf>
  </rfmt>
  <rfmt sheetId="1" sqref="H70" start="0" length="0">
    <dxf>
      <alignment horizontal="general" vertical="bottom" readingOrder="0"/>
      <border outline="0">
        <left/>
        <right/>
        <top/>
        <bottom/>
      </border>
    </dxf>
  </rfmt>
  <rfmt sheetId="1" sqref="H71" start="0" length="0">
    <dxf>
      <alignment horizontal="general" vertical="bottom" readingOrder="0"/>
      <border outline="0">
        <left/>
        <right/>
        <top/>
        <bottom/>
      </border>
    </dxf>
  </rfmt>
  <rfmt sheetId="1" sqref="H72" start="0" length="0">
    <dxf>
      <alignment horizontal="general" vertical="bottom" readingOrder="0"/>
      <border outline="0">
        <left/>
        <right/>
        <top/>
        <bottom/>
      </border>
    </dxf>
  </rfmt>
  <rfmt sheetId="1" sqref="H73" start="0" length="0">
    <dxf>
      <alignment horizontal="general" vertical="bottom" readingOrder="0"/>
      <border outline="0">
        <left/>
        <right/>
        <top/>
        <bottom/>
      </border>
    </dxf>
  </rfmt>
  <rfmt sheetId="1" xfDxf="1" sqref="H67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8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69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70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71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72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H73" start="0" length="0">
    <dxf>
      <font>
        <sz val="10"/>
        <color rgb="FF000000"/>
        <name val="Arial"/>
        <scheme val="none"/>
      </font>
      <alignment vertical="center" readingOrder="0"/>
      <border outline="0">
        <right style="medium">
          <color indexed="64"/>
        </right>
        <bottom style="medium">
          <color indexed="64"/>
        </bottom>
      </border>
    </dxf>
  </rfmt>
  <rcc rId="803" sId="1" odxf="1" dxf="1">
    <nc r="H67" t="inlineStr">
      <is>
        <t>PbcVariantItem_PersistentData.c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4" sId="1" odxf="1" dxf="1">
    <nc r="H68" t="inlineStr">
      <is>
        <t>NET_CheckSumLib_CNMS.c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5" sId="1" odxf="1" dxf="1">
    <nc r="H69" t="inlineStr">
      <is>
        <t>NET_SCL_Tx_SGMW_AyCompensationExport.c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6" sId="1" odxf="1" dxf="1">
    <nc r="H70" t="inlineStr">
      <is>
        <t>NET_SCL_Tx_SGMW_TPMF.c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7" sId="1" odxf="1" dxf="1">
    <nc r="H71" t="inlineStr">
      <is>
        <t>SGMW_RBA_NDS_Belt_Door_Callout.c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8" sId="1" odxf="1" dxf="1">
    <nc r="H72" t="inlineStr">
      <is>
        <t>SGMW_RBA_NDS_HBCRequest_Callout.c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09" sId="1" odxf="1" dxf="1">
    <nc r="H73" t="inlineStr">
      <is>
        <t>SGMW_RBA_NDS_SystemInfo_Callout.c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sqref="M67" start="0" length="0">
    <dxf>
      <alignment horizontal="general" vertical="bottom" readingOrder="0"/>
      <border outline="0">
        <left/>
        <right/>
        <top/>
        <bottom/>
      </border>
    </dxf>
  </rfmt>
  <rfmt sheetId="1" xfDxf="1" sqref="M67" start="0" length="0">
    <dxf>
      <font>
        <sz val="10"/>
        <color rgb="FF000000"/>
        <name val="Arial"/>
        <scheme val="none"/>
      </font>
    </dxf>
  </rfmt>
  <rcc rId="810" sId="1" odxf="1" dxf="1" quotePrefix="1">
    <nc r="M67" t="inlineStr">
      <is>
        <t>XU Sherry (CC-AS/EVA-SW2-CN)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sqref="M68" start="0" length="0">
    <dxf>
      <alignment horizontal="general" vertical="bottom" readingOrder="0"/>
      <border outline="0">
        <left/>
        <right/>
        <top/>
        <bottom/>
      </border>
    </dxf>
  </rfmt>
  <rfmt sheetId="1" xfDxf="1" sqref="M68" start="0" length="0">
    <dxf>
      <font>
        <sz val="10"/>
        <color rgb="FF000000"/>
        <name val="Arial"/>
        <scheme val="none"/>
      </font>
    </dxf>
  </rfmt>
  <rfmt sheetId="1" sqref="M69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70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71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72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73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cc rId="811" sId="1" odxf="1" dxf="1" quotePrefix="1">
    <nc r="M68" t="inlineStr">
      <is>
        <t>BAO Eric (CC-AS/EVA-SW32-CN)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2" sId="1" odxf="1" dxf="1" quotePrefix="1">
    <nc r="M69" t="inlineStr">
      <is>
        <t>BAO Eric (CC-AS/EVA-SW32-CN)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3" sId="1" odxf="1" dxf="1" quotePrefix="1">
    <nc r="M70" t="inlineStr">
      <is>
        <t>BAO Eric (CC-AS/EVA-SW32-CN)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4" sId="1" odxf="1" dxf="1" quotePrefix="1">
    <nc r="M71" t="inlineStr">
      <is>
        <t>BAO Eric (CC-AS/EVA-SW32-CN)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5" sId="1" odxf="1" dxf="1" quotePrefix="1">
    <nc r="M72" t="inlineStr">
      <is>
        <t>BAO Eric (CC-AS/EVA-SW32-CN)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6" sId="1" odxf="1" dxf="1" quotePrefix="1">
    <nc r="M73" t="inlineStr">
      <is>
        <t>BAO Eric (CC-AS/EVA-SW32-CN)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sqref="K67" start="0" length="0">
    <dxf>
      <alignment horizontal="general" vertical="bottom" readingOrder="0"/>
      <border outline="0">
        <left/>
        <right/>
        <top/>
        <bottom/>
      </border>
    </dxf>
  </rfmt>
  <rfmt sheetId="1" xfDxf="1" sqref="K67" start="0" length="0">
    <dxf>
      <font>
        <sz val="10"/>
        <color rgb="FF9C0006"/>
        <name val="Arial"/>
        <scheme val="none"/>
      </font>
    </dxf>
  </rfmt>
  <rcc rId="817" sId="1" odxf="1" dxf="1">
    <nc r="K67" t="inlineStr">
      <is>
        <t>SGMW_ESP93_Carbon_Int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18" sId="1">
    <nc r="K68" t="inlineStr">
      <is>
        <t>SGMW_ESP93_Carbon_Int</t>
      </is>
    </nc>
  </rcc>
  <rcc rId="819" sId="1">
    <nc r="K69" t="inlineStr">
      <is>
        <t>SGMW_ESP93_Carbon_Int</t>
      </is>
    </nc>
  </rcc>
  <rcc rId="820" sId="1">
    <nc r="K70" t="inlineStr">
      <is>
        <t>SGMW_ESP93_Carbon_Int</t>
      </is>
    </nc>
  </rcc>
  <rcc rId="821" sId="1">
    <nc r="K71" t="inlineStr">
      <is>
        <t>SGMW_ESP93_Carbon_Int</t>
      </is>
    </nc>
  </rcc>
  <rcc rId="822" sId="1">
    <nc r="K72" t="inlineStr">
      <is>
        <t>SGMW_ESP93_Carbon_Int</t>
      </is>
    </nc>
  </rcc>
  <rcc rId="823" sId="1">
    <nc r="K73" t="inlineStr">
      <is>
        <t>SGMW_ESP93_Carbon_Int</t>
      </is>
    </nc>
  </rcc>
  <rfmt sheetId="1" sqref="K8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</rfmt>
  <rcc rId="824" sId="1">
    <nc r="I67" t="inlineStr">
      <is>
        <t>Auto</t>
      </is>
    </nc>
  </rcc>
  <rcc rId="825" sId="1">
    <nc r="I68" t="inlineStr">
      <is>
        <t>Auto</t>
      </is>
    </nc>
  </rcc>
  <rcc rId="826" sId="1">
    <nc r="I69" t="inlineStr">
      <is>
        <t>Auto</t>
      </is>
    </nc>
  </rcc>
  <rcc rId="827" sId="1">
    <nc r="I70" t="inlineStr">
      <is>
        <t>Auto</t>
      </is>
    </nc>
  </rcc>
  <rcc rId="828" sId="1">
    <nc r="I71" t="inlineStr">
      <is>
        <t>Auto</t>
      </is>
    </nc>
  </rcc>
  <rcc rId="829" sId="1">
    <nc r="I72" t="inlineStr">
      <is>
        <t>Auto</t>
      </is>
    </nc>
  </rcc>
  <rcc rId="830" sId="1">
    <nc r="I73" t="inlineStr">
      <is>
        <t>Auto</t>
      </is>
    </nc>
  </rcc>
  <rcc rId="831" sId="1">
    <nc r="J67" t="inlineStr">
      <is>
        <t>-</t>
      </is>
    </nc>
  </rcc>
  <rcc rId="832" sId="1">
    <nc r="J68" t="inlineStr">
      <is>
        <t>-</t>
      </is>
    </nc>
  </rcc>
  <rcc rId="833" sId="1">
    <nc r="J69" t="inlineStr">
      <is>
        <t>-</t>
      </is>
    </nc>
  </rcc>
  <rcc rId="834" sId="1">
    <nc r="J70" t="inlineStr">
      <is>
        <t>-</t>
      </is>
    </nc>
  </rcc>
  <rcc rId="835" sId="1">
    <nc r="J71" t="inlineStr">
      <is>
        <t>-</t>
      </is>
    </nc>
  </rcc>
  <rcc rId="836" sId="1">
    <nc r="J72" t="inlineStr">
      <is>
        <t>-</t>
      </is>
    </nc>
  </rcc>
  <rcc rId="837" sId="1">
    <nc r="J73" t="inlineStr">
      <is>
        <t>-</t>
      </is>
    </nc>
  </rcc>
  <rcc rId="838" sId="1" odxf="1" dxf="1">
    <nc r="L67">
      <f>IF(D67="ASW","PUT_VERSION","-")</f>
    </nc>
    <odxf/>
    <ndxf/>
  </rcc>
  <rcc rId="839" sId="1" odxf="1" dxf="1">
    <nc r="L68">
      <f>IF(D68="ASW","PUT_VERSION","-")</f>
    </nc>
    <odxf/>
    <ndxf/>
  </rcc>
  <rcc rId="840" sId="1" odxf="1" dxf="1">
    <nc r="L69">
      <f>IF(D69="ASW","PUT_VERSION","-")</f>
    </nc>
    <odxf/>
    <ndxf/>
  </rcc>
  <rcc rId="841" sId="1" odxf="1" dxf="1">
    <nc r="L70">
      <f>IF(D70="ASW","PUT_VERSION","-")</f>
    </nc>
    <odxf/>
    <ndxf/>
  </rcc>
  <rcc rId="842" sId="1" odxf="1" dxf="1">
    <nc r="L71">
      <f>IF(D71="ASW","PUT_VERSION","-")</f>
    </nc>
    <odxf/>
    <ndxf/>
  </rcc>
  <rcc rId="843" sId="1" odxf="1" dxf="1">
    <nc r="L72">
      <f>IF(D72="ASW","PUT_VERSION","-")</f>
    </nc>
    <odxf/>
    <ndxf/>
  </rcc>
  <rcc rId="844" sId="1" odxf="1" dxf="1">
    <nc r="L73">
      <f>IF(D73="ASW","PUT_VERSION","-")</f>
    </nc>
    <odxf/>
    <ndxf/>
  </rcc>
  <rcc rId="845" sId="1">
    <oc r="O26" t="inlineStr">
      <is>
        <t>T01</t>
      </is>
    </oc>
    <nc r="O26"/>
  </rcc>
  <rcc rId="846" sId="1">
    <oc r="O27" t="inlineStr">
      <is>
        <t>T02</t>
      </is>
    </oc>
    <nc r="O27"/>
  </rcc>
  <rcc rId="847" sId="1">
    <oc r="O28" t="inlineStr">
      <is>
        <t>T02</t>
      </is>
    </oc>
    <nc r="O28"/>
  </rcc>
  <rcc rId="848" sId="1">
    <oc r="O29" t="inlineStr">
      <is>
        <t>T02</t>
      </is>
    </oc>
    <nc r="O29"/>
  </rcc>
  <rcc rId="849" sId="1">
    <oc r="O30" t="inlineStr">
      <is>
        <t>T03</t>
      </is>
    </oc>
    <nc r="O30"/>
  </rcc>
  <rcc rId="850" sId="1">
    <oc r="O31" t="inlineStr">
      <is>
        <t>T03</t>
      </is>
    </oc>
    <nc r="O31"/>
  </rcc>
  <rcc rId="851" sId="1">
    <oc r="O32" t="inlineStr">
      <is>
        <t>T03</t>
      </is>
    </oc>
    <nc r="O32"/>
  </rcc>
  <rcc rId="852" sId="1">
    <oc r="O33" t="inlineStr">
      <is>
        <t>T03</t>
      </is>
    </oc>
    <nc r="O33"/>
  </rcc>
  <rcc rId="853" sId="1">
    <oc r="O34" t="inlineStr">
      <is>
        <t>T03</t>
      </is>
    </oc>
    <nc r="O34"/>
  </rcc>
  <rcc rId="854" sId="1">
    <oc r="O35" t="inlineStr">
      <is>
        <t>T03</t>
      </is>
    </oc>
    <nc r="O35"/>
  </rcc>
  <rcc rId="855" sId="1">
    <oc r="O36" t="inlineStr">
      <is>
        <t>T03</t>
      </is>
    </oc>
    <nc r="O36"/>
  </rcc>
  <rcc rId="856" sId="1">
    <oc r="O37" t="inlineStr">
      <is>
        <t>T03</t>
      </is>
    </oc>
    <nc r="O37"/>
  </rcc>
  <rcc rId="857" sId="1">
    <oc r="O38" t="inlineStr">
      <is>
        <t>T03</t>
      </is>
    </oc>
    <nc r="O38"/>
  </rcc>
  <rcc rId="858" sId="1">
    <oc r="O39" t="inlineStr">
      <is>
        <t>T03</t>
      </is>
    </oc>
    <nc r="O39"/>
  </rcc>
  <rcc rId="859" sId="1">
    <oc r="O40" t="inlineStr">
      <is>
        <t>T03</t>
      </is>
    </oc>
    <nc r="O40"/>
  </rcc>
  <rcc rId="860" sId="1">
    <oc r="O41" t="inlineStr">
      <is>
        <t>T03</t>
      </is>
    </oc>
    <nc r="O41"/>
  </rcc>
  <rcc rId="861" sId="1">
    <oc r="O42" t="inlineStr">
      <is>
        <t>T03</t>
      </is>
    </oc>
    <nc r="O42"/>
  </rcc>
  <rcc rId="862" sId="1">
    <oc r="O43" t="inlineStr">
      <is>
        <t>T03</t>
      </is>
    </oc>
    <nc r="O43"/>
  </rcc>
  <rcc rId="863" sId="1">
    <oc r="O44" t="inlineStr">
      <is>
        <t>T03</t>
      </is>
    </oc>
    <nc r="O44"/>
  </rcc>
  <rcc rId="864" sId="1">
    <oc r="O45" t="inlineStr">
      <is>
        <t>T03</t>
      </is>
    </oc>
    <nc r="O45"/>
  </rcc>
  <rcc rId="865" sId="1">
    <oc r="O46" t="inlineStr">
      <is>
        <t>T03</t>
      </is>
    </oc>
    <nc r="O46"/>
  </rcc>
  <rcc rId="866" sId="1">
    <oc r="O47" t="inlineStr">
      <is>
        <t>T03</t>
      </is>
    </oc>
    <nc r="O47"/>
  </rcc>
  <rcc rId="867" sId="1">
    <oc r="O48" t="inlineStr">
      <is>
        <t>T03</t>
      </is>
    </oc>
    <nc r="O48"/>
  </rcc>
  <rcc rId="868" sId="1">
    <oc r="O49" t="inlineStr">
      <is>
        <t>T03</t>
      </is>
    </oc>
    <nc r="O49"/>
  </rcc>
  <rcc rId="869" sId="1">
    <oc r="O50" t="inlineStr">
      <is>
        <t>T03</t>
      </is>
    </oc>
    <nc r="O50"/>
  </rcc>
  <rcc rId="870" sId="1">
    <oc r="O51" t="inlineStr">
      <is>
        <t>T03</t>
      </is>
    </oc>
    <nc r="O51"/>
  </rcc>
  <rcc rId="871" sId="1">
    <oc r="O52" t="inlineStr">
      <is>
        <t>T04</t>
      </is>
    </oc>
    <nc r="O52"/>
  </rcc>
  <rcc rId="872" sId="1">
    <oc r="O53" t="inlineStr">
      <is>
        <t>T04</t>
      </is>
    </oc>
    <nc r="O53"/>
  </rcc>
  <rcc rId="873" sId="1">
    <oc r="O54" t="inlineStr">
      <is>
        <t>T04</t>
      </is>
    </oc>
    <nc r="O54"/>
  </rcc>
  <rcc rId="874" sId="1">
    <oc r="O55" t="inlineStr">
      <is>
        <t>T04</t>
      </is>
    </oc>
    <nc r="O55"/>
  </rcc>
  <rcc rId="875" sId="1">
    <oc r="O56" t="inlineStr">
      <is>
        <t>T04</t>
      </is>
    </oc>
    <nc r="O56"/>
  </rcc>
  <rcc rId="876" sId="1">
    <oc r="O57" t="inlineStr">
      <is>
        <t>T05</t>
      </is>
    </oc>
    <nc r="O57"/>
  </rcc>
  <rcc rId="877" sId="1">
    <oc r="O58" t="inlineStr">
      <is>
        <t>T05</t>
      </is>
    </oc>
    <nc r="O58"/>
  </rcc>
  <rcc rId="878" sId="1">
    <oc r="O59" t="inlineStr">
      <is>
        <t>T05</t>
      </is>
    </oc>
    <nc r="O59"/>
  </rcc>
  <rcc rId="879" sId="1">
    <oc r="O60" t="inlineStr">
      <is>
        <t>T05</t>
      </is>
    </oc>
    <nc r="O60"/>
  </rcc>
  <rcc rId="880" sId="1">
    <oc r="O61" t="inlineStr">
      <is>
        <t>T05</t>
      </is>
    </oc>
    <nc r="O61"/>
  </rcc>
  <rcc rId="881" sId="1">
    <oc r="O62" t="inlineStr">
      <is>
        <t>T06</t>
      </is>
    </oc>
    <nc r="O62"/>
  </rcc>
  <rcc rId="882" sId="1">
    <oc r="O63" t="inlineStr">
      <is>
        <t>T06</t>
      </is>
    </oc>
    <nc r="O63"/>
  </rcc>
  <rcc rId="883" sId="1">
    <oc r="O64" t="inlineStr">
      <is>
        <t>T06</t>
      </is>
    </oc>
    <nc r="O64"/>
  </rcc>
  <rcc rId="884" sId="1">
    <oc r="O65" t="inlineStr">
      <is>
        <t>T06</t>
      </is>
    </oc>
    <nc r="O65"/>
  </rcc>
  <rcc rId="885" sId="1">
    <oc r="O66" t="inlineStr">
      <is>
        <t>T06</t>
      </is>
    </oc>
    <nc r="O66"/>
  </rcc>
  <rfmt sheetId="1" sqref="S67" start="0" length="0">
    <dxf>
      <alignment horizontal="general" vertical="bottom" readingOrder="0"/>
      <border outline="0">
        <left/>
        <right/>
        <top/>
        <bottom/>
      </border>
    </dxf>
  </rfmt>
  <rfmt sheetId="1" sqref="S68" start="0" length="0">
    <dxf>
      <alignment horizontal="general" vertical="bottom" readingOrder="0"/>
      <border outline="0">
        <left/>
        <right/>
        <top/>
        <bottom/>
      </border>
    </dxf>
  </rfmt>
  <rfmt sheetId="1" sqref="S69" start="0" length="0">
    <dxf>
      <alignment horizontal="general" vertical="bottom" readingOrder="0"/>
      <border outline="0">
        <left/>
        <right/>
        <top/>
        <bottom/>
      </border>
    </dxf>
  </rfmt>
  <rfmt sheetId="1" sqref="S70" start="0" length="0">
    <dxf>
      <alignment horizontal="general" vertical="bottom" readingOrder="0"/>
      <border outline="0">
        <left/>
        <right/>
        <top/>
        <bottom/>
      </border>
    </dxf>
  </rfmt>
  <rfmt sheetId="1" sqref="S71" start="0" length="0">
    <dxf>
      <alignment horizontal="general" vertical="bottom" readingOrder="0"/>
      <border outline="0">
        <left/>
        <right/>
        <top/>
        <bottom/>
      </border>
    </dxf>
  </rfmt>
  <rfmt sheetId="1" sqref="S72" start="0" length="0">
    <dxf>
      <alignment horizontal="general" vertical="bottom" readingOrder="0"/>
      <border outline="0">
        <left/>
        <right/>
        <top/>
        <bottom/>
      </border>
    </dxf>
  </rfmt>
  <rfmt sheetId="1" sqref="S73" start="0" length="0">
    <dxf>
      <alignment horizontal="general" vertical="bottom" readingOrder="0"/>
      <border outline="0">
        <left/>
        <right/>
        <top/>
        <bottom/>
      </border>
    </dxf>
  </rfmt>
  <rfmt sheetId="1" xfDxf="1" sqref="S67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8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69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70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71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72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S73" start="0" length="0">
    <dxf>
      <font>
        <sz val="10"/>
        <color rgb="FF000000"/>
        <name val="Arial"/>
        <scheme val="none"/>
      </font>
      <alignment horizontal="right" vertical="center" readingOrder="0"/>
      <border outline="0">
        <right style="medium">
          <color indexed="64"/>
        </right>
        <bottom style="medium">
          <color indexed="64"/>
        </bottom>
      </border>
    </dxf>
  </rfmt>
  <rcc rId="886" sId="1" odxf="1" dxf="1">
    <nc r="S67">
      <v>117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87" sId="1" odxf="1" dxf="1">
    <nc r="S68">
      <v>55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88" sId="1" odxf="1" dxf="1">
    <nc r="S69">
      <v>60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89" sId="1" odxf="1" dxf="1">
    <nc r="S70">
      <v>30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90" sId="1" odxf="1" dxf="1">
    <nc r="S71">
      <v>34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91" sId="1" odxf="1" dxf="1">
    <nc r="S72">
      <v>357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92" sId="1" odxf="1" dxf="1">
    <nc r="S73">
      <v>431</v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93" sId="1" numFmtId="19">
    <nc r="Z67">
      <v>43902</v>
    </nc>
  </rcc>
  <rcc rId="894" sId="1" numFmtId="19">
    <nc r="Z68">
      <v>43903</v>
    </nc>
  </rcc>
  <rcc rId="895" sId="1" numFmtId="19">
    <nc r="Z69">
      <v>43904</v>
    </nc>
  </rcc>
  <rcc rId="896" sId="1" numFmtId="19">
    <nc r="Z70">
      <v>43905</v>
    </nc>
  </rcc>
  <rcc rId="897" sId="1" numFmtId="19">
    <nc r="Z71">
      <v>43906</v>
    </nc>
  </rcc>
  <rcc rId="898" sId="1" numFmtId="19">
    <nc r="Z72">
      <v>43907</v>
    </nc>
  </rcc>
  <rcc rId="899" sId="1" numFmtId="19">
    <nc r="Z73">
      <v>43908</v>
    </nc>
  </rcc>
  <rcmt sheetId="1" cell="K69" guid="{91446CA3-52C6-49A3-A35F-E8CD3FB16450}" alwaysShow="1" author="EXTERNAL Nguyen Tuan Duong (Ban Vien, RBVH/EPS45)" newLength="97"/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2" sId="1" numFmtId="19">
    <oc r="Z67">
      <v>43902</v>
    </oc>
    <nc r="Z67">
      <v>43901</v>
    </nc>
  </rcc>
  <rcc rId="903" sId="1" numFmtId="19">
    <oc r="Z68">
      <v>43903</v>
    </oc>
    <nc r="Z68">
      <v>43901</v>
    </nc>
  </rcc>
  <rcc rId="904" sId="1" numFmtId="19">
    <oc r="Z69">
      <v>43904</v>
    </oc>
    <nc r="Z69">
      <v>43901</v>
    </nc>
  </rcc>
  <rcc rId="905" sId="1" numFmtId="19">
    <oc r="Z70">
      <v>43905</v>
    </oc>
    <nc r="Z70">
      <v>43901</v>
    </nc>
  </rcc>
  <rcc rId="906" sId="1" numFmtId="19">
    <oc r="Z71">
      <v>43906</v>
    </oc>
    <nc r="Z71">
      <v>43901</v>
    </nc>
  </rcc>
  <rcc rId="907" sId="1" numFmtId="19">
    <oc r="Z72">
      <v>43907</v>
    </oc>
    <nc r="Z72">
      <v>43901</v>
    </nc>
  </rcc>
  <rcc rId="908" sId="1" numFmtId="19">
    <oc r="Z73">
      <v>43908</v>
    </oc>
    <nc r="Z73">
      <v>43901</v>
    </nc>
  </rcc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909" sId="1" ref="A74:XFD82" action="insert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</rrc>
  <rrc rId="910" sId="1" ref="A74:XFD91" action="insertRow">
    <undo index="0" exp="area" ref3D="1" dr="$M$1:$N$1048576" dn="Z_72A6EB0A_84D5_4B8A_AC51_54CCD061630B_.wvu.Cols" sId="1"/>
    <undo index="0" exp="area" ref3D="1" dr="$M$1:$N$1048576" dn="Z_60D2C030_4E31_4E07_8E1C_44D2EE84B177_.wvu.Cols" sId="1"/>
    <undo index="0" exp="area" ref3D="1" dr="$M$1:$N$1048576" dn="Z_7ECC2B8E_6A82_42F5_8AB0_4A51C54EA5EC_.wvu.Cols" sId="1"/>
    <undo index="0" exp="area" ref3D="1" dr="$M$1:$N$1048576" dn="Z_4E06BDBF_2CED_473B_850B_2A6C7311FF41_.wvu.Cols" sId="1"/>
  </rrc>
  <rcmt sheetId="1" cell="K69" guid="{9E98D8F5-1D91-4716-99DD-1FC3BABA2ADA}" alwaysShow="1" author="EXTERNAL Nguyen Tuan Duong (Ban Vien, RBVH/EPS45)" oldLength="97" newLength="2"/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E74" start="0" length="0">
    <dxf>
      <alignment horizontal="general" vertical="bottom" readingOrder="0"/>
      <border outline="0">
        <left/>
        <right/>
        <top/>
        <bottom/>
      </border>
    </dxf>
  </rfmt>
  <rfmt sheetId="1" sqref="E75" start="0" length="0">
    <dxf>
      <alignment horizontal="general" vertical="bottom" readingOrder="0"/>
      <border outline="0">
        <left/>
        <right/>
        <top/>
        <bottom/>
      </border>
    </dxf>
  </rfmt>
  <rfmt sheetId="1" sqref="E76" start="0" length="0">
    <dxf>
      <alignment horizontal="general" vertical="bottom" readingOrder="0"/>
      <border outline="0">
        <left/>
        <right/>
        <top/>
        <bottom/>
      </border>
    </dxf>
  </rfmt>
  <rfmt sheetId="1" sqref="E77" start="0" length="0">
    <dxf>
      <alignment horizontal="general" vertical="bottom" readingOrder="0"/>
      <border outline="0">
        <left/>
        <right/>
        <top/>
        <bottom/>
      </border>
    </dxf>
  </rfmt>
  <rfmt sheetId="1" sqref="E78" start="0" length="0">
    <dxf>
      <alignment horizontal="general" vertical="bottom" readingOrder="0"/>
      <border outline="0">
        <left/>
        <right/>
        <top/>
        <bottom/>
      </border>
    </dxf>
  </rfmt>
  <rfmt sheetId="1" sqref="E79" start="0" length="0">
    <dxf>
      <alignment horizontal="general" vertical="bottom" readingOrder="0"/>
      <border outline="0">
        <left/>
        <right/>
        <top/>
        <bottom/>
      </border>
    </dxf>
  </rfmt>
  <rfmt sheetId="1" sqref="E80" start="0" length="0">
    <dxf>
      <alignment horizontal="general" vertical="bottom" readingOrder="0"/>
      <border outline="0">
        <left/>
        <right/>
        <top/>
        <bottom/>
      </border>
    </dxf>
  </rfmt>
  <rfmt sheetId="1" sqref="E81" start="0" length="0">
    <dxf>
      <alignment horizontal="general" vertical="bottom" readingOrder="0"/>
      <border outline="0">
        <left/>
        <right/>
        <top/>
        <bottom/>
      </border>
    </dxf>
  </rfmt>
  <rfmt sheetId="1" sqref="E82" start="0" length="0">
    <dxf>
      <alignment horizontal="general" vertical="bottom" readingOrder="0"/>
      <border outline="0">
        <left/>
        <right/>
        <top/>
        <bottom/>
      </border>
    </dxf>
  </rfmt>
  <rfmt sheetId="1" sqref="E83" start="0" length="0">
    <dxf>
      <alignment horizontal="general" vertical="bottom" readingOrder="0"/>
      <border outline="0">
        <left/>
        <right/>
        <top/>
        <bottom/>
      </border>
    </dxf>
  </rfmt>
  <rfmt sheetId="1" sqref="E84" start="0" length="0">
    <dxf>
      <alignment horizontal="general" vertical="bottom" readingOrder="0"/>
      <border outline="0">
        <left/>
        <right/>
        <top/>
        <bottom/>
      </border>
    </dxf>
  </rfmt>
  <rfmt sheetId="1" sqref="E85" start="0" length="0">
    <dxf>
      <alignment horizontal="general" vertical="bottom" readingOrder="0"/>
      <border outline="0">
        <left/>
        <right/>
        <top/>
        <bottom/>
      </border>
    </dxf>
  </rfmt>
  <rfmt sheetId="1" sqref="E86" start="0" length="0">
    <dxf>
      <alignment horizontal="general" vertical="bottom" readingOrder="0"/>
      <border outline="0">
        <left/>
        <right/>
        <top/>
        <bottom/>
      </border>
    </dxf>
  </rfmt>
  <rfmt sheetId="1" sqref="E87" start="0" length="0">
    <dxf>
      <alignment horizontal="general" vertical="bottom" readingOrder="0"/>
      <border outline="0">
        <left/>
        <right/>
        <top/>
        <bottom/>
      </border>
    </dxf>
  </rfmt>
  <rfmt sheetId="1" sqref="E88" start="0" length="0">
    <dxf>
      <alignment horizontal="general" vertical="bottom" readingOrder="0"/>
      <border outline="0">
        <left/>
        <right/>
        <top/>
        <bottom/>
      </border>
    </dxf>
  </rfmt>
  <rfmt sheetId="1" xfDxf="1" sqref="E74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5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6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7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8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79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0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1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2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3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4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5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6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7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fmt sheetId="1" xfDxf="1" sqref="E88" start="0" length="0">
    <dxf>
      <font>
        <sz val="10"/>
        <color rgb="FF000000"/>
        <name val="Arial"/>
        <scheme val="none"/>
      </font>
      <alignment vertical="center" wrapText="1" readingOrder="0"/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</rfmt>
  <rcc rId="913" sId="1" odxf="1" dxf="1">
    <nc r="E74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14" sId="1" odxf="1" dxf="1">
    <nc r="E75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15" sId="1" odxf="1" dxf="1">
    <nc r="E76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16" sId="1" odxf="1" dxf="1">
    <nc r="E77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17" sId="1" odxf="1" dxf="1">
    <nc r="E78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18" sId="1" odxf="1" dxf="1">
    <nc r="E79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19" sId="1" odxf="1" dxf="1">
    <nc r="E80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0" sId="1" odxf="1" dxf="1">
    <nc r="E81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1" sId="1" odxf="1" dxf="1">
    <nc r="E82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2" sId="1" odxf="1" dxf="1">
    <nc r="E83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3" sId="1" odxf="1" dxf="1">
    <nc r="E84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4" sId="1" odxf="1" dxf="1">
    <nc r="E85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5" sId="1" odxf="1" dxf="1">
    <nc r="E86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6" sId="1" odxf="1" dxf="1">
    <nc r="E87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7" sId="1" odxf="1" dxf="1">
    <nc r="E88" t="inlineStr">
      <is>
        <t>225378_FAW_D357_High_BL31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28" sId="1">
    <nc r="D74" t="inlineStr">
      <is>
        <t>PSW</t>
      </is>
    </nc>
  </rcc>
  <rcc rId="929" sId="1">
    <nc r="D75" t="inlineStr">
      <is>
        <t>PSW</t>
      </is>
    </nc>
  </rcc>
  <rcc rId="930" sId="1">
    <nc r="D76" t="inlineStr">
      <is>
        <t>PSW</t>
      </is>
    </nc>
  </rcc>
  <rcc rId="931" sId="1">
    <nc r="D77" t="inlineStr">
      <is>
        <t>PSW</t>
      </is>
    </nc>
  </rcc>
  <rcc rId="932" sId="1">
    <nc r="D78" t="inlineStr">
      <is>
        <t>PSW</t>
      </is>
    </nc>
  </rcc>
  <rcc rId="933" sId="1">
    <nc r="D79" t="inlineStr">
      <is>
        <t>PSW</t>
      </is>
    </nc>
  </rcc>
  <rcc rId="934" sId="1">
    <nc r="D80" t="inlineStr">
      <is>
        <t>PSW</t>
      </is>
    </nc>
  </rcc>
  <rcc rId="935" sId="1">
    <nc r="D81" t="inlineStr">
      <is>
        <t>PSW</t>
      </is>
    </nc>
  </rcc>
  <rcc rId="936" sId="1">
    <nc r="D82" t="inlineStr">
      <is>
        <t>PSW</t>
      </is>
    </nc>
  </rcc>
  <rcc rId="937" sId="1">
    <nc r="D83" t="inlineStr">
      <is>
        <t>PSW</t>
      </is>
    </nc>
  </rcc>
  <rcc rId="938" sId="1">
    <nc r="D84" t="inlineStr">
      <is>
        <t>PSW</t>
      </is>
    </nc>
  </rcc>
  <rcc rId="939" sId="1">
    <nc r="D85" t="inlineStr">
      <is>
        <t>PSW</t>
      </is>
    </nc>
  </rcc>
  <rcc rId="940" sId="1">
    <nc r="D86" t="inlineStr">
      <is>
        <t>PSW</t>
      </is>
    </nc>
  </rcc>
  <rcc rId="941" sId="1">
    <nc r="D87" t="inlineStr">
      <is>
        <t>PSW</t>
      </is>
    </nc>
  </rcc>
  <rcc rId="942" sId="1">
    <nc r="D88" t="inlineStr">
      <is>
        <t>PSW</t>
      </is>
    </nc>
  </rcc>
  <rfmt sheetId="1" sqref="F74" start="0" length="0">
    <dxf>
      <alignment horizontal="general" vertical="bottom" readingOrder="0"/>
      <border outline="0">
        <left/>
        <right/>
        <top/>
        <bottom/>
      </border>
    </dxf>
  </rfmt>
  <rfmt sheetId="1" sqref="F75" start="0" length="0">
    <dxf>
      <alignment horizontal="general" vertical="bottom" readingOrder="0"/>
      <border outline="0">
        <left/>
        <right/>
        <top/>
        <bottom/>
      </border>
    </dxf>
  </rfmt>
  <rfmt sheetId="1" sqref="F76" start="0" length="0">
    <dxf>
      <alignment horizontal="general" vertical="bottom" readingOrder="0"/>
      <border outline="0">
        <left/>
        <right/>
        <top/>
        <bottom/>
      </border>
    </dxf>
  </rfmt>
  <rfmt sheetId="1" sqref="F77" start="0" length="0">
    <dxf>
      <alignment horizontal="general" vertical="bottom" readingOrder="0"/>
      <border outline="0">
        <left/>
        <right/>
        <top/>
        <bottom/>
      </border>
    </dxf>
  </rfmt>
  <rfmt sheetId="1" sqref="F78" start="0" length="0">
    <dxf>
      <alignment horizontal="general" vertical="bottom" readingOrder="0"/>
      <border outline="0">
        <left/>
        <right/>
        <top/>
        <bottom/>
      </border>
    </dxf>
  </rfmt>
  <rfmt sheetId="1" sqref="F79" start="0" length="0">
    <dxf>
      <alignment horizontal="general" vertical="bottom" readingOrder="0"/>
      <border outline="0">
        <left/>
        <right/>
        <top/>
        <bottom/>
      </border>
    </dxf>
  </rfmt>
  <rfmt sheetId="1" sqref="F80" start="0" length="0">
    <dxf>
      <alignment horizontal="general" vertical="bottom" readingOrder="0"/>
      <border outline="0">
        <left/>
        <right/>
        <top/>
        <bottom/>
      </border>
    </dxf>
  </rfmt>
  <rfmt sheetId="1" sqref="F81" start="0" length="0">
    <dxf>
      <alignment horizontal="general" vertical="bottom" readingOrder="0"/>
      <border outline="0">
        <left/>
        <right/>
        <top/>
        <bottom/>
      </border>
    </dxf>
  </rfmt>
  <rfmt sheetId="1" sqref="F82" start="0" length="0">
    <dxf>
      <alignment horizontal="general" vertical="bottom" readingOrder="0"/>
      <border outline="0">
        <left/>
        <right/>
        <top/>
        <bottom/>
      </border>
    </dxf>
  </rfmt>
  <rfmt sheetId="1" sqref="F83" start="0" length="0">
    <dxf>
      <alignment horizontal="general" vertical="bottom" readingOrder="0"/>
      <border outline="0">
        <left/>
        <right/>
        <top/>
        <bottom/>
      </border>
    </dxf>
  </rfmt>
  <rfmt sheetId="1" sqref="F84" start="0" length="0">
    <dxf>
      <alignment horizontal="general" vertical="bottom" readingOrder="0"/>
      <border outline="0">
        <left/>
        <right/>
        <top/>
        <bottom/>
      </border>
    </dxf>
  </rfmt>
  <rfmt sheetId="1" sqref="F85" start="0" length="0">
    <dxf>
      <alignment horizontal="general" vertical="bottom" readingOrder="0"/>
      <border outline="0">
        <left/>
        <right/>
        <top/>
        <bottom/>
      </border>
    </dxf>
  </rfmt>
  <rfmt sheetId="1" sqref="F86" start="0" length="0">
    <dxf>
      <alignment horizontal="general" vertical="bottom" readingOrder="0"/>
      <border outline="0">
        <left/>
        <right/>
        <top/>
        <bottom/>
      </border>
    </dxf>
  </rfmt>
  <rfmt sheetId="1" sqref="F87" start="0" length="0">
    <dxf>
      <alignment horizontal="general" vertical="bottom" readingOrder="0"/>
      <border outline="0">
        <left/>
        <right/>
        <top/>
        <bottom/>
      </border>
    </dxf>
  </rfmt>
  <rfmt sheetId="1" sqref="F88" start="0" length="0">
    <dxf>
      <alignment horizontal="general" vertical="bottom" readingOrder="0"/>
      <border outline="0">
        <left/>
        <right/>
        <top/>
        <bottom/>
      </border>
    </dxf>
  </rfmt>
  <rfmt sheetId="1" xfDxf="1" sqref="F74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5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6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7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8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79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0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1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2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3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4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5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6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7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fmt sheetId="1" xfDxf="1" sqref="F88" start="0" length="0">
    <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dxf>
  </rfmt>
  <rcc rId="943" sId="1" odxf="1" dxf="1" quotePrefix="1">
    <nc r="F74" t="inlineStr">
      <is>
        <t>rb.as.fawMP.fawcore.app.tpms\MW\Common\src\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44" sId="1" odxf="1" dxf="1" quotePrefix="1">
    <nc r="F75" t="inlineStr">
      <is>
        <t>rb.as.fawMP.fawcore.app.tpms\MW\Common\src\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45" sId="1" odxf="1" dxf="1" quotePrefix="1">
    <nc r="F76" t="inlineStr">
      <is>
        <t>rb.as.fawMP.fawcore.app.tpms\MW\Common\src\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46" sId="1" odxf="1" dxf="1" quotePrefix="1">
    <nc r="F77" t="inlineStr">
      <is>
        <t xml:space="preserve">rb.as.fawMP.fawcore.app.dsm\RBWarningIndicator\src\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47" sId="1" odxf="1" dxf="1" quotePrefix="1">
    <nc r="F78" t="inlineStr">
      <is>
        <t xml:space="preserve">rb.as.fawMP.prjConf.app.asw.apbmi\host\PDM\APBHostData_Project_C\SRC\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48" sId="1" odxf="1" dxf="1" quotePrefix="1">
    <nc r="F79" t="inlineStr">
      <is>
        <t xml:space="preserve">rb.as.fawMP.prjConf.app.net\RbNetPrj\RBNet_Can\src\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49" sId="1" odxf="1" dxf="1" quotePrefix="1">
    <nc r="F80" t="inlineStr">
      <is>
        <t xml:space="preserve">rb.as.fawMP.prjConf.app.net\RbNetPrj\RBNet_Can\src\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0" sId="1" odxf="1" dxf="1" quotePrefix="1">
    <nc r="F81" t="inlineStr">
      <is>
        <t xml:space="preserve">rb.as.fawMP.prjConf.app.net\RbNetPrj\RBNet_Can\src\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1" sId="1" odxf="1" dxf="1" quotePrefix="1">
    <nc r="F82" t="inlineStr">
      <is>
        <t xml:space="preserve">rb.as.fawMP.prjConf.app.net\RbNetPrj\RBNet_Can\src\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2" sId="1" odxf="1" dxf="1" quotePrefix="1">
    <nc r="F83" t="inlineStr">
      <is>
        <t xml:space="preserve">rb.as.fawMP.prjConf.app.obd\ObdCvnCalId\src\       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3" sId="1" odxf="1" dxf="1" quotePrefix="1">
    <nc r="F84" t="inlineStr">
      <is>
        <t xml:space="preserve">rb.as.fawMP.prjConf.dsmpr\src\Cubas\ESM\EcuM\src\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4" sId="1" odxf="1" dxf="1" quotePrefix="1">
    <nc r="F85" t="inlineStr">
      <is>
        <t xml:space="preserve">rb.as.fawMP.prjConf.dsmpr\src\                   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5" sId="1" odxf="1" dxf="1" quotePrefix="1">
    <nc r="F86" t="inlineStr">
      <is>
        <t xml:space="preserve">rb.as.fawMP.prjConf.hswpr\tst\hswsim\src\                      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6" sId="1" odxf="1" dxf="1" quotePrefix="1">
    <nc r="F87" t="inlineStr">
      <is>
        <t>rb.as.fawMP.prjConf.varcode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57" sId="1" odxf="1" dxf="1" quotePrefix="1">
    <nc r="F88" t="inlineStr">
      <is>
        <t>rb.as.fawMP.prjConf.varcode</t>
      </is>
    </nc>
    <ndxf>
      <font>
        <sz val="11"/>
        <color theme="1"/>
        <name val="Calibri"/>
        <scheme val="minor"/>
      </font>
      <alignment horizontal="left" vertical="top" wrapTex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sqref="G74" start="0" length="0">
    <dxf>
      <alignment horizontal="general" vertical="bottom" readingOrder="0"/>
      <border outline="0">
        <left/>
        <right/>
        <top/>
        <bottom/>
      </border>
    </dxf>
  </rfmt>
  <rfmt sheetId="1" sqref="G75" start="0" length="0">
    <dxf>
      <alignment horizontal="general" vertical="bottom" readingOrder="0"/>
      <border outline="0">
        <left/>
        <right/>
        <top/>
        <bottom/>
      </border>
    </dxf>
  </rfmt>
  <rfmt sheetId="1" sqref="G76" start="0" length="0">
    <dxf>
      <alignment horizontal="general" vertical="bottom" readingOrder="0"/>
      <border outline="0">
        <left/>
        <right/>
        <top/>
        <bottom/>
      </border>
    </dxf>
  </rfmt>
  <rfmt sheetId="1" sqref="G77" start="0" length="0">
    <dxf>
      <alignment horizontal="general" vertical="bottom" readingOrder="0"/>
      <border outline="0">
        <left/>
        <right/>
        <top/>
        <bottom/>
      </border>
    </dxf>
  </rfmt>
  <rfmt sheetId="1" sqref="G78" start="0" length="0">
    <dxf>
      <alignment horizontal="general" vertical="bottom" readingOrder="0"/>
      <border outline="0">
        <left/>
        <right/>
        <top/>
        <bottom/>
      </border>
    </dxf>
  </rfmt>
  <rfmt sheetId="1" sqref="G79" start="0" length="0">
    <dxf>
      <alignment horizontal="general" vertical="bottom" readingOrder="0"/>
      <border outline="0">
        <left/>
        <right/>
        <top/>
        <bottom/>
      </border>
    </dxf>
  </rfmt>
  <rfmt sheetId="1" sqref="G80" start="0" length="0">
    <dxf>
      <alignment horizontal="general" vertical="bottom" readingOrder="0"/>
      <border outline="0">
        <left/>
        <right/>
        <top/>
        <bottom/>
      </border>
    </dxf>
  </rfmt>
  <rfmt sheetId="1" sqref="G81" start="0" length="0">
    <dxf>
      <alignment horizontal="general" vertical="bottom" readingOrder="0"/>
      <border outline="0">
        <left/>
        <right/>
        <top/>
        <bottom/>
      </border>
    </dxf>
  </rfmt>
  <rfmt sheetId="1" sqref="G82" start="0" length="0">
    <dxf>
      <alignment horizontal="general" vertical="bottom" readingOrder="0"/>
      <border outline="0">
        <left/>
        <right/>
        <top/>
        <bottom/>
      </border>
    </dxf>
  </rfmt>
  <rfmt sheetId="1" sqref="G83" start="0" length="0">
    <dxf>
      <alignment horizontal="general" vertical="bottom" readingOrder="0"/>
      <border outline="0">
        <left/>
        <right/>
        <top/>
        <bottom/>
      </border>
    </dxf>
  </rfmt>
  <rfmt sheetId="1" sqref="G84" start="0" length="0">
    <dxf>
      <alignment horizontal="general" vertical="bottom" readingOrder="0"/>
      <border outline="0">
        <left/>
        <right/>
        <top/>
        <bottom/>
      </border>
    </dxf>
  </rfmt>
  <rfmt sheetId="1" sqref="G85" start="0" length="0">
    <dxf>
      <alignment horizontal="general" vertical="bottom" readingOrder="0"/>
      <border outline="0">
        <left/>
        <right/>
        <top/>
        <bottom/>
      </border>
    </dxf>
  </rfmt>
  <rfmt sheetId="1" sqref="G86" start="0" length="0">
    <dxf>
      <alignment horizontal="general" vertical="bottom" readingOrder="0"/>
      <border outline="0">
        <left/>
        <right/>
        <top/>
        <bottom/>
      </border>
    </dxf>
  </rfmt>
  <rfmt sheetId="1" sqref="G87" start="0" length="0">
    <dxf>
      <alignment horizontal="general" vertical="bottom" readingOrder="0"/>
      <border outline="0">
        <left/>
        <right/>
        <top/>
        <bottom/>
      </border>
    </dxf>
  </rfmt>
  <rfmt sheetId="1" sqref="G88" start="0" length="0">
    <dxf>
      <alignment horizontal="general" vertical="bottom" readingOrder="0"/>
      <border outline="0">
        <left/>
        <right/>
        <top/>
        <bottom/>
      </border>
    </dxf>
  </rfmt>
  <rcc rId="958" sId="1" xfDxf="1" dxf="1">
    <nc r="G74">
      <v>1357257</v>
    </nc>
    <ndxf>
      <font>
        <sz val="10"/>
        <color rgb="FF800080"/>
        <name val="Arial"/>
        <scheme val="none"/>
      </font>
      <fill>
        <patternFill patternType="solid">
          <bgColor rgb="FFFF99CC"/>
        </patternFill>
      </fill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59" sId="1" xfDxf="1" dxf="1">
    <nc r="G75">
      <v>1357257</v>
    </nc>
    <ndxf>
      <font>
        <sz val="10"/>
        <color rgb="FF800080"/>
        <name val="Arial"/>
        <scheme val="none"/>
      </font>
      <fill>
        <patternFill patternType="solid">
          <bgColor rgb="FFFF99CC"/>
        </patternFill>
      </fill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0" sId="1" xfDxf="1" dxf="1">
    <nc r="G76">
      <v>1357257</v>
    </nc>
    <ndxf>
      <font>
        <sz val="10"/>
        <color rgb="FF800080"/>
        <name val="Arial"/>
        <scheme val="none"/>
      </font>
      <fill>
        <patternFill patternType="solid">
          <bgColor rgb="FFFF99CC"/>
        </patternFill>
      </fill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1" sId="1" xfDxf="1" dxf="1">
    <nc r="G77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2" sId="1" xfDxf="1" dxf="1">
    <nc r="G78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3" sId="1" xfDxf="1" dxf="1">
    <nc r="G79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4" sId="1" xfDxf="1" dxf="1">
    <nc r="G80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5" sId="1" xfDxf="1" dxf="1">
    <nc r="G81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6" sId="1" xfDxf="1" dxf="1">
    <nc r="G82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7" sId="1" xfDxf="1" dxf="1">
    <nc r="G83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8" sId="1" xfDxf="1" dxf="1">
    <nc r="G84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69" sId="1" xfDxf="1" dxf="1">
    <nc r="G85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0" sId="1" xfDxf="1" dxf="1">
    <nc r="G86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1" sId="1" xfDxf="1" dxf="1">
    <nc r="G87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2" sId="1" xfDxf="1" dxf="1">
    <nc r="G88">
      <v>1357355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fmt sheetId="1" sqref="H74" start="0" length="0">
    <dxf>
      <alignment horizontal="general" vertical="bottom" readingOrder="0"/>
      <border outline="0">
        <left/>
        <right/>
        <top/>
        <bottom/>
      </border>
    </dxf>
  </rfmt>
  <rfmt sheetId="1" sqref="H75" start="0" length="0">
    <dxf>
      <alignment horizontal="general" vertical="bottom" readingOrder="0"/>
      <border outline="0">
        <left/>
        <right/>
        <top/>
        <bottom/>
      </border>
    </dxf>
  </rfmt>
  <rfmt sheetId="1" sqref="H76" start="0" length="0">
    <dxf>
      <alignment horizontal="general" vertical="bottom" readingOrder="0"/>
      <border outline="0">
        <left/>
        <right/>
        <top/>
        <bottom/>
      </border>
    </dxf>
  </rfmt>
  <rfmt sheetId="1" sqref="H77" start="0" length="0">
    <dxf>
      <alignment horizontal="general" vertical="bottom" readingOrder="0"/>
      <border outline="0">
        <left/>
        <right/>
        <top/>
        <bottom/>
      </border>
    </dxf>
  </rfmt>
  <rfmt sheetId="1" sqref="H78" start="0" length="0">
    <dxf>
      <alignment horizontal="general" vertical="bottom" readingOrder="0"/>
      <border outline="0">
        <left/>
        <right/>
        <top/>
        <bottom/>
      </border>
    </dxf>
  </rfmt>
  <rfmt sheetId="1" sqref="H79" start="0" length="0">
    <dxf>
      <alignment horizontal="general" vertical="bottom" readingOrder="0"/>
      <border outline="0">
        <left/>
        <right/>
        <top/>
        <bottom/>
      </border>
    </dxf>
  </rfmt>
  <rfmt sheetId="1" sqref="H80" start="0" length="0">
    <dxf>
      <alignment horizontal="general" vertical="bottom" readingOrder="0"/>
      <border outline="0">
        <left/>
        <right/>
        <top/>
        <bottom/>
      </border>
    </dxf>
  </rfmt>
  <rfmt sheetId="1" sqref="H81" start="0" length="0">
    <dxf>
      <alignment horizontal="general" vertical="bottom" readingOrder="0"/>
      <border outline="0">
        <left/>
        <right/>
        <top/>
        <bottom/>
      </border>
    </dxf>
  </rfmt>
  <rfmt sheetId="1" sqref="H82" start="0" length="0">
    <dxf>
      <alignment horizontal="general" vertical="bottom" readingOrder="0"/>
      <border outline="0">
        <left/>
        <right/>
        <top/>
        <bottom/>
      </border>
    </dxf>
  </rfmt>
  <rfmt sheetId="1" sqref="H83" start="0" length="0">
    <dxf>
      <alignment horizontal="general" vertical="bottom" readingOrder="0"/>
      <border outline="0">
        <left/>
        <right/>
        <top/>
        <bottom/>
      </border>
    </dxf>
  </rfmt>
  <rfmt sheetId="1" sqref="H84" start="0" length="0">
    <dxf>
      <alignment horizontal="general" vertical="bottom" readingOrder="0"/>
      <border outline="0">
        <left/>
        <right/>
        <top/>
        <bottom/>
      </border>
    </dxf>
  </rfmt>
  <rfmt sheetId="1" sqref="H85" start="0" length="0">
    <dxf>
      <alignment horizontal="general" vertical="bottom" readingOrder="0"/>
      <border outline="0">
        <left/>
        <right/>
        <top/>
        <bottom/>
      </border>
    </dxf>
  </rfmt>
  <rfmt sheetId="1" sqref="H86" start="0" length="0">
    <dxf>
      <alignment horizontal="general" vertical="bottom" readingOrder="0"/>
      <border outline="0">
        <left/>
        <right/>
        <top/>
        <bottom/>
      </border>
    </dxf>
  </rfmt>
  <rfmt sheetId="1" sqref="H87" start="0" length="0">
    <dxf>
      <alignment horizontal="general" vertical="bottom" readingOrder="0"/>
      <border outline="0">
        <left/>
        <right/>
        <top/>
        <bottom/>
      </border>
    </dxf>
  </rfmt>
  <rfmt sheetId="1" sqref="H88" start="0" length="0">
    <dxf>
      <alignment horizontal="general" vertical="bottom" readingOrder="0"/>
      <border outline="0">
        <left/>
        <right/>
        <top/>
        <bottom/>
      </border>
    </dxf>
  </rfmt>
  <rcc rId="973" sId="1" xfDxf="1" dxf="1">
    <nc r="H74" t="inlineStr">
      <is>
        <t>TPMS_Handler_COMMON_CN.c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4" sId="1" xfDxf="1" dxf="1">
    <nc r="H75" t="inlineStr">
      <is>
        <t>TPMS_NvM_COMMON_CN.c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5" sId="1" xfDxf="1" dxf="1">
    <nc r="H76" t="inlineStr">
      <is>
        <t>TPMS_PSW_Interface_COMMON_CN.c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6" sId="1" xfDxf="1" dxf="1">
    <nc r="H77" t="inlineStr">
      <is>
        <t>Dem_PrjSpecificIndiHandling.c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7" sId="1" xfDxf="1" dxf="1">
    <nc r="H78" t="inlineStr">
      <is>
        <t>ApbHostData_Project.c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8" sId="1" xfDxf="1" dxf="1">
    <nc r="H79" t="inlineStr">
      <is>
        <t>NET_AliveCounterLib_CNMS.c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79" sId="1" xfDxf="1" dxf="1">
    <nc r="H80" t="inlineStr">
      <is>
        <t>NET_CheckSumLib_CNMS.c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0" sId="1" xfDxf="1" dxf="1">
    <nc r="H81" t="inlineStr">
      <is>
        <t>NET_ChecksumLib_CNMS_Crc1850.c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1" sId="1" xfDxf="1" dxf="1">
    <nc r="H82" t="inlineStr">
      <is>
        <t>NET_MonitoringClasses_F30.c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2" sId="1" xfDxf="1" dxf="1">
    <nc r="H83" t="inlineStr">
      <is>
        <t>Obd_CalId.c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3" sId="1" xfDxf="1" dxf="1">
    <nc r="H84" t="inlineStr">
      <is>
        <t>EcuM_stub.c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4" sId="1" xfDxf="1" dxf="1">
    <nc r="H85" t="inlineStr">
      <is>
        <t>RBPduHandler_Callouts.c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5" sId="1" xfDxf="1" dxf="1">
    <nc r="H86" t="inlineStr">
      <is>
        <t>TestEnvironment_Fee_EV711101.c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6" sId="1" xfDxf="1" dxf="1">
    <nc r="H87" t="inlineStr">
      <is>
        <t>CNMS_Var_DcmRead.c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7" sId="1" xfDxf="1" dxf="1">
    <nc r="H88" t="inlineStr">
      <is>
        <t>CNMS_Var_Global.c</t>
      </is>
    </nc>
    <ndxf>
      <font>
        <sz val="10"/>
        <color rgb="FF000000"/>
        <name val="Arial"/>
        <scheme val="none"/>
      </font>
      <alignment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988" sId="1" odxf="1" dxf="1">
    <nc r="I74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89" sId="1" odxf="1" dxf="1">
    <nc r="I75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0" sId="1" odxf="1" dxf="1">
    <nc r="I76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1" sId="1" odxf="1" dxf="1">
    <nc r="I77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2" sId="1" odxf="1" dxf="1">
    <nc r="I78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3" sId="1" odxf="1" dxf="1">
    <nc r="I79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4" sId="1" odxf="1" dxf="1">
    <nc r="I80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5" sId="1" odxf="1" dxf="1">
    <nc r="I81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6" sId="1" odxf="1" dxf="1">
    <nc r="I82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7" sId="1" odxf="1" dxf="1">
    <nc r="I83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8" sId="1" odxf="1" dxf="1">
    <nc r="I84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999" sId="1" odxf="1" dxf="1">
    <nc r="I85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00" sId="1" odxf="1" dxf="1">
    <nc r="I86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01" sId="1" odxf="1" dxf="1">
    <nc r="I87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02" sId="1" odxf="1" dxf="1">
    <nc r="I88" t="inlineStr">
      <is>
        <t>Manual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03" sId="1">
    <nc r="J74" t="inlineStr">
      <is>
        <t>-</t>
      </is>
    </nc>
  </rcc>
  <rcc rId="1004" sId="1">
    <nc r="J75" t="inlineStr">
      <is>
        <t>-</t>
      </is>
    </nc>
  </rcc>
  <rcc rId="1005" sId="1">
    <nc r="J76" t="inlineStr">
      <is>
        <t>-</t>
      </is>
    </nc>
  </rcc>
  <rcc rId="1006" sId="1">
    <nc r="J77" t="inlineStr">
      <is>
        <t>-</t>
      </is>
    </nc>
  </rcc>
  <rcc rId="1007" sId="1">
    <nc r="J78" t="inlineStr">
      <is>
        <t>-</t>
      </is>
    </nc>
  </rcc>
  <rcc rId="1008" sId="1">
    <nc r="J79" t="inlineStr">
      <is>
        <t>-</t>
      </is>
    </nc>
  </rcc>
  <rcc rId="1009" sId="1">
    <nc r="J80" t="inlineStr">
      <is>
        <t>-</t>
      </is>
    </nc>
  </rcc>
  <rcc rId="1010" sId="1">
    <nc r="J81" t="inlineStr">
      <is>
        <t>-</t>
      </is>
    </nc>
  </rcc>
  <rcc rId="1011" sId="1">
    <nc r="J82" t="inlineStr">
      <is>
        <t>-</t>
      </is>
    </nc>
  </rcc>
  <rcc rId="1012" sId="1">
    <nc r="J83" t="inlineStr">
      <is>
        <t>-</t>
      </is>
    </nc>
  </rcc>
  <rcc rId="1013" sId="1">
    <nc r="J84" t="inlineStr">
      <is>
        <t>-</t>
      </is>
    </nc>
  </rcc>
  <rcc rId="1014" sId="1">
    <nc r="J85" t="inlineStr">
      <is>
        <t>-</t>
      </is>
    </nc>
  </rcc>
  <rcc rId="1015" sId="1">
    <nc r="J86" t="inlineStr">
      <is>
        <t>-</t>
      </is>
    </nc>
  </rcc>
  <rcc rId="1016" sId="1">
    <nc r="J87" t="inlineStr">
      <is>
        <t>-</t>
      </is>
    </nc>
  </rcc>
  <rcc rId="1017" sId="1">
    <nc r="J88" t="inlineStr">
      <is>
        <t>-</t>
      </is>
    </nc>
  </rcc>
  <rfmt sheetId="1" sqref="S74" start="0" length="0">
    <dxf>
      <alignment horizontal="general" vertical="bottom" readingOrder="0"/>
      <border outline="0">
        <left/>
        <right/>
        <top/>
        <bottom/>
      </border>
    </dxf>
  </rfmt>
  <rfmt sheetId="1" sqref="S75" start="0" length="0">
    <dxf>
      <alignment horizontal="general" vertical="bottom" readingOrder="0"/>
      <border outline="0">
        <left/>
        <right/>
        <top/>
        <bottom/>
      </border>
    </dxf>
  </rfmt>
  <rfmt sheetId="1" sqref="S76" start="0" length="0">
    <dxf>
      <alignment horizontal="general" vertical="bottom" readingOrder="0"/>
      <border outline="0">
        <left/>
        <right/>
        <top/>
        <bottom/>
      </border>
    </dxf>
  </rfmt>
  <rfmt sheetId="1" sqref="S77" start="0" length="0">
    <dxf>
      <alignment horizontal="general" vertical="bottom" readingOrder="0"/>
      <border outline="0">
        <left/>
        <right/>
        <top/>
        <bottom/>
      </border>
    </dxf>
  </rfmt>
  <rfmt sheetId="1" sqref="S78" start="0" length="0">
    <dxf>
      <alignment horizontal="general" vertical="bottom" readingOrder="0"/>
      <border outline="0">
        <left/>
        <right/>
        <top/>
        <bottom/>
      </border>
    </dxf>
  </rfmt>
  <rfmt sheetId="1" sqref="S79" start="0" length="0">
    <dxf>
      <alignment horizontal="general" vertical="bottom" readingOrder="0"/>
      <border outline="0">
        <left/>
        <right/>
        <top/>
        <bottom/>
      </border>
    </dxf>
  </rfmt>
  <rfmt sheetId="1" sqref="S80" start="0" length="0">
    <dxf>
      <alignment horizontal="general" vertical="bottom" readingOrder="0"/>
      <border outline="0">
        <left/>
        <right/>
        <top/>
        <bottom/>
      </border>
    </dxf>
  </rfmt>
  <rfmt sheetId="1" sqref="S81" start="0" length="0">
    <dxf>
      <alignment horizontal="general" vertical="bottom" readingOrder="0"/>
      <border outline="0">
        <left/>
        <right/>
        <top/>
        <bottom/>
      </border>
    </dxf>
  </rfmt>
  <rfmt sheetId="1" sqref="S82" start="0" length="0">
    <dxf>
      <alignment horizontal="general" vertical="bottom" readingOrder="0"/>
      <border outline="0">
        <left/>
        <right/>
        <top/>
        <bottom/>
      </border>
    </dxf>
  </rfmt>
  <rfmt sheetId="1" sqref="S83" start="0" length="0">
    <dxf>
      <alignment horizontal="general" vertical="bottom" readingOrder="0"/>
      <border outline="0">
        <left/>
        <right/>
        <top/>
        <bottom/>
      </border>
    </dxf>
  </rfmt>
  <rfmt sheetId="1" sqref="S84" start="0" length="0">
    <dxf>
      <alignment horizontal="general" vertical="bottom" readingOrder="0"/>
      <border outline="0">
        <left/>
        <right/>
        <top/>
        <bottom/>
      </border>
    </dxf>
  </rfmt>
  <rfmt sheetId="1" sqref="S85" start="0" length="0">
    <dxf>
      <alignment horizontal="general" vertical="bottom" readingOrder="0"/>
      <border outline="0">
        <left/>
        <right/>
        <top/>
        <bottom/>
      </border>
    </dxf>
  </rfmt>
  <rfmt sheetId="1" sqref="S86" start="0" length="0">
    <dxf>
      <alignment horizontal="general" vertical="bottom" readingOrder="0"/>
      <border outline="0">
        <left/>
        <right/>
        <top/>
        <bottom/>
      </border>
    </dxf>
  </rfmt>
  <rfmt sheetId="1" sqref="S87" start="0" length="0">
    <dxf>
      <alignment horizontal="general" vertical="bottom" readingOrder="0"/>
      <border outline="0">
        <left/>
        <right/>
        <top/>
        <bottom/>
      </border>
    </dxf>
  </rfmt>
  <rfmt sheetId="1" sqref="S88" start="0" length="0">
    <dxf>
      <alignment horizontal="general" vertical="bottom" readingOrder="0"/>
      <border outline="0">
        <left/>
        <right/>
        <top/>
        <bottom/>
      </border>
    </dxf>
  </rfmt>
  <rcc rId="1018" sId="1" xfDxf="1" dxf="1">
    <nc r="S74">
      <v>1993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19" sId="1" xfDxf="1" dxf="1">
    <nc r="S75">
      <v>489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0" sId="1" xfDxf="1" dxf="1">
    <nc r="S76">
      <v>593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1" sId="1" xfDxf="1" dxf="1">
    <nc r="S77">
      <v>165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2" sId="1" xfDxf="1" dxf="1">
    <nc r="S78">
      <v>8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3" sId="1" xfDxf="1" dxf="1">
    <nc r="S79">
      <v>71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4" sId="1" xfDxf="1" dxf="1">
    <nc r="S80">
      <v>55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5" sId="1" xfDxf="1" dxf="1">
    <nc r="S81">
      <v>64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6" sId="1" xfDxf="1" dxf="1">
    <nc r="S82">
      <v>69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7" sId="1" xfDxf="1" dxf="1">
    <nc r="S83">
      <v>5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8" sId="1" xfDxf="1" dxf="1">
    <nc r="S84">
      <v>3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29" sId="1" xfDxf="1" dxf="1">
    <nc r="S85">
      <v>220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30" sId="1" xfDxf="1" dxf="1">
    <nc r="S86">
      <v>4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31" sId="1" xfDxf="1" dxf="1">
    <nc r="S87">
      <v>12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cc rId="1032" sId="1" xfDxf="1" dxf="1">
    <nc r="S88">
      <v>37</v>
    </nc>
    <ndxf>
      <font>
        <sz val="10"/>
        <color rgb="FF000000"/>
        <name val="Arial"/>
        <scheme val="none"/>
      </font>
      <alignment horizontal="right" vertical="center" wrapText="1" readingOrder="0"/>
      <border outline="0">
        <right style="medium">
          <color indexed="64"/>
        </right>
        <bottom style="medium">
          <color indexed="64"/>
        </bottom>
      </border>
    </ndxf>
  </rcc>
  <rfmt sheetId="1" sqref="K74" start="0" length="0">
    <dxf>
      <alignment horizontal="general" vertical="bottom" readingOrder="0"/>
      <border outline="0">
        <left/>
        <right/>
        <top/>
        <bottom/>
      </border>
    </dxf>
  </rfmt>
  <rfmt sheetId="1" xfDxf="1" sqref="K74" start="0" length="0">
    <dxf>
      <font>
        <sz val="10"/>
        <color rgb="FF800080"/>
        <name val="Arial"/>
        <scheme val="none"/>
      </font>
    </dxf>
  </rfmt>
  <rfmt sheetId="1" sqref="K75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76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77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78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79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0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1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2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3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4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5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6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7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K88" start="0" length="0">
    <dxf>
      <font>
        <sz val="10"/>
        <color rgb="FF80008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cc rId="1033" sId="1" odxf="1" dxf="1">
    <nc r="K74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4" sId="1" odxf="1" dxf="1">
    <nc r="K75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5" sId="1" odxf="1" dxf="1">
    <nc r="K76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6" sId="1" odxf="1" dxf="1">
    <nc r="K77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7" sId="1" odxf="1" dxf="1">
    <nc r="K78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8" sId="1" odxf="1" dxf="1">
    <nc r="K79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9" sId="1" odxf="1" dxf="1">
    <nc r="K80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0" sId="1" odxf="1" dxf="1">
    <nc r="K81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1" sId="1" odxf="1" dxf="1">
    <nc r="K82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2" sId="1" odxf="1" dxf="1">
    <nc r="K83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3" sId="1" odxf="1" dxf="1">
    <nc r="K84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4" sId="1" odxf="1" dxf="1">
    <nc r="K85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5" sId="1" odxf="1" dxf="1">
    <nc r="K86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6" sId="1" odxf="1" dxf="1">
    <nc r="K87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7" sId="1" odxf="1" dxf="1">
    <nc r="K88" t="inlineStr">
      <is>
        <t>FAW_MainPath_V2.0_Int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8" sId="1">
    <nc r="L74">
      <f>IF(D74="ASW","PUT_VERSION","-")</f>
    </nc>
  </rcc>
  <rcc rId="1049" sId="1">
    <nc r="L75">
      <f>IF(D75="ASW","PUT_VERSION","-")</f>
    </nc>
  </rcc>
  <rcc rId="1050" sId="1">
    <nc r="L76">
      <f>IF(D76="ASW","PUT_VERSION","-")</f>
    </nc>
  </rcc>
  <rcc rId="1051" sId="1">
    <nc r="L77">
      <f>IF(D77="ASW","PUT_VERSION","-")</f>
    </nc>
  </rcc>
  <rcc rId="1052" sId="1">
    <nc r="L78">
      <f>IF(D78="ASW","PUT_VERSION","-")</f>
    </nc>
  </rcc>
  <rcc rId="1053" sId="1">
    <nc r="L79">
      <f>IF(D79="ASW","PUT_VERSION","-")</f>
    </nc>
  </rcc>
  <rcc rId="1054" sId="1">
    <nc r="L80">
      <f>IF(D80="ASW","PUT_VERSION","-")</f>
    </nc>
  </rcc>
  <rcc rId="1055" sId="1">
    <nc r="L81">
      <f>IF(D81="ASW","PUT_VERSION","-")</f>
    </nc>
  </rcc>
  <rcc rId="1056" sId="1">
    <nc r="L82">
      <f>IF(D82="ASW","PUT_VERSION","-")</f>
    </nc>
  </rcc>
  <rcc rId="1057" sId="1">
    <nc r="L83">
      <f>IF(D83="ASW","PUT_VERSION","-")</f>
    </nc>
  </rcc>
  <rcc rId="1058" sId="1">
    <nc r="L84">
      <f>IF(D84="ASW","PUT_VERSION","-")</f>
    </nc>
  </rcc>
  <rcc rId="1059" sId="1">
    <nc r="L85">
      <f>IF(D85="ASW","PUT_VERSION","-")</f>
    </nc>
  </rcc>
  <rcc rId="1060" sId="1">
    <nc r="L86">
      <f>IF(D86="ASW","PUT_VERSION","-")</f>
    </nc>
  </rcc>
  <rcc rId="1061" sId="1">
    <nc r="L87">
      <f>IF(D87="ASW","PUT_VERSION","-")</f>
    </nc>
  </rcc>
  <rcc rId="1062" sId="1">
    <nc r="L88">
      <f>IF(D88="ASW","PUT_VERSION","-")</f>
    </nc>
  </rcc>
  <rcc rId="1063" sId="1" quotePrefix="1">
    <nc r="M74" t="inlineStr">
      <is>
        <t>JIN Li (CC-AS/EVA-SW33-CN)</t>
      </is>
    </nc>
  </rcc>
  <rcc rId="1064" sId="1" quotePrefix="1">
    <nc r="M75" t="inlineStr">
      <is>
        <t>JIN Li (CC-AS/EVA-SW33-CN)</t>
      </is>
    </nc>
  </rcc>
  <rcc rId="1065" sId="1" quotePrefix="1">
    <nc r="M76" t="inlineStr">
      <is>
        <t>JIN Li (CC-AS/EVA-SW33-CN)</t>
      </is>
    </nc>
  </rcc>
  <rfmt sheetId="1" sqref="M77" start="0" length="0">
    <dxf>
      <alignment horizontal="general" vertical="bottom" readingOrder="0"/>
      <border outline="0">
        <left/>
        <right/>
        <top/>
        <bottom/>
      </border>
    </dxf>
  </rfmt>
  <rfmt sheetId="1" xfDxf="1" sqref="M77" start="0" length="0">
    <dxf>
      <font>
        <sz val="10"/>
        <color rgb="FF000000"/>
        <name val="Arial"/>
        <scheme val="none"/>
      </font>
    </dxf>
  </rfmt>
  <rfmt sheetId="1" sqref="M78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79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0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1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2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3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4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5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6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7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fmt sheetId="1" sqref="M88" start="0" length="0">
    <dxf>
      <font>
        <sz val="10"/>
        <color rgb="FF000000"/>
        <name val="Arial"/>
        <scheme val="none"/>
      </font>
      <alignment horizontal="general" vertical="bottom" readingOrder="0"/>
      <border outline="0">
        <left/>
        <right/>
        <top/>
        <bottom/>
      </border>
    </dxf>
  </rfmt>
  <rcc rId="1066" sId="1" odxf="1" dxf="1" quotePrefix="1">
    <nc r="M77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7" sId="1" odxf="1" dxf="1" quotePrefix="1">
    <nc r="M78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8" sId="1" odxf="1" dxf="1" quotePrefix="1">
    <nc r="M79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9" sId="1" odxf="1" dxf="1" quotePrefix="1">
    <nc r="M80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0" sId="1" odxf="1" dxf="1" quotePrefix="1">
    <nc r="M81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1" sId="1" odxf="1" dxf="1" quotePrefix="1">
    <nc r="M82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2" sId="1" odxf="1" dxf="1" quotePrefix="1">
    <nc r="M83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3" sId="1" odxf="1" dxf="1" quotePrefix="1">
    <nc r="M84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4" sId="1" odxf="1" dxf="1" quotePrefix="1">
    <nc r="M85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5" sId="1" odxf="1" dxf="1" quotePrefix="1">
    <nc r="M86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6" sId="1" odxf="1" dxf="1" quotePrefix="1">
    <nc r="M87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7" sId="1" odxf="1" dxf="1" quotePrefix="1">
    <nc r="M88" t="inlineStr">
      <is>
        <t>SUN Nan (CC-AS/EVA-SW1-CN)</t>
      </is>
    </nc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78" sId="1" numFmtId="19">
    <nc r="Z74">
      <v>43902</v>
    </nc>
  </rcc>
  <rcc rId="1079" sId="1" numFmtId="19">
    <nc r="Z75">
      <v>43902</v>
    </nc>
  </rcc>
  <rcc rId="1080" sId="1" numFmtId="19">
    <nc r="Z76">
      <v>43902</v>
    </nc>
  </rcc>
  <rcc rId="1081" sId="1" numFmtId="19">
    <nc r="Z77">
      <v>43902</v>
    </nc>
  </rcc>
  <rcc rId="1082" sId="1" numFmtId="19">
    <nc r="Z78">
      <v>43902</v>
    </nc>
  </rcc>
  <rcc rId="1083" sId="1" numFmtId="19">
    <nc r="Z79">
      <v>43902</v>
    </nc>
  </rcc>
  <rcc rId="1084" sId="1" numFmtId="19">
    <nc r="Z80">
      <v>43902</v>
    </nc>
  </rcc>
  <rcc rId="1085" sId="1" numFmtId="19">
    <nc r="Z81">
      <v>43902</v>
    </nc>
  </rcc>
  <rcc rId="1086" sId="1" numFmtId="19">
    <nc r="Z82">
      <v>43902</v>
    </nc>
  </rcc>
  <rcc rId="1087" sId="1" numFmtId="19">
    <nc r="Z83">
      <v>43902</v>
    </nc>
  </rcc>
  <rcc rId="1088" sId="1" numFmtId="19">
    <nc r="Z84">
      <v>43902</v>
    </nc>
  </rcc>
  <rcc rId="1089" sId="1" numFmtId="19">
    <nc r="Z85">
      <v>43902</v>
    </nc>
  </rcc>
  <rcc rId="1090" sId="1" numFmtId="19">
    <nc r="Z86">
      <v>43902</v>
    </nc>
  </rcc>
  <rcc rId="1091" sId="1" numFmtId="19">
    <nc r="Z87">
      <v>43902</v>
    </nc>
  </rcc>
  <rcc rId="1092" sId="1" numFmtId="19">
    <nc r="Z88">
      <v>43902</v>
    </nc>
  </rcc>
  <rcc rId="1093" sId="1">
    <nc r="C74">
      <v>20200304</v>
    </nc>
  </rcc>
  <rcc rId="1094" sId="1">
    <nc r="C75">
      <v>20200304</v>
    </nc>
  </rcc>
  <rcc rId="1095" sId="1">
    <nc r="C76">
      <v>20200304</v>
    </nc>
  </rcc>
  <rcc rId="1096" sId="1">
    <nc r="C77">
      <v>20200304</v>
    </nc>
  </rcc>
  <rcc rId="1097" sId="1">
    <nc r="C78">
      <v>20200304</v>
    </nc>
  </rcc>
  <rcc rId="1098" sId="1">
    <nc r="C79">
      <v>20200304</v>
    </nc>
  </rcc>
  <rcc rId="1099" sId="1">
    <nc r="C80">
      <v>20200304</v>
    </nc>
  </rcc>
  <rcc rId="1100" sId="1">
    <nc r="C81">
      <v>20200304</v>
    </nc>
  </rcc>
  <rcc rId="1101" sId="1">
    <nc r="C82">
      <v>20200304</v>
    </nc>
  </rcc>
  <rcc rId="1102" sId="1">
    <nc r="C83">
      <v>20200304</v>
    </nc>
  </rcc>
  <rcc rId="1103" sId="1">
    <nc r="C84">
      <v>20200304</v>
    </nc>
  </rcc>
  <rcc rId="1104" sId="1">
    <nc r="C85">
      <v>20200304</v>
    </nc>
  </rcc>
  <rcc rId="1105" sId="1">
    <nc r="C86">
      <v>20200304</v>
    </nc>
  </rcc>
  <rcc rId="1106" sId="1">
    <nc r="C87">
      <v>20200304</v>
    </nc>
  </rcc>
  <rcc rId="1107" sId="1">
    <nc r="C88">
      <v>20200304</v>
    </nc>
  </rcc>
  <rcc rId="1108" sId="1">
    <nc r="B74">
      <f>B73+1</f>
    </nc>
  </rcc>
  <rcc rId="1109" sId="1">
    <nc r="B75">
      <f>B74+1</f>
    </nc>
  </rcc>
  <rcc rId="1110" sId="1">
    <nc r="B76">
      <f>B75+1</f>
    </nc>
  </rcc>
  <rcc rId="1111" sId="1">
    <nc r="B77">
      <f>B76+1</f>
    </nc>
  </rcc>
  <rcc rId="1112" sId="1">
    <nc r="B78">
      <f>B77+1</f>
    </nc>
  </rcc>
  <rcc rId="1113" sId="1">
    <nc r="B79">
      <f>B78+1</f>
    </nc>
  </rcc>
  <rcc rId="1114" sId="1">
    <nc r="B80">
      <f>B79+1</f>
    </nc>
  </rcc>
  <rcc rId="1115" sId="1">
    <nc r="B81">
      <f>B80+1</f>
    </nc>
  </rcc>
  <rcc rId="1116" sId="1">
    <nc r="B82">
      <f>B81+1</f>
    </nc>
  </rcc>
  <rcc rId="1117" sId="1">
    <nc r="B83">
      <f>B82+1</f>
    </nc>
  </rcc>
  <rcc rId="1118" sId="1">
    <nc r="B84">
      <f>B83+1</f>
    </nc>
  </rcc>
  <rcc rId="1119" sId="1">
    <nc r="B85">
      <f>B84+1</f>
    </nc>
  </rcc>
  <rcc rId="1120" sId="1">
    <nc r="B86">
      <f>B85+1</f>
    </nc>
  </rcc>
  <rcc rId="1121" sId="1">
    <nc r="B87">
      <f>B86+1</f>
    </nc>
  </rcc>
  <rcc rId="1122" sId="1">
    <nc r="B88">
      <f>B87+1</f>
    </nc>
  </rcc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mt sheetId="1" cell="K74" guid="{C207DAE2-6DE3-49C2-BA9E-834311A59297}" alwaysShow="1" author="EXTERNAL Nguyen Tuan Duong (Ban Vien, RBVH/EPS45)" newLength="95"/>
  <rcv guid="{7E0EA425-A420-4443-B9E0-CDF0AA9E5D09}" action="delete"/>
  <rdn rId="0" localSheetId="1" customView="1" name="Z_7E0EA425_A420_4443_B9E0_CDF0AA9E5D09_.wvu.FilterData" hidden="1" oldHidden="1">
    <formula>COEM_Package_20200302!$B$2:$AH$66</formula>
    <oldFormula>COEM_Package_20200302!$B$2:$AH$66</oldFormula>
  </rdn>
  <rdn rId="0" localSheetId="3" customView="1" name="Z_7E0EA425_A420_4443_B9E0_CDF0AA9E5D09_.wvu.FilterData" hidden="1" oldHidden="1">
    <formula>Template!$B$2:$R$14</formula>
    <oldFormula>Template!$B$2:$R$14</oldFormula>
  </rdn>
  <rcv guid="{7E0EA425-A420-4443-B9E0-CDF0AA9E5D09}" action="add"/>
</revisions>
</file>

<file path=xl/revisions/userNames1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Relationship Id="rId9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7" Type="http://schemas.openxmlformats.org/officeDocument/2006/relationships/printerSettings" Target="../printerSettings/printerSettings14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6" Type="http://schemas.openxmlformats.org/officeDocument/2006/relationships/printerSettings" Target="../printerSettings/printerSettings13.bin"/><Relationship Id="rId5" Type="http://schemas.openxmlformats.org/officeDocument/2006/relationships/printerSettings" Target="../printerSettings/printerSettings12.bin"/><Relationship Id="rId4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B2:AH132"/>
  <sheetViews>
    <sheetView tabSelected="1" zoomScaleNormal="100" workbookViewId="0">
      <selection activeCell="L80" sqref="L80"/>
    </sheetView>
  </sheetViews>
  <sheetFormatPr defaultRowHeight="15" x14ac:dyDescent="0.25"/>
  <cols>
    <col min="3" max="3" width="17.85546875" bestFit="1" customWidth="1"/>
    <col min="4" max="4" width="17.42578125" bestFit="1" customWidth="1"/>
    <col min="5" max="5" width="53.28515625" bestFit="1" customWidth="1"/>
    <col min="6" max="6" width="61.85546875" bestFit="1" customWidth="1"/>
    <col min="7" max="7" width="12" bestFit="1" customWidth="1"/>
    <col min="8" max="8" width="59.140625" bestFit="1" customWidth="1"/>
    <col min="9" max="9" width="38.85546875" customWidth="1"/>
    <col min="10" max="10" width="19.28515625" customWidth="1"/>
    <col min="11" max="11" width="28.28515625" bestFit="1" customWidth="1"/>
    <col min="12" max="12" width="26.28515625" bestFit="1" customWidth="1"/>
    <col min="13" max="13" width="35.140625" bestFit="1" customWidth="1"/>
    <col min="14" max="14" width="35.140625" style="57" customWidth="1"/>
    <col min="15" max="15" width="10.42578125" bestFit="1" customWidth="1"/>
    <col min="16" max="17" width="17.5703125" bestFit="1" customWidth="1"/>
    <col min="18" max="18" width="16" bestFit="1" customWidth="1"/>
    <col min="19" max="19" width="13.5703125" bestFit="1" customWidth="1"/>
    <col min="20" max="20" width="14.85546875" customWidth="1"/>
    <col min="21" max="21" width="12.85546875" bestFit="1" customWidth="1"/>
    <col min="22" max="22" width="14" customWidth="1"/>
    <col min="23" max="23" width="11.140625" bestFit="1" customWidth="1"/>
    <col min="24" max="24" width="16.140625" bestFit="1" customWidth="1"/>
    <col min="25" max="25" width="12.85546875" bestFit="1" customWidth="1"/>
    <col min="26" max="27" width="12" bestFit="1" customWidth="1"/>
    <col min="28" max="28" width="10.85546875" bestFit="1" customWidth="1"/>
    <col min="29" max="29" width="12.42578125" bestFit="1" customWidth="1"/>
    <col min="30" max="30" width="5" bestFit="1" customWidth="1"/>
    <col min="31" max="31" width="4" bestFit="1" customWidth="1"/>
    <col min="32" max="32" width="6.42578125" bestFit="1" customWidth="1"/>
    <col min="33" max="34" width="44.42578125" bestFit="1" customWidth="1"/>
    <col min="35" max="35" width="39.85546875" customWidth="1"/>
  </cols>
  <sheetData>
    <row r="2" spans="2:34" x14ac:dyDescent="0.25">
      <c r="B2" s="2" t="s">
        <v>0</v>
      </c>
      <c r="C2" s="2" t="s">
        <v>99</v>
      </c>
      <c r="D2" s="2" t="s">
        <v>1</v>
      </c>
      <c r="E2" s="2" t="s">
        <v>71</v>
      </c>
      <c r="F2" s="2" t="s">
        <v>72</v>
      </c>
      <c r="G2" s="2" t="s">
        <v>73</v>
      </c>
      <c r="H2" s="2" t="s">
        <v>74</v>
      </c>
      <c r="I2" s="2" t="s">
        <v>233</v>
      </c>
      <c r="J2" s="2" t="s">
        <v>116</v>
      </c>
      <c r="K2" s="2" t="s">
        <v>109</v>
      </c>
      <c r="L2" s="2" t="s">
        <v>91</v>
      </c>
      <c r="M2" s="2" t="s">
        <v>194</v>
      </c>
      <c r="N2" s="4" t="s">
        <v>69</v>
      </c>
      <c r="O2" s="4" t="s">
        <v>8</v>
      </c>
      <c r="P2" s="4" t="s">
        <v>9</v>
      </c>
      <c r="Q2" s="4" t="s">
        <v>189</v>
      </c>
      <c r="R2" s="4" t="s">
        <v>217</v>
      </c>
      <c r="S2" s="4" t="s">
        <v>179</v>
      </c>
      <c r="T2" s="4" t="s">
        <v>180</v>
      </c>
      <c r="U2" s="4" t="s">
        <v>66</v>
      </c>
      <c r="V2" s="4" t="s">
        <v>190</v>
      </c>
      <c r="W2" s="4" t="s">
        <v>67</v>
      </c>
      <c r="X2" s="4" t="s">
        <v>20</v>
      </c>
      <c r="Y2" s="4" t="s">
        <v>88</v>
      </c>
      <c r="Z2" s="4" t="s">
        <v>89</v>
      </c>
      <c r="AA2" s="2" t="s">
        <v>13</v>
      </c>
      <c r="AB2" s="2" t="s">
        <v>14</v>
      </c>
      <c r="AC2" s="2" t="s">
        <v>183</v>
      </c>
      <c r="AD2" s="2" t="s">
        <v>16</v>
      </c>
      <c r="AE2" s="2" t="s">
        <v>17</v>
      </c>
      <c r="AF2" s="4" t="s">
        <v>18</v>
      </c>
      <c r="AG2" s="4" t="s">
        <v>19</v>
      </c>
      <c r="AH2" s="4" t="s">
        <v>195</v>
      </c>
    </row>
    <row r="3" spans="2:34" x14ac:dyDescent="0.25">
      <c r="B3" s="30">
        <v>1</v>
      </c>
      <c r="C3" s="32">
        <v>20200302</v>
      </c>
      <c r="D3" s="30" t="s">
        <v>3</v>
      </c>
      <c r="E3" s="30" t="s">
        <v>75</v>
      </c>
      <c r="F3" s="30" t="s">
        <v>174</v>
      </c>
      <c r="G3" s="30">
        <v>1348323</v>
      </c>
      <c r="H3" s="30" t="s">
        <v>83</v>
      </c>
      <c r="I3" s="30" t="s">
        <v>234</v>
      </c>
      <c r="J3" s="33" t="s">
        <v>90</v>
      </c>
      <c r="K3" s="30" t="s">
        <v>110</v>
      </c>
      <c r="L3" s="33" t="str">
        <f>IF(D3="ASW","PUT_VERSION","-")</f>
        <v>-</v>
      </c>
      <c r="M3" s="33" t="s">
        <v>197</v>
      </c>
      <c r="N3" s="32"/>
      <c r="O3" s="32" t="s">
        <v>191</v>
      </c>
      <c r="P3" s="30" t="s">
        <v>103</v>
      </c>
      <c r="Q3" s="30" t="s">
        <v>6</v>
      </c>
      <c r="R3" s="30" t="s">
        <v>188</v>
      </c>
      <c r="S3" s="30">
        <v>113</v>
      </c>
      <c r="T3" s="30">
        <v>113</v>
      </c>
      <c r="U3" s="30">
        <v>113</v>
      </c>
      <c r="V3" s="30">
        <v>3</v>
      </c>
      <c r="W3" s="30">
        <v>4</v>
      </c>
      <c r="X3" s="30" t="s">
        <v>21</v>
      </c>
      <c r="Y3" s="35">
        <v>43892</v>
      </c>
      <c r="Z3" s="35">
        <v>43894</v>
      </c>
      <c r="AA3" s="35">
        <v>43892</v>
      </c>
      <c r="AB3" s="35">
        <v>43893</v>
      </c>
      <c r="AC3" s="39" t="s">
        <v>185</v>
      </c>
      <c r="AD3" s="39">
        <v>100</v>
      </c>
      <c r="AE3" s="39">
        <v>100</v>
      </c>
      <c r="AF3" s="39">
        <v>100</v>
      </c>
      <c r="AG3" s="30"/>
      <c r="AH3" s="30"/>
    </row>
    <row r="4" spans="2:34" s="25" customFormat="1" x14ac:dyDescent="0.2">
      <c r="B4" s="39">
        <f>B3+1</f>
        <v>2</v>
      </c>
      <c r="C4" s="27">
        <v>20200302</v>
      </c>
      <c r="D4" s="39" t="s">
        <v>3</v>
      </c>
      <c r="E4" s="39" t="s">
        <v>76</v>
      </c>
      <c r="F4" s="39" t="s">
        <v>175</v>
      </c>
      <c r="G4" s="30">
        <v>1345876</v>
      </c>
      <c r="H4" s="39" t="s">
        <v>84</v>
      </c>
      <c r="I4" s="30" t="s">
        <v>234</v>
      </c>
      <c r="J4" s="30" t="s">
        <v>117</v>
      </c>
      <c r="K4" s="30" t="s">
        <v>111</v>
      </c>
      <c r="L4" s="33" t="str">
        <f>IF(D4="ASW","PUT_VERSION","-")</f>
        <v>-</v>
      </c>
      <c r="M4" s="33" t="s">
        <v>198</v>
      </c>
      <c r="N4" s="32"/>
      <c r="O4" s="32" t="s">
        <v>191</v>
      </c>
      <c r="P4" s="39" t="s">
        <v>104</v>
      </c>
      <c r="Q4" s="39" t="s">
        <v>6</v>
      </c>
      <c r="R4" s="30" t="s">
        <v>188</v>
      </c>
      <c r="S4" s="30">
        <v>148</v>
      </c>
      <c r="T4" s="36">
        <v>357</v>
      </c>
      <c r="U4" s="39">
        <v>357</v>
      </c>
      <c r="V4" s="30">
        <v>10</v>
      </c>
      <c r="W4" s="39">
        <v>6</v>
      </c>
      <c r="X4" s="30" t="s">
        <v>21</v>
      </c>
      <c r="Y4" s="28">
        <v>43893</v>
      </c>
      <c r="Z4" s="28">
        <v>43894</v>
      </c>
      <c r="AA4" s="28">
        <v>43892</v>
      </c>
      <c r="AB4" s="52">
        <v>43892</v>
      </c>
      <c r="AC4" s="39" t="s">
        <v>185</v>
      </c>
      <c r="AD4" s="39">
        <v>100</v>
      </c>
      <c r="AE4" s="39">
        <v>100</v>
      </c>
      <c r="AF4" s="39">
        <v>100</v>
      </c>
      <c r="AG4" s="30" t="s">
        <v>218</v>
      </c>
      <c r="AH4" s="30"/>
    </row>
    <row r="5" spans="2:34" x14ac:dyDescent="0.25">
      <c r="B5" s="39">
        <f t="shared" ref="B5:B68" si="0">B4+1</f>
        <v>3</v>
      </c>
      <c r="C5" s="32">
        <v>20200302</v>
      </c>
      <c r="D5" s="30" t="s">
        <v>3</v>
      </c>
      <c r="E5" s="30" t="s">
        <v>77</v>
      </c>
      <c r="F5" s="30" t="s">
        <v>176</v>
      </c>
      <c r="G5" s="30">
        <v>1350941</v>
      </c>
      <c r="H5" s="30" t="s">
        <v>85</v>
      </c>
      <c r="I5" s="30" t="s">
        <v>234</v>
      </c>
      <c r="J5" s="30" t="s">
        <v>118</v>
      </c>
      <c r="K5" s="30" t="s">
        <v>112</v>
      </c>
      <c r="L5" s="33" t="str">
        <f>IF(D5="ASW","PUT_VERSION","-")</f>
        <v>-</v>
      </c>
      <c r="M5" s="33" t="s">
        <v>199</v>
      </c>
      <c r="N5" s="32"/>
      <c r="O5" s="32" t="s">
        <v>191</v>
      </c>
      <c r="P5" s="30" t="s">
        <v>103</v>
      </c>
      <c r="Q5" s="30" t="s">
        <v>6</v>
      </c>
      <c r="R5" s="30" t="s">
        <v>188</v>
      </c>
      <c r="S5" s="30">
        <v>291</v>
      </c>
      <c r="T5" s="30">
        <v>291</v>
      </c>
      <c r="U5" s="30">
        <v>291</v>
      </c>
      <c r="V5" s="30">
        <v>8</v>
      </c>
      <c r="W5" s="30">
        <v>10</v>
      </c>
      <c r="X5" s="30" t="s">
        <v>21</v>
      </c>
      <c r="Y5" s="35">
        <v>43892</v>
      </c>
      <c r="Z5" s="35">
        <v>43894</v>
      </c>
      <c r="AA5" s="35">
        <v>43892</v>
      </c>
      <c r="AB5" s="35">
        <v>43893</v>
      </c>
      <c r="AC5" s="35" t="s">
        <v>185</v>
      </c>
      <c r="AD5" s="39">
        <v>100</v>
      </c>
      <c r="AE5" s="39">
        <v>100</v>
      </c>
      <c r="AF5" s="39">
        <v>100</v>
      </c>
      <c r="AG5" s="30" t="s">
        <v>181</v>
      </c>
      <c r="AH5" s="30" t="s">
        <v>219</v>
      </c>
    </row>
    <row r="6" spans="2:34" ht="30" x14ac:dyDescent="0.25">
      <c r="B6" s="39">
        <f t="shared" si="0"/>
        <v>4</v>
      </c>
      <c r="C6" s="32">
        <v>20200302</v>
      </c>
      <c r="D6" s="30" t="s">
        <v>3</v>
      </c>
      <c r="E6" s="30" t="s">
        <v>78</v>
      </c>
      <c r="F6" s="30" t="s">
        <v>177</v>
      </c>
      <c r="G6" s="30">
        <v>1351929</v>
      </c>
      <c r="H6" s="30" t="s">
        <v>86</v>
      </c>
      <c r="I6" s="30" t="s">
        <v>234</v>
      </c>
      <c r="J6" s="30" t="s">
        <v>119</v>
      </c>
      <c r="K6" s="31" t="s">
        <v>113</v>
      </c>
      <c r="L6" s="33" t="str">
        <f>IF(D6="ASW","PUT_VERSION","-")</f>
        <v>-</v>
      </c>
      <c r="M6" s="33" t="s">
        <v>197</v>
      </c>
      <c r="N6" s="32"/>
      <c r="O6" s="32" t="s">
        <v>191</v>
      </c>
      <c r="P6" s="30" t="s">
        <v>106</v>
      </c>
      <c r="Q6" s="30" t="s">
        <v>6</v>
      </c>
      <c r="R6" s="30" t="s">
        <v>188</v>
      </c>
      <c r="S6" s="30">
        <v>254</v>
      </c>
      <c r="T6" s="30">
        <v>254</v>
      </c>
      <c r="U6" s="30">
        <v>254</v>
      </c>
      <c r="V6" s="30">
        <f>ROUNDDOWN(T6/HLOOKUP(D6,Table!$C$3:$D$4,2,0)*8,2)</f>
        <v>4.51</v>
      </c>
      <c r="W6" s="30">
        <v>10</v>
      </c>
      <c r="X6" s="30" t="s">
        <v>231</v>
      </c>
      <c r="Y6" s="35">
        <v>43892</v>
      </c>
      <c r="Z6" s="35">
        <v>43893</v>
      </c>
      <c r="AA6" s="35">
        <v>43892</v>
      </c>
      <c r="AB6" s="35">
        <v>43893</v>
      </c>
      <c r="AC6" s="35" t="s">
        <v>184</v>
      </c>
      <c r="AD6" s="39">
        <v>100</v>
      </c>
      <c r="AE6" s="39">
        <v>100</v>
      </c>
      <c r="AF6" s="39">
        <v>95</v>
      </c>
      <c r="AG6" s="42" t="s">
        <v>186</v>
      </c>
      <c r="AH6" s="42" t="s">
        <v>196</v>
      </c>
    </row>
    <row r="7" spans="2:34" x14ac:dyDescent="0.25">
      <c r="B7" s="39">
        <f t="shared" si="0"/>
        <v>5</v>
      </c>
      <c r="C7" s="32">
        <v>20200302</v>
      </c>
      <c r="D7" s="30" t="s">
        <v>2</v>
      </c>
      <c r="E7" s="31" t="s">
        <v>87</v>
      </c>
      <c r="F7" s="33" t="s">
        <v>90</v>
      </c>
      <c r="G7" s="30">
        <v>1352219</v>
      </c>
      <c r="H7" s="30" t="s">
        <v>70</v>
      </c>
      <c r="I7" s="30" t="s">
        <v>234</v>
      </c>
      <c r="J7" s="33" t="s">
        <v>90</v>
      </c>
      <c r="K7" s="30">
        <v>1352219</v>
      </c>
      <c r="L7" s="33" t="s">
        <v>133</v>
      </c>
      <c r="M7" s="33" t="s">
        <v>200</v>
      </c>
      <c r="N7" s="32"/>
      <c r="O7" s="32" t="s">
        <v>191</v>
      </c>
      <c r="P7" s="30" t="s">
        <v>105</v>
      </c>
      <c r="Q7" s="30" t="s">
        <v>6</v>
      </c>
      <c r="R7" s="30" t="s">
        <v>188</v>
      </c>
      <c r="S7" s="30">
        <v>19</v>
      </c>
      <c r="T7" s="30">
        <v>19</v>
      </c>
      <c r="U7" s="30">
        <v>19</v>
      </c>
      <c r="V7" s="30">
        <f>ROUNDDOWN(T7/HLOOKUP(D7,Table!$C$3:$D$4,2,0)*8,2)</f>
        <v>1.1599999999999999</v>
      </c>
      <c r="W7" s="30">
        <v>4</v>
      </c>
      <c r="X7" s="30" t="s">
        <v>231</v>
      </c>
      <c r="Y7" s="35">
        <v>43892</v>
      </c>
      <c r="Z7" s="35">
        <v>43893</v>
      </c>
      <c r="AA7" s="35">
        <v>43893</v>
      </c>
      <c r="AB7" s="35">
        <v>43893</v>
      </c>
      <c r="AC7" s="35" t="s">
        <v>184</v>
      </c>
      <c r="AD7" s="39">
        <v>95.6</v>
      </c>
      <c r="AE7" s="39">
        <v>96</v>
      </c>
      <c r="AF7" s="43" t="s">
        <v>90</v>
      </c>
      <c r="AG7" s="30" t="s">
        <v>182</v>
      </c>
      <c r="AH7" s="30" t="s">
        <v>219</v>
      </c>
    </row>
    <row r="8" spans="2:34" x14ac:dyDescent="0.25">
      <c r="B8" s="39">
        <f t="shared" si="0"/>
        <v>6</v>
      </c>
      <c r="C8" s="32">
        <v>20200302</v>
      </c>
      <c r="D8" s="30" t="s">
        <v>3</v>
      </c>
      <c r="E8" s="30" t="s">
        <v>93</v>
      </c>
      <c r="F8" s="33" t="s">
        <v>232</v>
      </c>
      <c r="G8" s="30">
        <v>1351848</v>
      </c>
      <c r="H8" s="30" t="s">
        <v>95</v>
      </c>
      <c r="I8" s="30" t="s">
        <v>234</v>
      </c>
      <c r="J8" s="30">
        <v>80504</v>
      </c>
      <c r="K8" s="30" t="s">
        <v>111</v>
      </c>
      <c r="L8" s="33" t="str">
        <f t="shared" ref="L8:L19" si="1">IF(D8="ASW","PUT_VERSION","-")</f>
        <v>-</v>
      </c>
      <c r="M8" s="33" t="s">
        <v>201</v>
      </c>
      <c r="N8" s="32"/>
      <c r="O8" s="32" t="s">
        <v>192</v>
      </c>
      <c r="P8" s="30" t="s">
        <v>105</v>
      </c>
      <c r="Q8" s="30" t="s">
        <v>6</v>
      </c>
      <c r="R8" s="30" t="s">
        <v>188</v>
      </c>
      <c r="S8" s="30">
        <v>478</v>
      </c>
      <c r="T8" s="30">
        <v>478</v>
      </c>
      <c r="U8" s="30">
        <v>478</v>
      </c>
      <c r="V8" s="30">
        <f>ROUNDDOWN(T8/HLOOKUP(D8,Table!$C$3:$D$4,2,0)*8,2)</f>
        <v>8.49</v>
      </c>
      <c r="W8" s="30">
        <v>14</v>
      </c>
      <c r="X8" s="30" t="s">
        <v>24</v>
      </c>
      <c r="Y8" s="35">
        <v>43892</v>
      </c>
      <c r="Z8" s="35">
        <v>43894</v>
      </c>
      <c r="AA8" s="35">
        <v>43892</v>
      </c>
      <c r="AB8" s="35">
        <v>43894</v>
      </c>
      <c r="AC8" s="35" t="s">
        <v>184</v>
      </c>
      <c r="AD8" s="39">
        <v>99</v>
      </c>
      <c r="AE8" s="39">
        <v>99</v>
      </c>
      <c r="AF8" s="39">
        <v>100</v>
      </c>
      <c r="AG8" s="30" t="s">
        <v>229</v>
      </c>
      <c r="AH8" s="30" t="s">
        <v>219</v>
      </c>
    </row>
    <row r="9" spans="2:34" s="25" customFormat="1" x14ac:dyDescent="0.2">
      <c r="B9" s="39">
        <f t="shared" si="0"/>
        <v>7</v>
      </c>
      <c r="C9" s="32">
        <v>20200302</v>
      </c>
      <c r="D9" s="40" t="s">
        <v>3</v>
      </c>
      <c r="E9" s="40" t="s">
        <v>93</v>
      </c>
      <c r="F9" s="33" t="s">
        <v>226</v>
      </c>
      <c r="G9" s="30">
        <v>1351848</v>
      </c>
      <c r="H9" s="27" t="s">
        <v>96</v>
      </c>
      <c r="I9" s="30" t="s">
        <v>234</v>
      </c>
      <c r="J9" s="30">
        <v>80504</v>
      </c>
      <c r="K9" s="30" t="s">
        <v>111</v>
      </c>
      <c r="L9" s="33" t="str">
        <f t="shared" si="1"/>
        <v>-</v>
      </c>
      <c r="M9" s="33" t="s">
        <v>201</v>
      </c>
      <c r="N9" s="32"/>
      <c r="O9" s="32" t="s">
        <v>192</v>
      </c>
      <c r="P9" s="27" t="s">
        <v>104</v>
      </c>
      <c r="Q9" s="32" t="s">
        <v>6</v>
      </c>
      <c r="R9" s="30" t="s">
        <v>188</v>
      </c>
      <c r="S9" s="30">
        <v>286</v>
      </c>
      <c r="T9" s="37">
        <v>59</v>
      </c>
      <c r="U9" s="27">
        <v>59</v>
      </c>
      <c r="V9" s="30">
        <f>ROUNDDOWN(T9/HLOOKUP(D9,Table!$C$3:$D$4,2,0)*8,2)</f>
        <v>1.04</v>
      </c>
      <c r="W9" s="27">
        <v>1</v>
      </c>
      <c r="X9" s="30" t="s">
        <v>21</v>
      </c>
      <c r="Y9" s="35">
        <v>43892</v>
      </c>
      <c r="Z9" s="35">
        <v>43894</v>
      </c>
      <c r="AA9" s="35">
        <v>43893</v>
      </c>
      <c r="AB9" s="35">
        <v>43892</v>
      </c>
      <c r="AC9" s="35" t="s">
        <v>185</v>
      </c>
      <c r="AD9" s="39">
        <v>100</v>
      </c>
      <c r="AE9" s="39">
        <v>100</v>
      </c>
      <c r="AF9" s="39">
        <v>100</v>
      </c>
      <c r="AG9" s="30" t="s">
        <v>114</v>
      </c>
      <c r="AH9" s="30"/>
    </row>
    <row r="10" spans="2:34" x14ac:dyDescent="0.25">
      <c r="B10" s="39">
        <f t="shared" si="0"/>
        <v>8</v>
      </c>
      <c r="C10" s="32">
        <v>20200302</v>
      </c>
      <c r="D10" s="29" t="s">
        <v>3</v>
      </c>
      <c r="E10" s="29" t="s">
        <v>93</v>
      </c>
      <c r="F10" s="33" t="s">
        <v>226</v>
      </c>
      <c r="G10" s="30">
        <v>1351848</v>
      </c>
      <c r="H10" s="29" t="s">
        <v>98</v>
      </c>
      <c r="I10" s="30" t="s">
        <v>234</v>
      </c>
      <c r="J10" s="30">
        <v>80504</v>
      </c>
      <c r="K10" s="30" t="s">
        <v>111</v>
      </c>
      <c r="L10" s="33" t="str">
        <f t="shared" si="1"/>
        <v>-</v>
      </c>
      <c r="M10" s="33" t="s">
        <v>201</v>
      </c>
      <c r="N10" s="32"/>
      <c r="O10" s="32" t="s">
        <v>192</v>
      </c>
      <c r="P10" s="29" t="s">
        <v>106</v>
      </c>
      <c r="Q10" s="30" t="s">
        <v>6</v>
      </c>
      <c r="R10" s="30" t="s">
        <v>188</v>
      </c>
      <c r="S10" s="30">
        <v>110</v>
      </c>
      <c r="T10" s="29">
        <v>110</v>
      </c>
      <c r="U10" s="29">
        <v>110</v>
      </c>
      <c r="V10" s="30">
        <f>ROUNDDOWN(T10/HLOOKUP(D10,Table!$C$3:$D$4,2,0)*8,2)</f>
        <v>1.95</v>
      </c>
      <c r="W10" s="55">
        <v>4</v>
      </c>
      <c r="X10" s="30" t="s">
        <v>21</v>
      </c>
      <c r="Y10" s="35">
        <v>43892</v>
      </c>
      <c r="Z10" s="35">
        <v>43894</v>
      </c>
      <c r="AA10" s="35">
        <v>43894</v>
      </c>
      <c r="AB10" s="35">
        <v>43894</v>
      </c>
      <c r="AC10" s="35" t="s">
        <v>185</v>
      </c>
      <c r="AD10" s="39">
        <v>100</v>
      </c>
      <c r="AE10" s="39">
        <v>100</v>
      </c>
      <c r="AF10" s="39">
        <v>100</v>
      </c>
      <c r="AG10" s="30"/>
      <c r="AH10" s="30"/>
    </row>
    <row r="11" spans="2:34" s="26" customFormat="1" x14ac:dyDescent="0.2">
      <c r="B11" s="39">
        <f t="shared" si="0"/>
        <v>9</v>
      </c>
      <c r="C11" s="32">
        <v>20200302</v>
      </c>
      <c r="D11" s="27" t="s">
        <v>3</v>
      </c>
      <c r="E11" s="27" t="s">
        <v>107</v>
      </c>
      <c r="F11" s="41" t="s">
        <v>227</v>
      </c>
      <c r="G11" s="30">
        <v>1278532</v>
      </c>
      <c r="H11" s="30" t="s">
        <v>223</v>
      </c>
      <c r="I11" s="30" t="s">
        <v>234</v>
      </c>
      <c r="J11" s="30" t="s">
        <v>120</v>
      </c>
      <c r="K11" s="30" t="s">
        <v>115</v>
      </c>
      <c r="L11" s="33" t="str">
        <f t="shared" si="1"/>
        <v>-</v>
      </c>
      <c r="M11" s="33" t="s">
        <v>202</v>
      </c>
      <c r="N11" s="32"/>
      <c r="O11" s="32" t="s">
        <v>193</v>
      </c>
      <c r="P11" s="27" t="s">
        <v>104</v>
      </c>
      <c r="Q11" s="27" t="s">
        <v>6</v>
      </c>
      <c r="R11" s="30" t="s">
        <v>188</v>
      </c>
      <c r="S11" s="30">
        <v>251</v>
      </c>
      <c r="T11" s="37">
        <v>294</v>
      </c>
      <c r="U11" s="27">
        <v>294</v>
      </c>
      <c r="V11" s="30">
        <f>ROUNDDOWN(T11/HLOOKUP(D11,Table!$C$3:$D$4,2,0)*8,2)</f>
        <v>5.22</v>
      </c>
      <c r="W11" s="27">
        <v>6.5</v>
      </c>
      <c r="X11" s="30" t="s">
        <v>21</v>
      </c>
      <c r="Y11" s="35">
        <v>43892</v>
      </c>
      <c r="Z11" s="35">
        <v>43894</v>
      </c>
      <c r="AA11" s="35">
        <v>43893</v>
      </c>
      <c r="AB11" s="35">
        <v>43893</v>
      </c>
      <c r="AC11" s="35" t="s">
        <v>185</v>
      </c>
      <c r="AD11" s="39">
        <v>100</v>
      </c>
      <c r="AE11" s="39">
        <v>100</v>
      </c>
      <c r="AF11" s="39">
        <v>100</v>
      </c>
      <c r="AG11" s="30" t="s">
        <v>134</v>
      </c>
      <c r="AH11" s="30"/>
    </row>
    <row r="12" spans="2:34" x14ac:dyDescent="0.25">
      <c r="B12" s="39">
        <f t="shared" si="0"/>
        <v>10</v>
      </c>
      <c r="C12" s="32">
        <v>20200302</v>
      </c>
      <c r="D12" s="30" t="s">
        <v>3</v>
      </c>
      <c r="E12" s="30" t="s">
        <v>107</v>
      </c>
      <c r="F12" s="33" t="s">
        <v>227</v>
      </c>
      <c r="G12" s="30">
        <v>1278532</v>
      </c>
      <c r="H12" s="30" t="s">
        <v>224</v>
      </c>
      <c r="I12" s="30" t="s">
        <v>234</v>
      </c>
      <c r="J12" s="30" t="s">
        <v>120</v>
      </c>
      <c r="K12" s="30" t="s">
        <v>115</v>
      </c>
      <c r="L12" s="33" t="str">
        <f t="shared" si="1"/>
        <v>-</v>
      </c>
      <c r="M12" s="33" t="s">
        <v>202</v>
      </c>
      <c r="N12" s="32"/>
      <c r="O12" s="32" t="s">
        <v>193</v>
      </c>
      <c r="P12" s="29" t="s">
        <v>104</v>
      </c>
      <c r="Q12" s="29" t="s">
        <v>6</v>
      </c>
      <c r="R12" s="30" t="s">
        <v>188</v>
      </c>
      <c r="S12" s="30">
        <v>101</v>
      </c>
      <c r="T12" s="30">
        <v>101</v>
      </c>
      <c r="U12" s="30">
        <v>101</v>
      </c>
      <c r="V12" s="30">
        <f>ROUNDDOWN(T12/HLOOKUP(D12,Table!$C$3:$D$4,2,0)*8,2)</f>
        <v>1.79</v>
      </c>
      <c r="W12" s="30">
        <v>1.5</v>
      </c>
      <c r="X12" s="30" t="s">
        <v>21</v>
      </c>
      <c r="Y12" s="35">
        <v>43892</v>
      </c>
      <c r="Z12" s="35">
        <v>43894</v>
      </c>
      <c r="AA12" s="35">
        <v>43894</v>
      </c>
      <c r="AB12" s="35">
        <v>43894</v>
      </c>
      <c r="AC12" s="44" t="s">
        <v>185</v>
      </c>
      <c r="AD12" s="39">
        <v>100</v>
      </c>
      <c r="AE12" s="39">
        <v>100</v>
      </c>
      <c r="AF12" s="39">
        <v>100</v>
      </c>
      <c r="AG12" s="30"/>
      <c r="AH12" s="30"/>
    </row>
    <row r="13" spans="2:34" x14ac:dyDescent="0.25">
      <c r="B13" s="39">
        <f t="shared" si="0"/>
        <v>11</v>
      </c>
      <c r="C13" s="32">
        <v>20200302</v>
      </c>
      <c r="D13" s="30" t="s">
        <v>3</v>
      </c>
      <c r="E13" s="30" t="s">
        <v>107</v>
      </c>
      <c r="F13" s="33" t="s">
        <v>228</v>
      </c>
      <c r="G13" s="30">
        <v>1278532</v>
      </c>
      <c r="H13" s="29" t="s">
        <v>225</v>
      </c>
      <c r="I13" s="30" t="s">
        <v>234</v>
      </c>
      <c r="J13" s="30" t="s">
        <v>120</v>
      </c>
      <c r="K13" s="30" t="s">
        <v>115</v>
      </c>
      <c r="L13" s="33" t="str">
        <f t="shared" si="1"/>
        <v>-</v>
      </c>
      <c r="M13" s="33" t="s">
        <v>202</v>
      </c>
      <c r="N13" s="32"/>
      <c r="O13" s="32" t="s">
        <v>193</v>
      </c>
      <c r="P13" s="29" t="s">
        <v>103</v>
      </c>
      <c r="Q13" s="29"/>
      <c r="R13" s="30"/>
      <c r="S13" s="30">
        <v>90</v>
      </c>
      <c r="T13" s="30">
        <v>90</v>
      </c>
      <c r="U13" s="30">
        <v>90</v>
      </c>
      <c r="V13" s="30">
        <f>ROUNDDOWN(T13/HLOOKUP(D13,Table!$C$3:$D$4,2,0)*8,2)</f>
        <v>1.6</v>
      </c>
      <c r="W13" s="30">
        <v>2</v>
      </c>
      <c r="X13" s="30" t="s">
        <v>21</v>
      </c>
      <c r="Y13" s="35">
        <v>43892</v>
      </c>
      <c r="Z13" s="35">
        <v>43894</v>
      </c>
      <c r="AA13" s="35">
        <v>43894</v>
      </c>
      <c r="AB13" s="35">
        <v>43894</v>
      </c>
      <c r="AC13" s="35" t="s">
        <v>184</v>
      </c>
      <c r="AD13" s="39">
        <v>86</v>
      </c>
      <c r="AE13" s="39">
        <v>83</v>
      </c>
      <c r="AF13" s="39">
        <v>100</v>
      </c>
      <c r="AG13" s="30"/>
      <c r="AH13" s="30"/>
    </row>
    <row r="14" spans="2:34" x14ac:dyDescent="0.25">
      <c r="B14" s="39">
        <f t="shared" si="0"/>
        <v>12</v>
      </c>
      <c r="C14" s="32">
        <v>20200302</v>
      </c>
      <c r="D14" s="30" t="s">
        <v>3</v>
      </c>
      <c r="E14" s="30" t="s">
        <v>107</v>
      </c>
      <c r="F14" s="33" t="s">
        <v>178</v>
      </c>
      <c r="G14" s="30">
        <v>1278532</v>
      </c>
      <c r="H14" s="30" t="s">
        <v>108</v>
      </c>
      <c r="I14" s="30" t="s">
        <v>234</v>
      </c>
      <c r="J14" s="30" t="s">
        <v>120</v>
      </c>
      <c r="K14" s="30" t="s">
        <v>115</v>
      </c>
      <c r="L14" s="33" t="str">
        <f t="shared" si="1"/>
        <v>-</v>
      </c>
      <c r="M14" s="33" t="s">
        <v>202</v>
      </c>
      <c r="N14" s="32"/>
      <c r="O14" s="32" t="s">
        <v>193</v>
      </c>
      <c r="P14" s="29" t="s">
        <v>104</v>
      </c>
      <c r="Q14" s="29" t="s">
        <v>6</v>
      </c>
      <c r="R14" s="30" t="s">
        <v>188</v>
      </c>
      <c r="S14" s="30">
        <v>101</v>
      </c>
      <c r="T14" s="31">
        <v>183</v>
      </c>
      <c r="U14" s="30">
        <v>183</v>
      </c>
      <c r="V14" s="30">
        <f>ROUNDDOWN(T14/HLOOKUP(D14,Table!$C$3:$D$4,2,0)*8,2)</f>
        <v>3.25</v>
      </c>
      <c r="W14" s="30">
        <v>3</v>
      </c>
      <c r="X14" s="30" t="s">
        <v>21</v>
      </c>
      <c r="Y14" s="35">
        <v>43892</v>
      </c>
      <c r="Z14" s="35">
        <v>43894</v>
      </c>
      <c r="AA14" s="35">
        <v>43894</v>
      </c>
      <c r="AB14" s="35">
        <v>43894</v>
      </c>
      <c r="AC14" s="35" t="s">
        <v>185</v>
      </c>
      <c r="AD14" s="39">
        <v>100</v>
      </c>
      <c r="AE14" s="39">
        <v>100</v>
      </c>
      <c r="AF14" s="39">
        <v>100</v>
      </c>
      <c r="AG14" s="30" t="s">
        <v>135</v>
      </c>
      <c r="AH14" s="30"/>
    </row>
    <row r="15" spans="2:34" x14ac:dyDescent="0.25">
      <c r="B15" s="39">
        <f t="shared" si="0"/>
        <v>13</v>
      </c>
      <c r="C15" s="32">
        <v>20200303</v>
      </c>
      <c r="D15" s="30" t="s">
        <v>3</v>
      </c>
      <c r="E15" s="30" t="s">
        <v>121</v>
      </c>
      <c r="F15" s="54" t="s">
        <v>251</v>
      </c>
      <c r="G15" s="30">
        <v>1352115</v>
      </c>
      <c r="H15" s="30" t="s">
        <v>122</v>
      </c>
      <c r="I15" s="30" t="s">
        <v>234</v>
      </c>
      <c r="J15" s="30" t="s">
        <v>128</v>
      </c>
      <c r="K15" s="30" t="s">
        <v>129</v>
      </c>
      <c r="L15" s="33" t="str">
        <f t="shared" si="1"/>
        <v>-</v>
      </c>
      <c r="M15" s="33" t="s">
        <v>203</v>
      </c>
      <c r="N15" s="32"/>
      <c r="O15" s="32" t="s">
        <v>191</v>
      </c>
      <c r="P15" s="30" t="s">
        <v>106</v>
      </c>
      <c r="Q15" s="30"/>
      <c r="R15" s="30"/>
      <c r="S15" s="30">
        <v>828</v>
      </c>
      <c r="T15" s="30">
        <v>828</v>
      </c>
      <c r="U15" s="30"/>
      <c r="V15" s="30">
        <f>ROUNDDOWN(T15/HLOOKUP(D15,Table!$C$3:$D$4,2,0)*8,2)</f>
        <v>14.72</v>
      </c>
      <c r="W15" s="30">
        <v>16</v>
      </c>
      <c r="X15" s="30" t="s">
        <v>21</v>
      </c>
      <c r="Y15" s="35">
        <v>43892</v>
      </c>
      <c r="Z15" s="35">
        <v>43899</v>
      </c>
      <c r="AA15" s="35">
        <v>43894</v>
      </c>
      <c r="AB15" s="35">
        <v>43896</v>
      </c>
      <c r="AC15" s="35" t="s">
        <v>184</v>
      </c>
      <c r="AD15" s="39">
        <v>100</v>
      </c>
      <c r="AE15" s="39">
        <v>100</v>
      </c>
      <c r="AF15" s="39">
        <v>98</v>
      </c>
      <c r="AG15" s="53" t="s">
        <v>182</v>
      </c>
      <c r="AH15" s="30"/>
    </row>
    <row r="16" spans="2:34" x14ac:dyDescent="0.25">
      <c r="B16" s="39">
        <f t="shared" si="0"/>
        <v>14</v>
      </c>
      <c r="C16" s="32">
        <v>20200303</v>
      </c>
      <c r="D16" s="30" t="s">
        <v>3</v>
      </c>
      <c r="E16" s="30" t="s">
        <v>123</v>
      </c>
      <c r="F16" s="33" t="s">
        <v>220</v>
      </c>
      <c r="G16" s="30">
        <v>1353313</v>
      </c>
      <c r="H16" s="30" t="s">
        <v>124</v>
      </c>
      <c r="I16" s="30" t="s">
        <v>234</v>
      </c>
      <c r="J16" s="30" t="s">
        <v>128</v>
      </c>
      <c r="K16" s="30" t="s">
        <v>130</v>
      </c>
      <c r="L16" s="33" t="str">
        <f t="shared" si="1"/>
        <v>-</v>
      </c>
      <c r="M16" s="33" t="s">
        <v>204</v>
      </c>
      <c r="N16" s="32"/>
      <c r="O16" s="32" t="s">
        <v>191</v>
      </c>
      <c r="P16" s="30" t="s">
        <v>104</v>
      </c>
      <c r="Q16" s="30"/>
      <c r="R16" s="30"/>
      <c r="S16" s="30">
        <v>371</v>
      </c>
      <c r="T16" s="30">
        <v>371</v>
      </c>
      <c r="U16" s="30"/>
      <c r="V16" s="30">
        <f>ROUNDDOWN(T16/HLOOKUP(D16,Table!$C$3:$D$4,2,0)*8,2)</f>
        <v>6.59</v>
      </c>
      <c r="W16" s="30">
        <v>3</v>
      </c>
      <c r="X16" s="30" t="s">
        <v>21</v>
      </c>
      <c r="Y16" s="35">
        <v>43892</v>
      </c>
      <c r="Z16" s="35">
        <v>43899</v>
      </c>
      <c r="AA16" s="35">
        <v>43895</v>
      </c>
      <c r="AB16" s="35">
        <v>43895</v>
      </c>
      <c r="AC16" s="35" t="s">
        <v>185</v>
      </c>
      <c r="AD16" s="39">
        <v>100</v>
      </c>
      <c r="AE16" s="39">
        <v>100</v>
      </c>
      <c r="AF16" s="39">
        <v>100</v>
      </c>
      <c r="AG16" s="30" t="s">
        <v>250</v>
      </c>
      <c r="AH16" s="30"/>
    </row>
    <row r="17" spans="2:34" x14ac:dyDescent="0.25">
      <c r="B17" s="39">
        <f t="shared" si="0"/>
        <v>15</v>
      </c>
      <c r="C17" s="32">
        <v>20200303</v>
      </c>
      <c r="D17" s="30" t="s">
        <v>3</v>
      </c>
      <c r="E17" s="30" t="s">
        <v>123</v>
      </c>
      <c r="F17" s="33" t="s">
        <v>220</v>
      </c>
      <c r="G17" s="30">
        <v>1353313</v>
      </c>
      <c r="H17" s="30" t="s">
        <v>125</v>
      </c>
      <c r="I17" s="30" t="s">
        <v>234</v>
      </c>
      <c r="J17" s="30" t="s">
        <v>128</v>
      </c>
      <c r="K17" s="30" t="s">
        <v>130</v>
      </c>
      <c r="L17" s="33" t="str">
        <f t="shared" si="1"/>
        <v>-</v>
      </c>
      <c r="M17" s="33" t="s">
        <v>204</v>
      </c>
      <c r="N17" s="32"/>
      <c r="O17" s="32" t="s">
        <v>191</v>
      </c>
      <c r="P17" s="30" t="s">
        <v>104</v>
      </c>
      <c r="Q17" s="30"/>
      <c r="R17" s="30"/>
      <c r="S17" s="30">
        <v>254</v>
      </c>
      <c r="T17" s="30">
        <v>254</v>
      </c>
      <c r="U17" s="30">
        <v>254</v>
      </c>
      <c r="V17" s="30">
        <f>ROUNDDOWN(T17/HLOOKUP(D17,Table!$C$3:$D$4,2,0)*8,2)</f>
        <v>4.51</v>
      </c>
      <c r="W17" s="30">
        <v>2</v>
      </c>
      <c r="X17" s="30" t="s">
        <v>21</v>
      </c>
      <c r="Y17" s="35">
        <v>43892</v>
      </c>
      <c r="Z17" s="35">
        <v>43899</v>
      </c>
      <c r="AA17" s="35">
        <v>43895</v>
      </c>
      <c r="AB17" s="35">
        <v>43895</v>
      </c>
      <c r="AC17" s="35" t="s">
        <v>185</v>
      </c>
      <c r="AD17" s="39">
        <v>100</v>
      </c>
      <c r="AE17" s="39">
        <v>100</v>
      </c>
      <c r="AF17" s="39">
        <v>100</v>
      </c>
      <c r="AG17" s="30"/>
      <c r="AH17" s="30"/>
    </row>
    <row r="18" spans="2:34" x14ac:dyDescent="0.25">
      <c r="B18" s="39">
        <f t="shared" si="0"/>
        <v>16</v>
      </c>
      <c r="C18" s="32">
        <v>20200303</v>
      </c>
      <c r="D18" s="30" t="s">
        <v>3</v>
      </c>
      <c r="E18" s="30" t="s">
        <v>123</v>
      </c>
      <c r="F18" s="33" t="s">
        <v>221</v>
      </c>
      <c r="G18" s="30">
        <v>1353313</v>
      </c>
      <c r="H18" s="30" t="s">
        <v>126</v>
      </c>
      <c r="I18" s="30" t="s">
        <v>234</v>
      </c>
      <c r="J18" s="30" t="s">
        <v>128</v>
      </c>
      <c r="K18" s="30" t="s">
        <v>130</v>
      </c>
      <c r="L18" s="33" t="str">
        <f t="shared" si="1"/>
        <v>-</v>
      </c>
      <c r="M18" s="33" t="s">
        <v>204</v>
      </c>
      <c r="N18" s="32"/>
      <c r="O18" s="32" t="s">
        <v>191</v>
      </c>
      <c r="P18" s="30" t="s">
        <v>105</v>
      </c>
      <c r="Q18" s="30"/>
      <c r="R18" s="30"/>
      <c r="S18" s="30">
        <v>395</v>
      </c>
      <c r="T18" s="30">
        <v>395</v>
      </c>
      <c r="U18" s="30">
        <v>395</v>
      </c>
      <c r="V18" s="30">
        <f>ROUNDDOWN(T18/HLOOKUP(D18,Table!$C$3:$D$4,2,0)*8,2)</f>
        <v>7.02</v>
      </c>
      <c r="W18" s="30">
        <v>2</v>
      </c>
      <c r="X18" s="30" t="s">
        <v>21</v>
      </c>
      <c r="Y18" s="35">
        <v>43892</v>
      </c>
      <c r="Z18" s="35">
        <v>43899</v>
      </c>
      <c r="AA18" s="35">
        <v>43895</v>
      </c>
      <c r="AB18" s="35">
        <v>43895</v>
      </c>
      <c r="AC18" s="35" t="s">
        <v>185</v>
      </c>
      <c r="AD18" s="30">
        <v>100</v>
      </c>
      <c r="AE18" s="30">
        <v>100</v>
      </c>
      <c r="AF18" s="30">
        <v>100</v>
      </c>
      <c r="AG18" s="30"/>
      <c r="AH18" s="30"/>
    </row>
    <row r="19" spans="2:34" x14ac:dyDescent="0.25">
      <c r="B19" s="39">
        <f t="shared" si="0"/>
        <v>17</v>
      </c>
      <c r="C19" s="32">
        <v>20200303</v>
      </c>
      <c r="D19" s="30" t="s">
        <v>3</v>
      </c>
      <c r="E19" s="30" t="s">
        <v>123</v>
      </c>
      <c r="F19" s="33" t="s">
        <v>222</v>
      </c>
      <c r="G19" s="30">
        <v>1353313</v>
      </c>
      <c r="H19" s="30" t="s">
        <v>126</v>
      </c>
      <c r="I19" s="30" t="s">
        <v>234</v>
      </c>
      <c r="J19" s="30" t="s">
        <v>128</v>
      </c>
      <c r="K19" s="30" t="s">
        <v>130</v>
      </c>
      <c r="L19" s="33" t="str">
        <f t="shared" si="1"/>
        <v>-</v>
      </c>
      <c r="M19" s="33" t="s">
        <v>204</v>
      </c>
      <c r="N19" s="32"/>
      <c r="O19" s="32" t="s">
        <v>191</v>
      </c>
      <c r="P19" s="30" t="s">
        <v>105</v>
      </c>
      <c r="Q19" s="30"/>
      <c r="R19" s="30"/>
      <c r="S19" s="30">
        <v>395</v>
      </c>
      <c r="T19" s="30">
        <v>395</v>
      </c>
      <c r="U19" s="30">
        <v>395</v>
      </c>
      <c r="V19" s="30">
        <f>ROUNDDOWN(T19/HLOOKUP(D19,Table!$C$3:$D$4,2,0)*8,2)</f>
        <v>7.02</v>
      </c>
      <c r="W19" s="30">
        <v>3</v>
      </c>
      <c r="X19" s="30" t="s">
        <v>21</v>
      </c>
      <c r="Y19" s="35">
        <v>43892</v>
      </c>
      <c r="Z19" s="35">
        <v>43899</v>
      </c>
      <c r="AA19" s="35">
        <v>43895</v>
      </c>
      <c r="AB19" s="35">
        <v>43895</v>
      </c>
      <c r="AC19" s="35" t="s">
        <v>185</v>
      </c>
      <c r="AD19" s="30">
        <v>100</v>
      </c>
      <c r="AE19" s="30">
        <v>100</v>
      </c>
      <c r="AF19" s="30">
        <v>100</v>
      </c>
      <c r="AH19" s="30"/>
    </row>
    <row r="20" spans="2:34" x14ac:dyDescent="0.25">
      <c r="B20" s="39">
        <f t="shared" si="0"/>
        <v>18</v>
      </c>
      <c r="C20" s="32">
        <v>20200306</v>
      </c>
      <c r="D20" s="32" t="s">
        <v>3</v>
      </c>
      <c r="E20" s="32" t="s">
        <v>240</v>
      </c>
      <c r="F20" s="60" t="s">
        <v>241</v>
      </c>
      <c r="G20" s="32">
        <v>1360296</v>
      </c>
      <c r="H20" s="32" t="s">
        <v>242</v>
      </c>
      <c r="I20" s="31" t="s">
        <v>235</v>
      </c>
      <c r="J20" s="3">
        <v>99478</v>
      </c>
      <c r="K20" s="30" t="s">
        <v>248</v>
      </c>
      <c r="L20" s="33" t="str">
        <f>IF(D20="ASW","PUT_VERSION","-")</f>
        <v>-</v>
      </c>
      <c r="M20" t="s">
        <v>249</v>
      </c>
      <c r="N20" s="32"/>
      <c r="O20" s="32"/>
      <c r="P20" s="30" t="s">
        <v>103</v>
      </c>
      <c r="Q20" s="30" t="s">
        <v>103</v>
      </c>
      <c r="R20" s="30" t="s">
        <v>188</v>
      </c>
      <c r="S20" s="30">
        <v>96</v>
      </c>
      <c r="T20" s="30">
        <v>96</v>
      </c>
      <c r="U20" s="30">
        <v>96</v>
      </c>
      <c r="V20" s="30">
        <f>ROUNDDOWN(T20/HLOOKUP(D20,Table!$C$3:$D$4,2,0)*8,2)</f>
        <v>1.7</v>
      </c>
      <c r="W20" s="30">
        <v>1.5</v>
      </c>
      <c r="X20" s="30" t="s">
        <v>131</v>
      </c>
      <c r="Y20" s="35"/>
      <c r="Z20" s="35">
        <v>43896</v>
      </c>
      <c r="AA20" s="35">
        <v>43896</v>
      </c>
      <c r="AB20" s="35">
        <v>43896</v>
      </c>
      <c r="AC20" s="35" t="s">
        <v>184</v>
      </c>
      <c r="AD20" s="30">
        <v>97</v>
      </c>
      <c r="AE20" s="30">
        <v>95</v>
      </c>
      <c r="AF20" s="30">
        <v>92</v>
      </c>
      <c r="AG20" s="30" t="s">
        <v>254</v>
      </c>
      <c r="AH20" s="30"/>
    </row>
    <row r="21" spans="2:34" x14ac:dyDescent="0.25">
      <c r="B21" s="39">
        <f t="shared" si="0"/>
        <v>19</v>
      </c>
      <c r="C21" s="32">
        <v>20200306</v>
      </c>
      <c r="D21" s="32" t="s">
        <v>3</v>
      </c>
      <c r="E21" s="32" t="s">
        <v>240</v>
      </c>
      <c r="F21" s="60" t="s">
        <v>241</v>
      </c>
      <c r="G21" s="32">
        <v>1360296</v>
      </c>
      <c r="H21" s="32" t="s">
        <v>243</v>
      </c>
      <c r="I21" s="31" t="s">
        <v>235</v>
      </c>
      <c r="J21" s="3">
        <v>99478</v>
      </c>
      <c r="K21" s="30" t="s">
        <v>248</v>
      </c>
      <c r="L21" s="33" t="str">
        <f>IF(D21="ASW","PUT_VERSION","-")</f>
        <v>-</v>
      </c>
      <c r="M21" s="51" t="s">
        <v>249</v>
      </c>
      <c r="N21" s="32"/>
      <c r="O21" s="32"/>
      <c r="P21" s="30" t="s">
        <v>104</v>
      </c>
      <c r="Q21" s="30" t="s">
        <v>103</v>
      </c>
      <c r="R21" s="30" t="s">
        <v>188</v>
      </c>
      <c r="S21" s="30">
        <v>28</v>
      </c>
      <c r="T21" s="30">
        <v>28</v>
      </c>
      <c r="U21" s="30">
        <v>28</v>
      </c>
      <c r="V21" s="30">
        <f>ROUNDDOWN(T21/HLOOKUP(D21,Table!$C$3:$D$4,2,0)*8,2)</f>
        <v>0.49</v>
      </c>
      <c r="W21" s="30">
        <v>1</v>
      </c>
      <c r="X21" s="30" t="s">
        <v>131</v>
      </c>
      <c r="Y21" s="35"/>
      <c r="Z21" s="35">
        <v>43896</v>
      </c>
      <c r="AA21" s="35">
        <v>43896</v>
      </c>
      <c r="AB21" s="35">
        <v>43896</v>
      </c>
      <c r="AC21" s="35" t="s">
        <v>185</v>
      </c>
      <c r="AD21" s="39">
        <v>100</v>
      </c>
      <c r="AE21" s="39">
        <v>100</v>
      </c>
      <c r="AF21" s="39">
        <v>100</v>
      </c>
      <c r="AG21" s="30"/>
      <c r="AH21" s="30"/>
    </row>
    <row r="22" spans="2:34" x14ac:dyDescent="0.25">
      <c r="B22" s="39">
        <f t="shared" si="0"/>
        <v>20</v>
      </c>
      <c r="C22" s="32">
        <v>20200306</v>
      </c>
      <c r="D22" s="32" t="s">
        <v>3</v>
      </c>
      <c r="E22" s="32" t="s">
        <v>240</v>
      </c>
      <c r="F22" s="60" t="s">
        <v>241</v>
      </c>
      <c r="G22" s="32">
        <v>1360296</v>
      </c>
      <c r="H22" s="32" t="s">
        <v>244</v>
      </c>
      <c r="I22" s="31" t="s">
        <v>235</v>
      </c>
      <c r="J22" s="3">
        <v>99478</v>
      </c>
      <c r="K22" s="30" t="s">
        <v>248</v>
      </c>
      <c r="L22" s="33" t="str">
        <f>IF(D22="ASW","PUT_VERSION","-")</f>
        <v>-</v>
      </c>
      <c r="M22" s="51" t="s">
        <v>249</v>
      </c>
      <c r="N22" s="32"/>
      <c r="O22" s="32"/>
      <c r="P22" s="30" t="s">
        <v>104</v>
      </c>
      <c r="Q22" s="30" t="s">
        <v>103</v>
      </c>
      <c r="R22" s="30" t="s">
        <v>188</v>
      </c>
      <c r="S22" s="30">
        <v>36</v>
      </c>
      <c r="T22" s="30">
        <v>36</v>
      </c>
      <c r="U22" s="30">
        <v>36</v>
      </c>
      <c r="V22" s="30">
        <f>ROUNDDOWN(T22/HLOOKUP(D22,Table!$C$3:$D$4,2,0)*8,2)</f>
        <v>0.64</v>
      </c>
      <c r="W22" s="30">
        <v>1</v>
      </c>
      <c r="X22" s="30" t="s">
        <v>131</v>
      </c>
      <c r="Y22" s="35"/>
      <c r="Z22" s="35">
        <v>43896</v>
      </c>
      <c r="AA22" s="35">
        <v>43896</v>
      </c>
      <c r="AB22" s="35">
        <v>43896</v>
      </c>
      <c r="AC22" s="38" t="s">
        <v>185</v>
      </c>
      <c r="AD22" s="39">
        <v>100</v>
      </c>
      <c r="AE22" s="39">
        <v>100</v>
      </c>
      <c r="AF22" s="39">
        <v>100</v>
      </c>
      <c r="AG22" s="30"/>
      <c r="AH22" s="30"/>
    </row>
    <row r="23" spans="2:34" x14ac:dyDescent="0.25">
      <c r="B23" s="39">
        <f t="shared" si="0"/>
        <v>21</v>
      </c>
      <c r="C23" s="32">
        <v>20200306</v>
      </c>
      <c r="D23" s="32" t="s">
        <v>3</v>
      </c>
      <c r="E23" s="32" t="s">
        <v>240</v>
      </c>
      <c r="F23" s="60" t="s">
        <v>241</v>
      </c>
      <c r="G23" s="32">
        <v>1360296</v>
      </c>
      <c r="H23" s="32" t="s">
        <v>245</v>
      </c>
      <c r="I23" s="31" t="s">
        <v>235</v>
      </c>
      <c r="J23" s="3">
        <v>99478</v>
      </c>
      <c r="K23" s="30" t="s">
        <v>248</v>
      </c>
      <c r="L23" s="33" t="str">
        <f>IF(D23="ASW","PUT_VERSION","-")</f>
        <v>-</v>
      </c>
      <c r="M23" s="51" t="s">
        <v>249</v>
      </c>
      <c r="N23" s="32"/>
      <c r="O23" s="32"/>
      <c r="P23" s="30" t="s">
        <v>106</v>
      </c>
      <c r="Q23" s="30" t="s">
        <v>103</v>
      </c>
      <c r="R23" s="30" t="s">
        <v>188</v>
      </c>
      <c r="S23" s="30">
        <v>80</v>
      </c>
      <c r="T23" s="30">
        <v>80</v>
      </c>
      <c r="U23" s="30">
        <v>80</v>
      </c>
      <c r="V23" s="30">
        <f>ROUNDDOWN(T23/HLOOKUP(D23,Table!$C$3:$D$4,2,0)*8,2)</f>
        <v>1.42</v>
      </c>
      <c r="W23" s="30">
        <v>2</v>
      </c>
      <c r="X23" s="30" t="s">
        <v>131</v>
      </c>
      <c r="Y23" s="35"/>
      <c r="Z23" s="35">
        <v>43896</v>
      </c>
      <c r="AA23" s="35">
        <v>43896</v>
      </c>
      <c r="AB23" s="35">
        <v>43896</v>
      </c>
      <c r="AC23" s="38" t="s">
        <v>184</v>
      </c>
      <c r="AD23" s="30">
        <v>100</v>
      </c>
      <c r="AE23" s="30">
        <v>100</v>
      </c>
      <c r="AF23" s="30">
        <v>75</v>
      </c>
      <c r="AG23" s="30" t="s">
        <v>255</v>
      </c>
      <c r="AH23" s="30"/>
    </row>
    <row r="24" spans="2:34" x14ac:dyDescent="0.25">
      <c r="B24" s="39">
        <f t="shared" si="0"/>
        <v>22</v>
      </c>
      <c r="C24" s="32">
        <v>20200306</v>
      </c>
      <c r="D24" s="32" t="s">
        <v>3</v>
      </c>
      <c r="E24" s="32" t="s">
        <v>240</v>
      </c>
      <c r="F24" s="60" t="s">
        <v>241</v>
      </c>
      <c r="G24" s="32">
        <v>1360296</v>
      </c>
      <c r="H24" s="32" t="s">
        <v>246</v>
      </c>
      <c r="I24" s="31" t="s">
        <v>235</v>
      </c>
      <c r="J24" s="3">
        <v>99478</v>
      </c>
      <c r="K24" s="30" t="s">
        <v>248</v>
      </c>
      <c r="L24" s="33" t="str">
        <f>IF(D24="ASW","PUT_VERSION","-")</f>
        <v>-</v>
      </c>
      <c r="M24" s="51" t="s">
        <v>249</v>
      </c>
      <c r="N24" s="32"/>
      <c r="O24" s="32"/>
      <c r="P24" s="30" t="s">
        <v>104</v>
      </c>
      <c r="Q24" s="30" t="s">
        <v>103</v>
      </c>
      <c r="R24" s="30" t="s">
        <v>188</v>
      </c>
      <c r="S24" s="30">
        <v>33</v>
      </c>
      <c r="T24" s="30">
        <v>33</v>
      </c>
      <c r="U24" s="30">
        <v>33</v>
      </c>
      <c r="V24" s="30">
        <f>ROUNDDOWN(T24/HLOOKUP(D24,Table!$C$3:$D$4,2,0)*8,2)</f>
        <v>0.57999999999999996</v>
      </c>
      <c r="W24" s="30">
        <v>1</v>
      </c>
      <c r="X24" s="30" t="s">
        <v>131</v>
      </c>
      <c r="Y24" s="35"/>
      <c r="Z24" s="35">
        <v>43896</v>
      </c>
      <c r="AA24" s="35">
        <v>43896</v>
      </c>
      <c r="AB24" s="35">
        <v>43896</v>
      </c>
      <c r="AC24" s="38" t="s">
        <v>185</v>
      </c>
      <c r="AD24" s="39">
        <v>100</v>
      </c>
      <c r="AE24" s="39">
        <v>100</v>
      </c>
      <c r="AF24" s="39">
        <v>100</v>
      </c>
      <c r="AG24" s="30"/>
      <c r="AH24" s="30"/>
    </row>
    <row r="25" spans="2:34" x14ac:dyDescent="0.25">
      <c r="B25" s="39">
        <f t="shared" si="0"/>
        <v>23</v>
      </c>
      <c r="C25" s="32">
        <v>20200306</v>
      </c>
      <c r="D25" s="32" t="s">
        <v>3</v>
      </c>
      <c r="E25" s="32" t="s">
        <v>240</v>
      </c>
      <c r="F25" s="60" t="s">
        <v>241</v>
      </c>
      <c r="G25" s="32">
        <v>1360296</v>
      </c>
      <c r="H25" s="32" t="s">
        <v>247</v>
      </c>
      <c r="I25" s="31" t="s">
        <v>235</v>
      </c>
      <c r="J25" s="3">
        <v>99478</v>
      </c>
      <c r="K25" s="30" t="s">
        <v>248</v>
      </c>
      <c r="L25" s="33" t="str">
        <f>IF(D25="ASW","PUT_VERSION","-")</f>
        <v>-</v>
      </c>
      <c r="M25" s="51" t="s">
        <v>249</v>
      </c>
      <c r="N25" s="32"/>
      <c r="O25" s="32"/>
      <c r="P25" s="30" t="s">
        <v>105</v>
      </c>
      <c r="Q25" s="30" t="s">
        <v>103</v>
      </c>
      <c r="R25" s="30" t="s">
        <v>188</v>
      </c>
      <c r="S25" s="30">
        <v>212</v>
      </c>
      <c r="T25" s="30">
        <v>212</v>
      </c>
      <c r="U25" s="30">
        <v>212</v>
      </c>
      <c r="V25" s="30">
        <f>ROUNDDOWN(T25/HLOOKUP(D25,Table!$C$3:$D$4,2,0)*8,2)</f>
        <v>3.76</v>
      </c>
      <c r="W25" s="30">
        <v>2</v>
      </c>
      <c r="X25" s="30" t="s">
        <v>131</v>
      </c>
      <c r="Y25" s="35"/>
      <c r="Z25" s="35">
        <v>43896</v>
      </c>
      <c r="AA25" s="35">
        <v>43896</v>
      </c>
      <c r="AB25" s="35">
        <v>43896</v>
      </c>
      <c r="AC25" s="38" t="s">
        <v>185</v>
      </c>
      <c r="AD25" s="30">
        <v>100</v>
      </c>
      <c r="AE25" s="30">
        <v>100</v>
      </c>
      <c r="AF25" s="30">
        <v>100</v>
      </c>
      <c r="AG25" s="30"/>
      <c r="AH25" s="30"/>
    </row>
    <row r="26" spans="2:34" x14ac:dyDescent="0.25">
      <c r="B26" s="39">
        <f t="shared" si="0"/>
        <v>24</v>
      </c>
      <c r="C26" s="32">
        <v>20200303</v>
      </c>
      <c r="D26" s="30" t="s">
        <v>2</v>
      </c>
      <c r="E26" s="33" t="s">
        <v>90</v>
      </c>
      <c r="F26" s="33" t="s">
        <v>90</v>
      </c>
      <c r="G26" s="30">
        <v>1353762</v>
      </c>
      <c r="H26" s="30" t="s">
        <v>237</v>
      </c>
      <c r="I26" s="30" t="s">
        <v>234</v>
      </c>
      <c r="J26" s="30" t="s">
        <v>90</v>
      </c>
      <c r="K26" s="30">
        <v>1353762</v>
      </c>
      <c r="L26" s="33" t="s">
        <v>127</v>
      </c>
      <c r="M26" s="33" t="s">
        <v>205</v>
      </c>
      <c r="N26" s="32"/>
      <c r="O26" s="32"/>
      <c r="P26" s="30" t="s">
        <v>103</v>
      </c>
      <c r="Q26" s="30"/>
      <c r="R26" s="30"/>
      <c r="S26" s="30">
        <v>50</v>
      </c>
      <c r="T26" s="30">
        <v>50</v>
      </c>
      <c r="U26" s="30">
        <v>50</v>
      </c>
      <c r="V26" s="30">
        <f>ROUNDDOWN(T26/HLOOKUP(D26,Table!$C$3:$D$4,2,0)*8,2)</f>
        <v>3.07</v>
      </c>
      <c r="W26" s="30">
        <v>3</v>
      </c>
      <c r="X26" s="30" t="s">
        <v>21</v>
      </c>
      <c r="Y26" s="35">
        <v>43892</v>
      </c>
      <c r="Z26" s="35">
        <v>43899</v>
      </c>
      <c r="AA26" s="35">
        <v>43895</v>
      </c>
      <c r="AB26" s="35">
        <v>43896</v>
      </c>
      <c r="AC26" s="35"/>
      <c r="AD26" s="30"/>
      <c r="AE26" s="30"/>
      <c r="AF26" s="30"/>
      <c r="AG26" s="30" t="s">
        <v>253</v>
      </c>
      <c r="AH26" s="30"/>
    </row>
    <row r="27" spans="2:34" x14ac:dyDescent="0.25">
      <c r="B27" s="39">
        <f t="shared" si="0"/>
        <v>25</v>
      </c>
      <c r="C27" s="32">
        <v>20200303</v>
      </c>
      <c r="D27" s="30" t="s">
        <v>3</v>
      </c>
      <c r="E27" s="30" t="s">
        <v>136</v>
      </c>
      <c r="F27" s="33" t="s">
        <v>238</v>
      </c>
      <c r="G27" s="30">
        <v>1341660</v>
      </c>
      <c r="H27" s="30" t="s">
        <v>137</v>
      </c>
      <c r="I27" s="31" t="s">
        <v>235</v>
      </c>
      <c r="J27" s="30" t="s">
        <v>90</v>
      </c>
      <c r="K27" s="30" t="s">
        <v>187</v>
      </c>
      <c r="L27" s="33" t="str">
        <f t="shared" ref="L27:L88" si="2">IF(D27="ASW","PUT_VERSION","-")</f>
        <v>-</v>
      </c>
      <c r="M27" s="33" t="s">
        <v>206</v>
      </c>
      <c r="N27" s="32"/>
      <c r="O27" s="32"/>
      <c r="P27" s="30" t="s">
        <v>103</v>
      </c>
      <c r="Q27" s="30"/>
      <c r="R27" s="30"/>
      <c r="S27" s="30">
        <v>77</v>
      </c>
      <c r="T27" s="30">
        <v>77</v>
      </c>
      <c r="U27" s="30"/>
      <c r="V27" s="30">
        <f>ROUNDDOWN(T27/HLOOKUP(D27,Table!$C$3:$D$4,2,0)*8,2)</f>
        <v>1.36</v>
      </c>
      <c r="W27" s="30"/>
      <c r="X27" s="30" t="s">
        <v>23</v>
      </c>
      <c r="Y27" s="35"/>
      <c r="Z27" s="35">
        <v>43901</v>
      </c>
      <c r="AA27" s="35"/>
      <c r="AB27" s="35"/>
      <c r="AC27" s="35"/>
      <c r="AD27" s="30"/>
      <c r="AE27" s="30"/>
      <c r="AF27" s="30"/>
      <c r="AG27" s="30"/>
      <c r="AH27" s="30"/>
    </row>
    <row r="28" spans="2:34" x14ac:dyDescent="0.25">
      <c r="B28" s="39">
        <f t="shared" si="0"/>
        <v>26</v>
      </c>
      <c r="C28" s="32">
        <v>20200303</v>
      </c>
      <c r="D28" s="30" t="s">
        <v>3</v>
      </c>
      <c r="E28" s="30" t="s">
        <v>136</v>
      </c>
      <c r="F28" s="33" t="s">
        <v>238</v>
      </c>
      <c r="G28" s="30">
        <v>1341660</v>
      </c>
      <c r="H28" s="30" t="s">
        <v>138</v>
      </c>
      <c r="I28" s="31" t="s">
        <v>235</v>
      </c>
      <c r="J28" s="30" t="s">
        <v>90</v>
      </c>
      <c r="K28" s="30" t="s">
        <v>187</v>
      </c>
      <c r="L28" s="33" t="str">
        <f t="shared" si="2"/>
        <v>-</v>
      </c>
      <c r="M28" s="33" t="s">
        <v>206</v>
      </c>
      <c r="N28" s="32"/>
      <c r="O28" s="32"/>
      <c r="P28" s="30" t="s">
        <v>103</v>
      </c>
      <c r="Q28" s="30"/>
      <c r="R28" s="30"/>
      <c r="S28" s="30">
        <v>44</v>
      </c>
      <c r="T28" s="30">
        <v>44</v>
      </c>
      <c r="U28" s="30"/>
      <c r="V28" s="30">
        <f>ROUNDDOWN(T28/HLOOKUP(D28,Table!$C$3:$D$4,2,0)*8,2)</f>
        <v>0.78</v>
      </c>
      <c r="W28" s="30"/>
      <c r="X28" s="30" t="s">
        <v>23</v>
      </c>
      <c r="Y28" s="35"/>
      <c r="Z28" s="35">
        <v>43901</v>
      </c>
      <c r="AA28" s="35"/>
      <c r="AB28" s="35"/>
      <c r="AC28" s="35"/>
      <c r="AD28" s="30"/>
      <c r="AE28" s="30"/>
      <c r="AF28" s="30"/>
      <c r="AG28" s="30"/>
      <c r="AH28" s="30"/>
    </row>
    <row r="29" spans="2:34" x14ac:dyDescent="0.25">
      <c r="B29" s="39">
        <f t="shared" si="0"/>
        <v>27</v>
      </c>
      <c r="C29" s="32">
        <v>20200303</v>
      </c>
      <c r="D29" s="30" t="s">
        <v>3</v>
      </c>
      <c r="E29" s="30" t="s">
        <v>136</v>
      </c>
      <c r="F29" s="33" t="s">
        <v>238</v>
      </c>
      <c r="G29" s="30">
        <v>1341660</v>
      </c>
      <c r="H29" s="30" t="s">
        <v>139</v>
      </c>
      <c r="I29" s="31" t="s">
        <v>235</v>
      </c>
      <c r="J29" s="30" t="s">
        <v>90</v>
      </c>
      <c r="K29" s="30" t="s">
        <v>187</v>
      </c>
      <c r="L29" s="33" t="str">
        <f t="shared" si="2"/>
        <v>-</v>
      </c>
      <c r="M29" s="33" t="s">
        <v>206</v>
      </c>
      <c r="N29" s="32"/>
      <c r="O29" s="32"/>
      <c r="P29" s="30" t="s">
        <v>103</v>
      </c>
      <c r="Q29" s="30"/>
      <c r="R29" s="30"/>
      <c r="S29" s="30">
        <v>210</v>
      </c>
      <c r="T29" s="30">
        <v>210</v>
      </c>
      <c r="U29" s="30">
        <v>210</v>
      </c>
      <c r="V29" s="30">
        <f>ROUNDDOWN(T29/HLOOKUP(D29,Table!$C$3:$D$4,2,0)*8,2)</f>
        <v>3.73</v>
      </c>
      <c r="W29" s="30">
        <v>2</v>
      </c>
      <c r="X29" s="30" t="s">
        <v>23</v>
      </c>
      <c r="Y29" s="35"/>
      <c r="Z29" s="35">
        <v>43901</v>
      </c>
      <c r="AA29" s="35">
        <v>43899</v>
      </c>
      <c r="AB29" s="35">
        <v>43899</v>
      </c>
      <c r="AC29" s="35"/>
      <c r="AD29" s="30"/>
      <c r="AE29" s="30"/>
      <c r="AF29" s="30"/>
      <c r="AG29" s="30" t="s">
        <v>256</v>
      </c>
      <c r="AH29" s="30"/>
    </row>
    <row r="30" spans="2:34" x14ac:dyDescent="0.25">
      <c r="B30" s="39">
        <f t="shared" si="0"/>
        <v>28</v>
      </c>
      <c r="C30" s="32">
        <v>20200303</v>
      </c>
      <c r="D30" s="30" t="s">
        <v>3</v>
      </c>
      <c r="E30" s="30" t="s">
        <v>136</v>
      </c>
      <c r="F30" s="33" t="s">
        <v>236</v>
      </c>
      <c r="G30" s="30">
        <v>1341660</v>
      </c>
      <c r="H30" s="34" t="s">
        <v>140</v>
      </c>
      <c r="I30" s="31" t="s">
        <v>235</v>
      </c>
      <c r="J30" s="30" t="s">
        <v>90</v>
      </c>
      <c r="K30" s="30" t="s">
        <v>187</v>
      </c>
      <c r="L30" s="33" t="str">
        <f t="shared" si="2"/>
        <v>-</v>
      </c>
      <c r="M30" s="33" t="s">
        <v>206</v>
      </c>
      <c r="N30" s="32"/>
      <c r="O30" s="32"/>
      <c r="P30" s="30" t="s">
        <v>103</v>
      </c>
      <c r="Q30" s="30"/>
      <c r="R30" s="30"/>
      <c r="S30" s="30">
        <v>622</v>
      </c>
      <c r="T30" s="30">
        <v>622</v>
      </c>
      <c r="U30" s="30">
        <v>622</v>
      </c>
      <c r="V30" s="30">
        <f>ROUNDDOWN(T30/HLOOKUP(D30,Table!$C$3:$D$4,2,0)*8,2)</f>
        <v>11.05</v>
      </c>
      <c r="W30" s="30">
        <v>8</v>
      </c>
      <c r="X30" s="30" t="s">
        <v>21</v>
      </c>
      <c r="Y30" s="35"/>
      <c r="Z30" s="35">
        <v>43901</v>
      </c>
      <c r="AA30" s="35">
        <v>43899</v>
      </c>
      <c r="AB30" s="35">
        <v>43899</v>
      </c>
      <c r="AC30" s="35" t="s">
        <v>185</v>
      </c>
      <c r="AD30" s="30">
        <v>100</v>
      </c>
      <c r="AE30" s="30">
        <v>100</v>
      </c>
      <c r="AF30" s="30">
        <v>100</v>
      </c>
      <c r="AG30" s="33" t="s">
        <v>90</v>
      </c>
      <c r="AH30" s="30"/>
    </row>
    <row r="31" spans="2:34" x14ac:dyDescent="0.25">
      <c r="B31" s="39">
        <f t="shared" si="0"/>
        <v>29</v>
      </c>
      <c r="C31" s="32">
        <v>20200303</v>
      </c>
      <c r="D31" s="30" t="s">
        <v>3</v>
      </c>
      <c r="E31" s="30" t="s">
        <v>136</v>
      </c>
      <c r="F31" s="33" t="s">
        <v>236</v>
      </c>
      <c r="G31" s="30">
        <v>1341660</v>
      </c>
      <c r="H31" s="34" t="s">
        <v>141</v>
      </c>
      <c r="I31" s="31" t="s">
        <v>235</v>
      </c>
      <c r="J31" s="30" t="s">
        <v>90</v>
      </c>
      <c r="K31" s="30" t="s">
        <v>187</v>
      </c>
      <c r="L31" s="33" t="str">
        <f t="shared" si="2"/>
        <v>-</v>
      </c>
      <c r="M31" s="33" t="s">
        <v>206</v>
      </c>
      <c r="N31" s="32"/>
      <c r="O31" s="32"/>
      <c r="P31" s="30" t="s">
        <v>106</v>
      </c>
      <c r="Q31" s="30"/>
      <c r="R31" s="30"/>
      <c r="S31" s="30">
        <v>97</v>
      </c>
      <c r="T31" s="30">
        <v>97</v>
      </c>
      <c r="U31" s="30"/>
      <c r="V31" s="30">
        <f>ROUNDDOWN(T31/HLOOKUP(D31,Table!$C$3:$D$4,2,0)*8,2)</f>
        <v>1.72</v>
      </c>
      <c r="W31" s="30">
        <v>1</v>
      </c>
      <c r="X31" s="30" t="s">
        <v>21</v>
      </c>
      <c r="Y31" s="35"/>
      <c r="Z31" s="35">
        <v>43901</v>
      </c>
      <c r="AA31" s="35">
        <v>43899</v>
      </c>
      <c r="AB31" s="35">
        <v>43899</v>
      </c>
      <c r="AC31" s="35" t="s">
        <v>185</v>
      </c>
      <c r="AD31" s="30">
        <v>100</v>
      </c>
      <c r="AE31" s="30">
        <v>100</v>
      </c>
      <c r="AF31" s="30">
        <v>100</v>
      </c>
      <c r="AG31" s="30"/>
      <c r="AH31" s="30"/>
    </row>
    <row r="32" spans="2:34" x14ac:dyDescent="0.25">
      <c r="B32" s="39">
        <f t="shared" si="0"/>
        <v>30</v>
      </c>
      <c r="C32" s="32">
        <v>20200303</v>
      </c>
      <c r="D32" s="30" t="s">
        <v>3</v>
      </c>
      <c r="E32" s="30" t="s">
        <v>136</v>
      </c>
      <c r="F32" s="33" t="s">
        <v>236</v>
      </c>
      <c r="G32" s="30">
        <v>1341660</v>
      </c>
      <c r="H32" s="34" t="s">
        <v>142</v>
      </c>
      <c r="I32" s="31" t="s">
        <v>235</v>
      </c>
      <c r="J32" s="30" t="s">
        <v>90</v>
      </c>
      <c r="K32" s="30" t="s">
        <v>187</v>
      </c>
      <c r="L32" s="33" t="str">
        <f t="shared" si="2"/>
        <v>-</v>
      </c>
      <c r="M32" s="33" t="s">
        <v>206</v>
      </c>
      <c r="N32" s="32"/>
      <c r="O32" s="32"/>
      <c r="P32" s="30" t="s">
        <v>106</v>
      </c>
      <c r="Q32" s="30"/>
      <c r="R32" s="30"/>
      <c r="S32" s="30">
        <v>100</v>
      </c>
      <c r="T32" s="30">
        <v>100</v>
      </c>
      <c r="U32" s="30"/>
      <c r="V32" s="30">
        <f>ROUNDDOWN(T32/HLOOKUP(D32,Table!$C$3:$D$4,2,0)*8,2)</f>
        <v>1.77</v>
      </c>
      <c r="W32" s="30">
        <v>0.75</v>
      </c>
      <c r="X32" s="30" t="s">
        <v>21</v>
      </c>
      <c r="Y32" s="35"/>
      <c r="Z32" s="35">
        <v>43901</v>
      </c>
      <c r="AA32" s="35">
        <v>43899</v>
      </c>
      <c r="AB32" s="35">
        <v>43899</v>
      </c>
      <c r="AC32" s="35" t="s">
        <v>185</v>
      </c>
      <c r="AD32" s="30">
        <v>100</v>
      </c>
      <c r="AE32" s="30">
        <v>100</v>
      </c>
      <c r="AF32" s="30">
        <v>100</v>
      </c>
      <c r="AG32" s="30"/>
      <c r="AH32" s="30"/>
    </row>
    <row r="33" spans="2:34" x14ac:dyDescent="0.25">
      <c r="B33" s="39">
        <f t="shared" si="0"/>
        <v>31</v>
      </c>
      <c r="C33" s="32">
        <v>20200303</v>
      </c>
      <c r="D33" s="30" t="s">
        <v>3</v>
      </c>
      <c r="E33" s="30" t="s">
        <v>136</v>
      </c>
      <c r="F33" s="33" t="s">
        <v>236</v>
      </c>
      <c r="G33" s="30">
        <v>1341660</v>
      </c>
      <c r="H33" s="30" t="s">
        <v>143</v>
      </c>
      <c r="I33" s="31" t="s">
        <v>235</v>
      </c>
      <c r="J33" s="30" t="s">
        <v>90</v>
      </c>
      <c r="K33" s="30" t="s">
        <v>187</v>
      </c>
      <c r="L33" s="33" t="str">
        <f t="shared" si="2"/>
        <v>-</v>
      </c>
      <c r="M33" s="33" t="s">
        <v>206</v>
      </c>
      <c r="N33" s="32"/>
      <c r="O33" s="32"/>
      <c r="P33" s="30" t="s">
        <v>106</v>
      </c>
      <c r="Q33" s="30"/>
      <c r="R33" s="30"/>
      <c r="S33" s="30">
        <v>8</v>
      </c>
      <c r="T33" s="30">
        <v>8</v>
      </c>
      <c r="U33" s="30"/>
      <c r="V33" s="30">
        <f>ROUNDDOWN(T33/HLOOKUP(D33,Table!$C$3:$D$4,2,0)*8,2)</f>
        <v>0.14000000000000001</v>
      </c>
      <c r="W33" s="30">
        <v>0.2</v>
      </c>
      <c r="X33" s="30" t="s">
        <v>21</v>
      </c>
      <c r="Y33" s="35"/>
      <c r="Z33" s="35">
        <v>43901</v>
      </c>
      <c r="AA33" s="35">
        <v>43899</v>
      </c>
      <c r="AB33" s="35">
        <v>43899</v>
      </c>
      <c r="AC33" s="35"/>
      <c r="AD33" s="33" t="s">
        <v>90</v>
      </c>
      <c r="AE33" s="33" t="s">
        <v>90</v>
      </c>
      <c r="AF33" s="33" t="s">
        <v>90</v>
      </c>
      <c r="AG33" s="30" t="s">
        <v>256</v>
      </c>
      <c r="AH33" s="30"/>
    </row>
    <row r="34" spans="2:34" x14ac:dyDescent="0.25">
      <c r="B34" s="39">
        <f t="shared" si="0"/>
        <v>32</v>
      </c>
      <c r="C34" s="32">
        <v>20200303</v>
      </c>
      <c r="D34" s="30" t="s">
        <v>3</v>
      </c>
      <c r="E34" s="30" t="s">
        <v>136</v>
      </c>
      <c r="F34" s="33" t="s">
        <v>236</v>
      </c>
      <c r="G34" s="30">
        <v>1341660</v>
      </c>
      <c r="H34" s="34" t="s">
        <v>144</v>
      </c>
      <c r="I34" s="31" t="s">
        <v>235</v>
      </c>
      <c r="J34" s="30" t="s">
        <v>90</v>
      </c>
      <c r="K34" s="30" t="s">
        <v>187</v>
      </c>
      <c r="L34" s="33" t="str">
        <f t="shared" si="2"/>
        <v>-</v>
      </c>
      <c r="M34" s="33" t="s">
        <v>206</v>
      </c>
      <c r="N34" s="32"/>
      <c r="O34" s="32"/>
      <c r="P34" s="30" t="s">
        <v>106</v>
      </c>
      <c r="Q34" s="30"/>
      <c r="R34" s="30"/>
      <c r="S34" s="30">
        <v>148</v>
      </c>
      <c r="T34" s="30">
        <v>148</v>
      </c>
      <c r="U34" s="30"/>
      <c r="V34" s="30">
        <f>ROUNDDOWN(T34/HLOOKUP(D34,Table!$C$3:$D$4,2,0)*8,2)</f>
        <v>2.63</v>
      </c>
      <c r="W34" s="30">
        <v>1</v>
      </c>
      <c r="X34" s="30" t="s">
        <v>21</v>
      </c>
      <c r="Y34" s="35"/>
      <c r="Z34" s="35">
        <v>43901</v>
      </c>
      <c r="AA34" s="35">
        <v>43899</v>
      </c>
      <c r="AB34" s="35">
        <v>43899</v>
      </c>
      <c r="AC34" s="35" t="s">
        <v>185</v>
      </c>
      <c r="AD34" s="30">
        <v>100</v>
      </c>
      <c r="AE34" s="30">
        <v>100</v>
      </c>
      <c r="AF34" s="30">
        <v>100</v>
      </c>
      <c r="AG34" s="30"/>
      <c r="AH34" s="30"/>
    </row>
    <row r="35" spans="2:34" x14ac:dyDescent="0.25">
      <c r="B35" s="39">
        <f t="shared" si="0"/>
        <v>33</v>
      </c>
      <c r="C35" s="32">
        <v>20200303</v>
      </c>
      <c r="D35" s="30" t="s">
        <v>3</v>
      </c>
      <c r="E35" s="30" t="s">
        <v>136</v>
      </c>
      <c r="F35" s="33" t="s">
        <v>236</v>
      </c>
      <c r="G35" s="30">
        <v>1341660</v>
      </c>
      <c r="H35" s="30" t="s">
        <v>145</v>
      </c>
      <c r="I35" s="31" t="s">
        <v>235</v>
      </c>
      <c r="J35" s="30" t="s">
        <v>90</v>
      </c>
      <c r="K35" s="30" t="s">
        <v>187</v>
      </c>
      <c r="L35" s="33" t="str">
        <f t="shared" si="2"/>
        <v>-</v>
      </c>
      <c r="M35" s="33" t="s">
        <v>206</v>
      </c>
      <c r="N35" s="32"/>
      <c r="O35" s="32"/>
      <c r="P35" s="30"/>
      <c r="Q35" s="30"/>
      <c r="R35" s="30"/>
      <c r="S35" s="30">
        <v>17</v>
      </c>
      <c r="T35" s="30">
        <v>17</v>
      </c>
      <c r="U35" s="30"/>
      <c r="V35" s="30">
        <f>ROUNDDOWN(T35/HLOOKUP(D35,Table!$C$3:$D$4,2,0)*8,2)</f>
        <v>0.3</v>
      </c>
      <c r="W35" s="30"/>
      <c r="X35" s="30" t="s">
        <v>23</v>
      </c>
      <c r="Y35" s="35"/>
      <c r="Z35" s="35">
        <v>43901</v>
      </c>
      <c r="AA35" s="35"/>
      <c r="AB35" s="35"/>
      <c r="AC35" s="35"/>
      <c r="AD35" s="30"/>
      <c r="AE35" s="30"/>
      <c r="AF35" s="30"/>
      <c r="AG35" s="30"/>
      <c r="AH35" s="30"/>
    </row>
    <row r="36" spans="2:34" x14ac:dyDescent="0.25">
      <c r="B36" s="39">
        <f t="shared" si="0"/>
        <v>34</v>
      </c>
      <c r="C36" s="32">
        <v>20200303</v>
      </c>
      <c r="D36" s="30" t="s">
        <v>3</v>
      </c>
      <c r="E36" s="30" t="s">
        <v>136</v>
      </c>
      <c r="F36" s="33" t="s">
        <v>236</v>
      </c>
      <c r="G36" s="30">
        <v>1341660</v>
      </c>
      <c r="H36" s="30" t="s">
        <v>146</v>
      </c>
      <c r="I36" s="31" t="s">
        <v>235</v>
      </c>
      <c r="J36" s="30" t="s">
        <v>90</v>
      </c>
      <c r="K36" s="30" t="s">
        <v>187</v>
      </c>
      <c r="L36" s="33" t="str">
        <f t="shared" si="2"/>
        <v>-</v>
      </c>
      <c r="M36" s="33" t="s">
        <v>206</v>
      </c>
      <c r="N36" s="32"/>
      <c r="O36" s="32"/>
      <c r="P36" s="30"/>
      <c r="Q36" s="30"/>
      <c r="R36" s="30"/>
      <c r="S36" s="30">
        <v>18</v>
      </c>
      <c r="T36" s="30">
        <v>18</v>
      </c>
      <c r="U36" s="30"/>
      <c r="V36" s="30">
        <f>ROUNDDOWN(T36/HLOOKUP(D36,Table!$C$3:$D$4,2,0)*8,2)</f>
        <v>0.32</v>
      </c>
      <c r="W36" s="30"/>
      <c r="X36" s="30" t="s">
        <v>23</v>
      </c>
      <c r="Y36" s="35"/>
      <c r="Z36" s="35">
        <v>43901</v>
      </c>
      <c r="AA36" s="35"/>
      <c r="AB36" s="35"/>
      <c r="AC36" s="35"/>
      <c r="AD36" s="30"/>
      <c r="AE36" s="30"/>
      <c r="AF36" s="30"/>
      <c r="AG36" s="30"/>
      <c r="AH36" s="30"/>
    </row>
    <row r="37" spans="2:34" x14ac:dyDescent="0.25">
      <c r="B37" s="39">
        <f t="shared" si="0"/>
        <v>35</v>
      </c>
      <c r="C37" s="32">
        <v>20200303</v>
      </c>
      <c r="D37" s="30" t="s">
        <v>3</v>
      </c>
      <c r="E37" s="30" t="s">
        <v>136</v>
      </c>
      <c r="F37" s="33" t="s">
        <v>236</v>
      </c>
      <c r="G37" s="30">
        <v>1341660</v>
      </c>
      <c r="H37" s="30" t="s">
        <v>147</v>
      </c>
      <c r="I37" s="31" t="s">
        <v>235</v>
      </c>
      <c r="J37" s="30" t="s">
        <v>90</v>
      </c>
      <c r="K37" s="30" t="s">
        <v>187</v>
      </c>
      <c r="L37" s="33" t="str">
        <f t="shared" si="2"/>
        <v>-</v>
      </c>
      <c r="M37" s="33" t="s">
        <v>206</v>
      </c>
      <c r="N37" s="32"/>
      <c r="O37" s="32"/>
      <c r="P37" s="30" t="s">
        <v>104</v>
      </c>
      <c r="Q37" s="30"/>
      <c r="R37" s="30"/>
      <c r="S37" s="30">
        <v>129</v>
      </c>
      <c r="T37" s="50">
        <v>129</v>
      </c>
      <c r="U37" s="30">
        <v>129</v>
      </c>
      <c r="V37" s="30">
        <f>ROUNDDOWN(T37/HLOOKUP(D37,Table!$C$3:$D$4,2,0)*8,2)</f>
        <v>2.29</v>
      </c>
      <c r="W37" s="30">
        <v>3</v>
      </c>
      <c r="X37" s="30" t="s">
        <v>21</v>
      </c>
      <c r="Y37" s="35"/>
      <c r="Z37" s="35">
        <v>43901</v>
      </c>
      <c r="AA37" s="35">
        <v>43895</v>
      </c>
      <c r="AB37" s="35">
        <v>43895</v>
      </c>
      <c r="AC37" s="35" t="s">
        <v>185</v>
      </c>
      <c r="AD37" s="39">
        <v>100</v>
      </c>
      <c r="AE37" s="39">
        <v>100</v>
      </c>
      <c r="AF37" s="39">
        <v>100</v>
      </c>
      <c r="AG37" s="30"/>
      <c r="AH37" s="30"/>
    </row>
    <row r="38" spans="2:34" x14ac:dyDescent="0.25">
      <c r="B38" s="39">
        <f t="shared" si="0"/>
        <v>36</v>
      </c>
      <c r="C38" s="32">
        <v>20200303</v>
      </c>
      <c r="D38" s="30" t="s">
        <v>3</v>
      </c>
      <c r="E38" s="30" t="s">
        <v>136</v>
      </c>
      <c r="F38" s="33" t="s">
        <v>236</v>
      </c>
      <c r="G38" s="30">
        <v>1341660</v>
      </c>
      <c r="H38" s="30" t="s">
        <v>148</v>
      </c>
      <c r="I38" s="31" t="s">
        <v>235</v>
      </c>
      <c r="J38" s="30" t="s">
        <v>90</v>
      </c>
      <c r="K38" s="30" t="s">
        <v>187</v>
      </c>
      <c r="L38" s="33" t="str">
        <f t="shared" si="2"/>
        <v>-</v>
      </c>
      <c r="M38" s="33" t="s">
        <v>206</v>
      </c>
      <c r="N38" s="32"/>
      <c r="O38" s="32"/>
      <c r="P38" s="30" t="s">
        <v>104</v>
      </c>
      <c r="Q38" s="30"/>
      <c r="R38" s="30"/>
      <c r="S38" s="30">
        <v>164</v>
      </c>
      <c r="T38" s="3">
        <v>196</v>
      </c>
      <c r="U38" s="30">
        <v>196</v>
      </c>
      <c r="V38" s="30">
        <f>ROUNDDOWN(T38/HLOOKUP(D38,Table!$C$3:$D$4,2,0)*8,2)</f>
        <v>3.48</v>
      </c>
      <c r="W38" s="30">
        <v>4</v>
      </c>
      <c r="X38" s="30" t="s">
        <v>21</v>
      </c>
      <c r="Y38" s="35"/>
      <c r="Z38" s="35">
        <v>43901</v>
      </c>
      <c r="AA38" s="35">
        <v>43896</v>
      </c>
      <c r="AB38" s="35">
        <v>43896</v>
      </c>
      <c r="AC38" s="35" t="s">
        <v>185</v>
      </c>
      <c r="AD38" s="39">
        <v>100</v>
      </c>
      <c r="AE38" s="39">
        <v>100</v>
      </c>
      <c r="AF38" s="39">
        <v>100</v>
      </c>
      <c r="AG38" s="30"/>
      <c r="AH38" s="30"/>
    </row>
    <row r="39" spans="2:34" x14ac:dyDescent="0.25">
      <c r="B39" s="39">
        <f t="shared" si="0"/>
        <v>37</v>
      </c>
      <c r="C39" s="32">
        <v>20200303</v>
      </c>
      <c r="D39" s="30" t="s">
        <v>3</v>
      </c>
      <c r="E39" s="30" t="s">
        <v>136</v>
      </c>
      <c r="F39" s="33" t="s">
        <v>236</v>
      </c>
      <c r="G39" s="30">
        <v>1341660</v>
      </c>
      <c r="H39" s="30" t="s">
        <v>149</v>
      </c>
      <c r="I39" s="31" t="s">
        <v>235</v>
      </c>
      <c r="J39" s="30" t="s">
        <v>90</v>
      </c>
      <c r="K39" s="30" t="s">
        <v>187</v>
      </c>
      <c r="L39" s="33" t="str">
        <f t="shared" si="2"/>
        <v>-</v>
      </c>
      <c r="M39" s="33" t="s">
        <v>206</v>
      </c>
      <c r="N39" s="32"/>
      <c r="O39" s="32"/>
      <c r="P39" s="30" t="s">
        <v>104</v>
      </c>
      <c r="Q39" s="30"/>
      <c r="R39" s="30"/>
      <c r="S39" s="30">
        <v>104</v>
      </c>
      <c r="T39" s="50">
        <v>104</v>
      </c>
      <c r="U39" s="30"/>
      <c r="V39" s="30">
        <f>ROUNDDOWN(T39/HLOOKUP(D39,Table!$C$3:$D$4,2,0)*8,2)</f>
        <v>1.84</v>
      </c>
      <c r="W39" s="30">
        <v>1</v>
      </c>
      <c r="X39" s="30" t="s">
        <v>27</v>
      </c>
      <c r="Y39" s="35"/>
      <c r="Z39" s="35">
        <v>43901</v>
      </c>
      <c r="AA39" s="35">
        <v>43896</v>
      </c>
      <c r="AB39" s="35"/>
      <c r="AC39" s="35" t="s">
        <v>184</v>
      </c>
      <c r="AD39" s="30"/>
      <c r="AE39" s="30"/>
      <c r="AF39" s="30"/>
      <c r="AG39" s="30" t="s">
        <v>252</v>
      </c>
      <c r="AH39" s="30"/>
    </row>
    <row r="40" spans="2:34" x14ac:dyDescent="0.25">
      <c r="B40" s="39">
        <f t="shared" si="0"/>
        <v>38</v>
      </c>
      <c r="C40" s="32">
        <v>20200303</v>
      </c>
      <c r="D40" s="30" t="s">
        <v>3</v>
      </c>
      <c r="E40" s="30" t="s">
        <v>136</v>
      </c>
      <c r="F40" s="33" t="s">
        <v>236</v>
      </c>
      <c r="G40" s="30">
        <v>1341660</v>
      </c>
      <c r="H40" s="30" t="s">
        <v>150</v>
      </c>
      <c r="I40" s="31" t="s">
        <v>235</v>
      </c>
      <c r="J40" s="30" t="s">
        <v>90</v>
      </c>
      <c r="K40" s="30" t="s">
        <v>187</v>
      </c>
      <c r="L40" s="33" t="str">
        <f t="shared" si="2"/>
        <v>-</v>
      </c>
      <c r="M40" s="33" t="s">
        <v>206</v>
      </c>
      <c r="N40" s="32"/>
      <c r="O40" s="32"/>
      <c r="P40" s="30" t="s">
        <v>104</v>
      </c>
      <c r="Q40" s="30"/>
      <c r="R40" s="30"/>
      <c r="S40" s="30">
        <v>154</v>
      </c>
      <c r="T40" s="3">
        <v>154</v>
      </c>
      <c r="U40" s="30"/>
      <c r="V40" s="30">
        <f>ROUNDDOWN(T40/HLOOKUP(D40,Table!$C$3:$D$4,2,0)*8,2)</f>
        <v>2.73</v>
      </c>
      <c r="W40" s="30"/>
      <c r="X40" s="30" t="s">
        <v>23</v>
      </c>
      <c r="Y40" s="35"/>
      <c r="Z40" s="35">
        <v>43901</v>
      </c>
      <c r="AA40" s="35"/>
      <c r="AB40" s="35"/>
      <c r="AC40" s="35"/>
      <c r="AD40" s="30"/>
      <c r="AE40" s="30"/>
      <c r="AF40" s="30"/>
      <c r="AG40" s="30"/>
      <c r="AH40" s="30"/>
    </row>
    <row r="41" spans="2:34" x14ac:dyDescent="0.25">
      <c r="B41" s="39">
        <f t="shared" si="0"/>
        <v>39</v>
      </c>
      <c r="C41" s="32">
        <v>20200303</v>
      </c>
      <c r="D41" s="30" t="s">
        <v>3</v>
      </c>
      <c r="E41" s="30" t="s">
        <v>136</v>
      </c>
      <c r="F41" s="33" t="s">
        <v>236</v>
      </c>
      <c r="G41" s="30">
        <v>1341660</v>
      </c>
      <c r="H41" s="30" t="s">
        <v>151</v>
      </c>
      <c r="I41" s="31" t="s">
        <v>235</v>
      </c>
      <c r="J41" s="30" t="s">
        <v>90</v>
      </c>
      <c r="K41" s="30" t="s">
        <v>187</v>
      </c>
      <c r="L41" s="33" t="str">
        <f t="shared" si="2"/>
        <v>-</v>
      </c>
      <c r="M41" s="33" t="s">
        <v>206</v>
      </c>
      <c r="N41" s="32"/>
      <c r="O41" s="32"/>
      <c r="P41" s="30" t="s">
        <v>104</v>
      </c>
      <c r="Q41" s="30"/>
      <c r="R41" s="30"/>
      <c r="S41" s="30">
        <v>167</v>
      </c>
      <c r="T41" s="3">
        <v>167</v>
      </c>
      <c r="U41" s="30"/>
      <c r="V41" s="30">
        <f>ROUNDDOWN(T41/HLOOKUP(D41,Table!$C$3:$D$4,2,0)*8,2)</f>
        <v>2.96</v>
      </c>
      <c r="W41" s="30"/>
      <c r="X41" s="30" t="s">
        <v>23</v>
      </c>
      <c r="Y41" s="35"/>
      <c r="Z41" s="35">
        <v>43901</v>
      </c>
      <c r="AA41" s="35"/>
      <c r="AB41" s="35"/>
      <c r="AC41" s="35"/>
      <c r="AD41" s="30"/>
      <c r="AE41" s="30"/>
      <c r="AF41" s="30"/>
      <c r="AG41" s="30"/>
      <c r="AH41" s="30"/>
    </row>
    <row r="42" spans="2:34" x14ac:dyDescent="0.25">
      <c r="B42" s="39">
        <f t="shared" si="0"/>
        <v>40</v>
      </c>
      <c r="C42" s="32">
        <v>20200303</v>
      </c>
      <c r="D42" s="30" t="s">
        <v>3</v>
      </c>
      <c r="E42" s="30" t="s">
        <v>136</v>
      </c>
      <c r="F42" s="33" t="s">
        <v>236</v>
      </c>
      <c r="G42" s="30">
        <v>1341660</v>
      </c>
      <c r="H42" s="30" t="s">
        <v>152</v>
      </c>
      <c r="I42" s="31" t="s">
        <v>235</v>
      </c>
      <c r="J42" s="30" t="s">
        <v>90</v>
      </c>
      <c r="K42" s="30" t="s">
        <v>187</v>
      </c>
      <c r="L42" s="33" t="str">
        <f t="shared" si="2"/>
        <v>-</v>
      </c>
      <c r="M42" s="33" t="s">
        <v>206</v>
      </c>
      <c r="N42" s="32"/>
      <c r="O42" s="32"/>
      <c r="P42" s="30" t="s">
        <v>104</v>
      </c>
      <c r="Q42" s="30"/>
      <c r="R42" s="30"/>
      <c r="S42" s="30">
        <v>147</v>
      </c>
      <c r="T42" s="3">
        <v>147</v>
      </c>
      <c r="U42" s="30"/>
      <c r="V42" s="30">
        <f>ROUNDDOWN(T42/HLOOKUP(D42,Table!$C$3:$D$4,2,0)*8,2)</f>
        <v>2.61</v>
      </c>
      <c r="W42" s="30"/>
      <c r="X42" s="30" t="s">
        <v>23</v>
      </c>
      <c r="Y42" s="35"/>
      <c r="Z42" s="35">
        <v>43901</v>
      </c>
      <c r="AA42" s="35"/>
      <c r="AB42" s="35"/>
      <c r="AC42" s="35"/>
      <c r="AD42" s="30"/>
      <c r="AE42" s="30"/>
      <c r="AF42" s="30"/>
      <c r="AG42" s="30"/>
      <c r="AH42" s="30"/>
    </row>
    <row r="43" spans="2:34" x14ac:dyDescent="0.25">
      <c r="B43" s="39">
        <f t="shared" si="0"/>
        <v>41</v>
      </c>
      <c r="C43" s="32">
        <v>20200303</v>
      </c>
      <c r="D43" s="30" t="s">
        <v>3</v>
      </c>
      <c r="E43" s="30" t="s">
        <v>136</v>
      </c>
      <c r="F43" s="33" t="s">
        <v>236</v>
      </c>
      <c r="G43" s="30">
        <v>1341660</v>
      </c>
      <c r="H43" s="30" t="s">
        <v>153</v>
      </c>
      <c r="I43" s="31" t="s">
        <v>235</v>
      </c>
      <c r="J43" s="30" t="s">
        <v>90</v>
      </c>
      <c r="K43" s="30" t="s">
        <v>187</v>
      </c>
      <c r="L43" s="33" t="str">
        <f t="shared" si="2"/>
        <v>-</v>
      </c>
      <c r="M43" s="33" t="s">
        <v>206</v>
      </c>
      <c r="N43" s="32"/>
      <c r="O43" s="32"/>
      <c r="P43" s="30" t="s">
        <v>104</v>
      </c>
      <c r="Q43" s="30"/>
      <c r="R43" s="30"/>
      <c r="S43" s="30">
        <v>254</v>
      </c>
      <c r="T43" s="50">
        <v>254</v>
      </c>
      <c r="U43" s="30"/>
      <c r="V43" s="30">
        <f>ROUNDDOWN(T43/HLOOKUP(D43,Table!$C$3:$D$4,2,0)*8,2)</f>
        <v>4.51</v>
      </c>
      <c r="W43" s="30"/>
      <c r="X43" s="30" t="s">
        <v>23</v>
      </c>
      <c r="Y43" s="35"/>
      <c r="Z43" s="35">
        <v>43901</v>
      </c>
      <c r="AA43" s="35"/>
      <c r="AB43" s="35"/>
      <c r="AC43" s="35"/>
      <c r="AD43" s="30"/>
      <c r="AE43" s="30"/>
      <c r="AF43" s="30"/>
      <c r="AG43" s="30"/>
      <c r="AH43" s="30"/>
    </row>
    <row r="44" spans="2:34" x14ac:dyDescent="0.25">
      <c r="B44" s="39">
        <f t="shared" si="0"/>
        <v>42</v>
      </c>
      <c r="C44" s="32">
        <v>20200303</v>
      </c>
      <c r="D44" s="30" t="s">
        <v>3</v>
      </c>
      <c r="E44" s="30" t="s">
        <v>136</v>
      </c>
      <c r="F44" s="33" t="s">
        <v>236</v>
      </c>
      <c r="G44" s="30">
        <v>1341660</v>
      </c>
      <c r="H44" s="34" t="s">
        <v>154</v>
      </c>
      <c r="I44" s="31" t="s">
        <v>235</v>
      </c>
      <c r="J44" s="30" t="s">
        <v>90</v>
      </c>
      <c r="K44" s="30" t="s">
        <v>187</v>
      </c>
      <c r="L44" s="33" t="str">
        <f t="shared" si="2"/>
        <v>-</v>
      </c>
      <c r="M44" s="33" t="s">
        <v>206</v>
      </c>
      <c r="N44" s="32"/>
      <c r="O44" s="32"/>
      <c r="P44" s="30" t="s">
        <v>106</v>
      </c>
      <c r="Q44" s="30"/>
      <c r="R44" s="30"/>
      <c r="S44" s="30">
        <v>193</v>
      </c>
      <c r="T44" s="3">
        <v>193</v>
      </c>
      <c r="U44" s="30"/>
      <c r="V44" s="30">
        <f>ROUNDDOWN(T44/HLOOKUP(D44,Table!$C$3:$D$4,2,0)*8,2)</f>
        <v>3.43</v>
      </c>
      <c r="W44" s="30">
        <v>2</v>
      </c>
      <c r="X44" s="30" t="s">
        <v>21</v>
      </c>
      <c r="Y44" s="35"/>
      <c r="Z44" s="35">
        <v>43901</v>
      </c>
      <c r="AA44" s="35">
        <v>43899</v>
      </c>
      <c r="AB44" s="35">
        <v>43899</v>
      </c>
      <c r="AC44" s="35" t="s">
        <v>184</v>
      </c>
      <c r="AD44" s="30">
        <v>100</v>
      </c>
      <c r="AE44" s="30">
        <v>100</v>
      </c>
      <c r="AF44" s="30">
        <v>91</v>
      </c>
      <c r="AG44" s="30" t="s">
        <v>255</v>
      </c>
      <c r="AH44" s="30"/>
    </row>
    <row r="45" spans="2:34" x14ac:dyDescent="0.25">
      <c r="B45" s="39">
        <f t="shared" si="0"/>
        <v>43</v>
      </c>
      <c r="C45" s="32">
        <v>20200303</v>
      </c>
      <c r="D45" s="30" t="s">
        <v>3</v>
      </c>
      <c r="E45" s="30" t="s">
        <v>136</v>
      </c>
      <c r="F45" s="33" t="s">
        <v>236</v>
      </c>
      <c r="G45" s="30">
        <v>1341660</v>
      </c>
      <c r="H45" s="30" t="s">
        <v>155</v>
      </c>
      <c r="I45" s="31" t="s">
        <v>235</v>
      </c>
      <c r="J45" s="30" t="s">
        <v>90</v>
      </c>
      <c r="K45" s="30" t="s">
        <v>187</v>
      </c>
      <c r="L45" s="33" t="str">
        <f t="shared" si="2"/>
        <v>-</v>
      </c>
      <c r="M45" s="33" t="s">
        <v>206</v>
      </c>
      <c r="N45" s="32"/>
      <c r="O45" s="32"/>
      <c r="P45" s="30" t="s">
        <v>106</v>
      </c>
      <c r="Q45" s="30"/>
      <c r="R45" s="30"/>
      <c r="S45" s="30">
        <v>204</v>
      </c>
      <c r="T45" s="3">
        <v>204</v>
      </c>
      <c r="U45" s="30"/>
      <c r="V45" s="30">
        <f>ROUNDDOWN(T45/HLOOKUP(D45,Table!$C$3:$D$4,2,0)*8,2)</f>
        <v>3.62</v>
      </c>
      <c r="W45" s="30"/>
      <c r="X45" s="30" t="s">
        <v>23</v>
      </c>
      <c r="Y45" s="35"/>
      <c r="Z45" s="35">
        <v>43901</v>
      </c>
      <c r="AA45" s="35"/>
      <c r="AB45" s="35"/>
      <c r="AC45" s="35"/>
      <c r="AD45" s="30"/>
      <c r="AE45" s="30"/>
      <c r="AF45" s="30"/>
      <c r="AG45" s="30"/>
      <c r="AH45" s="30"/>
    </row>
    <row r="46" spans="2:34" x14ac:dyDescent="0.25">
      <c r="B46" s="39">
        <f t="shared" si="0"/>
        <v>44</v>
      </c>
      <c r="C46" s="32">
        <v>20200303</v>
      </c>
      <c r="D46" s="30" t="s">
        <v>3</v>
      </c>
      <c r="E46" s="30" t="s">
        <v>136</v>
      </c>
      <c r="F46" s="33" t="s">
        <v>236</v>
      </c>
      <c r="G46" s="30">
        <v>1341660</v>
      </c>
      <c r="H46" s="30" t="s">
        <v>156</v>
      </c>
      <c r="I46" s="31" t="s">
        <v>235</v>
      </c>
      <c r="J46" s="30" t="s">
        <v>90</v>
      </c>
      <c r="K46" s="30" t="s">
        <v>187</v>
      </c>
      <c r="L46" s="33" t="str">
        <f t="shared" si="2"/>
        <v>-</v>
      </c>
      <c r="M46" s="33" t="s">
        <v>206</v>
      </c>
      <c r="N46" s="32"/>
      <c r="O46" s="32"/>
      <c r="P46" s="30" t="s">
        <v>106</v>
      </c>
      <c r="Q46" s="30"/>
      <c r="R46" s="30"/>
      <c r="S46" s="30">
        <v>194</v>
      </c>
      <c r="T46" s="3">
        <v>194</v>
      </c>
      <c r="U46" s="30"/>
      <c r="V46" s="30">
        <f>ROUNDDOWN(T46/HLOOKUP(D46,Table!$C$3:$D$4,2,0)*8,2)</f>
        <v>3.44</v>
      </c>
      <c r="W46" s="30"/>
      <c r="X46" s="30" t="s">
        <v>23</v>
      </c>
      <c r="Y46" s="35"/>
      <c r="Z46" s="35">
        <v>43901</v>
      </c>
      <c r="AA46" s="35"/>
      <c r="AB46" s="35"/>
      <c r="AC46" s="35"/>
      <c r="AD46" s="30"/>
      <c r="AE46" s="30"/>
      <c r="AF46" s="30"/>
      <c r="AG46" s="30"/>
      <c r="AH46" s="30"/>
    </row>
    <row r="47" spans="2:34" x14ac:dyDescent="0.25">
      <c r="B47" s="39">
        <f t="shared" si="0"/>
        <v>45</v>
      </c>
      <c r="C47" s="32">
        <v>20200303</v>
      </c>
      <c r="D47" s="30" t="s">
        <v>3</v>
      </c>
      <c r="E47" s="30" t="s">
        <v>136</v>
      </c>
      <c r="F47" s="33" t="s">
        <v>236</v>
      </c>
      <c r="G47" s="30">
        <v>1341660</v>
      </c>
      <c r="H47" s="30" t="s">
        <v>157</v>
      </c>
      <c r="I47" s="31" t="s">
        <v>235</v>
      </c>
      <c r="J47" s="30" t="s">
        <v>90</v>
      </c>
      <c r="K47" s="30" t="s">
        <v>187</v>
      </c>
      <c r="L47" s="33" t="str">
        <f t="shared" si="2"/>
        <v>-</v>
      </c>
      <c r="M47" s="33" t="s">
        <v>206</v>
      </c>
      <c r="N47" s="32"/>
      <c r="O47" s="32"/>
      <c r="P47" s="30" t="s">
        <v>106</v>
      </c>
      <c r="Q47" s="30"/>
      <c r="R47" s="30"/>
      <c r="S47" s="30">
        <v>141</v>
      </c>
      <c r="T47" s="3">
        <v>141</v>
      </c>
      <c r="U47" s="30"/>
      <c r="V47" s="30">
        <f>ROUNDDOWN(T47/HLOOKUP(D47,Table!$C$3:$D$4,2,0)*8,2)</f>
        <v>2.5</v>
      </c>
      <c r="W47" s="30"/>
      <c r="X47" s="30" t="s">
        <v>23</v>
      </c>
      <c r="Y47" s="35"/>
      <c r="Z47" s="35">
        <v>43901</v>
      </c>
      <c r="AA47" s="35"/>
      <c r="AB47" s="35"/>
      <c r="AC47" s="35"/>
      <c r="AD47" s="30"/>
      <c r="AE47" s="30"/>
      <c r="AF47" s="30"/>
      <c r="AG47" s="30"/>
      <c r="AH47" s="30"/>
    </row>
    <row r="48" spans="2:34" x14ac:dyDescent="0.25">
      <c r="B48" s="39">
        <f t="shared" si="0"/>
        <v>46</v>
      </c>
      <c r="C48" s="32">
        <v>20200303</v>
      </c>
      <c r="D48" s="30" t="s">
        <v>3</v>
      </c>
      <c r="E48" s="30" t="s">
        <v>136</v>
      </c>
      <c r="F48" s="33" t="s">
        <v>236</v>
      </c>
      <c r="G48" s="30">
        <v>1341660</v>
      </c>
      <c r="H48" s="34" t="s">
        <v>158</v>
      </c>
      <c r="I48" s="31" t="s">
        <v>235</v>
      </c>
      <c r="J48" s="30" t="s">
        <v>90</v>
      </c>
      <c r="K48" s="30" t="s">
        <v>187</v>
      </c>
      <c r="L48" s="33" t="str">
        <f t="shared" si="2"/>
        <v>-</v>
      </c>
      <c r="M48" s="33" t="s">
        <v>206</v>
      </c>
      <c r="N48" s="32"/>
      <c r="O48" s="32"/>
      <c r="P48" s="30" t="s">
        <v>105</v>
      </c>
      <c r="Q48" s="30"/>
      <c r="R48" s="30"/>
      <c r="S48" s="30">
        <v>190</v>
      </c>
      <c r="T48" s="3">
        <v>190</v>
      </c>
      <c r="U48" s="30">
        <v>190</v>
      </c>
      <c r="V48" s="30">
        <f>ROUNDDOWN(T48/HLOOKUP(D48,Table!$C$3:$D$4,2,0)*8,2)</f>
        <v>3.37</v>
      </c>
      <c r="W48" s="30">
        <v>4</v>
      </c>
      <c r="X48" s="30" t="s">
        <v>21</v>
      </c>
      <c r="Y48" s="35"/>
      <c r="Z48" s="35">
        <v>43901</v>
      </c>
      <c r="AA48" s="35">
        <v>43899</v>
      </c>
      <c r="AB48" s="35">
        <v>43899</v>
      </c>
      <c r="AC48" s="35" t="s">
        <v>184</v>
      </c>
      <c r="AD48" s="30">
        <v>66</v>
      </c>
      <c r="AE48" s="30">
        <v>100</v>
      </c>
      <c r="AF48" s="30">
        <v>100</v>
      </c>
      <c r="AG48" s="30" t="s">
        <v>250</v>
      </c>
      <c r="AH48" s="30"/>
    </row>
    <row r="49" spans="2:34" x14ac:dyDescent="0.25">
      <c r="B49" s="39">
        <f t="shared" si="0"/>
        <v>47</v>
      </c>
      <c r="C49" s="32">
        <v>20200303</v>
      </c>
      <c r="D49" s="30" t="s">
        <v>3</v>
      </c>
      <c r="E49" s="30" t="s">
        <v>136</v>
      </c>
      <c r="F49" s="33" t="s">
        <v>236</v>
      </c>
      <c r="G49" s="30">
        <v>1341660</v>
      </c>
      <c r="H49" s="34" t="s">
        <v>159</v>
      </c>
      <c r="I49" s="31" t="s">
        <v>235</v>
      </c>
      <c r="J49" s="30" t="s">
        <v>90</v>
      </c>
      <c r="K49" s="30" t="s">
        <v>187</v>
      </c>
      <c r="L49" s="33" t="str">
        <f t="shared" si="2"/>
        <v>-</v>
      </c>
      <c r="M49" s="33" t="s">
        <v>206</v>
      </c>
      <c r="N49" s="32"/>
      <c r="O49" s="32"/>
      <c r="P49" s="30" t="s">
        <v>105</v>
      </c>
      <c r="Q49" s="30"/>
      <c r="R49" s="30"/>
      <c r="S49" s="30">
        <v>107</v>
      </c>
      <c r="T49" s="50">
        <v>107</v>
      </c>
      <c r="U49" s="30">
        <v>107</v>
      </c>
      <c r="V49" s="30">
        <f>ROUNDDOWN(T49/HLOOKUP(D49,Table!$C$3:$D$4,2,0)*8,2)</f>
        <v>1.9</v>
      </c>
      <c r="W49" s="30">
        <v>1</v>
      </c>
      <c r="X49" s="30" t="s">
        <v>21</v>
      </c>
      <c r="Y49" s="35"/>
      <c r="Z49" s="35">
        <v>43901</v>
      </c>
      <c r="AA49" s="35">
        <v>43899</v>
      </c>
      <c r="AB49" s="35">
        <v>43899</v>
      </c>
      <c r="AC49" s="35" t="s">
        <v>184</v>
      </c>
      <c r="AD49" s="30">
        <v>99</v>
      </c>
      <c r="AE49" s="30">
        <v>96</v>
      </c>
      <c r="AF49" s="30">
        <v>100</v>
      </c>
      <c r="AG49" s="30" t="s">
        <v>250</v>
      </c>
      <c r="AH49" s="30"/>
    </row>
    <row r="50" spans="2:34" x14ac:dyDescent="0.25">
      <c r="B50" s="39">
        <f t="shared" si="0"/>
        <v>48</v>
      </c>
      <c r="C50" s="32">
        <v>20200303</v>
      </c>
      <c r="D50" s="30" t="s">
        <v>3</v>
      </c>
      <c r="E50" s="30" t="s">
        <v>136</v>
      </c>
      <c r="F50" s="33" t="s">
        <v>236</v>
      </c>
      <c r="G50" s="30">
        <v>1341660</v>
      </c>
      <c r="H50" s="34" t="s">
        <v>160</v>
      </c>
      <c r="I50" s="31" t="s">
        <v>235</v>
      </c>
      <c r="J50" s="30" t="s">
        <v>90</v>
      </c>
      <c r="K50" s="30" t="s">
        <v>187</v>
      </c>
      <c r="L50" s="33" t="str">
        <f t="shared" si="2"/>
        <v>-</v>
      </c>
      <c r="M50" s="33" t="s">
        <v>206</v>
      </c>
      <c r="N50" s="32"/>
      <c r="O50" s="32"/>
      <c r="P50" s="30" t="s">
        <v>105</v>
      </c>
      <c r="Q50" s="30"/>
      <c r="R50" s="30"/>
      <c r="S50" s="30">
        <v>269</v>
      </c>
      <c r="T50" s="3">
        <v>269</v>
      </c>
      <c r="U50" s="30">
        <v>269</v>
      </c>
      <c r="V50" s="30">
        <f>ROUNDDOWN(T50/HLOOKUP(D50,Table!$C$3:$D$4,2,0)*8,2)</f>
        <v>4.78</v>
      </c>
      <c r="W50" s="30">
        <v>3</v>
      </c>
      <c r="X50" s="30" t="s">
        <v>231</v>
      </c>
      <c r="Y50" s="35"/>
      <c r="Z50" s="35">
        <v>43901</v>
      </c>
      <c r="AA50" s="35">
        <v>43899</v>
      </c>
      <c r="AB50" s="35">
        <v>43899</v>
      </c>
      <c r="AC50" s="35" t="s">
        <v>184</v>
      </c>
      <c r="AD50" s="30">
        <v>99</v>
      </c>
      <c r="AE50" s="30">
        <v>97</v>
      </c>
      <c r="AF50" s="30">
        <v>100</v>
      </c>
      <c r="AG50" s="30" t="s">
        <v>252</v>
      </c>
      <c r="AH50" s="30"/>
    </row>
    <row r="51" spans="2:34" x14ac:dyDescent="0.25">
      <c r="B51" s="39">
        <f t="shared" si="0"/>
        <v>49</v>
      </c>
      <c r="C51" s="32">
        <v>20200303</v>
      </c>
      <c r="D51" s="30" t="s">
        <v>3</v>
      </c>
      <c r="E51" s="30" t="s">
        <v>136</v>
      </c>
      <c r="F51" s="33" t="s">
        <v>236</v>
      </c>
      <c r="G51" s="30">
        <v>1341660</v>
      </c>
      <c r="H51" s="30" t="s">
        <v>161</v>
      </c>
      <c r="I51" s="31" t="s">
        <v>235</v>
      </c>
      <c r="J51" s="30" t="s">
        <v>90</v>
      </c>
      <c r="K51" s="30" t="s">
        <v>187</v>
      </c>
      <c r="L51" s="33" t="str">
        <f t="shared" si="2"/>
        <v>-</v>
      </c>
      <c r="M51" s="33" t="s">
        <v>206</v>
      </c>
      <c r="N51" s="32"/>
      <c r="O51" s="32"/>
      <c r="P51" s="30" t="s">
        <v>106</v>
      </c>
      <c r="Q51" s="30"/>
      <c r="R51" s="30"/>
      <c r="S51" s="30">
        <v>70</v>
      </c>
      <c r="T51" s="3">
        <v>70</v>
      </c>
      <c r="U51" s="30"/>
      <c r="V51" s="30">
        <f>ROUNDDOWN(T51/HLOOKUP(D51,Table!$C$3:$D$4,2,0)*8,2)</f>
        <v>1.24</v>
      </c>
      <c r="W51" s="30"/>
      <c r="X51" s="30" t="s">
        <v>23</v>
      </c>
      <c r="Y51" s="35"/>
      <c r="Z51" s="35">
        <v>43901</v>
      </c>
      <c r="AA51" s="35"/>
      <c r="AB51" s="35"/>
      <c r="AC51" s="35"/>
      <c r="AD51" s="30"/>
      <c r="AE51" s="30"/>
      <c r="AF51" s="30"/>
      <c r="AG51" s="30"/>
      <c r="AH51" s="30"/>
    </row>
    <row r="52" spans="2:34" x14ac:dyDescent="0.25">
      <c r="B52" s="39">
        <f t="shared" si="0"/>
        <v>50</v>
      </c>
      <c r="C52" s="32">
        <v>20200303</v>
      </c>
      <c r="D52" s="30" t="s">
        <v>3</v>
      </c>
      <c r="E52" s="30" t="s">
        <v>136</v>
      </c>
      <c r="F52" s="33" t="s">
        <v>239</v>
      </c>
      <c r="G52" s="30">
        <v>1341660</v>
      </c>
      <c r="H52" s="30" t="s">
        <v>162</v>
      </c>
      <c r="I52" s="31" t="s">
        <v>235</v>
      </c>
      <c r="J52" s="30" t="s">
        <v>90</v>
      </c>
      <c r="K52" s="30" t="s">
        <v>187</v>
      </c>
      <c r="L52" s="33" t="str">
        <f t="shared" si="2"/>
        <v>-</v>
      </c>
      <c r="M52" s="33" t="s">
        <v>206</v>
      </c>
      <c r="N52" s="32"/>
      <c r="O52" s="32"/>
      <c r="P52" s="30" t="s">
        <v>105</v>
      </c>
      <c r="Q52" s="30"/>
      <c r="R52" s="30"/>
      <c r="S52" s="30">
        <v>204</v>
      </c>
      <c r="T52" s="30">
        <v>204</v>
      </c>
      <c r="U52" s="30">
        <v>204</v>
      </c>
      <c r="V52" s="30">
        <f>ROUNDDOWN(T52/HLOOKUP(D52,Table!$C$3:$D$4,2,0)*8,2)</f>
        <v>3.62</v>
      </c>
      <c r="W52" s="30">
        <v>3</v>
      </c>
      <c r="X52" s="30" t="s">
        <v>21</v>
      </c>
      <c r="Y52" s="35">
        <v>43895</v>
      </c>
      <c r="Z52" s="35">
        <v>43901</v>
      </c>
      <c r="AA52" s="35">
        <v>43895</v>
      </c>
      <c r="AB52" s="35">
        <v>43896</v>
      </c>
      <c r="AC52" s="35"/>
      <c r="AD52" s="30">
        <v>100</v>
      </c>
      <c r="AE52" s="30">
        <v>100</v>
      </c>
      <c r="AF52" s="30">
        <v>100</v>
      </c>
      <c r="AG52" s="30"/>
      <c r="AH52" s="30"/>
    </row>
    <row r="53" spans="2:34" x14ac:dyDescent="0.25">
      <c r="B53" s="39">
        <f t="shared" si="0"/>
        <v>51</v>
      </c>
      <c r="C53" s="32">
        <v>20200303</v>
      </c>
      <c r="D53" s="30" t="s">
        <v>3</v>
      </c>
      <c r="E53" s="30" t="s">
        <v>136</v>
      </c>
      <c r="F53" s="33" t="s">
        <v>239</v>
      </c>
      <c r="G53" s="30">
        <v>1341660</v>
      </c>
      <c r="H53" s="30" t="s">
        <v>163</v>
      </c>
      <c r="I53" s="31" t="s">
        <v>235</v>
      </c>
      <c r="J53" s="30" t="s">
        <v>90</v>
      </c>
      <c r="K53" s="30" t="s">
        <v>187</v>
      </c>
      <c r="L53" s="33" t="str">
        <f t="shared" si="2"/>
        <v>-</v>
      </c>
      <c r="M53" s="33" t="s">
        <v>206</v>
      </c>
      <c r="N53" s="32"/>
      <c r="O53" s="32"/>
      <c r="P53" s="30" t="s">
        <v>105</v>
      </c>
      <c r="Q53" s="30"/>
      <c r="R53" s="30"/>
      <c r="S53" s="30">
        <v>185</v>
      </c>
      <c r="T53" s="30">
        <v>185</v>
      </c>
      <c r="U53" s="30">
        <v>185</v>
      </c>
      <c r="V53" s="30">
        <f>ROUNDDOWN(T53/HLOOKUP(D53,Table!$C$3:$D$4,2,0)*8,2)</f>
        <v>3.28</v>
      </c>
      <c r="W53" s="30">
        <v>3</v>
      </c>
      <c r="X53" s="30" t="s">
        <v>21</v>
      </c>
      <c r="Y53" s="35">
        <v>43895</v>
      </c>
      <c r="Z53" s="35">
        <v>43901</v>
      </c>
      <c r="AA53" s="35">
        <v>43895</v>
      </c>
      <c r="AB53" s="35">
        <v>43896</v>
      </c>
      <c r="AC53" s="35"/>
      <c r="AD53" s="30">
        <v>100</v>
      </c>
      <c r="AE53" s="30">
        <v>100</v>
      </c>
      <c r="AF53" s="30">
        <v>100</v>
      </c>
      <c r="AG53" s="30"/>
      <c r="AH53" s="30"/>
    </row>
    <row r="54" spans="2:34" x14ac:dyDescent="0.25">
      <c r="B54" s="39">
        <f t="shared" si="0"/>
        <v>52</v>
      </c>
      <c r="C54" s="32">
        <v>20200303</v>
      </c>
      <c r="D54" s="30" t="s">
        <v>3</v>
      </c>
      <c r="E54" s="30" t="s">
        <v>136</v>
      </c>
      <c r="F54" s="33" t="s">
        <v>239</v>
      </c>
      <c r="G54" s="30">
        <v>1341660</v>
      </c>
      <c r="H54" s="30" t="s">
        <v>164</v>
      </c>
      <c r="I54" s="31" t="s">
        <v>235</v>
      </c>
      <c r="J54" s="30" t="s">
        <v>90</v>
      </c>
      <c r="K54" s="30" t="s">
        <v>187</v>
      </c>
      <c r="L54" s="33" t="str">
        <f t="shared" si="2"/>
        <v>-</v>
      </c>
      <c r="M54" s="33" t="s">
        <v>206</v>
      </c>
      <c r="N54" s="32"/>
      <c r="O54" s="32"/>
      <c r="P54" s="30"/>
      <c r="Q54" s="30"/>
      <c r="R54" s="30"/>
      <c r="S54" s="30">
        <v>68</v>
      </c>
      <c r="T54" s="30">
        <v>68</v>
      </c>
      <c r="U54" s="30"/>
      <c r="V54" s="30">
        <f>ROUNDDOWN(T54/HLOOKUP(D54,Table!$C$3:$D$4,2,0)*8,2)</f>
        <v>1.2</v>
      </c>
      <c r="W54" s="30"/>
      <c r="X54" s="30" t="s">
        <v>23</v>
      </c>
      <c r="Y54" s="35"/>
      <c r="Z54" s="35">
        <v>43901</v>
      </c>
      <c r="AA54" s="35"/>
      <c r="AB54" s="35"/>
      <c r="AC54" s="35"/>
      <c r="AD54" s="30"/>
      <c r="AE54" s="30"/>
      <c r="AF54" s="30"/>
      <c r="AG54" s="30"/>
      <c r="AH54" s="30"/>
    </row>
    <row r="55" spans="2:34" x14ac:dyDescent="0.25">
      <c r="B55" s="39">
        <f t="shared" si="0"/>
        <v>53</v>
      </c>
      <c r="C55" s="32">
        <v>20200303</v>
      </c>
      <c r="D55" s="30" t="s">
        <v>3</v>
      </c>
      <c r="E55" s="30" t="s">
        <v>136</v>
      </c>
      <c r="F55" s="33" t="s">
        <v>239</v>
      </c>
      <c r="G55" s="30">
        <v>1341660</v>
      </c>
      <c r="H55" s="30" t="s">
        <v>165</v>
      </c>
      <c r="I55" s="31" t="s">
        <v>235</v>
      </c>
      <c r="J55" s="30" t="s">
        <v>90</v>
      </c>
      <c r="K55" s="30" t="s">
        <v>187</v>
      </c>
      <c r="L55" s="33" t="str">
        <f t="shared" si="2"/>
        <v>-</v>
      </c>
      <c r="M55" s="33" t="s">
        <v>206</v>
      </c>
      <c r="N55" s="32"/>
      <c r="O55" s="32"/>
      <c r="P55" s="30"/>
      <c r="Q55" s="30"/>
      <c r="R55" s="30"/>
      <c r="S55" s="30">
        <v>150</v>
      </c>
      <c r="T55" s="30">
        <v>150</v>
      </c>
      <c r="U55" s="30"/>
      <c r="V55" s="30">
        <f>ROUNDDOWN(T55/HLOOKUP(D55,Table!$C$3:$D$4,2,0)*8,2)</f>
        <v>2.66</v>
      </c>
      <c r="W55" s="30"/>
      <c r="X55" s="30" t="s">
        <v>23</v>
      </c>
      <c r="Y55" s="35"/>
      <c r="Z55" s="35">
        <v>43901</v>
      </c>
      <c r="AA55" s="35"/>
      <c r="AB55" s="35"/>
      <c r="AC55" s="35"/>
      <c r="AD55" s="30"/>
      <c r="AE55" s="30"/>
      <c r="AF55" s="30"/>
      <c r="AG55" s="30"/>
      <c r="AH55" s="30"/>
    </row>
    <row r="56" spans="2:34" x14ac:dyDescent="0.25">
      <c r="B56" s="39">
        <f t="shared" si="0"/>
        <v>54</v>
      </c>
      <c r="C56" s="32">
        <v>20200303</v>
      </c>
      <c r="D56" s="30" t="s">
        <v>3</v>
      </c>
      <c r="E56" s="30" t="s">
        <v>136</v>
      </c>
      <c r="F56" s="33" t="s">
        <v>239</v>
      </c>
      <c r="G56" s="30">
        <v>1341660</v>
      </c>
      <c r="H56" s="30" t="s">
        <v>166</v>
      </c>
      <c r="I56" s="31" t="s">
        <v>235</v>
      </c>
      <c r="J56" s="30" t="s">
        <v>90</v>
      </c>
      <c r="K56" s="30" t="s">
        <v>187</v>
      </c>
      <c r="L56" s="33" t="str">
        <f t="shared" si="2"/>
        <v>-</v>
      </c>
      <c r="M56" s="33" t="s">
        <v>206</v>
      </c>
      <c r="N56" s="32"/>
      <c r="O56" s="32"/>
      <c r="P56" s="30"/>
      <c r="Q56" s="30"/>
      <c r="R56" s="30"/>
      <c r="S56" s="30">
        <v>25</v>
      </c>
      <c r="T56" s="30">
        <v>25</v>
      </c>
      <c r="U56" s="30"/>
      <c r="V56" s="30">
        <f>ROUNDDOWN(T56/HLOOKUP(D56,Table!$C$3:$D$4,2,0)*8,2)</f>
        <v>0.44</v>
      </c>
      <c r="W56" s="30"/>
      <c r="X56" s="30" t="s">
        <v>23</v>
      </c>
      <c r="Y56" s="35"/>
      <c r="Z56" s="35">
        <v>43901</v>
      </c>
      <c r="AA56" s="35"/>
      <c r="AB56" s="35"/>
      <c r="AC56" s="35"/>
      <c r="AD56" s="30"/>
      <c r="AE56" s="30"/>
      <c r="AF56" s="30"/>
      <c r="AG56" s="30"/>
      <c r="AH56" s="30"/>
    </row>
    <row r="57" spans="2:34" x14ac:dyDescent="0.25">
      <c r="B57" s="39">
        <f t="shared" si="0"/>
        <v>55</v>
      </c>
      <c r="C57" s="32">
        <v>20200303</v>
      </c>
      <c r="D57" s="30" t="s">
        <v>3</v>
      </c>
      <c r="E57" s="30" t="s">
        <v>136</v>
      </c>
      <c r="F57" s="33" t="s">
        <v>232</v>
      </c>
      <c r="G57" s="30">
        <v>1341660</v>
      </c>
      <c r="H57" s="30" t="s">
        <v>95</v>
      </c>
      <c r="I57" s="31" t="s">
        <v>235</v>
      </c>
      <c r="J57" s="30" t="s">
        <v>90</v>
      </c>
      <c r="K57" s="30" t="s">
        <v>187</v>
      </c>
      <c r="L57" s="33" t="str">
        <f t="shared" si="2"/>
        <v>-</v>
      </c>
      <c r="M57" s="33" t="s">
        <v>206</v>
      </c>
      <c r="N57" s="32"/>
      <c r="O57" s="32"/>
      <c r="P57" s="30" t="s">
        <v>106</v>
      </c>
      <c r="Q57" s="30"/>
      <c r="R57" s="30"/>
      <c r="S57" s="30">
        <v>487</v>
      </c>
      <c r="T57" s="30">
        <v>487</v>
      </c>
      <c r="U57" s="30"/>
      <c r="V57" s="30">
        <f>ROUNDDOWN(T57/HLOOKUP(D57,Table!$C$3:$D$4,2,0)*8,2)</f>
        <v>8.65</v>
      </c>
      <c r="W57" s="30">
        <v>2.4</v>
      </c>
      <c r="X57" s="30" t="s">
        <v>21</v>
      </c>
      <c r="Y57" s="35"/>
      <c r="Z57" s="35">
        <v>43901</v>
      </c>
      <c r="AA57" s="35">
        <v>43899</v>
      </c>
      <c r="AB57" s="35">
        <v>43899</v>
      </c>
      <c r="AC57" s="35" t="s">
        <v>185</v>
      </c>
      <c r="AD57" s="30">
        <v>100</v>
      </c>
      <c r="AE57" s="30">
        <v>100</v>
      </c>
      <c r="AF57" s="30">
        <v>100</v>
      </c>
      <c r="AG57" s="30"/>
      <c r="AH57" s="30"/>
    </row>
    <row r="58" spans="2:34" x14ac:dyDescent="0.25">
      <c r="B58" s="39">
        <f t="shared" si="0"/>
        <v>56</v>
      </c>
      <c r="C58" s="32">
        <v>20200303</v>
      </c>
      <c r="D58" s="30" t="s">
        <v>3</v>
      </c>
      <c r="E58" s="30" t="s">
        <v>136</v>
      </c>
      <c r="F58" s="33" t="s">
        <v>232</v>
      </c>
      <c r="G58" s="30">
        <v>1341660</v>
      </c>
      <c r="H58" s="30" t="s">
        <v>167</v>
      </c>
      <c r="I58" s="31" t="s">
        <v>235</v>
      </c>
      <c r="J58" s="30" t="s">
        <v>90</v>
      </c>
      <c r="K58" s="30" t="s">
        <v>187</v>
      </c>
      <c r="L58" s="33" t="str">
        <f t="shared" si="2"/>
        <v>-</v>
      </c>
      <c r="M58" s="33" t="s">
        <v>206</v>
      </c>
      <c r="N58" s="32"/>
      <c r="O58" s="32"/>
      <c r="P58" s="30" t="s">
        <v>105</v>
      </c>
      <c r="Q58" s="30"/>
      <c r="R58" s="30"/>
      <c r="S58" s="30">
        <v>110</v>
      </c>
      <c r="T58" s="30">
        <v>110</v>
      </c>
      <c r="U58" s="30">
        <v>110</v>
      </c>
      <c r="V58" s="30">
        <f>ROUNDDOWN(T58/HLOOKUP(D58,Table!$C$3:$D$4,2,0)*8,2)</f>
        <v>1.95</v>
      </c>
      <c r="W58" s="30">
        <v>2</v>
      </c>
      <c r="X58" s="30" t="s">
        <v>21</v>
      </c>
      <c r="Y58" s="35">
        <v>43895</v>
      </c>
      <c r="Z58" s="35">
        <v>43901</v>
      </c>
      <c r="AA58" s="35">
        <v>43895</v>
      </c>
      <c r="AB58" s="35">
        <v>43895</v>
      </c>
      <c r="AC58" s="35" t="s">
        <v>185</v>
      </c>
      <c r="AD58" s="30">
        <v>100</v>
      </c>
      <c r="AE58" s="30">
        <v>100</v>
      </c>
      <c r="AF58" s="30">
        <v>100</v>
      </c>
      <c r="AG58" s="30"/>
      <c r="AH58" s="30"/>
    </row>
    <row r="59" spans="2:34" x14ac:dyDescent="0.25">
      <c r="B59" s="39">
        <f t="shared" si="0"/>
        <v>57</v>
      </c>
      <c r="C59" s="32">
        <v>20200303</v>
      </c>
      <c r="D59" s="30" t="s">
        <v>3</v>
      </c>
      <c r="E59" s="30" t="s">
        <v>136</v>
      </c>
      <c r="F59" s="33" t="s">
        <v>232</v>
      </c>
      <c r="G59" s="30">
        <v>1341660</v>
      </c>
      <c r="H59" s="30" t="s">
        <v>168</v>
      </c>
      <c r="I59" s="31" t="s">
        <v>235</v>
      </c>
      <c r="J59" s="30" t="s">
        <v>90</v>
      </c>
      <c r="K59" s="30" t="s">
        <v>187</v>
      </c>
      <c r="L59" s="33" t="str">
        <f t="shared" si="2"/>
        <v>-</v>
      </c>
      <c r="M59" s="33" t="s">
        <v>206</v>
      </c>
      <c r="N59" s="32"/>
      <c r="O59" s="32"/>
      <c r="P59" s="30" t="s">
        <v>106</v>
      </c>
      <c r="Q59" s="30"/>
      <c r="R59" s="30"/>
      <c r="S59" s="30">
        <v>167</v>
      </c>
      <c r="T59" s="30">
        <v>167</v>
      </c>
      <c r="U59" s="30"/>
      <c r="V59" s="30">
        <f>ROUNDDOWN(T59/HLOOKUP(D59,Table!$C$3:$D$4,2,0)*8,2)</f>
        <v>2.96</v>
      </c>
      <c r="W59" s="30">
        <v>1</v>
      </c>
      <c r="X59" s="30" t="s">
        <v>21</v>
      </c>
      <c r="Y59" s="35"/>
      <c r="Z59" s="35">
        <v>43901</v>
      </c>
      <c r="AA59" s="35">
        <v>43899</v>
      </c>
      <c r="AB59" s="35">
        <v>43899</v>
      </c>
      <c r="AC59" s="35" t="s">
        <v>185</v>
      </c>
      <c r="AD59" s="30">
        <v>100</v>
      </c>
      <c r="AE59" s="30">
        <v>100</v>
      </c>
      <c r="AF59" s="30">
        <v>100</v>
      </c>
      <c r="AG59" s="30"/>
      <c r="AH59" s="30"/>
    </row>
    <row r="60" spans="2:34" x14ac:dyDescent="0.25">
      <c r="B60" s="39">
        <f t="shared" si="0"/>
        <v>58</v>
      </c>
      <c r="C60" s="32">
        <v>20200303</v>
      </c>
      <c r="D60" s="30" t="s">
        <v>3</v>
      </c>
      <c r="E60" s="30" t="s">
        <v>136</v>
      </c>
      <c r="F60" s="33" t="s">
        <v>232</v>
      </c>
      <c r="G60" s="30">
        <v>1341660</v>
      </c>
      <c r="H60" s="30" t="s">
        <v>169</v>
      </c>
      <c r="I60" s="31" t="s">
        <v>235</v>
      </c>
      <c r="J60" s="30" t="s">
        <v>90</v>
      </c>
      <c r="K60" s="30" t="s">
        <v>187</v>
      </c>
      <c r="L60" s="33" t="str">
        <f t="shared" si="2"/>
        <v>-</v>
      </c>
      <c r="M60" s="33" t="s">
        <v>206</v>
      </c>
      <c r="N60" s="32"/>
      <c r="O60" s="32"/>
      <c r="P60" s="30"/>
      <c r="Q60" s="30"/>
      <c r="R60" s="30"/>
      <c r="S60" s="30">
        <v>42</v>
      </c>
      <c r="T60" s="30">
        <v>42</v>
      </c>
      <c r="U60" s="30"/>
      <c r="V60" s="30">
        <f>ROUNDDOWN(T60/HLOOKUP(D60,Table!$C$3:$D$4,2,0)*8,2)</f>
        <v>0.74</v>
      </c>
      <c r="W60" s="30"/>
      <c r="X60" s="30" t="s">
        <v>23</v>
      </c>
      <c r="Y60" s="35"/>
      <c r="Z60" s="35">
        <v>43901</v>
      </c>
      <c r="AA60" s="35"/>
      <c r="AB60" s="35"/>
      <c r="AC60" s="35"/>
      <c r="AD60" s="30"/>
      <c r="AE60" s="30"/>
      <c r="AF60" s="30"/>
      <c r="AG60" s="30"/>
      <c r="AH60" s="30"/>
    </row>
    <row r="61" spans="2:34" x14ac:dyDescent="0.25">
      <c r="B61" s="39">
        <f t="shared" si="0"/>
        <v>59</v>
      </c>
      <c r="C61" s="30">
        <v>20200303</v>
      </c>
      <c r="D61" s="30" t="s">
        <v>3</v>
      </c>
      <c r="E61" s="30" t="s">
        <v>136</v>
      </c>
      <c r="F61" s="33" t="s">
        <v>232</v>
      </c>
      <c r="G61" s="30">
        <v>1341660</v>
      </c>
      <c r="H61" s="30" t="s">
        <v>170</v>
      </c>
      <c r="I61" s="31" t="s">
        <v>235</v>
      </c>
      <c r="J61" s="30" t="s">
        <v>90</v>
      </c>
      <c r="K61" s="30" t="s">
        <v>187</v>
      </c>
      <c r="L61" s="33" t="str">
        <f t="shared" si="2"/>
        <v>-</v>
      </c>
      <c r="M61" s="33" t="s">
        <v>206</v>
      </c>
      <c r="N61" s="32"/>
      <c r="O61" s="32"/>
      <c r="P61" s="30"/>
      <c r="Q61" s="30"/>
      <c r="R61" s="30"/>
      <c r="S61" s="30">
        <v>40</v>
      </c>
      <c r="T61" s="30">
        <v>40</v>
      </c>
      <c r="U61" s="30"/>
      <c r="V61" s="30">
        <f>ROUNDDOWN(T61/HLOOKUP(D61,Table!$C$3:$D$4,2,0)*8,2)</f>
        <v>0.71</v>
      </c>
      <c r="W61" s="30"/>
      <c r="X61" s="30" t="s">
        <v>23</v>
      </c>
      <c r="Y61" s="35"/>
      <c r="Z61" s="35">
        <v>43901</v>
      </c>
      <c r="AA61" s="35"/>
      <c r="AB61" s="35"/>
      <c r="AC61" s="35"/>
      <c r="AD61" s="30"/>
      <c r="AE61" s="30"/>
      <c r="AF61" s="30"/>
      <c r="AG61" s="30"/>
      <c r="AH61" s="30"/>
    </row>
    <row r="62" spans="2:34" x14ac:dyDescent="0.25">
      <c r="B62" s="39">
        <f t="shared" si="0"/>
        <v>60</v>
      </c>
      <c r="C62" s="30">
        <v>20200303</v>
      </c>
      <c r="D62" s="30" t="s">
        <v>3</v>
      </c>
      <c r="E62" s="30" t="s">
        <v>136</v>
      </c>
      <c r="F62" s="33" t="s">
        <v>173</v>
      </c>
      <c r="G62" s="30">
        <v>1341660</v>
      </c>
      <c r="H62" s="30" t="s">
        <v>171</v>
      </c>
      <c r="I62" s="31" t="s">
        <v>235</v>
      </c>
      <c r="J62" s="30" t="s">
        <v>90</v>
      </c>
      <c r="K62" s="30" t="s">
        <v>187</v>
      </c>
      <c r="L62" s="33" t="str">
        <f t="shared" si="2"/>
        <v>-</v>
      </c>
      <c r="M62" s="33" t="s">
        <v>206</v>
      </c>
      <c r="N62" s="32"/>
      <c r="O62" s="32"/>
      <c r="P62" s="30"/>
      <c r="Q62" s="30"/>
      <c r="R62" s="30"/>
      <c r="S62" s="30">
        <v>44</v>
      </c>
      <c r="T62" s="30">
        <v>44</v>
      </c>
      <c r="U62" s="30"/>
      <c r="V62" s="30">
        <f>ROUNDDOWN(T62/HLOOKUP(D62,Table!$C$3:$D$4,2,0)*8,2)</f>
        <v>0.78</v>
      </c>
      <c r="W62" s="30"/>
      <c r="X62" s="30" t="s">
        <v>23</v>
      </c>
      <c r="Y62" s="35"/>
      <c r="Z62" s="35">
        <v>43901</v>
      </c>
      <c r="AA62" s="35"/>
      <c r="AB62" s="35"/>
      <c r="AC62" s="35"/>
      <c r="AD62" s="30"/>
      <c r="AE62" s="30"/>
      <c r="AF62" s="30"/>
      <c r="AG62" s="30"/>
      <c r="AH62" s="30"/>
    </row>
    <row r="63" spans="2:34" x14ac:dyDescent="0.25">
      <c r="B63" s="39">
        <f t="shared" si="0"/>
        <v>61</v>
      </c>
      <c r="C63" s="30">
        <v>20200303</v>
      </c>
      <c r="D63" s="30" t="s">
        <v>3</v>
      </c>
      <c r="E63" s="30" t="s">
        <v>136</v>
      </c>
      <c r="F63" s="33" t="s">
        <v>173</v>
      </c>
      <c r="G63" s="30">
        <v>1341660</v>
      </c>
      <c r="H63" s="30" t="s">
        <v>172</v>
      </c>
      <c r="I63" s="31" t="s">
        <v>235</v>
      </c>
      <c r="J63" s="30" t="s">
        <v>90</v>
      </c>
      <c r="K63" s="30" t="s">
        <v>187</v>
      </c>
      <c r="L63" s="33" t="str">
        <f t="shared" si="2"/>
        <v>-</v>
      </c>
      <c r="M63" s="33" t="s">
        <v>206</v>
      </c>
      <c r="N63" s="32"/>
      <c r="O63" s="32"/>
      <c r="P63" s="30"/>
      <c r="Q63" s="30"/>
      <c r="R63" s="30"/>
      <c r="S63" s="30">
        <v>29</v>
      </c>
      <c r="T63" s="30">
        <v>29</v>
      </c>
      <c r="U63" s="30"/>
      <c r="V63" s="30">
        <f>ROUNDDOWN(T63/HLOOKUP(D63,Table!$C$3:$D$4,2,0)*8,2)</f>
        <v>0.51</v>
      </c>
      <c r="W63" s="30"/>
      <c r="X63" s="30" t="s">
        <v>23</v>
      </c>
      <c r="Y63" s="35"/>
      <c r="Z63" s="35">
        <v>43901</v>
      </c>
      <c r="AA63" s="35"/>
      <c r="AB63" s="35"/>
      <c r="AC63" s="35"/>
      <c r="AD63" s="30"/>
      <c r="AE63" s="30"/>
      <c r="AF63" s="30"/>
      <c r="AG63" s="30"/>
      <c r="AH63" s="30"/>
    </row>
    <row r="64" spans="2:34" x14ac:dyDescent="0.25">
      <c r="B64" s="39">
        <f t="shared" si="0"/>
        <v>62</v>
      </c>
      <c r="C64" s="30">
        <v>20200303</v>
      </c>
      <c r="D64" s="30" t="s">
        <v>3</v>
      </c>
      <c r="E64" s="30" t="s">
        <v>136</v>
      </c>
      <c r="F64" s="33" t="s">
        <v>173</v>
      </c>
      <c r="G64" s="30">
        <v>1341660</v>
      </c>
      <c r="H64" s="30" t="s">
        <v>167</v>
      </c>
      <c r="I64" s="31" t="s">
        <v>235</v>
      </c>
      <c r="J64" s="30" t="s">
        <v>90</v>
      </c>
      <c r="K64" s="30" t="s">
        <v>187</v>
      </c>
      <c r="L64" s="33" t="str">
        <f t="shared" si="2"/>
        <v>-</v>
      </c>
      <c r="M64" s="33" t="s">
        <v>206</v>
      </c>
      <c r="N64" s="32"/>
      <c r="O64" s="32"/>
      <c r="P64" s="30"/>
      <c r="Q64" s="30"/>
      <c r="R64" s="30"/>
      <c r="S64" s="30">
        <v>110</v>
      </c>
      <c r="T64" s="30">
        <v>110</v>
      </c>
      <c r="U64" s="30"/>
      <c r="V64" s="30">
        <f>ROUNDDOWN(T64/HLOOKUP(D64,Table!$C$3:$D$4,2,0)*8,2)</f>
        <v>1.95</v>
      </c>
      <c r="W64" s="30"/>
      <c r="X64" s="30" t="s">
        <v>23</v>
      </c>
      <c r="Y64" s="35"/>
      <c r="Z64" s="35">
        <v>43901</v>
      </c>
      <c r="AA64" s="35"/>
      <c r="AB64" s="35"/>
      <c r="AC64" s="35"/>
      <c r="AD64" s="30"/>
      <c r="AE64" s="30"/>
      <c r="AF64" s="30"/>
      <c r="AG64" s="30"/>
      <c r="AH64" s="30"/>
    </row>
    <row r="65" spans="2:34" x14ac:dyDescent="0.25">
      <c r="B65" s="39">
        <f t="shared" si="0"/>
        <v>63</v>
      </c>
      <c r="C65" s="30">
        <v>20200303</v>
      </c>
      <c r="D65" s="30" t="s">
        <v>3</v>
      </c>
      <c r="E65" s="30" t="s">
        <v>136</v>
      </c>
      <c r="F65" s="33" t="s">
        <v>173</v>
      </c>
      <c r="G65" s="30">
        <v>1341660</v>
      </c>
      <c r="H65" s="30" t="s">
        <v>169</v>
      </c>
      <c r="I65" s="31" t="s">
        <v>235</v>
      </c>
      <c r="J65" s="30" t="s">
        <v>90</v>
      </c>
      <c r="K65" s="30" t="s">
        <v>187</v>
      </c>
      <c r="L65" s="33" t="str">
        <f t="shared" si="2"/>
        <v>-</v>
      </c>
      <c r="M65" s="33" t="s">
        <v>206</v>
      </c>
      <c r="N65" s="32"/>
      <c r="O65" s="32"/>
      <c r="P65" s="30"/>
      <c r="Q65" s="30"/>
      <c r="R65" s="30"/>
      <c r="S65" s="30">
        <v>42</v>
      </c>
      <c r="T65" s="30">
        <v>42</v>
      </c>
      <c r="U65" s="30"/>
      <c r="V65" s="30">
        <f>ROUNDDOWN(T65/HLOOKUP(D65,Table!$C$3:$D$4,2,0)*8,2)</f>
        <v>0.74</v>
      </c>
      <c r="W65" s="30"/>
      <c r="X65" s="30" t="s">
        <v>23</v>
      </c>
      <c r="Y65" s="35"/>
      <c r="Z65" s="35">
        <v>43901</v>
      </c>
      <c r="AA65" s="35"/>
      <c r="AB65" s="35"/>
      <c r="AC65" s="35"/>
      <c r="AD65" s="30"/>
      <c r="AE65" s="30"/>
      <c r="AF65" s="30"/>
      <c r="AG65" s="30"/>
      <c r="AH65" s="30"/>
    </row>
    <row r="66" spans="2:34" x14ac:dyDescent="0.25">
      <c r="B66" s="39">
        <f t="shared" si="0"/>
        <v>64</v>
      </c>
      <c r="C66" s="30">
        <v>20200303</v>
      </c>
      <c r="D66" s="30" t="s">
        <v>3</v>
      </c>
      <c r="E66" s="30" t="s">
        <v>136</v>
      </c>
      <c r="F66" s="33" t="s">
        <v>173</v>
      </c>
      <c r="G66" s="30">
        <v>1341660</v>
      </c>
      <c r="H66" s="30" t="s">
        <v>171</v>
      </c>
      <c r="I66" s="31" t="s">
        <v>235</v>
      </c>
      <c r="J66" s="30" t="s">
        <v>90</v>
      </c>
      <c r="K66" s="30" t="s">
        <v>187</v>
      </c>
      <c r="L66" s="33" t="str">
        <f t="shared" si="2"/>
        <v>-</v>
      </c>
      <c r="M66" s="33" t="s">
        <v>206</v>
      </c>
      <c r="N66" s="32"/>
      <c r="O66" s="32"/>
      <c r="P66" s="30"/>
      <c r="Q66" s="30"/>
      <c r="R66" s="30"/>
      <c r="S66" s="30">
        <v>44</v>
      </c>
      <c r="T66" s="30">
        <v>44</v>
      </c>
      <c r="U66" s="30"/>
      <c r="V66" s="30">
        <f>ROUNDDOWN(T66/HLOOKUP(D66,Table!$C$3:$D$4,2,0)*8,2)</f>
        <v>0.78</v>
      </c>
      <c r="W66" s="30"/>
      <c r="X66" s="30" t="s">
        <v>23</v>
      </c>
      <c r="Y66" s="35"/>
      <c r="Z66" s="35">
        <v>43901</v>
      </c>
      <c r="AA66" s="35"/>
      <c r="AB66" s="35"/>
      <c r="AC66" s="35"/>
      <c r="AD66" s="30"/>
      <c r="AE66" s="30"/>
      <c r="AF66" s="30"/>
      <c r="AG66" s="30"/>
      <c r="AH66" s="30"/>
    </row>
    <row r="67" spans="2:34" x14ac:dyDescent="0.25">
      <c r="B67" s="39">
        <f t="shared" si="0"/>
        <v>65</v>
      </c>
      <c r="C67" s="30">
        <v>20200305</v>
      </c>
      <c r="D67" s="30" t="s">
        <v>3</v>
      </c>
      <c r="E67" s="30" t="s">
        <v>261</v>
      </c>
      <c r="F67" s="33" t="s">
        <v>257</v>
      </c>
      <c r="G67" s="30">
        <v>1359400</v>
      </c>
      <c r="H67" s="30" t="s">
        <v>262</v>
      </c>
      <c r="I67" s="30" t="s">
        <v>234</v>
      </c>
      <c r="J67" s="30" t="s">
        <v>90</v>
      </c>
      <c r="K67" s="30" t="s">
        <v>111</v>
      </c>
      <c r="L67" s="33" t="str">
        <f t="shared" si="2"/>
        <v>-</v>
      </c>
      <c r="M67" s="33" t="s">
        <v>268</v>
      </c>
      <c r="N67" s="32"/>
      <c r="O67" s="32"/>
      <c r="P67" s="30"/>
      <c r="Q67" s="30"/>
      <c r="R67" s="30"/>
      <c r="S67" s="30">
        <v>117</v>
      </c>
      <c r="T67" s="30"/>
      <c r="U67" s="30"/>
      <c r="V67" s="30"/>
      <c r="W67" s="30"/>
      <c r="X67" s="30"/>
      <c r="Y67" s="35"/>
      <c r="Z67" s="35">
        <v>43901</v>
      </c>
      <c r="AA67" s="38"/>
      <c r="AB67" s="38"/>
      <c r="AC67" s="38"/>
      <c r="AD67" s="30"/>
      <c r="AE67" s="30"/>
      <c r="AF67" s="30"/>
      <c r="AG67" s="30"/>
      <c r="AH67" s="30"/>
    </row>
    <row r="68" spans="2:34" x14ac:dyDescent="0.25">
      <c r="B68" s="39">
        <f t="shared" si="0"/>
        <v>66</v>
      </c>
      <c r="C68" s="30">
        <v>20200305</v>
      </c>
      <c r="D68" s="30" t="s">
        <v>3</v>
      </c>
      <c r="E68" s="30" t="s">
        <v>93</v>
      </c>
      <c r="F68" s="33" t="s">
        <v>258</v>
      </c>
      <c r="G68" s="30">
        <v>1357606</v>
      </c>
      <c r="H68" s="30" t="s">
        <v>263</v>
      </c>
      <c r="I68" s="30" t="s">
        <v>234</v>
      </c>
      <c r="J68" s="30" t="s">
        <v>90</v>
      </c>
      <c r="K68" s="30" t="s">
        <v>111</v>
      </c>
      <c r="L68" s="33" t="str">
        <f t="shared" si="2"/>
        <v>-</v>
      </c>
      <c r="M68" s="33" t="s">
        <v>269</v>
      </c>
      <c r="N68" s="32"/>
      <c r="O68" s="32"/>
      <c r="P68" s="30"/>
      <c r="Q68" s="30"/>
      <c r="R68" s="30"/>
      <c r="S68" s="30">
        <v>55</v>
      </c>
      <c r="T68" s="30"/>
      <c r="U68" s="30"/>
      <c r="V68" s="30"/>
      <c r="W68" s="30"/>
      <c r="X68" s="30"/>
      <c r="Y68" s="35"/>
      <c r="Z68" s="35">
        <v>43901</v>
      </c>
      <c r="AA68" s="38"/>
      <c r="AB68" s="38"/>
      <c r="AC68" s="38"/>
      <c r="AD68" s="30"/>
      <c r="AE68" s="30"/>
      <c r="AF68" s="30"/>
      <c r="AG68" s="30"/>
      <c r="AH68" s="30"/>
    </row>
    <row r="69" spans="2:34" x14ac:dyDescent="0.25">
      <c r="B69" s="39">
        <f t="shared" ref="B69:B88" si="3">B68+1</f>
        <v>67</v>
      </c>
      <c r="C69" s="30">
        <v>20200305</v>
      </c>
      <c r="D69" s="30" t="s">
        <v>3</v>
      </c>
      <c r="E69" s="30" t="s">
        <v>93</v>
      </c>
      <c r="F69" s="33" t="s">
        <v>259</v>
      </c>
      <c r="G69" s="30">
        <v>1357606</v>
      </c>
      <c r="H69" s="30" t="s">
        <v>264</v>
      </c>
      <c r="I69" s="30" t="s">
        <v>234</v>
      </c>
      <c r="J69" s="30" t="s">
        <v>90</v>
      </c>
      <c r="K69" s="30" t="s">
        <v>111</v>
      </c>
      <c r="L69" s="33" t="str">
        <f t="shared" si="2"/>
        <v>-</v>
      </c>
      <c r="M69" s="33" t="s">
        <v>269</v>
      </c>
      <c r="N69" s="32"/>
      <c r="O69" s="32"/>
      <c r="P69" s="30"/>
      <c r="Q69" s="30"/>
      <c r="R69" s="30"/>
      <c r="S69" s="30">
        <v>60</v>
      </c>
      <c r="T69" s="30"/>
      <c r="U69" s="30"/>
      <c r="V69" s="30"/>
      <c r="W69" s="30"/>
      <c r="X69" s="30"/>
      <c r="Y69" s="35"/>
      <c r="Z69" s="35">
        <v>43901</v>
      </c>
      <c r="AA69" s="38"/>
      <c r="AB69" s="38"/>
      <c r="AC69" s="38"/>
      <c r="AD69" s="30"/>
      <c r="AE69" s="30"/>
      <c r="AF69" s="30"/>
      <c r="AG69" s="30"/>
      <c r="AH69" s="30"/>
    </row>
    <row r="70" spans="2:34" x14ac:dyDescent="0.25">
      <c r="B70" s="39">
        <f t="shared" si="3"/>
        <v>68</v>
      </c>
      <c r="C70" s="30">
        <v>20200305</v>
      </c>
      <c r="D70" s="30" t="s">
        <v>3</v>
      </c>
      <c r="E70" s="30" t="s">
        <v>93</v>
      </c>
      <c r="F70" s="33" t="s">
        <v>259</v>
      </c>
      <c r="G70" s="30">
        <v>1357606</v>
      </c>
      <c r="H70" s="30" t="s">
        <v>265</v>
      </c>
      <c r="I70" s="30" t="s">
        <v>234</v>
      </c>
      <c r="J70" s="30" t="s">
        <v>90</v>
      </c>
      <c r="K70" s="30" t="s">
        <v>111</v>
      </c>
      <c r="L70" s="33" t="str">
        <f t="shared" si="2"/>
        <v>-</v>
      </c>
      <c r="M70" s="33" t="s">
        <v>269</v>
      </c>
      <c r="N70" s="32"/>
      <c r="O70" s="32"/>
      <c r="P70" s="30"/>
      <c r="Q70" s="30"/>
      <c r="R70" s="30"/>
      <c r="S70" s="30">
        <v>30</v>
      </c>
      <c r="T70" s="30"/>
      <c r="U70" s="30"/>
      <c r="V70" s="30"/>
      <c r="W70" s="30"/>
      <c r="X70" s="30"/>
      <c r="Y70" s="35"/>
      <c r="Z70" s="35">
        <v>43901</v>
      </c>
      <c r="AA70" s="38"/>
      <c r="AB70" s="38"/>
      <c r="AC70" s="38"/>
      <c r="AD70" s="30"/>
      <c r="AE70" s="30"/>
      <c r="AF70" s="30"/>
      <c r="AG70" s="30"/>
      <c r="AH70" s="30"/>
    </row>
    <row r="71" spans="2:34" x14ac:dyDescent="0.25">
      <c r="B71" s="39">
        <f t="shared" si="3"/>
        <v>69</v>
      </c>
      <c r="C71" s="30">
        <v>20200305</v>
      </c>
      <c r="D71" s="30" t="s">
        <v>3</v>
      </c>
      <c r="E71" s="30" t="s">
        <v>93</v>
      </c>
      <c r="F71" s="33" t="s">
        <v>259</v>
      </c>
      <c r="G71" s="30">
        <v>1357606</v>
      </c>
      <c r="H71" s="30" t="s">
        <v>266</v>
      </c>
      <c r="I71" s="30" t="s">
        <v>234</v>
      </c>
      <c r="J71" s="30" t="s">
        <v>90</v>
      </c>
      <c r="K71" s="30" t="s">
        <v>111</v>
      </c>
      <c r="L71" s="33" t="str">
        <f t="shared" si="2"/>
        <v>-</v>
      </c>
      <c r="M71" s="33" t="s">
        <v>269</v>
      </c>
      <c r="N71" s="32"/>
      <c r="O71" s="32"/>
      <c r="P71" s="30"/>
      <c r="Q71" s="30"/>
      <c r="R71" s="30"/>
      <c r="S71" s="30">
        <v>34</v>
      </c>
      <c r="T71" s="30"/>
      <c r="U71" s="30"/>
      <c r="V71" s="30"/>
      <c r="W71" s="30"/>
      <c r="X71" s="30"/>
      <c r="Y71" s="35"/>
      <c r="Z71" s="35">
        <v>43901</v>
      </c>
      <c r="AA71" s="38"/>
      <c r="AB71" s="38"/>
      <c r="AC71" s="38"/>
      <c r="AD71" s="30"/>
      <c r="AE71" s="30"/>
      <c r="AF71" s="30"/>
      <c r="AG71" s="30"/>
      <c r="AH71" s="30"/>
    </row>
    <row r="72" spans="2:34" x14ac:dyDescent="0.25">
      <c r="B72" s="39">
        <f t="shared" si="3"/>
        <v>70</v>
      </c>
      <c r="C72" s="30">
        <v>20200305</v>
      </c>
      <c r="D72" s="30" t="s">
        <v>3</v>
      </c>
      <c r="E72" s="30" t="s">
        <v>93</v>
      </c>
      <c r="F72" s="33" t="s">
        <v>259</v>
      </c>
      <c r="G72" s="30">
        <v>1357606</v>
      </c>
      <c r="H72" s="30" t="s">
        <v>84</v>
      </c>
      <c r="I72" s="30" t="s">
        <v>234</v>
      </c>
      <c r="J72" s="30" t="s">
        <v>90</v>
      </c>
      <c r="K72" s="30" t="s">
        <v>111</v>
      </c>
      <c r="L72" s="33" t="str">
        <f t="shared" si="2"/>
        <v>-</v>
      </c>
      <c r="M72" s="33" t="s">
        <v>269</v>
      </c>
      <c r="N72" s="32"/>
      <c r="O72" s="32"/>
      <c r="P72" s="30"/>
      <c r="Q72" s="30"/>
      <c r="R72" s="30"/>
      <c r="S72" s="30">
        <v>357</v>
      </c>
      <c r="T72" s="30"/>
      <c r="U72" s="30"/>
      <c r="V72" s="30"/>
      <c r="W72" s="30"/>
      <c r="X72" s="30"/>
      <c r="Y72" s="35"/>
      <c r="Z72" s="35">
        <v>43901</v>
      </c>
      <c r="AA72" s="38"/>
      <c r="AB72" s="38"/>
      <c r="AC72" s="38"/>
      <c r="AD72" s="30"/>
      <c r="AE72" s="30"/>
      <c r="AF72" s="30"/>
      <c r="AG72" s="30"/>
      <c r="AH72" s="30"/>
    </row>
    <row r="73" spans="2:34" x14ac:dyDescent="0.25">
      <c r="B73" s="39">
        <f t="shared" si="3"/>
        <v>71</v>
      </c>
      <c r="C73" s="30">
        <v>20200305</v>
      </c>
      <c r="D73" s="30" t="s">
        <v>3</v>
      </c>
      <c r="E73" s="30" t="s">
        <v>93</v>
      </c>
      <c r="F73" s="33" t="s">
        <v>260</v>
      </c>
      <c r="G73" s="30">
        <v>1357606</v>
      </c>
      <c r="H73" s="30" t="s">
        <v>267</v>
      </c>
      <c r="I73" s="30" t="s">
        <v>234</v>
      </c>
      <c r="J73" s="30" t="s">
        <v>90</v>
      </c>
      <c r="K73" s="30" t="s">
        <v>111</v>
      </c>
      <c r="L73" s="33" t="str">
        <f t="shared" si="2"/>
        <v>-</v>
      </c>
      <c r="M73" s="33" t="s">
        <v>269</v>
      </c>
      <c r="N73" s="32"/>
      <c r="O73" s="32"/>
      <c r="P73" s="30"/>
      <c r="Q73" s="30"/>
      <c r="R73" s="30"/>
      <c r="S73" s="30">
        <v>431</v>
      </c>
      <c r="T73" s="30"/>
      <c r="U73" s="30"/>
      <c r="V73" s="30"/>
      <c r="W73" s="30"/>
      <c r="X73" s="30"/>
      <c r="Y73" s="35"/>
      <c r="Z73" s="35">
        <v>43901</v>
      </c>
      <c r="AA73" s="38"/>
      <c r="AB73" s="38"/>
      <c r="AC73" s="38"/>
      <c r="AD73" s="30"/>
      <c r="AE73" s="30"/>
      <c r="AF73" s="30"/>
      <c r="AG73" s="30"/>
      <c r="AH73" s="30"/>
    </row>
    <row r="74" spans="2:34" ht="15.75" thickBot="1" x14ac:dyDescent="0.3">
      <c r="B74" s="39">
        <f t="shared" si="3"/>
        <v>72</v>
      </c>
      <c r="C74" s="30">
        <v>20200304</v>
      </c>
      <c r="D74" s="30" t="s">
        <v>3</v>
      </c>
      <c r="E74" s="30" t="s">
        <v>270</v>
      </c>
      <c r="F74" s="33" t="s">
        <v>271</v>
      </c>
      <c r="G74" s="63">
        <v>1357257</v>
      </c>
      <c r="H74" s="62" t="s">
        <v>280</v>
      </c>
      <c r="I74" s="31" t="s">
        <v>235</v>
      </c>
      <c r="J74" s="30" t="s">
        <v>90</v>
      </c>
      <c r="K74" s="30" t="s">
        <v>294</v>
      </c>
      <c r="L74" s="33" t="str">
        <f t="shared" si="2"/>
        <v>-</v>
      </c>
      <c r="M74" s="33" t="s">
        <v>295</v>
      </c>
      <c r="N74" s="32"/>
      <c r="O74" s="32"/>
      <c r="P74" s="30"/>
      <c r="Q74" s="30"/>
      <c r="R74" s="30"/>
      <c r="S74" s="64">
        <v>1993</v>
      </c>
      <c r="T74" s="30"/>
      <c r="U74" s="30"/>
      <c r="V74" s="30"/>
      <c r="W74" s="30"/>
      <c r="X74" s="30"/>
      <c r="Y74" s="35"/>
      <c r="Z74" s="35">
        <v>43902</v>
      </c>
      <c r="AA74" s="38"/>
      <c r="AB74" s="38"/>
      <c r="AC74" s="38"/>
      <c r="AD74" s="30"/>
      <c r="AE74" s="30"/>
      <c r="AF74" s="30"/>
      <c r="AG74" s="30"/>
      <c r="AH74" s="30"/>
    </row>
    <row r="75" spans="2:34" ht="15.75" thickBot="1" x14ac:dyDescent="0.3">
      <c r="B75" s="39">
        <f t="shared" si="3"/>
        <v>73</v>
      </c>
      <c r="C75" s="30">
        <v>20200304</v>
      </c>
      <c r="D75" s="30" t="s">
        <v>3</v>
      </c>
      <c r="E75" s="30" t="s">
        <v>270</v>
      </c>
      <c r="F75" s="33" t="s">
        <v>271</v>
      </c>
      <c r="G75" s="63">
        <v>1357257</v>
      </c>
      <c r="H75" s="62" t="s">
        <v>281</v>
      </c>
      <c r="I75" s="31" t="s">
        <v>235</v>
      </c>
      <c r="J75" s="30" t="s">
        <v>90</v>
      </c>
      <c r="K75" s="30" t="s">
        <v>294</v>
      </c>
      <c r="L75" s="33" t="str">
        <f t="shared" si="2"/>
        <v>-</v>
      </c>
      <c r="M75" s="33" t="s">
        <v>295</v>
      </c>
      <c r="N75" s="32"/>
      <c r="O75" s="32"/>
      <c r="P75" s="30"/>
      <c r="Q75" s="30"/>
      <c r="R75" s="30"/>
      <c r="S75" s="64">
        <v>489</v>
      </c>
      <c r="T75" s="30"/>
      <c r="U75" s="30"/>
      <c r="V75" s="30"/>
      <c r="W75" s="30"/>
      <c r="X75" s="30"/>
      <c r="Y75" s="35"/>
      <c r="Z75" s="35">
        <v>43902</v>
      </c>
      <c r="AA75" s="38"/>
      <c r="AB75" s="38"/>
      <c r="AC75" s="38"/>
      <c r="AD75" s="30"/>
      <c r="AE75" s="30"/>
      <c r="AF75" s="30"/>
      <c r="AG75" s="30"/>
      <c r="AH75" s="30"/>
    </row>
    <row r="76" spans="2:34" ht="15.75" thickBot="1" x14ac:dyDescent="0.3">
      <c r="B76" s="39">
        <f t="shared" si="3"/>
        <v>74</v>
      </c>
      <c r="C76" s="30">
        <v>20200304</v>
      </c>
      <c r="D76" s="30" t="s">
        <v>3</v>
      </c>
      <c r="E76" s="30" t="s">
        <v>270</v>
      </c>
      <c r="F76" s="33" t="s">
        <v>271</v>
      </c>
      <c r="G76" s="63">
        <v>1357257</v>
      </c>
      <c r="H76" s="62" t="s">
        <v>282</v>
      </c>
      <c r="I76" s="31" t="s">
        <v>235</v>
      </c>
      <c r="J76" s="30" t="s">
        <v>90</v>
      </c>
      <c r="K76" s="30" t="s">
        <v>294</v>
      </c>
      <c r="L76" s="33" t="str">
        <f t="shared" si="2"/>
        <v>-</v>
      </c>
      <c r="M76" s="33" t="s">
        <v>295</v>
      </c>
      <c r="N76" s="32"/>
      <c r="O76" s="32"/>
      <c r="P76" s="30"/>
      <c r="Q76" s="30"/>
      <c r="R76" s="30"/>
      <c r="S76" s="64">
        <v>593</v>
      </c>
      <c r="T76" s="30"/>
      <c r="U76" s="30"/>
      <c r="V76" s="30"/>
      <c r="W76" s="30"/>
      <c r="X76" s="30"/>
      <c r="Y76" s="35"/>
      <c r="Z76" s="35">
        <v>43902</v>
      </c>
      <c r="AA76" s="38"/>
      <c r="AB76" s="38"/>
      <c r="AC76" s="38"/>
      <c r="AD76" s="30"/>
      <c r="AE76" s="30"/>
      <c r="AF76" s="30"/>
      <c r="AG76" s="30"/>
      <c r="AH76" s="30"/>
    </row>
    <row r="77" spans="2:34" ht="15.75" thickBot="1" x14ac:dyDescent="0.3">
      <c r="B77" s="39">
        <f t="shared" si="3"/>
        <v>75</v>
      </c>
      <c r="C77" s="30">
        <v>20200304</v>
      </c>
      <c r="D77" s="30" t="s">
        <v>3</v>
      </c>
      <c r="E77" s="30" t="s">
        <v>270</v>
      </c>
      <c r="F77" s="33" t="s">
        <v>272</v>
      </c>
      <c r="G77" s="64">
        <v>1357355</v>
      </c>
      <c r="H77" s="62" t="s">
        <v>283</v>
      </c>
      <c r="I77" s="31" t="s">
        <v>235</v>
      </c>
      <c r="J77" s="30" t="s">
        <v>90</v>
      </c>
      <c r="K77" s="30" t="s">
        <v>294</v>
      </c>
      <c r="L77" s="33" t="str">
        <f t="shared" si="2"/>
        <v>-</v>
      </c>
      <c r="M77" s="33" t="s">
        <v>296</v>
      </c>
      <c r="N77" s="32"/>
      <c r="O77" s="32"/>
      <c r="P77" s="30"/>
      <c r="Q77" s="30"/>
      <c r="R77" s="30"/>
      <c r="S77" s="64">
        <v>165</v>
      </c>
      <c r="T77" s="30"/>
      <c r="U77" s="30"/>
      <c r="V77" s="30"/>
      <c r="W77" s="30"/>
      <c r="X77" s="30"/>
      <c r="Y77" s="35"/>
      <c r="Z77" s="35">
        <v>43902</v>
      </c>
      <c r="AA77" s="38"/>
      <c r="AB77" s="38"/>
      <c r="AC77" s="38"/>
      <c r="AD77" s="30"/>
      <c r="AE77" s="30"/>
      <c r="AF77" s="30"/>
      <c r="AG77" s="30"/>
      <c r="AH77" s="30"/>
    </row>
    <row r="78" spans="2:34" ht="15.75" thickBot="1" x14ac:dyDescent="0.3">
      <c r="B78" s="39">
        <f t="shared" si="3"/>
        <v>76</v>
      </c>
      <c r="C78" s="30">
        <v>20200304</v>
      </c>
      <c r="D78" s="30" t="s">
        <v>3</v>
      </c>
      <c r="E78" s="30" t="s">
        <v>270</v>
      </c>
      <c r="F78" s="33" t="s">
        <v>273</v>
      </c>
      <c r="G78" s="64">
        <v>1357355</v>
      </c>
      <c r="H78" s="62" t="s">
        <v>284</v>
      </c>
      <c r="I78" s="31" t="s">
        <v>235</v>
      </c>
      <c r="J78" s="30" t="s">
        <v>90</v>
      </c>
      <c r="K78" s="30" t="s">
        <v>294</v>
      </c>
      <c r="L78" s="33" t="str">
        <f t="shared" si="2"/>
        <v>-</v>
      </c>
      <c r="M78" s="33" t="s">
        <v>296</v>
      </c>
      <c r="N78" s="32"/>
      <c r="O78" s="32"/>
      <c r="P78" s="30"/>
      <c r="Q78" s="30"/>
      <c r="R78" s="30"/>
      <c r="S78" s="64">
        <v>8</v>
      </c>
      <c r="T78" s="30"/>
      <c r="U78" s="30"/>
      <c r="V78" s="30"/>
      <c r="W78" s="30"/>
      <c r="X78" s="30"/>
      <c r="Y78" s="35"/>
      <c r="Z78" s="35">
        <v>43902</v>
      </c>
      <c r="AA78" s="38"/>
      <c r="AB78" s="38"/>
      <c r="AC78" s="38"/>
      <c r="AD78" s="30"/>
      <c r="AE78" s="30"/>
      <c r="AF78" s="30"/>
      <c r="AG78" s="30"/>
      <c r="AH78" s="30"/>
    </row>
    <row r="79" spans="2:34" ht="15.75" thickBot="1" x14ac:dyDescent="0.3">
      <c r="B79" s="39">
        <f t="shared" si="3"/>
        <v>77</v>
      </c>
      <c r="C79" s="30">
        <v>20200304</v>
      </c>
      <c r="D79" s="30" t="s">
        <v>3</v>
      </c>
      <c r="E79" s="30" t="s">
        <v>270</v>
      </c>
      <c r="F79" s="33" t="s">
        <v>274</v>
      </c>
      <c r="G79" s="64">
        <v>1357355</v>
      </c>
      <c r="H79" s="62" t="s">
        <v>285</v>
      </c>
      <c r="I79" s="31" t="s">
        <v>235</v>
      </c>
      <c r="J79" s="30" t="s">
        <v>90</v>
      </c>
      <c r="K79" s="30" t="s">
        <v>294</v>
      </c>
      <c r="L79" s="33" t="str">
        <f t="shared" si="2"/>
        <v>-</v>
      </c>
      <c r="M79" s="33" t="s">
        <v>296</v>
      </c>
      <c r="N79" s="32"/>
      <c r="O79" s="32"/>
      <c r="P79" s="30"/>
      <c r="Q79" s="30"/>
      <c r="R79" s="30"/>
      <c r="S79" s="64">
        <v>71</v>
      </c>
      <c r="T79" s="30"/>
      <c r="U79" s="30"/>
      <c r="V79" s="30"/>
      <c r="W79" s="30"/>
      <c r="X79" s="30"/>
      <c r="Y79" s="35"/>
      <c r="Z79" s="35">
        <v>43902</v>
      </c>
      <c r="AA79" s="38"/>
      <c r="AB79" s="38"/>
      <c r="AC79" s="38"/>
      <c r="AD79" s="30"/>
      <c r="AE79" s="30"/>
      <c r="AF79" s="30"/>
      <c r="AG79" s="30"/>
      <c r="AH79" s="30"/>
    </row>
    <row r="80" spans="2:34" ht="15.75" thickBot="1" x14ac:dyDescent="0.3">
      <c r="B80" s="39">
        <f t="shared" si="3"/>
        <v>78</v>
      </c>
      <c r="C80" s="30">
        <v>20200304</v>
      </c>
      <c r="D80" s="30" t="s">
        <v>3</v>
      </c>
      <c r="E80" s="30" t="s">
        <v>270</v>
      </c>
      <c r="F80" s="33" t="s">
        <v>274</v>
      </c>
      <c r="G80" s="64">
        <v>1357355</v>
      </c>
      <c r="H80" s="62" t="s">
        <v>263</v>
      </c>
      <c r="I80" s="31" t="s">
        <v>235</v>
      </c>
      <c r="J80" s="30" t="s">
        <v>90</v>
      </c>
      <c r="K80" s="30" t="s">
        <v>294</v>
      </c>
      <c r="L80" s="33" t="str">
        <f t="shared" si="2"/>
        <v>-</v>
      </c>
      <c r="M80" s="33" t="s">
        <v>296</v>
      </c>
      <c r="N80" s="32"/>
      <c r="O80" s="32"/>
      <c r="P80" s="30"/>
      <c r="Q80" s="30"/>
      <c r="R80" s="30"/>
      <c r="S80" s="64">
        <v>55</v>
      </c>
      <c r="T80" s="30"/>
      <c r="U80" s="30"/>
      <c r="V80" s="30"/>
      <c r="W80" s="30"/>
      <c r="X80" s="30"/>
      <c r="Y80" s="35"/>
      <c r="Z80" s="35">
        <v>43902</v>
      </c>
      <c r="AA80" s="38"/>
      <c r="AB80" s="38"/>
      <c r="AC80" s="38"/>
      <c r="AD80" s="30"/>
      <c r="AE80" s="30"/>
      <c r="AF80" s="30"/>
      <c r="AG80" s="30"/>
      <c r="AH80" s="30"/>
    </row>
    <row r="81" spans="2:34" ht="15.75" thickBot="1" x14ac:dyDescent="0.3">
      <c r="B81" s="39">
        <f t="shared" si="3"/>
        <v>79</v>
      </c>
      <c r="C81" s="30">
        <v>20200304</v>
      </c>
      <c r="D81" s="30" t="s">
        <v>3</v>
      </c>
      <c r="E81" s="30" t="s">
        <v>270</v>
      </c>
      <c r="F81" s="33" t="s">
        <v>274</v>
      </c>
      <c r="G81" s="64">
        <v>1357355</v>
      </c>
      <c r="H81" s="62" t="s">
        <v>286</v>
      </c>
      <c r="I81" s="31" t="s">
        <v>235</v>
      </c>
      <c r="J81" s="30" t="s">
        <v>90</v>
      </c>
      <c r="K81" s="30" t="s">
        <v>294</v>
      </c>
      <c r="L81" s="33" t="str">
        <f t="shared" si="2"/>
        <v>-</v>
      </c>
      <c r="M81" s="33" t="s">
        <v>296</v>
      </c>
      <c r="N81" s="32"/>
      <c r="O81" s="32"/>
      <c r="P81" s="30"/>
      <c r="Q81" s="30"/>
      <c r="R81" s="30"/>
      <c r="S81" s="64">
        <v>64</v>
      </c>
      <c r="T81" s="30"/>
      <c r="U81" s="30"/>
      <c r="V81" s="30"/>
      <c r="W81" s="30"/>
      <c r="X81" s="30"/>
      <c r="Y81" s="35"/>
      <c r="Z81" s="35">
        <v>43902</v>
      </c>
      <c r="AA81" s="38"/>
      <c r="AB81" s="38"/>
      <c r="AC81" s="38"/>
      <c r="AD81" s="30"/>
      <c r="AE81" s="30"/>
      <c r="AF81" s="30"/>
      <c r="AG81" s="30"/>
      <c r="AH81" s="30"/>
    </row>
    <row r="82" spans="2:34" ht="15.75" thickBot="1" x14ac:dyDescent="0.3">
      <c r="B82" s="39">
        <f t="shared" si="3"/>
        <v>80</v>
      </c>
      <c r="C82" s="30">
        <v>20200304</v>
      </c>
      <c r="D82" s="30" t="s">
        <v>3</v>
      </c>
      <c r="E82" s="30" t="s">
        <v>270</v>
      </c>
      <c r="F82" s="33" t="s">
        <v>274</v>
      </c>
      <c r="G82" s="64">
        <v>1357355</v>
      </c>
      <c r="H82" s="62" t="s">
        <v>287</v>
      </c>
      <c r="I82" s="31" t="s">
        <v>235</v>
      </c>
      <c r="J82" s="30" t="s">
        <v>90</v>
      </c>
      <c r="K82" s="30" t="s">
        <v>294</v>
      </c>
      <c r="L82" s="33" t="str">
        <f t="shared" si="2"/>
        <v>-</v>
      </c>
      <c r="M82" s="33" t="s">
        <v>296</v>
      </c>
      <c r="N82" s="32"/>
      <c r="O82" s="32"/>
      <c r="P82" s="30"/>
      <c r="Q82" s="30"/>
      <c r="R82" s="30"/>
      <c r="S82" s="64">
        <v>69</v>
      </c>
      <c r="T82" s="30"/>
      <c r="U82" s="30"/>
      <c r="V82" s="30"/>
      <c r="W82" s="30"/>
      <c r="X82" s="30"/>
      <c r="Y82" s="35"/>
      <c r="Z82" s="35">
        <v>43902</v>
      </c>
      <c r="AA82" s="38"/>
      <c r="AB82" s="38"/>
      <c r="AC82" s="38"/>
      <c r="AD82" s="30"/>
      <c r="AE82" s="30"/>
      <c r="AF82" s="30"/>
      <c r="AG82" s="30"/>
      <c r="AH82" s="30"/>
    </row>
    <row r="83" spans="2:34" ht="15.75" thickBot="1" x14ac:dyDescent="0.3">
      <c r="B83" s="39">
        <f t="shared" si="3"/>
        <v>81</v>
      </c>
      <c r="C83" s="30">
        <v>20200304</v>
      </c>
      <c r="D83" s="30" t="s">
        <v>3</v>
      </c>
      <c r="E83" s="30" t="s">
        <v>270</v>
      </c>
      <c r="F83" s="33" t="s">
        <v>275</v>
      </c>
      <c r="G83" s="64">
        <v>1357355</v>
      </c>
      <c r="H83" s="62" t="s">
        <v>288</v>
      </c>
      <c r="I83" s="31" t="s">
        <v>235</v>
      </c>
      <c r="J83" s="30" t="s">
        <v>90</v>
      </c>
      <c r="K83" s="30" t="s">
        <v>294</v>
      </c>
      <c r="L83" s="33" t="str">
        <f t="shared" si="2"/>
        <v>-</v>
      </c>
      <c r="M83" s="33" t="s">
        <v>296</v>
      </c>
      <c r="N83" s="32"/>
      <c r="O83" s="32"/>
      <c r="P83" s="30"/>
      <c r="Q83" s="30"/>
      <c r="R83" s="30"/>
      <c r="S83" s="64">
        <v>5</v>
      </c>
      <c r="T83" s="30"/>
      <c r="U83" s="30"/>
      <c r="V83" s="30"/>
      <c r="W83" s="30"/>
      <c r="X83" s="30"/>
      <c r="Y83" s="35"/>
      <c r="Z83" s="35">
        <v>43902</v>
      </c>
      <c r="AA83" s="38"/>
      <c r="AB83" s="38"/>
      <c r="AC83" s="38"/>
      <c r="AD83" s="30"/>
      <c r="AE83" s="30"/>
      <c r="AF83" s="30"/>
      <c r="AG83" s="30"/>
      <c r="AH83" s="30"/>
    </row>
    <row r="84" spans="2:34" ht="15.75" thickBot="1" x14ac:dyDescent="0.3">
      <c r="B84" s="39">
        <f t="shared" si="3"/>
        <v>82</v>
      </c>
      <c r="C84" s="30">
        <v>20200304</v>
      </c>
      <c r="D84" s="30" t="s">
        <v>3</v>
      </c>
      <c r="E84" s="30" t="s">
        <v>270</v>
      </c>
      <c r="F84" s="33" t="s">
        <v>276</v>
      </c>
      <c r="G84" s="64">
        <v>1357355</v>
      </c>
      <c r="H84" s="62" t="s">
        <v>289</v>
      </c>
      <c r="I84" s="31" t="s">
        <v>235</v>
      </c>
      <c r="J84" s="30" t="s">
        <v>90</v>
      </c>
      <c r="K84" s="30" t="s">
        <v>294</v>
      </c>
      <c r="L84" s="33" t="str">
        <f t="shared" si="2"/>
        <v>-</v>
      </c>
      <c r="M84" s="33" t="s">
        <v>296</v>
      </c>
      <c r="N84" s="32"/>
      <c r="O84" s="32"/>
      <c r="P84" s="30"/>
      <c r="Q84" s="30"/>
      <c r="R84" s="30"/>
      <c r="S84" s="64">
        <v>3</v>
      </c>
      <c r="T84" s="30"/>
      <c r="U84" s="30"/>
      <c r="V84" s="30"/>
      <c r="W84" s="30"/>
      <c r="X84" s="30"/>
      <c r="Y84" s="35"/>
      <c r="Z84" s="35">
        <v>43902</v>
      </c>
      <c r="AA84" s="38"/>
      <c r="AB84" s="38"/>
      <c r="AC84" s="38"/>
      <c r="AD84" s="30"/>
      <c r="AE84" s="30"/>
      <c r="AF84" s="30"/>
      <c r="AG84" s="30"/>
      <c r="AH84" s="30"/>
    </row>
    <row r="85" spans="2:34" ht="15.75" thickBot="1" x14ac:dyDescent="0.3">
      <c r="B85" s="39">
        <f t="shared" si="3"/>
        <v>83</v>
      </c>
      <c r="C85" s="30">
        <v>20200304</v>
      </c>
      <c r="D85" s="30" t="s">
        <v>3</v>
      </c>
      <c r="E85" s="30" t="s">
        <v>270</v>
      </c>
      <c r="F85" s="33" t="s">
        <v>277</v>
      </c>
      <c r="G85" s="64">
        <v>1357355</v>
      </c>
      <c r="H85" s="62" t="s">
        <v>290</v>
      </c>
      <c r="I85" s="31" t="s">
        <v>235</v>
      </c>
      <c r="J85" s="30" t="s">
        <v>90</v>
      </c>
      <c r="K85" s="30" t="s">
        <v>294</v>
      </c>
      <c r="L85" s="33" t="str">
        <f t="shared" si="2"/>
        <v>-</v>
      </c>
      <c r="M85" s="33" t="s">
        <v>296</v>
      </c>
      <c r="N85" s="32"/>
      <c r="O85" s="32"/>
      <c r="P85" s="30"/>
      <c r="Q85" s="30"/>
      <c r="R85" s="30"/>
      <c r="S85" s="64">
        <v>220</v>
      </c>
      <c r="T85" s="30"/>
      <c r="U85" s="30"/>
      <c r="V85" s="30"/>
      <c r="W85" s="30"/>
      <c r="X85" s="30"/>
      <c r="Y85" s="35"/>
      <c r="Z85" s="35">
        <v>43902</v>
      </c>
      <c r="AA85" s="38"/>
      <c r="AB85" s="38"/>
      <c r="AC85" s="38"/>
      <c r="AD85" s="30"/>
      <c r="AE85" s="30"/>
      <c r="AF85" s="30"/>
      <c r="AG85" s="30"/>
      <c r="AH85" s="30"/>
    </row>
    <row r="86" spans="2:34" ht="15.75" thickBot="1" x14ac:dyDescent="0.3">
      <c r="B86" s="39">
        <f t="shared" si="3"/>
        <v>84</v>
      </c>
      <c r="C86" s="30">
        <v>20200304</v>
      </c>
      <c r="D86" s="30" t="s">
        <v>3</v>
      </c>
      <c r="E86" s="30" t="s">
        <v>270</v>
      </c>
      <c r="F86" s="33" t="s">
        <v>278</v>
      </c>
      <c r="G86" s="64">
        <v>1357355</v>
      </c>
      <c r="H86" s="62" t="s">
        <v>291</v>
      </c>
      <c r="I86" s="31" t="s">
        <v>235</v>
      </c>
      <c r="J86" s="30" t="s">
        <v>90</v>
      </c>
      <c r="K86" s="30" t="s">
        <v>294</v>
      </c>
      <c r="L86" s="33" t="str">
        <f t="shared" si="2"/>
        <v>-</v>
      </c>
      <c r="M86" s="33" t="s">
        <v>296</v>
      </c>
      <c r="N86" s="32"/>
      <c r="O86" s="32"/>
      <c r="P86" s="30"/>
      <c r="Q86" s="30"/>
      <c r="R86" s="30"/>
      <c r="S86" s="64">
        <v>4</v>
      </c>
      <c r="T86" s="30"/>
      <c r="U86" s="30"/>
      <c r="V86" s="30"/>
      <c r="W86" s="30"/>
      <c r="X86" s="30"/>
      <c r="Y86" s="35"/>
      <c r="Z86" s="35">
        <v>43902</v>
      </c>
      <c r="AA86" s="38"/>
      <c r="AB86" s="38"/>
      <c r="AC86" s="38"/>
      <c r="AD86" s="30"/>
      <c r="AE86" s="30"/>
      <c r="AF86" s="30"/>
      <c r="AG86" s="30"/>
      <c r="AH86" s="30"/>
    </row>
    <row r="87" spans="2:34" ht="15.75" thickBot="1" x14ac:dyDescent="0.3">
      <c r="B87" s="39">
        <f t="shared" si="3"/>
        <v>85</v>
      </c>
      <c r="C87" s="30">
        <v>20200304</v>
      </c>
      <c r="D87" s="30" t="s">
        <v>3</v>
      </c>
      <c r="E87" s="30" t="s">
        <v>270</v>
      </c>
      <c r="F87" s="33" t="s">
        <v>279</v>
      </c>
      <c r="G87" s="64">
        <v>1357355</v>
      </c>
      <c r="H87" s="62" t="s">
        <v>292</v>
      </c>
      <c r="I87" s="31" t="s">
        <v>235</v>
      </c>
      <c r="J87" s="30" t="s">
        <v>90</v>
      </c>
      <c r="K87" s="30" t="s">
        <v>294</v>
      </c>
      <c r="L87" s="33" t="str">
        <f t="shared" si="2"/>
        <v>-</v>
      </c>
      <c r="M87" s="33" t="s">
        <v>296</v>
      </c>
      <c r="N87" s="32"/>
      <c r="O87" s="32"/>
      <c r="P87" s="30"/>
      <c r="Q87" s="30"/>
      <c r="R87" s="30"/>
      <c r="S87" s="64">
        <v>12</v>
      </c>
      <c r="T87" s="30"/>
      <c r="U87" s="30"/>
      <c r="V87" s="30"/>
      <c r="W87" s="30"/>
      <c r="X87" s="30"/>
      <c r="Y87" s="35"/>
      <c r="Z87" s="35">
        <v>43902</v>
      </c>
      <c r="AA87" s="38"/>
      <c r="AB87" s="38"/>
      <c r="AC87" s="38"/>
      <c r="AD87" s="30"/>
      <c r="AE87" s="30"/>
      <c r="AF87" s="30"/>
      <c r="AG87" s="30"/>
      <c r="AH87" s="30"/>
    </row>
    <row r="88" spans="2:34" ht="15.75" thickBot="1" x14ac:dyDescent="0.3">
      <c r="B88" s="39">
        <f t="shared" si="3"/>
        <v>86</v>
      </c>
      <c r="C88" s="30">
        <v>20200304</v>
      </c>
      <c r="D88" s="30" t="s">
        <v>3</v>
      </c>
      <c r="E88" s="30" t="s">
        <v>270</v>
      </c>
      <c r="F88" s="33" t="s">
        <v>279</v>
      </c>
      <c r="G88" s="64">
        <v>1357355</v>
      </c>
      <c r="H88" s="62" t="s">
        <v>293</v>
      </c>
      <c r="I88" s="31" t="s">
        <v>235</v>
      </c>
      <c r="J88" s="30" t="s">
        <v>90</v>
      </c>
      <c r="K88" s="30" t="s">
        <v>294</v>
      </c>
      <c r="L88" s="33" t="str">
        <f t="shared" si="2"/>
        <v>-</v>
      </c>
      <c r="M88" s="33" t="s">
        <v>296</v>
      </c>
      <c r="N88" s="32"/>
      <c r="O88" s="32"/>
      <c r="P88" s="30"/>
      <c r="Q88" s="30"/>
      <c r="R88" s="30"/>
      <c r="S88" s="64">
        <v>37</v>
      </c>
      <c r="T88" s="30"/>
      <c r="U88" s="30"/>
      <c r="V88" s="30"/>
      <c r="W88" s="30"/>
      <c r="X88" s="30"/>
      <c r="Y88" s="35"/>
      <c r="Z88" s="35">
        <v>43902</v>
      </c>
      <c r="AA88" s="38"/>
      <c r="AB88" s="38"/>
      <c r="AC88" s="38"/>
      <c r="AD88" s="30"/>
      <c r="AE88" s="30"/>
      <c r="AF88" s="30"/>
      <c r="AG88" s="30"/>
      <c r="AH88" s="30"/>
    </row>
    <row r="89" spans="2:34" x14ac:dyDescent="0.25">
      <c r="B89" s="39"/>
      <c r="C89" s="30"/>
      <c r="D89" s="30"/>
      <c r="E89" s="30"/>
      <c r="F89" s="33"/>
      <c r="G89" s="30"/>
      <c r="H89" s="30"/>
      <c r="I89" s="30"/>
      <c r="J89" s="30"/>
      <c r="K89" s="30"/>
      <c r="L89" s="33"/>
      <c r="M89" s="33"/>
      <c r="N89" s="32"/>
      <c r="O89" s="32"/>
      <c r="P89" s="30"/>
      <c r="Q89" s="30"/>
      <c r="R89" s="30"/>
      <c r="S89" s="30"/>
      <c r="T89" s="30"/>
      <c r="U89" s="30"/>
      <c r="V89" s="30"/>
      <c r="W89" s="30"/>
      <c r="X89" s="30"/>
      <c r="Y89" s="35"/>
      <c r="Z89" s="35"/>
      <c r="AA89" s="38"/>
      <c r="AB89" s="38"/>
      <c r="AC89" s="38"/>
      <c r="AD89" s="30"/>
      <c r="AE89" s="30"/>
      <c r="AF89" s="30"/>
      <c r="AG89" s="30"/>
      <c r="AH89" s="30"/>
    </row>
    <row r="90" spans="2:34" x14ac:dyDescent="0.25">
      <c r="B90" s="39"/>
      <c r="C90" s="30"/>
      <c r="D90" s="30"/>
      <c r="E90" s="30"/>
      <c r="F90" s="33"/>
      <c r="G90" s="30"/>
      <c r="H90" s="30"/>
      <c r="I90" s="30"/>
      <c r="J90" s="30"/>
      <c r="K90" s="30"/>
      <c r="L90" s="33"/>
      <c r="M90" s="33"/>
      <c r="N90" s="32"/>
      <c r="O90" s="32"/>
      <c r="P90" s="30"/>
      <c r="Q90" s="30"/>
      <c r="R90" s="30"/>
      <c r="S90" s="30"/>
      <c r="T90" s="30"/>
      <c r="U90" s="30"/>
      <c r="V90" s="30"/>
      <c r="W90" s="30"/>
      <c r="X90" s="30"/>
      <c r="Y90" s="35"/>
      <c r="Z90" s="35"/>
      <c r="AA90" s="38"/>
      <c r="AB90" s="38"/>
      <c r="AC90" s="38"/>
      <c r="AD90" s="30"/>
      <c r="AE90" s="30"/>
      <c r="AF90" s="30"/>
      <c r="AG90" s="30"/>
      <c r="AH90" s="30"/>
    </row>
    <row r="91" spans="2:34" x14ac:dyDescent="0.25">
      <c r="B91" s="39"/>
      <c r="C91" s="30"/>
      <c r="D91" s="30"/>
      <c r="E91" s="30"/>
      <c r="F91" s="33"/>
      <c r="G91" s="30"/>
      <c r="H91" s="30"/>
      <c r="I91" s="30"/>
      <c r="J91" s="30"/>
      <c r="K91" s="30"/>
      <c r="L91" s="33"/>
      <c r="M91" s="33"/>
      <c r="N91" s="32"/>
      <c r="O91" s="32"/>
      <c r="P91" s="30"/>
      <c r="Q91" s="30"/>
      <c r="R91" s="30"/>
      <c r="S91" s="30"/>
      <c r="T91" s="30"/>
      <c r="U91" s="30"/>
      <c r="V91" s="30"/>
      <c r="W91" s="30"/>
      <c r="X91" s="30"/>
      <c r="Y91" s="35"/>
      <c r="Z91" s="35"/>
      <c r="AA91" s="38"/>
      <c r="AB91" s="38"/>
      <c r="AC91" s="38"/>
      <c r="AD91" s="30"/>
      <c r="AE91" s="30"/>
      <c r="AF91" s="30"/>
      <c r="AG91" s="30"/>
      <c r="AH91" s="30"/>
    </row>
    <row r="92" spans="2:34" x14ac:dyDescent="0.25">
      <c r="B92" s="39"/>
      <c r="C92" s="30"/>
      <c r="D92" s="30"/>
      <c r="E92" s="30"/>
      <c r="F92" s="33"/>
      <c r="G92" s="30"/>
      <c r="H92" s="30"/>
      <c r="I92" s="30"/>
      <c r="J92" s="30"/>
      <c r="K92" s="30"/>
      <c r="L92" s="33"/>
      <c r="M92" s="33"/>
      <c r="N92" s="32"/>
      <c r="O92" s="32"/>
      <c r="P92" s="30"/>
      <c r="Q92" s="30"/>
      <c r="R92" s="30"/>
      <c r="S92" s="30"/>
      <c r="T92" s="30"/>
      <c r="U92" s="30"/>
      <c r="V92" s="30"/>
      <c r="W92" s="30"/>
      <c r="X92" s="30"/>
      <c r="Y92" s="35"/>
      <c r="Z92" s="35"/>
      <c r="AA92" s="38"/>
      <c r="AB92" s="38"/>
      <c r="AC92" s="38"/>
      <c r="AD92" s="30"/>
      <c r="AE92" s="30"/>
      <c r="AF92" s="30"/>
      <c r="AG92" s="30"/>
      <c r="AH92" s="30"/>
    </row>
    <row r="93" spans="2:34" x14ac:dyDescent="0.25">
      <c r="B93" s="39"/>
      <c r="C93" s="30"/>
      <c r="D93" s="30"/>
      <c r="E93" s="30"/>
      <c r="F93" s="33"/>
      <c r="G93" s="30"/>
      <c r="H93" s="30"/>
      <c r="I93" s="30"/>
      <c r="J93" s="30"/>
      <c r="K93" s="30"/>
      <c r="L93" s="33"/>
      <c r="M93" s="33"/>
      <c r="N93" s="32"/>
      <c r="O93" s="32"/>
      <c r="P93" s="30"/>
      <c r="Q93" s="30"/>
      <c r="R93" s="30"/>
      <c r="S93" s="30"/>
      <c r="T93" s="30"/>
      <c r="U93" s="30"/>
      <c r="V93" s="30"/>
      <c r="W93" s="30"/>
      <c r="X93" s="30"/>
      <c r="Y93" s="35"/>
      <c r="Z93" s="35"/>
      <c r="AA93" s="38"/>
      <c r="AB93" s="38"/>
      <c r="AC93" s="38"/>
      <c r="AD93" s="30"/>
      <c r="AE93" s="30"/>
      <c r="AF93" s="30"/>
      <c r="AG93" s="30"/>
      <c r="AH93" s="30"/>
    </row>
    <row r="94" spans="2:34" x14ac:dyDescent="0.25">
      <c r="B94" s="39"/>
      <c r="C94" s="30"/>
      <c r="D94" s="30"/>
      <c r="E94" s="30"/>
      <c r="F94" s="33"/>
      <c r="G94" s="30"/>
      <c r="H94" s="30"/>
      <c r="I94" s="30"/>
      <c r="J94" s="30"/>
      <c r="K94" s="30"/>
      <c r="L94" s="33"/>
      <c r="M94" s="33"/>
      <c r="N94" s="32"/>
      <c r="O94" s="32"/>
      <c r="P94" s="30"/>
      <c r="Q94" s="30"/>
      <c r="R94" s="30"/>
      <c r="S94" s="30"/>
      <c r="T94" s="30"/>
      <c r="U94" s="30"/>
      <c r="V94" s="30"/>
      <c r="W94" s="30"/>
      <c r="X94" s="30"/>
      <c r="Y94" s="35"/>
      <c r="Z94" s="35"/>
      <c r="AA94" s="38"/>
      <c r="AB94" s="38"/>
      <c r="AC94" s="38"/>
      <c r="AD94" s="30"/>
      <c r="AE94" s="30"/>
      <c r="AF94" s="30"/>
      <c r="AG94" s="30"/>
      <c r="AH94" s="30"/>
    </row>
    <row r="95" spans="2:34" x14ac:dyDescent="0.25">
      <c r="B95" s="39"/>
      <c r="C95" s="30"/>
      <c r="D95" s="30"/>
      <c r="E95" s="30"/>
      <c r="F95" s="33"/>
      <c r="G95" s="30"/>
      <c r="H95" s="30"/>
      <c r="I95" s="30"/>
      <c r="J95" s="30"/>
      <c r="K95" s="30"/>
      <c r="L95" s="33"/>
      <c r="M95" s="33"/>
      <c r="N95" s="32"/>
      <c r="O95" s="32"/>
      <c r="P95" s="30"/>
      <c r="Q95" s="30"/>
      <c r="R95" s="30"/>
      <c r="S95" s="30"/>
      <c r="T95" s="30"/>
      <c r="U95" s="30"/>
      <c r="V95" s="30"/>
      <c r="W95" s="30"/>
      <c r="X95" s="30"/>
      <c r="Y95" s="35"/>
      <c r="Z95" s="35"/>
      <c r="AA95" s="38"/>
      <c r="AB95" s="38"/>
      <c r="AC95" s="38"/>
      <c r="AD95" s="30"/>
      <c r="AE95" s="30"/>
      <c r="AF95" s="30"/>
      <c r="AG95" s="30"/>
      <c r="AH95" s="30"/>
    </row>
    <row r="96" spans="2:34" x14ac:dyDescent="0.25">
      <c r="B96" s="39"/>
      <c r="C96" s="30"/>
      <c r="D96" s="30"/>
      <c r="E96" s="30"/>
      <c r="F96" s="33"/>
      <c r="G96" s="30"/>
      <c r="H96" s="30"/>
      <c r="I96" s="30"/>
      <c r="J96" s="30"/>
      <c r="K96" s="30"/>
      <c r="L96" s="33"/>
      <c r="M96" s="33"/>
      <c r="N96" s="32"/>
      <c r="O96" s="32"/>
      <c r="P96" s="30"/>
      <c r="Q96" s="30"/>
      <c r="R96" s="30"/>
      <c r="S96" s="30"/>
      <c r="T96" s="30"/>
      <c r="U96" s="30"/>
      <c r="V96" s="30"/>
      <c r="W96" s="30"/>
      <c r="X96" s="30"/>
      <c r="Y96" s="35"/>
      <c r="Z96" s="35"/>
      <c r="AA96" s="38"/>
      <c r="AB96" s="38"/>
      <c r="AC96" s="38"/>
      <c r="AD96" s="30"/>
      <c r="AE96" s="30"/>
      <c r="AF96" s="30"/>
      <c r="AG96" s="30"/>
      <c r="AH96" s="30"/>
    </row>
    <row r="97" spans="2:34" x14ac:dyDescent="0.25">
      <c r="B97" s="39"/>
      <c r="C97" s="30"/>
      <c r="D97" s="30"/>
      <c r="E97" s="30"/>
      <c r="F97" s="33"/>
      <c r="G97" s="30"/>
      <c r="H97" s="30"/>
      <c r="I97" s="30"/>
      <c r="J97" s="30"/>
      <c r="K97" s="30"/>
      <c r="L97" s="33"/>
      <c r="M97" s="33"/>
      <c r="N97" s="32"/>
      <c r="O97" s="32"/>
      <c r="P97" s="30"/>
      <c r="Q97" s="30"/>
      <c r="R97" s="30"/>
      <c r="S97" s="30"/>
      <c r="T97" s="30"/>
      <c r="U97" s="30"/>
      <c r="V97" s="30"/>
      <c r="W97" s="30"/>
      <c r="X97" s="30"/>
      <c r="Y97" s="35"/>
      <c r="Z97" s="35"/>
      <c r="AA97" s="38"/>
      <c r="AB97" s="38"/>
      <c r="AC97" s="38"/>
      <c r="AD97" s="30"/>
      <c r="AE97" s="30"/>
      <c r="AF97" s="30"/>
      <c r="AG97" s="30"/>
      <c r="AH97" s="30"/>
    </row>
    <row r="98" spans="2:34" x14ac:dyDescent="0.25">
      <c r="B98" s="39"/>
      <c r="C98" s="30"/>
      <c r="D98" s="30"/>
      <c r="E98" s="30"/>
      <c r="F98" s="33"/>
      <c r="G98" s="30"/>
      <c r="H98" s="30"/>
      <c r="I98" s="30"/>
      <c r="J98" s="30"/>
      <c r="K98" s="30"/>
      <c r="L98" s="33"/>
      <c r="M98" s="33"/>
      <c r="N98" s="32"/>
      <c r="O98" s="32"/>
      <c r="P98" s="30"/>
      <c r="Q98" s="30"/>
      <c r="R98" s="30"/>
      <c r="S98" s="30"/>
      <c r="T98" s="30"/>
      <c r="U98" s="30"/>
      <c r="V98" s="30"/>
      <c r="W98" s="30"/>
      <c r="X98" s="30"/>
      <c r="Y98" s="35"/>
      <c r="Z98" s="35"/>
      <c r="AA98" s="38"/>
      <c r="AB98" s="38"/>
      <c r="AC98" s="38"/>
      <c r="AD98" s="30"/>
      <c r="AE98" s="30"/>
      <c r="AF98" s="30"/>
      <c r="AG98" s="30"/>
      <c r="AH98" s="30"/>
    </row>
    <row r="99" spans="2:34" x14ac:dyDescent="0.25">
      <c r="B99" s="39"/>
      <c r="C99" s="30"/>
      <c r="D99" s="30"/>
      <c r="E99" s="30"/>
      <c r="F99" s="33"/>
      <c r="G99" s="30"/>
      <c r="H99" s="30"/>
      <c r="I99" s="30"/>
      <c r="J99" s="30"/>
      <c r="K99" s="30"/>
      <c r="L99" s="33"/>
      <c r="M99" s="33"/>
      <c r="N99" s="32"/>
      <c r="O99" s="32"/>
      <c r="P99" s="30"/>
      <c r="Q99" s="30"/>
      <c r="R99" s="30"/>
      <c r="S99" s="30"/>
      <c r="T99" s="30"/>
      <c r="U99" s="30"/>
      <c r="V99" s="30"/>
      <c r="W99" s="30"/>
      <c r="X99" s="30"/>
      <c r="Y99" s="35"/>
      <c r="Z99" s="35"/>
      <c r="AA99" s="38"/>
      <c r="AB99" s="38"/>
      <c r="AC99" s="38"/>
      <c r="AD99" s="30"/>
      <c r="AE99" s="30"/>
      <c r="AF99" s="30"/>
      <c r="AG99" s="30"/>
      <c r="AH99" s="30"/>
    </row>
    <row r="100" spans="2:34" x14ac:dyDescent="0.25">
      <c r="B100" s="39"/>
      <c r="C100" s="30"/>
      <c r="D100" s="30"/>
      <c r="E100" s="30"/>
      <c r="F100" s="33"/>
      <c r="G100" s="30"/>
      <c r="H100" s="30"/>
      <c r="I100" s="30"/>
      <c r="J100" s="30"/>
      <c r="K100" s="30"/>
      <c r="L100" s="33"/>
      <c r="M100" s="33"/>
      <c r="N100" s="32"/>
      <c r="O100" s="32"/>
      <c r="P100" s="30"/>
      <c r="Q100" s="30"/>
      <c r="R100" s="30"/>
      <c r="S100" s="30"/>
      <c r="T100" s="30"/>
      <c r="U100" s="30"/>
      <c r="V100" s="30"/>
      <c r="W100" s="30"/>
      <c r="X100" s="30"/>
      <c r="Y100" s="35"/>
      <c r="Z100" s="35"/>
      <c r="AA100" s="38"/>
      <c r="AB100" s="38"/>
      <c r="AC100" s="38"/>
      <c r="AD100" s="30"/>
      <c r="AE100" s="30"/>
      <c r="AF100" s="30"/>
      <c r="AG100" s="30"/>
      <c r="AH100" s="30"/>
    </row>
    <row r="101" spans="2:34" x14ac:dyDescent="0.25">
      <c r="B101" s="30"/>
      <c r="C101" s="30"/>
      <c r="D101" s="30"/>
      <c r="E101" s="30"/>
      <c r="F101" s="33"/>
      <c r="G101" s="30"/>
      <c r="H101" s="30"/>
      <c r="I101" s="30"/>
      <c r="J101" s="30"/>
      <c r="K101" s="30"/>
      <c r="L101" s="30"/>
      <c r="M101" s="30"/>
      <c r="N101" s="32"/>
      <c r="O101" s="32"/>
      <c r="P101" s="30"/>
      <c r="Q101" s="30"/>
      <c r="R101" s="30"/>
      <c r="S101" s="30"/>
      <c r="T101" s="30"/>
      <c r="U101" s="30"/>
      <c r="V101" s="30"/>
      <c r="W101" s="30"/>
      <c r="X101" s="30"/>
      <c r="Y101" s="35"/>
      <c r="Z101" s="35"/>
      <c r="AA101" s="38"/>
      <c r="AB101" s="38"/>
      <c r="AC101" s="38"/>
      <c r="AD101" s="30"/>
      <c r="AE101" s="30"/>
      <c r="AF101" s="30"/>
      <c r="AG101" s="30"/>
      <c r="AH101" s="30"/>
    </row>
    <row r="102" spans="2:34" x14ac:dyDescent="0.25">
      <c r="B102" s="30"/>
      <c r="C102" s="30"/>
      <c r="D102" s="30"/>
      <c r="E102" s="30"/>
      <c r="F102" s="33"/>
      <c r="G102" s="30"/>
      <c r="H102" s="30"/>
      <c r="I102" s="30"/>
      <c r="J102" s="30"/>
      <c r="K102" s="30"/>
      <c r="L102" s="30"/>
      <c r="M102" s="30"/>
      <c r="N102" s="32"/>
      <c r="O102" s="32"/>
      <c r="P102" s="30"/>
      <c r="Q102" s="30"/>
      <c r="R102" s="30"/>
      <c r="S102" s="30"/>
      <c r="T102" s="30"/>
      <c r="U102" s="30"/>
      <c r="V102" s="30"/>
      <c r="W102" s="30"/>
      <c r="X102" s="30"/>
      <c r="Y102" s="35"/>
      <c r="Z102" s="35"/>
      <c r="AA102" s="38"/>
      <c r="AB102" s="38"/>
      <c r="AC102" s="38"/>
      <c r="AD102" s="30"/>
      <c r="AE102" s="30"/>
      <c r="AF102" s="30"/>
      <c r="AG102" s="30"/>
      <c r="AH102" s="30"/>
    </row>
    <row r="103" spans="2:34" x14ac:dyDescent="0.25">
      <c r="B103" s="30"/>
      <c r="C103" s="30"/>
      <c r="D103" s="30"/>
      <c r="E103" s="30"/>
      <c r="F103" s="33"/>
      <c r="G103" s="30"/>
      <c r="H103" s="30"/>
      <c r="I103" s="30"/>
      <c r="J103" s="30"/>
      <c r="K103" s="30"/>
      <c r="L103" s="30"/>
      <c r="M103" s="30"/>
      <c r="N103" s="32"/>
      <c r="O103" s="32"/>
      <c r="P103" s="30"/>
      <c r="Q103" s="30"/>
      <c r="R103" s="30"/>
      <c r="S103" s="30"/>
      <c r="T103" s="30"/>
      <c r="U103" s="30"/>
      <c r="V103" s="30"/>
      <c r="W103" s="30"/>
      <c r="X103" s="30"/>
      <c r="Y103" s="35"/>
      <c r="Z103" s="35"/>
      <c r="AA103" s="38"/>
      <c r="AB103" s="38"/>
      <c r="AC103" s="38"/>
      <c r="AD103" s="30"/>
      <c r="AE103" s="30"/>
      <c r="AF103" s="30"/>
      <c r="AG103" s="30"/>
      <c r="AH103" s="30"/>
    </row>
    <row r="104" spans="2:34" x14ac:dyDescent="0.25">
      <c r="B104" s="30"/>
      <c r="C104" s="30"/>
      <c r="D104" s="30"/>
      <c r="E104" s="30"/>
      <c r="F104" s="33"/>
      <c r="G104" s="30"/>
      <c r="H104" s="30"/>
      <c r="I104" s="30"/>
      <c r="J104" s="30"/>
      <c r="K104" s="30"/>
      <c r="L104" s="30"/>
      <c r="M104" s="30"/>
      <c r="N104" s="32"/>
      <c r="O104" s="32"/>
      <c r="P104" s="30"/>
      <c r="Q104" s="30"/>
      <c r="R104" s="30"/>
      <c r="S104" s="30"/>
      <c r="T104" s="30"/>
      <c r="U104" s="30"/>
      <c r="V104" s="30"/>
      <c r="W104" s="30"/>
      <c r="X104" s="30"/>
      <c r="Y104" s="35"/>
      <c r="Z104" s="35"/>
      <c r="AA104" s="38"/>
      <c r="AB104" s="38"/>
      <c r="AC104" s="38"/>
      <c r="AD104" s="30"/>
      <c r="AE104" s="30"/>
      <c r="AF104" s="30"/>
      <c r="AG104" s="30"/>
      <c r="AH104" s="30"/>
    </row>
    <row r="105" spans="2:34" x14ac:dyDescent="0.25">
      <c r="B105" s="30"/>
      <c r="C105" s="30"/>
      <c r="D105" s="30"/>
      <c r="E105" s="30"/>
      <c r="F105" s="33"/>
      <c r="G105" s="30"/>
      <c r="H105" s="30"/>
      <c r="I105" s="30"/>
      <c r="J105" s="30"/>
      <c r="K105" s="30"/>
      <c r="L105" s="30"/>
      <c r="M105" s="30"/>
      <c r="N105" s="32"/>
      <c r="O105" s="32"/>
      <c r="P105" s="30"/>
      <c r="Q105" s="30"/>
      <c r="R105" s="30"/>
      <c r="S105" s="30"/>
      <c r="T105" s="30"/>
      <c r="U105" s="30"/>
      <c r="V105" s="30"/>
      <c r="W105" s="30"/>
      <c r="X105" s="30"/>
      <c r="Y105" s="35"/>
      <c r="Z105" s="35"/>
      <c r="AA105" s="38"/>
      <c r="AB105" s="38"/>
      <c r="AC105" s="38"/>
      <c r="AD105" s="30"/>
      <c r="AE105" s="30"/>
      <c r="AF105" s="30"/>
      <c r="AG105" s="30"/>
      <c r="AH105" s="30"/>
    </row>
    <row r="106" spans="2:34" x14ac:dyDescent="0.25">
      <c r="B106" s="30"/>
      <c r="C106" s="30"/>
      <c r="D106" s="30"/>
      <c r="E106" s="30"/>
      <c r="F106" s="33"/>
      <c r="G106" s="30"/>
      <c r="H106" s="30"/>
      <c r="I106" s="30"/>
      <c r="J106" s="30"/>
      <c r="K106" s="30"/>
      <c r="L106" s="30"/>
      <c r="M106" s="30"/>
      <c r="N106" s="32"/>
      <c r="O106" s="32"/>
      <c r="P106" s="30"/>
      <c r="Q106" s="30"/>
      <c r="R106" s="30"/>
      <c r="S106" s="30"/>
      <c r="T106" s="30"/>
      <c r="U106" s="30"/>
      <c r="V106" s="30"/>
      <c r="W106" s="30"/>
      <c r="X106" s="30"/>
      <c r="Y106" s="38"/>
      <c r="Z106" s="38"/>
      <c r="AA106" s="38"/>
      <c r="AB106" s="38"/>
      <c r="AC106" s="38"/>
      <c r="AD106" s="30"/>
      <c r="AE106" s="30"/>
      <c r="AF106" s="30"/>
      <c r="AG106" s="30"/>
      <c r="AH106" s="30"/>
    </row>
    <row r="107" spans="2:34" x14ac:dyDescent="0.25">
      <c r="B107" s="30"/>
      <c r="C107" s="30"/>
      <c r="D107" s="30"/>
      <c r="E107" s="30"/>
      <c r="F107" s="33"/>
      <c r="G107" s="30"/>
      <c r="H107" s="30"/>
      <c r="I107" s="30"/>
      <c r="J107" s="30"/>
      <c r="K107" s="30"/>
      <c r="L107" s="30"/>
      <c r="M107" s="30"/>
      <c r="N107" s="32"/>
      <c r="O107" s="32"/>
      <c r="P107" s="30"/>
      <c r="Q107" s="30"/>
      <c r="R107" s="30"/>
      <c r="S107" s="30"/>
      <c r="T107" s="30"/>
      <c r="U107" s="30"/>
      <c r="V107" s="30"/>
      <c r="W107" s="30"/>
      <c r="X107" s="30"/>
      <c r="Y107" s="38"/>
      <c r="Z107" s="38"/>
      <c r="AA107" s="38"/>
      <c r="AB107" s="38"/>
      <c r="AC107" s="38"/>
      <c r="AD107" s="30"/>
      <c r="AE107" s="30"/>
      <c r="AF107" s="30"/>
      <c r="AG107" s="30"/>
      <c r="AH107" s="30"/>
    </row>
    <row r="108" spans="2:34" x14ac:dyDescent="0.25">
      <c r="B108" s="30"/>
      <c r="C108" s="30"/>
      <c r="D108" s="30"/>
      <c r="E108" s="30"/>
      <c r="F108" s="33"/>
      <c r="G108" s="30"/>
      <c r="H108" s="30"/>
      <c r="I108" s="30"/>
      <c r="J108" s="30"/>
      <c r="K108" s="30"/>
      <c r="L108" s="30"/>
      <c r="M108" s="30"/>
      <c r="N108" s="32"/>
      <c r="O108" s="32"/>
      <c r="P108" s="30"/>
      <c r="Q108" s="30"/>
      <c r="R108" s="30"/>
      <c r="S108" s="30"/>
      <c r="T108" s="30"/>
      <c r="U108" s="30"/>
      <c r="V108" s="30"/>
      <c r="W108" s="30"/>
      <c r="X108" s="30"/>
      <c r="Y108" s="38"/>
      <c r="Z108" s="38"/>
      <c r="AA108" s="38"/>
      <c r="AB108" s="38"/>
      <c r="AC108" s="38"/>
      <c r="AD108" s="30"/>
      <c r="AE108" s="30"/>
      <c r="AF108" s="30"/>
      <c r="AG108" s="30"/>
      <c r="AH108" s="30"/>
    </row>
    <row r="109" spans="2:34" x14ac:dyDescent="0.25">
      <c r="B109" s="30"/>
      <c r="C109" s="30"/>
      <c r="D109" s="30"/>
      <c r="E109" s="30"/>
      <c r="F109" s="33"/>
      <c r="G109" s="30"/>
      <c r="H109" s="30"/>
      <c r="I109" s="30"/>
      <c r="J109" s="30"/>
      <c r="K109" s="30"/>
      <c r="L109" s="30"/>
      <c r="M109" s="30"/>
      <c r="N109" s="32"/>
      <c r="O109" s="32"/>
      <c r="P109" s="30"/>
      <c r="Q109" s="30"/>
      <c r="R109" s="30"/>
      <c r="S109" s="30"/>
      <c r="T109" s="30"/>
      <c r="U109" s="30"/>
      <c r="V109" s="30"/>
      <c r="W109" s="30"/>
      <c r="X109" s="30"/>
      <c r="Y109" s="38"/>
      <c r="Z109" s="38"/>
      <c r="AA109" s="38"/>
      <c r="AB109" s="38"/>
      <c r="AC109" s="38"/>
      <c r="AD109" s="30"/>
      <c r="AE109" s="30"/>
      <c r="AF109" s="30"/>
      <c r="AG109" s="30"/>
      <c r="AH109" s="30"/>
    </row>
    <row r="110" spans="2:34" x14ac:dyDescent="0.25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56"/>
      <c r="O110" s="6"/>
      <c r="P110" s="6"/>
      <c r="Q110" s="6"/>
    </row>
    <row r="111" spans="2:34" x14ac:dyDescent="0.25">
      <c r="B111" s="1" t="s">
        <v>64</v>
      </c>
    </row>
    <row r="112" spans="2:34" x14ac:dyDescent="0.25">
      <c r="B112" s="2" t="s">
        <v>0</v>
      </c>
      <c r="C112" s="2" t="s">
        <v>9</v>
      </c>
      <c r="D112" s="2" t="s">
        <v>28</v>
      </c>
      <c r="E112" s="2" t="s">
        <v>29</v>
      </c>
      <c r="F112" s="2" t="s">
        <v>26</v>
      </c>
      <c r="G112" s="2" t="s">
        <v>25</v>
      </c>
      <c r="H112" s="4" t="s">
        <v>30</v>
      </c>
      <c r="K112" s="61"/>
    </row>
    <row r="113" spans="2:8" x14ac:dyDescent="0.25">
      <c r="B113" s="3">
        <v>1</v>
      </c>
      <c r="C113" s="48" t="s">
        <v>6</v>
      </c>
      <c r="D113" s="3">
        <f>SUMIFS($T$3:$T$109,$D$3:$D$109,Table!$C$3,$P$3:$P$109,C113)</f>
        <v>0</v>
      </c>
      <c r="E113" s="3">
        <f>SUMIFS($U$3:$U$109,$D$3:$D$109,Table!$C$3,$P$3:$P$109,C113)-SUM(SUMIFS($U$3:$U$109,$D$3:$D$109,Table!$C$3,$P$3:$P$109,C113,$X$3:$X$109,{"Ongoing","N/A"}))</f>
        <v>0</v>
      </c>
      <c r="F113" s="3">
        <f>1/8*(SUMIFS($W$3:$W$109,$D$3:$D$109,Table!$C$3,$P$3:$P$109,C113)-SUM(SUMIFS($W$3:$W$109,$D$3:$D$109,Table!$C$3,$P$3:$P$109,C113,$X$3:$X$109,{"Ongoing","N/A"})))</f>
        <v>0</v>
      </c>
      <c r="G113" s="3" t="str">
        <f>IF(ISERROR(E113/(F113)),"N/A",E113/F113)</f>
        <v>N/A</v>
      </c>
      <c r="H113" s="7" t="str">
        <f>IF(ISERROR(E113/D113),"N/A",E113/D113)</f>
        <v>N/A</v>
      </c>
    </row>
    <row r="114" spans="2:8" x14ac:dyDescent="0.25">
      <c r="B114" s="3">
        <v>2</v>
      </c>
      <c r="C114" s="48" t="s">
        <v>100</v>
      </c>
      <c r="D114" s="3">
        <f>SUMIFS($T$3:$T$109,$D$3:$D$109,Table!$C$3,$P$3:$P$109,C114)</f>
        <v>0</v>
      </c>
      <c r="E114" s="3">
        <f>SUMIFS($U$3:$U$109,$D$3:$D$109,Table!$C$3,$P$3:$P$109,C114)-SUM(SUMIFS($U$3:$U$109,$D$3:$D$109,Table!$C$3,$P$3:$P$109,C114,$X$3:$X$109,{"Ongoing","N/A"}))</f>
        <v>0</v>
      </c>
      <c r="F114" s="3">
        <f>1/8*(SUMIFS($W$3:$W$109,$D$3:$D$109,Table!$C$3,$P$3:$P$109,C114)-SUM(SUMIFS($W$3:$W$109,$D$3:$D$109,Table!$C$3,$P$3:$P$109,C114,$X$3:$X$109,{"Ongoing","N/A"})))</f>
        <v>0</v>
      </c>
      <c r="G114" s="3" t="str">
        <f t="shared" ref="G114:G120" si="4">IF(ISERROR(E114/(F114)),"N/A",E114/F114)</f>
        <v>N/A</v>
      </c>
      <c r="H114" s="7" t="str">
        <f t="shared" ref="H114:H120" si="5">IF(ISERROR(E114/D114),"N/A",E114/D114)</f>
        <v>N/A</v>
      </c>
    </row>
    <row r="115" spans="2:8" x14ac:dyDescent="0.25">
      <c r="B115" s="3">
        <v>3</v>
      </c>
      <c r="C115" s="48" t="s">
        <v>101</v>
      </c>
      <c r="D115" s="3">
        <f>SUMIFS($T$3:$T$109,$D$3:$D$109,Table!$C$3,$P$3:$P$109,C115)</f>
        <v>0</v>
      </c>
      <c r="E115" s="3">
        <f>SUMIFS($U$3:$U$109,$D$3:$D$109,Table!$C$3,$P$3:$P$109,C115)-SUM(SUMIFS($U$3:$U$109,$D$3:$D$109,Table!$C$3,$P$3:$P$109,C115,$X$3:$X$109,{"Ongoing","N/A"}))</f>
        <v>0</v>
      </c>
      <c r="F115" s="3">
        <f>1/8*(SUMIFS($W$3:$W$109,$D$3:$D$109,Table!$C$3,$P$3:$P$109,C115)-SUM(SUMIFS($W$3:$W$109,$D$3:$D$109,Table!$C$3,$P$3:$P$109,C115,$X$3:$X$109,{"Ongoing","N/A"})))</f>
        <v>0</v>
      </c>
      <c r="G115" s="3" t="str">
        <f t="shared" si="4"/>
        <v>N/A</v>
      </c>
      <c r="H115" s="7" t="str">
        <f t="shared" si="5"/>
        <v>N/A</v>
      </c>
    </row>
    <row r="116" spans="2:8" x14ac:dyDescent="0.25">
      <c r="B116" s="3">
        <v>4</v>
      </c>
      <c r="C116" s="48" t="s">
        <v>102</v>
      </c>
      <c r="D116" s="3">
        <f>SUMIFS($T$3:$T$109,$D$3:$D$109,Table!$C$3,$P$3:$P$109,C116)</f>
        <v>0</v>
      </c>
      <c r="E116" s="3">
        <f>SUMIFS($U$3:$U$109,$D$3:$D$109,Table!$C$3,$P$3:$P$109,C116)-SUM(SUMIFS($U$3:$U$109,$D$3:$D$109,Table!$C$3,$P$3:$P$109,C116,$X$3:$X$109,{"Ongoing","N/A"}))</f>
        <v>0</v>
      </c>
      <c r="F116" s="3">
        <f>1/8*(SUMIFS($W$3:$W$109,$D$3:$D$109,Table!$C$3,$P$3:$P$109,C116)-SUM(SUMIFS($W$3:$W$109,$D$3:$D$109,Table!$C$3,$P$3:$P$109,C116,$X$3:$X$109,{"Ongoing","N/A"})))</f>
        <v>0</v>
      </c>
      <c r="G116" s="3" t="str">
        <f t="shared" si="4"/>
        <v>N/A</v>
      </c>
      <c r="H116" s="7" t="str">
        <f t="shared" si="5"/>
        <v>N/A</v>
      </c>
    </row>
    <row r="117" spans="2:8" x14ac:dyDescent="0.25">
      <c r="B117" s="3">
        <v>5</v>
      </c>
      <c r="C117" s="47" t="s">
        <v>103</v>
      </c>
      <c r="D117" s="3">
        <f>SUMIFS($T$3:$T$109,$D$3:$D$109,Table!$C$3,$P$3:$P$109,C117)</f>
        <v>50</v>
      </c>
      <c r="E117" s="3">
        <f>SUMIFS($U$3:$U$109,$D$3:$D$109,Table!$C$3,$P$3:$P$109,C117)-SUM(SUMIFS($U$3:$U$109,$D$3:$D$109,Table!$C$3,$P$3:$P$109,C117,$X$3:$X$109,{"Ongoing","N/A"}))</f>
        <v>50</v>
      </c>
      <c r="F117" s="3">
        <f>1/8*(SUMIFS($W$3:$W$109,$D$3:$D$109,Table!$C$3,$P$3:$P$109,C117)-SUM(SUMIFS($W$3:$W$109,$D$3:$D$109,Table!$C$3,$P$3:$P$109,C117,$X$3:$X$109,{"Ongoing","N/A"})))</f>
        <v>0.375</v>
      </c>
      <c r="G117" s="3">
        <f t="shared" si="4"/>
        <v>133.33333333333334</v>
      </c>
      <c r="H117" s="7">
        <f t="shared" si="5"/>
        <v>1</v>
      </c>
    </row>
    <row r="118" spans="2:8" x14ac:dyDescent="0.25">
      <c r="B118" s="3">
        <v>6</v>
      </c>
      <c r="C118" s="47" t="s">
        <v>104</v>
      </c>
      <c r="D118" s="3">
        <f>SUMIFS($T$3:$T$109,$D$3:$D$109,Table!$C$3,$P$3:$P$109,C118)</f>
        <v>0</v>
      </c>
      <c r="E118" s="3">
        <f>SUMIFS($U$3:$U$109,$D$3:$D$109,Table!$C$3,$P$3:$P$109,C118)-SUM(SUMIFS($U$3:$U$109,$D$3:$D$109,Table!$C$3,$P$3:$P$109,C118,$X$3:$X$109,{"Ongoing","N/A"}))</f>
        <v>0</v>
      </c>
      <c r="F118" s="3">
        <f>1/8*(SUMIFS($W$3:$W$109,$D$3:$D$109,Table!$C$3,$P$3:$P$109,C118)-SUM(SUMIFS($W$3:$W$109,$D$3:$D$109,Table!$C$3,$P$3:$P$109,C118,$X$3:$X$109,{"Ongoing","N/A"})))</f>
        <v>0</v>
      </c>
      <c r="G118" s="3" t="str">
        <f t="shared" si="4"/>
        <v>N/A</v>
      </c>
      <c r="H118" s="7" t="str">
        <f t="shared" si="5"/>
        <v>N/A</v>
      </c>
    </row>
    <row r="119" spans="2:8" x14ac:dyDescent="0.25">
      <c r="B119" s="3">
        <v>7</v>
      </c>
      <c r="C119" s="47" t="s">
        <v>105</v>
      </c>
      <c r="D119" s="3">
        <f>SUMIFS($T$3:$T$109,$D$3:$D$109,Table!$C$3,$P$3:$P$109,C119)</f>
        <v>19</v>
      </c>
      <c r="E119" s="3">
        <f>SUMIFS($U$3:$U$109,$D$3:$D$109,Table!$C$3,$P$3:$P$109,C119)-SUM(SUMIFS($U$3:$U$109,$D$3:$D$109,Table!$C$3,$P$3:$P$109,C119,$X$3:$X$109,{"Ongoing","N/A"}))</f>
        <v>19</v>
      </c>
      <c r="F119" s="3">
        <f>1/8*(SUMIFS($W$3:$W$109,$D$3:$D$109,Table!$C$3,$P$3:$P$109,C119)-SUM(SUMIFS($W$3:$W$109,$D$3:$D$109,Table!$C$3,$P$3:$P$109,C119,$X$3:$X$109,{"Ongoing","N/A"})))</f>
        <v>0.5</v>
      </c>
      <c r="G119" s="3">
        <f t="shared" si="4"/>
        <v>38</v>
      </c>
      <c r="H119" s="7">
        <f t="shared" si="5"/>
        <v>1</v>
      </c>
    </row>
    <row r="120" spans="2:8" x14ac:dyDescent="0.25">
      <c r="B120" s="3">
        <v>8</v>
      </c>
      <c r="C120" s="47" t="s">
        <v>106</v>
      </c>
      <c r="D120" s="3">
        <f>SUMIFS($T$3:$T$109,$D$3:$D$109,Table!$C$3,$P$3:$P$109,C120)</f>
        <v>0</v>
      </c>
      <c r="E120" s="3">
        <f>SUMIFS($U$3:$U$109,$D$3:$D$109,Table!$C$3,$P$3:$P$109,C120)-SUM(SUMIFS($U$3:$U$109,$D$3:$D$109,Table!$C$3,$P$3:$P$109,C120,$X$3:$X$109,{"Ongoing","N/A"}))</f>
        <v>0</v>
      </c>
      <c r="F120" s="3">
        <f>1/8*(SUMIFS($W$3:$W$109,$D$3:$D$109,Table!$C$3,$P$3:$P$109,C120)-SUM(SUMIFS($W$3:$W$109,$D$3:$D$109,Table!$C$3,$P$3:$P$109,C120,$X$3:$X$109,{"Ongoing","N/A"})))</f>
        <v>0</v>
      </c>
      <c r="G120" s="3" t="str">
        <f t="shared" si="4"/>
        <v>N/A</v>
      </c>
      <c r="H120" s="7" t="str">
        <f t="shared" si="5"/>
        <v>N/A</v>
      </c>
    </row>
    <row r="123" spans="2:8" x14ac:dyDescent="0.25">
      <c r="B123" s="1" t="s">
        <v>65</v>
      </c>
    </row>
    <row r="124" spans="2:8" x14ac:dyDescent="0.25">
      <c r="B124" s="2" t="s">
        <v>0</v>
      </c>
      <c r="C124" s="2" t="s">
        <v>9</v>
      </c>
      <c r="D124" s="2" t="s">
        <v>28</v>
      </c>
      <c r="E124" s="2" t="s">
        <v>29</v>
      </c>
      <c r="F124" s="2" t="s">
        <v>26</v>
      </c>
      <c r="G124" s="2" t="s">
        <v>25</v>
      </c>
      <c r="H124" s="4" t="s">
        <v>30</v>
      </c>
    </row>
    <row r="125" spans="2:8" x14ac:dyDescent="0.25">
      <c r="B125" s="3">
        <v>1</v>
      </c>
      <c r="C125" s="48" t="s">
        <v>6</v>
      </c>
      <c r="D125" s="3">
        <f>SUMIFS($T$3:$T$109,$D$3:$D$109,Table!$D$3,$P$3:$P$109,C125)</f>
        <v>0</v>
      </c>
      <c r="E125" s="3">
        <f>SUMIFS($T$3:$T$109,$D$3:$D$109,Table!$D$3,$P$3:$P$109,C125)-SUM(SUMIFS($T$3:$T$109,$D$3:$D$109,Table!$D$3,$P$3:$P$109,C125,$X$3:$X$109,{"Ongoing","N/A"}))</f>
        <v>0</v>
      </c>
      <c r="F125" s="3">
        <f>1/8*(SUMIFS($W$3:$W$109,$D$3:$D$109,Table!$D$3,$P$3:$P$109,C125)-SUM(SUMIFS($W$3:$W$109,$D$3:$D$109,Table!$D$3,$P$3:$P$109,C125,$X$3:$X$109,{"Ongoing","N/A"})))</f>
        <v>0</v>
      </c>
      <c r="G125" s="3" t="str">
        <f>IF(ISERROR(E125/(F125)),"N/A",E125/F125)</f>
        <v>N/A</v>
      </c>
      <c r="H125" s="7" t="str">
        <f>IF(ISERROR(E125/D125),"N/A",E125/D125)</f>
        <v>N/A</v>
      </c>
    </row>
    <row r="126" spans="2:8" x14ac:dyDescent="0.25">
      <c r="B126" s="3">
        <v>2</v>
      </c>
      <c r="C126" s="48" t="s">
        <v>100</v>
      </c>
      <c r="D126" s="3">
        <f>SUMIFS($T$3:$T$109,$D$3:$D$109,Table!$D$3,$P$3:$P$109,C126)</f>
        <v>0</v>
      </c>
      <c r="E126" s="3">
        <f>SUMIFS($T$3:$T$109,$D$3:$D$109,Table!$D$3,$P$3:$P$109,C126)-SUM(SUMIFS($T$3:$T$109,$D$3:$D$109,Table!$D$3,$P$3:$P$109,C126,$X$3:$X$109,{"Ongoing","N/A"}))</f>
        <v>0</v>
      </c>
      <c r="F126" s="3">
        <f>1/8*(SUMIFS($W$3:$W$109,$D$3:$D$109,Table!$D$3,$P$3:$P$109,C126)-SUM(SUMIFS($W$3:$W$109,$D$3:$D$109,Table!$D$3,$P$3:$P$109,C126,$X$3:$X$109,{"Ongoing","N/A"})))</f>
        <v>0</v>
      </c>
      <c r="G126" s="3" t="str">
        <f t="shared" ref="G126:G131" si="6">IF(ISERROR(E126/(F126)),"N/A",E126/F126)</f>
        <v>N/A</v>
      </c>
      <c r="H126" s="7" t="str">
        <f t="shared" ref="H126:H132" si="7">IF(ISERROR(E126/D126),"N/A",E126/D126)</f>
        <v>N/A</v>
      </c>
    </row>
    <row r="127" spans="2:8" x14ac:dyDescent="0.25">
      <c r="B127" s="3">
        <v>3</v>
      </c>
      <c r="C127" s="48" t="s">
        <v>101</v>
      </c>
      <c r="D127" s="3">
        <f>SUMIFS($T$3:$T$109,$D$3:$D$109,Table!$D$3,$P$3:$P$109,C127)</f>
        <v>0</v>
      </c>
      <c r="E127" s="3">
        <f>SUMIFS($T$3:$T$109,$D$3:$D$109,Table!$D$3,$P$3:$P$109,C127)-SUM(SUMIFS($T$3:$T$109,$D$3:$D$109,Table!$D$3,$P$3:$P$109,C127,$X$3:$X$109,{"Ongoing","N/A"}))</f>
        <v>0</v>
      </c>
      <c r="F127" s="3">
        <f>1/8*(SUMIFS($W$3:$W$109,$D$3:$D$109,Table!$D$3,$P$3:$P$109,C127)-SUM(SUMIFS($W$3:$W$109,$D$3:$D$109,Table!$D$3,$P$3:$P$109,C127,$X$3:$X$109,{"Ongoing","N/A"})))</f>
        <v>0</v>
      </c>
      <c r="G127" s="3" t="str">
        <f t="shared" si="6"/>
        <v>N/A</v>
      </c>
      <c r="H127" s="7" t="str">
        <f t="shared" si="7"/>
        <v>N/A</v>
      </c>
    </row>
    <row r="128" spans="2:8" x14ac:dyDescent="0.25">
      <c r="B128" s="3">
        <v>4</v>
      </c>
      <c r="C128" s="48" t="s">
        <v>102</v>
      </c>
      <c r="D128" s="3">
        <f>SUMIFS($T$3:$T$109,$D$3:$D$109,Table!$D$3,$P$3:$P$109,C128)</f>
        <v>0</v>
      </c>
      <c r="E128" s="3">
        <f>SUMIFS($T$3:$T$109,$D$3:$D$109,Table!$D$3,$P$3:$P$109,C128)-SUM(SUMIFS($T$3:$T$109,$D$3:$D$109,Table!$D$3,$P$3:$P$109,C128,$X$3:$X$109,{"Ongoing","N/A"}))</f>
        <v>0</v>
      </c>
      <c r="F128" s="3">
        <f>1/8*(SUMIFS($W$3:$W$109,$D$3:$D$109,Table!$D$3,$P$3:$P$109,C128)-SUM(SUMIFS($W$3:$W$109,$D$3:$D$109,Table!$D$3,$P$3:$P$109,C128,$X$3:$X$109,{"Ongoing","N/A"})))</f>
        <v>0</v>
      </c>
      <c r="G128" s="3" t="str">
        <f t="shared" si="6"/>
        <v>N/A</v>
      </c>
      <c r="H128" s="7" t="str">
        <f t="shared" si="7"/>
        <v>N/A</v>
      </c>
    </row>
    <row r="129" spans="2:8" x14ac:dyDescent="0.25">
      <c r="B129" s="3">
        <v>5</v>
      </c>
      <c r="C129" s="47" t="s">
        <v>103</v>
      </c>
      <c r="D129" s="3">
        <f>SUMIFS($T$3:$T$109,$D$3:$D$109,Table!$D$3,$P$3:$P$109,C129)</f>
        <v>1543</v>
      </c>
      <c r="E129" s="3">
        <f>SUMIFS($T$3:$T$109,$D$3:$D$109,Table!$D$3,$P$3:$P$109,C129)-SUM(SUMIFS($T$3:$T$109,$D$3:$D$109,Table!$D$3,$P$3:$P$109,C129,$X$3:$X$109,{"Ongoing","N/A"}))</f>
        <v>1212</v>
      </c>
      <c r="F129" s="3">
        <f>1/8*(SUMIFS($W$3:$W$109,$D$3:$D$109,Table!$D$3,$P$3:$P$109,C129)-SUM(SUMIFS($W$3:$W$109,$D$3:$D$109,Table!$D$3,$P$3:$P$109,C129,$X$3:$X$109,{"Ongoing","N/A"})))</f>
        <v>3.1875</v>
      </c>
      <c r="G129" s="3">
        <f t="shared" si="6"/>
        <v>380.23529411764707</v>
      </c>
      <c r="H129" s="7">
        <f t="shared" si="7"/>
        <v>0.7854828256642904</v>
      </c>
    </row>
    <row r="130" spans="2:8" x14ac:dyDescent="0.25">
      <c r="B130" s="3">
        <v>6</v>
      </c>
      <c r="C130" s="47" t="s">
        <v>104</v>
      </c>
      <c r="D130" s="3">
        <f>SUMIFS($T$3:$T$109,$D$3:$D$109,Table!$D$3,$P$3:$P$109,C130)</f>
        <v>2867</v>
      </c>
      <c r="E130" s="3">
        <f>SUMIFS($T$3:$T$109,$D$3:$D$109,Table!$D$3,$P$3:$P$109,C130)-SUM(SUMIFS($T$3:$T$109,$D$3:$D$109,Table!$D$3,$P$3:$P$109,C130,$X$3:$X$109,{"Ongoing","N/A"}))</f>
        <v>2041</v>
      </c>
      <c r="F130" s="3">
        <f>1/8*(SUMIFS($W$3:$W$109,$D$3:$D$109,Table!$D$3,$P$3:$P$109,C130)-SUM(SUMIFS($W$3:$W$109,$D$3:$D$109,Table!$D$3,$P$3:$P$109,C130,$X$3:$X$109,{"Ongoing","N/A"})))</f>
        <v>4.125</v>
      </c>
      <c r="G130" s="3">
        <f>IF(ISERROR(E130/(F130)),"N/A",E130/F130)</f>
        <v>494.78787878787881</v>
      </c>
      <c r="H130" s="7">
        <f t="shared" si="7"/>
        <v>0.71189396581792819</v>
      </c>
    </row>
    <row r="131" spans="2:8" x14ac:dyDescent="0.25">
      <c r="B131" s="3">
        <v>7</v>
      </c>
      <c r="C131" s="47" t="s">
        <v>105</v>
      </c>
      <c r="D131" s="3">
        <f>SUMIFS($T$3:$T$109,$D$3:$D$109,Table!$D$3,$P$3:$P$109,C131)</f>
        <v>2545</v>
      </c>
      <c r="E131" s="3">
        <f>SUMIFS($T$3:$T$109,$D$3:$D$109,Table!$D$3,$P$3:$P$109,C131)-SUM(SUMIFS($T$3:$T$109,$D$3:$D$109,Table!$D$3,$P$3:$P$109,C131,$X$3:$X$109,{"Ongoing","N/A"}))</f>
        <v>2545</v>
      </c>
      <c r="F131" s="3">
        <f>1/8*(SUMIFS($W$3:$W$109,$D$3:$D$109,Table!$D$3,$P$3:$P$109,C131)-SUM(SUMIFS($W$3:$W$109,$D$3:$D$109,Table!$D$3,$P$3:$P$109,C131,$X$3:$X$109,{"Ongoing","N/A"})))</f>
        <v>4.625</v>
      </c>
      <c r="G131" s="3">
        <f t="shared" si="6"/>
        <v>550.27027027027032</v>
      </c>
      <c r="H131" s="7">
        <f t="shared" si="7"/>
        <v>1</v>
      </c>
    </row>
    <row r="132" spans="2:8" x14ac:dyDescent="0.25">
      <c r="B132" s="3">
        <v>8</v>
      </c>
      <c r="C132" s="47" t="s">
        <v>106</v>
      </c>
      <c r="D132" s="3">
        <f>SUMIFS($T$3:$T$109,$D$3:$D$109,Table!$D$3,$P$3:$P$109,C132)</f>
        <v>3081</v>
      </c>
      <c r="E132" s="3">
        <f>SUMIFS($T$3:$T$109,$D$3:$D$109,Table!$D$3,$P$3:$P$109,C132)-SUM(SUMIFS($T$3:$T$109,$D$3:$D$109,Table!$D$3,$P$3:$P$109,C132,$X$3:$X$109,{"Ongoing","N/A"}))</f>
        <v>2472</v>
      </c>
      <c r="F132" s="3">
        <f>1/8*(SUMIFS($W$3:$W$109,$D$3:$D$109,Table!$D$3,$P$3:$P$109,C132)-SUM(SUMIFS($W$3:$W$109,$D$3:$D$109,Table!$D$3,$P$3:$P$109,C132,$X$3:$X$109,{"Ongoing","N/A"})))</f>
        <v>5.0437500000000002</v>
      </c>
      <c r="G132" s="3">
        <f>IF(ISERROR(E132/(F132)),"N/A",E132/F132)</f>
        <v>490.11152416356873</v>
      </c>
      <c r="H132" s="7">
        <f t="shared" si="7"/>
        <v>0.80233690360272636</v>
      </c>
    </row>
  </sheetData>
  <customSheetViews>
    <customSheetView guid="{7E0EA425-A420-4443-B9E0-CDF0AA9E5D09}" topLeftCell="I50">
      <selection activeCell="L80" sqref="L80"/>
      <pageMargins left="0.7" right="0.7" top="0.75" bottom="0.75" header="0.3" footer="0.3"/>
      <pageSetup orientation="portrait" r:id="rId1"/>
    </customSheetView>
    <customSheetView guid="{60D2C030-4E31-4E07-8E1C-44D2EE84B177}" scale="85" showAutoFilter="1" hiddenColumns="1" topLeftCell="O1">
      <selection activeCell="V94" sqref="V94"/>
      <pageMargins left="0.7" right="0.7" top="0.75" bottom="0.75" header="0.3" footer="0.3"/>
      <pageSetup orientation="portrait" r:id="rId2"/>
      <autoFilter ref="B2:AH66"/>
    </customSheetView>
    <customSheetView guid="{250915DF-0B97-45D7-B29D-7EED4C89C1C1}" scale="70" topLeftCell="G16">
      <selection activeCell="P41" sqref="P41"/>
      <pageMargins left="0.7" right="0.7" top="0.75" bottom="0.75" header="0.3" footer="0.3"/>
      <pageSetup orientation="portrait" r:id="rId3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4"/>
    </customSheetView>
    <customSheetView guid="{72A6EB0A-84D5-4B8A-AC51-54CCD061630B}" scale="85" filter="1" showAutoFilter="1" hiddenColumns="1" topLeftCell="K1">
      <selection activeCell="W33" sqref="W33"/>
      <pageMargins left="0.7" right="0.7" top="0.75" bottom="0.75" header="0.3" footer="0.3"/>
      <pageSetup orientation="portrait" r:id="rId5"/>
      <autoFilter ref="B2:AH66">
        <filterColumn colId="14">
          <filters>
            <filter val="loc.do-phu"/>
          </filters>
        </filterColumn>
      </autoFilter>
    </customSheetView>
    <customSheetView guid="{4E06BDBF-2CED-473B-850B-2A6C7311FF41}" showAutoFilter="1" hiddenColumns="1" topLeftCell="R31">
      <selection activeCell="AG48" sqref="AG48"/>
      <pageMargins left="0.7" right="0.7" top="0.75" bottom="0.75" header="0.3" footer="0.3"/>
      <pageSetup orientation="portrait" r:id="rId6"/>
      <autoFilter ref="Q2:Q105"/>
    </customSheetView>
  </customSheetViews>
  <conditionalFormatting sqref="H113:H120">
    <cfRule type="cellIs" dxfId="18" priority="6" operator="equal">
      <formula>1</formula>
    </cfRule>
    <cfRule type="cellIs" dxfId="17" priority="7" operator="lessThan">
      <formula>1</formula>
    </cfRule>
  </conditionalFormatting>
  <conditionalFormatting sqref="H125:H132">
    <cfRule type="cellIs" dxfId="16" priority="4" operator="equal">
      <formula>1</formula>
    </cfRule>
    <cfRule type="cellIs" dxfId="15" priority="5" operator="lessThan">
      <formula>1</formula>
    </cfRule>
  </conditionalFormatting>
  <conditionalFormatting sqref="AC3:AC109">
    <cfRule type="cellIs" dxfId="14" priority="2" operator="equal">
      <formula>"OK"</formula>
    </cfRule>
    <cfRule type="cellIs" dxfId="13" priority="3" operator="equal">
      <formula>"NG"</formula>
    </cfRule>
  </conditionalFormatting>
  <conditionalFormatting sqref="L3:M19 L26:M66">
    <cfRule type="cellIs" dxfId="12" priority="1" operator="equal">
      <formula>"PUT_VERSION"</formula>
    </cfRule>
  </conditionalFormatting>
  <dataValidations count="2">
    <dataValidation type="list" allowBlank="1" showInputMessage="1" showErrorMessage="1" sqref="AC67:AC109 AC3:AC66">
      <formula1>"OK,NG"</formula1>
    </dataValidation>
    <dataValidation type="list" allowBlank="1" showInputMessage="1" showErrorMessage="1" sqref="R67:R109 R3:R66">
      <formula1>"Yes,No"</formula1>
    </dataValidation>
  </dataValidations>
  <pageMargins left="0.7" right="0.7" top="0.75" bottom="0.75" header="0.3" footer="0.3"/>
  <pageSetup orientation="portrait" r:id="rId7"/>
  <legacy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9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G113:G120</xm:sqref>
        </x14:conditionalFormatting>
        <x14:conditionalFormatting xmlns:xm="http://schemas.microsoft.com/office/excel/2006/main">
          <x14:cfRule type="cellIs" priority="10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1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G125:G132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Table!$C$24:$C$30</xm:f>
          </x14:formula1>
          <xm:sqref>X67:X109 X3:X66</xm:sqref>
        </x14:dataValidation>
        <x14:dataValidation type="list" allowBlank="1" showInputMessage="1" showErrorMessage="1">
          <x14:formula1>
            <xm:f>Table!$C$8:$C$9</xm:f>
          </x14:formula1>
          <xm:sqref>D67:D109 D3:D66</xm:sqref>
        </x14:dataValidation>
        <x14:dataValidation type="list" allowBlank="1" showInputMessage="1" showErrorMessage="1">
          <x14:formula1>
            <xm:f>Table!$C$13:$C$20</xm:f>
          </x14:formula1>
          <xm:sqref>P67:Q109 P3:Q66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250915DF-0B97-45D7-B29D-7EED4C89C1C1}">
      <selection activeCell="C39" sqref="C39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:Y38"/>
  <sheetViews>
    <sheetView zoomScale="85" zoomScaleNormal="85" workbookViewId="0">
      <selection activeCell="M23" sqref="M23"/>
    </sheetView>
  </sheetViews>
  <sheetFormatPr defaultRowHeight="15" x14ac:dyDescent="0.25"/>
  <cols>
    <col min="3" max="3" width="19.140625" bestFit="1" customWidth="1"/>
    <col min="4" max="4" width="17" customWidth="1"/>
    <col min="5" max="6" width="50.5703125" bestFit="1" customWidth="1"/>
    <col min="7" max="7" width="8.7109375" bestFit="1" customWidth="1"/>
    <col min="8" max="8" width="38.85546875" bestFit="1" customWidth="1"/>
    <col min="9" max="9" width="10.42578125" bestFit="1" customWidth="1"/>
    <col min="10" max="10" width="8.42578125" bestFit="1" customWidth="1"/>
    <col min="11" max="11" width="10.42578125" bestFit="1" customWidth="1"/>
    <col min="12" max="12" width="19.140625" bestFit="1" customWidth="1"/>
    <col min="14" max="14" width="11.140625" bestFit="1" customWidth="1"/>
    <col min="16" max="17" width="12.85546875" bestFit="1" customWidth="1"/>
    <col min="18" max="18" width="12" bestFit="1" customWidth="1"/>
    <col min="19" max="19" width="8.7109375" bestFit="1" customWidth="1"/>
  </cols>
  <sheetData>
    <row r="2" spans="2:25" x14ac:dyDescent="0.25">
      <c r="B2" s="2" t="s">
        <v>0</v>
      </c>
      <c r="C2" s="2" t="s">
        <v>99</v>
      </c>
      <c r="D2" s="2" t="s">
        <v>1</v>
      </c>
      <c r="E2" s="2" t="s">
        <v>71</v>
      </c>
      <c r="F2" s="2" t="s">
        <v>72</v>
      </c>
      <c r="G2" s="2" t="s">
        <v>73</v>
      </c>
      <c r="H2" s="2" t="s">
        <v>74</v>
      </c>
      <c r="I2" s="2" t="s">
        <v>91</v>
      </c>
      <c r="J2" s="22" t="s">
        <v>69</v>
      </c>
      <c r="K2" s="22" t="s">
        <v>8</v>
      </c>
      <c r="L2" s="4" t="s">
        <v>9</v>
      </c>
      <c r="M2" s="4" t="s">
        <v>15</v>
      </c>
      <c r="N2" s="4" t="s">
        <v>66</v>
      </c>
      <c r="O2" s="4" t="s">
        <v>68</v>
      </c>
      <c r="P2" s="4" t="s">
        <v>67</v>
      </c>
      <c r="Q2" s="4" t="s">
        <v>20</v>
      </c>
      <c r="R2" s="4" t="s">
        <v>88</v>
      </c>
      <c r="S2" s="4" t="s">
        <v>89</v>
      </c>
      <c r="T2" s="2" t="s">
        <v>13</v>
      </c>
      <c r="U2" s="2" t="s">
        <v>14</v>
      </c>
      <c r="V2" s="2" t="s">
        <v>16</v>
      </c>
      <c r="W2" s="2" t="s">
        <v>17</v>
      </c>
      <c r="X2" s="4" t="s">
        <v>18</v>
      </c>
      <c r="Y2" s="4" t="s">
        <v>19</v>
      </c>
    </row>
    <row r="3" spans="2:25" x14ac:dyDescent="0.25">
      <c r="B3" s="3">
        <v>1</v>
      </c>
      <c r="C3" s="3">
        <v>1</v>
      </c>
      <c r="D3" s="3" t="s">
        <v>3</v>
      </c>
      <c r="E3" s="3" t="s">
        <v>75</v>
      </c>
      <c r="F3" s="3" t="s">
        <v>79</v>
      </c>
      <c r="G3" s="3">
        <v>1348323</v>
      </c>
      <c r="H3" s="3" t="s">
        <v>83</v>
      </c>
      <c r="I3" s="24" t="s">
        <v>90</v>
      </c>
      <c r="J3" s="23" t="s">
        <v>23</v>
      </c>
      <c r="K3" s="23"/>
      <c r="L3" s="3"/>
      <c r="M3" s="3">
        <v>113</v>
      </c>
      <c r="N3" s="3"/>
      <c r="O3" s="3">
        <f>ROUNDDOWN(M3/HLOOKUP(Template!D3,Table!$C$3:$D$4,2,0)*8,2)</f>
        <v>2</v>
      </c>
      <c r="P3" s="3"/>
      <c r="Q3" s="3" t="s">
        <v>27</v>
      </c>
      <c r="R3" s="5">
        <v>43892</v>
      </c>
      <c r="S3" s="5">
        <v>43924</v>
      </c>
      <c r="T3" s="5">
        <v>43892</v>
      </c>
      <c r="U3" s="5"/>
      <c r="V3" s="3"/>
      <c r="W3" s="3"/>
      <c r="X3" s="3"/>
      <c r="Y3" s="3"/>
    </row>
    <row r="4" spans="2:25" x14ac:dyDescent="0.25">
      <c r="B4" s="3">
        <v>2</v>
      </c>
      <c r="C4" s="3">
        <v>1</v>
      </c>
      <c r="D4" s="3" t="s">
        <v>3</v>
      </c>
      <c r="E4" s="3" t="s">
        <v>76</v>
      </c>
      <c r="F4" s="3" t="s">
        <v>80</v>
      </c>
      <c r="G4" s="3">
        <v>1345876</v>
      </c>
      <c r="H4" s="3" t="s">
        <v>84</v>
      </c>
      <c r="I4" s="24" t="s">
        <v>90</v>
      </c>
      <c r="J4" s="23" t="s">
        <v>23</v>
      </c>
      <c r="K4" s="23"/>
      <c r="L4" s="3"/>
      <c r="M4" s="3">
        <v>148</v>
      </c>
      <c r="N4" s="3"/>
      <c r="O4" s="3">
        <f>ROUNDDOWN(M4/HLOOKUP(Template!D4,Table!$C$3:$D$4,2,0)*8,2)</f>
        <v>2.63</v>
      </c>
      <c r="P4" s="3"/>
      <c r="Q4" s="3" t="s">
        <v>27</v>
      </c>
      <c r="R4" s="5">
        <v>43892</v>
      </c>
      <c r="S4" s="5">
        <v>43924</v>
      </c>
      <c r="T4" s="5">
        <v>43892</v>
      </c>
      <c r="U4" s="5"/>
      <c r="V4" s="3"/>
      <c r="W4" s="3"/>
      <c r="X4" s="3"/>
      <c r="Y4" s="3"/>
    </row>
    <row r="5" spans="2:25" x14ac:dyDescent="0.25">
      <c r="B5" s="3">
        <v>3</v>
      </c>
      <c r="C5" s="3">
        <v>1</v>
      </c>
      <c r="D5" s="3" t="s">
        <v>3</v>
      </c>
      <c r="E5" s="3" t="s">
        <v>77</v>
      </c>
      <c r="F5" s="3" t="s">
        <v>81</v>
      </c>
      <c r="G5" s="3">
        <v>1350941</v>
      </c>
      <c r="H5" s="3" t="s">
        <v>85</v>
      </c>
      <c r="I5" s="24" t="s">
        <v>90</v>
      </c>
      <c r="J5" s="23" t="s">
        <v>23</v>
      </c>
      <c r="K5" s="23"/>
      <c r="L5" s="3"/>
      <c r="M5" s="3">
        <v>291</v>
      </c>
      <c r="N5" s="3"/>
      <c r="O5" s="3">
        <f>ROUNDDOWN(M5/HLOOKUP(Template!D5,Table!$C$3:$D$4,2,0)*8,2)</f>
        <v>5.17</v>
      </c>
      <c r="P5" s="3"/>
      <c r="Q5" s="3" t="s">
        <v>27</v>
      </c>
      <c r="R5" s="5">
        <v>43892</v>
      </c>
      <c r="S5" s="5">
        <v>43924</v>
      </c>
      <c r="T5" s="5">
        <v>43892</v>
      </c>
      <c r="U5" s="5"/>
      <c r="V5" s="3"/>
      <c r="W5" s="3"/>
      <c r="X5" s="3"/>
      <c r="Y5" s="3"/>
    </row>
    <row r="6" spans="2:25" x14ac:dyDescent="0.25">
      <c r="B6" s="3">
        <v>4</v>
      </c>
      <c r="C6" s="3">
        <v>1</v>
      </c>
      <c r="D6" s="3" t="s">
        <v>3</v>
      </c>
      <c r="E6" s="3" t="s">
        <v>78</v>
      </c>
      <c r="F6" s="3" t="s">
        <v>82</v>
      </c>
      <c r="G6" s="3">
        <v>1351929</v>
      </c>
      <c r="H6" s="3" t="s">
        <v>86</v>
      </c>
      <c r="I6" s="24" t="s">
        <v>90</v>
      </c>
      <c r="J6" s="23" t="s">
        <v>23</v>
      </c>
      <c r="K6" s="23"/>
      <c r="L6" s="3"/>
      <c r="M6" s="3">
        <v>254</v>
      </c>
      <c r="N6" s="3"/>
      <c r="O6" s="3">
        <f>ROUNDDOWN(M6/HLOOKUP(Template!D6,Table!$C$3:$D$4,2,0)*8,2)</f>
        <v>4.51</v>
      </c>
      <c r="P6" s="3"/>
      <c r="Q6" s="3" t="s">
        <v>27</v>
      </c>
      <c r="R6" s="5">
        <v>43892</v>
      </c>
      <c r="S6" s="5">
        <v>43924</v>
      </c>
      <c r="T6" s="5">
        <v>43892</v>
      </c>
      <c r="U6" s="5"/>
      <c r="V6" s="3"/>
      <c r="W6" s="3"/>
      <c r="X6" s="3"/>
      <c r="Y6" s="3"/>
    </row>
    <row r="7" spans="2:25" x14ac:dyDescent="0.25">
      <c r="B7" s="3">
        <v>5</v>
      </c>
      <c r="C7" s="3">
        <v>1</v>
      </c>
      <c r="D7" s="3" t="s">
        <v>2</v>
      </c>
      <c r="E7" s="3" t="s">
        <v>87</v>
      </c>
      <c r="F7" s="24" t="s">
        <v>90</v>
      </c>
      <c r="G7" s="3">
        <v>1351929</v>
      </c>
      <c r="H7" s="3" t="s">
        <v>70</v>
      </c>
      <c r="I7" s="3" t="s">
        <v>92</v>
      </c>
      <c r="J7" s="23" t="s">
        <v>23</v>
      </c>
      <c r="K7" s="23"/>
      <c r="L7" s="3"/>
      <c r="M7" s="3">
        <v>19</v>
      </c>
      <c r="N7" s="3"/>
      <c r="O7" s="3">
        <f>ROUNDDOWN(M7/HLOOKUP(Template!D7,Table!$C$3:$D$4,2,0)*8,2)</f>
        <v>1.1599999999999999</v>
      </c>
      <c r="P7" s="3"/>
      <c r="Q7" s="3" t="s">
        <v>27</v>
      </c>
      <c r="R7" s="5">
        <v>43892</v>
      </c>
      <c r="S7" s="5">
        <v>43924</v>
      </c>
      <c r="T7" s="5">
        <v>43892</v>
      </c>
      <c r="U7" s="5"/>
      <c r="V7" s="3"/>
      <c r="W7" s="3"/>
      <c r="X7" s="3"/>
      <c r="Y7" s="3"/>
    </row>
    <row r="8" spans="2:25" x14ac:dyDescent="0.25">
      <c r="B8" s="3">
        <v>6</v>
      </c>
      <c r="C8" s="3">
        <v>2</v>
      </c>
      <c r="D8" s="3" t="s">
        <v>3</v>
      </c>
      <c r="E8" s="3" t="s">
        <v>93</v>
      </c>
      <c r="F8" s="24" t="s">
        <v>94</v>
      </c>
      <c r="G8" s="3">
        <v>1351848</v>
      </c>
      <c r="H8" s="3" t="s">
        <v>95</v>
      </c>
      <c r="I8" s="3" t="s">
        <v>90</v>
      </c>
      <c r="J8" s="23" t="s">
        <v>23</v>
      </c>
      <c r="K8" s="23"/>
      <c r="L8" s="3"/>
      <c r="M8" s="3">
        <v>478</v>
      </c>
      <c r="N8" s="3"/>
      <c r="O8" s="3">
        <f>ROUNDDOWN(M8/HLOOKUP(Template!D8,Table!$C$3:$D$4,2,0)*8,2)</f>
        <v>8.49</v>
      </c>
      <c r="P8" s="3"/>
      <c r="Q8" s="3" t="s">
        <v>27</v>
      </c>
      <c r="R8" s="5">
        <v>43892</v>
      </c>
      <c r="S8" s="5">
        <v>43924</v>
      </c>
      <c r="T8" s="5">
        <v>43892</v>
      </c>
      <c r="U8" s="5"/>
      <c r="V8" s="3"/>
      <c r="W8" s="3"/>
      <c r="X8" s="3"/>
      <c r="Y8" s="3"/>
    </row>
    <row r="9" spans="2:25" x14ac:dyDescent="0.25">
      <c r="B9" s="3">
        <v>7</v>
      </c>
      <c r="C9" s="3">
        <v>2</v>
      </c>
      <c r="D9" s="3" t="s">
        <v>3</v>
      </c>
      <c r="E9" s="3" t="s">
        <v>93</v>
      </c>
      <c r="F9" s="24" t="s">
        <v>94</v>
      </c>
      <c r="G9" s="3">
        <v>1351848</v>
      </c>
      <c r="H9" s="3" t="s">
        <v>96</v>
      </c>
      <c r="I9" s="3" t="s">
        <v>90</v>
      </c>
      <c r="J9" s="23" t="s">
        <v>23</v>
      </c>
      <c r="K9" s="23"/>
      <c r="L9" s="3"/>
      <c r="M9" s="3">
        <v>286</v>
      </c>
      <c r="N9" s="3"/>
      <c r="O9" s="3">
        <f>ROUNDDOWN(M9/HLOOKUP(Template!D9,Table!$C$3:$D$4,2,0)*8,2)</f>
        <v>5.08</v>
      </c>
      <c r="P9" s="3"/>
      <c r="Q9" s="3" t="s">
        <v>27</v>
      </c>
      <c r="R9" s="5">
        <v>43892</v>
      </c>
      <c r="S9" s="5">
        <v>43924</v>
      </c>
      <c r="T9" s="5">
        <v>43892</v>
      </c>
      <c r="U9" s="5"/>
      <c r="V9" s="3"/>
      <c r="W9" s="3"/>
      <c r="X9" s="3"/>
      <c r="Y9" s="3"/>
    </row>
    <row r="10" spans="2:25" x14ac:dyDescent="0.25">
      <c r="B10" s="3">
        <v>8</v>
      </c>
      <c r="C10" s="3">
        <v>2</v>
      </c>
      <c r="D10" s="3" t="s">
        <v>3</v>
      </c>
      <c r="E10" s="3" t="s">
        <v>93</v>
      </c>
      <c r="F10" s="24" t="s">
        <v>97</v>
      </c>
      <c r="G10" s="3">
        <v>1351848</v>
      </c>
      <c r="H10" s="3" t="s">
        <v>98</v>
      </c>
      <c r="I10" s="3" t="s">
        <v>90</v>
      </c>
      <c r="J10" s="23" t="s">
        <v>23</v>
      </c>
      <c r="K10" s="23"/>
      <c r="L10" s="3"/>
      <c r="M10" s="3">
        <v>110</v>
      </c>
      <c r="N10" s="3"/>
      <c r="O10" s="3">
        <f>ROUNDDOWN(M10/HLOOKUP(Template!D10,Table!$C$3:$D$4,2,0)*8,2)</f>
        <v>1.95</v>
      </c>
      <c r="P10" s="3"/>
      <c r="Q10" s="3" t="s">
        <v>27</v>
      </c>
      <c r="R10" s="5">
        <v>43892</v>
      </c>
      <c r="S10" s="5">
        <v>43924</v>
      </c>
      <c r="T10" s="5">
        <v>43892</v>
      </c>
      <c r="U10" s="5"/>
      <c r="V10" s="3"/>
      <c r="W10" s="3"/>
      <c r="X10" s="3"/>
      <c r="Y10" s="3"/>
    </row>
    <row r="11" spans="2:25" x14ac:dyDescent="0.25">
      <c r="B11" s="3"/>
      <c r="C11" s="3"/>
      <c r="D11" s="3"/>
      <c r="E11" s="3"/>
      <c r="F11" s="24"/>
      <c r="G11" s="3"/>
      <c r="H11" s="3"/>
      <c r="I11" s="3"/>
      <c r="J11" s="23"/>
      <c r="K11" s="23"/>
      <c r="L11" s="3"/>
      <c r="M11" s="3"/>
      <c r="N11" s="3"/>
      <c r="O11" s="3"/>
      <c r="P11" s="3"/>
      <c r="Q11" s="3"/>
      <c r="R11" s="5"/>
      <c r="S11" s="5"/>
      <c r="T11" s="5"/>
      <c r="U11" s="5"/>
      <c r="V11" s="3"/>
      <c r="W11" s="3"/>
      <c r="X11" s="3"/>
      <c r="Y11" s="3"/>
    </row>
    <row r="12" spans="2:25" x14ac:dyDescent="0.25">
      <c r="B12" s="3"/>
      <c r="C12" s="3"/>
      <c r="D12" s="3"/>
      <c r="E12" s="3"/>
      <c r="F12" s="24"/>
      <c r="G12" s="3"/>
      <c r="H12" s="3"/>
      <c r="I12" s="3"/>
      <c r="J12" s="23"/>
      <c r="K12" s="23"/>
      <c r="L12" s="3"/>
      <c r="M12" s="3"/>
      <c r="N12" s="3"/>
      <c r="O12" s="3"/>
      <c r="P12" s="3"/>
      <c r="Q12" s="3"/>
      <c r="R12" s="5"/>
      <c r="S12" s="5"/>
      <c r="T12" s="5"/>
      <c r="U12" s="5"/>
      <c r="V12" s="3"/>
      <c r="W12" s="3"/>
      <c r="X12" s="3"/>
      <c r="Y12" s="3"/>
    </row>
    <row r="13" spans="2:25" x14ac:dyDescent="0.25">
      <c r="B13" s="3"/>
      <c r="C13" s="3"/>
      <c r="D13" s="3"/>
      <c r="E13" s="3"/>
      <c r="F13" s="24"/>
      <c r="G13" s="3"/>
      <c r="H13" s="3"/>
      <c r="I13" s="3"/>
      <c r="J13" s="23"/>
      <c r="K13" s="23"/>
      <c r="L13" s="3"/>
      <c r="M13" s="3"/>
      <c r="N13" s="3"/>
      <c r="O13" s="3"/>
      <c r="P13" s="3"/>
      <c r="Q13" s="3"/>
      <c r="R13" s="5"/>
      <c r="S13" s="5"/>
      <c r="T13" s="5"/>
      <c r="U13" s="5"/>
      <c r="V13" s="3"/>
      <c r="W13" s="3"/>
      <c r="X13" s="3"/>
      <c r="Y13" s="3"/>
    </row>
    <row r="14" spans="2:25" x14ac:dyDescent="0.25">
      <c r="B14" s="3"/>
      <c r="C14" s="3"/>
      <c r="D14" s="3"/>
      <c r="E14" s="3"/>
      <c r="F14" s="24"/>
      <c r="G14" s="3"/>
      <c r="H14" s="3"/>
      <c r="I14" s="3"/>
      <c r="J14" s="23"/>
      <c r="K14" s="23"/>
      <c r="L14" s="3"/>
      <c r="M14" s="3"/>
      <c r="N14" s="3"/>
      <c r="O14" s="3"/>
      <c r="P14" s="3"/>
      <c r="Q14" s="3"/>
      <c r="R14" s="5"/>
      <c r="S14" s="5"/>
      <c r="T14" s="5"/>
      <c r="U14" s="5"/>
      <c r="V14" s="3"/>
      <c r="W14" s="3"/>
      <c r="X14" s="3"/>
      <c r="Y14" s="3"/>
    </row>
    <row r="15" spans="2:25" x14ac:dyDescent="0.25">
      <c r="B15" s="3"/>
      <c r="C15" s="3"/>
      <c r="D15" s="3"/>
      <c r="E15" s="3"/>
      <c r="F15" s="24"/>
      <c r="G15" s="3"/>
      <c r="H15" s="3"/>
      <c r="I15" s="3"/>
      <c r="J15" s="23"/>
      <c r="K15" s="23"/>
      <c r="L15" s="3"/>
      <c r="M15" s="3"/>
      <c r="N15" s="3"/>
      <c r="O15" s="3"/>
      <c r="P15" s="3"/>
      <c r="Q15" s="3"/>
      <c r="R15" s="5"/>
      <c r="S15" s="5"/>
      <c r="T15" s="5"/>
      <c r="U15" s="5"/>
      <c r="V15" s="3"/>
      <c r="W15" s="3"/>
      <c r="X15" s="3"/>
      <c r="Y15" s="3"/>
    </row>
    <row r="16" spans="2:25" x14ac:dyDescent="0.25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2:8" x14ac:dyDescent="0.25">
      <c r="B17" s="1" t="s">
        <v>64</v>
      </c>
    </row>
    <row r="18" spans="2:8" x14ac:dyDescent="0.25">
      <c r="B18" s="2" t="s">
        <v>0</v>
      </c>
      <c r="C18" s="2" t="s">
        <v>9</v>
      </c>
      <c r="D18" s="2" t="s">
        <v>28</v>
      </c>
      <c r="E18" s="2" t="s">
        <v>29</v>
      </c>
      <c r="F18" s="2" t="s">
        <v>26</v>
      </c>
      <c r="G18" s="2" t="s">
        <v>25</v>
      </c>
      <c r="H18" s="4" t="s">
        <v>30</v>
      </c>
    </row>
    <row r="19" spans="2:8" x14ac:dyDescent="0.25">
      <c r="B19" s="3">
        <v>1</v>
      </c>
      <c r="C19" s="3" t="s">
        <v>6</v>
      </c>
      <c r="D19" s="3">
        <f>SUMIFS($M$3:$M$6,$D$3:$D$6,Table!$C$3,$L$3:$L$6,Table!C13)</f>
        <v>0</v>
      </c>
      <c r="E19" s="3">
        <f>SUMIFS($N$3:$N$6,$D$3:$D$6,Table!$C$3,$L$3:$L$6,Table!C13)-SUM(SUMIFS($N$3:$N$6,$D$3:$D$6,Table!$C$3,$L$3:$L$6,Table!C13,$Q$3:$Q$6,{"Ongoing","N/A"}))</f>
        <v>0</v>
      </c>
      <c r="F19" s="3">
        <f>1/8*(SUMIFS($P$3:$P$6,$D$3:$D$6,Table!$C$3,$L$3:$L$6,Table!C13)-SUM(SUMIFS($P$3:$P$6,$D$3:$D$6,Table!$C$3,$L$3:$L$6,Table!C13,$Q$3:$Q$6,{"Ongoing","N/A"})))</f>
        <v>0</v>
      </c>
      <c r="G19" s="3" t="e">
        <f>E19/(F19)</f>
        <v>#DIV/0!</v>
      </c>
      <c r="H19" s="7" t="e">
        <f>E19/D19</f>
        <v>#DIV/0!</v>
      </c>
    </row>
    <row r="20" spans="2:8" x14ac:dyDescent="0.25">
      <c r="B20" s="3">
        <v>2</v>
      </c>
      <c r="C20" s="3" t="s">
        <v>7</v>
      </c>
      <c r="D20" s="3">
        <f>SUMIFS($M$3:$M$6,$D$3:$D$6,Table!$C$3,$L$3:$L$6,Table!#REF!)</f>
        <v>0</v>
      </c>
      <c r="E20" s="3">
        <f>SUMIFS($N$3:$N$6,$D$3:$D$6,Table!$C$3,$L$3:$L$6,Table!#REF!)-SUM(SUMIFS($N$3:$N$6,$D$3:$D$6,Table!$C$3,$L$3:$L$6,Table!#REF!,$Q$3:$Q$6,{"Ongoing","N/A"}))</f>
        <v>0</v>
      </c>
      <c r="F20" s="3">
        <f>1/8*(SUMIFS($P$3:$P$6,$D$3:$D$6,Table!$C$3,$L$3:$L$6,Table!#REF!)-SUM(SUMIFS($P$3:$P$6,$D$3:$D$6,Table!$C$3,$L$3:$L$6,Table!#REF!,$Q$3:$Q$6,{"Ongoing","N/A"})))</f>
        <v>0</v>
      </c>
      <c r="G20" s="3" t="e">
        <f>E20/(F20)</f>
        <v>#DIV/0!</v>
      </c>
      <c r="H20" s="7" t="e">
        <f>E20/D20</f>
        <v>#DIV/0!</v>
      </c>
    </row>
    <row r="21" spans="2:8" x14ac:dyDescent="0.25">
      <c r="B21" s="3">
        <v>3</v>
      </c>
      <c r="C21" s="3" t="s">
        <v>7</v>
      </c>
      <c r="D21" s="3">
        <f>SUMIFS($M$3:$M$6,$D$3:$D$6,Table!$C$3,$L$3:$L$6,Table!C21)</f>
        <v>0</v>
      </c>
      <c r="E21" s="3">
        <f>SUMIFS($N$3:$N$6,$D$3:$D$6,Table!$C$3,$L$3:$L$6,Table!C21)-SUM(SUMIFS($N$3:$N$6,$D$3:$D$6,Table!$C$3,$L$3:$L$6,Table!C21,$Q$3:$Q$6,{"Ongoing","N/A"}))</f>
        <v>0</v>
      </c>
      <c r="F21" s="3">
        <f>1/8*(SUMIFS($P$3:$P$6,$D$3:$D$6,Table!$C$3,$L$3:$L$6,Table!C21)-SUM(SUMIFS($P$3:$P$6,$D$3:$D$6,Table!$C$3,$L$3:$L$6,Table!C21,$Q$3:$Q$6,{"Ongoing","N/A"})))</f>
        <v>0</v>
      </c>
      <c r="G21" s="3" t="e">
        <f t="shared" ref="G21:G30" si="0">E21/(F21)</f>
        <v>#DIV/0!</v>
      </c>
      <c r="H21" s="7" t="e">
        <f t="shared" ref="H21:H30" si="1">E21/D21</f>
        <v>#DIV/0!</v>
      </c>
    </row>
    <row r="22" spans="2:8" x14ac:dyDescent="0.25">
      <c r="B22" s="3">
        <v>4</v>
      </c>
      <c r="C22" s="3" t="s">
        <v>7</v>
      </c>
      <c r="D22" s="3">
        <f>SUMIFS($M$3:$M$6,$D$3:$D$6,Table!$C$3,$L$3:$L$6,Table!C22)</f>
        <v>0</v>
      </c>
      <c r="E22" s="3">
        <f>SUMIFS($N$3:$N$6,$D$3:$D$6,Table!$C$3,$L$3:$L$6,Table!C22)-SUM(SUMIFS($N$3:$N$6,$D$3:$D$6,Table!$C$3,$L$3:$L$6,Table!C22,$Q$3:$Q$6,{"Ongoing","N/A"}))</f>
        <v>0</v>
      </c>
      <c r="F22" s="3">
        <f>1/8*(SUMIFS($P$3:$P$6,$D$3:$D$6,Table!$C$3,$L$3:$L$6,Table!C22)-SUM(SUMIFS($P$3:$P$6,$D$3:$D$6,Table!$C$3,$L$3:$L$6,Table!C22,$Q$3:$Q$6,{"Ongoing","N/A"})))</f>
        <v>0</v>
      </c>
      <c r="G22" s="3" t="e">
        <f t="shared" si="0"/>
        <v>#DIV/0!</v>
      </c>
      <c r="H22" s="7" t="e">
        <f t="shared" si="1"/>
        <v>#DIV/0!</v>
      </c>
    </row>
    <row r="23" spans="2:8" x14ac:dyDescent="0.25">
      <c r="B23" s="3">
        <v>5</v>
      </c>
      <c r="C23" s="3" t="s">
        <v>7</v>
      </c>
      <c r="D23" s="3">
        <f>SUMIFS($M$3:$M$6,$D$3:$D$6,Table!$C$3,$L$3:$L$6,Table!C23)</f>
        <v>0</v>
      </c>
      <c r="E23" s="3">
        <f>SUMIFS($N$3:$N$6,$D$3:$D$6,Table!$C$3,$L$3:$L$6,Table!C23)-SUM(SUMIFS($N$3:$N$6,$D$3:$D$6,Table!$C$3,$L$3:$L$6,Table!C23,$Q$3:$Q$6,{"Ongoing","N/A"}))</f>
        <v>0</v>
      </c>
      <c r="F23" s="3">
        <f>1/8*(SUMIFS($P$3:$P$6,$D$3:$D$6,Table!$C$3,$L$3:$L$6,Table!C23)-SUM(SUMIFS($P$3:$P$6,$D$3:$D$6,Table!$C$3,$L$3:$L$6,Table!C23,$Q$3:$Q$6,{"Ongoing","N/A"})))</f>
        <v>0</v>
      </c>
      <c r="G23" s="3" t="e">
        <f t="shared" si="0"/>
        <v>#DIV/0!</v>
      </c>
      <c r="H23" s="7" t="e">
        <f t="shared" si="1"/>
        <v>#DIV/0!</v>
      </c>
    </row>
    <row r="24" spans="2:8" x14ac:dyDescent="0.25">
      <c r="B24" s="3">
        <v>6</v>
      </c>
      <c r="C24" s="3" t="s">
        <v>7</v>
      </c>
      <c r="D24" s="3">
        <f>SUMIFS($M$3:$M$6,$D$3:$D$6,Table!$C$3,$L$3:$L$6,Table!C24)</f>
        <v>0</v>
      </c>
      <c r="E24" s="3">
        <f>SUMIFS($N$3:$N$6,$D$3:$D$6,Table!$C$3,$L$3:$L$6,Table!C24)-SUM(SUMIFS($N$3:$N$6,$D$3:$D$6,Table!$C$3,$L$3:$L$6,Table!C24,$Q$3:$Q$6,{"Ongoing","N/A"}))</f>
        <v>0</v>
      </c>
      <c r="F24" s="3">
        <f>1/8*(SUMIFS($P$3:$P$6,$D$3:$D$6,Table!$C$3,$L$3:$L$6,Table!C24)-SUM(SUMIFS($P$3:$P$6,$D$3:$D$6,Table!$C$3,$L$3:$L$6,Table!C24,$Q$3:$Q$6,{"Ongoing","N/A"})))</f>
        <v>0</v>
      </c>
      <c r="G24" s="3" t="e">
        <f t="shared" si="0"/>
        <v>#DIV/0!</v>
      </c>
      <c r="H24" s="7" t="e">
        <f t="shared" si="1"/>
        <v>#DIV/0!</v>
      </c>
    </row>
    <row r="25" spans="2:8" x14ac:dyDescent="0.25">
      <c r="B25" s="3">
        <v>7</v>
      </c>
      <c r="C25" s="3" t="s">
        <v>7</v>
      </c>
      <c r="D25" s="3">
        <f>SUMIFS($M$3:$M$6,$D$3:$D$6,Table!$C$3,$L$3:$L$6,Table!C25)</f>
        <v>0</v>
      </c>
      <c r="E25" s="3">
        <f>SUMIFS($N$3:$N$6,$D$3:$D$6,Table!$C$3,$L$3:$L$6,Table!C25)-SUM(SUMIFS($N$3:$N$6,$D$3:$D$6,Table!$C$3,$L$3:$L$6,Table!C25,$Q$3:$Q$6,{"Ongoing","N/A"}))</f>
        <v>0</v>
      </c>
      <c r="F25" s="3">
        <f>1/8*(SUMIFS($P$3:$P$6,$D$3:$D$6,Table!$C$3,$L$3:$L$6,Table!C25)-SUM(SUMIFS($P$3:$P$6,$D$3:$D$6,Table!$C$3,$L$3:$L$6,Table!C25,$Q$3:$Q$6,{"Ongoing","N/A"})))</f>
        <v>0</v>
      </c>
      <c r="G25" s="3" t="e">
        <f t="shared" si="0"/>
        <v>#DIV/0!</v>
      </c>
      <c r="H25" s="7" t="e">
        <f t="shared" si="1"/>
        <v>#DIV/0!</v>
      </c>
    </row>
    <row r="26" spans="2:8" x14ac:dyDescent="0.25">
      <c r="B26" s="3">
        <v>8</v>
      </c>
      <c r="C26" s="3" t="s">
        <v>7</v>
      </c>
      <c r="D26" s="3">
        <f>SUMIFS($M$3:$M$6,$D$3:$D$6,Table!$C$3,$L$3:$L$6,Table!C26)</f>
        <v>0</v>
      </c>
      <c r="E26" s="3">
        <f>SUMIFS($N$3:$N$6,$D$3:$D$6,Table!$C$3,$L$3:$L$6,Table!C26)-SUM(SUMIFS($N$3:$N$6,$D$3:$D$6,Table!$C$3,$L$3:$L$6,Table!C26,$Q$3:$Q$6,{"Ongoing","N/A"}))</f>
        <v>0</v>
      </c>
      <c r="F26" s="3">
        <f>1/8*(SUMIFS($P$3:$P$6,$D$3:$D$6,Table!$C$3,$L$3:$L$6,Table!C26)-SUM(SUMIFS($P$3:$P$6,$D$3:$D$6,Table!$C$3,$L$3:$L$6,Table!C26,$Q$3:$Q$6,{"Ongoing","N/A"})))</f>
        <v>0</v>
      </c>
      <c r="G26" s="3" t="e">
        <f t="shared" si="0"/>
        <v>#DIV/0!</v>
      </c>
      <c r="H26" s="7" t="e">
        <f t="shared" si="1"/>
        <v>#DIV/0!</v>
      </c>
    </row>
    <row r="27" spans="2:8" x14ac:dyDescent="0.25">
      <c r="B27" s="3">
        <v>9</v>
      </c>
      <c r="C27" s="3" t="s">
        <v>7</v>
      </c>
      <c r="D27" s="3">
        <f>SUMIFS($M$3:$M$6,$D$3:$D$6,Table!$C$3,$L$3:$L$6,Table!C30)</f>
        <v>0</v>
      </c>
      <c r="E27" s="3">
        <f>SUMIFS($N$3:$N$6,$D$3:$D$6,Table!$C$3,$L$3:$L$6,Table!C30)-SUM(SUMIFS($N$3:$N$6,$D$3:$D$6,Table!$C$3,$L$3:$L$6,Table!C30,$Q$3:$Q$6,{"Ongoing","N/A"}))</f>
        <v>0</v>
      </c>
      <c r="F27" s="3">
        <f>1/8*(SUMIFS($P$3:$P$6,$D$3:$D$6,Table!$C$3,$L$3:$L$6,Table!C30)-SUM(SUMIFS($P$3:$P$6,$D$3:$D$6,Table!$C$3,$L$3:$L$6,Table!C30,$Q$3:$Q$6,{"Ongoing","N/A"})))</f>
        <v>0</v>
      </c>
      <c r="G27" s="3" t="e">
        <f t="shared" si="0"/>
        <v>#DIV/0!</v>
      </c>
      <c r="H27" s="7" t="e">
        <f t="shared" si="1"/>
        <v>#DIV/0!</v>
      </c>
    </row>
    <row r="28" spans="2:8" x14ac:dyDescent="0.25">
      <c r="B28" s="3">
        <v>10</v>
      </c>
      <c r="C28" s="3" t="s">
        <v>7</v>
      </c>
      <c r="D28" s="3">
        <f>SUMIFS($M$3:$M$6,$D$3:$D$6,Table!$C$3,$L$3:$L$6,Table!C31)</f>
        <v>0</v>
      </c>
      <c r="E28" s="3">
        <f>SUMIFS($N$3:$N$6,$D$3:$D$6,Table!$C$3,$L$3:$L$6,Table!C31)-SUM(SUMIFS($N$3:$N$6,$D$3:$D$6,Table!$C$3,$L$3:$L$6,Table!C31,$Q$3:$Q$6,{"Ongoing","N/A"}))</f>
        <v>0</v>
      </c>
      <c r="F28" s="3">
        <f>1/8*(SUMIFS($P$3:$P$6,$D$3:$D$6,Table!$C$3,$L$3:$L$6,Table!C31)-SUM(SUMIFS($P$3:$P$6,$D$3:$D$6,Table!$C$3,$L$3:$L$6,Table!C31,$Q$3:$Q$6,{"Ongoing","N/A"})))</f>
        <v>0</v>
      </c>
      <c r="G28" s="3" t="e">
        <f t="shared" si="0"/>
        <v>#DIV/0!</v>
      </c>
      <c r="H28" s="7" t="e">
        <f t="shared" si="1"/>
        <v>#DIV/0!</v>
      </c>
    </row>
    <row r="29" spans="2:8" x14ac:dyDescent="0.25">
      <c r="B29" s="3">
        <v>2</v>
      </c>
      <c r="C29" s="3" t="s">
        <v>7</v>
      </c>
      <c r="D29" s="3">
        <f>SUMIFS($M$3:$M$6,$D$3:$D$6,Table!$C$3,$L$3:$L$6,Table!C32)</f>
        <v>0</v>
      </c>
      <c r="E29" s="3">
        <f>SUMIFS($N$3:$N$6,$D$3:$D$6,Table!$C$3,$L$3:$L$6,Table!C32)-SUM(SUMIFS($N$3:$N$6,$D$3:$D$6,Table!$C$3,$L$3:$L$6,Table!C32,$Q$3:$Q$6,{"Ongoing","N/A"}))</f>
        <v>0</v>
      </c>
      <c r="F29" s="3">
        <f>1/8*(SUMIFS($P$3:$P$6,$D$3:$D$6,Table!$C$3,$L$3:$L$6,Table!C32)-SUM(SUMIFS($P$3:$P$6,$D$3:$D$6,Table!$C$3,$L$3:$L$6,Table!C32,$Q$3:$Q$6,{"Ongoing","N/A"})))</f>
        <v>0</v>
      </c>
      <c r="G29" s="3" t="e">
        <f t="shared" si="0"/>
        <v>#DIV/0!</v>
      </c>
      <c r="H29" s="7" t="e">
        <f t="shared" si="1"/>
        <v>#DIV/0!</v>
      </c>
    </row>
    <row r="30" spans="2:8" x14ac:dyDescent="0.25">
      <c r="B30" s="3">
        <v>2</v>
      </c>
      <c r="C30" s="3" t="s">
        <v>7</v>
      </c>
      <c r="D30" s="3">
        <f>SUMIFS($M$3:$M$6,$D$3:$D$6,Table!$C$3,$L$3:$L$6,Table!C33)</f>
        <v>0</v>
      </c>
      <c r="E30" s="3">
        <f>SUMIFS($N$3:$N$6,$D$3:$D$6,Table!$C$3,$L$3:$L$6,Table!C33)-SUM(SUMIFS($N$3:$N$6,$D$3:$D$6,Table!$C$3,$L$3:$L$6,Table!C33,$Q$3:$Q$6,{"Ongoing","N/A"}))</f>
        <v>0</v>
      </c>
      <c r="F30" s="3">
        <f>1/8*(SUMIFS($P$3:$P$6,$D$3:$D$6,Table!$C$3,$L$3:$L$6,Table!C33)-SUM(SUMIFS($P$3:$P$6,$D$3:$D$6,Table!$C$3,$L$3:$L$6,Table!C33,$Q$3:$Q$6,{"Ongoing","N/A"})))</f>
        <v>0</v>
      </c>
      <c r="G30" s="3" t="e">
        <f t="shared" si="0"/>
        <v>#DIV/0!</v>
      </c>
      <c r="H30" s="7" t="e">
        <f t="shared" si="1"/>
        <v>#DIV/0!</v>
      </c>
    </row>
    <row r="31" spans="2:8" x14ac:dyDescent="0.25">
      <c r="B31" s="3">
        <v>3</v>
      </c>
      <c r="C31" s="3"/>
      <c r="D31" s="3"/>
      <c r="E31" s="3"/>
      <c r="F31" s="3"/>
      <c r="G31" s="3"/>
      <c r="H31" s="3"/>
    </row>
    <row r="34" spans="2:8" x14ac:dyDescent="0.25">
      <c r="B34" s="1" t="s">
        <v>65</v>
      </c>
    </row>
    <row r="35" spans="2:8" x14ac:dyDescent="0.25">
      <c r="B35" s="2" t="s">
        <v>0</v>
      </c>
      <c r="C35" s="2" t="s">
        <v>9</v>
      </c>
      <c r="D35" s="2" t="s">
        <v>28</v>
      </c>
      <c r="E35" s="2" t="s">
        <v>29</v>
      </c>
      <c r="F35" s="2" t="s">
        <v>26</v>
      </c>
      <c r="G35" s="2" t="s">
        <v>25</v>
      </c>
      <c r="H35" s="4" t="s">
        <v>30</v>
      </c>
    </row>
    <row r="36" spans="2:8" x14ac:dyDescent="0.25">
      <c r="B36" s="3">
        <v>1</v>
      </c>
      <c r="C36" s="3" t="s">
        <v>6</v>
      </c>
      <c r="D36" s="3">
        <f>SUMIFS($M$3:$M$6,$D$3:$D$6,Table!$D$3,$L$3:$L$6,Table!C13)</f>
        <v>0</v>
      </c>
      <c r="E36" s="3">
        <f>SUMIFS($M$3:$M$6,$D$3:$D$6,Table!$D$3,$L$3:$L$6,Table!C13)-SUM(SUMIFS($M$3:$M$6,$D$3:$D$6,Table!$D$3,$L$3:$L$6,Table!C13,$Q$3:$Q$6,{"Ongoing","N/A"}))</f>
        <v>0</v>
      </c>
      <c r="F36" s="3">
        <f>1/8*(SUMIFS($P$3:$P$6,$D$3:$D$6,Table!$D$3,$L$3:$L$6,Table!C13)-SUM(SUMIFS($P$3:$P$6,$D$3:$D$6,Table!$D$3,$L$3:$L$6,Table!C13,$Q$3:$Q$6,{"Ongoing","N/A"})))</f>
        <v>0</v>
      </c>
      <c r="G36" s="3" t="e">
        <f>E36/(F36)</f>
        <v>#DIV/0!</v>
      </c>
      <c r="H36" s="7" t="e">
        <f>E36/D36</f>
        <v>#DIV/0!</v>
      </c>
    </row>
    <row r="37" spans="2:8" x14ac:dyDescent="0.25">
      <c r="B37" s="3">
        <v>2</v>
      </c>
      <c r="C37" s="3" t="s">
        <v>7</v>
      </c>
      <c r="D37">
        <f>SUMIFS($M$3:$M$6,$D$3:$D$6,Table!$D$3,$L$3:$L$6,Table!#REF!)</f>
        <v>0</v>
      </c>
      <c r="E37" s="3">
        <f>SUMIFS($M$3:$M$6,$D$3:$D$6,Table!$D$3,$L$3:$L$6,Table!#REF!)-SUM(SUMIFS($M$3:$M$6,$D$3:$D$6,Table!$D$3,$L$3:$L$6,Table!#REF!,$Q$3:$Q$6,{"Ongoing","N/A"}))</f>
        <v>0</v>
      </c>
      <c r="F37" s="3">
        <f>1/8*(SUMIFS($P$3:$P$6,$D$3:$D$6,Table!$D$3,$L$3:$L$6,Table!#REF!)-SUM(SUMIFS($P$3:$P$6,$D$3:$D$6,Table!$D$3,$L$3:$L$6,Table!#REF!,$Q$3:$Q$6,{"Ongoing","N/A"})))</f>
        <v>0</v>
      </c>
      <c r="G37" s="3" t="e">
        <f>E37/(F37)</f>
        <v>#DIV/0!</v>
      </c>
      <c r="H37" s="7" t="e">
        <f>E37/D37</f>
        <v>#DIV/0!</v>
      </c>
    </row>
    <row r="38" spans="2:8" x14ac:dyDescent="0.25">
      <c r="B38" s="3">
        <v>3</v>
      </c>
      <c r="C38" s="3"/>
      <c r="D38" s="3"/>
      <c r="E38" s="3"/>
      <c r="F38" s="3"/>
      <c r="G38" s="3"/>
      <c r="H38" s="3"/>
    </row>
  </sheetData>
  <customSheetViews>
    <customSheetView guid="{7E0EA425-A420-4443-B9E0-CDF0AA9E5D09}" scale="85">
      <selection activeCell="M23" sqref="M23"/>
      <pageMargins left="0.7" right="0.7" top="0.75" bottom="0.75" header="0.3" footer="0.3"/>
      <pageSetup orientation="portrait" r:id="rId1"/>
    </customSheetView>
    <customSheetView guid="{60D2C030-4E31-4E07-8E1C-44D2EE84B177}" scale="85">
      <selection activeCell="G9" sqref="G9"/>
      <pageMargins left="0.7" right="0.7" top="0.75" bottom="0.75" header="0.3" footer="0.3"/>
      <pageSetup orientation="portrait" r:id="rId2"/>
    </customSheetView>
    <customSheetView guid="{250915DF-0B97-45D7-B29D-7EED4C89C1C1}" scale="85">
      <selection activeCell="F23" sqref="F23"/>
      <pageMargins left="0.7" right="0.7" top="0.75" bottom="0.75" header="0.3" footer="0.3"/>
      <pageSetup orientation="portrait" r:id="rId3"/>
    </customSheetView>
    <customSheetView guid="{7ECC2B8E-6A82-42F5-8AB0-4A51C54EA5EC}" scale="85">
      <selection activeCell="G9" sqref="G9"/>
      <pageMargins left="0.7" right="0.7" top="0.75" bottom="0.75" header="0.3" footer="0.3"/>
      <pageSetup orientation="portrait" r:id="rId4"/>
    </customSheetView>
    <customSheetView guid="{72A6EB0A-84D5-4B8A-AC51-54CCD061630B}" scale="85">
      <selection activeCell="G9" sqref="G9"/>
      <pageMargins left="0.7" right="0.7" top="0.75" bottom="0.75" header="0.3" footer="0.3"/>
      <pageSetup orientation="portrait" r:id="rId5"/>
    </customSheetView>
    <customSheetView guid="{4E06BDBF-2CED-473B-850B-2A6C7311FF41}" scale="85">
      <selection activeCell="G9" sqref="G9"/>
      <pageMargins left="0.7" right="0.7" top="0.75" bottom="0.75" header="0.3" footer="0.3"/>
      <pageSetup orientation="portrait" r:id="rId6"/>
    </customSheetView>
  </customSheetViews>
  <conditionalFormatting sqref="H19:H30">
    <cfRule type="cellIs" dxfId="7" priority="3" operator="equal">
      <formula>1</formula>
    </cfRule>
    <cfRule type="cellIs" dxfId="6" priority="4" operator="lessThan">
      <formula>1</formula>
    </cfRule>
  </conditionalFormatting>
  <conditionalFormatting sqref="H36:H37">
    <cfRule type="cellIs" dxfId="5" priority="1" operator="equal">
      <formula>1</formula>
    </cfRule>
    <cfRule type="cellIs" dxfId="4" priority="2" operator="lessThan">
      <formula>1</formula>
    </cfRule>
  </conditionalFormatting>
  <pageMargins left="0.7" right="0.7" top="0.75" bottom="0.75" header="0.3" footer="0.3"/>
  <pageSetup orientation="portrait"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5" operator="greaterThanOrEqual" id="{22A6488A-DB34-4E23-917E-3827E98F9C4C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" operator="lessThan" id="{92F5054E-C63E-4551-9869-8FFDFA393297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G19:G30</xm:sqref>
        </x14:conditionalFormatting>
        <x14:conditionalFormatting xmlns:xm="http://schemas.microsoft.com/office/excel/2006/main">
          <x14:cfRule type="cellIs" priority="7" operator="greaterThanOrEqual" id="{FBAAE262-F852-48AB-AAB1-F7B61DD39791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8" operator="lessThan" id="{B50FB8E2-8A38-46D7-B9B1-CD0A46DEEAC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G36:G37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>
          <x14:formula1>
            <xm:f>Table!$C$8:$C$9</xm:f>
          </x14:formula1>
          <xm:sqref>D3:D15</xm:sqref>
        </x14:dataValidation>
        <x14:dataValidation type="list" allowBlank="1" showInputMessage="1" showErrorMessage="1">
          <x14:formula1>
            <xm:f>Table!$C$24:$C$30</xm:f>
          </x14:formula1>
          <xm:sqref>Q3:Q15</xm:sqref>
        </x14:dataValidation>
        <x14:dataValidation type="list" allowBlank="1" showInputMessage="1" showErrorMessage="1">
          <x14:formula1>
            <xm:f>Table!$C$13:$C$20</xm:f>
          </x14:formula1>
          <xm:sqref>L3:L15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30"/>
  <sheetViews>
    <sheetView topLeftCell="A13" workbookViewId="0">
      <selection activeCell="B24" sqref="B24:C29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7" t="s">
        <v>12</v>
      </c>
    </row>
    <row r="3" spans="2:5" x14ac:dyDescent="0.25">
      <c r="B3" s="2" t="s">
        <v>4</v>
      </c>
      <c r="C3" s="18" t="s">
        <v>2</v>
      </c>
      <c r="D3" s="18" t="s">
        <v>3</v>
      </c>
    </row>
    <row r="4" spans="2:5" x14ac:dyDescent="0.25">
      <c r="B4" s="18">
        <v>1</v>
      </c>
      <c r="C4" s="19">
        <v>130</v>
      </c>
      <c r="D4" s="19">
        <v>450</v>
      </c>
    </row>
    <row r="6" spans="2:5" x14ac:dyDescent="0.25">
      <c r="B6" s="1" t="s">
        <v>58</v>
      </c>
    </row>
    <row r="7" spans="2:5" x14ac:dyDescent="0.25">
      <c r="B7" s="2" t="s">
        <v>0</v>
      </c>
      <c r="C7" s="2" t="s">
        <v>1</v>
      </c>
      <c r="D7" s="2" t="s">
        <v>63</v>
      </c>
      <c r="E7" s="4" t="s">
        <v>60</v>
      </c>
    </row>
    <row r="8" spans="2:5" ht="60" x14ac:dyDescent="0.25">
      <c r="B8" s="20">
        <v>1</v>
      </c>
      <c r="C8" s="20" t="s">
        <v>2</v>
      </c>
      <c r="D8" s="20" t="s">
        <v>61</v>
      </c>
      <c r="E8" s="21" t="s">
        <v>10</v>
      </c>
    </row>
    <row r="9" spans="2:5" ht="75" x14ac:dyDescent="0.25">
      <c r="B9" s="20">
        <v>2</v>
      </c>
      <c r="C9" s="20" t="s">
        <v>3</v>
      </c>
      <c r="D9" s="20" t="s">
        <v>62</v>
      </c>
      <c r="E9" s="21" t="s">
        <v>11</v>
      </c>
    </row>
    <row r="11" spans="2:5" x14ac:dyDescent="0.25">
      <c r="B11" s="1" t="s">
        <v>59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</v>
      </c>
    </row>
    <row r="14" spans="2:5" x14ac:dyDescent="0.25">
      <c r="B14" s="3">
        <v>2</v>
      </c>
      <c r="C14" s="3" t="s">
        <v>100</v>
      </c>
    </row>
    <row r="15" spans="2:5" x14ac:dyDescent="0.25">
      <c r="B15" s="3">
        <v>3</v>
      </c>
      <c r="C15" s="3" t="s">
        <v>101</v>
      </c>
    </row>
    <row r="16" spans="2:5" x14ac:dyDescent="0.25">
      <c r="B16" s="3">
        <v>4</v>
      </c>
      <c r="C16" s="3" t="s">
        <v>102</v>
      </c>
    </row>
    <row r="17" spans="2:5" x14ac:dyDescent="0.25">
      <c r="B17" s="3">
        <v>5</v>
      </c>
      <c r="C17" s="3" t="s">
        <v>103</v>
      </c>
    </row>
    <row r="18" spans="2:5" x14ac:dyDescent="0.25">
      <c r="B18" s="3">
        <v>6</v>
      </c>
      <c r="C18" s="3" t="s">
        <v>104</v>
      </c>
    </row>
    <row r="19" spans="2:5" x14ac:dyDescent="0.25">
      <c r="B19" s="3">
        <v>7</v>
      </c>
      <c r="C19" s="3" t="s">
        <v>105</v>
      </c>
    </row>
    <row r="20" spans="2:5" x14ac:dyDescent="0.25">
      <c r="B20" s="3">
        <v>8</v>
      </c>
      <c r="C20" s="3" t="s">
        <v>106</v>
      </c>
    </row>
    <row r="22" spans="2:5" x14ac:dyDescent="0.25">
      <c r="B22" s="17" t="s">
        <v>22</v>
      </c>
    </row>
    <row r="23" spans="2:5" x14ac:dyDescent="0.25">
      <c r="B23" s="2" t="s">
        <v>0</v>
      </c>
      <c r="C23" s="2" t="s">
        <v>20</v>
      </c>
    </row>
    <row r="24" spans="2:5" x14ac:dyDescent="0.25">
      <c r="B24" s="2">
        <v>1</v>
      </c>
      <c r="C24" s="3" t="s">
        <v>23</v>
      </c>
      <c r="E24" s="49" t="s">
        <v>230</v>
      </c>
    </row>
    <row r="25" spans="2:5" x14ac:dyDescent="0.25">
      <c r="B25" s="2">
        <v>2</v>
      </c>
      <c r="C25" s="3" t="s">
        <v>27</v>
      </c>
    </row>
    <row r="26" spans="2:5" x14ac:dyDescent="0.25">
      <c r="B26" s="2">
        <v>3</v>
      </c>
      <c r="C26" s="3" t="s">
        <v>21</v>
      </c>
    </row>
    <row r="27" spans="2:5" x14ac:dyDescent="0.25">
      <c r="B27" s="2">
        <v>4</v>
      </c>
      <c r="C27" s="3" t="s">
        <v>131</v>
      </c>
    </row>
    <row r="28" spans="2:5" x14ac:dyDescent="0.25">
      <c r="B28" s="2">
        <v>5</v>
      </c>
      <c r="C28" s="3" t="s">
        <v>24</v>
      </c>
    </row>
    <row r="29" spans="2:5" x14ac:dyDescent="0.25">
      <c r="B29" s="2">
        <v>6</v>
      </c>
      <c r="C29" s="3" t="s">
        <v>231</v>
      </c>
    </row>
    <row r="30" spans="2:5" x14ac:dyDescent="0.25">
      <c r="B30" s="2">
        <v>7</v>
      </c>
      <c r="C30" s="3" t="s">
        <v>132</v>
      </c>
    </row>
  </sheetData>
  <customSheetViews>
    <customSheetView guid="{7E0EA425-A420-4443-B9E0-CDF0AA9E5D09}" topLeftCell="A13">
      <selection activeCell="B24" sqref="B24:C29"/>
      <pageMargins left="0.7" right="0.7" top="0.75" bottom="0.75" header="0.3" footer="0.3"/>
    </customSheetView>
    <customSheetView guid="{60D2C030-4E31-4E07-8E1C-44D2EE84B177}" topLeftCell="A13">
      <selection activeCell="B24" sqref="B24:C29"/>
      <pageMargins left="0.7" right="0.7" top="0.75" bottom="0.75" header="0.3" footer="0.3"/>
    </customSheetView>
    <customSheetView guid="{250915DF-0B97-45D7-B29D-7EED4C89C1C1}" topLeftCell="A10">
      <selection activeCell="C29" sqref="C2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72A6EB0A-84D5-4B8A-AC51-54CCD061630B}" topLeftCell="A13">
      <selection activeCell="B24" sqref="B24:C29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G35"/>
  <sheetViews>
    <sheetView workbookViewId="0">
      <selection activeCell="F38" sqref="F38"/>
    </sheetView>
  </sheetViews>
  <sheetFormatPr defaultRowHeight="15" x14ac:dyDescent="0.25"/>
  <cols>
    <col min="1" max="1" width="10" bestFit="1" customWidth="1"/>
    <col min="2" max="2" width="9.7109375" bestFit="1" customWidth="1"/>
    <col min="3" max="3" width="2" bestFit="1" customWidth="1"/>
    <col min="4" max="4" width="18.7109375" bestFit="1" customWidth="1"/>
    <col min="5" max="5" width="16.7109375" bestFit="1" customWidth="1"/>
    <col min="6" max="6" width="14.7109375" customWidth="1"/>
    <col min="7" max="7" width="30.5703125" customWidth="1"/>
  </cols>
  <sheetData>
    <row r="1" spans="1:7" x14ac:dyDescent="0.25">
      <c r="A1" s="1" t="s">
        <v>50</v>
      </c>
      <c r="B1" s="11">
        <v>43864</v>
      </c>
    </row>
    <row r="2" spans="1:7" x14ac:dyDescent="0.25">
      <c r="A2" s="1" t="s">
        <v>36</v>
      </c>
      <c r="B2" s="12">
        <v>20</v>
      </c>
    </row>
    <row r="4" spans="1:7" x14ac:dyDescent="0.25">
      <c r="B4" s="1" t="s">
        <v>41</v>
      </c>
    </row>
    <row r="5" spans="1:7" ht="30" x14ac:dyDescent="0.25">
      <c r="C5" s="15" t="s">
        <v>31</v>
      </c>
      <c r="D5" s="15" t="s">
        <v>32</v>
      </c>
      <c r="E5" s="15" t="s">
        <v>33</v>
      </c>
      <c r="F5" s="15" t="s">
        <v>34</v>
      </c>
      <c r="G5" s="16" t="s">
        <v>35</v>
      </c>
    </row>
    <row r="6" spans="1:7" x14ac:dyDescent="0.25">
      <c r="C6" s="13">
        <v>1</v>
      </c>
      <c r="D6" s="14" t="s">
        <v>3</v>
      </c>
      <c r="E6" s="14" t="s">
        <v>37</v>
      </c>
      <c r="F6" s="14" t="s">
        <v>37</v>
      </c>
      <c r="G6" s="14" t="s">
        <v>37</v>
      </c>
    </row>
    <row r="7" spans="1:7" x14ac:dyDescent="0.25">
      <c r="C7" s="13">
        <v>2</v>
      </c>
      <c r="D7" s="14" t="s">
        <v>2</v>
      </c>
      <c r="E7" s="14" t="s">
        <v>37</v>
      </c>
      <c r="F7" s="14" t="s">
        <v>37</v>
      </c>
      <c r="G7" s="14" t="s">
        <v>37</v>
      </c>
    </row>
    <row r="9" spans="1:7" x14ac:dyDescent="0.25">
      <c r="B9" s="1" t="s">
        <v>42</v>
      </c>
    </row>
    <row r="10" spans="1:7" ht="30" x14ac:dyDescent="0.25">
      <c r="C10" s="8" t="s">
        <v>31</v>
      </c>
      <c r="D10" s="8" t="s">
        <v>38</v>
      </c>
      <c r="E10" s="9" t="s">
        <v>39</v>
      </c>
      <c r="F10" s="9" t="s">
        <v>40</v>
      </c>
    </row>
    <row r="11" spans="1:7" x14ac:dyDescent="0.25">
      <c r="C11" s="10">
        <v>1</v>
      </c>
      <c r="D11" s="10" t="s">
        <v>6</v>
      </c>
      <c r="E11" s="14" t="s">
        <v>37</v>
      </c>
      <c r="F11" s="14" t="s">
        <v>37</v>
      </c>
    </row>
    <row r="12" spans="1:7" x14ac:dyDescent="0.25">
      <c r="C12" s="10">
        <v>2</v>
      </c>
      <c r="D12" s="10" t="s">
        <v>7</v>
      </c>
      <c r="E12" s="14" t="s">
        <v>37</v>
      </c>
      <c r="F12" s="14" t="s">
        <v>37</v>
      </c>
    </row>
    <row r="14" spans="1:7" x14ac:dyDescent="0.25">
      <c r="B14" s="1" t="s">
        <v>43</v>
      </c>
    </row>
    <row r="15" spans="1:7" ht="30" customHeight="1" x14ac:dyDescent="0.25">
      <c r="C15" s="15" t="s">
        <v>31</v>
      </c>
      <c r="D15" s="59" t="s">
        <v>44</v>
      </c>
      <c r="E15" s="59"/>
      <c r="F15" s="59"/>
      <c r="G15" s="59"/>
    </row>
    <row r="16" spans="1:7" x14ac:dyDescent="0.25">
      <c r="C16" s="10">
        <v>1</v>
      </c>
      <c r="D16" s="58"/>
      <c r="E16" s="58"/>
      <c r="F16" s="58"/>
      <c r="G16" s="58"/>
    </row>
    <row r="17" spans="2:7" x14ac:dyDescent="0.25">
      <c r="C17" s="10">
        <v>2</v>
      </c>
      <c r="D17" s="58"/>
      <c r="E17" s="58"/>
      <c r="F17" s="58"/>
      <c r="G17" s="58"/>
    </row>
    <row r="19" spans="2:7" x14ac:dyDescent="0.25">
      <c r="B19" s="1" t="s">
        <v>45</v>
      </c>
    </row>
    <row r="20" spans="2:7" x14ac:dyDescent="0.25">
      <c r="C20" s="15" t="s">
        <v>31</v>
      </c>
      <c r="D20" s="59" t="s">
        <v>47</v>
      </c>
      <c r="E20" s="59"/>
      <c r="F20" s="59"/>
      <c r="G20" s="59"/>
    </row>
    <row r="21" spans="2:7" x14ac:dyDescent="0.25">
      <c r="C21" s="10">
        <v>1</v>
      </c>
      <c r="D21" s="58"/>
      <c r="E21" s="58"/>
      <c r="F21" s="58"/>
      <c r="G21" s="58"/>
    </row>
    <row r="22" spans="2:7" x14ac:dyDescent="0.25">
      <c r="C22" s="10">
        <v>2</v>
      </c>
      <c r="D22" s="58"/>
      <c r="E22" s="58"/>
      <c r="F22" s="58"/>
      <c r="G22" s="58"/>
    </row>
    <row r="24" spans="2:7" x14ac:dyDescent="0.25">
      <c r="B24" s="1" t="s">
        <v>46</v>
      </c>
    </row>
    <row r="25" spans="2:7" x14ac:dyDescent="0.25">
      <c r="C25" s="15" t="s">
        <v>31</v>
      </c>
      <c r="D25" s="15" t="s">
        <v>38</v>
      </c>
      <c r="E25" s="16" t="s">
        <v>48</v>
      </c>
      <c r="F25" s="16" t="s">
        <v>49</v>
      </c>
    </row>
    <row r="26" spans="2:7" x14ac:dyDescent="0.25">
      <c r="C26" s="10">
        <v>1</v>
      </c>
      <c r="D26" s="10" t="s">
        <v>6</v>
      </c>
      <c r="E26" s="14" t="s">
        <v>37</v>
      </c>
      <c r="F26" s="10" t="s">
        <v>37</v>
      </c>
    </row>
    <row r="27" spans="2:7" x14ac:dyDescent="0.25">
      <c r="C27" s="10">
        <v>2</v>
      </c>
      <c r="D27" s="10" t="s">
        <v>7</v>
      </c>
      <c r="E27" s="14" t="s">
        <v>37</v>
      </c>
      <c r="F27" s="10" t="s">
        <v>37</v>
      </c>
    </row>
    <row r="29" spans="2:7" x14ac:dyDescent="0.25">
      <c r="B29" s="1" t="s">
        <v>51</v>
      </c>
    </row>
    <row r="30" spans="2:7" x14ac:dyDescent="0.25">
      <c r="C30" s="1" t="s">
        <v>54</v>
      </c>
    </row>
    <row r="31" spans="2:7" x14ac:dyDescent="0.25">
      <c r="D31" t="s">
        <v>52</v>
      </c>
    </row>
    <row r="32" spans="2:7" x14ac:dyDescent="0.25">
      <c r="D32" t="s">
        <v>53</v>
      </c>
    </row>
    <row r="33" spans="3:4" x14ac:dyDescent="0.25">
      <c r="C33" s="1" t="s">
        <v>55</v>
      </c>
    </row>
    <row r="34" spans="3:4" x14ac:dyDescent="0.25">
      <c r="D34" t="s">
        <v>56</v>
      </c>
    </row>
    <row r="35" spans="3:4" x14ac:dyDescent="0.25">
      <c r="D35" t="s">
        <v>57</v>
      </c>
    </row>
  </sheetData>
  <customSheetViews>
    <customSheetView guid="{7E0EA425-A420-4443-B9E0-CDF0AA9E5D09}">
      <selection activeCell="F38" sqref="F38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250915DF-0B97-45D7-B29D-7EED4C89C1C1}" topLeftCell="A4">
      <selection activeCell="D22" sqref="D22:G22"/>
      <pageMargins left="0.7" right="0.7" top="0.75" bottom="0.75" header="0.3" footer="0.3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72A6EB0A-84D5-4B8A-AC51-54CCD061630B}">
      <selection activeCell="H33" sqref="H33"/>
      <pageMargins left="0.7" right="0.7" top="0.75" bottom="0.75" header="0.3" footer="0.3"/>
    </customSheetView>
    <customSheetView guid="{4E06BDBF-2CED-473B-850B-2A6C7311FF41}" topLeftCell="A16">
      <selection activeCell="D6" sqref="D6"/>
      <pageMargins left="0.7" right="0.7" top="0.75" bottom="0.75" header="0.3" footer="0.3"/>
    </customSheetView>
  </customSheetViews>
  <mergeCells count="6">
    <mergeCell ref="D22:G22"/>
    <mergeCell ref="D15:G15"/>
    <mergeCell ref="D16:G16"/>
    <mergeCell ref="D17:G17"/>
    <mergeCell ref="D20:G20"/>
    <mergeCell ref="D21:G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6" sqref="B6:C6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209</v>
      </c>
    </row>
    <row r="2" spans="1:3" x14ac:dyDescent="0.25">
      <c r="B2" s="46" t="s">
        <v>211</v>
      </c>
      <c r="C2" t="s">
        <v>212</v>
      </c>
    </row>
    <row r="3" spans="1:3" x14ac:dyDescent="0.25">
      <c r="B3" s="46" t="s">
        <v>214</v>
      </c>
      <c r="C3" t="s">
        <v>213</v>
      </c>
    </row>
    <row r="4" spans="1:3" x14ac:dyDescent="0.25">
      <c r="B4" s="46"/>
    </row>
    <row r="5" spans="1:3" x14ac:dyDescent="0.25">
      <c r="B5" s="45" t="s">
        <v>207</v>
      </c>
    </row>
    <row r="6" spans="1:3" x14ac:dyDescent="0.25">
      <c r="B6" s="46" t="s">
        <v>215</v>
      </c>
      <c r="C6" t="s">
        <v>216</v>
      </c>
    </row>
    <row r="7" spans="1:3" x14ac:dyDescent="0.25">
      <c r="B7" s="46"/>
    </row>
    <row r="8" spans="1:3" x14ac:dyDescent="0.25">
      <c r="B8" s="45" t="s">
        <v>208</v>
      </c>
      <c r="C8" t="s">
        <v>210</v>
      </c>
    </row>
  </sheetData>
  <customSheetViews>
    <customSheetView guid="{7E0EA425-A420-4443-B9E0-CDF0AA9E5D09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250915DF-0B97-45D7-B29D-7EED4C89C1C1}">
      <selection activeCell="B6" sqref="B6:C6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COEM_Package_20200302</vt:lpstr>
      <vt:lpstr>|-&gt;</vt:lpstr>
      <vt:lpstr>Template</vt:lpstr>
      <vt:lpstr>Table</vt:lpstr>
      <vt:lpstr>Template_Weekly_Report</vt:lpstr>
      <vt:lpstr>Check_List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2020-03-09T12:58:18Z</dcterms:modified>
</cp:coreProperties>
</file>